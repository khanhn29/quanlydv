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"/>
    </mc:Choice>
  </mc:AlternateContent>
  <bookViews>
    <workbookView xWindow="-120" yWindow="-120" windowWidth="20730" windowHeight="11760" tabRatio="704" activeTab="3"/>
  </bookViews>
  <sheets>
    <sheet name="MENU" sheetId="1" r:id="rId1"/>
    <sheet name="DK" sheetId="8" state="hidden" r:id="rId2"/>
    <sheet name="Quy_Trinh" sheetId="13" r:id="rId3"/>
    <sheet name="BK_CV_Di" sheetId="4" r:id="rId4"/>
    <sheet name="CVDi_New" sheetId="12" r:id="rId5"/>
    <sheet name="CVDi_Edit" sheetId="15" state="hidden" r:id="rId6"/>
    <sheet name="BCTH_CVDi" sheetId="6" r:id="rId7"/>
    <sheet name="BCCT_CVDi" sheetId="5" r:id="rId8"/>
    <sheet name="BK_CV_Den" sheetId="3" r:id="rId9"/>
    <sheet name="CVDen_New" sheetId="10" r:id="rId10"/>
    <sheet name="CVDen_XuLy" sheetId="11" state="hidden" r:id="rId11"/>
    <sheet name="BCTH_CVDen" sheetId="9" r:id="rId12"/>
    <sheet name="BCCT_CVDen" sheetId="7" r:id="rId13"/>
    <sheet name="Setting" sheetId="2" r:id="rId14"/>
  </sheets>
  <functionGroups builtInGroupCount="18"/>
  <definedNames>
    <definedName name="_xlnm._FilterDatabase" localSheetId="12" hidden="1">BCCT_CVDen!$C$6:$U$2006</definedName>
    <definedName name="_xlnm._FilterDatabase" localSheetId="7" hidden="1">BCCT_CVDi!$C$7:$Q$2004</definedName>
    <definedName name="_xlnm._FilterDatabase" localSheetId="11" hidden="1">BCTH_CVDen!$J$3:$J$34</definedName>
    <definedName name="_xlnm._FilterDatabase" localSheetId="6" hidden="1">BCTH_CVDi!$F$3:$F$34</definedName>
    <definedName name="_xlnm._FilterDatabase" localSheetId="8" hidden="1">BK_CV_Den!$D$4:$T$1997</definedName>
    <definedName name="_xlnm._FilterDatabase" localSheetId="3" hidden="1">BK_CV_Di!$C$4:$P$2002</definedName>
    <definedName name="List_loai_XuLy">Setting!$A$3:$A$6</definedName>
    <definedName name="_xlnm.Print_Area" localSheetId="8">BK_CV_Den!$C$1:$T$7</definedName>
    <definedName name="_xlnm.Print_Area" localSheetId="3">BK_CV_Di!$C$1:$T$7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8" i="9" l="1"/>
  <c r="D19" i="9"/>
  <c r="D20" i="9"/>
  <c r="C2" i="9" l="1"/>
  <c r="B3" i="10"/>
  <c r="B3" i="12"/>
  <c r="Q8" i="5" l="1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491" i="5"/>
  <c r="Q492" i="5"/>
  <c r="Q493" i="5"/>
  <c r="Q494" i="5"/>
  <c r="Q495" i="5"/>
  <c r="Q496" i="5"/>
  <c r="Q497" i="5"/>
  <c r="Q498" i="5"/>
  <c r="Q499" i="5"/>
  <c r="Q500" i="5"/>
  <c r="Q501" i="5"/>
  <c r="Q502" i="5"/>
  <c r="Q503" i="5"/>
  <c r="Q504" i="5"/>
  <c r="Q505" i="5"/>
  <c r="Q506" i="5"/>
  <c r="Q507" i="5"/>
  <c r="Q508" i="5"/>
  <c r="Q509" i="5"/>
  <c r="Q510" i="5"/>
  <c r="Q511" i="5"/>
  <c r="Q512" i="5"/>
  <c r="Q513" i="5"/>
  <c r="Q514" i="5"/>
  <c r="Q515" i="5"/>
  <c r="Q516" i="5"/>
  <c r="Q517" i="5"/>
  <c r="Q518" i="5"/>
  <c r="Q519" i="5"/>
  <c r="Q520" i="5"/>
  <c r="Q521" i="5"/>
  <c r="Q522" i="5"/>
  <c r="Q523" i="5"/>
  <c r="Q524" i="5"/>
  <c r="Q525" i="5"/>
  <c r="Q526" i="5"/>
  <c r="Q527" i="5"/>
  <c r="Q528" i="5"/>
  <c r="Q529" i="5"/>
  <c r="Q530" i="5"/>
  <c r="Q531" i="5"/>
  <c r="Q532" i="5"/>
  <c r="Q533" i="5"/>
  <c r="Q534" i="5"/>
  <c r="Q535" i="5"/>
  <c r="Q536" i="5"/>
  <c r="Q537" i="5"/>
  <c r="Q538" i="5"/>
  <c r="Q539" i="5"/>
  <c r="Q540" i="5"/>
  <c r="Q541" i="5"/>
  <c r="Q542" i="5"/>
  <c r="Q543" i="5"/>
  <c r="Q544" i="5"/>
  <c r="Q545" i="5"/>
  <c r="Q546" i="5"/>
  <c r="Q547" i="5"/>
  <c r="Q548" i="5"/>
  <c r="Q549" i="5"/>
  <c r="Q550" i="5"/>
  <c r="Q551" i="5"/>
  <c r="Q552" i="5"/>
  <c r="Q553" i="5"/>
  <c r="Q554" i="5"/>
  <c r="Q555" i="5"/>
  <c r="Q556" i="5"/>
  <c r="Q557" i="5"/>
  <c r="Q558" i="5"/>
  <c r="Q559" i="5"/>
  <c r="Q560" i="5"/>
  <c r="Q561" i="5"/>
  <c r="Q562" i="5"/>
  <c r="Q563" i="5"/>
  <c r="Q564" i="5"/>
  <c r="Q565" i="5"/>
  <c r="Q566" i="5"/>
  <c r="Q567" i="5"/>
  <c r="Q568" i="5"/>
  <c r="Q569" i="5"/>
  <c r="Q570" i="5"/>
  <c r="Q571" i="5"/>
  <c r="Q572" i="5"/>
  <c r="Q573" i="5"/>
  <c r="Q574" i="5"/>
  <c r="Q575" i="5"/>
  <c r="Q576" i="5"/>
  <c r="Q577" i="5"/>
  <c r="Q578" i="5"/>
  <c r="Q579" i="5"/>
  <c r="Q580" i="5"/>
  <c r="Q581" i="5"/>
  <c r="Q582" i="5"/>
  <c r="Q583" i="5"/>
  <c r="Q584" i="5"/>
  <c r="Q585" i="5"/>
  <c r="Q586" i="5"/>
  <c r="Q587" i="5"/>
  <c r="Q588" i="5"/>
  <c r="Q589" i="5"/>
  <c r="Q590" i="5"/>
  <c r="Q591" i="5"/>
  <c r="Q592" i="5"/>
  <c r="Q593" i="5"/>
  <c r="Q594" i="5"/>
  <c r="Q595" i="5"/>
  <c r="Q596" i="5"/>
  <c r="Q597" i="5"/>
  <c r="Q598" i="5"/>
  <c r="Q599" i="5"/>
  <c r="Q600" i="5"/>
  <c r="Q601" i="5"/>
  <c r="Q602" i="5"/>
  <c r="Q603" i="5"/>
  <c r="Q604" i="5"/>
  <c r="Q605" i="5"/>
  <c r="Q606" i="5"/>
  <c r="Q607" i="5"/>
  <c r="Q608" i="5"/>
  <c r="Q609" i="5"/>
  <c r="Q610" i="5"/>
  <c r="Q611" i="5"/>
  <c r="Q612" i="5"/>
  <c r="Q613" i="5"/>
  <c r="Q614" i="5"/>
  <c r="Q615" i="5"/>
  <c r="Q616" i="5"/>
  <c r="Q617" i="5"/>
  <c r="Q618" i="5"/>
  <c r="Q619" i="5"/>
  <c r="Q620" i="5"/>
  <c r="Q621" i="5"/>
  <c r="Q622" i="5"/>
  <c r="Q623" i="5"/>
  <c r="Q624" i="5"/>
  <c r="Q625" i="5"/>
  <c r="Q626" i="5"/>
  <c r="Q627" i="5"/>
  <c r="Q628" i="5"/>
  <c r="Q629" i="5"/>
  <c r="Q630" i="5"/>
  <c r="Q631" i="5"/>
  <c r="Q632" i="5"/>
  <c r="Q633" i="5"/>
  <c r="Q634" i="5"/>
  <c r="Q635" i="5"/>
  <c r="Q636" i="5"/>
  <c r="Q637" i="5"/>
  <c r="Q638" i="5"/>
  <c r="Q639" i="5"/>
  <c r="Q640" i="5"/>
  <c r="Q641" i="5"/>
  <c r="Q642" i="5"/>
  <c r="Q643" i="5"/>
  <c r="Q644" i="5"/>
  <c r="Q645" i="5"/>
  <c r="Q646" i="5"/>
  <c r="Q647" i="5"/>
  <c r="Q648" i="5"/>
  <c r="Q649" i="5"/>
  <c r="Q650" i="5"/>
  <c r="Q651" i="5"/>
  <c r="Q652" i="5"/>
  <c r="Q653" i="5"/>
  <c r="Q654" i="5"/>
  <c r="Q655" i="5"/>
  <c r="Q656" i="5"/>
  <c r="Q657" i="5"/>
  <c r="Q658" i="5"/>
  <c r="Q659" i="5"/>
  <c r="Q660" i="5"/>
  <c r="Q661" i="5"/>
  <c r="Q662" i="5"/>
  <c r="Q663" i="5"/>
  <c r="Q664" i="5"/>
  <c r="Q665" i="5"/>
  <c r="Q666" i="5"/>
  <c r="Q667" i="5"/>
  <c r="Q668" i="5"/>
  <c r="Q669" i="5"/>
  <c r="Q670" i="5"/>
  <c r="Q671" i="5"/>
  <c r="Q672" i="5"/>
  <c r="Q673" i="5"/>
  <c r="Q674" i="5"/>
  <c r="Q675" i="5"/>
  <c r="Q676" i="5"/>
  <c r="Q677" i="5"/>
  <c r="Q678" i="5"/>
  <c r="Q679" i="5"/>
  <c r="Q680" i="5"/>
  <c r="Q681" i="5"/>
  <c r="Q682" i="5"/>
  <c r="Q683" i="5"/>
  <c r="Q684" i="5"/>
  <c r="Q685" i="5"/>
  <c r="Q686" i="5"/>
  <c r="Q687" i="5"/>
  <c r="Q688" i="5"/>
  <c r="Q689" i="5"/>
  <c r="Q690" i="5"/>
  <c r="Q691" i="5"/>
  <c r="Q692" i="5"/>
  <c r="Q693" i="5"/>
  <c r="Q694" i="5"/>
  <c r="Q695" i="5"/>
  <c r="Q696" i="5"/>
  <c r="Q697" i="5"/>
  <c r="Q698" i="5"/>
  <c r="Q699" i="5"/>
  <c r="Q700" i="5"/>
  <c r="Q701" i="5"/>
  <c r="Q702" i="5"/>
  <c r="Q703" i="5"/>
  <c r="Q704" i="5"/>
  <c r="Q705" i="5"/>
  <c r="Q706" i="5"/>
  <c r="Q707" i="5"/>
  <c r="Q708" i="5"/>
  <c r="Q709" i="5"/>
  <c r="Q710" i="5"/>
  <c r="Q711" i="5"/>
  <c r="Q712" i="5"/>
  <c r="Q713" i="5"/>
  <c r="Q714" i="5"/>
  <c r="Q715" i="5"/>
  <c r="Q716" i="5"/>
  <c r="Q717" i="5"/>
  <c r="Q718" i="5"/>
  <c r="Q719" i="5"/>
  <c r="Q720" i="5"/>
  <c r="Q721" i="5"/>
  <c r="Q722" i="5"/>
  <c r="Q723" i="5"/>
  <c r="Q724" i="5"/>
  <c r="Q725" i="5"/>
  <c r="Q726" i="5"/>
  <c r="Q727" i="5"/>
  <c r="Q728" i="5"/>
  <c r="Q729" i="5"/>
  <c r="Q730" i="5"/>
  <c r="Q731" i="5"/>
  <c r="Q732" i="5"/>
  <c r="Q733" i="5"/>
  <c r="Q734" i="5"/>
  <c r="Q735" i="5"/>
  <c r="Q736" i="5"/>
  <c r="Q737" i="5"/>
  <c r="Q738" i="5"/>
  <c r="Q739" i="5"/>
  <c r="Q740" i="5"/>
  <c r="Q741" i="5"/>
  <c r="Q742" i="5"/>
  <c r="Q743" i="5"/>
  <c r="Q744" i="5"/>
  <c r="Q745" i="5"/>
  <c r="Q746" i="5"/>
  <c r="Q747" i="5"/>
  <c r="Q748" i="5"/>
  <c r="Q749" i="5"/>
  <c r="Q750" i="5"/>
  <c r="Q751" i="5"/>
  <c r="Q752" i="5"/>
  <c r="Q753" i="5"/>
  <c r="Q754" i="5"/>
  <c r="Q755" i="5"/>
  <c r="Q756" i="5"/>
  <c r="Q757" i="5"/>
  <c r="Q758" i="5"/>
  <c r="Q759" i="5"/>
  <c r="Q760" i="5"/>
  <c r="Q761" i="5"/>
  <c r="Q762" i="5"/>
  <c r="Q763" i="5"/>
  <c r="Q764" i="5"/>
  <c r="Q765" i="5"/>
  <c r="Q766" i="5"/>
  <c r="Q767" i="5"/>
  <c r="Q768" i="5"/>
  <c r="Q769" i="5"/>
  <c r="Q770" i="5"/>
  <c r="Q771" i="5"/>
  <c r="Q772" i="5"/>
  <c r="Q773" i="5"/>
  <c r="Q774" i="5"/>
  <c r="Q775" i="5"/>
  <c r="Q776" i="5"/>
  <c r="Q777" i="5"/>
  <c r="Q778" i="5"/>
  <c r="Q779" i="5"/>
  <c r="Q780" i="5"/>
  <c r="Q781" i="5"/>
  <c r="Q782" i="5"/>
  <c r="Q783" i="5"/>
  <c r="Q784" i="5"/>
  <c r="Q785" i="5"/>
  <c r="Q786" i="5"/>
  <c r="Q787" i="5"/>
  <c r="Q788" i="5"/>
  <c r="Q789" i="5"/>
  <c r="Q790" i="5"/>
  <c r="Q791" i="5"/>
  <c r="Q792" i="5"/>
  <c r="Q793" i="5"/>
  <c r="Q794" i="5"/>
  <c r="Q795" i="5"/>
  <c r="Q796" i="5"/>
  <c r="Q797" i="5"/>
  <c r="Q798" i="5"/>
  <c r="Q799" i="5"/>
  <c r="Q800" i="5"/>
  <c r="Q801" i="5"/>
  <c r="Q802" i="5"/>
  <c r="Q803" i="5"/>
  <c r="Q804" i="5"/>
  <c r="Q805" i="5"/>
  <c r="Q806" i="5"/>
  <c r="Q807" i="5"/>
  <c r="Q808" i="5"/>
  <c r="Q809" i="5"/>
  <c r="Q810" i="5"/>
  <c r="Q811" i="5"/>
  <c r="Q812" i="5"/>
  <c r="Q813" i="5"/>
  <c r="Q814" i="5"/>
  <c r="Q815" i="5"/>
  <c r="Q816" i="5"/>
  <c r="Q817" i="5"/>
  <c r="Q818" i="5"/>
  <c r="Q819" i="5"/>
  <c r="Q820" i="5"/>
  <c r="Q821" i="5"/>
  <c r="Q822" i="5"/>
  <c r="Q823" i="5"/>
  <c r="Q824" i="5"/>
  <c r="Q825" i="5"/>
  <c r="Q826" i="5"/>
  <c r="Q827" i="5"/>
  <c r="Q828" i="5"/>
  <c r="Q829" i="5"/>
  <c r="Q830" i="5"/>
  <c r="Q831" i="5"/>
  <c r="Q832" i="5"/>
  <c r="Q833" i="5"/>
  <c r="Q834" i="5"/>
  <c r="Q835" i="5"/>
  <c r="Q836" i="5"/>
  <c r="Q837" i="5"/>
  <c r="Q838" i="5"/>
  <c r="Q839" i="5"/>
  <c r="Q840" i="5"/>
  <c r="Q841" i="5"/>
  <c r="Q842" i="5"/>
  <c r="Q843" i="5"/>
  <c r="Q844" i="5"/>
  <c r="Q845" i="5"/>
  <c r="Q846" i="5"/>
  <c r="Q847" i="5"/>
  <c r="Q848" i="5"/>
  <c r="Q849" i="5"/>
  <c r="Q850" i="5"/>
  <c r="Q851" i="5"/>
  <c r="Q852" i="5"/>
  <c r="Q853" i="5"/>
  <c r="Q854" i="5"/>
  <c r="Q855" i="5"/>
  <c r="Q856" i="5"/>
  <c r="Q857" i="5"/>
  <c r="Q858" i="5"/>
  <c r="Q859" i="5"/>
  <c r="Q860" i="5"/>
  <c r="Q861" i="5"/>
  <c r="Q862" i="5"/>
  <c r="Q863" i="5"/>
  <c r="Q864" i="5"/>
  <c r="Q865" i="5"/>
  <c r="Q866" i="5"/>
  <c r="Q867" i="5"/>
  <c r="Q868" i="5"/>
  <c r="Q869" i="5"/>
  <c r="Q870" i="5"/>
  <c r="Q871" i="5"/>
  <c r="Q872" i="5"/>
  <c r="Q873" i="5"/>
  <c r="Q874" i="5"/>
  <c r="Q875" i="5"/>
  <c r="Q876" i="5"/>
  <c r="Q877" i="5"/>
  <c r="Q878" i="5"/>
  <c r="Q879" i="5"/>
  <c r="Q880" i="5"/>
  <c r="Q881" i="5"/>
  <c r="Q882" i="5"/>
  <c r="Q883" i="5"/>
  <c r="Q884" i="5"/>
  <c r="Q885" i="5"/>
  <c r="Q886" i="5"/>
  <c r="Q887" i="5"/>
  <c r="Q888" i="5"/>
  <c r="Q889" i="5"/>
  <c r="Q890" i="5"/>
  <c r="Q891" i="5"/>
  <c r="Q892" i="5"/>
  <c r="Q893" i="5"/>
  <c r="Q894" i="5"/>
  <c r="Q895" i="5"/>
  <c r="Q896" i="5"/>
  <c r="Q897" i="5"/>
  <c r="Q898" i="5"/>
  <c r="Q899" i="5"/>
  <c r="Q900" i="5"/>
  <c r="Q901" i="5"/>
  <c r="Q902" i="5"/>
  <c r="Q903" i="5"/>
  <c r="Q904" i="5"/>
  <c r="Q905" i="5"/>
  <c r="Q906" i="5"/>
  <c r="Q907" i="5"/>
  <c r="Q908" i="5"/>
  <c r="Q909" i="5"/>
  <c r="Q910" i="5"/>
  <c r="Q911" i="5"/>
  <c r="Q912" i="5"/>
  <c r="Q913" i="5"/>
  <c r="Q914" i="5"/>
  <c r="Q915" i="5"/>
  <c r="Q916" i="5"/>
  <c r="Q917" i="5"/>
  <c r="Q918" i="5"/>
  <c r="Q919" i="5"/>
  <c r="Q920" i="5"/>
  <c r="Q921" i="5"/>
  <c r="Q922" i="5"/>
  <c r="Q923" i="5"/>
  <c r="Q924" i="5"/>
  <c r="Q925" i="5"/>
  <c r="Q926" i="5"/>
  <c r="Q927" i="5"/>
  <c r="Q928" i="5"/>
  <c r="Q929" i="5"/>
  <c r="Q930" i="5"/>
  <c r="Q931" i="5"/>
  <c r="Q932" i="5"/>
  <c r="Q933" i="5"/>
  <c r="Q934" i="5"/>
  <c r="Q935" i="5"/>
  <c r="Q936" i="5"/>
  <c r="Q937" i="5"/>
  <c r="Q938" i="5"/>
  <c r="Q939" i="5"/>
  <c r="Q940" i="5"/>
  <c r="Q941" i="5"/>
  <c r="Q942" i="5"/>
  <c r="Q943" i="5"/>
  <c r="Q944" i="5"/>
  <c r="Q945" i="5"/>
  <c r="Q946" i="5"/>
  <c r="Q947" i="5"/>
  <c r="Q948" i="5"/>
  <c r="Q949" i="5"/>
  <c r="Q950" i="5"/>
  <c r="Q951" i="5"/>
  <c r="Q952" i="5"/>
  <c r="Q953" i="5"/>
  <c r="Q954" i="5"/>
  <c r="Q955" i="5"/>
  <c r="Q956" i="5"/>
  <c r="Q957" i="5"/>
  <c r="Q958" i="5"/>
  <c r="Q959" i="5"/>
  <c r="Q960" i="5"/>
  <c r="Q961" i="5"/>
  <c r="Q962" i="5"/>
  <c r="Q963" i="5"/>
  <c r="Q964" i="5"/>
  <c r="Q965" i="5"/>
  <c r="Q966" i="5"/>
  <c r="Q967" i="5"/>
  <c r="Q968" i="5"/>
  <c r="Q969" i="5"/>
  <c r="Q970" i="5"/>
  <c r="Q971" i="5"/>
  <c r="Q972" i="5"/>
  <c r="Q973" i="5"/>
  <c r="Q974" i="5"/>
  <c r="Q975" i="5"/>
  <c r="Q976" i="5"/>
  <c r="Q977" i="5"/>
  <c r="Q978" i="5"/>
  <c r="Q979" i="5"/>
  <c r="Q980" i="5"/>
  <c r="Q981" i="5"/>
  <c r="Q982" i="5"/>
  <c r="Q983" i="5"/>
  <c r="Q984" i="5"/>
  <c r="Q985" i="5"/>
  <c r="Q986" i="5"/>
  <c r="Q987" i="5"/>
  <c r="Q988" i="5"/>
  <c r="Q989" i="5"/>
  <c r="Q990" i="5"/>
  <c r="Q991" i="5"/>
  <c r="Q992" i="5"/>
  <c r="Q993" i="5"/>
  <c r="Q994" i="5"/>
  <c r="Q995" i="5"/>
  <c r="Q996" i="5"/>
  <c r="Q997" i="5"/>
  <c r="Q998" i="5"/>
  <c r="Q999" i="5"/>
  <c r="Q1000" i="5"/>
  <c r="Q1001" i="5"/>
  <c r="Q1002" i="5"/>
  <c r="Q1003" i="5"/>
  <c r="Q1004" i="5"/>
  <c r="Q1005" i="5"/>
  <c r="Q1006" i="5"/>
  <c r="Q1007" i="5"/>
  <c r="Q1008" i="5"/>
  <c r="Q1009" i="5"/>
  <c r="Q1010" i="5"/>
  <c r="Q1011" i="5"/>
  <c r="Q1012" i="5"/>
  <c r="Q1013" i="5"/>
  <c r="Q1014" i="5"/>
  <c r="Q1015" i="5"/>
  <c r="Q1016" i="5"/>
  <c r="Q1017" i="5"/>
  <c r="Q1018" i="5"/>
  <c r="Q1019" i="5"/>
  <c r="Q1020" i="5"/>
  <c r="Q1021" i="5"/>
  <c r="Q1022" i="5"/>
  <c r="Q1023" i="5"/>
  <c r="Q1024" i="5"/>
  <c r="Q1025" i="5"/>
  <c r="Q1026" i="5"/>
  <c r="Q1027" i="5"/>
  <c r="Q1028" i="5"/>
  <c r="Q1029" i="5"/>
  <c r="Q1030" i="5"/>
  <c r="Q1031" i="5"/>
  <c r="Q1032" i="5"/>
  <c r="Q1033" i="5"/>
  <c r="Q1034" i="5"/>
  <c r="Q1035" i="5"/>
  <c r="Q1036" i="5"/>
  <c r="Q1037" i="5"/>
  <c r="Q1038" i="5"/>
  <c r="Q1039" i="5"/>
  <c r="Q1040" i="5"/>
  <c r="Q1041" i="5"/>
  <c r="Q1042" i="5"/>
  <c r="Q1043" i="5"/>
  <c r="Q1044" i="5"/>
  <c r="Q1045" i="5"/>
  <c r="Q1046" i="5"/>
  <c r="Q1047" i="5"/>
  <c r="Q1048" i="5"/>
  <c r="Q1049" i="5"/>
  <c r="Q1050" i="5"/>
  <c r="Q1051" i="5"/>
  <c r="Q1052" i="5"/>
  <c r="Q1053" i="5"/>
  <c r="Q1054" i="5"/>
  <c r="Q1055" i="5"/>
  <c r="Q1056" i="5"/>
  <c r="Q1057" i="5"/>
  <c r="Q1058" i="5"/>
  <c r="Q1059" i="5"/>
  <c r="Q1060" i="5"/>
  <c r="Q1061" i="5"/>
  <c r="Q1062" i="5"/>
  <c r="Q1063" i="5"/>
  <c r="Q1064" i="5"/>
  <c r="Q1065" i="5"/>
  <c r="Q1066" i="5"/>
  <c r="Q1067" i="5"/>
  <c r="Q1068" i="5"/>
  <c r="Q1069" i="5"/>
  <c r="Q1070" i="5"/>
  <c r="Q1071" i="5"/>
  <c r="Q1072" i="5"/>
  <c r="Q1073" i="5"/>
  <c r="Q1074" i="5"/>
  <c r="Q1075" i="5"/>
  <c r="Q1076" i="5"/>
  <c r="Q1077" i="5"/>
  <c r="Q1078" i="5"/>
  <c r="Q1079" i="5"/>
  <c r="Q1080" i="5"/>
  <c r="Q1081" i="5"/>
  <c r="Q1082" i="5"/>
  <c r="Q1083" i="5"/>
  <c r="Q1084" i="5"/>
  <c r="Q1085" i="5"/>
  <c r="Q1086" i="5"/>
  <c r="Q1087" i="5"/>
  <c r="Q1088" i="5"/>
  <c r="Q1089" i="5"/>
  <c r="Q1090" i="5"/>
  <c r="Q1091" i="5"/>
  <c r="Q1092" i="5"/>
  <c r="Q1093" i="5"/>
  <c r="Q1094" i="5"/>
  <c r="Q1095" i="5"/>
  <c r="Q1096" i="5"/>
  <c r="Q1097" i="5"/>
  <c r="Q1098" i="5"/>
  <c r="Q1099" i="5"/>
  <c r="Q1100" i="5"/>
  <c r="Q1101" i="5"/>
  <c r="Q1102" i="5"/>
  <c r="Q1103" i="5"/>
  <c r="Q1104" i="5"/>
  <c r="Q1105" i="5"/>
  <c r="Q1106" i="5"/>
  <c r="Q1107" i="5"/>
  <c r="Q1108" i="5"/>
  <c r="Q1109" i="5"/>
  <c r="Q1110" i="5"/>
  <c r="Q1111" i="5"/>
  <c r="Q1112" i="5"/>
  <c r="Q1113" i="5"/>
  <c r="Q1114" i="5"/>
  <c r="Q1115" i="5"/>
  <c r="Q1116" i="5"/>
  <c r="Q1117" i="5"/>
  <c r="Q1118" i="5"/>
  <c r="Q1119" i="5"/>
  <c r="Q1120" i="5"/>
  <c r="Q1121" i="5"/>
  <c r="Q1122" i="5"/>
  <c r="Q1123" i="5"/>
  <c r="Q1124" i="5"/>
  <c r="Q1125" i="5"/>
  <c r="Q1126" i="5"/>
  <c r="Q1127" i="5"/>
  <c r="Q1128" i="5"/>
  <c r="Q1129" i="5"/>
  <c r="Q1130" i="5"/>
  <c r="Q1131" i="5"/>
  <c r="Q1132" i="5"/>
  <c r="Q1133" i="5"/>
  <c r="Q1134" i="5"/>
  <c r="Q1135" i="5"/>
  <c r="Q1136" i="5"/>
  <c r="Q1137" i="5"/>
  <c r="Q1138" i="5"/>
  <c r="Q1139" i="5"/>
  <c r="Q1140" i="5"/>
  <c r="Q1141" i="5"/>
  <c r="Q1142" i="5"/>
  <c r="Q1143" i="5"/>
  <c r="Q1144" i="5"/>
  <c r="Q1145" i="5"/>
  <c r="Q1146" i="5"/>
  <c r="Q1147" i="5"/>
  <c r="Q1148" i="5"/>
  <c r="Q1149" i="5"/>
  <c r="Q1150" i="5"/>
  <c r="Q1151" i="5"/>
  <c r="Q1152" i="5"/>
  <c r="Q1153" i="5"/>
  <c r="Q1154" i="5"/>
  <c r="Q1155" i="5"/>
  <c r="Q1156" i="5"/>
  <c r="Q1157" i="5"/>
  <c r="Q1158" i="5"/>
  <c r="Q1159" i="5"/>
  <c r="Q1160" i="5"/>
  <c r="Q1161" i="5"/>
  <c r="Q1162" i="5"/>
  <c r="Q1163" i="5"/>
  <c r="Q1164" i="5"/>
  <c r="Q1165" i="5"/>
  <c r="Q1166" i="5"/>
  <c r="Q1167" i="5"/>
  <c r="Q1168" i="5"/>
  <c r="Q1169" i="5"/>
  <c r="Q1170" i="5"/>
  <c r="Q1171" i="5"/>
  <c r="Q1172" i="5"/>
  <c r="Q1173" i="5"/>
  <c r="Q1174" i="5"/>
  <c r="Q1175" i="5"/>
  <c r="Q1176" i="5"/>
  <c r="Q1177" i="5"/>
  <c r="Q1178" i="5"/>
  <c r="Q1179" i="5"/>
  <c r="Q1180" i="5"/>
  <c r="Q1181" i="5"/>
  <c r="Q1182" i="5"/>
  <c r="Q1183" i="5"/>
  <c r="Q1184" i="5"/>
  <c r="Q1185" i="5"/>
  <c r="Q1186" i="5"/>
  <c r="Q1187" i="5"/>
  <c r="Q1188" i="5"/>
  <c r="Q1189" i="5"/>
  <c r="Q1190" i="5"/>
  <c r="Q1191" i="5"/>
  <c r="Q1192" i="5"/>
  <c r="Q1193" i="5"/>
  <c r="Q1194" i="5"/>
  <c r="Q1195" i="5"/>
  <c r="Q1196" i="5"/>
  <c r="Q1197" i="5"/>
  <c r="Q1198" i="5"/>
  <c r="Q1199" i="5"/>
  <c r="Q1200" i="5"/>
  <c r="Q1201" i="5"/>
  <c r="Q1202" i="5"/>
  <c r="Q1203" i="5"/>
  <c r="Q1204" i="5"/>
  <c r="Q1205" i="5"/>
  <c r="Q1206" i="5"/>
  <c r="Q1207" i="5"/>
  <c r="Q1208" i="5"/>
  <c r="Q1209" i="5"/>
  <c r="Q1210" i="5"/>
  <c r="Q1211" i="5"/>
  <c r="Q1212" i="5"/>
  <c r="Q1213" i="5"/>
  <c r="Q1214" i="5"/>
  <c r="Q1215" i="5"/>
  <c r="Q1216" i="5"/>
  <c r="Q1217" i="5"/>
  <c r="Q1218" i="5"/>
  <c r="Q1219" i="5"/>
  <c r="Q1220" i="5"/>
  <c r="Q1221" i="5"/>
  <c r="Q1222" i="5"/>
  <c r="Q1223" i="5"/>
  <c r="Q1224" i="5"/>
  <c r="Q1225" i="5"/>
  <c r="Q1226" i="5"/>
  <c r="Q1227" i="5"/>
  <c r="Q1228" i="5"/>
  <c r="Q1229" i="5"/>
  <c r="Q1230" i="5"/>
  <c r="Q1231" i="5"/>
  <c r="Q1232" i="5"/>
  <c r="Q1233" i="5"/>
  <c r="Q1234" i="5"/>
  <c r="Q1235" i="5"/>
  <c r="Q1236" i="5"/>
  <c r="Q1237" i="5"/>
  <c r="Q1238" i="5"/>
  <c r="Q1239" i="5"/>
  <c r="Q1240" i="5"/>
  <c r="Q1241" i="5"/>
  <c r="Q1242" i="5"/>
  <c r="Q1243" i="5"/>
  <c r="Q1244" i="5"/>
  <c r="Q1245" i="5"/>
  <c r="Q1246" i="5"/>
  <c r="Q1247" i="5"/>
  <c r="Q1248" i="5"/>
  <c r="Q1249" i="5"/>
  <c r="Q1250" i="5"/>
  <c r="Q1251" i="5"/>
  <c r="Q1252" i="5"/>
  <c r="Q1253" i="5"/>
  <c r="Q1254" i="5"/>
  <c r="Q1255" i="5"/>
  <c r="Q1256" i="5"/>
  <c r="Q1257" i="5"/>
  <c r="Q1258" i="5"/>
  <c r="Q1259" i="5"/>
  <c r="Q1260" i="5"/>
  <c r="Q1261" i="5"/>
  <c r="Q1262" i="5"/>
  <c r="Q1263" i="5"/>
  <c r="Q1264" i="5"/>
  <c r="Q1265" i="5"/>
  <c r="Q1266" i="5"/>
  <c r="Q1267" i="5"/>
  <c r="Q1268" i="5"/>
  <c r="Q1269" i="5"/>
  <c r="Q1270" i="5"/>
  <c r="Q1271" i="5"/>
  <c r="Q1272" i="5"/>
  <c r="Q1273" i="5"/>
  <c r="Q1274" i="5"/>
  <c r="Q1275" i="5"/>
  <c r="Q1276" i="5"/>
  <c r="Q1277" i="5"/>
  <c r="Q1278" i="5"/>
  <c r="Q1279" i="5"/>
  <c r="Q1280" i="5"/>
  <c r="Q1281" i="5"/>
  <c r="Q1282" i="5"/>
  <c r="Q1283" i="5"/>
  <c r="Q1284" i="5"/>
  <c r="Q1285" i="5"/>
  <c r="Q1286" i="5"/>
  <c r="Q1287" i="5"/>
  <c r="Q1288" i="5"/>
  <c r="Q1289" i="5"/>
  <c r="Q1290" i="5"/>
  <c r="Q1291" i="5"/>
  <c r="Q1292" i="5"/>
  <c r="Q1293" i="5"/>
  <c r="Q1294" i="5"/>
  <c r="Q1295" i="5"/>
  <c r="Q1296" i="5"/>
  <c r="Q1297" i="5"/>
  <c r="Q1298" i="5"/>
  <c r="Q1299" i="5"/>
  <c r="Q1300" i="5"/>
  <c r="Q1301" i="5"/>
  <c r="Q1302" i="5"/>
  <c r="Q1303" i="5"/>
  <c r="Q1304" i="5"/>
  <c r="Q1305" i="5"/>
  <c r="Q1306" i="5"/>
  <c r="Q1307" i="5"/>
  <c r="Q1308" i="5"/>
  <c r="Q1309" i="5"/>
  <c r="Q1310" i="5"/>
  <c r="Q1311" i="5"/>
  <c r="Q1312" i="5"/>
  <c r="Q1313" i="5"/>
  <c r="Q1314" i="5"/>
  <c r="Q1315" i="5"/>
  <c r="Q1316" i="5"/>
  <c r="Q1317" i="5"/>
  <c r="Q1318" i="5"/>
  <c r="Q1319" i="5"/>
  <c r="Q1320" i="5"/>
  <c r="Q1321" i="5"/>
  <c r="Q1322" i="5"/>
  <c r="Q1323" i="5"/>
  <c r="Q1324" i="5"/>
  <c r="Q1325" i="5"/>
  <c r="Q1326" i="5"/>
  <c r="Q1327" i="5"/>
  <c r="Q1328" i="5"/>
  <c r="Q1329" i="5"/>
  <c r="Q1330" i="5"/>
  <c r="Q1331" i="5"/>
  <c r="Q1332" i="5"/>
  <c r="Q1333" i="5"/>
  <c r="Q1334" i="5"/>
  <c r="Q1335" i="5"/>
  <c r="Q1336" i="5"/>
  <c r="Q1337" i="5"/>
  <c r="Q1338" i="5"/>
  <c r="Q1339" i="5"/>
  <c r="Q1340" i="5"/>
  <c r="Q1341" i="5"/>
  <c r="Q1342" i="5"/>
  <c r="Q1343" i="5"/>
  <c r="Q1344" i="5"/>
  <c r="Q1345" i="5"/>
  <c r="Q1346" i="5"/>
  <c r="Q1347" i="5"/>
  <c r="Q1348" i="5"/>
  <c r="Q1349" i="5"/>
  <c r="Q1350" i="5"/>
  <c r="Q1351" i="5"/>
  <c r="Q1352" i="5"/>
  <c r="Q1353" i="5"/>
  <c r="Q1354" i="5"/>
  <c r="Q1355" i="5"/>
  <c r="Q1356" i="5"/>
  <c r="Q1357" i="5"/>
  <c r="Q1358" i="5"/>
  <c r="Q1359" i="5"/>
  <c r="Q1360" i="5"/>
  <c r="Q1361" i="5"/>
  <c r="Q1362" i="5"/>
  <c r="Q1363" i="5"/>
  <c r="Q1364" i="5"/>
  <c r="Q1365" i="5"/>
  <c r="Q1366" i="5"/>
  <c r="Q1367" i="5"/>
  <c r="Q1368" i="5"/>
  <c r="Q1369" i="5"/>
  <c r="Q1370" i="5"/>
  <c r="Q1371" i="5"/>
  <c r="Q1372" i="5"/>
  <c r="Q1373" i="5"/>
  <c r="Q1374" i="5"/>
  <c r="Q1375" i="5"/>
  <c r="Q1376" i="5"/>
  <c r="Q1377" i="5"/>
  <c r="Q1378" i="5"/>
  <c r="Q1379" i="5"/>
  <c r="Q1380" i="5"/>
  <c r="Q1381" i="5"/>
  <c r="Q1382" i="5"/>
  <c r="Q1383" i="5"/>
  <c r="Q1384" i="5"/>
  <c r="Q1385" i="5"/>
  <c r="Q1386" i="5"/>
  <c r="Q1387" i="5"/>
  <c r="Q1388" i="5"/>
  <c r="Q1389" i="5"/>
  <c r="Q1390" i="5"/>
  <c r="Q1391" i="5"/>
  <c r="Q1392" i="5"/>
  <c r="Q1393" i="5"/>
  <c r="Q1394" i="5"/>
  <c r="Q1395" i="5"/>
  <c r="Q1396" i="5"/>
  <c r="Q1397" i="5"/>
  <c r="Q1398" i="5"/>
  <c r="Q1399" i="5"/>
  <c r="Q1400" i="5"/>
  <c r="Q1401" i="5"/>
  <c r="Q1402" i="5"/>
  <c r="Q1403" i="5"/>
  <c r="Q1404" i="5"/>
  <c r="Q1405" i="5"/>
  <c r="Q1406" i="5"/>
  <c r="Q1407" i="5"/>
  <c r="Q1408" i="5"/>
  <c r="Q1409" i="5"/>
  <c r="Q1410" i="5"/>
  <c r="Q1411" i="5"/>
  <c r="Q1412" i="5"/>
  <c r="Q1413" i="5"/>
  <c r="Q1414" i="5"/>
  <c r="Q1415" i="5"/>
  <c r="Q1416" i="5"/>
  <c r="Q1417" i="5"/>
  <c r="Q1418" i="5"/>
  <c r="Q1419" i="5"/>
  <c r="Q1420" i="5"/>
  <c r="Q1421" i="5"/>
  <c r="Q1422" i="5"/>
  <c r="Q1423" i="5"/>
  <c r="Q1424" i="5"/>
  <c r="Q1425" i="5"/>
  <c r="Q1426" i="5"/>
  <c r="Q1427" i="5"/>
  <c r="Q1428" i="5"/>
  <c r="Q1429" i="5"/>
  <c r="Q1430" i="5"/>
  <c r="Q1431" i="5"/>
  <c r="Q1432" i="5"/>
  <c r="Q1433" i="5"/>
  <c r="Q1434" i="5"/>
  <c r="Q1435" i="5"/>
  <c r="Q1436" i="5"/>
  <c r="Q1437" i="5"/>
  <c r="Q1438" i="5"/>
  <c r="Q1439" i="5"/>
  <c r="Q1440" i="5"/>
  <c r="Q1441" i="5"/>
  <c r="Q1442" i="5"/>
  <c r="Q1443" i="5"/>
  <c r="Q1444" i="5"/>
  <c r="Q1445" i="5"/>
  <c r="Q1446" i="5"/>
  <c r="Q1447" i="5"/>
  <c r="Q1448" i="5"/>
  <c r="Q1449" i="5"/>
  <c r="Q1450" i="5"/>
  <c r="Q1451" i="5"/>
  <c r="Q1452" i="5"/>
  <c r="Q1453" i="5"/>
  <c r="Q1454" i="5"/>
  <c r="Q1455" i="5"/>
  <c r="Q1456" i="5"/>
  <c r="Q1457" i="5"/>
  <c r="Q1458" i="5"/>
  <c r="Q1459" i="5"/>
  <c r="Q1460" i="5"/>
  <c r="Q1461" i="5"/>
  <c r="Q1462" i="5"/>
  <c r="Q1463" i="5"/>
  <c r="Q1464" i="5"/>
  <c r="Q1465" i="5"/>
  <c r="Q1466" i="5"/>
  <c r="Q1467" i="5"/>
  <c r="Q1468" i="5"/>
  <c r="Q1469" i="5"/>
  <c r="Q1470" i="5"/>
  <c r="Q1471" i="5"/>
  <c r="Q1472" i="5"/>
  <c r="Q1473" i="5"/>
  <c r="Q1474" i="5"/>
  <c r="Q1475" i="5"/>
  <c r="Q1476" i="5"/>
  <c r="Q1477" i="5"/>
  <c r="Q1478" i="5"/>
  <c r="Q1479" i="5"/>
  <c r="Q1480" i="5"/>
  <c r="Q1481" i="5"/>
  <c r="Q1482" i="5"/>
  <c r="Q1483" i="5"/>
  <c r="Q1484" i="5"/>
  <c r="Q1485" i="5"/>
  <c r="Q1486" i="5"/>
  <c r="Q1487" i="5"/>
  <c r="Q1488" i="5"/>
  <c r="Q1489" i="5"/>
  <c r="Q1490" i="5"/>
  <c r="Q1491" i="5"/>
  <c r="Q1492" i="5"/>
  <c r="Q1493" i="5"/>
  <c r="Q1494" i="5"/>
  <c r="Q1495" i="5"/>
  <c r="Q1496" i="5"/>
  <c r="Q1497" i="5"/>
  <c r="Q1498" i="5"/>
  <c r="Q1499" i="5"/>
  <c r="Q1500" i="5"/>
  <c r="Q1501" i="5"/>
  <c r="Q1502" i="5"/>
  <c r="Q1503" i="5"/>
  <c r="Q1504" i="5"/>
  <c r="Q1505" i="5"/>
  <c r="Q1506" i="5"/>
  <c r="Q1507" i="5"/>
  <c r="Q1508" i="5"/>
  <c r="Q1509" i="5"/>
  <c r="Q1510" i="5"/>
  <c r="Q1511" i="5"/>
  <c r="Q1512" i="5"/>
  <c r="Q1513" i="5"/>
  <c r="Q1514" i="5"/>
  <c r="Q1515" i="5"/>
  <c r="Q1516" i="5"/>
  <c r="Q1517" i="5"/>
  <c r="Q1518" i="5"/>
  <c r="Q1519" i="5"/>
  <c r="Q1520" i="5"/>
  <c r="Q1521" i="5"/>
  <c r="Q1522" i="5"/>
  <c r="Q1523" i="5"/>
  <c r="Q1524" i="5"/>
  <c r="Q1525" i="5"/>
  <c r="Q1526" i="5"/>
  <c r="Q1527" i="5"/>
  <c r="Q1528" i="5"/>
  <c r="Q1529" i="5"/>
  <c r="Q1530" i="5"/>
  <c r="Q1531" i="5"/>
  <c r="Q1532" i="5"/>
  <c r="Q1533" i="5"/>
  <c r="Q1534" i="5"/>
  <c r="Q1535" i="5"/>
  <c r="Q1536" i="5"/>
  <c r="Q1537" i="5"/>
  <c r="Q1538" i="5"/>
  <c r="Q1539" i="5"/>
  <c r="Q1540" i="5"/>
  <c r="Q1541" i="5"/>
  <c r="Q1542" i="5"/>
  <c r="Q1543" i="5"/>
  <c r="Q1544" i="5"/>
  <c r="Q1545" i="5"/>
  <c r="Q1546" i="5"/>
  <c r="Q1547" i="5"/>
  <c r="Q1548" i="5"/>
  <c r="Q1549" i="5"/>
  <c r="Q1550" i="5"/>
  <c r="Q1551" i="5"/>
  <c r="Q1552" i="5"/>
  <c r="Q1553" i="5"/>
  <c r="Q1554" i="5"/>
  <c r="Q1555" i="5"/>
  <c r="Q1556" i="5"/>
  <c r="Q1557" i="5"/>
  <c r="Q1558" i="5"/>
  <c r="Q1559" i="5"/>
  <c r="Q1560" i="5"/>
  <c r="Q1561" i="5"/>
  <c r="Q1562" i="5"/>
  <c r="Q1563" i="5"/>
  <c r="Q1564" i="5"/>
  <c r="Q1565" i="5"/>
  <c r="Q1566" i="5"/>
  <c r="Q1567" i="5"/>
  <c r="Q1568" i="5"/>
  <c r="Q1569" i="5"/>
  <c r="Q1570" i="5"/>
  <c r="Q1571" i="5"/>
  <c r="Q1572" i="5"/>
  <c r="Q1573" i="5"/>
  <c r="Q1574" i="5"/>
  <c r="Q1575" i="5"/>
  <c r="Q1576" i="5"/>
  <c r="Q1577" i="5"/>
  <c r="Q1578" i="5"/>
  <c r="Q1579" i="5"/>
  <c r="Q1580" i="5"/>
  <c r="Q1581" i="5"/>
  <c r="Q1582" i="5"/>
  <c r="Q1583" i="5"/>
  <c r="Q1584" i="5"/>
  <c r="Q1585" i="5"/>
  <c r="Q1586" i="5"/>
  <c r="Q1587" i="5"/>
  <c r="Q1588" i="5"/>
  <c r="Q1589" i="5"/>
  <c r="Q1590" i="5"/>
  <c r="Q1591" i="5"/>
  <c r="Q1592" i="5"/>
  <c r="Q1593" i="5"/>
  <c r="Q1594" i="5"/>
  <c r="Q1595" i="5"/>
  <c r="Q1596" i="5"/>
  <c r="Q1597" i="5"/>
  <c r="Q1598" i="5"/>
  <c r="Q1599" i="5"/>
  <c r="Q1600" i="5"/>
  <c r="Q1601" i="5"/>
  <c r="Q1602" i="5"/>
  <c r="Q1603" i="5"/>
  <c r="Q1604" i="5"/>
  <c r="Q1605" i="5"/>
  <c r="Q1606" i="5"/>
  <c r="Q1607" i="5"/>
  <c r="Q1608" i="5"/>
  <c r="Q1609" i="5"/>
  <c r="Q1610" i="5"/>
  <c r="Q1611" i="5"/>
  <c r="Q1612" i="5"/>
  <c r="Q1613" i="5"/>
  <c r="Q1614" i="5"/>
  <c r="Q1615" i="5"/>
  <c r="Q1616" i="5"/>
  <c r="Q1617" i="5"/>
  <c r="Q1618" i="5"/>
  <c r="Q1619" i="5"/>
  <c r="Q1620" i="5"/>
  <c r="Q1621" i="5"/>
  <c r="Q1622" i="5"/>
  <c r="Q1623" i="5"/>
  <c r="Q1624" i="5"/>
  <c r="Q1625" i="5"/>
  <c r="Q1626" i="5"/>
  <c r="Q1627" i="5"/>
  <c r="Q1628" i="5"/>
  <c r="Q1629" i="5"/>
  <c r="Q1630" i="5"/>
  <c r="Q1631" i="5"/>
  <c r="Q1632" i="5"/>
  <c r="Q1633" i="5"/>
  <c r="Q1634" i="5"/>
  <c r="Q1635" i="5"/>
  <c r="Q1636" i="5"/>
  <c r="Q1637" i="5"/>
  <c r="Q1638" i="5"/>
  <c r="Q1639" i="5"/>
  <c r="Q1640" i="5"/>
  <c r="Q1641" i="5"/>
  <c r="Q1642" i="5"/>
  <c r="Q1643" i="5"/>
  <c r="Q1644" i="5"/>
  <c r="Q1645" i="5"/>
  <c r="Q1646" i="5"/>
  <c r="Q1647" i="5"/>
  <c r="Q1648" i="5"/>
  <c r="Q1649" i="5"/>
  <c r="Q1650" i="5"/>
  <c r="Q1651" i="5"/>
  <c r="Q1652" i="5"/>
  <c r="Q1653" i="5"/>
  <c r="Q1654" i="5"/>
  <c r="Q1655" i="5"/>
  <c r="Q1656" i="5"/>
  <c r="Q1657" i="5"/>
  <c r="Q1658" i="5"/>
  <c r="Q1659" i="5"/>
  <c r="Q1660" i="5"/>
  <c r="Q1661" i="5"/>
  <c r="Q1662" i="5"/>
  <c r="Q1663" i="5"/>
  <c r="Q1664" i="5"/>
  <c r="Q1665" i="5"/>
  <c r="Q1666" i="5"/>
  <c r="Q1667" i="5"/>
  <c r="Q1668" i="5"/>
  <c r="Q1669" i="5"/>
  <c r="Q1670" i="5"/>
  <c r="Q1671" i="5"/>
  <c r="Q1672" i="5"/>
  <c r="Q1673" i="5"/>
  <c r="Q1674" i="5"/>
  <c r="Q1675" i="5"/>
  <c r="Q1676" i="5"/>
  <c r="Q1677" i="5"/>
  <c r="Q1678" i="5"/>
  <c r="Q1679" i="5"/>
  <c r="Q1680" i="5"/>
  <c r="Q1681" i="5"/>
  <c r="Q1682" i="5"/>
  <c r="Q1683" i="5"/>
  <c r="Q1684" i="5"/>
  <c r="Q1685" i="5"/>
  <c r="Q1686" i="5"/>
  <c r="Q1687" i="5"/>
  <c r="Q1688" i="5"/>
  <c r="Q1689" i="5"/>
  <c r="Q1690" i="5"/>
  <c r="Q1691" i="5"/>
  <c r="Q1692" i="5"/>
  <c r="Q1693" i="5"/>
  <c r="Q1694" i="5"/>
  <c r="Q1695" i="5"/>
  <c r="Q1696" i="5"/>
  <c r="Q1697" i="5"/>
  <c r="Q1698" i="5"/>
  <c r="Q1699" i="5"/>
  <c r="Q1700" i="5"/>
  <c r="Q1701" i="5"/>
  <c r="Q1702" i="5"/>
  <c r="Q1703" i="5"/>
  <c r="Q1704" i="5"/>
  <c r="Q1705" i="5"/>
  <c r="Q1706" i="5"/>
  <c r="Q1707" i="5"/>
  <c r="Q1708" i="5"/>
  <c r="Q1709" i="5"/>
  <c r="Q1710" i="5"/>
  <c r="Q1711" i="5"/>
  <c r="Q1712" i="5"/>
  <c r="Q1713" i="5"/>
  <c r="Q1714" i="5"/>
  <c r="Q1715" i="5"/>
  <c r="Q1716" i="5"/>
  <c r="Q1717" i="5"/>
  <c r="Q1718" i="5"/>
  <c r="Q1719" i="5"/>
  <c r="Q1720" i="5"/>
  <c r="Q1721" i="5"/>
  <c r="Q1722" i="5"/>
  <c r="Q1723" i="5"/>
  <c r="Q1724" i="5"/>
  <c r="Q1725" i="5"/>
  <c r="Q1726" i="5"/>
  <c r="Q1727" i="5"/>
  <c r="Q1728" i="5"/>
  <c r="Q1729" i="5"/>
  <c r="Q1730" i="5"/>
  <c r="Q1731" i="5"/>
  <c r="Q1732" i="5"/>
  <c r="Q1733" i="5"/>
  <c r="Q1734" i="5"/>
  <c r="Q1735" i="5"/>
  <c r="Q1736" i="5"/>
  <c r="Q1737" i="5"/>
  <c r="Q1738" i="5"/>
  <c r="Q1739" i="5"/>
  <c r="Q1740" i="5"/>
  <c r="Q1741" i="5"/>
  <c r="Q1742" i="5"/>
  <c r="Q1743" i="5"/>
  <c r="Q1744" i="5"/>
  <c r="Q1745" i="5"/>
  <c r="Q1746" i="5"/>
  <c r="Q1747" i="5"/>
  <c r="Q1748" i="5"/>
  <c r="Q1749" i="5"/>
  <c r="Q1750" i="5"/>
  <c r="Q1751" i="5"/>
  <c r="Q1752" i="5"/>
  <c r="Q1753" i="5"/>
  <c r="Q1754" i="5"/>
  <c r="Q1755" i="5"/>
  <c r="Q1756" i="5"/>
  <c r="Q1757" i="5"/>
  <c r="Q1758" i="5"/>
  <c r="Q1759" i="5"/>
  <c r="Q1760" i="5"/>
  <c r="Q1761" i="5"/>
  <c r="Q1762" i="5"/>
  <c r="Q1763" i="5"/>
  <c r="Q1764" i="5"/>
  <c r="Q1765" i="5"/>
  <c r="Q1766" i="5"/>
  <c r="Q1767" i="5"/>
  <c r="Q1768" i="5"/>
  <c r="Q1769" i="5"/>
  <c r="Q1770" i="5"/>
  <c r="Q1771" i="5"/>
  <c r="Q1772" i="5"/>
  <c r="Q1773" i="5"/>
  <c r="Q1774" i="5"/>
  <c r="Q1775" i="5"/>
  <c r="Q1776" i="5"/>
  <c r="Q1777" i="5"/>
  <c r="Q1778" i="5"/>
  <c r="Q1779" i="5"/>
  <c r="Q1780" i="5"/>
  <c r="Q1781" i="5"/>
  <c r="Q1782" i="5"/>
  <c r="Q1783" i="5"/>
  <c r="Q1784" i="5"/>
  <c r="Q1785" i="5"/>
  <c r="Q1786" i="5"/>
  <c r="Q1787" i="5"/>
  <c r="Q1788" i="5"/>
  <c r="Q1789" i="5"/>
  <c r="Q1790" i="5"/>
  <c r="Q1791" i="5"/>
  <c r="Q1792" i="5"/>
  <c r="Q1793" i="5"/>
  <c r="Q1794" i="5"/>
  <c r="Q1795" i="5"/>
  <c r="Q1796" i="5"/>
  <c r="Q1797" i="5"/>
  <c r="Q1798" i="5"/>
  <c r="Q1799" i="5"/>
  <c r="Q1800" i="5"/>
  <c r="Q1801" i="5"/>
  <c r="Q1802" i="5"/>
  <c r="Q1803" i="5"/>
  <c r="Q1804" i="5"/>
  <c r="Q1805" i="5"/>
  <c r="Q1806" i="5"/>
  <c r="Q1807" i="5"/>
  <c r="Q1808" i="5"/>
  <c r="Q1809" i="5"/>
  <c r="Q1810" i="5"/>
  <c r="Q1811" i="5"/>
  <c r="Q1812" i="5"/>
  <c r="Q1813" i="5"/>
  <c r="Q1814" i="5"/>
  <c r="Q1815" i="5"/>
  <c r="Q1816" i="5"/>
  <c r="Q1817" i="5"/>
  <c r="Q1818" i="5"/>
  <c r="Q1819" i="5"/>
  <c r="Q1820" i="5"/>
  <c r="Q1821" i="5"/>
  <c r="Q1822" i="5"/>
  <c r="Q1823" i="5"/>
  <c r="Q1824" i="5"/>
  <c r="Q1825" i="5"/>
  <c r="Q1826" i="5"/>
  <c r="Q1827" i="5"/>
  <c r="Q1828" i="5"/>
  <c r="Q1829" i="5"/>
  <c r="Q1830" i="5"/>
  <c r="Q1831" i="5"/>
  <c r="Q1832" i="5"/>
  <c r="Q1833" i="5"/>
  <c r="Q1834" i="5"/>
  <c r="Q1835" i="5"/>
  <c r="Q1836" i="5"/>
  <c r="Q1837" i="5"/>
  <c r="Q1838" i="5"/>
  <c r="Q1839" i="5"/>
  <c r="Q1840" i="5"/>
  <c r="Q1841" i="5"/>
  <c r="Q1842" i="5"/>
  <c r="Q1843" i="5"/>
  <c r="Q1844" i="5"/>
  <c r="Q1845" i="5"/>
  <c r="Q1846" i="5"/>
  <c r="Q1847" i="5"/>
  <c r="Q1848" i="5"/>
  <c r="Q1849" i="5"/>
  <c r="Q1850" i="5"/>
  <c r="Q1851" i="5"/>
  <c r="Q1852" i="5"/>
  <c r="Q1853" i="5"/>
  <c r="Q1854" i="5"/>
  <c r="Q1855" i="5"/>
  <c r="Q1856" i="5"/>
  <c r="Q1857" i="5"/>
  <c r="Q1858" i="5"/>
  <c r="Q1859" i="5"/>
  <c r="Q1860" i="5"/>
  <c r="Q1861" i="5"/>
  <c r="Q1862" i="5"/>
  <c r="Q1863" i="5"/>
  <c r="Q1864" i="5"/>
  <c r="Q1865" i="5"/>
  <c r="Q1866" i="5"/>
  <c r="Q1867" i="5"/>
  <c r="Q1868" i="5"/>
  <c r="Q1869" i="5"/>
  <c r="Q1870" i="5"/>
  <c r="Q1871" i="5"/>
  <c r="Q1872" i="5"/>
  <c r="Q1873" i="5"/>
  <c r="Q1874" i="5"/>
  <c r="Q1875" i="5"/>
  <c r="Q1876" i="5"/>
  <c r="Q1877" i="5"/>
  <c r="Q1878" i="5"/>
  <c r="Q1879" i="5"/>
  <c r="Q1880" i="5"/>
  <c r="Q1881" i="5"/>
  <c r="Q1882" i="5"/>
  <c r="Q1883" i="5"/>
  <c r="Q1884" i="5"/>
  <c r="Q1885" i="5"/>
  <c r="Q1886" i="5"/>
  <c r="Q1887" i="5"/>
  <c r="Q1888" i="5"/>
  <c r="Q1889" i="5"/>
  <c r="Q1890" i="5"/>
  <c r="Q1891" i="5"/>
  <c r="Q1892" i="5"/>
  <c r="Q1893" i="5"/>
  <c r="Q1894" i="5"/>
  <c r="Q1895" i="5"/>
  <c r="Q1896" i="5"/>
  <c r="Q1897" i="5"/>
  <c r="Q1898" i="5"/>
  <c r="Q1899" i="5"/>
  <c r="Q1900" i="5"/>
  <c r="Q1901" i="5"/>
  <c r="Q1902" i="5"/>
  <c r="Q1903" i="5"/>
  <c r="Q1904" i="5"/>
  <c r="Q1905" i="5"/>
  <c r="Q1906" i="5"/>
  <c r="Q1907" i="5"/>
  <c r="Q1908" i="5"/>
  <c r="Q1909" i="5"/>
  <c r="Q1910" i="5"/>
  <c r="Q1911" i="5"/>
  <c r="Q1912" i="5"/>
  <c r="Q1913" i="5"/>
  <c r="Q1914" i="5"/>
  <c r="Q1915" i="5"/>
  <c r="Q1916" i="5"/>
  <c r="Q1917" i="5"/>
  <c r="Q1918" i="5"/>
  <c r="Q1919" i="5"/>
  <c r="Q1920" i="5"/>
  <c r="Q1921" i="5"/>
  <c r="Q1922" i="5"/>
  <c r="Q1923" i="5"/>
  <c r="Q1924" i="5"/>
  <c r="Q1925" i="5"/>
  <c r="Q1926" i="5"/>
  <c r="Q1927" i="5"/>
  <c r="Q1928" i="5"/>
  <c r="Q1929" i="5"/>
  <c r="Q1930" i="5"/>
  <c r="Q1931" i="5"/>
  <c r="Q1932" i="5"/>
  <c r="Q1933" i="5"/>
  <c r="Q1934" i="5"/>
  <c r="Q1935" i="5"/>
  <c r="Q1936" i="5"/>
  <c r="Q1937" i="5"/>
  <c r="Q1938" i="5"/>
  <c r="Q1939" i="5"/>
  <c r="Q1940" i="5"/>
  <c r="Q1941" i="5"/>
  <c r="Q1942" i="5"/>
  <c r="Q1943" i="5"/>
  <c r="Q1944" i="5"/>
  <c r="Q1945" i="5"/>
  <c r="Q1946" i="5"/>
  <c r="Q1947" i="5"/>
  <c r="Q1948" i="5"/>
  <c r="Q1949" i="5"/>
  <c r="Q1950" i="5"/>
  <c r="Q1951" i="5"/>
  <c r="Q1952" i="5"/>
  <c r="Q1953" i="5"/>
  <c r="Q1954" i="5"/>
  <c r="Q1955" i="5"/>
  <c r="Q1956" i="5"/>
  <c r="Q1957" i="5"/>
  <c r="Q1958" i="5"/>
  <c r="Q1959" i="5"/>
  <c r="Q1960" i="5"/>
  <c r="Q1961" i="5"/>
  <c r="Q1962" i="5"/>
  <c r="Q1963" i="5"/>
  <c r="Q1964" i="5"/>
  <c r="Q1965" i="5"/>
  <c r="Q1966" i="5"/>
  <c r="Q1967" i="5"/>
  <c r="Q1968" i="5"/>
  <c r="Q1969" i="5"/>
  <c r="Q1970" i="5"/>
  <c r="Q1971" i="5"/>
  <c r="Q1972" i="5"/>
  <c r="Q1973" i="5"/>
  <c r="Q1974" i="5"/>
  <c r="Q1975" i="5"/>
  <c r="Q1976" i="5"/>
  <c r="Q1977" i="5"/>
  <c r="Q1978" i="5"/>
  <c r="Q1979" i="5"/>
  <c r="Q1980" i="5"/>
  <c r="Q1981" i="5"/>
  <c r="Q1982" i="5"/>
  <c r="Q1983" i="5"/>
  <c r="Q1984" i="5"/>
  <c r="Q1985" i="5"/>
  <c r="Q1986" i="5"/>
  <c r="Q1987" i="5"/>
  <c r="Q1988" i="5"/>
  <c r="Q1989" i="5"/>
  <c r="Q1990" i="5"/>
  <c r="Q1991" i="5"/>
  <c r="Q1992" i="5"/>
  <c r="Q1993" i="5"/>
  <c r="Q1994" i="5"/>
  <c r="Q1995" i="5"/>
  <c r="Q1996" i="5"/>
  <c r="Q1997" i="5"/>
  <c r="Q1998" i="5"/>
  <c r="Q1999" i="5"/>
  <c r="Q2000" i="5"/>
  <c r="Q2001" i="5"/>
  <c r="Q2002" i="5"/>
  <c r="Q2003" i="5"/>
  <c r="Q2004" i="5"/>
  <c r="C2" i="6"/>
  <c r="O19" i="8" l="1"/>
  <c r="N19" i="8"/>
  <c r="M19" i="8"/>
  <c r="L19" i="8"/>
  <c r="K19" i="8"/>
  <c r="J19" i="8"/>
  <c r="I19" i="8"/>
  <c r="H19" i="8"/>
  <c r="G19" i="8"/>
  <c r="F19" i="8"/>
  <c r="E19" i="8"/>
  <c r="D19" i="8"/>
  <c r="C19" i="8"/>
  <c r="B19" i="8"/>
  <c r="D3" i="12"/>
  <c r="A19" i="8" l="1"/>
  <c r="D4" i="4"/>
  <c r="E4" i="4"/>
  <c r="F4" i="4"/>
  <c r="G4" i="4"/>
  <c r="H4" i="4"/>
  <c r="I4" i="4"/>
  <c r="J4" i="4"/>
  <c r="K4" i="4"/>
  <c r="L4" i="4"/>
  <c r="M4" i="4"/>
  <c r="N4" i="4"/>
  <c r="O4" i="4"/>
  <c r="P4" i="4"/>
  <c r="C4" i="4"/>
  <c r="I11" i="8" l="1"/>
  <c r="J11" i="8"/>
  <c r="K11" i="8"/>
  <c r="L11" i="8"/>
  <c r="O15" i="8"/>
  <c r="N15" i="8"/>
  <c r="M15" i="8"/>
  <c r="L15" i="8"/>
  <c r="H15" i="8"/>
  <c r="I15" i="8"/>
  <c r="J15" i="8"/>
  <c r="K15" i="8"/>
  <c r="D5" i="6" l="1"/>
  <c r="F5" i="6" s="1"/>
  <c r="D6" i="6"/>
  <c r="F6" i="6" s="1"/>
  <c r="D7" i="6"/>
  <c r="F7" i="6" s="1"/>
  <c r="D8" i="6"/>
  <c r="F8" i="6" s="1"/>
  <c r="D9" i="6"/>
  <c r="F9" i="6" s="1"/>
  <c r="D10" i="6"/>
  <c r="F10" i="6" s="1"/>
  <c r="D11" i="6"/>
  <c r="F11" i="6" s="1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0" i="6"/>
  <c r="E20" i="6" s="1"/>
  <c r="D21" i="6"/>
  <c r="F21" i="6" s="1"/>
  <c r="D22" i="6"/>
  <c r="F22" i="6" s="1"/>
  <c r="D23" i="6"/>
  <c r="F23" i="6" s="1"/>
  <c r="D24" i="6"/>
  <c r="E24" i="6" s="1"/>
  <c r="D25" i="6"/>
  <c r="F25" i="6" s="1"/>
  <c r="D26" i="6"/>
  <c r="F26" i="6" s="1"/>
  <c r="D27" i="6"/>
  <c r="F27" i="6" s="1"/>
  <c r="D28" i="6"/>
  <c r="E28" i="6" s="1"/>
  <c r="D29" i="6"/>
  <c r="F29" i="6" s="1"/>
  <c r="D30" i="6"/>
  <c r="F30" i="6" s="1"/>
  <c r="D31" i="6"/>
  <c r="F31" i="6" s="1"/>
  <c r="D32" i="6"/>
  <c r="E32" i="6" s="1"/>
  <c r="D33" i="6"/>
  <c r="F33" i="6" s="1"/>
  <c r="D4" i="6"/>
  <c r="F4" i="6" s="1"/>
  <c r="D28" i="9"/>
  <c r="G28" i="9" s="1"/>
  <c r="D29" i="9"/>
  <c r="F29" i="9" s="1"/>
  <c r="D30" i="9"/>
  <c r="J30" i="9" s="1"/>
  <c r="D31" i="9"/>
  <c r="H31" i="9" s="1"/>
  <c r="D32" i="9"/>
  <c r="G32" i="9" s="1"/>
  <c r="D33" i="9"/>
  <c r="F33" i="9" s="1"/>
  <c r="D5" i="9"/>
  <c r="J5" i="9" s="1"/>
  <c r="D6" i="9"/>
  <c r="J6" i="9" s="1"/>
  <c r="D7" i="9"/>
  <c r="J7" i="9" s="1"/>
  <c r="D8" i="9"/>
  <c r="J8" i="9" s="1"/>
  <c r="D9" i="9"/>
  <c r="J9" i="9" s="1"/>
  <c r="D10" i="9"/>
  <c r="J10" i="9" s="1"/>
  <c r="D11" i="9"/>
  <c r="D12" i="9"/>
  <c r="D13" i="9"/>
  <c r="D14" i="9"/>
  <c r="D15" i="9"/>
  <c r="D16" i="9"/>
  <c r="D17" i="9"/>
  <c r="J17" i="9" s="1"/>
  <c r="J18" i="9"/>
  <c r="H19" i="9"/>
  <c r="G20" i="9"/>
  <c r="D21" i="9"/>
  <c r="F21" i="9" s="1"/>
  <c r="D22" i="9"/>
  <c r="J22" i="9" s="1"/>
  <c r="D23" i="9"/>
  <c r="H23" i="9" s="1"/>
  <c r="D24" i="9"/>
  <c r="G24" i="9" s="1"/>
  <c r="D25" i="9"/>
  <c r="F25" i="9" s="1"/>
  <c r="D26" i="9"/>
  <c r="J26" i="9" s="1"/>
  <c r="D27" i="9"/>
  <c r="H27" i="9" s="1"/>
  <c r="D4" i="9"/>
  <c r="J4" i="9" s="1"/>
  <c r="J15" i="9" l="1"/>
  <c r="E15" i="9"/>
  <c r="J11" i="9"/>
  <c r="E11" i="9"/>
  <c r="J14" i="9"/>
  <c r="E14" i="9"/>
  <c r="J16" i="9"/>
  <c r="E16" i="9"/>
  <c r="J12" i="9"/>
  <c r="E12" i="9"/>
  <c r="J13" i="9"/>
  <c r="E13" i="9"/>
  <c r="E29" i="9"/>
  <c r="H33" i="9"/>
  <c r="I29" i="9"/>
  <c r="F20" i="6"/>
  <c r="J29" i="9"/>
  <c r="I32" i="9"/>
  <c r="E32" i="9"/>
  <c r="F28" i="9"/>
  <c r="G27" i="9"/>
  <c r="I25" i="9"/>
  <c r="I24" i="9"/>
  <c r="E24" i="9"/>
  <c r="F23" i="9"/>
  <c r="F20" i="9"/>
  <c r="G19" i="9"/>
  <c r="J33" i="9"/>
  <c r="J24" i="9"/>
  <c r="E31" i="6"/>
  <c r="E23" i="6"/>
  <c r="F32" i="6"/>
  <c r="F24" i="6"/>
  <c r="I33" i="9"/>
  <c r="E33" i="9"/>
  <c r="F32" i="9"/>
  <c r="H30" i="9"/>
  <c r="H29" i="9"/>
  <c r="I28" i="9"/>
  <c r="E28" i="9"/>
  <c r="F27" i="9"/>
  <c r="E25" i="9"/>
  <c r="F24" i="9"/>
  <c r="G23" i="9"/>
  <c r="I20" i="9"/>
  <c r="E20" i="9"/>
  <c r="F19" i="9"/>
  <c r="J32" i="9"/>
  <c r="J28" i="9"/>
  <c r="J20" i="9"/>
  <c r="E27" i="6"/>
  <c r="E19" i="6"/>
  <c r="F28" i="6"/>
  <c r="G31" i="9"/>
  <c r="H22" i="9"/>
  <c r="I21" i="9"/>
  <c r="E21" i="9"/>
  <c r="J25" i="9"/>
  <c r="J21" i="9"/>
  <c r="E30" i="6"/>
  <c r="E26" i="6"/>
  <c r="E22" i="6"/>
  <c r="E18" i="6"/>
  <c r="F31" i="9"/>
  <c r="G30" i="9"/>
  <c r="G26" i="9"/>
  <c r="H25" i="9"/>
  <c r="G33" i="9"/>
  <c r="H32" i="9"/>
  <c r="I31" i="9"/>
  <c r="E31" i="9"/>
  <c r="F30" i="9"/>
  <c r="G29" i="9"/>
  <c r="H28" i="9"/>
  <c r="I27" i="9"/>
  <c r="E27" i="9"/>
  <c r="F26" i="9"/>
  <c r="G25" i="9"/>
  <c r="H24" i="9"/>
  <c r="I23" i="9"/>
  <c r="E23" i="9"/>
  <c r="F22" i="9"/>
  <c r="G21" i="9"/>
  <c r="H20" i="9"/>
  <c r="I19" i="9"/>
  <c r="E19" i="9"/>
  <c r="J31" i="9"/>
  <c r="J27" i="9"/>
  <c r="J23" i="9"/>
  <c r="J19" i="9"/>
  <c r="E33" i="6"/>
  <c r="E29" i="6"/>
  <c r="E25" i="6"/>
  <c r="E21" i="6"/>
  <c r="H26" i="9"/>
  <c r="G22" i="9"/>
  <c r="H21" i="9"/>
  <c r="I30" i="9"/>
  <c r="E30" i="9"/>
  <c r="I26" i="9"/>
  <c r="E26" i="9"/>
  <c r="I22" i="9"/>
  <c r="E22" i="9"/>
  <c r="I18" i="9"/>
  <c r="E18" i="9"/>
  <c r="G18" i="9"/>
  <c r="H18" i="9"/>
  <c r="F18" i="9"/>
  <c r="U9" i="7"/>
  <c r="U10" i="7"/>
  <c r="U11" i="7"/>
  <c r="U12" i="7"/>
  <c r="U13" i="7"/>
  <c r="U14" i="7"/>
  <c r="U15" i="7"/>
  <c r="U16" i="7"/>
  <c r="U17" i="7"/>
  <c r="U18" i="7"/>
  <c r="U19" i="7"/>
  <c r="U20" i="7"/>
  <c r="U21" i="7"/>
  <c r="U22" i="7"/>
  <c r="U23" i="7"/>
  <c r="U24" i="7"/>
  <c r="U25" i="7"/>
  <c r="U26" i="7"/>
  <c r="U27" i="7"/>
  <c r="U28" i="7"/>
  <c r="U29" i="7"/>
  <c r="U30" i="7"/>
  <c r="U31" i="7"/>
  <c r="U32" i="7"/>
  <c r="U33" i="7"/>
  <c r="U34" i="7"/>
  <c r="U35" i="7"/>
  <c r="U36" i="7"/>
  <c r="U37" i="7"/>
  <c r="U38" i="7"/>
  <c r="U39" i="7"/>
  <c r="U40" i="7"/>
  <c r="U41" i="7"/>
  <c r="U42" i="7"/>
  <c r="U43" i="7"/>
  <c r="U44" i="7"/>
  <c r="U45" i="7"/>
  <c r="U46" i="7"/>
  <c r="U47" i="7"/>
  <c r="U48" i="7"/>
  <c r="U49" i="7"/>
  <c r="U50" i="7"/>
  <c r="U51" i="7"/>
  <c r="U52" i="7"/>
  <c r="U53" i="7"/>
  <c r="U54" i="7"/>
  <c r="U55" i="7"/>
  <c r="U56" i="7"/>
  <c r="U57" i="7"/>
  <c r="U58" i="7"/>
  <c r="U59" i="7"/>
  <c r="U60" i="7"/>
  <c r="U61" i="7"/>
  <c r="U62" i="7"/>
  <c r="U63" i="7"/>
  <c r="U64" i="7"/>
  <c r="U65" i="7"/>
  <c r="U66" i="7"/>
  <c r="U67" i="7"/>
  <c r="U68" i="7"/>
  <c r="U69" i="7"/>
  <c r="U70" i="7"/>
  <c r="U71" i="7"/>
  <c r="U72" i="7"/>
  <c r="U73" i="7"/>
  <c r="U74" i="7"/>
  <c r="U75" i="7"/>
  <c r="U76" i="7"/>
  <c r="U77" i="7"/>
  <c r="U78" i="7"/>
  <c r="U79" i="7"/>
  <c r="U80" i="7"/>
  <c r="U81" i="7"/>
  <c r="U82" i="7"/>
  <c r="U83" i="7"/>
  <c r="U84" i="7"/>
  <c r="U85" i="7"/>
  <c r="U86" i="7"/>
  <c r="U87" i="7"/>
  <c r="U88" i="7"/>
  <c r="U89" i="7"/>
  <c r="U90" i="7"/>
  <c r="U91" i="7"/>
  <c r="U92" i="7"/>
  <c r="U93" i="7"/>
  <c r="U94" i="7"/>
  <c r="U95" i="7"/>
  <c r="U96" i="7"/>
  <c r="U97" i="7"/>
  <c r="U98" i="7"/>
  <c r="U99" i="7"/>
  <c r="U100" i="7"/>
  <c r="U101" i="7"/>
  <c r="U102" i="7"/>
  <c r="U103" i="7"/>
  <c r="U104" i="7"/>
  <c r="U105" i="7"/>
  <c r="U106" i="7"/>
  <c r="U107" i="7"/>
  <c r="U108" i="7"/>
  <c r="U109" i="7"/>
  <c r="U110" i="7"/>
  <c r="U111" i="7"/>
  <c r="U112" i="7"/>
  <c r="U113" i="7"/>
  <c r="U114" i="7"/>
  <c r="U115" i="7"/>
  <c r="U116" i="7"/>
  <c r="U117" i="7"/>
  <c r="U118" i="7"/>
  <c r="U119" i="7"/>
  <c r="U120" i="7"/>
  <c r="U121" i="7"/>
  <c r="U122" i="7"/>
  <c r="U123" i="7"/>
  <c r="U124" i="7"/>
  <c r="U125" i="7"/>
  <c r="U126" i="7"/>
  <c r="U127" i="7"/>
  <c r="U128" i="7"/>
  <c r="U129" i="7"/>
  <c r="U130" i="7"/>
  <c r="U131" i="7"/>
  <c r="U132" i="7"/>
  <c r="U133" i="7"/>
  <c r="U134" i="7"/>
  <c r="U135" i="7"/>
  <c r="U136" i="7"/>
  <c r="U137" i="7"/>
  <c r="U138" i="7"/>
  <c r="U139" i="7"/>
  <c r="U140" i="7"/>
  <c r="U141" i="7"/>
  <c r="U142" i="7"/>
  <c r="U143" i="7"/>
  <c r="U144" i="7"/>
  <c r="U145" i="7"/>
  <c r="U146" i="7"/>
  <c r="U147" i="7"/>
  <c r="U148" i="7"/>
  <c r="U149" i="7"/>
  <c r="U150" i="7"/>
  <c r="U151" i="7"/>
  <c r="U152" i="7"/>
  <c r="U153" i="7"/>
  <c r="U154" i="7"/>
  <c r="U155" i="7"/>
  <c r="U156" i="7"/>
  <c r="U157" i="7"/>
  <c r="U158" i="7"/>
  <c r="U159" i="7"/>
  <c r="U160" i="7"/>
  <c r="U161" i="7"/>
  <c r="U162" i="7"/>
  <c r="U163" i="7"/>
  <c r="U164" i="7"/>
  <c r="U165" i="7"/>
  <c r="U166" i="7"/>
  <c r="U167" i="7"/>
  <c r="U168" i="7"/>
  <c r="U169" i="7"/>
  <c r="U170" i="7"/>
  <c r="U171" i="7"/>
  <c r="U172" i="7"/>
  <c r="U173" i="7"/>
  <c r="U174" i="7"/>
  <c r="U175" i="7"/>
  <c r="U176" i="7"/>
  <c r="U177" i="7"/>
  <c r="U178" i="7"/>
  <c r="U179" i="7"/>
  <c r="U180" i="7"/>
  <c r="U181" i="7"/>
  <c r="U182" i="7"/>
  <c r="U183" i="7"/>
  <c r="U184" i="7"/>
  <c r="U185" i="7"/>
  <c r="U186" i="7"/>
  <c r="U187" i="7"/>
  <c r="U188" i="7"/>
  <c r="U189" i="7"/>
  <c r="U190" i="7"/>
  <c r="U191" i="7"/>
  <c r="U192" i="7"/>
  <c r="U193" i="7"/>
  <c r="U194" i="7"/>
  <c r="U195" i="7"/>
  <c r="U196" i="7"/>
  <c r="U197" i="7"/>
  <c r="U198" i="7"/>
  <c r="U199" i="7"/>
  <c r="U200" i="7"/>
  <c r="U201" i="7"/>
  <c r="U202" i="7"/>
  <c r="U203" i="7"/>
  <c r="U204" i="7"/>
  <c r="U205" i="7"/>
  <c r="U206" i="7"/>
  <c r="U207" i="7"/>
  <c r="U208" i="7"/>
  <c r="U209" i="7"/>
  <c r="U210" i="7"/>
  <c r="U211" i="7"/>
  <c r="U212" i="7"/>
  <c r="U213" i="7"/>
  <c r="U214" i="7"/>
  <c r="U215" i="7"/>
  <c r="U216" i="7"/>
  <c r="U217" i="7"/>
  <c r="U218" i="7"/>
  <c r="U219" i="7"/>
  <c r="U220" i="7"/>
  <c r="U221" i="7"/>
  <c r="U222" i="7"/>
  <c r="U223" i="7"/>
  <c r="U224" i="7"/>
  <c r="U225" i="7"/>
  <c r="U226" i="7"/>
  <c r="U227" i="7"/>
  <c r="U228" i="7"/>
  <c r="U229" i="7"/>
  <c r="U230" i="7"/>
  <c r="U231" i="7"/>
  <c r="U232" i="7"/>
  <c r="U233" i="7"/>
  <c r="U234" i="7"/>
  <c r="U235" i="7"/>
  <c r="U236" i="7"/>
  <c r="U237" i="7"/>
  <c r="U238" i="7"/>
  <c r="U239" i="7"/>
  <c r="U240" i="7"/>
  <c r="U241" i="7"/>
  <c r="U242" i="7"/>
  <c r="U243" i="7"/>
  <c r="U244" i="7"/>
  <c r="U245" i="7"/>
  <c r="U246" i="7"/>
  <c r="U247" i="7"/>
  <c r="U248" i="7"/>
  <c r="U249" i="7"/>
  <c r="U250" i="7"/>
  <c r="U251" i="7"/>
  <c r="U252" i="7"/>
  <c r="U253" i="7"/>
  <c r="U254" i="7"/>
  <c r="U255" i="7"/>
  <c r="U256" i="7"/>
  <c r="U257" i="7"/>
  <c r="U258" i="7"/>
  <c r="U259" i="7"/>
  <c r="U260" i="7"/>
  <c r="U261" i="7"/>
  <c r="U262" i="7"/>
  <c r="U263" i="7"/>
  <c r="U264" i="7"/>
  <c r="U265" i="7"/>
  <c r="U266" i="7"/>
  <c r="U267" i="7"/>
  <c r="U268" i="7"/>
  <c r="U269" i="7"/>
  <c r="U270" i="7"/>
  <c r="U271" i="7"/>
  <c r="U272" i="7"/>
  <c r="U273" i="7"/>
  <c r="U274" i="7"/>
  <c r="U275" i="7"/>
  <c r="U276" i="7"/>
  <c r="U277" i="7"/>
  <c r="U278" i="7"/>
  <c r="U279" i="7"/>
  <c r="U280" i="7"/>
  <c r="U281" i="7"/>
  <c r="U282" i="7"/>
  <c r="U283" i="7"/>
  <c r="U284" i="7"/>
  <c r="U285" i="7"/>
  <c r="U286" i="7"/>
  <c r="U287" i="7"/>
  <c r="U288" i="7"/>
  <c r="U289" i="7"/>
  <c r="U290" i="7"/>
  <c r="U291" i="7"/>
  <c r="U292" i="7"/>
  <c r="U293" i="7"/>
  <c r="U294" i="7"/>
  <c r="U295" i="7"/>
  <c r="U296" i="7"/>
  <c r="U297" i="7"/>
  <c r="U298" i="7"/>
  <c r="U299" i="7"/>
  <c r="U300" i="7"/>
  <c r="U301" i="7"/>
  <c r="U302" i="7"/>
  <c r="U303" i="7"/>
  <c r="U304" i="7"/>
  <c r="U305" i="7"/>
  <c r="U306" i="7"/>
  <c r="U307" i="7"/>
  <c r="U308" i="7"/>
  <c r="U309" i="7"/>
  <c r="U310" i="7"/>
  <c r="U311" i="7"/>
  <c r="U312" i="7"/>
  <c r="U313" i="7"/>
  <c r="U314" i="7"/>
  <c r="U315" i="7"/>
  <c r="U316" i="7"/>
  <c r="U317" i="7"/>
  <c r="U318" i="7"/>
  <c r="U319" i="7"/>
  <c r="U320" i="7"/>
  <c r="U321" i="7"/>
  <c r="U322" i="7"/>
  <c r="U323" i="7"/>
  <c r="U324" i="7"/>
  <c r="U325" i="7"/>
  <c r="U326" i="7"/>
  <c r="U327" i="7"/>
  <c r="U328" i="7"/>
  <c r="U329" i="7"/>
  <c r="U330" i="7"/>
  <c r="U331" i="7"/>
  <c r="U332" i="7"/>
  <c r="U333" i="7"/>
  <c r="U334" i="7"/>
  <c r="U335" i="7"/>
  <c r="U336" i="7"/>
  <c r="U337" i="7"/>
  <c r="U338" i="7"/>
  <c r="U339" i="7"/>
  <c r="U340" i="7"/>
  <c r="U341" i="7"/>
  <c r="U342" i="7"/>
  <c r="U343" i="7"/>
  <c r="U344" i="7"/>
  <c r="U345" i="7"/>
  <c r="U346" i="7"/>
  <c r="U347" i="7"/>
  <c r="U348" i="7"/>
  <c r="U349" i="7"/>
  <c r="U350" i="7"/>
  <c r="U351" i="7"/>
  <c r="U352" i="7"/>
  <c r="U353" i="7"/>
  <c r="U354" i="7"/>
  <c r="U355" i="7"/>
  <c r="U356" i="7"/>
  <c r="U357" i="7"/>
  <c r="U358" i="7"/>
  <c r="U359" i="7"/>
  <c r="U360" i="7"/>
  <c r="U361" i="7"/>
  <c r="U362" i="7"/>
  <c r="U363" i="7"/>
  <c r="U364" i="7"/>
  <c r="U365" i="7"/>
  <c r="U366" i="7"/>
  <c r="U367" i="7"/>
  <c r="U368" i="7"/>
  <c r="U369" i="7"/>
  <c r="U370" i="7"/>
  <c r="U371" i="7"/>
  <c r="U372" i="7"/>
  <c r="U373" i="7"/>
  <c r="U374" i="7"/>
  <c r="U375" i="7"/>
  <c r="U376" i="7"/>
  <c r="U377" i="7"/>
  <c r="U378" i="7"/>
  <c r="U379" i="7"/>
  <c r="U380" i="7"/>
  <c r="U381" i="7"/>
  <c r="U382" i="7"/>
  <c r="U383" i="7"/>
  <c r="U384" i="7"/>
  <c r="U385" i="7"/>
  <c r="U386" i="7"/>
  <c r="U387" i="7"/>
  <c r="U388" i="7"/>
  <c r="U389" i="7"/>
  <c r="U390" i="7"/>
  <c r="U391" i="7"/>
  <c r="U392" i="7"/>
  <c r="U393" i="7"/>
  <c r="U394" i="7"/>
  <c r="U395" i="7"/>
  <c r="U396" i="7"/>
  <c r="U397" i="7"/>
  <c r="U398" i="7"/>
  <c r="U399" i="7"/>
  <c r="U400" i="7"/>
  <c r="U401" i="7"/>
  <c r="U402" i="7"/>
  <c r="U403" i="7"/>
  <c r="U404" i="7"/>
  <c r="U405" i="7"/>
  <c r="U406" i="7"/>
  <c r="U407" i="7"/>
  <c r="U408" i="7"/>
  <c r="U409" i="7"/>
  <c r="U410" i="7"/>
  <c r="U411" i="7"/>
  <c r="U412" i="7"/>
  <c r="U413" i="7"/>
  <c r="U414" i="7"/>
  <c r="U415" i="7"/>
  <c r="U416" i="7"/>
  <c r="U417" i="7"/>
  <c r="U418" i="7"/>
  <c r="U419" i="7"/>
  <c r="U420" i="7"/>
  <c r="U421" i="7"/>
  <c r="U422" i="7"/>
  <c r="U423" i="7"/>
  <c r="U424" i="7"/>
  <c r="U425" i="7"/>
  <c r="U426" i="7"/>
  <c r="U427" i="7"/>
  <c r="U428" i="7"/>
  <c r="U429" i="7"/>
  <c r="U430" i="7"/>
  <c r="U431" i="7"/>
  <c r="U432" i="7"/>
  <c r="U433" i="7"/>
  <c r="U434" i="7"/>
  <c r="U435" i="7"/>
  <c r="U436" i="7"/>
  <c r="U437" i="7"/>
  <c r="U438" i="7"/>
  <c r="U439" i="7"/>
  <c r="U440" i="7"/>
  <c r="U441" i="7"/>
  <c r="U442" i="7"/>
  <c r="U443" i="7"/>
  <c r="U444" i="7"/>
  <c r="U445" i="7"/>
  <c r="U446" i="7"/>
  <c r="U447" i="7"/>
  <c r="U448" i="7"/>
  <c r="U449" i="7"/>
  <c r="U450" i="7"/>
  <c r="U451" i="7"/>
  <c r="U452" i="7"/>
  <c r="U453" i="7"/>
  <c r="U454" i="7"/>
  <c r="U455" i="7"/>
  <c r="U456" i="7"/>
  <c r="U457" i="7"/>
  <c r="U458" i="7"/>
  <c r="U459" i="7"/>
  <c r="U460" i="7"/>
  <c r="U461" i="7"/>
  <c r="U462" i="7"/>
  <c r="U463" i="7"/>
  <c r="U464" i="7"/>
  <c r="U465" i="7"/>
  <c r="U466" i="7"/>
  <c r="U467" i="7"/>
  <c r="U468" i="7"/>
  <c r="U469" i="7"/>
  <c r="U470" i="7"/>
  <c r="U471" i="7"/>
  <c r="U472" i="7"/>
  <c r="U473" i="7"/>
  <c r="U474" i="7"/>
  <c r="U475" i="7"/>
  <c r="U476" i="7"/>
  <c r="U477" i="7"/>
  <c r="U478" i="7"/>
  <c r="U479" i="7"/>
  <c r="U480" i="7"/>
  <c r="U481" i="7"/>
  <c r="U482" i="7"/>
  <c r="U483" i="7"/>
  <c r="U484" i="7"/>
  <c r="U485" i="7"/>
  <c r="U486" i="7"/>
  <c r="U487" i="7"/>
  <c r="U488" i="7"/>
  <c r="U489" i="7"/>
  <c r="U490" i="7"/>
  <c r="U491" i="7"/>
  <c r="U492" i="7"/>
  <c r="U493" i="7"/>
  <c r="U494" i="7"/>
  <c r="U495" i="7"/>
  <c r="U496" i="7"/>
  <c r="U497" i="7"/>
  <c r="U498" i="7"/>
  <c r="U499" i="7"/>
  <c r="U500" i="7"/>
  <c r="U501" i="7"/>
  <c r="U502" i="7"/>
  <c r="U503" i="7"/>
  <c r="U504" i="7"/>
  <c r="U505" i="7"/>
  <c r="U506" i="7"/>
  <c r="U507" i="7"/>
  <c r="U508" i="7"/>
  <c r="U509" i="7"/>
  <c r="U510" i="7"/>
  <c r="U511" i="7"/>
  <c r="U512" i="7"/>
  <c r="U513" i="7"/>
  <c r="U514" i="7"/>
  <c r="U515" i="7"/>
  <c r="U516" i="7"/>
  <c r="U517" i="7"/>
  <c r="U518" i="7"/>
  <c r="U519" i="7"/>
  <c r="U520" i="7"/>
  <c r="U521" i="7"/>
  <c r="U522" i="7"/>
  <c r="U523" i="7"/>
  <c r="U524" i="7"/>
  <c r="U525" i="7"/>
  <c r="U526" i="7"/>
  <c r="U527" i="7"/>
  <c r="U528" i="7"/>
  <c r="U529" i="7"/>
  <c r="U530" i="7"/>
  <c r="U531" i="7"/>
  <c r="U532" i="7"/>
  <c r="U533" i="7"/>
  <c r="U534" i="7"/>
  <c r="U535" i="7"/>
  <c r="U536" i="7"/>
  <c r="U537" i="7"/>
  <c r="U538" i="7"/>
  <c r="U539" i="7"/>
  <c r="U540" i="7"/>
  <c r="U541" i="7"/>
  <c r="U542" i="7"/>
  <c r="U543" i="7"/>
  <c r="U544" i="7"/>
  <c r="U545" i="7"/>
  <c r="U546" i="7"/>
  <c r="U547" i="7"/>
  <c r="U548" i="7"/>
  <c r="U549" i="7"/>
  <c r="U550" i="7"/>
  <c r="U551" i="7"/>
  <c r="U552" i="7"/>
  <c r="U553" i="7"/>
  <c r="U554" i="7"/>
  <c r="U555" i="7"/>
  <c r="U556" i="7"/>
  <c r="U557" i="7"/>
  <c r="U558" i="7"/>
  <c r="U559" i="7"/>
  <c r="U560" i="7"/>
  <c r="U561" i="7"/>
  <c r="U562" i="7"/>
  <c r="U563" i="7"/>
  <c r="U564" i="7"/>
  <c r="U565" i="7"/>
  <c r="U566" i="7"/>
  <c r="U567" i="7"/>
  <c r="U568" i="7"/>
  <c r="U569" i="7"/>
  <c r="U570" i="7"/>
  <c r="U571" i="7"/>
  <c r="U572" i="7"/>
  <c r="U573" i="7"/>
  <c r="U574" i="7"/>
  <c r="U575" i="7"/>
  <c r="U576" i="7"/>
  <c r="U577" i="7"/>
  <c r="U578" i="7"/>
  <c r="U579" i="7"/>
  <c r="U580" i="7"/>
  <c r="U581" i="7"/>
  <c r="U582" i="7"/>
  <c r="U583" i="7"/>
  <c r="U584" i="7"/>
  <c r="U585" i="7"/>
  <c r="U586" i="7"/>
  <c r="U587" i="7"/>
  <c r="U588" i="7"/>
  <c r="U589" i="7"/>
  <c r="U590" i="7"/>
  <c r="U591" i="7"/>
  <c r="U592" i="7"/>
  <c r="U593" i="7"/>
  <c r="U594" i="7"/>
  <c r="U595" i="7"/>
  <c r="U596" i="7"/>
  <c r="U597" i="7"/>
  <c r="U598" i="7"/>
  <c r="U599" i="7"/>
  <c r="U600" i="7"/>
  <c r="U601" i="7"/>
  <c r="U602" i="7"/>
  <c r="U603" i="7"/>
  <c r="U604" i="7"/>
  <c r="U605" i="7"/>
  <c r="U606" i="7"/>
  <c r="U607" i="7"/>
  <c r="U608" i="7"/>
  <c r="U609" i="7"/>
  <c r="U610" i="7"/>
  <c r="U611" i="7"/>
  <c r="U612" i="7"/>
  <c r="U613" i="7"/>
  <c r="U614" i="7"/>
  <c r="U615" i="7"/>
  <c r="U616" i="7"/>
  <c r="U617" i="7"/>
  <c r="U618" i="7"/>
  <c r="U619" i="7"/>
  <c r="U620" i="7"/>
  <c r="U621" i="7"/>
  <c r="U622" i="7"/>
  <c r="U623" i="7"/>
  <c r="U624" i="7"/>
  <c r="U625" i="7"/>
  <c r="U626" i="7"/>
  <c r="U627" i="7"/>
  <c r="U628" i="7"/>
  <c r="U629" i="7"/>
  <c r="U630" i="7"/>
  <c r="U631" i="7"/>
  <c r="U632" i="7"/>
  <c r="U633" i="7"/>
  <c r="U634" i="7"/>
  <c r="U635" i="7"/>
  <c r="U636" i="7"/>
  <c r="U637" i="7"/>
  <c r="U638" i="7"/>
  <c r="U639" i="7"/>
  <c r="U640" i="7"/>
  <c r="U641" i="7"/>
  <c r="U642" i="7"/>
  <c r="U643" i="7"/>
  <c r="U644" i="7"/>
  <c r="U645" i="7"/>
  <c r="U646" i="7"/>
  <c r="U647" i="7"/>
  <c r="U648" i="7"/>
  <c r="U649" i="7"/>
  <c r="U650" i="7"/>
  <c r="U651" i="7"/>
  <c r="U652" i="7"/>
  <c r="U653" i="7"/>
  <c r="U654" i="7"/>
  <c r="U655" i="7"/>
  <c r="U656" i="7"/>
  <c r="U657" i="7"/>
  <c r="U658" i="7"/>
  <c r="U659" i="7"/>
  <c r="U660" i="7"/>
  <c r="U661" i="7"/>
  <c r="U662" i="7"/>
  <c r="U663" i="7"/>
  <c r="U664" i="7"/>
  <c r="U665" i="7"/>
  <c r="U666" i="7"/>
  <c r="U667" i="7"/>
  <c r="U668" i="7"/>
  <c r="U669" i="7"/>
  <c r="U670" i="7"/>
  <c r="U671" i="7"/>
  <c r="U672" i="7"/>
  <c r="U673" i="7"/>
  <c r="U674" i="7"/>
  <c r="U675" i="7"/>
  <c r="U676" i="7"/>
  <c r="U677" i="7"/>
  <c r="U678" i="7"/>
  <c r="U679" i="7"/>
  <c r="U680" i="7"/>
  <c r="U681" i="7"/>
  <c r="U682" i="7"/>
  <c r="U683" i="7"/>
  <c r="U684" i="7"/>
  <c r="U685" i="7"/>
  <c r="U686" i="7"/>
  <c r="U687" i="7"/>
  <c r="U688" i="7"/>
  <c r="U689" i="7"/>
  <c r="U690" i="7"/>
  <c r="U691" i="7"/>
  <c r="U692" i="7"/>
  <c r="U693" i="7"/>
  <c r="U694" i="7"/>
  <c r="U695" i="7"/>
  <c r="U696" i="7"/>
  <c r="U697" i="7"/>
  <c r="U698" i="7"/>
  <c r="U699" i="7"/>
  <c r="U700" i="7"/>
  <c r="U701" i="7"/>
  <c r="U702" i="7"/>
  <c r="U703" i="7"/>
  <c r="U704" i="7"/>
  <c r="U705" i="7"/>
  <c r="U706" i="7"/>
  <c r="U707" i="7"/>
  <c r="U708" i="7"/>
  <c r="U709" i="7"/>
  <c r="U710" i="7"/>
  <c r="U711" i="7"/>
  <c r="U712" i="7"/>
  <c r="U713" i="7"/>
  <c r="U714" i="7"/>
  <c r="U715" i="7"/>
  <c r="U716" i="7"/>
  <c r="U717" i="7"/>
  <c r="U718" i="7"/>
  <c r="U719" i="7"/>
  <c r="U720" i="7"/>
  <c r="U721" i="7"/>
  <c r="U722" i="7"/>
  <c r="U723" i="7"/>
  <c r="U724" i="7"/>
  <c r="U725" i="7"/>
  <c r="U726" i="7"/>
  <c r="U727" i="7"/>
  <c r="U728" i="7"/>
  <c r="U729" i="7"/>
  <c r="U730" i="7"/>
  <c r="U731" i="7"/>
  <c r="U732" i="7"/>
  <c r="U733" i="7"/>
  <c r="U734" i="7"/>
  <c r="U735" i="7"/>
  <c r="U736" i="7"/>
  <c r="U737" i="7"/>
  <c r="U738" i="7"/>
  <c r="U739" i="7"/>
  <c r="U740" i="7"/>
  <c r="U741" i="7"/>
  <c r="U742" i="7"/>
  <c r="U743" i="7"/>
  <c r="U744" i="7"/>
  <c r="U745" i="7"/>
  <c r="U746" i="7"/>
  <c r="U747" i="7"/>
  <c r="U748" i="7"/>
  <c r="U749" i="7"/>
  <c r="U750" i="7"/>
  <c r="U751" i="7"/>
  <c r="U752" i="7"/>
  <c r="U753" i="7"/>
  <c r="U754" i="7"/>
  <c r="U755" i="7"/>
  <c r="U756" i="7"/>
  <c r="U757" i="7"/>
  <c r="U758" i="7"/>
  <c r="U759" i="7"/>
  <c r="U760" i="7"/>
  <c r="U761" i="7"/>
  <c r="U762" i="7"/>
  <c r="U763" i="7"/>
  <c r="U764" i="7"/>
  <c r="U765" i="7"/>
  <c r="U766" i="7"/>
  <c r="U767" i="7"/>
  <c r="U768" i="7"/>
  <c r="U769" i="7"/>
  <c r="U770" i="7"/>
  <c r="U771" i="7"/>
  <c r="U772" i="7"/>
  <c r="U773" i="7"/>
  <c r="U774" i="7"/>
  <c r="U775" i="7"/>
  <c r="U776" i="7"/>
  <c r="U777" i="7"/>
  <c r="U778" i="7"/>
  <c r="U779" i="7"/>
  <c r="U780" i="7"/>
  <c r="U781" i="7"/>
  <c r="U782" i="7"/>
  <c r="U783" i="7"/>
  <c r="U784" i="7"/>
  <c r="U785" i="7"/>
  <c r="U786" i="7"/>
  <c r="U787" i="7"/>
  <c r="U788" i="7"/>
  <c r="U789" i="7"/>
  <c r="U790" i="7"/>
  <c r="U791" i="7"/>
  <c r="U792" i="7"/>
  <c r="U793" i="7"/>
  <c r="U794" i="7"/>
  <c r="U795" i="7"/>
  <c r="U796" i="7"/>
  <c r="U797" i="7"/>
  <c r="U798" i="7"/>
  <c r="U799" i="7"/>
  <c r="U800" i="7"/>
  <c r="U801" i="7"/>
  <c r="U802" i="7"/>
  <c r="U803" i="7"/>
  <c r="U804" i="7"/>
  <c r="U805" i="7"/>
  <c r="U806" i="7"/>
  <c r="U807" i="7"/>
  <c r="U808" i="7"/>
  <c r="U809" i="7"/>
  <c r="U810" i="7"/>
  <c r="U811" i="7"/>
  <c r="U812" i="7"/>
  <c r="U813" i="7"/>
  <c r="U814" i="7"/>
  <c r="U815" i="7"/>
  <c r="U816" i="7"/>
  <c r="U817" i="7"/>
  <c r="U818" i="7"/>
  <c r="U819" i="7"/>
  <c r="U820" i="7"/>
  <c r="U821" i="7"/>
  <c r="U822" i="7"/>
  <c r="U823" i="7"/>
  <c r="U824" i="7"/>
  <c r="U825" i="7"/>
  <c r="U826" i="7"/>
  <c r="U827" i="7"/>
  <c r="U828" i="7"/>
  <c r="U829" i="7"/>
  <c r="U830" i="7"/>
  <c r="U831" i="7"/>
  <c r="U832" i="7"/>
  <c r="U833" i="7"/>
  <c r="U834" i="7"/>
  <c r="U835" i="7"/>
  <c r="U836" i="7"/>
  <c r="U837" i="7"/>
  <c r="U838" i="7"/>
  <c r="U839" i="7"/>
  <c r="U840" i="7"/>
  <c r="U841" i="7"/>
  <c r="U842" i="7"/>
  <c r="U843" i="7"/>
  <c r="U844" i="7"/>
  <c r="U845" i="7"/>
  <c r="U846" i="7"/>
  <c r="U847" i="7"/>
  <c r="U848" i="7"/>
  <c r="U849" i="7"/>
  <c r="U850" i="7"/>
  <c r="U851" i="7"/>
  <c r="U852" i="7"/>
  <c r="U853" i="7"/>
  <c r="U854" i="7"/>
  <c r="U855" i="7"/>
  <c r="U856" i="7"/>
  <c r="U857" i="7"/>
  <c r="U858" i="7"/>
  <c r="U859" i="7"/>
  <c r="U860" i="7"/>
  <c r="U861" i="7"/>
  <c r="U862" i="7"/>
  <c r="U863" i="7"/>
  <c r="U864" i="7"/>
  <c r="U865" i="7"/>
  <c r="U866" i="7"/>
  <c r="U867" i="7"/>
  <c r="U868" i="7"/>
  <c r="U869" i="7"/>
  <c r="U870" i="7"/>
  <c r="U871" i="7"/>
  <c r="U872" i="7"/>
  <c r="U873" i="7"/>
  <c r="U874" i="7"/>
  <c r="U875" i="7"/>
  <c r="U876" i="7"/>
  <c r="U877" i="7"/>
  <c r="U878" i="7"/>
  <c r="U879" i="7"/>
  <c r="U880" i="7"/>
  <c r="U881" i="7"/>
  <c r="U882" i="7"/>
  <c r="U883" i="7"/>
  <c r="U884" i="7"/>
  <c r="U885" i="7"/>
  <c r="U886" i="7"/>
  <c r="U887" i="7"/>
  <c r="U888" i="7"/>
  <c r="U889" i="7"/>
  <c r="U890" i="7"/>
  <c r="U891" i="7"/>
  <c r="U892" i="7"/>
  <c r="U893" i="7"/>
  <c r="U894" i="7"/>
  <c r="U895" i="7"/>
  <c r="U896" i="7"/>
  <c r="U897" i="7"/>
  <c r="U898" i="7"/>
  <c r="U899" i="7"/>
  <c r="U900" i="7"/>
  <c r="U901" i="7"/>
  <c r="U902" i="7"/>
  <c r="U903" i="7"/>
  <c r="U904" i="7"/>
  <c r="U905" i="7"/>
  <c r="U906" i="7"/>
  <c r="U907" i="7"/>
  <c r="U908" i="7"/>
  <c r="U909" i="7"/>
  <c r="U910" i="7"/>
  <c r="U911" i="7"/>
  <c r="U912" i="7"/>
  <c r="U913" i="7"/>
  <c r="U914" i="7"/>
  <c r="U915" i="7"/>
  <c r="U916" i="7"/>
  <c r="U917" i="7"/>
  <c r="U918" i="7"/>
  <c r="U919" i="7"/>
  <c r="U920" i="7"/>
  <c r="U921" i="7"/>
  <c r="U922" i="7"/>
  <c r="U923" i="7"/>
  <c r="U924" i="7"/>
  <c r="U925" i="7"/>
  <c r="U926" i="7"/>
  <c r="U927" i="7"/>
  <c r="U928" i="7"/>
  <c r="U929" i="7"/>
  <c r="U930" i="7"/>
  <c r="U931" i="7"/>
  <c r="U932" i="7"/>
  <c r="U933" i="7"/>
  <c r="U934" i="7"/>
  <c r="U935" i="7"/>
  <c r="U936" i="7"/>
  <c r="U937" i="7"/>
  <c r="U938" i="7"/>
  <c r="U939" i="7"/>
  <c r="U940" i="7"/>
  <c r="U941" i="7"/>
  <c r="U942" i="7"/>
  <c r="U943" i="7"/>
  <c r="U944" i="7"/>
  <c r="U945" i="7"/>
  <c r="U946" i="7"/>
  <c r="U947" i="7"/>
  <c r="U948" i="7"/>
  <c r="U949" i="7"/>
  <c r="U950" i="7"/>
  <c r="U951" i="7"/>
  <c r="U952" i="7"/>
  <c r="U953" i="7"/>
  <c r="U954" i="7"/>
  <c r="U955" i="7"/>
  <c r="U956" i="7"/>
  <c r="U957" i="7"/>
  <c r="U958" i="7"/>
  <c r="U959" i="7"/>
  <c r="U960" i="7"/>
  <c r="U961" i="7"/>
  <c r="U962" i="7"/>
  <c r="U963" i="7"/>
  <c r="U964" i="7"/>
  <c r="U965" i="7"/>
  <c r="U966" i="7"/>
  <c r="U967" i="7"/>
  <c r="U968" i="7"/>
  <c r="U969" i="7"/>
  <c r="U970" i="7"/>
  <c r="U971" i="7"/>
  <c r="U972" i="7"/>
  <c r="U973" i="7"/>
  <c r="U974" i="7"/>
  <c r="U975" i="7"/>
  <c r="U976" i="7"/>
  <c r="U977" i="7"/>
  <c r="U978" i="7"/>
  <c r="U979" i="7"/>
  <c r="U980" i="7"/>
  <c r="U981" i="7"/>
  <c r="U982" i="7"/>
  <c r="U983" i="7"/>
  <c r="U984" i="7"/>
  <c r="U985" i="7"/>
  <c r="U986" i="7"/>
  <c r="U987" i="7"/>
  <c r="U988" i="7"/>
  <c r="U989" i="7"/>
  <c r="U990" i="7"/>
  <c r="U991" i="7"/>
  <c r="U992" i="7"/>
  <c r="U993" i="7"/>
  <c r="U994" i="7"/>
  <c r="U995" i="7"/>
  <c r="U996" i="7"/>
  <c r="U997" i="7"/>
  <c r="U998" i="7"/>
  <c r="U999" i="7"/>
  <c r="U1000" i="7"/>
  <c r="U1001" i="7"/>
  <c r="U1002" i="7"/>
  <c r="U1003" i="7"/>
  <c r="U1004" i="7"/>
  <c r="U1005" i="7"/>
  <c r="U1006" i="7"/>
  <c r="U1007" i="7"/>
  <c r="U1008" i="7"/>
  <c r="U1009" i="7"/>
  <c r="U1010" i="7"/>
  <c r="U1011" i="7"/>
  <c r="U1012" i="7"/>
  <c r="U1013" i="7"/>
  <c r="U1014" i="7"/>
  <c r="U1015" i="7"/>
  <c r="U1016" i="7"/>
  <c r="U1017" i="7"/>
  <c r="U1018" i="7"/>
  <c r="U1019" i="7"/>
  <c r="U1020" i="7"/>
  <c r="U1021" i="7"/>
  <c r="U1022" i="7"/>
  <c r="U1023" i="7"/>
  <c r="U1024" i="7"/>
  <c r="U1025" i="7"/>
  <c r="U1026" i="7"/>
  <c r="U1027" i="7"/>
  <c r="U1028" i="7"/>
  <c r="U1029" i="7"/>
  <c r="U1030" i="7"/>
  <c r="U1031" i="7"/>
  <c r="U1032" i="7"/>
  <c r="U1033" i="7"/>
  <c r="U1034" i="7"/>
  <c r="U1035" i="7"/>
  <c r="U1036" i="7"/>
  <c r="U1037" i="7"/>
  <c r="U1038" i="7"/>
  <c r="U1039" i="7"/>
  <c r="U1040" i="7"/>
  <c r="U1041" i="7"/>
  <c r="U1042" i="7"/>
  <c r="U1043" i="7"/>
  <c r="U1044" i="7"/>
  <c r="U1045" i="7"/>
  <c r="U1046" i="7"/>
  <c r="U1047" i="7"/>
  <c r="U1048" i="7"/>
  <c r="U1049" i="7"/>
  <c r="U1050" i="7"/>
  <c r="U1051" i="7"/>
  <c r="U1052" i="7"/>
  <c r="U1053" i="7"/>
  <c r="U1054" i="7"/>
  <c r="U1055" i="7"/>
  <c r="U1056" i="7"/>
  <c r="U1057" i="7"/>
  <c r="U1058" i="7"/>
  <c r="U1059" i="7"/>
  <c r="U1060" i="7"/>
  <c r="U1061" i="7"/>
  <c r="U1062" i="7"/>
  <c r="U1063" i="7"/>
  <c r="U1064" i="7"/>
  <c r="U1065" i="7"/>
  <c r="U1066" i="7"/>
  <c r="U1067" i="7"/>
  <c r="U1068" i="7"/>
  <c r="U1069" i="7"/>
  <c r="U1070" i="7"/>
  <c r="U1071" i="7"/>
  <c r="U1072" i="7"/>
  <c r="U1073" i="7"/>
  <c r="U1074" i="7"/>
  <c r="U1075" i="7"/>
  <c r="U1076" i="7"/>
  <c r="U1077" i="7"/>
  <c r="U1078" i="7"/>
  <c r="U1079" i="7"/>
  <c r="U1080" i="7"/>
  <c r="U1081" i="7"/>
  <c r="U1082" i="7"/>
  <c r="U1083" i="7"/>
  <c r="U1084" i="7"/>
  <c r="U1085" i="7"/>
  <c r="U1086" i="7"/>
  <c r="U1087" i="7"/>
  <c r="U1088" i="7"/>
  <c r="U1089" i="7"/>
  <c r="U1090" i="7"/>
  <c r="U1091" i="7"/>
  <c r="U1092" i="7"/>
  <c r="U1093" i="7"/>
  <c r="U1094" i="7"/>
  <c r="U1095" i="7"/>
  <c r="U1096" i="7"/>
  <c r="U1097" i="7"/>
  <c r="U1098" i="7"/>
  <c r="U1099" i="7"/>
  <c r="U1100" i="7"/>
  <c r="U1101" i="7"/>
  <c r="U1102" i="7"/>
  <c r="U1103" i="7"/>
  <c r="U1104" i="7"/>
  <c r="U1105" i="7"/>
  <c r="U1106" i="7"/>
  <c r="U1107" i="7"/>
  <c r="U1108" i="7"/>
  <c r="U1109" i="7"/>
  <c r="U1110" i="7"/>
  <c r="U1111" i="7"/>
  <c r="U1112" i="7"/>
  <c r="U1113" i="7"/>
  <c r="U1114" i="7"/>
  <c r="U1115" i="7"/>
  <c r="U1116" i="7"/>
  <c r="U1117" i="7"/>
  <c r="U1118" i="7"/>
  <c r="U1119" i="7"/>
  <c r="U1120" i="7"/>
  <c r="U1121" i="7"/>
  <c r="U1122" i="7"/>
  <c r="U1123" i="7"/>
  <c r="U1124" i="7"/>
  <c r="U1125" i="7"/>
  <c r="U1126" i="7"/>
  <c r="U1127" i="7"/>
  <c r="U1128" i="7"/>
  <c r="U1129" i="7"/>
  <c r="U1130" i="7"/>
  <c r="U1131" i="7"/>
  <c r="U1132" i="7"/>
  <c r="U1133" i="7"/>
  <c r="U1134" i="7"/>
  <c r="U1135" i="7"/>
  <c r="U1136" i="7"/>
  <c r="U1137" i="7"/>
  <c r="U1138" i="7"/>
  <c r="U1139" i="7"/>
  <c r="U1140" i="7"/>
  <c r="U1141" i="7"/>
  <c r="U1142" i="7"/>
  <c r="U1143" i="7"/>
  <c r="U1144" i="7"/>
  <c r="U1145" i="7"/>
  <c r="U1146" i="7"/>
  <c r="U1147" i="7"/>
  <c r="U1148" i="7"/>
  <c r="U1149" i="7"/>
  <c r="U1150" i="7"/>
  <c r="U1151" i="7"/>
  <c r="U1152" i="7"/>
  <c r="U1153" i="7"/>
  <c r="U1154" i="7"/>
  <c r="U1155" i="7"/>
  <c r="U1156" i="7"/>
  <c r="U1157" i="7"/>
  <c r="U1158" i="7"/>
  <c r="U1159" i="7"/>
  <c r="U1160" i="7"/>
  <c r="U1161" i="7"/>
  <c r="U1162" i="7"/>
  <c r="U1163" i="7"/>
  <c r="U1164" i="7"/>
  <c r="U1165" i="7"/>
  <c r="U1166" i="7"/>
  <c r="U1167" i="7"/>
  <c r="U1168" i="7"/>
  <c r="U1169" i="7"/>
  <c r="U1170" i="7"/>
  <c r="U1171" i="7"/>
  <c r="U1172" i="7"/>
  <c r="U1173" i="7"/>
  <c r="U1174" i="7"/>
  <c r="U1175" i="7"/>
  <c r="U1176" i="7"/>
  <c r="U1177" i="7"/>
  <c r="U1178" i="7"/>
  <c r="U1179" i="7"/>
  <c r="U1180" i="7"/>
  <c r="U1181" i="7"/>
  <c r="U1182" i="7"/>
  <c r="U1183" i="7"/>
  <c r="U1184" i="7"/>
  <c r="U1185" i="7"/>
  <c r="U1186" i="7"/>
  <c r="U1187" i="7"/>
  <c r="U1188" i="7"/>
  <c r="U1189" i="7"/>
  <c r="U1190" i="7"/>
  <c r="U1191" i="7"/>
  <c r="U1192" i="7"/>
  <c r="U1193" i="7"/>
  <c r="U1194" i="7"/>
  <c r="U1195" i="7"/>
  <c r="U1196" i="7"/>
  <c r="U1197" i="7"/>
  <c r="U1198" i="7"/>
  <c r="U1199" i="7"/>
  <c r="U1200" i="7"/>
  <c r="U1201" i="7"/>
  <c r="U1202" i="7"/>
  <c r="U1203" i="7"/>
  <c r="U1204" i="7"/>
  <c r="U1205" i="7"/>
  <c r="U1206" i="7"/>
  <c r="U1207" i="7"/>
  <c r="U1208" i="7"/>
  <c r="U1209" i="7"/>
  <c r="U1210" i="7"/>
  <c r="U1211" i="7"/>
  <c r="U1212" i="7"/>
  <c r="U1213" i="7"/>
  <c r="U1214" i="7"/>
  <c r="U1215" i="7"/>
  <c r="U1216" i="7"/>
  <c r="U1217" i="7"/>
  <c r="U1218" i="7"/>
  <c r="U1219" i="7"/>
  <c r="U1220" i="7"/>
  <c r="U1221" i="7"/>
  <c r="U1222" i="7"/>
  <c r="U1223" i="7"/>
  <c r="U1224" i="7"/>
  <c r="U1225" i="7"/>
  <c r="U1226" i="7"/>
  <c r="U1227" i="7"/>
  <c r="U1228" i="7"/>
  <c r="U1229" i="7"/>
  <c r="U1230" i="7"/>
  <c r="U1231" i="7"/>
  <c r="U1232" i="7"/>
  <c r="U1233" i="7"/>
  <c r="U1234" i="7"/>
  <c r="U1235" i="7"/>
  <c r="U1236" i="7"/>
  <c r="U1237" i="7"/>
  <c r="U1238" i="7"/>
  <c r="U1239" i="7"/>
  <c r="U1240" i="7"/>
  <c r="U1241" i="7"/>
  <c r="U1242" i="7"/>
  <c r="U1243" i="7"/>
  <c r="U1244" i="7"/>
  <c r="U1245" i="7"/>
  <c r="U1246" i="7"/>
  <c r="U1247" i="7"/>
  <c r="U1248" i="7"/>
  <c r="U1249" i="7"/>
  <c r="U1250" i="7"/>
  <c r="U1251" i="7"/>
  <c r="U1252" i="7"/>
  <c r="U1253" i="7"/>
  <c r="U1254" i="7"/>
  <c r="U1255" i="7"/>
  <c r="U1256" i="7"/>
  <c r="U1257" i="7"/>
  <c r="U1258" i="7"/>
  <c r="U1259" i="7"/>
  <c r="U1260" i="7"/>
  <c r="U1261" i="7"/>
  <c r="U1262" i="7"/>
  <c r="U1263" i="7"/>
  <c r="U1264" i="7"/>
  <c r="U1265" i="7"/>
  <c r="U1266" i="7"/>
  <c r="U1267" i="7"/>
  <c r="U1268" i="7"/>
  <c r="U1269" i="7"/>
  <c r="U1270" i="7"/>
  <c r="U1271" i="7"/>
  <c r="U1272" i="7"/>
  <c r="U1273" i="7"/>
  <c r="U1274" i="7"/>
  <c r="U1275" i="7"/>
  <c r="U1276" i="7"/>
  <c r="U1277" i="7"/>
  <c r="U1278" i="7"/>
  <c r="U1279" i="7"/>
  <c r="U1280" i="7"/>
  <c r="U1281" i="7"/>
  <c r="U1282" i="7"/>
  <c r="U1283" i="7"/>
  <c r="U1284" i="7"/>
  <c r="U1285" i="7"/>
  <c r="U1286" i="7"/>
  <c r="U1287" i="7"/>
  <c r="U1288" i="7"/>
  <c r="U1289" i="7"/>
  <c r="U1290" i="7"/>
  <c r="U1291" i="7"/>
  <c r="U1292" i="7"/>
  <c r="U1293" i="7"/>
  <c r="U1294" i="7"/>
  <c r="U1295" i="7"/>
  <c r="U1296" i="7"/>
  <c r="U1297" i="7"/>
  <c r="U1298" i="7"/>
  <c r="U1299" i="7"/>
  <c r="U1300" i="7"/>
  <c r="U1301" i="7"/>
  <c r="U1302" i="7"/>
  <c r="U1303" i="7"/>
  <c r="U1304" i="7"/>
  <c r="U1305" i="7"/>
  <c r="U1306" i="7"/>
  <c r="U1307" i="7"/>
  <c r="U1308" i="7"/>
  <c r="U1309" i="7"/>
  <c r="U1310" i="7"/>
  <c r="U1311" i="7"/>
  <c r="U1312" i="7"/>
  <c r="U1313" i="7"/>
  <c r="U1314" i="7"/>
  <c r="U1315" i="7"/>
  <c r="U1316" i="7"/>
  <c r="U1317" i="7"/>
  <c r="U1318" i="7"/>
  <c r="U1319" i="7"/>
  <c r="U1320" i="7"/>
  <c r="U1321" i="7"/>
  <c r="U1322" i="7"/>
  <c r="U1323" i="7"/>
  <c r="U1324" i="7"/>
  <c r="U1325" i="7"/>
  <c r="U1326" i="7"/>
  <c r="U1327" i="7"/>
  <c r="U1328" i="7"/>
  <c r="U1329" i="7"/>
  <c r="U1330" i="7"/>
  <c r="U1331" i="7"/>
  <c r="U1332" i="7"/>
  <c r="U1333" i="7"/>
  <c r="U1334" i="7"/>
  <c r="U1335" i="7"/>
  <c r="U1336" i="7"/>
  <c r="U1337" i="7"/>
  <c r="U1338" i="7"/>
  <c r="U1339" i="7"/>
  <c r="U1340" i="7"/>
  <c r="U1341" i="7"/>
  <c r="U1342" i="7"/>
  <c r="U1343" i="7"/>
  <c r="U1344" i="7"/>
  <c r="U1345" i="7"/>
  <c r="U1346" i="7"/>
  <c r="U1347" i="7"/>
  <c r="U1348" i="7"/>
  <c r="U1349" i="7"/>
  <c r="U1350" i="7"/>
  <c r="U1351" i="7"/>
  <c r="U1352" i="7"/>
  <c r="U1353" i="7"/>
  <c r="U1354" i="7"/>
  <c r="U1355" i="7"/>
  <c r="U1356" i="7"/>
  <c r="U1357" i="7"/>
  <c r="U1358" i="7"/>
  <c r="U1359" i="7"/>
  <c r="U1360" i="7"/>
  <c r="U1361" i="7"/>
  <c r="U1362" i="7"/>
  <c r="U1363" i="7"/>
  <c r="U1364" i="7"/>
  <c r="U1365" i="7"/>
  <c r="U1366" i="7"/>
  <c r="U1367" i="7"/>
  <c r="U1368" i="7"/>
  <c r="U1369" i="7"/>
  <c r="U1370" i="7"/>
  <c r="U1371" i="7"/>
  <c r="U1372" i="7"/>
  <c r="U1373" i="7"/>
  <c r="U1374" i="7"/>
  <c r="U1375" i="7"/>
  <c r="U1376" i="7"/>
  <c r="U1377" i="7"/>
  <c r="U1378" i="7"/>
  <c r="U1379" i="7"/>
  <c r="U1380" i="7"/>
  <c r="U1381" i="7"/>
  <c r="U1382" i="7"/>
  <c r="U1383" i="7"/>
  <c r="U1384" i="7"/>
  <c r="U1385" i="7"/>
  <c r="U1386" i="7"/>
  <c r="U1387" i="7"/>
  <c r="U1388" i="7"/>
  <c r="U1389" i="7"/>
  <c r="U1390" i="7"/>
  <c r="U1391" i="7"/>
  <c r="U1392" i="7"/>
  <c r="U1393" i="7"/>
  <c r="U1394" i="7"/>
  <c r="U1395" i="7"/>
  <c r="U1396" i="7"/>
  <c r="U1397" i="7"/>
  <c r="U1398" i="7"/>
  <c r="U1399" i="7"/>
  <c r="U1400" i="7"/>
  <c r="U1401" i="7"/>
  <c r="U1402" i="7"/>
  <c r="U1403" i="7"/>
  <c r="U1404" i="7"/>
  <c r="U1405" i="7"/>
  <c r="U1406" i="7"/>
  <c r="U1407" i="7"/>
  <c r="U1408" i="7"/>
  <c r="U1409" i="7"/>
  <c r="U1410" i="7"/>
  <c r="U1411" i="7"/>
  <c r="U1412" i="7"/>
  <c r="U1413" i="7"/>
  <c r="U1414" i="7"/>
  <c r="U1415" i="7"/>
  <c r="U1416" i="7"/>
  <c r="U1417" i="7"/>
  <c r="U1418" i="7"/>
  <c r="U1419" i="7"/>
  <c r="U1420" i="7"/>
  <c r="U1421" i="7"/>
  <c r="U1422" i="7"/>
  <c r="U1423" i="7"/>
  <c r="U1424" i="7"/>
  <c r="U1425" i="7"/>
  <c r="U1426" i="7"/>
  <c r="U1427" i="7"/>
  <c r="U1428" i="7"/>
  <c r="U1429" i="7"/>
  <c r="U1430" i="7"/>
  <c r="U1431" i="7"/>
  <c r="U1432" i="7"/>
  <c r="U1433" i="7"/>
  <c r="U1434" i="7"/>
  <c r="U1435" i="7"/>
  <c r="U1436" i="7"/>
  <c r="U1437" i="7"/>
  <c r="U1438" i="7"/>
  <c r="U1439" i="7"/>
  <c r="U1440" i="7"/>
  <c r="U1441" i="7"/>
  <c r="U1442" i="7"/>
  <c r="U1443" i="7"/>
  <c r="U1444" i="7"/>
  <c r="U1445" i="7"/>
  <c r="U1446" i="7"/>
  <c r="U1447" i="7"/>
  <c r="U1448" i="7"/>
  <c r="U1449" i="7"/>
  <c r="U1450" i="7"/>
  <c r="U1451" i="7"/>
  <c r="U1452" i="7"/>
  <c r="U1453" i="7"/>
  <c r="U1454" i="7"/>
  <c r="U1455" i="7"/>
  <c r="U1456" i="7"/>
  <c r="U1457" i="7"/>
  <c r="U1458" i="7"/>
  <c r="U1459" i="7"/>
  <c r="U1460" i="7"/>
  <c r="U1461" i="7"/>
  <c r="U1462" i="7"/>
  <c r="U1463" i="7"/>
  <c r="U1464" i="7"/>
  <c r="U1465" i="7"/>
  <c r="U1466" i="7"/>
  <c r="U1467" i="7"/>
  <c r="U1468" i="7"/>
  <c r="U1469" i="7"/>
  <c r="U1470" i="7"/>
  <c r="U1471" i="7"/>
  <c r="U1472" i="7"/>
  <c r="U1473" i="7"/>
  <c r="U1474" i="7"/>
  <c r="U1475" i="7"/>
  <c r="U1476" i="7"/>
  <c r="U1477" i="7"/>
  <c r="U1478" i="7"/>
  <c r="U1479" i="7"/>
  <c r="U1480" i="7"/>
  <c r="U1481" i="7"/>
  <c r="U1482" i="7"/>
  <c r="U1483" i="7"/>
  <c r="U1484" i="7"/>
  <c r="U1485" i="7"/>
  <c r="U1486" i="7"/>
  <c r="U1487" i="7"/>
  <c r="U1488" i="7"/>
  <c r="U1489" i="7"/>
  <c r="U1490" i="7"/>
  <c r="U1491" i="7"/>
  <c r="U1492" i="7"/>
  <c r="U1493" i="7"/>
  <c r="U1494" i="7"/>
  <c r="U1495" i="7"/>
  <c r="U1496" i="7"/>
  <c r="U1497" i="7"/>
  <c r="U1498" i="7"/>
  <c r="U1499" i="7"/>
  <c r="U1500" i="7"/>
  <c r="U1501" i="7"/>
  <c r="U1502" i="7"/>
  <c r="U1503" i="7"/>
  <c r="U1504" i="7"/>
  <c r="U1505" i="7"/>
  <c r="U1506" i="7"/>
  <c r="U1507" i="7"/>
  <c r="U1508" i="7"/>
  <c r="U1509" i="7"/>
  <c r="U1510" i="7"/>
  <c r="U1511" i="7"/>
  <c r="U1512" i="7"/>
  <c r="U1513" i="7"/>
  <c r="U1514" i="7"/>
  <c r="U1515" i="7"/>
  <c r="U1516" i="7"/>
  <c r="U1517" i="7"/>
  <c r="U1518" i="7"/>
  <c r="U1519" i="7"/>
  <c r="U1520" i="7"/>
  <c r="U1521" i="7"/>
  <c r="U1522" i="7"/>
  <c r="U1523" i="7"/>
  <c r="U1524" i="7"/>
  <c r="U1525" i="7"/>
  <c r="U1526" i="7"/>
  <c r="U1527" i="7"/>
  <c r="U1528" i="7"/>
  <c r="U1529" i="7"/>
  <c r="U1530" i="7"/>
  <c r="U1531" i="7"/>
  <c r="U1532" i="7"/>
  <c r="U1533" i="7"/>
  <c r="U1534" i="7"/>
  <c r="U1535" i="7"/>
  <c r="U1536" i="7"/>
  <c r="U1537" i="7"/>
  <c r="U1538" i="7"/>
  <c r="U1539" i="7"/>
  <c r="U1540" i="7"/>
  <c r="U1541" i="7"/>
  <c r="U1542" i="7"/>
  <c r="U1543" i="7"/>
  <c r="U1544" i="7"/>
  <c r="U1545" i="7"/>
  <c r="U1546" i="7"/>
  <c r="U1547" i="7"/>
  <c r="U1548" i="7"/>
  <c r="U1549" i="7"/>
  <c r="U1550" i="7"/>
  <c r="U1551" i="7"/>
  <c r="U1552" i="7"/>
  <c r="U1553" i="7"/>
  <c r="U1554" i="7"/>
  <c r="U1555" i="7"/>
  <c r="U1556" i="7"/>
  <c r="U1557" i="7"/>
  <c r="U1558" i="7"/>
  <c r="U1559" i="7"/>
  <c r="U1560" i="7"/>
  <c r="U1561" i="7"/>
  <c r="U1562" i="7"/>
  <c r="U1563" i="7"/>
  <c r="U1564" i="7"/>
  <c r="U1565" i="7"/>
  <c r="U1566" i="7"/>
  <c r="U1567" i="7"/>
  <c r="U1568" i="7"/>
  <c r="U1569" i="7"/>
  <c r="U1570" i="7"/>
  <c r="U1571" i="7"/>
  <c r="U1572" i="7"/>
  <c r="U1573" i="7"/>
  <c r="U1574" i="7"/>
  <c r="U1575" i="7"/>
  <c r="U1576" i="7"/>
  <c r="U1577" i="7"/>
  <c r="U1578" i="7"/>
  <c r="U1579" i="7"/>
  <c r="U1580" i="7"/>
  <c r="U1581" i="7"/>
  <c r="U1582" i="7"/>
  <c r="U1583" i="7"/>
  <c r="U1584" i="7"/>
  <c r="U1585" i="7"/>
  <c r="U1586" i="7"/>
  <c r="U1587" i="7"/>
  <c r="U1588" i="7"/>
  <c r="U1589" i="7"/>
  <c r="U1590" i="7"/>
  <c r="U1591" i="7"/>
  <c r="U1592" i="7"/>
  <c r="U1593" i="7"/>
  <c r="U1594" i="7"/>
  <c r="U1595" i="7"/>
  <c r="U1596" i="7"/>
  <c r="U1597" i="7"/>
  <c r="U1598" i="7"/>
  <c r="U1599" i="7"/>
  <c r="U1600" i="7"/>
  <c r="U1601" i="7"/>
  <c r="U1602" i="7"/>
  <c r="U1603" i="7"/>
  <c r="U1604" i="7"/>
  <c r="U1605" i="7"/>
  <c r="U1606" i="7"/>
  <c r="U1607" i="7"/>
  <c r="U1608" i="7"/>
  <c r="U1609" i="7"/>
  <c r="U1610" i="7"/>
  <c r="U1611" i="7"/>
  <c r="U1612" i="7"/>
  <c r="U1613" i="7"/>
  <c r="U1614" i="7"/>
  <c r="U1615" i="7"/>
  <c r="U1616" i="7"/>
  <c r="U1617" i="7"/>
  <c r="U1618" i="7"/>
  <c r="U1619" i="7"/>
  <c r="U1620" i="7"/>
  <c r="U1621" i="7"/>
  <c r="U1622" i="7"/>
  <c r="U1623" i="7"/>
  <c r="U1624" i="7"/>
  <c r="U1625" i="7"/>
  <c r="U1626" i="7"/>
  <c r="U1627" i="7"/>
  <c r="U1628" i="7"/>
  <c r="U1629" i="7"/>
  <c r="U1630" i="7"/>
  <c r="U1631" i="7"/>
  <c r="U1632" i="7"/>
  <c r="U1633" i="7"/>
  <c r="U1634" i="7"/>
  <c r="U1635" i="7"/>
  <c r="U1636" i="7"/>
  <c r="U1637" i="7"/>
  <c r="U1638" i="7"/>
  <c r="U1639" i="7"/>
  <c r="U1640" i="7"/>
  <c r="U1641" i="7"/>
  <c r="U1642" i="7"/>
  <c r="U1643" i="7"/>
  <c r="U1644" i="7"/>
  <c r="U1645" i="7"/>
  <c r="U1646" i="7"/>
  <c r="U1647" i="7"/>
  <c r="U1648" i="7"/>
  <c r="U1649" i="7"/>
  <c r="U1650" i="7"/>
  <c r="U1651" i="7"/>
  <c r="U1652" i="7"/>
  <c r="U1653" i="7"/>
  <c r="U1654" i="7"/>
  <c r="U1655" i="7"/>
  <c r="U1656" i="7"/>
  <c r="U1657" i="7"/>
  <c r="U1658" i="7"/>
  <c r="U1659" i="7"/>
  <c r="U1660" i="7"/>
  <c r="U1661" i="7"/>
  <c r="U1662" i="7"/>
  <c r="U1663" i="7"/>
  <c r="U1664" i="7"/>
  <c r="U1665" i="7"/>
  <c r="U1666" i="7"/>
  <c r="U1667" i="7"/>
  <c r="U1668" i="7"/>
  <c r="U1669" i="7"/>
  <c r="U1670" i="7"/>
  <c r="U1671" i="7"/>
  <c r="U1672" i="7"/>
  <c r="U1673" i="7"/>
  <c r="U1674" i="7"/>
  <c r="U1675" i="7"/>
  <c r="U1676" i="7"/>
  <c r="U1677" i="7"/>
  <c r="U1678" i="7"/>
  <c r="U1679" i="7"/>
  <c r="U1680" i="7"/>
  <c r="U1681" i="7"/>
  <c r="U1682" i="7"/>
  <c r="U1683" i="7"/>
  <c r="U1684" i="7"/>
  <c r="U1685" i="7"/>
  <c r="U1686" i="7"/>
  <c r="U1687" i="7"/>
  <c r="U1688" i="7"/>
  <c r="U1689" i="7"/>
  <c r="U1690" i="7"/>
  <c r="U1691" i="7"/>
  <c r="U1692" i="7"/>
  <c r="U1693" i="7"/>
  <c r="U1694" i="7"/>
  <c r="U1695" i="7"/>
  <c r="U1696" i="7"/>
  <c r="U1697" i="7"/>
  <c r="U1698" i="7"/>
  <c r="U1699" i="7"/>
  <c r="U1700" i="7"/>
  <c r="U1701" i="7"/>
  <c r="U1702" i="7"/>
  <c r="U1703" i="7"/>
  <c r="U1704" i="7"/>
  <c r="U1705" i="7"/>
  <c r="U1706" i="7"/>
  <c r="U1707" i="7"/>
  <c r="U1708" i="7"/>
  <c r="U1709" i="7"/>
  <c r="U1710" i="7"/>
  <c r="U1711" i="7"/>
  <c r="U1712" i="7"/>
  <c r="U1713" i="7"/>
  <c r="U1714" i="7"/>
  <c r="U1715" i="7"/>
  <c r="U1716" i="7"/>
  <c r="U1717" i="7"/>
  <c r="U1718" i="7"/>
  <c r="U1719" i="7"/>
  <c r="U1720" i="7"/>
  <c r="U1721" i="7"/>
  <c r="U1722" i="7"/>
  <c r="U1723" i="7"/>
  <c r="U1724" i="7"/>
  <c r="U1725" i="7"/>
  <c r="U1726" i="7"/>
  <c r="U1727" i="7"/>
  <c r="U1728" i="7"/>
  <c r="U1729" i="7"/>
  <c r="U1730" i="7"/>
  <c r="U1731" i="7"/>
  <c r="U1732" i="7"/>
  <c r="U1733" i="7"/>
  <c r="U1734" i="7"/>
  <c r="U1735" i="7"/>
  <c r="U1736" i="7"/>
  <c r="U1737" i="7"/>
  <c r="U1738" i="7"/>
  <c r="U1739" i="7"/>
  <c r="U1740" i="7"/>
  <c r="U1741" i="7"/>
  <c r="U1742" i="7"/>
  <c r="U1743" i="7"/>
  <c r="U1744" i="7"/>
  <c r="U1745" i="7"/>
  <c r="U1746" i="7"/>
  <c r="U1747" i="7"/>
  <c r="U1748" i="7"/>
  <c r="U1749" i="7"/>
  <c r="U1750" i="7"/>
  <c r="U1751" i="7"/>
  <c r="U1752" i="7"/>
  <c r="U1753" i="7"/>
  <c r="U1754" i="7"/>
  <c r="U1755" i="7"/>
  <c r="U1756" i="7"/>
  <c r="U1757" i="7"/>
  <c r="U1758" i="7"/>
  <c r="U1759" i="7"/>
  <c r="U1760" i="7"/>
  <c r="U1761" i="7"/>
  <c r="U1762" i="7"/>
  <c r="U1763" i="7"/>
  <c r="U1764" i="7"/>
  <c r="U1765" i="7"/>
  <c r="U1766" i="7"/>
  <c r="U1767" i="7"/>
  <c r="U1768" i="7"/>
  <c r="U1769" i="7"/>
  <c r="U1770" i="7"/>
  <c r="U1771" i="7"/>
  <c r="U1772" i="7"/>
  <c r="U1773" i="7"/>
  <c r="U1774" i="7"/>
  <c r="U1775" i="7"/>
  <c r="U1776" i="7"/>
  <c r="U1777" i="7"/>
  <c r="U1778" i="7"/>
  <c r="U1779" i="7"/>
  <c r="U1780" i="7"/>
  <c r="U1781" i="7"/>
  <c r="U1782" i="7"/>
  <c r="U1783" i="7"/>
  <c r="U1784" i="7"/>
  <c r="U1785" i="7"/>
  <c r="U1786" i="7"/>
  <c r="U1787" i="7"/>
  <c r="U1788" i="7"/>
  <c r="U1789" i="7"/>
  <c r="U1790" i="7"/>
  <c r="U1791" i="7"/>
  <c r="U1792" i="7"/>
  <c r="U1793" i="7"/>
  <c r="U1794" i="7"/>
  <c r="U1795" i="7"/>
  <c r="U1796" i="7"/>
  <c r="U1797" i="7"/>
  <c r="U1798" i="7"/>
  <c r="U1799" i="7"/>
  <c r="U1800" i="7"/>
  <c r="U1801" i="7"/>
  <c r="U1802" i="7"/>
  <c r="U1803" i="7"/>
  <c r="U1804" i="7"/>
  <c r="U1805" i="7"/>
  <c r="U1806" i="7"/>
  <c r="U1807" i="7"/>
  <c r="U1808" i="7"/>
  <c r="U1809" i="7"/>
  <c r="U1810" i="7"/>
  <c r="U1811" i="7"/>
  <c r="U1812" i="7"/>
  <c r="U1813" i="7"/>
  <c r="U1814" i="7"/>
  <c r="U1815" i="7"/>
  <c r="U1816" i="7"/>
  <c r="U1817" i="7"/>
  <c r="U1818" i="7"/>
  <c r="U1819" i="7"/>
  <c r="U1820" i="7"/>
  <c r="U1821" i="7"/>
  <c r="U1822" i="7"/>
  <c r="U1823" i="7"/>
  <c r="U1824" i="7"/>
  <c r="U1825" i="7"/>
  <c r="U1826" i="7"/>
  <c r="U1827" i="7"/>
  <c r="U1828" i="7"/>
  <c r="U1829" i="7"/>
  <c r="U1830" i="7"/>
  <c r="U1831" i="7"/>
  <c r="U1832" i="7"/>
  <c r="U1833" i="7"/>
  <c r="U1834" i="7"/>
  <c r="U1835" i="7"/>
  <c r="U1836" i="7"/>
  <c r="U1837" i="7"/>
  <c r="U1838" i="7"/>
  <c r="U1839" i="7"/>
  <c r="U1840" i="7"/>
  <c r="U1841" i="7"/>
  <c r="U1842" i="7"/>
  <c r="U1843" i="7"/>
  <c r="U1844" i="7"/>
  <c r="U1845" i="7"/>
  <c r="U1846" i="7"/>
  <c r="U1847" i="7"/>
  <c r="U1848" i="7"/>
  <c r="U1849" i="7"/>
  <c r="U1850" i="7"/>
  <c r="U1851" i="7"/>
  <c r="U1852" i="7"/>
  <c r="U1853" i="7"/>
  <c r="U1854" i="7"/>
  <c r="U1855" i="7"/>
  <c r="U1856" i="7"/>
  <c r="U1857" i="7"/>
  <c r="U1858" i="7"/>
  <c r="U1859" i="7"/>
  <c r="U1860" i="7"/>
  <c r="U1861" i="7"/>
  <c r="U1862" i="7"/>
  <c r="U1863" i="7"/>
  <c r="U1864" i="7"/>
  <c r="U1865" i="7"/>
  <c r="U1866" i="7"/>
  <c r="U1867" i="7"/>
  <c r="U1868" i="7"/>
  <c r="U1869" i="7"/>
  <c r="U1870" i="7"/>
  <c r="U1871" i="7"/>
  <c r="U1872" i="7"/>
  <c r="U1873" i="7"/>
  <c r="U1874" i="7"/>
  <c r="U1875" i="7"/>
  <c r="U1876" i="7"/>
  <c r="U1877" i="7"/>
  <c r="U1878" i="7"/>
  <c r="U1879" i="7"/>
  <c r="U1880" i="7"/>
  <c r="U1881" i="7"/>
  <c r="U1882" i="7"/>
  <c r="U1883" i="7"/>
  <c r="U1884" i="7"/>
  <c r="U1885" i="7"/>
  <c r="U1886" i="7"/>
  <c r="U1887" i="7"/>
  <c r="U1888" i="7"/>
  <c r="U1889" i="7"/>
  <c r="U1890" i="7"/>
  <c r="U1891" i="7"/>
  <c r="U1892" i="7"/>
  <c r="U1893" i="7"/>
  <c r="U1894" i="7"/>
  <c r="U1895" i="7"/>
  <c r="U1896" i="7"/>
  <c r="U1897" i="7"/>
  <c r="U1898" i="7"/>
  <c r="U1899" i="7"/>
  <c r="U1900" i="7"/>
  <c r="U1901" i="7"/>
  <c r="U1902" i="7"/>
  <c r="U1903" i="7"/>
  <c r="U1904" i="7"/>
  <c r="U1905" i="7"/>
  <c r="U1906" i="7"/>
  <c r="U1907" i="7"/>
  <c r="U1908" i="7"/>
  <c r="U1909" i="7"/>
  <c r="U1910" i="7"/>
  <c r="U1911" i="7"/>
  <c r="U1912" i="7"/>
  <c r="U1913" i="7"/>
  <c r="U1914" i="7"/>
  <c r="U1915" i="7"/>
  <c r="U1916" i="7"/>
  <c r="U1917" i="7"/>
  <c r="U1918" i="7"/>
  <c r="U1919" i="7"/>
  <c r="U1920" i="7"/>
  <c r="U1921" i="7"/>
  <c r="U1922" i="7"/>
  <c r="U1923" i="7"/>
  <c r="U1924" i="7"/>
  <c r="U1925" i="7"/>
  <c r="U1926" i="7"/>
  <c r="U1927" i="7"/>
  <c r="U1928" i="7"/>
  <c r="U1929" i="7"/>
  <c r="U1930" i="7"/>
  <c r="U1931" i="7"/>
  <c r="U1932" i="7"/>
  <c r="U1933" i="7"/>
  <c r="U1934" i="7"/>
  <c r="U1935" i="7"/>
  <c r="U1936" i="7"/>
  <c r="U1937" i="7"/>
  <c r="U1938" i="7"/>
  <c r="U1939" i="7"/>
  <c r="U1940" i="7"/>
  <c r="U1941" i="7"/>
  <c r="U1942" i="7"/>
  <c r="U1943" i="7"/>
  <c r="U1944" i="7"/>
  <c r="U1945" i="7"/>
  <c r="U1946" i="7"/>
  <c r="U1947" i="7"/>
  <c r="U1948" i="7"/>
  <c r="U1949" i="7"/>
  <c r="U1950" i="7"/>
  <c r="U1951" i="7"/>
  <c r="U1952" i="7"/>
  <c r="U1953" i="7"/>
  <c r="U1954" i="7"/>
  <c r="U1955" i="7"/>
  <c r="U1956" i="7"/>
  <c r="U1957" i="7"/>
  <c r="U1958" i="7"/>
  <c r="U1959" i="7"/>
  <c r="U1960" i="7"/>
  <c r="U1961" i="7"/>
  <c r="U1962" i="7"/>
  <c r="U1963" i="7"/>
  <c r="U1964" i="7"/>
  <c r="U1965" i="7"/>
  <c r="U1966" i="7"/>
  <c r="U1967" i="7"/>
  <c r="U1968" i="7"/>
  <c r="U1969" i="7"/>
  <c r="U1970" i="7"/>
  <c r="U1971" i="7"/>
  <c r="U1972" i="7"/>
  <c r="U1973" i="7"/>
  <c r="U1974" i="7"/>
  <c r="U1975" i="7"/>
  <c r="U1976" i="7"/>
  <c r="U1977" i="7"/>
  <c r="U1978" i="7"/>
  <c r="U1979" i="7"/>
  <c r="U1980" i="7"/>
  <c r="U1981" i="7"/>
  <c r="U1982" i="7"/>
  <c r="U1983" i="7"/>
  <c r="U1984" i="7"/>
  <c r="U1985" i="7"/>
  <c r="U1986" i="7"/>
  <c r="U1987" i="7"/>
  <c r="U1988" i="7"/>
  <c r="U1989" i="7"/>
  <c r="U1990" i="7"/>
  <c r="U1991" i="7"/>
  <c r="U1992" i="7"/>
  <c r="U1993" i="7"/>
  <c r="U1994" i="7"/>
  <c r="U1995" i="7"/>
  <c r="U1996" i="7"/>
  <c r="U1997" i="7"/>
  <c r="U1998" i="7"/>
  <c r="U1999" i="7"/>
  <c r="U2000" i="7"/>
  <c r="U2001" i="7"/>
  <c r="U2002" i="7"/>
  <c r="U2003" i="7"/>
  <c r="U2004" i="7"/>
  <c r="U2005" i="7"/>
  <c r="U2006" i="7"/>
  <c r="D3" i="10"/>
  <c r="D11" i="8" l="1"/>
  <c r="E5" i="6" l="1"/>
  <c r="E6" i="6"/>
  <c r="E7" i="6"/>
  <c r="E8" i="6"/>
  <c r="E9" i="6"/>
  <c r="E10" i="6"/>
  <c r="E11" i="6"/>
  <c r="E12" i="6"/>
  <c r="E13" i="6"/>
  <c r="E14" i="6"/>
  <c r="E15" i="6"/>
  <c r="E16" i="6"/>
  <c r="E17" i="6"/>
  <c r="E4" i="6"/>
  <c r="C3" i="8"/>
  <c r="C15" i="8"/>
  <c r="A15" i="8"/>
  <c r="G15" i="8"/>
  <c r="F15" i="8"/>
  <c r="E15" i="8"/>
  <c r="D15" i="8"/>
  <c r="B15" i="8"/>
  <c r="A16" i="8" l="1"/>
  <c r="E34" i="6"/>
  <c r="A3" i="8"/>
  <c r="H11" i="8"/>
  <c r="G11" i="8"/>
  <c r="E11" i="8"/>
  <c r="F11" i="8"/>
  <c r="C11" i="8"/>
  <c r="B11" i="8"/>
  <c r="A7" i="8"/>
  <c r="A11" i="8" l="1"/>
  <c r="C7" i="8"/>
  <c r="B1" i="8"/>
  <c r="K7" i="8"/>
  <c r="J7" i="8"/>
  <c r="I7" i="8"/>
  <c r="H7" i="8"/>
  <c r="G7" i="8"/>
  <c r="F7" i="8"/>
  <c r="E7" i="8"/>
  <c r="D7" i="8"/>
  <c r="B7" i="8"/>
  <c r="A8" i="8" l="1"/>
  <c r="G4" i="9"/>
  <c r="H4" i="9"/>
  <c r="I4" i="9"/>
  <c r="G5" i="9"/>
  <c r="H5" i="9"/>
  <c r="I5" i="9"/>
  <c r="G6" i="9"/>
  <c r="H6" i="9"/>
  <c r="I6" i="9"/>
  <c r="G7" i="9"/>
  <c r="H7" i="9"/>
  <c r="I7" i="9"/>
  <c r="G8" i="9"/>
  <c r="H8" i="9"/>
  <c r="I8" i="9"/>
  <c r="G9" i="9"/>
  <c r="H9" i="9"/>
  <c r="I9" i="9"/>
  <c r="G10" i="9"/>
  <c r="H10" i="9"/>
  <c r="I10" i="9"/>
  <c r="G11" i="9"/>
  <c r="H11" i="9"/>
  <c r="I11" i="9"/>
  <c r="G12" i="9"/>
  <c r="H12" i="9"/>
  <c r="I12" i="9"/>
  <c r="G13" i="9"/>
  <c r="H13" i="9"/>
  <c r="I13" i="9"/>
  <c r="G14" i="9"/>
  <c r="H14" i="9"/>
  <c r="I14" i="9"/>
  <c r="G15" i="9"/>
  <c r="H15" i="9"/>
  <c r="I15" i="9"/>
  <c r="G16" i="9"/>
  <c r="H16" i="9"/>
  <c r="I16" i="9"/>
  <c r="G17" i="9"/>
  <c r="H17" i="9"/>
  <c r="I17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4" i="9"/>
  <c r="E4" i="9"/>
  <c r="E6" i="9"/>
  <c r="E7" i="9"/>
  <c r="E8" i="9"/>
  <c r="E9" i="9"/>
  <c r="E10" i="9"/>
  <c r="E17" i="9"/>
  <c r="E5" i="9"/>
  <c r="E34" i="9" l="1"/>
  <c r="I34" i="9"/>
  <c r="G34" i="9"/>
  <c r="F34" i="9"/>
  <c r="H34" i="9"/>
  <c r="C1" i="8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A1" i="8"/>
  <c r="U8" i="7"/>
  <c r="U7" i="7"/>
</calcChain>
</file>

<file path=xl/comments1.xml><?xml version="1.0" encoding="utf-8"?>
<comments xmlns="http://schemas.openxmlformats.org/spreadsheetml/2006/main">
  <authors>
    <author>hocexcel.online Quân</author>
  </authors>
  <commentList>
    <comment ref="G3" authorId="0" shapeId="0">
      <text>
        <r>
          <rPr>
            <b/>
            <sz val="9"/>
            <color indexed="81"/>
            <rFont val="Tahoma"/>
            <family val="2"/>
          </rPr>
          <t>hocexcel.online Quân:</t>
        </r>
        <r>
          <rPr>
            <sz val="9"/>
            <color indexed="81"/>
            <rFont val="Tahoma"/>
            <family val="2"/>
          </rPr>
          <t xml:space="preserve">
Tạo hyperlink tới file chứa văn bản</t>
        </r>
      </text>
    </comment>
  </commentList>
</comments>
</file>

<file path=xl/comments2.xml><?xml version="1.0" encoding="utf-8"?>
<comments xmlns="http://schemas.openxmlformats.org/spreadsheetml/2006/main">
  <authors>
    <author>Ghi chú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Ghi chú:</t>
        </r>
        <r>
          <rPr>
            <sz val="9"/>
            <color indexed="81"/>
            <rFont val="Tahoma"/>
            <family val="2"/>
          </rPr>
          <t xml:space="preserve">
Nếu mã văn bản bị trùng sẽ tự tô màu</t>
        </r>
      </text>
    </comment>
  </commentList>
</comments>
</file>

<file path=xl/sharedStrings.xml><?xml version="1.0" encoding="utf-8"?>
<sst xmlns="http://schemas.openxmlformats.org/spreadsheetml/2006/main" count="1271" uniqueCount="334">
  <si>
    <t>STT</t>
  </si>
  <si>
    <t>Đã xử lý</t>
  </si>
  <si>
    <t>Loại xử lý</t>
  </si>
  <si>
    <t>Chưa xử lý</t>
  </si>
  <si>
    <t>Để lưu</t>
  </si>
  <si>
    <t>Công văn</t>
  </si>
  <si>
    <t>Quyết định</t>
  </si>
  <si>
    <t>Tờ trình</t>
  </si>
  <si>
    <t>Nghị quyết</t>
  </si>
  <si>
    <t>Thông báo</t>
  </si>
  <si>
    <t>Báo cáo</t>
  </si>
  <si>
    <t>Giấy mời</t>
  </si>
  <si>
    <t>Biên bản</t>
  </si>
  <si>
    <t>Nghị định</t>
  </si>
  <si>
    <t>Chỉ thị</t>
  </si>
  <si>
    <t>Đơn</t>
  </si>
  <si>
    <t>Thư</t>
  </si>
  <si>
    <t>Loại văn bản</t>
  </si>
  <si>
    <t>Mã văn thư</t>
  </si>
  <si>
    <t>Số văn bản</t>
  </si>
  <si>
    <t>Nội dung trích yếu</t>
  </si>
  <si>
    <t>Nơi phát hành</t>
  </si>
  <si>
    <t>Người ký</t>
  </si>
  <si>
    <t>Trạng thái</t>
  </si>
  <si>
    <t>Hình thức xử lý</t>
  </si>
  <si>
    <t>Bộ phận xử lý</t>
  </si>
  <si>
    <t>Hạn xử lý</t>
  </si>
  <si>
    <t>Kết quả xử lý</t>
  </si>
  <si>
    <t>Ngày ký</t>
  </si>
  <si>
    <t>Ngày nhận</t>
  </si>
  <si>
    <t>Đang xử lý</t>
  </si>
  <si>
    <t>Từ ngày</t>
  </si>
  <si>
    <t>Đến ngày</t>
  </si>
  <si>
    <t>Loại Văn bản</t>
  </si>
  <si>
    <t>Lọc</t>
  </si>
  <si>
    <t>BCCT_CV Den</t>
  </si>
  <si>
    <t>BÁO CÁO CHI TIẾT CÔNG VĂN ĐẾN</t>
  </si>
  <si>
    <t>BÁO CÁO TỔNG HỢP CÔNG VĂN ĐẾN</t>
  </si>
  <si>
    <t xml:space="preserve">Đến ngày </t>
  </si>
  <si>
    <t xml:space="preserve">Từ ngày </t>
  </si>
  <si>
    <t>Số lượng</t>
  </si>
  <si>
    <t>Tổng cộng</t>
  </si>
  <si>
    <t>NHẬP MỚI CÔNG VĂN ĐẾN</t>
  </si>
  <si>
    <t>Ngày văn bản</t>
  </si>
  <si>
    <t>Nơi ban hành</t>
  </si>
  <si>
    <t>Nội dung
trích yếu</t>
  </si>
  <si>
    <t>Công văn đến</t>
  </si>
  <si>
    <t>Số thứ tự</t>
  </si>
  <si>
    <t>CV</t>
  </si>
  <si>
    <t>NQ</t>
  </si>
  <si>
    <t>TB</t>
  </si>
  <si>
    <t>BC</t>
  </si>
  <si>
    <t>GM</t>
  </si>
  <si>
    <t>BB</t>
  </si>
  <si>
    <t>CT</t>
  </si>
  <si>
    <t>DON</t>
  </si>
  <si>
    <t>THU</t>
  </si>
  <si>
    <t>BẢNG KÊ CÔNG VĂN ĐẾN</t>
  </si>
  <si>
    <t>XỬ LÝ VĂN BẢN</t>
  </si>
  <si>
    <t>Kết quả</t>
  </si>
  <si>
    <t>Nội dung cần xử lý</t>
  </si>
  <si>
    <t>Nội dung
cần xử lý</t>
  </si>
  <si>
    <t>Ngày gửi</t>
  </si>
  <si>
    <t>BẢNG KÊ CÔNG VĂN ĐI</t>
  </si>
  <si>
    <t>Số</t>
  </si>
  <si>
    <t>Tình trạng</t>
  </si>
  <si>
    <t>Mã VT</t>
  </si>
  <si>
    <t>BCCT_CV DI</t>
  </si>
  <si>
    <t>CHƯƠNG TRÌNH QUẢN LÝ CÔNG VĂN</t>
  </si>
  <si>
    <t>VĂN BẢN ĐI</t>
  </si>
  <si>
    <t>VĂN BẢN ĐẾN</t>
  </si>
  <si>
    <t>Bảng kê</t>
  </si>
  <si>
    <t>Báo cáo tổng hợp</t>
  </si>
  <si>
    <t>Báo cáo chi tiết</t>
  </si>
  <si>
    <t>Thiết lập</t>
  </si>
  <si>
    <t>Ghi chú:</t>
  </si>
  <si>
    <t>- Xử lý mà chưa xác định được kết quả, khi lưu sẽ đưa về trạng thái "Đang xử lý"</t>
  </si>
  <si>
    <t>- Xử lý đã có kết quả, khi lưu sẽ đưa về trạng thái "Đã xử lý"</t>
  </si>
  <si>
    <t>- Trạng thái Đã xử lý sẽ không thể được xử lý lại nữa.</t>
  </si>
  <si>
    <t>Lưu trữ</t>
  </si>
  <si>
    <t>Số lượng bản chính</t>
  </si>
  <si>
    <t>Số lượng bản photo</t>
  </si>
  <si>
    <t>Nơi lưu trữ</t>
  </si>
  <si>
    <t>Lưu bản chính</t>
  </si>
  <si>
    <t>Nơi lưu</t>
  </si>
  <si>
    <t>Lưu bản sao</t>
  </si>
  <si>
    <t>Xử lý</t>
  </si>
  <si>
    <t>Thông tin văn bản</t>
  </si>
  <si>
    <t>SL_Bản chính</t>
  </si>
  <si>
    <t>SL_bản sao</t>
  </si>
  <si>
    <t>Văn thư</t>
  </si>
  <si>
    <t>Xử lý CVĐến</t>
  </si>
  <si>
    <t>Công văn đi</t>
  </si>
  <si>
    <t>BÁO CÁO CHI TIẾT CÔNG VĂN ĐI</t>
  </si>
  <si>
    <t>Người ký CV đi</t>
  </si>
  <si>
    <t>Nơi ban hành CV đi</t>
  </si>
  <si>
    <t>Nơi ban hành CV đến</t>
  </si>
  <si>
    <t>Hướng dẫn quy trình</t>
  </si>
  <si>
    <t>Quy trình quản lý công văn đến</t>
  </si>
  <si>
    <t>- Để xử lý công văn trong bảng kê công văn đến, double click chuột vào dòng chứa văn bản cần xử lý
(tình trạng: Chưa xử lý hoặc Đang xử lý)</t>
  </si>
  <si>
    <t>Quy trình quản lý công văn đi</t>
  </si>
  <si>
    <t>HỆ THỐNG</t>
  </si>
  <si>
    <t>x</t>
  </si>
  <si>
    <t>Loại VB</t>
  </si>
  <si>
    <t>Nơi nhận</t>
  </si>
  <si>
    <t>Nơi nhận CV đi</t>
  </si>
  <si>
    <t>SL</t>
  </si>
  <si>
    <t>Loại</t>
  </si>
  <si>
    <t xml:space="preserve">Số lượng bản chính </t>
  </si>
  <si>
    <t xml:space="preserve">Số lượng bản photo </t>
  </si>
  <si>
    <t>NHẬP MỚI CÔNG VĂN ĐI</t>
  </si>
  <si>
    <t>Ngày gửi đi *</t>
  </si>
  <si>
    <t>Ngày văn bản *</t>
  </si>
  <si>
    <t>Loại văn bản *</t>
  </si>
  <si>
    <t>Số văn bản *</t>
  </si>
  <si>
    <t>Nơi ban hành *</t>
  </si>
  <si>
    <t>Nơi nhận *</t>
  </si>
  <si>
    <t>Người ký *</t>
  </si>
  <si>
    <t>SỬA / CẬP NHẬT NỘI DUNG CÔNG VĂN ĐI</t>
  </si>
  <si>
    <t>CV Đi - Edit</t>
  </si>
  <si>
    <t>vị trí dòng</t>
  </si>
  <si>
    <t>BÁO CÁO TỔNG HỢP CÔNG VĂN ĐI</t>
  </si>
  <si>
    <t>THIẾT LẬP CHƯƠNG TRÌNH</t>
  </si>
  <si>
    <t>O-CV-001</t>
  </si>
  <si>
    <t>QĐ</t>
  </si>
  <si>
    <t>TTr</t>
  </si>
  <si>
    <t>NĐ</t>
  </si>
  <si>
    <t>Phòng Tổ chức</t>
  </si>
  <si>
    <t>Trưởng phòng</t>
  </si>
  <si>
    <t>Phó Trưởng phòng</t>
  </si>
  <si>
    <t>Trợ lý</t>
  </si>
  <si>
    <t>Nhân viên</t>
  </si>
  <si>
    <t>Phạm Công Hữu</t>
  </si>
  <si>
    <t>Nguyễn Hữu Xá</t>
  </si>
  <si>
    <t>Lương Hồng Sơn</t>
  </si>
  <si>
    <t>Hoàng Xuân Dũng</t>
  </si>
  <si>
    <t>Cục Chính trị</t>
  </si>
  <si>
    <t>Bộ Tư lệnh Hóa học</t>
  </si>
  <si>
    <t>Các tổ chức đảng trực thuộc ĐUBC</t>
  </si>
  <si>
    <t>Các cơ quan, đơn vị trực thuộc Binh chủng</t>
  </si>
  <si>
    <t>Các Phòng, Ban, Trợ lý trực thuộc Cục Chính trị</t>
  </si>
  <si>
    <t>BCHTW</t>
  </si>
  <si>
    <t>BTCTW</t>
  </si>
  <si>
    <t>QUTW</t>
  </si>
  <si>
    <t>TCCT</t>
  </si>
  <si>
    <t>CTC/TCCT</t>
  </si>
  <si>
    <t>Bộ Tư lệnh</t>
  </si>
  <si>
    <t>Bộ Chính trị</t>
  </si>
  <si>
    <t>Các TCĐ trực thuộc</t>
  </si>
  <si>
    <t>Xong</t>
  </si>
  <si>
    <t>I-QĐ-001</t>
  </si>
  <si>
    <t>Hướng dẫn</t>
  </si>
  <si>
    <t>HD</t>
  </si>
  <si>
    <t>Văn phòng QUTW</t>
  </si>
  <si>
    <t>Văn phòng</t>
  </si>
  <si>
    <t>Kết luận</t>
  </si>
  <si>
    <t>KL</t>
  </si>
  <si>
    <t>Phòng Tuyên huấn</t>
  </si>
  <si>
    <t>Kế hoạch</t>
  </si>
  <si>
    <t>KH</t>
  </si>
  <si>
    <t>O-KH-001</t>
  </si>
  <si>
    <t>Từ Hữu Hòa</t>
  </si>
  <si>
    <t>Nguyễn Khắc Thắng</t>
  </si>
  <si>
    <t>Văn phòng ĐUBC</t>
  </si>
  <si>
    <t>Bộ Tham mưu</t>
  </si>
  <si>
    <t>82/CCT-PTC</t>
  </si>
  <si>
    <t>Về việc góp ý vào dự thảo Quy chế làm việc, Quy chế bầu cử và chương trình làm việc Đại hội XIII của Đảng</t>
  </si>
  <si>
    <t>Cục Tổ chức/TCCT</t>
  </si>
  <si>
    <t>01/KH-PTC</t>
  </si>
  <si>
    <t>Võ Văn Toàn</t>
  </si>
  <si>
    <t>70/BTM-QL</t>
  </si>
  <si>
    <t>Về việc thống báo kết luận của Thường vụ ĐUBCvề triển khai thực hiện tổ chức lại và kiện toàn tổ chức biên chế mới của TSQPH</t>
  </si>
  <si>
    <t>01/BTM-TC</t>
  </si>
  <si>
    <t>Về việc nghiên cứu, đề xuất, hoàn chỉnh tổ chức biên chế các lực lượng chuyên trách, kiêm nghiệm và thống kê chuyên nghiệp</t>
  </si>
  <si>
    <t>I-CV-003</t>
  </si>
  <si>
    <t>12/101/2021</t>
  </si>
  <si>
    <t>419/CT-TC</t>
  </si>
  <si>
    <t>Về việc tổng hợp, báo cáo kết quả thực hiện Quy định số 29 và Hướng dẫn số 01</t>
  </si>
  <si>
    <t>3/// Trần Quang Thương</t>
  </si>
  <si>
    <t>I-CV-004</t>
  </si>
  <si>
    <t xml:space="preserve">Chuyển TP phê duyệt để thực hiện </t>
  </si>
  <si>
    <t>Nguyễn Văn A</t>
  </si>
  <si>
    <t>174-QĐ/ĐU</t>
  </si>
  <si>
    <t>Quyết định về việc đi học</t>
  </si>
  <si>
    <t>Đảng ủy</t>
  </si>
  <si>
    <t xml:space="preserve">Đồng chí Nhân viên soạn thông báo đến các TCĐ theo chỉ đạo của </t>
  </si>
  <si>
    <t xml:space="preserve">Kế hoạch công tác xây dựng </t>
  </si>
  <si>
    <t>Kế hoạch công tác xây dựng</t>
  </si>
  <si>
    <t>O-KH-002</t>
  </si>
  <si>
    <t>O-KH-003</t>
  </si>
  <si>
    <t>O-KH-004</t>
  </si>
  <si>
    <t>O-KH-005</t>
  </si>
  <si>
    <t>O-KH-006</t>
  </si>
  <si>
    <t>O-KH-007</t>
  </si>
  <si>
    <t>O-KH-008</t>
  </si>
  <si>
    <t>O-KH-009</t>
  </si>
  <si>
    <t>O-KH-010</t>
  </si>
  <si>
    <t>O-KH-011</t>
  </si>
  <si>
    <t>O-KH-012</t>
  </si>
  <si>
    <t>O-KH-013</t>
  </si>
  <si>
    <t>O-KH-014</t>
  </si>
  <si>
    <t>O-KH-015</t>
  </si>
  <si>
    <t>O-KH-016</t>
  </si>
  <si>
    <t>O-KH-017</t>
  </si>
  <si>
    <t>O-KH-018</t>
  </si>
  <si>
    <t>O-KH-019</t>
  </si>
  <si>
    <t>O-KH-020</t>
  </si>
  <si>
    <t>O-KH-021</t>
  </si>
  <si>
    <t>O-KH-022</t>
  </si>
  <si>
    <t>O-KH-023</t>
  </si>
  <si>
    <t>O-KH-024</t>
  </si>
  <si>
    <t>O-KH-025</t>
  </si>
  <si>
    <t>O-KH-026</t>
  </si>
  <si>
    <t>O-KH-027</t>
  </si>
  <si>
    <t>O-KH-028</t>
  </si>
  <si>
    <t>O-KH-029</t>
  </si>
  <si>
    <t>O-KH-030</t>
  </si>
  <si>
    <t>O-KH-031</t>
  </si>
  <si>
    <t>O-KH-032</t>
  </si>
  <si>
    <t>O-KH-033</t>
  </si>
  <si>
    <t>O-KH-034</t>
  </si>
  <si>
    <t>O-KH-035</t>
  </si>
  <si>
    <t>I-CV-005</t>
  </si>
  <si>
    <t>Về việc tổng hợp, báo cáo kết quả thực hiện Quy định số 29 và Hướng dẫn số 02</t>
  </si>
  <si>
    <t>I-CV-006</t>
  </si>
  <si>
    <t>Về việc tổng hợp, báo cáo kết quả thực hiện Quy định số 29 và Hướng dẫn số 03</t>
  </si>
  <si>
    <t>I-CV-007</t>
  </si>
  <si>
    <t>Về việc tổng hợp, báo cáo kết quả thực hiện Quy định số 29 và Hướng dẫn số 04</t>
  </si>
  <si>
    <t>I-CV-008</t>
  </si>
  <si>
    <t>Về việc tổng hợp, báo cáo kết quả thực hiện Quy định số 29 và Hướng dẫn số 05</t>
  </si>
  <si>
    <t>I-CV-009</t>
  </si>
  <si>
    <t>Về việc tổng hợp, báo cáo kết quả thực hiện Quy định số 29 và Hướng dẫn số 06</t>
  </si>
  <si>
    <t>I-CV-010</t>
  </si>
  <si>
    <t>Về việc tổng hợp, báo cáo kết quả thực hiện Quy định số 29 và Hướng dẫn số 07</t>
  </si>
  <si>
    <t>I-CV-011</t>
  </si>
  <si>
    <t>Về việc tổng hợp, báo cáo kết quả thực hiện Quy định số 29 và Hướng dẫn số 08</t>
  </si>
  <si>
    <t>I-CV-012</t>
  </si>
  <si>
    <t>Về việc tổng hợp, báo cáo kết quả thực hiện Quy định số 29 và Hướng dẫn số 09</t>
  </si>
  <si>
    <t>I-CV-013</t>
  </si>
  <si>
    <t>Về việc tổng hợp, báo cáo kết quả thực hiện Quy định số 29 và Hướng dẫn số 10</t>
  </si>
  <si>
    <t>I-CV-014</t>
  </si>
  <si>
    <t>Về việc tổng hợp, báo cáo kết quả thực hiện Quy định số 29 và Hướng dẫn số 11</t>
  </si>
  <si>
    <t>I-CV-015</t>
  </si>
  <si>
    <t>Về việc tổng hợp, báo cáo kết quả thực hiện Quy định số 29 và Hướng dẫn số 12</t>
  </si>
  <si>
    <t>I-CV-016</t>
  </si>
  <si>
    <t>Về việc tổng hợp, báo cáo kết quả thực hiện Quy định số 29 và Hướng dẫn số 13</t>
  </si>
  <si>
    <t>I-CV-017</t>
  </si>
  <si>
    <t>Về việc tổng hợp, báo cáo kết quả thực hiện Quy định số 29 và Hướng dẫn số 14</t>
  </si>
  <si>
    <t>I-CV-018</t>
  </si>
  <si>
    <t>Về việc tổng hợp, báo cáo kết quả thực hiện Quy định số 29 và Hướng dẫn số 15</t>
  </si>
  <si>
    <t>I-CV-019</t>
  </si>
  <si>
    <t>Về việc tổng hợp, báo cáo kết quả thực hiện Quy định số 29 và Hướng dẫn số 16</t>
  </si>
  <si>
    <t>I-CV-020</t>
  </si>
  <si>
    <t>Về việc tổng hợp, báo cáo kết quả thực hiện Quy định số 29 và Hướng dẫn số 17</t>
  </si>
  <si>
    <t>I-CV-021</t>
  </si>
  <si>
    <t>Về việc tổng hợp, báo cáo kết quả thực hiện Quy định số 29 và Hướng dẫn số 18</t>
  </si>
  <si>
    <t>I-CV-022</t>
  </si>
  <si>
    <t>Về việc tổng hợp, báo cáo kết quả thực hiện Quy định số 29 và Hướng dẫn số 19</t>
  </si>
  <si>
    <t>I-CV-023</t>
  </si>
  <si>
    <t>Về việc tổng hợp, báo cáo kết quả thực hiện Quy định số 29 và Hướng dẫn số 20</t>
  </si>
  <si>
    <t>I-CV-024</t>
  </si>
  <si>
    <t>Về việc tổng hợp, báo cáo kết quả thực hiện Quy định số 29 và Hướng dẫn số 21</t>
  </si>
  <si>
    <t>I-CV-025</t>
  </si>
  <si>
    <t>Về việc tổng hợp, báo cáo kết quả thực hiện Quy định số 29 và Hướng dẫn số 22</t>
  </si>
  <si>
    <t>I-CV-026</t>
  </si>
  <si>
    <t>Về việc tổng hợp, báo cáo kết quả thực hiện Quy định số 29 và Hướng dẫn số 23</t>
  </si>
  <si>
    <t>I-CV-027</t>
  </si>
  <si>
    <t>Về việc tổng hợp, báo cáo kết quả thực hiện Quy định số 29 và Hướng dẫn số 24</t>
  </si>
  <si>
    <t>I-CV-028</t>
  </si>
  <si>
    <t>Về việc tổng hợp, báo cáo kết quả thực hiện Quy định số 29 và Hướng dẫn số 25</t>
  </si>
  <si>
    <t>I-CV-029</t>
  </si>
  <si>
    <t>Về việc tổng hợp, báo cáo kết quả thực hiện Quy định số 29 và Hướng dẫn số 26</t>
  </si>
  <si>
    <t>I-CV-030</t>
  </si>
  <si>
    <t>Về việc tổng hợp, báo cáo kết quả thực hiện Quy định số 29 và Hướng dẫn số 27</t>
  </si>
  <si>
    <t>I-CV-031</t>
  </si>
  <si>
    <t>Về việc tổng hợp, báo cáo kết quả thực hiện Quy định số 29 và Hướng dẫn số 28</t>
  </si>
  <si>
    <t>I-CV-032</t>
  </si>
  <si>
    <t>Về việc tổng hợp, báo cáo kết quả thực hiện Quy định số 29 và Hướng dẫn số 29</t>
  </si>
  <si>
    <t>I-CV-033</t>
  </si>
  <si>
    <t>Về việc tổng hợp, báo cáo kết quả thực hiện Quy định số 29 và Hướng dẫn số 30</t>
  </si>
  <si>
    <t>I-CV-034</t>
  </si>
  <si>
    <t>Về việc tổng hợp, báo cáo kết quả thực hiện Quy định số 29 và Hướng dẫn số 31</t>
  </si>
  <si>
    <t>I-CV-035</t>
  </si>
  <si>
    <t>Về việc tổng hợp, báo cáo kết quả thực hiện Quy định số 29 và Hướng dẫn số 32</t>
  </si>
  <si>
    <t>I-CV-036</t>
  </si>
  <si>
    <t>Về việc tổng hợp, báo cáo kết quả thực hiện Quy định số 29 và Hướng dẫn số 33</t>
  </si>
  <si>
    <t>I-CV-037</t>
  </si>
  <si>
    <t>Về việc tổng hợp, báo cáo kết quả thực hiện Quy định số 29 và Hướng dẫn số 34</t>
  </si>
  <si>
    <t>I-CV-038</t>
  </si>
  <si>
    <t>Về việc tổng hợp, báo cáo kết quả thực hiện Quy định số 29 và Hướng dẫn số 35</t>
  </si>
  <si>
    <t>I-CV-039</t>
  </si>
  <si>
    <t>Về việc tổng hợp, báo cáo kết quả thực hiện Quy định số 29 và Hướng dẫn số 36</t>
  </si>
  <si>
    <t>I-CV-040</t>
  </si>
  <si>
    <t>Về việc tổng hợp, báo cáo kết quả thực hiện Quy định số 29 và Hướng dẫn số 37</t>
  </si>
  <si>
    <t>I-CV-041</t>
  </si>
  <si>
    <t>Về việc tổng hợp, báo cáo kết quả thực hiện Quy định số 29 và Hướng dẫn số 38</t>
  </si>
  <si>
    <t>I-CV-042</t>
  </si>
  <si>
    <t>Về việc tổng hợp, báo cáo kết quả thực hiện Quy định số 29 và Hướng dẫn số 39</t>
  </si>
  <si>
    <t>I-CV-043</t>
  </si>
  <si>
    <t>Về việc tổng hợp, báo cáo kết quả thực hiện Quy định số 29 và Hướng dẫn số 40</t>
  </si>
  <si>
    <t>I-CV-044</t>
  </si>
  <si>
    <t>Về việc tổng hợp, báo cáo kết quả thực hiện Quy định số 29 và Hướng dẫn số 41</t>
  </si>
  <si>
    <t>I-CV-045</t>
  </si>
  <si>
    <t>Về việc tổng hợp, báo cáo kết quả thực hiện Quy định số 29 và Hướng dẫn số 42</t>
  </si>
  <si>
    <t>I-CV-046</t>
  </si>
  <si>
    <t>Về việc tổng hợp, báo cáo kết quả thực hiện Quy định số 29 và Hướng dẫn số 43</t>
  </si>
  <si>
    <t>I-CV-047</t>
  </si>
  <si>
    <t>Về việc tổng hợp, báo cáo kết quả thực hiện Quy định số 29 và Hướng dẫn số 44</t>
  </si>
  <si>
    <t>I-CV-048</t>
  </si>
  <si>
    <t>Về việc tổng hợp, báo cáo kết quả thực hiện Quy định số 29 và Hướng dẫn số 45</t>
  </si>
  <si>
    <t>I-CV-049</t>
  </si>
  <si>
    <t>Về việc tổng hợp, báo cáo kết quả thực hiện Quy định số 29 và Hướng dẫn số 46</t>
  </si>
  <si>
    <t>I-CV-050</t>
  </si>
  <si>
    <t>Về việc tổng hợp, báo cáo kết quả thực hiện Quy định số 29 và Hướng dẫn số 47</t>
  </si>
  <si>
    <t>I-CV-051</t>
  </si>
  <si>
    <t>Về việc tổng hợp, báo cáo kết quả thực hiện Quy định số 29 và Hướng dẫn số 48</t>
  </si>
  <si>
    <t>I-CV-052</t>
  </si>
  <si>
    <t>Về việc tổng hợp, báo cáo kết quả thực hiện Quy định số 29 và Hướng dẫn số 49</t>
  </si>
  <si>
    <t>I-CV-053</t>
  </si>
  <si>
    <t>Về việc tổng hợp, báo cáo kết quả thực hiện Quy định số 29 và Hướng dẫn số 50</t>
  </si>
  <si>
    <t>I-CV-054</t>
  </si>
  <si>
    <t>Về việc tổng hợp, báo cáo kết quả thực hiện Quy định số 29 và Hướng dẫn số 51</t>
  </si>
  <si>
    <t>I-CV-055</t>
  </si>
  <si>
    <t>Về việc tổng hợp, báo cáo kết quả thực hiện Quy định số 29 và Hướng dẫn số 52</t>
  </si>
  <si>
    <t>I-CV-056</t>
  </si>
  <si>
    <t>Về việc tổng hợp, báo cáo kết quả thực hiện Quy định số 29 và Hướng dẫn số 53</t>
  </si>
  <si>
    <t>I-CV-057</t>
  </si>
  <si>
    <t>Về việc tổng hợp, báo cáo kết quả thực hiện Quy định số 29 và Hướng dẫn số 54</t>
  </si>
  <si>
    <t>I-CV-058</t>
  </si>
  <si>
    <t>Về việc tổng hợp, báo cáo kết quả thực hiện Quy định số 29 và Hướng dẫn số 55</t>
  </si>
  <si>
    <t>I-CV-059</t>
  </si>
  <si>
    <t>Về việc tổng hợp, báo cáo kết quả thực hiện Quy định số 29 và Hướng dẫn số 56</t>
  </si>
  <si>
    <t>I-CV-060</t>
  </si>
  <si>
    <t>Về việc tổng hợp, báo cáo kết quả thực hiện Quy định số 29 và Hướng dẫn số 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</si>
</sst>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(* #,##0_);_(* \(#,##0\);_(* &quot;-&quot;_);_(@_)"/>
  </numFmts>
  <fonts count="29">
    <font>
      <sz val="12"/>
      <color theme="1"/>
      <name val="Times New Roman"/>
      <family val="2"/>
    </font>
    <font>
      <sz val="10"/>
      <name val="Arial"/>
      <family val="2"/>
    </font>
    <font>
      <u/>
      <sz val="12"/>
      <color indexed="12"/>
      <name val="VNI-Times"/>
    </font>
    <font>
      <b/>
      <sz val="15"/>
      <color indexed="56"/>
      <name val="Calibri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b/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sz val="10"/>
      <name val="Times New Roman"/>
      <family val="1"/>
    </font>
    <font>
      <sz val="10"/>
      <color theme="1"/>
      <name val="Times New Roman"/>
      <family val="1"/>
    </font>
    <font>
      <b/>
      <sz val="14"/>
      <color rgb="FFFF0000"/>
      <name val="Times New Roman"/>
      <family val="1"/>
    </font>
    <font>
      <b/>
      <sz val="14"/>
      <color rgb="FF0000FF"/>
      <name val="Times New Roman"/>
      <family val="1"/>
    </font>
    <font>
      <sz val="12"/>
      <color rgb="FFFF0000"/>
      <name val="Times New Roman"/>
      <family val="2"/>
    </font>
    <font>
      <sz val="12"/>
      <color rgb="FF0000FF"/>
      <name val="Times New Roman"/>
      <family val="2"/>
    </font>
    <font>
      <b/>
      <u/>
      <sz val="12"/>
      <color rgb="FFFF0000"/>
      <name val="Times New Roman"/>
      <family val="1"/>
    </font>
    <font>
      <b/>
      <sz val="14"/>
      <color theme="8" tint="-0.49998474074526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Times New Roman"/>
      <family val="1"/>
    </font>
    <font>
      <b/>
      <sz val="11"/>
      <color theme="0"/>
      <name val="Times New Roman"/>
      <family val="1"/>
    </font>
    <font>
      <b/>
      <sz val="10"/>
      <color theme="0"/>
      <name val="Times New Roman"/>
      <family val="1"/>
    </font>
    <font>
      <sz val="10"/>
      <color theme="0"/>
      <name val="Times New Roman"/>
      <family val="1"/>
    </font>
    <font>
      <sz val="12"/>
      <name val="Times New Roman"/>
      <family val="2"/>
    </font>
    <font>
      <sz val="18"/>
      <color rgb="FF0000FF"/>
      <name val="Times New Roman"/>
      <family val="2"/>
    </font>
    <font>
      <sz val="14"/>
      <color indexed="12"/>
      <name val="Times New Roman"/>
      <family val="1"/>
    </font>
    <font>
      <sz val="12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indexed="47"/>
        <bgColor indexed="47"/>
      </patternFill>
    </fill>
    <fill>
      <patternFill patternType="solid">
        <fgColor indexed="62"/>
        <bgColor indexed="62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499984740745262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5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0" borderId="1" applyNumberFormat="0" applyFill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36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4" fontId="0" fillId="0" borderId="5" xfId="0" applyNumberFormat="1" applyBorder="1"/>
    <xf numFmtId="14" fontId="0" fillId="0" borderId="6" xfId="0" applyNumberFormat="1" applyBorder="1"/>
    <xf numFmtId="0" fontId="6" fillId="0" borderId="2" xfId="0" applyFont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2" xfId="0" applyBorder="1" applyAlignment="1">
      <alignment vertical="center"/>
    </xf>
    <xf numFmtId="41" fontId="0" fillId="0" borderId="2" xfId="0" applyNumberFormat="1" applyBorder="1" applyAlignment="1">
      <alignment vertical="center"/>
    </xf>
    <xf numFmtId="0" fontId="6" fillId="0" borderId="2" xfId="0" applyFont="1" applyBorder="1" applyAlignment="1">
      <alignment vertical="center"/>
    </xf>
    <xf numFmtId="41" fontId="6" fillId="0" borderId="2" xfId="0" applyNumberFormat="1" applyFont="1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7" xfId="0" applyBorder="1" applyAlignment="1">
      <alignment horizontal="right" vertical="center"/>
    </xf>
    <xf numFmtId="0" fontId="0" fillId="0" borderId="11" xfId="0" applyBorder="1" applyAlignment="1">
      <alignment horizontal="right" vertical="center" indent="1"/>
    </xf>
    <xf numFmtId="0" fontId="0" fillId="0" borderId="11" xfId="0" applyBorder="1" applyAlignment="1">
      <alignment horizontal="right" vertical="center" wrapText="1" indent="1"/>
    </xf>
    <xf numFmtId="0" fontId="0" fillId="0" borderId="14" xfId="0" applyBorder="1"/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6" xfId="0" applyBorder="1"/>
    <xf numFmtId="0" fontId="0" fillId="0" borderId="16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0" fontId="0" fillId="0" borderId="15" xfId="0" applyBorder="1" applyAlignment="1">
      <alignment horizontal="center" vertical="center" wrapText="1"/>
    </xf>
    <xf numFmtId="0" fontId="0" fillId="0" borderId="15" xfId="0" applyBorder="1"/>
    <xf numFmtId="0" fontId="0" fillId="0" borderId="0" xfId="0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5" borderId="0" xfId="0" applyFill="1"/>
    <xf numFmtId="0" fontId="0" fillId="5" borderId="0" xfId="0" applyFill="1" applyAlignment="1">
      <alignment vertical="center"/>
    </xf>
    <xf numFmtId="0" fontId="0" fillId="6" borderId="2" xfId="0" applyFill="1" applyBorder="1" applyAlignment="1">
      <alignment horizontal="left" vertical="center" indent="1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13" xfId="0" applyBorder="1"/>
    <xf numFmtId="0" fontId="0" fillId="0" borderId="17" xfId="0" applyBorder="1"/>
    <xf numFmtId="0" fontId="0" fillId="0" borderId="11" xfId="0" applyBorder="1"/>
    <xf numFmtId="0" fontId="0" fillId="0" borderId="19" xfId="0" applyBorder="1"/>
    <xf numFmtId="14" fontId="10" fillId="0" borderId="0" xfId="0" applyNumberFormat="1" applyFont="1" applyAlignment="1">
      <alignment horizontal="center" vertical="center"/>
    </xf>
    <xf numFmtId="0" fontId="10" fillId="0" borderId="0" xfId="0" applyNumberFormat="1" applyFont="1"/>
    <xf numFmtId="14" fontId="10" fillId="0" borderId="0" xfId="0" applyNumberFormat="1" applyFont="1" applyAlignment="1">
      <alignment horizontal="center"/>
    </xf>
    <xf numFmtId="0" fontId="10" fillId="0" borderId="0" xfId="0" applyNumberFormat="1" applyFont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10" fillId="4" borderId="0" xfId="0" applyNumberFormat="1" applyFont="1" applyFill="1"/>
    <xf numFmtId="14" fontId="10" fillId="4" borderId="0" xfId="0" applyNumberFormat="1" applyFont="1" applyFill="1" applyAlignment="1">
      <alignment horizontal="center" vertical="center"/>
    </xf>
    <xf numFmtId="14" fontId="10" fillId="4" borderId="0" xfId="0" applyNumberFormat="1" applyFont="1" applyFill="1" applyAlignment="1">
      <alignment horizontal="center"/>
    </xf>
    <xf numFmtId="0" fontId="10" fillId="4" borderId="0" xfId="0" applyNumberFormat="1" applyFont="1" applyFill="1" applyAlignment="1">
      <alignment horizontal="center" vertical="center"/>
    </xf>
    <xf numFmtId="0" fontId="10" fillId="4" borderId="0" xfId="0" applyFont="1" applyFill="1"/>
    <xf numFmtId="14" fontId="10" fillId="4" borderId="0" xfId="0" applyNumberFormat="1" applyFont="1" applyFill="1"/>
    <xf numFmtId="14" fontId="0" fillId="0" borderId="2" xfId="0" applyNumberFormat="1" applyFill="1" applyBorder="1" applyAlignment="1" applyProtection="1">
      <alignment horizontal="left" vertical="center" indent="1"/>
      <protection locked="0"/>
    </xf>
    <xf numFmtId="14" fontId="0" fillId="0" borderId="2" xfId="0" applyNumberFormat="1" applyBorder="1" applyAlignment="1" applyProtection="1">
      <alignment horizontal="left" vertical="center" indent="1"/>
      <protection locked="0"/>
    </xf>
    <xf numFmtId="0" fontId="0" fillId="6" borderId="2" xfId="0" applyFill="1" applyBorder="1" applyAlignment="1" applyProtection="1">
      <alignment horizontal="left" vertical="center" indent="1"/>
    </xf>
    <xf numFmtId="0" fontId="0" fillId="0" borderId="2" xfId="0" applyBorder="1" applyAlignment="1" applyProtection="1">
      <alignment horizontal="left" vertical="center" indent="1"/>
      <protection locked="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5" borderId="17" xfId="0" applyFill="1" applyBorder="1"/>
    <xf numFmtId="0" fontId="0" fillId="5" borderId="7" xfId="0" applyFill="1" applyBorder="1"/>
    <xf numFmtId="0" fontId="0" fillId="5" borderId="18" xfId="0" applyFill="1" applyBorder="1"/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3" xfId="0" applyNumberFormat="1" applyBorder="1" applyAlignment="1">
      <alignment vertical="center"/>
    </xf>
    <xf numFmtId="0" fontId="0" fillId="0" borderId="24" xfId="0" applyNumberFormat="1" applyBorder="1" applyAlignment="1">
      <alignment horizontal="center" vertical="center"/>
    </xf>
    <xf numFmtId="0" fontId="0" fillId="0" borderId="25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vertical="center"/>
    </xf>
    <xf numFmtId="0" fontId="0" fillId="0" borderId="12" xfId="0" applyBorder="1"/>
    <xf numFmtId="14" fontId="0" fillId="0" borderId="2" xfId="0" applyNumberFormat="1" applyBorder="1" applyAlignment="1" applyProtection="1">
      <alignment horizontal="left" vertical="center"/>
      <protection locked="0"/>
    </xf>
    <xf numFmtId="14" fontId="0" fillId="6" borderId="2" xfId="0" applyNumberFormat="1" applyFill="1" applyBorder="1" applyAlignment="1" applyProtection="1">
      <alignment horizontal="left" vertical="center" indent="1"/>
    </xf>
    <xf numFmtId="0" fontId="0" fillId="0" borderId="2" xfId="0" applyBorder="1" applyAlignment="1">
      <alignment horizontal="center" vertical="center"/>
    </xf>
    <xf numFmtId="0" fontId="14" fillId="8" borderId="8" xfId="0" applyFont="1" applyFill="1" applyBorder="1" applyAlignment="1">
      <alignment horizontal="center" vertical="center"/>
    </xf>
    <xf numFmtId="0" fontId="0" fillId="5" borderId="0" xfId="0" quotePrefix="1" applyFill="1"/>
    <xf numFmtId="0" fontId="15" fillId="0" borderId="9" xfId="0" applyFont="1" applyBorder="1" applyAlignment="1">
      <alignment horizontal="right" vertical="center"/>
    </xf>
    <xf numFmtId="0" fontId="16" fillId="0" borderId="9" xfId="0" applyFont="1" applyBorder="1" applyAlignment="1">
      <alignment horizontal="right" vertical="center"/>
    </xf>
    <xf numFmtId="0" fontId="15" fillId="0" borderId="10" xfId="0" applyFont="1" applyBorder="1" applyAlignment="1">
      <alignment horizontal="right" vertical="center" indent="1"/>
    </xf>
    <xf numFmtId="0" fontId="16" fillId="0" borderId="10" xfId="0" applyFont="1" applyBorder="1" applyAlignment="1">
      <alignment horizontal="right" vertical="center" indent="1"/>
    </xf>
    <xf numFmtId="3" fontId="10" fillId="0" borderId="0" xfId="0" applyNumberFormat="1" applyFont="1"/>
    <xf numFmtId="3" fontId="10" fillId="4" borderId="0" xfId="0" applyNumberFormat="1" applyFont="1" applyFill="1"/>
    <xf numFmtId="0" fontId="0" fillId="5" borderId="10" xfId="0" applyFill="1" applyBorder="1"/>
    <xf numFmtId="0" fontId="0" fillId="5" borderId="3" xfId="0" applyFill="1" applyBorder="1"/>
    <xf numFmtId="0" fontId="0" fillId="0" borderId="21" xfId="0" applyFill="1" applyBorder="1" applyAlignment="1">
      <alignment horizontal="center" vertical="center"/>
    </xf>
    <xf numFmtId="0" fontId="0" fillId="0" borderId="22" xfId="0" applyBorder="1"/>
    <xf numFmtId="0" fontId="0" fillId="0" borderId="24" xfId="0" applyNumberFormat="1" applyFill="1" applyBorder="1" applyAlignment="1">
      <alignment horizontal="center" vertical="center"/>
    </xf>
    <xf numFmtId="0" fontId="0" fillId="0" borderId="25" xfId="0" applyBorder="1"/>
    <xf numFmtId="0" fontId="0" fillId="0" borderId="0" xfId="0" applyBorder="1"/>
    <xf numFmtId="0" fontId="0" fillId="0" borderId="7" xfId="0" applyBorder="1"/>
    <xf numFmtId="0" fontId="15" fillId="0" borderId="27" xfId="0" applyFont="1" applyBorder="1" applyAlignment="1" applyProtection="1">
      <alignment horizontal="center" vertical="center"/>
      <protection locked="0"/>
    </xf>
    <xf numFmtId="0" fontId="16" fillId="0" borderId="27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>
      <alignment horizontal="center" vertical="center" wrapText="1"/>
    </xf>
    <xf numFmtId="0" fontId="0" fillId="0" borderId="18" xfId="0" applyBorder="1"/>
    <xf numFmtId="14" fontId="0" fillId="0" borderId="26" xfId="0" applyNumberFormat="1" applyBorder="1"/>
    <xf numFmtId="0" fontId="17" fillId="0" borderId="15" xfId="0" applyFont="1" applyBorder="1"/>
    <xf numFmtId="0" fontId="18" fillId="6" borderId="8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right" vertical="center" indent="1"/>
    </xf>
    <xf numFmtId="0" fontId="0" fillId="0" borderId="0" xfId="0" applyAlignment="1">
      <alignment horizontal="center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11" xfId="0" applyBorder="1" applyAlignment="1">
      <alignment horizontal="right" vertical="center"/>
    </xf>
    <xf numFmtId="0" fontId="0" fillId="9" borderId="2" xfId="0" applyFill="1" applyBorder="1" applyAlignment="1" applyProtection="1">
      <alignment horizontal="left" vertical="center" indent="1"/>
    </xf>
    <xf numFmtId="0" fontId="0" fillId="9" borderId="2" xfId="0" applyFill="1" applyBorder="1" applyAlignment="1">
      <alignment horizontal="left" vertical="center" indent="1"/>
    </xf>
    <xf numFmtId="0" fontId="6" fillId="0" borderId="2" xfId="0" applyFont="1" applyBorder="1" applyAlignment="1">
      <alignment horizontal="center" vertical="center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2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2" xfId="0" applyFill="1" applyBorder="1" applyAlignment="1" applyProtection="1">
      <alignment horizontal="left" vertical="center" indent="1"/>
      <protection hidden="1"/>
    </xf>
    <xf numFmtId="14" fontId="0" fillId="7" borderId="0" xfId="0" applyNumberFormat="1" applyFill="1" applyAlignment="1">
      <alignment horizontal="center" vertical="center"/>
    </xf>
    <xf numFmtId="14" fontId="0" fillId="8" borderId="0" xfId="0" applyNumberFormat="1" applyFill="1" applyAlignment="1">
      <alignment horizontal="center" vertical="center"/>
    </xf>
    <xf numFmtId="0" fontId="0" fillId="0" borderId="9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/>
    <xf numFmtId="14" fontId="0" fillId="0" borderId="2" xfId="0" applyNumberFormat="1" applyBorder="1"/>
    <xf numFmtId="0" fontId="0" fillId="5" borderId="12" xfId="0" applyFill="1" applyBorder="1"/>
    <xf numFmtId="0" fontId="13" fillId="7" borderId="13" xfId="0" applyFont="1" applyFill="1" applyBorder="1" applyAlignment="1">
      <alignment horizontal="center" vertical="center"/>
    </xf>
    <xf numFmtId="0" fontId="12" fillId="0" borderId="2" xfId="0" applyNumberFormat="1" applyFont="1" applyBorder="1" applyAlignment="1">
      <alignment horizontal="center" vertical="center"/>
    </xf>
    <xf numFmtId="0" fontId="12" fillId="0" borderId="2" xfId="0" applyNumberFormat="1" applyFont="1" applyBorder="1" applyAlignment="1">
      <alignment vertical="center"/>
    </xf>
    <xf numFmtId="14" fontId="12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23" fillId="10" borderId="34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/>
      <protection locked="0"/>
    </xf>
    <xf numFmtId="0" fontId="23" fillId="10" borderId="36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3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3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/>
    </xf>
    <xf numFmtId="14" fontId="12" fillId="0" borderId="2" xfId="0" applyNumberFormat="1" applyFont="1" applyBorder="1" applyAlignment="1">
      <alignment vertical="center"/>
    </xf>
    <xf numFmtId="3" fontId="12" fillId="0" borderId="2" xfId="0" applyNumberFormat="1" applyFont="1" applyBorder="1" applyAlignment="1">
      <alignment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7" fillId="0" borderId="2" xfId="0" applyFont="1" applyBorder="1" applyAlignment="1">
      <alignment vertical="center"/>
    </xf>
    <xf numFmtId="0" fontId="27" fillId="8" borderId="11" xfId="5" applyFont="1" applyFill="1" applyBorder="1" applyAlignment="1" applyProtection="1">
      <alignment horizontal="left" vertical="center" indent="1"/>
    </xf>
    <xf numFmtId="0" fontId="27" fillId="7" borderId="15" xfId="5" applyFont="1" applyFill="1" applyBorder="1" applyAlignment="1" applyProtection="1">
      <alignment horizontal="left" vertical="center" indent="1"/>
    </xf>
    <xf numFmtId="0" fontId="27" fillId="6" borderId="11" xfId="5" applyFont="1" applyFill="1" applyBorder="1" applyAlignment="1" applyProtection="1">
      <alignment horizontal="left" vertical="center" indent="1"/>
    </xf>
    <xf numFmtId="0" fontId="27" fillId="8" borderId="19" xfId="5" applyFont="1" applyFill="1" applyBorder="1" applyAlignment="1" applyProtection="1">
      <alignment horizontal="left" vertical="center" indent="1"/>
    </xf>
    <xf numFmtId="0" fontId="27" fillId="7" borderId="17" xfId="5" applyFont="1" applyFill="1" applyBorder="1" applyAlignment="1" applyProtection="1">
      <alignment horizontal="left" vertical="center" indent="1"/>
    </xf>
    <xf numFmtId="0" fontId="27" fillId="6" borderId="19" xfId="5" applyFont="1" applyFill="1" applyBorder="1" applyAlignment="1" applyProtection="1">
      <alignment horizontal="left" vertical="center" indent="1"/>
    </xf>
    <xf numFmtId="14" fontId="11" fillId="0" borderId="2" xfId="1" applyNumberFormat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vertical="center"/>
      <protection locked="0"/>
    </xf>
    <xf numFmtId="14" fontId="11" fillId="0" borderId="2" xfId="0" applyNumberFormat="1" applyFont="1" applyFill="1" applyBorder="1" applyAlignment="1">
      <alignment horizontal="center" vertical="center"/>
    </xf>
    <xf numFmtId="0" fontId="11" fillId="0" borderId="2" xfId="0" applyNumberFormat="1" applyFont="1" applyFill="1" applyBorder="1" applyAlignment="1">
      <alignment vertical="center"/>
    </xf>
    <xf numFmtId="0" fontId="11" fillId="0" borderId="2" xfId="0" applyNumberFormat="1" applyFont="1" applyFill="1" applyBorder="1" applyAlignment="1">
      <alignment horizontal="center" vertical="center"/>
    </xf>
    <xf numFmtId="0" fontId="11" fillId="0" borderId="2" xfId="0" applyFont="1" applyFill="1" applyBorder="1" applyAlignment="1">
      <alignment vertical="center"/>
    </xf>
    <xf numFmtId="14" fontId="11" fillId="0" borderId="2" xfId="0" applyNumberFormat="1" applyFont="1" applyFill="1" applyBorder="1" applyAlignment="1">
      <alignment vertical="center"/>
    </xf>
    <xf numFmtId="3" fontId="11" fillId="0" borderId="2" xfId="0" applyNumberFormat="1" applyFont="1" applyFill="1" applyBorder="1" applyAlignment="1">
      <alignment vertical="center"/>
    </xf>
    <xf numFmtId="0" fontId="28" fillId="0" borderId="0" xfId="0" applyFont="1" applyFill="1"/>
    <xf numFmtId="0" fontId="11" fillId="0" borderId="2" xfId="1" applyNumberFormat="1" applyFont="1" applyFill="1" applyBorder="1" applyAlignment="1" applyProtection="1">
      <alignment horizontal="left" vertical="center" wrapText="1"/>
      <protection locked="0"/>
    </xf>
    <xf numFmtId="14" fontId="11" fillId="0" borderId="2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2" xfId="1" applyNumberFormat="1" applyFont="1" applyFill="1" applyBorder="1" applyAlignment="1" applyProtection="1">
      <alignment horizontal="center" vertical="center"/>
      <protection locked="0"/>
    </xf>
    <xf numFmtId="0" fontId="11" fillId="0" borderId="2" xfId="0" applyNumberFormat="1" applyFont="1" applyFill="1" applyBorder="1" applyAlignment="1">
      <alignment vertical="center" wrapText="1"/>
    </xf>
    <xf numFmtId="0" fontId="12" fillId="0" borderId="2" xfId="0" applyNumberFormat="1" applyFont="1" applyBorder="1" applyAlignment="1">
      <alignment vertical="center" wrapText="1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12" fillId="0" borderId="2" xfId="0" applyFont="1" applyBorder="1" applyAlignment="1">
      <alignment vertical="center" wrapText="1"/>
    </xf>
    <xf numFmtId="0" fontId="10" fillId="0" borderId="0" xfId="0" applyFont="1" applyAlignment="1">
      <alignment horizontal="center" shrinkToFit="1"/>
    </xf>
    <xf numFmtId="0" fontId="24" fillId="10" borderId="32" xfId="1" applyNumberFormat="1" applyFont="1" applyFill="1" applyBorder="1" applyAlignment="1" applyProtection="1">
      <alignment horizontal="center" vertical="center" wrapText="1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wrapText="1" shrinkToFit="1"/>
      <protection locked="0"/>
    </xf>
    <xf numFmtId="0" fontId="11" fillId="0" borderId="2" xfId="0" applyFont="1" applyFill="1" applyBorder="1" applyAlignment="1">
      <alignment horizontal="center" vertical="center" shrinkToFit="1"/>
    </xf>
    <xf numFmtId="0" fontId="12" fillId="0" borderId="2" xfId="0" applyFont="1" applyBorder="1" applyAlignment="1">
      <alignment horizontal="center" vertical="center" shrinkToFit="1"/>
    </xf>
    <xf numFmtId="0" fontId="10" fillId="4" borderId="0" xfId="0" applyFont="1" applyFill="1" applyAlignment="1">
      <alignment horizontal="center" shrinkToFit="1"/>
    </xf>
    <xf numFmtId="0" fontId="10" fillId="0" borderId="0" xfId="0" applyNumberFormat="1" applyFont="1" applyAlignment="1">
      <alignment horizontal="center" vertical="center" shrinkToFit="1"/>
    </xf>
    <xf numFmtId="0" fontId="24" fillId="10" borderId="32" xfId="1" applyNumberFormat="1" applyFont="1" applyFill="1" applyBorder="1" applyAlignment="1" applyProtection="1">
      <alignment horizontal="center" vertical="center" shrinkToFit="1"/>
      <protection locked="0"/>
    </xf>
    <xf numFmtId="0" fontId="23" fillId="10" borderId="35" xfId="1" applyNumberFormat="1" applyFont="1" applyFill="1" applyBorder="1" applyAlignment="1" applyProtection="1">
      <alignment horizontal="center" vertical="center" shrinkToFit="1"/>
      <protection locked="0"/>
    </xf>
    <xf numFmtId="0" fontId="11" fillId="0" borderId="2" xfId="0" applyNumberFormat="1" applyFont="1" applyFill="1" applyBorder="1" applyAlignment="1">
      <alignment horizontal="center" vertical="center" shrinkToFit="1"/>
    </xf>
    <xf numFmtId="0" fontId="11" fillId="0" borderId="2" xfId="1" applyNumberFormat="1" applyFont="1" applyFill="1" applyBorder="1" applyAlignment="1">
      <alignment horizontal="center" vertical="center" shrinkToFit="1"/>
    </xf>
    <xf numFmtId="0" fontId="12" fillId="0" borderId="2" xfId="0" applyNumberFormat="1" applyFont="1" applyBorder="1" applyAlignment="1">
      <alignment horizontal="center" vertical="center" shrinkToFit="1"/>
    </xf>
    <xf numFmtId="0" fontId="10" fillId="4" borderId="0" xfId="0" applyNumberFormat="1" applyFont="1" applyFill="1" applyAlignment="1">
      <alignment horizontal="center" vertical="center" shrinkToFit="1"/>
    </xf>
    <xf numFmtId="0" fontId="10" fillId="0" borderId="0" xfId="0" applyFont="1" applyAlignment="1">
      <alignment wrapText="1"/>
    </xf>
    <xf numFmtId="0" fontId="11" fillId="0" borderId="2" xfId="0" applyFont="1" applyFill="1" applyBorder="1" applyAlignment="1">
      <alignment vertical="center" wrapText="1"/>
    </xf>
    <xf numFmtId="0" fontId="10" fillId="4" borderId="0" xfId="0" applyFont="1" applyFill="1" applyAlignment="1">
      <alignment wrapText="1"/>
    </xf>
    <xf numFmtId="0" fontId="10" fillId="0" borderId="0" xfId="0" applyNumberFormat="1" applyFont="1" applyAlignment="1">
      <alignment wrapText="1"/>
    </xf>
    <xf numFmtId="0" fontId="10" fillId="4" borderId="0" xfId="0" applyNumberFormat="1" applyFont="1" applyFill="1" applyAlignment="1">
      <alignment wrapText="1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9" xfId="0" applyBorder="1" applyAlignment="1">
      <alignment horizontal="right" vertical="center" shrinkToFit="1"/>
    </xf>
    <xf numFmtId="14" fontId="25" fillId="0" borderId="9" xfId="0" applyNumberFormat="1" applyFont="1" applyFill="1" applyBorder="1" applyAlignment="1">
      <alignment horizontal="right" vertical="center" shrinkToFit="1"/>
    </xf>
    <xf numFmtId="0" fontId="6" fillId="0" borderId="2" xfId="0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11" fillId="0" borderId="2" xfId="1" applyNumberFormat="1" applyFont="1" applyFill="1" applyBorder="1" applyAlignment="1" applyProtection="1">
      <alignment horizontal="center" vertical="center"/>
      <protection hidden="1"/>
    </xf>
    <xf numFmtId="0" fontId="10" fillId="4" borderId="0" xfId="0" applyNumberFormat="1" applyFont="1" applyFill="1" applyAlignment="1">
      <alignment horizontal="center"/>
    </xf>
    <xf numFmtId="0" fontId="10" fillId="0" borderId="0" xfId="0" applyNumberFormat="1" applyFont="1" applyAlignment="1">
      <alignment horizontal="center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/>
    </xf>
    <xf numFmtId="14" fontId="0" fillId="0" borderId="4" xfId="0" applyNumberFormat="1" applyBorder="1" applyAlignment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vertical="center" wrapText="1"/>
    </xf>
    <xf numFmtId="14" fontId="0" fillId="0" borderId="5" xfId="0" applyNumberFormat="1" applyBorder="1" applyAlignment="1">
      <alignment vertical="center"/>
    </xf>
    <xf numFmtId="0" fontId="0" fillId="0" borderId="5" xfId="0" applyBorder="1" applyAlignment="1">
      <alignment vertical="center" shrinkToFit="1"/>
    </xf>
    <xf numFmtId="0" fontId="0" fillId="0" borderId="5" xfId="0" applyBorder="1" applyAlignment="1">
      <alignment vertical="center" wrapText="1"/>
    </xf>
    <xf numFmtId="14" fontId="0" fillId="0" borderId="12" xfId="0" applyNumberFormat="1" applyBorder="1" applyAlignment="1">
      <alignment vertical="center"/>
    </xf>
    <xf numFmtId="0" fontId="0" fillId="0" borderId="12" xfId="0" applyBorder="1" applyAlignment="1">
      <alignment vertical="center" shrinkToFit="1"/>
    </xf>
    <xf numFmtId="0" fontId="0" fillId="0" borderId="12" xfId="0" applyBorder="1" applyAlignment="1">
      <alignment vertical="center" wrapText="1"/>
    </xf>
    <xf numFmtId="0" fontId="0" fillId="0" borderId="0" xfId="0" applyAlignment="1">
      <alignment vertical="center" shrinkToFit="1"/>
    </xf>
    <xf numFmtId="14" fontId="0" fillId="0" borderId="4" xfId="0" applyNumberForma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26" xfId="0" applyNumberFormat="1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6" fillId="0" borderId="2" xfId="0" applyFont="1" applyBorder="1" applyAlignment="1">
      <alignment horizontal="center" vertical="center" wrapText="1"/>
    </xf>
    <xf numFmtId="0" fontId="12" fillId="0" borderId="2" xfId="0" applyFont="1" applyBorder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14" fontId="0" fillId="0" borderId="4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horizontal="center" vertical="center" shrinkToFit="1"/>
    </xf>
    <xf numFmtId="14" fontId="0" fillId="0" borderId="5" xfId="0" applyNumberFormat="1" applyBorder="1" applyAlignment="1">
      <alignment shrinkToFit="1"/>
    </xf>
    <xf numFmtId="14" fontId="0" fillId="0" borderId="6" xfId="0" applyNumberFormat="1" applyBorder="1" applyAlignment="1">
      <alignment shrinkToFit="1"/>
    </xf>
    <xf numFmtId="14" fontId="0" fillId="0" borderId="12" xfId="0" applyNumberFormat="1" applyBorder="1" applyAlignment="1">
      <alignment horizontal="center" vertical="center" shrinkToFit="1"/>
    </xf>
    <xf numFmtId="14" fontId="0" fillId="0" borderId="0" xfId="0" applyNumberFormat="1" applyAlignment="1">
      <alignment horizontal="center" vertical="center" shrinkToFit="1"/>
    </xf>
    <xf numFmtId="0" fontId="0" fillId="0" borderId="5" xfId="0" applyBorder="1" applyAlignment="1">
      <alignment shrinkToFit="1"/>
    </xf>
    <xf numFmtId="0" fontId="0" fillId="0" borderId="6" xfId="0" applyBorder="1" applyAlignment="1">
      <alignment shrinkToFit="1"/>
    </xf>
    <xf numFmtId="0" fontId="0" fillId="0" borderId="8" xfId="0" applyBorder="1" applyAlignment="1">
      <alignment shrinkToFit="1"/>
    </xf>
    <xf numFmtId="0" fontId="0" fillId="0" borderId="2" xfId="0" applyBorder="1" applyAlignment="1">
      <alignment shrinkToFit="1"/>
    </xf>
    <xf numFmtId="14" fontId="0" fillId="0" borderId="2" xfId="0" applyNumberFormat="1" applyBorder="1" applyAlignment="1">
      <alignment shrinkToFit="1"/>
    </xf>
    <xf numFmtId="0" fontId="0" fillId="0" borderId="2" xfId="0" applyBorder="1" applyAlignment="1">
      <alignment horizontal="center" shrinkToFit="1"/>
    </xf>
    <xf numFmtId="0" fontId="0" fillId="0" borderId="2" xfId="0" applyBorder="1" applyAlignment="1">
      <alignment wrapText="1" shrinkToFit="1"/>
    </xf>
    <xf numFmtId="0" fontId="0" fillId="0" borderId="2" xfId="0" applyBorder="1" applyAlignment="1">
      <alignment wrapText="1"/>
    </xf>
    <xf numFmtId="0" fontId="0" fillId="5" borderId="12" xfId="0" applyFill="1" applyBorder="1" applyAlignment="1">
      <alignment wrapText="1"/>
    </xf>
    <xf numFmtId="0" fontId="0" fillId="0" borderId="0" xfId="0" applyAlignment="1"/>
    <xf numFmtId="0" fontId="0" fillId="0" borderId="2" xfId="0" applyBorder="1" applyAlignment="1"/>
    <xf numFmtId="0" fontId="0" fillId="5" borderId="12" xfId="0" applyFill="1" applyBorder="1" applyAlignment="1"/>
    <xf numFmtId="14" fontId="0" fillId="7" borderId="3" xfId="0" applyNumberFormat="1" applyFill="1" applyBorder="1" applyAlignment="1">
      <alignment horizontal="center" vertical="center" shrinkToFit="1"/>
    </xf>
    <xf numFmtId="14" fontId="0" fillId="8" borderId="3" xfId="0" applyNumberFormat="1" applyFill="1" applyBorder="1" applyAlignment="1">
      <alignment horizontal="center" vertical="center" shrinkToFit="1"/>
    </xf>
    <xf numFmtId="0" fontId="0" fillId="0" borderId="0" xfId="0" applyAlignment="1">
      <alignment shrinkToFit="1"/>
    </xf>
    <xf numFmtId="0" fontId="7" fillId="0" borderId="0" xfId="0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shrinkToFit="1"/>
    </xf>
    <xf numFmtId="0" fontId="6" fillId="0" borderId="2" xfId="0" applyFont="1" applyBorder="1" applyAlignment="1">
      <alignment horizontal="center" vertical="center" wrapText="1"/>
    </xf>
    <xf numFmtId="0" fontId="0" fillId="0" borderId="0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4" fontId="0" fillId="5" borderId="12" xfId="0" applyNumberFormat="1" applyFill="1" applyBorder="1" applyAlignment="1">
      <alignment shrinkToFit="1"/>
    </xf>
    <xf numFmtId="14" fontId="0" fillId="0" borderId="0" xfId="0" applyNumberFormat="1" applyAlignment="1">
      <alignment shrinkToFit="1"/>
    </xf>
    <xf numFmtId="14" fontId="7" fillId="0" borderId="0" xfId="0" applyNumberFormat="1" applyFont="1" applyBorder="1" applyAlignment="1">
      <alignment vertical="center" shrinkToFit="1"/>
    </xf>
    <xf numFmtId="0" fontId="0" fillId="5" borderId="12" xfId="0" applyFill="1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0" fillId="0" borderId="8" xfId="0" applyBorder="1" applyAlignment="1">
      <alignment vertical="center" shrinkToFit="1"/>
    </xf>
    <xf numFmtId="0" fontId="0" fillId="0" borderId="2" xfId="0" applyBorder="1" applyAlignment="1">
      <alignment vertical="center" wrapText="1" shrinkToFit="1"/>
    </xf>
    <xf numFmtId="0" fontId="0" fillId="0" borderId="2" xfId="0" applyBorder="1" applyAlignment="1">
      <alignment vertical="center" shrinkToFit="1"/>
    </xf>
    <xf numFmtId="14" fontId="0" fillId="0" borderId="2" xfId="0" applyNumberFormat="1" applyBorder="1" applyAlignment="1">
      <alignment vertical="center" shrinkToFit="1"/>
    </xf>
    <xf numFmtId="0" fontId="0" fillId="0" borderId="2" xfId="0" applyBorder="1" applyAlignment="1">
      <alignment horizontal="center" vertical="center" shrinkToFit="1"/>
    </xf>
    <xf numFmtId="0" fontId="11" fillId="0" borderId="2" xfId="1" applyNumberFormat="1" applyFont="1" applyBorder="1" applyAlignment="1" applyProtection="1">
      <alignment vertical="center" wrapText="1"/>
      <protection hidden="1"/>
    </xf>
    <xf numFmtId="14" fontId="11" fillId="0" borderId="2" xfId="1" applyNumberFormat="1" applyFont="1" applyBorder="1" applyAlignment="1" applyProtection="1">
      <alignment horizontal="center" vertical="center" wrapText="1"/>
      <protection locked="0"/>
    </xf>
    <xf numFmtId="14" fontId="12" fillId="0" borderId="2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wrapText="1"/>
    </xf>
    <xf numFmtId="14" fontId="12" fillId="0" borderId="2" xfId="0" applyNumberFormat="1" applyFont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14" fontId="0" fillId="4" borderId="0" xfId="0" applyNumberFormat="1" applyFill="1" applyAlignment="1">
      <alignment horizontal="center" wrapText="1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0" fontId="14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top" wrapText="1"/>
    </xf>
    <xf numFmtId="0" fontId="26" fillId="0" borderId="0" xfId="0" applyFont="1" applyFill="1" applyAlignment="1">
      <alignment horizontal="center" vertical="top" wrapText="1"/>
    </xf>
    <xf numFmtId="0" fontId="7" fillId="0" borderId="13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 vertical="center"/>
    </xf>
    <xf numFmtId="0" fontId="0" fillId="0" borderId="15" xfId="0" quotePrefix="1" applyBorder="1" applyAlignment="1">
      <alignment horizontal="left" vertical="center" wrapText="1"/>
    </xf>
    <xf numFmtId="0" fontId="0" fillId="0" borderId="0" xfId="0" quotePrefix="1" applyBorder="1" applyAlignment="1">
      <alignment horizontal="left" vertical="center" wrapText="1"/>
    </xf>
    <xf numFmtId="0" fontId="7" fillId="0" borderId="15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left" vertical="center" wrapText="1"/>
    </xf>
    <xf numFmtId="0" fontId="21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29" xfId="1" applyNumberFormat="1" applyFont="1" applyFill="1" applyBorder="1" applyAlignment="1" applyProtection="1">
      <alignment horizontal="center" vertical="center" wrapText="1"/>
      <protection locked="0"/>
    </xf>
    <xf numFmtId="14" fontId="21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8" fillId="0" borderId="13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 indent="1"/>
      <protection locked="0"/>
    </xf>
    <xf numFmtId="0" fontId="0" fillId="0" borderId="10" xfId="0" applyBorder="1" applyAlignment="1" applyProtection="1">
      <alignment horizontal="left" vertical="center" wrapText="1" indent="1"/>
      <protection locked="0"/>
    </xf>
    <xf numFmtId="0" fontId="0" fillId="0" borderId="3" xfId="0" applyBorder="1" applyAlignment="1" applyProtection="1">
      <alignment horizontal="left" vertical="center" wrapText="1" indent="1"/>
      <protection locked="0"/>
    </xf>
    <xf numFmtId="0" fontId="0" fillId="0" borderId="9" xfId="0" applyBorder="1" applyAlignment="1" applyProtection="1">
      <alignment horizontal="left" vertical="center" indent="1"/>
      <protection locked="0"/>
    </xf>
    <xf numFmtId="0" fontId="0" fillId="0" borderId="10" xfId="0" applyBorder="1" applyAlignment="1" applyProtection="1">
      <alignment horizontal="left" vertical="center" indent="1"/>
      <protection locked="0"/>
    </xf>
    <xf numFmtId="0" fontId="0" fillId="0" borderId="3" xfId="0" applyBorder="1" applyAlignment="1" applyProtection="1">
      <alignment horizontal="left" vertical="center" indent="1"/>
      <protection locked="0"/>
    </xf>
    <xf numFmtId="0" fontId="0" fillId="0" borderId="16" xfId="0" applyBorder="1" applyAlignment="1">
      <alignment horizontal="right" vertical="center" indent="1"/>
    </xf>
    <xf numFmtId="0" fontId="15" fillId="0" borderId="10" xfId="0" applyFont="1" applyBorder="1" applyAlignment="1" applyProtection="1">
      <alignment vertical="center" shrinkToFit="1"/>
      <protection locked="0"/>
    </xf>
    <xf numFmtId="0" fontId="15" fillId="0" borderId="3" xfId="0" applyFont="1" applyBorder="1" applyAlignment="1" applyProtection="1">
      <alignment vertical="center" shrinkToFit="1"/>
      <protection locked="0"/>
    </xf>
    <xf numFmtId="0" fontId="16" fillId="0" borderId="10" xfId="0" applyFont="1" applyBorder="1" applyAlignment="1" applyProtection="1">
      <alignment vertical="center" shrinkToFit="1"/>
      <protection locked="0"/>
    </xf>
    <xf numFmtId="0" fontId="16" fillId="0" borderId="3" xfId="0" applyFont="1" applyBorder="1" applyAlignment="1" applyProtection="1">
      <alignment vertical="center" shrinkToFit="1"/>
      <protection locked="0"/>
    </xf>
    <xf numFmtId="0" fontId="8" fillId="0" borderId="14" xfId="0" applyFont="1" applyBorder="1" applyAlignment="1">
      <alignment horizontal="center" vertical="center"/>
    </xf>
    <xf numFmtId="0" fontId="0" fillId="0" borderId="9" xfId="0" applyBorder="1" applyAlignment="1" applyProtection="1">
      <alignment horizontal="left" vertical="center" wrapText="1"/>
      <protection locked="0"/>
    </xf>
    <xf numFmtId="0" fontId="0" fillId="0" borderId="10" xfId="0" applyBorder="1" applyAlignment="1" applyProtection="1">
      <alignment horizontal="left" vertical="center" wrapText="1"/>
      <protection locked="0"/>
    </xf>
    <xf numFmtId="0" fontId="0" fillId="0" borderId="3" xfId="0" applyBorder="1" applyAlignment="1" applyProtection="1">
      <alignment horizontal="left" vertical="center" wrapText="1"/>
      <protection locked="0"/>
    </xf>
    <xf numFmtId="0" fontId="0" fillId="0" borderId="9" xfId="0" applyBorder="1" applyAlignment="1" applyProtection="1">
      <alignment horizontal="left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alignment horizontal="left" vertical="center"/>
      <protection locked="0"/>
    </xf>
    <xf numFmtId="0" fontId="7" fillId="0" borderId="0" xfId="0" applyFont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 shrinkToFit="1"/>
    </xf>
    <xf numFmtId="14" fontId="6" fillId="0" borderId="2" xfId="0" applyNumberFormat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 shrinkToFit="1"/>
    </xf>
    <xf numFmtId="14" fontId="0" fillId="0" borderId="9" xfId="0" applyNumberFormat="1" applyBorder="1" applyAlignment="1">
      <alignment horizontal="center" vertical="center"/>
    </xf>
    <xf numFmtId="0" fontId="0" fillId="7" borderId="10" xfId="0" applyFill="1" applyBorder="1" applyAlignment="1">
      <alignment horizontal="left" vertical="center" shrinkToFit="1"/>
    </xf>
    <xf numFmtId="0" fontId="0" fillId="7" borderId="3" xfId="0" applyFill="1" applyBorder="1" applyAlignment="1">
      <alignment horizontal="left" vertical="center"/>
    </xf>
    <xf numFmtId="0" fontId="0" fillId="8" borderId="10" xfId="0" applyFill="1" applyBorder="1" applyAlignment="1">
      <alignment horizontal="left" vertical="center" shrinkToFit="1"/>
    </xf>
    <xf numFmtId="0" fontId="0" fillId="8" borderId="3" xfId="0" applyFill="1" applyBorder="1" applyAlignment="1">
      <alignment horizontal="left" vertical="center"/>
    </xf>
    <xf numFmtId="0" fontId="0" fillId="6" borderId="10" xfId="0" applyFill="1" applyBorder="1" applyAlignment="1">
      <alignment horizontal="left" vertical="center" shrinkToFit="1"/>
    </xf>
    <xf numFmtId="0" fontId="0" fillId="6" borderId="3" xfId="0" applyFill="1" applyBorder="1" applyAlignment="1">
      <alignment horizontal="left" vertical="center"/>
    </xf>
    <xf numFmtId="0" fontId="9" fillId="0" borderId="7" xfId="0" applyNumberFormat="1" applyFont="1" applyBorder="1" applyAlignment="1">
      <alignment horizontal="left" vertical="center"/>
    </xf>
    <xf numFmtId="0" fontId="24" fillId="10" borderId="29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0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8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31" xfId="1" applyNumberFormat="1" applyFont="1" applyFill="1" applyBorder="1" applyAlignment="1" applyProtection="1">
      <alignment horizontal="center" vertical="center" wrapText="1"/>
      <protection locked="0"/>
    </xf>
    <xf numFmtId="0" fontId="24" fillId="10" borderId="29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/>
      <protection locked="0"/>
    </xf>
    <xf numFmtId="14" fontId="24" fillId="10" borderId="29" xfId="1" applyNumberFormat="1" applyFont="1" applyFill="1" applyBorder="1" applyAlignment="1" applyProtection="1">
      <alignment horizontal="center" vertical="center"/>
      <protection locked="0"/>
    </xf>
    <xf numFmtId="14" fontId="24" fillId="10" borderId="32" xfId="1" applyNumberFormat="1" applyFont="1" applyFill="1" applyBorder="1" applyAlignment="1" applyProtection="1">
      <alignment horizontal="center" vertical="center"/>
      <protection locked="0"/>
    </xf>
    <xf numFmtId="0" fontId="24" fillId="10" borderId="32" xfId="1" applyNumberFormat="1" applyFont="1" applyFill="1" applyBorder="1" applyAlignment="1" applyProtection="1">
      <alignment horizontal="center" vertical="center" wrapText="1"/>
      <protection locked="0"/>
    </xf>
    <xf numFmtId="0" fontId="0" fillId="6" borderId="9" xfId="0" applyFill="1" applyBorder="1" applyAlignment="1" applyProtection="1">
      <alignment horizontal="left" vertical="center" wrapText="1"/>
    </xf>
    <xf numFmtId="0" fontId="0" fillId="6" borderId="10" xfId="0" applyFill="1" applyBorder="1" applyAlignment="1" applyProtection="1">
      <alignment horizontal="left" vertical="center" wrapText="1"/>
    </xf>
    <xf numFmtId="0" fontId="0" fillId="6" borderId="3" xfId="0" applyFill="1" applyBorder="1" applyAlignment="1" applyProtection="1">
      <alignment horizontal="left" vertical="center" wrapText="1"/>
    </xf>
    <xf numFmtId="0" fontId="0" fillId="0" borderId="2" xfId="0" applyBorder="1" applyAlignment="1">
      <alignment horizontal="right" vertical="center" indent="1"/>
    </xf>
    <xf numFmtId="0" fontId="0" fillId="8" borderId="10" xfId="0" applyFill="1" applyBorder="1" applyAlignment="1">
      <alignment horizontal="center" vertical="center" shrinkToFit="1"/>
    </xf>
    <xf numFmtId="0" fontId="0" fillId="8" borderId="3" xfId="0" applyFill="1" applyBorder="1" applyAlignment="1">
      <alignment horizontal="left" vertical="center" wrapText="1"/>
    </xf>
    <xf numFmtId="0" fontId="0" fillId="7" borderId="10" xfId="0" applyFill="1" applyBorder="1" applyAlignment="1">
      <alignment horizontal="center" vertical="center" shrinkToFit="1"/>
    </xf>
    <xf numFmtId="0" fontId="0" fillId="7" borderId="3" xfId="0" applyFill="1" applyBorder="1" applyAlignment="1">
      <alignment horizontal="left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14" fontId="6" fillId="0" borderId="2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</cellXfs>
  <cellStyles count="6">
    <cellStyle name="20% - Accent6 2" xfId="2"/>
    <cellStyle name="Accent1 2" xfId="3"/>
    <cellStyle name="Heading 1 2" xfId="4"/>
    <cellStyle name="Hyperlink" xfId="5" builtinId="8"/>
    <cellStyle name="Normal" xfId="0" builtinId="0"/>
    <cellStyle name="Normal 2" xfId="1"/>
  </cellStyles>
  <dxfs count="5">
    <dxf>
      <fill>
        <patternFill>
          <bgColor theme="9" tint="0.59996337778862885"/>
        </patternFill>
      </fill>
    </dxf>
    <dxf>
      <font>
        <color theme="1" tint="0.34998626667073579"/>
      </font>
      <fill>
        <patternFill>
          <bgColor theme="0" tint="-0.14996795556505021"/>
        </patternFill>
      </fill>
    </dxf>
    <dxf>
      <font>
        <color rgb="FFFF0000"/>
      </font>
    </dxf>
    <dxf>
      <font>
        <color rgb="FF0000FF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theme="0" tint="-4.9989318521683403E-2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9525</xdr:rowOff>
    </xdr:from>
    <xdr:to>
      <xdr:col>4</xdr:col>
      <xdr:colOff>0</xdr:colOff>
      <xdr:row>15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9525"/>
          <a:ext cx="2724149" cy="3276600"/>
        </a:xfrm>
        <a:prstGeom prst="rect">
          <a:avLst/>
        </a:prstGeom>
      </xdr:spPr>
    </xdr:pic>
    <xdr:clientData/>
  </xdr:twoCellAnchor>
  <xdr:twoCellAnchor>
    <xdr:from>
      <xdr:col>3</xdr:col>
      <xdr:colOff>657225</xdr:colOff>
      <xdr:row>6</xdr:row>
      <xdr:rowOff>9525</xdr:rowOff>
    </xdr:from>
    <xdr:to>
      <xdr:col>6</xdr:col>
      <xdr:colOff>2047875</xdr:colOff>
      <xdr:row>14</xdr:row>
      <xdr:rowOff>190500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714625" y="1447800"/>
          <a:ext cx="5953125" cy="181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Thiết kế: Lê Duy Nguyện</a:t>
          </a:r>
        </a:p>
        <a:p>
          <a:pPr algn="ctr"/>
          <a:endParaRPr lang="en-US" sz="8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Phòng Tổ chức</a:t>
          </a:r>
        </a:p>
        <a:p>
          <a:pPr algn="ctr"/>
          <a:endParaRPr lang="en-US" sz="800" b="1" i="1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200" b="1" i="1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Cục Chính trị - Binh chủng Hóa học</a:t>
          </a:r>
          <a:endParaRPr lang="vi-VN" sz="1200" b="1" i="1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66675</xdr:rowOff>
    </xdr:from>
    <xdr:to>
      <xdr:col>7</xdr:col>
      <xdr:colOff>171450</xdr:colOff>
      <xdr:row>13</xdr:row>
      <xdr:rowOff>28575</xdr:rowOff>
    </xdr:to>
    <xdr:sp macro="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3676650" y="466725"/>
          <a:ext cx="1295400" cy="2162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b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171450</xdr:colOff>
      <xdr:row>3</xdr:row>
      <xdr:rowOff>95250</xdr:rowOff>
    </xdr:from>
    <xdr:to>
      <xdr:col>5</xdr:col>
      <xdr:colOff>190500</xdr:colOff>
      <xdr:row>3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CxnSpPr/>
      </xdr:nvCxnSpPr>
      <xdr:spPr>
        <a:xfrm>
          <a:off x="1543050" y="695325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228600</xdr:colOff>
      <xdr:row>6</xdr:row>
      <xdr:rowOff>171450</xdr:rowOff>
    </xdr:from>
    <xdr:to>
      <xdr:col>5</xdr:col>
      <xdr:colOff>152400</xdr:colOff>
      <xdr:row>6</xdr:row>
      <xdr:rowOff>171451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>
          <a:off x="1600200" y="1371600"/>
          <a:ext cx="198120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180975</xdr:colOff>
      <xdr:row>10</xdr:row>
      <xdr:rowOff>47625</xdr:rowOff>
    </xdr:from>
    <xdr:to>
      <xdr:col>5</xdr:col>
      <xdr:colOff>180975</xdr:colOff>
      <xdr:row>10</xdr:row>
      <xdr:rowOff>47625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>
          <a:off x="1552575" y="2047875"/>
          <a:ext cx="205740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171451</xdr:colOff>
      <xdr:row>4</xdr:row>
      <xdr:rowOff>9524</xdr:rowOff>
    </xdr:from>
    <xdr:to>
      <xdr:col>5</xdr:col>
      <xdr:colOff>180978</xdr:colOff>
      <xdr:row>6</xdr:row>
      <xdr:rowOff>38099</xdr:rowOff>
    </xdr:to>
    <xdr:cxnSp macro="">
      <xdr:nvCxnSpPr>
        <xdr:cNvPr id="6" name="Elbow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 rot="10800000" flipV="1">
          <a:off x="1543051" y="809624"/>
          <a:ext cx="2066927" cy="42862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171450</xdr:colOff>
      <xdr:row>2</xdr:row>
      <xdr:rowOff>180974</xdr:rowOff>
    </xdr:from>
    <xdr:to>
      <xdr:col>2</xdr:col>
      <xdr:colOff>57150</xdr:colOff>
      <xdr:row>4</xdr:row>
      <xdr:rowOff>190500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171450" y="58102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3</xdr:row>
      <xdr:rowOff>9525</xdr:rowOff>
    </xdr:from>
    <xdr:to>
      <xdr:col>7</xdr:col>
      <xdr:colOff>95251</xdr:colOff>
      <xdr:row>5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3752851" y="609600"/>
          <a:ext cx="1143000" cy="3905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Chưa 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171450</xdr:colOff>
      <xdr:row>5</xdr:row>
      <xdr:rowOff>114300</xdr:rowOff>
    </xdr:from>
    <xdr:to>
      <xdr:col>2</xdr:col>
      <xdr:colOff>57150</xdr:colOff>
      <xdr:row>7</xdr:row>
      <xdr:rowOff>133350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171450" y="1114425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(chưa 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323851</xdr:colOff>
      <xdr:row>6</xdr:row>
      <xdr:rowOff>0</xdr:rowOff>
    </xdr:from>
    <xdr:to>
      <xdr:col>7</xdr:col>
      <xdr:colOff>95251</xdr:colOff>
      <xdr:row>7</xdr:row>
      <xdr:rowOff>180975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3752851" y="1200150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Đang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161925</xdr:colOff>
      <xdr:row>8</xdr:row>
      <xdr:rowOff>95250</xdr:rowOff>
    </xdr:from>
    <xdr:to>
      <xdr:col>2</xdr:col>
      <xdr:colOff>47625</xdr:colOff>
      <xdr:row>10</xdr:row>
      <xdr:rowOff>114300</xdr:rowOff>
    </xdr:to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61925" y="1695450"/>
          <a:ext cx="1257300" cy="4191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lý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(có kết quả)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314325</xdr:colOff>
      <xdr:row>8</xdr:row>
      <xdr:rowOff>180975</xdr:rowOff>
    </xdr:from>
    <xdr:to>
      <xdr:col>7</xdr:col>
      <xdr:colOff>85725</xdr:colOff>
      <xdr:row>10</xdr:row>
      <xdr:rowOff>161925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3743325" y="1781175"/>
          <a:ext cx="1143000" cy="38100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Đã xử lý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180979</xdr:colOff>
      <xdr:row>7</xdr:row>
      <xdr:rowOff>114299</xdr:rowOff>
    </xdr:from>
    <xdr:to>
      <xdr:col>5</xdr:col>
      <xdr:colOff>123826</xdr:colOff>
      <xdr:row>9</xdr:row>
      <xdr:rowOff>123824</xdr:rowOff>
    </xdr:to>
    <xdr:cxnSp macro="">
      <xdr:nvCxnSpPr>
        <xdr:cNvPr id="13" name="Elbow Connecto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CxnSpPr/>
      </xdr:nvCxnSpPr>
      <xdr:spPr>
        <a:xfrm rot="10800000" flipV="1">
          <a:off x="1552579" y="1514474"/>
          <a:ext cx="2000247" cy="409575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533400</xdr:colOff>
      <xdr:row>14</xdr:row>
      <xdr:rowOff>180974</xdr:rowOff>
    </xdr:from>
    <xdr:to>
      <xdr:col>5</xdr:col>
      <xdr:colOff>304800</xdr:colOff>
      <xdr:row>17</xdr:row>
      <xdr:rowOff>47624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25908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114300</xdr:colOff>
      <xdr:row>14</xdr:row>
      <xdr:rowOff>180974</xdr:rowOff>
    </xdr:from>
    <xdr:to>
      <xdr:col>8</xdr:col>
      <xdr:colOff>571500</xdr:colOff>
      <xdr:row>17</xdr:row>
      <xdr:rowOff>47624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4914900" y="2981324"/>
          <a:ext cx="1143000" cy="46672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208360</xdr:colOff>
      <xdr:row>13</xdr:row>
      <xdr:rowOff>28575</xdr:rowOff>
    </xdr:from>
    <xdr:to>
      <xdr:col>6</xdr:col>
      <xdr:colOff>209551</xdr:colOff>
      <xdr:row>16</xdr:row>
      <xdr:rowOff>5953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>
          <a:stCxn id="2" idx="2"/>
        </xdr:cNvCxnSpPr>
      </xdr:nvCxnSpPr>
      <xdr:spPr>
        <a:xfrm flipH="1">
          <a:off x="4316016" y="2695575"/>
          <a:ext cx="1191" cy="58459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304800</xdr:colOff>
      <xdr:row>16</xdr:row>
      <xdr:rowOff>14287</xdr:rowOff>
    </xdr:from>
    <xdr:to>
      <xdr:col>7</xdr:col>
      <xdr:colOff>114300</xdr:colOff>
      <xdr:row>16</xdr:row>
      <xdr:rowOff>14287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>
          <a:stCxn id="14" idx="3"/>
          <a:endCxn id="15" idx="1"/>
        </xdr:cNvCxnSpPr>
      </xdr:nvCxnSpPr>
      <xdr:spPr>
        <a:xfrm>
          <a:off x="3733800" y="3214687"/>
          <a:ext cx="118110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29</xdr:row>
      <xdr:rowOff>38100</xdr:rowOff>
    </xdr:from>
    <xdr:to>
      <xdr:col>7</xdr:col>
      <xdr:colOff>133350</xdr:colOff>
      <xdr:row>32</xdr:row>
      <xdr:rowOff>76200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3638550" y="6162675"/>
          <a:ext cx="1295400" cy="638175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/>
          <a:r>
            <a:rPr lang="en-US" sz="1200" b="1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Bảng</a:t>
          </a:r>
          <a:r>
            <a:rPr lang="en-US" sz="1200" b="1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kê</a:t>
          </a:r>
          <a:endParaRPr lang="vi-VN" sz="1200" b="1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133350</xdr:colOff>
      <xdr:row>30</xdr:row>
      <xdr:rowOff>152400</xdr:rowOff>
    </xdr:from>
    <xdr:to>
      <xdr:col>5</xdr:col>
      <xdr:colOff>152400</xdr:colOff>
      <xdr:row>30</xdr:row>
      <xdr:rowOff>152400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CxnSpPr/>
      </xdr:nvCxnSpPr>
      <xdr:spPr>
        <a:xfrm>
          <a:off x="1504950" y="6477000"/>
          <a:ext cx="20764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133350</xdr:colOff>
      <xdr:row>29</xdr:row>
      <xdr:rowOff>152399</xdr:rowOff>
    </xdr:from>
    <xdr:to>
      <xdr:col>2</xdr:col>
      <xdr:colOff>19050</xdr:colOff>
      <xdr:row>31</xdr:row>
      <xdr:rowOff>161925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133350" y="6276974"/>
          <a:ext cx="1257300" cy="4095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 VB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574675</xdr:colOff>
      <xdr:row>34</xdr:row>
      <xdr:rowOff>104773</xdr:rowOff>
    </xdr:from>
    <xdr:to>
      <xdr:col>5</xdr:col>
      <xdr:colOff>346075</xdr:colOff>
      <xdr:row>36</xdr:row>
      <xdr:rowOff>169861</xdr:rowOff>
    </xdr:to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2622550" y="7177086"/>
          <a:ext cx="1136650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 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tổng hợp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155575</xdr:colOff>
      <xdr:row>34</xdr:row>
      <xdr:rowOff>104773</xdr:rowOff>
    </xdr:from>
    <xdr:to>
      <xdr:col>8</xdr:col>
      <xdr:colOff>612775</xdr:colOff>
      <xdr:row>36</xdr:row>
      <xdr:rowOff>169861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4933950" y="7177086"/>
          <a:ext cx="1139825" cy="46196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Báo</a:t>
          </a:r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cáo</a:t>
          </a:r>
        </a:p>
        <a:p>
          <a:pPr algn="ctr"/>
          <a:r>
            <a:rPr lang="en-US" sz="1100" baseline="0">
              <a:solidFill>
                <a:srgbClr val="0000FF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chi tiết</a:t>
          </a:r>
          <a:endParaRPr lang="vi-VN"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171450</xdr:colOff>
      <xdr:row>32</xdr:row>
      <xdr:rowOff>76200</xdr:rowOff>
    </xdr:from>
    <xdr:to>
      <xdr:col>6</xdr:col>
      <xdr:colOff>182563</xdr:colOff>
      <xdr:row>35</xdr:row>
      <xdr:rowOff>120968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CxnSpPr>
          <a:stCxn id="20" idx="2"/>
        </xdr:cNvCxnSpPr>
      </xdr:nvCxnSpPr>
      <xdr:spPr>
        <a:xfrm>
          <a:off x="4267200" y="6751638"/>
          <a:ext cx="11113" cy="64008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346075</xdr:colOff>
      <xdr:row>35</xdr:row>
      <xdr:rowOff>138112</xdr:rowOff>
    </xdr:from>
    <xdr:to>
      <xdr:col>7</xdr:col>
      <xdr:colOff>155575</xdr:colOff>
      <xdr:row>35</xdr:row>
      <xdr:rowOff>138112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stCxn id="23" idx="3"/>
          <a:endCxn id="24" idx="1"/>
        </xdr:cNvCxnSpPr>
      </xdr:nvCxnSpPr>
      <xdr:spPr>
        <a:xfrm>
          <a:off x="3759200" y="7408862"/>
          <a:ext cx="1174750" cy="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60960</xdr:colOff>
      <xdr:row>0</xdr:row>
      <xdr:rowOff>53340</xdr:rowOff>
    </xdr:from>
    <xdr:to>
      <xdr:col>11</xdr:col>
      <xdr:colOff>121920</xdr:colOff>
      <xdr:row>1</xdr:row>
      <xdr:rowOff>106680</xdr:rowOff>
    </xdr:to>
    <xdr:sp macro="[0]!Select_MENU" textlink="">
      <xdr:nvSpPr>
        <xdr:cNvPr id="27" name="Rectangle 26">
          <a:extLst>
            <a:ext uri="{FF2B5EF4-FFF2-40B4-BE49-F238E27FC236}">
              <a16:creationId xmlns:a16="http://schemas.microsoft.com/office/drawing/2014/main" id="{0649E31E-98E2-4037-864A-3C7E52526FFA}"/>
            </a:ext>
          </a:extLst>
        </xdr:cNvPr>
        <xdr:cNvSpPr/>
      </xdr:nvSpPr>
      <xdr:spPr>
        <a:xfrm>
          <a:off x="636270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45718</xdr:colOff>
      <xdr:row>0</xdr:row>
      <xdr:rowOff>40004</xdr:rowOff>
    </xdr:from>
    <xdr:to>
      <xdr:col>1</xdr:col>
      <xdr:colOff>777238</xdr:colOff>
      <xdr:row>0</xdr:row>
      <xdr:rowOff>314324</xdr:rowOff>
    </xdr:to>
    <xdr:sp macro="[0]!CVDI_New_Select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876298" y="40004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0</xdr:row>
      <xdr:rowOff>47625</xdr:rowOff>
    </xdr:from>
    <xdr:to>
      <xdr:col>0</xdr:col>
      <xdr:colOff>784860</xdr:colOff>
      <xdr:row>0</xdr:row>
      <xdr:rowOff>321945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3340" y="47625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38100</xdr:colOff>
      <xdr:row>2</xdr:row>
      <xdr:rowOff>129540</xdr:rowOff>
    </xdr:from>
    <xdr:to>
      <xdr:col>1</xdr:col>
      <xdr:colOff>769620</xdr:colOff>
      <xdr:row>2</xdr:row>
      <xdr:rowOff>412568</xdr:rowOff>
    </xdr:to>
    <xdr:sp macro="[0]!CV_Di_TB_XoaDong" textlink="">
      <xdr:nvSpPr>
        <xdr:cNvPr id="4" name="Rectangle 3">
          <a:extLst>
            <a:ext uri="{FF2B5EF4-FFF2-40B4-BE49-F238E27FC236}">
              <a16:creationId xmlns:a16="http://schemas.microsoft.com/office/drawing/2014/main" id="{566A0A51-68D7-44E1-8C18-30EB472417CC}"/>
            </a:ext>
          </a:extLst>
        </xdr:cNvPr>
        <xdr:cNvSpPr/>
      </xdr:nvSpPr>
      <xdr:spPr>
        <a:xfrm>
          <a:off x="86868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45720</xdr:colOff>
      <xdr:row>1</xdr:row>
      <xdr:rowOff>45720</xdr:rowOff>
    </xdr:from>
    <xdr:to>
      <xdr:col>1</xdr:col>
      <xdr:colOff>777240</xdr:colOff>
      <xdr:row>2</xdr:row>
      <xdr:rowOff>45720</xdr:rowOff>
    </xdr:to>
    <xdr:sp macro="[0]!CVDi_Edit_select" textlink="">
      <xdr:nvSpPr>
        <xdr:cNvPr id="5" name="Rectangle 4">
          <a:extLst>
            <a:ext uri="{FF2B5EF4-FFF2-40B4-BE49-F238E27FC236}">
              <a16:creationId xmlns:a16="http://schemas.microsoft.com/office/drawing/2014/main" id="{2DCD54BF-125C-42EE-8C1B-4BC7F785ED63}"/>
            </a:ext>
          </a:extLst>
        </xdr:cNvPr>
        <xdr:cNvSpPr/>
      </xdr:nvSpPr>
      <xdr:spPr>
        <a:xfrm>
          <a:off x="87630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Sửa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1</xdr:row>
      <xdr:rowOff>45720</xdr:rowOff>
    </xdr:from>
    <xdr:to>
      <xdr:col>0</xdr:col>
      <xdr:colOff>784860</xdr:colOff>
      <xdr:row>2</xdr:row>
      <xdr:rowOff>45720</xdr:rowOff>
    </xdr:to>
    <xdr:sp macro="[0]!CVDi_BCTH_Select" textlink="">
      <xdr:nvSpPr>
        <xdr:cNvPr id="6" name="Rectangle 5">
          <a:extLst>
            <a:ext uri="{FF2B5EF4-FFF2-40B4-BE49-F238E27FC236}">
              <a16:creationId xmlns:a16="http://schemas.microsoft.com/office/drawing/2014/main" id="{2DE278EC-2866-47CE-B207-479EC6384016}"/>
            </a:ext>
          </a:extLst>
        </xdr:cNvPr>
        <xdr:cNvSpPr/>
      </xdr:nvSpPr>
      <xdr:spPr>
        <a:xfrm>
          <a:off x="53340" y="42672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53340</xdr:colOff>
      <xdr:row>2</xdr:row>
      <xdr:rowOff>129540</xdr:rowOff>
    </xdr:from>
    <xdr:to>
      <xdr:col>0</xdr:col>
      <xdr:colOff>784860</xdr:colOff>
      <xdr:row>2</xdr:row>
      <xdr:rowOff>412568</xdr:rowOff>
    </xdr:to>
    <xdr:sp macro="[0]!CVDi_BCCT_Select" textlink="">
      <xdr:nvSpPr>
        <xdr:cNvPr id="7" name="Rectangle 6">
          <a:extLst>
            <a:ext uri="{FF2B5EF4-FFF2-40B4-BE49-F238E27FC236}">
              <a16:creationId xmlns:a16="http://schemas.microsoft.com/office/drawing/2014/main" id="{29ABD199-3BAE-44BF-A8D9-AF40865254B1}"/>
            </a:ext>
          </a:extLst>
        </xdr:cNvPr>
        <xdr:cNvSpPr/>
      </xdr:nvSpPr>
      <xdr:spPr>
        <a:xfrm>
          <a:off x="53340" y="784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271256</xdr:colOff>
      <xdr:row>2</xdr:row>
      <xdr:rowOff>442705</xdr:rowOff>
    </xdr:from>
    <xdr:to>
      <xdr:col>1</xdr:col>
      <xdr:colOff>533400</xdr:colOff>
      <xdr:row>3</xdr:row>
      <xdr:rowOff>228600</xdr:rowOff>
    </xdr:to>
    <xdr:sp macro="[0]!Save_BK_CV_Di_AsPDF" textlink="">
      <xdr:nvSpPr>
        <xdr:cNvPr id="8" name="Rectangle 7"/>
        <xdr:cNvSpPr/>
      </xdr:nvSpPr>
      <xdr:spPr>
        <a:xfrm>
          <a:off x="271256" y="1099930"/>
          <a:ext cx="1090819" cy="243095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1057276</xdr:colOff>
      <xdr:row>15</xdr:row>
      <xdr:rowOff>0</xdr:rowOff>
    </xdr:from>
    <xdr:to>
      <xdr:col>2</xdr:col>
      <xdr:colOff>611506</xdr:colOff>
      <xdr:row>16</xdr:row>
      <xdr:rowOff>74295</xdr:rowOff>
    </xdr:to>
    <xdr:sp macro="[0]!CVDI_New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066926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400050</xdr:colOff>
      <xdr:row>15</xdr:row>
      <xdr:rowOff>0</xdr:rowOff>
    </xdr:from>
    <xdr:to>
      <xdr:col>3</xdr:col>
      <xdr:colOff>1314450</xdr:colOff>
      <xdr:row>16</xdr:row>
      <xdr:rowOff>74295</xdr:rowOff>
    </xdr:to>
    <xdr:sp macro="[0]!CVDI_New_Rese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3743325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657225</xdr:colOff>
      <xdr:row>15</xdr:row>
      <xdr:rowOff>0</xdr:rowOff>
    </xdr:from>
    <xdr:to>
      <xdr:col>5</xdr:col>
      <xdr:colOff>514350</xdr:colOff>
      <xdr:row>16</xdr:row>
      <xdr:rowOff>74295</xdr:rowOff>
    </xdr:to>
    <xdr:sp macro="[0]!CVDi_New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5467350" y="2771775"/>
          <a:ext cx="914400" cy="274320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563880</xdr:colOff>
      <xdr:row>15</xdr:row>
      <xdr:rowOff>76200</xdr:rowOff>
    </xdr:from>
    <xdr:to>
      <xdr:col>3</xdr:col>
      <xdr:colOff>525780</xdr:colOff>
      <xdr:row>16</xdr:row>
      <xdr:rowOff>120015</xdr:rowOff>
    </xdr:to>
    <xdr:sp macro="[0]!CVDi_Edit_Save" textlink="">
      <xdr:nvSpPr>
        <xdr:cNvPr id="2" name="Rectangle 1">
          <a:extLst>
            <a:ext uri="{FF2B5EF4-FFF2-40B4-BE49-F238E27FC236}">
              <a16:creationId xmlns:a16="http://schemas.microsoft.com/office/drawing/2014/main" id="{5A6C2207-0804-41E0-B204-9778E2E2405B}"/>
            </a:ext>
          </a:extLst>
        </xdr:cNvPr>
        <xdr:cNvSpPr/>
      </xdr:nvSpPr>
      <xdr:spPr>
        <a:xfrm>
          <a:off x="3124200" y="3375660"/>
          <a:ext cx="102108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1028701</xdr:colOff>
      <xdr:row>15</xdr:row>
      <xdr:rowOff>76200</xdr:rowOff>
    </xdr:from>
    <xdr:to>
      <xdr:col>4</xdr:col>
      <xdr:colOff>434340</xdr:colOff>
      <xdr:row>16</xdr:row>
      <xdr:rowOff>120015</xdr:rowOff>
    </xdr:to>
    <xdr:sp macro="[0]!CVDi_Edit_Close" textlink="">
      <xdr:nvSpPr>
        <xdr:cNvPr id="4" name="Rectangle 3">
          <a:extLst>
            <a:ext uri="{FF2B5EF4-FFF2-40B4-BE49-F238E27FC236}">
              <a16:creationId xmlns:a16="http://schemas.microsoft.com/office/drawing/2014/main" id="{054DA79D-C626-4F7D-B1E6-3C01FA9E240E}"/>
            </a:ext>
          </a:extLst>
        </xdr:cNvPr>
        <xdr:cNvSpPr/>
      </xdr:nvSpPr>
      <xdr:spPr>
        <a:xfrm>
          <a:off x="4648201" y="3375660"/>
          <a:ext cx="868679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68580</xdr:colOff>
      <xdr:row>0</xdr:row>
      <xdr:rowOff>38100</xdr:rowOff>
    </xdr:from>
    <xdr:to>
      <xdr:col>1</xdr:col>
      <xdr:colOff>137160</xdr:colOff>
      <xdr:row>0</xdr:row>
      <xdr:rowOff>281940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5E42E09-D366-4282-8857-659BAE5B2FDA}"/>
            </a:ext>
          </a:extLst>
        </xdr:cNvPr>
        <xdr:cNvSpPr/>
      </xdr:nvSpPr>
      <xdr:spPr>
        <a:xfrm>
          <a:off x="68580" y="381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67733</xdr:colOff>
      <xdr:row>0</xdr:row>
      <xdr:rowOff>50800</xdr:rowOff>
    </xdr:from>
    <xdr:to>
      <xdr:col>1</xdr:col>
      <xdr:colOff>36406</xdr:colOff>
      <xdr:row>0</xdr:row>
      <xdr:rowOff>294640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087482AB-6AE9-4D9D-84AB-74D8CE39041B}"/>
            </a:ext>
          </a:extLst>
        </xdr:cNvPr>
        <xdr:cNvSpPr/>
      </xdr:nvSpPr>
      <xdr:spPr>
        <a:xfrm>
          <a:off x="67733" y="50800"/>
          <a:ext cx="739140" cy="24384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110488</xdr:colOff>
      <xdr:row>0</xdr:row>
      <xdr:rowOff>22860</xdr:rowOff>
    </xdr:from>
    <xdr:to>
      <xdr:col>1</xdr:col>
      <xdr:colOff>842008</xdr:colOff>
      <xdr:row>0</xdr:row>
      <xdr:rowOff>297180</xdr:rowOff>
    </xdr:to>
    <xdr:sp macro="[0]!CVDEN_New_Select" textlink="">
      <xdr:nvSpPr>
        <xdr:cNvPr id="4" name="Rectangle 3">
          <a:extLst>
            <a:ext uri="{FF2B5EF4-FFF2-40B4-BE49-F238E27FC236}">
              <a16:creationId xmlns:a16="http://schemas.microsoft.com/office/drawing/2014/main" id="{A43B8724-0E2D-491C-A893-1A82A440F241}"/>
            </a:ext>
          </a:extLst>
        </xdr:cNvPr>
        <xdr:cNvSpPr/>
      </xdr:nvSpPr>
      <xdr:spPr>
        <a:xfrm>
          <a:off x="853438" y="22860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</a:t>
          </a:r>
          <a:r>
            <a:rPr lang="en-US" sz="10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mới</a:t>
          </a:r>
          <a:endParaRPr lang="vi-VN" sz="10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0</xdr:row>
      <xdr:rowOff>30481</xdr:rowOff>
    </xdr:from>
    <xdr:to>
      <xdr:col>1</xdr:col>
      <xdr:colOff>19050</xdr:colOff>
      <xdr:row>0</xdr:row>
      <xdr:rowOff>304801</xdr:rowOff>
    </xdr:to>
    <xdr:sp macro="[0]!Select_MENU" textlink="">
      <xdr:nvSpPr>
        <xdr:cNvPr id="5" name="Rectangle 4">
          <a:extLst>
            <a:ext uri="{FF2B5EF4-FFF2-40B4-BE49-F238E27FC236}">
              <a16:creationId xmlns:a16="http://schemas.microsoft.com/office/drawing/2014/main" id="{68ADD395-F214-4554-A62D-6CA44DA89727}"/>
            </a:ext>
          </a:extLst>
        </xdr:cNvPr>
        <xdr:cNvSpPr/>
      </xdr:nvSpPr>
      <xdr:spPr>
        <a:xfrm>
          <a:off x="30480" y="30481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102870</xdr:colOff>
      <xdr:row>2</xdr:row>
      <xdr:rowOff>142876</xdr:rowOff>
    </xdr:from>
    <xdr:to>
      <xdr:col>1</xdr:col>
      <xdr:colOff>834390</xdr:colOff>
      <xdr:row>2</xdr:row>
      <xdr:rowOff>417645</xdr:rowOff>
    </xdr:to>
    <xdr:sp macro="[0]!CV_DEN_TB_XoaDong" textlink="">
      <xdr:nvSpPr>
        <xdr:cNvPr id="6" name="Rectangle 5">
          <a:extLst>
            <a:ext uri="{FF2B5EF4-FFF2-40B4-BE49-F238E27FC236}">
              <a16:creationId xmlns:a16="http://schemas.microsoft.com/office/drawing/2014/main" id="{44404BE0-46C7-46CE-B852-384270733974}"/>
            </a:ext>
          </a:extLst>
        </xdr:cNvPr>
        <xdr:cNvSpPr/>
      </xdr:nvSpPr>
      <xdr:spPr>
        <a:xfrm>
          <a:off x="84582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110490</xdr:colOff>
      <xdr:row>1</xdr:row>
      <xdr:rowOff>28576</xdr:rowOff>
    </xdr:from>
    <xdr:to>
      <xdr:col>1</xdr:col>
      <xdr:colOff>842010</xdr:colOff>
      <xdr:row>2</xdr:row>
      <xdr:rowOff>59056</xdr:rowOff>
    </xdr:to>
    <xdr:sp macro="[0]!CV_DEN_Edit_Select" textlink="">
      <xdr:nvSpPr>
        <xdr:cNvPr id="7" name="Rectangle 6">
          <a:extLst>
            <a:ext uri="{FF2B5EF4-FFF2-40B4-BE49-F238E27FC236}">
              <a16:creationId xmlns:a16="http://schemas.microsoft.com/office/drawing/2014/main" id="{F08E8551-A295-40A3-BC7E-0356EEDB9CD1}"/>
            </a:ext>
          </a:extLst>
        </xdr:cNvPr>
        <xdr:cNvSpPr/>
      </xdr:nvSpPr>
      <xdr:spPr>
        <a:xfrm>
          <a:off x="85344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Xử lý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1</xdr:row>
      <xdr:rowOff>28576</xdr:rowOff>
    </xdr:from>
    <xdr:to>
      <xdr:col>1</xdr:col>
      <xdr:colOff>19050</xdr:colOff>
      <xdr:row>2</xdr:row>
      <xdr:rowOff>59056</xdr:rowOff>
    </xdr:to>
    <xdr:sp macro="[0]!CVDi_BCTH_Select" textlink="">
      <xdr:nvSpPr>
        <xdr:cNvPr id="8" name="Rectangle 7">
          <a:extLst>
            <a:ext uri="{FF2B5EF4-FFF2-40B4-BE49-F238E27FC236}">
              <a16:creationId xmlns:a16="http://schemas.microsoft.com/office/drawing/2014/main" id="{23F86131-6F57-4576-A144-B033B550B3D9}"/>
            </a:ext>
          </a:extLst>
        </xdr:cNvPr>
        <xdr:cNvSpPr/>
      </xdr:nvSpPr>
      <xdr:spPr>
        <a:xfrm>
          <a:off x="30480" y="40957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BCTH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0</xdr:col>
      <xdr:colOff>30480</xdr:colOff>
      <xdr:row>2</xdr:row>
      <xdr:rowOff>142876</xdr:rowOff>
    </xdr:from>
    <xdr:to>
      <xdr:col>1</xdr:col>
      <xdr:colOff>19050</xdr:colOff>
      <xdr:row>2</xdr:row>
      <xdr:rowOff>417645</xdr:rowOff>
    </xdr:to>
    <xdr:sp macro="[0]!CVDi_BCCT_Select" textlink="">
      <xdr:nvSpPr>
        <xdr:cNvPr id="9" name="Rectangle 8">
          <a:extLst>
            <a:ext uri="{FF2B5EF4-FFF2-40B4-BE49-F238E27FC236}">
              <a16:creationId xmlns:a16="http://schemas.microsoft.com/office/drawing/2014/main" id="{6588AD33-2DFF-47FA-A3CB-B5E5FB66D539}"/>
            </a:ext>
          </a:extLst>
        </xdr:cNvPr>
        <xdr:cNvSpPr/>
      </xdr:nvSpPr>
      <xdr:spPr>
        <a:xfrm>
          <a:off x="30480" y="767716"/>
          <a:ext cx="73152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BCCT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123264</xdr:colOff>
      <xdr:row>2</xdr:row>
      <xdr:rowOff>515470</xdr:rowOff>
    </xdr:from>
    <xdr:to>
      <xdr:col>1</xdr:col>
      <xdr:colOff>717177</xdr:colOff>
      <xdr:row>3</xdr:row>
      <xdr:rowOff>302558</xdr:rowOff>
    </xdr:to>
    <xdr:sp macro="[0]!Save_BK_CV_Den_AsPDF" textlink="">
      <xdr:nvSpPr>
        <xdr:cNvPr id="2" name="Rectangle 1"/>
        <xdr:cNvSpPr/>
      </xdr:nvSpPr>
      <xdr:spPr>
        <a:xfrm>
          <a:off x="123264" y="1142999"/>
          <a:ext cx="1333501" cy="324971"/>
        </a:xfrm>
        <a:prstGeom prst="rect">
          <a:avLst/>
        </a:prstGeom>
        <a:solidFill>
          <a:schemeClr val="accent3">
            <a:lumMod val="75000"/>
          </a:schemeClr>
        </a:solidFill>
        <a:ln w="1270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 to PDF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746760</xdr:colOff>
      <xdr:row>11</xdr:row>
      <xdr:rowOff>0</xdr:rowOff>
    </xdr:from>
    <xdr:to>
      <xdr:col>2</xdr:col>
      <xdr:colOff>384810</xdr:colOff>
      <xdr:row>12</xdr:row>
      <xdr:rowOff>74295</xdr:rowOff>
    </xdr:to>
    <xdr:sp macro="[0]!CVDEN_New_Save" textlink="">
      <xdr:nvSpPr>
        <xdr:cNvPr id="5" name="Rectangle 4">
          <a:extLst>
            <a:ext uri="{FF2B5EF4-FFF2-40B4-BE49-F238E27FC236}">
              <a16:creationId xmlns:a16="http://schemas.microsoft.com/office/drawing/2014/main" id="{DBB7084F-84A6-4E82-871A-8ED032F741A4}"/>
            </a:ext>
          </a:extLst>
        </xdr:cNvPr>
        <xdr:cNvSpPr/>
      </xdr:nvSpPr>
      <xdr:spPr>
        <a:xfrm>
          <a:off x="1752600" y="2857500"/>
          <a:ext cx="91059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173354</xdr:colOff>
      <xdr:row>11</xdr:row>
      <xdr:rowOff>0</xdr:rowOff>
    </xdr:from>
    <xdr:to>
      <xdr:col>3</xdr:col>
      <xdr:colOff>1087754</xdr:colOff>
      <xdr:row>12</xdr:row>
      <xdr:rowOff>74295</xdr:rowOff>
    </xdr:to>
    <xdr:sp macro="[0]!CVDEN_New_Reset" textlink="">
      <xdr:nvSpPr>
        <xdr:cNvPr id="6" name="Rectangle 5">
          <a:extLst>
            <a:ext uri="{FF2B5EF4-FFF2-40B4-BE49-F238E27FC236}">
              <a16:creationId xmlns:a16="http://schemas.microsoft.com/office/drawing/2014/main" id="{0CD29023-FA72-4E02-B4AF-46BDB5CA3371}"/>
            </a:ext>
          </a:extLst>
        </xdr:cNvPr>
        <xdr:cNvSpPr/>
      </xdr:nvSpPr>
      <xdr:spPr>
        <a:xfrm>
          <a:off x="3510914" y="2857500"/>
          <a:ext cx="914400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lại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430529</xdr:colOff>
      <xdr:row>11</xdr:row>
      <xdr:rowOff>0</xdr:rowOff>
    </xdr:from>
    <xdr:to>
      <xdr:col>5</xdr:col>
      <xdr:colOff>287654</xdr:colOff>
      <xdr:row>12</xdr:row>
      <xdr:rowOff>74295</xdr:rowOff>
    </xdr:to>
    <xdr:sp macro="[0]!CVDEN_New_Close" textlink="">
      <xdr:nvSpPr>
        <xdr:cNvPr id="7" name="Rectangle 6">
          <a:extLst>
            <a:ext uri="{FF2B5EF4-FFF2-40B4-BE49-F238E27FC236}">
              <a16:creationId xmlns:a16="http://schemas.microsoft.com/office/drawing/2014/main" id="{6FB5FD4F-B0C7-4CE4-94C1-0479D30B028A}"/>
            </a:ext>
          </a:extLst>
        </xdr:cNvPr>
        <xdr:cNvSpPr/>
      </xdr:nvSpPr>
      <xdr:spPr>
        <a:xfrm>
          <a:off x="5231129" y="2857500"/>
          <a:ext cx="916305" cy="272415"/>
        </a:xfrm>
        <a:prstGeom prst="rect">
          <a:avLst/>
        </a:prstGeom>
        <a:solidFill>
          <a:srgbClr val="00206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381001</xdr:colOff>
      <xdr:row>13</xdr:row>
      <xdr:rowOff>200025</xdr:rowOff>
    </xdr:from>
    <xdr:to>
      <xdr:col>3</xdr:col>
      <xdr:colOff>323851</xdr:colOff>
      <xdr:row>14</xdr:row>
      <xdr:rowOff>169545</xdr:rowOff>
    </xdr:to>
    <xdr:sp macro="[0]!CV_DEN_Edit_Save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52726" y="3457575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Ghi dữ</a:t>
          </a:r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liệu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3</xdr:col>
      <xdr:colOff>828674</xdr:colOff>
      <xdr:row>13</xdr:row>
      <xdr:rowOff>209550</xdr:rowOff>
    </xdr:from>
    <xdr:to>
      <xdr:col>4</xdr:col>
      <xdr:colOff>276224</xdr:colOff>
      <xdr:row>14</xdr:row>
      <xdr:rowOff>179070</xdr:rowOff>
    </xdr:to>
    <xdr:sp macro="[0]!CV_DEN_Edit_Clos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4171949" y="3467100"/>
          <a:ext cx="914400" cy="274320"/>
        </a:xfrm>
        <a:prstGeom prst="rect">
          <a:avLst/>
        </a:prstGeom>
        <a:solidFill>
          <a:schemeClr val="accent1">
            <a:lumMod val="50000"/>
          </a:schemeClr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30480</xdr:rowOff>
    </xdr:from>
    <xdr:to>
      <xdr:col>1</xdr:col>
      <xdr:colOff>137160</xdr:colOff>
      <xdr:row>0</xdr:row>
      <xdr:rowOff>304800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28E2D55B-A0B5-4536-8867-9182C73D6B70}"/>
            </a:ext>
          </a:extLst>
        </xdr:cNvPr>
        <xdr:cNvSpPr/>
      </xdr:nvSpPr>
      <xdr:spPr>
        <a:xfrm>
          <a:off x="76200" y="3048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93133</xdr:colOff>
      <xdr:row>0</xdr:row>
      <xdr:rowOff>59267</xdr:rowOff>
    </xdr:from>
    <xdr:to>
      <xdr:col>1</xdr:col>
      <xdr:colOff>138853</xdr:colOff>
      <xdr:row>0</xdr:row>
      <xdr:rowOff>333587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54C656F3-A94F-4E7B-B421-0336BF877225}"/>
            </a:ext>
          </a:extLst>
        </xdr:cNvPr>
        <xdr:cNvSpPr/>
      </xdr:nvSpPr>
      <xdr:spPr>
        <a:xfrm>
          <a:off x="93133" y="59267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83820</xdr:colOff>
      <xdr:row>0</xdr:row>
      <xdr:rowOff>53340</xdr:rowOff>
    </xdr:from>
    <xdr:to>
      <xdr:col>0</xdr:col>
      <xdr:colOff>815340</xdr:colOff>
      <xdr:row>0</xdr:row>
      <xdr:rowOff>327660</xdr:rowOff>
    </xdr:to>
    <xdr:sp macro="[0]!Select_MENU" textlink="">
      <xdr:nvSpPr>
        <xdr:cNvPr id="3" name="Rectangle 2">
          <a:extLst>
            <a:ext uri="{FF2B5EF4-FFF2-40B4-BE49-F238E27FC236}">
              <a16:creationId xmlns:a16="http://schemas.microsoft.com/office/drawing/2014/main" id="{C121D726-2F6F-4401-836E-649998977BFC}"/>
            </a:ext>
          </a:extLst>
        </xdr:cNvPr>
        <xdr:cNvSpPr/>
      </xdr:nvSpPr>
      <xdr:spPr>
        <a:xfrm>
          <a:off x="83820" y="53340"/>
          <a:ext cx="731520" cy="274320"/>
        </a:xfrm>
        <a:prstGeom prst="rect">
          <a:avLst/>
        </a:prstGeom>
        <a:solidFill>
          <a:srgbClr val="FF0000"/>
        </a:solidFill>
        <a:ln w="12700">
          <a:noFill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  <a:endParaRPr lang="vi-VN" sz="1100">
            <a:solidFill>
              <a:schemeClr val="bg1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  <a:ln w="12700"/>
      </a:spPr>
      <a:bodyPr vertOverflow="clip" horzOverflow="clip" rtlCol="0" anchor="ctr"/>
      <a:lstStyle>
        <a:defPPr algn="ctr">
          <a:defRPr sz="11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2:H15"/>
  <sheetViews>
    <sheetView showGridLines="0" workbookViewId="0">
      <pane xSplit="8" ySplit="15" topLeftCell="I16" activePane="bottomRight" state="frozen"/>
      <selection pane="topRight" activeCell="I1" sqref="I1"/>
      <selection pane="bottomLeft" activeCell="A15" sqref="A15"/>
      <selection pane="bottomRight" activeCell="E28" sqref="E28"/>
    </sheetView>
  </sheetViews>
  <sheetFormatPr defaultRowHeight="15.75"/>
  <cols>
    <col min="4" max="4" width="8.75" customWidth="1"/>
    <col min="5" max="5" width="25.625" customWidth="1"/>
    <col min="6" max="6" width="25.5" customWidth="1"/>
    <col min="7" max="7" width="27" customWidth="1"/>
  </cols>
  <sheetData>
    <row r="2" spans="1:8" ht="22.5" customHeight="1">
      <c r="E2" s="281" t="s">
        <v>68</v>
      </c>
      <c r="F2" s="282"/>
      <c r="G2" s="283"/>
      <c r="H2" s="32"/>
    </row>
    <row r="3" spans="1:8" ht="18.75" customHeight="1">
      <c r="E3" s="78" t="s">
        <v>69</v>
      </c>
      <c r="F3" s="126" t="s">
        <v>70</v>
      </c>
      <c r="G3" s="100" t="s">
        <v>101</v>
      </c>
      <c r="H3" s="32"/>
    </row>
    <row r="4" spans="1:8" ht="18.75" customHeight="1">
      <c r="E4" s="147" t="s">
        <v>71</v>
      </c>
      <c r="F4" s="148" t="s">
        <v>71</v>
      </c>
      <c r="G4" s="149" t="s">
        <v>74</v>
      </c>
      <c r="H4" s="32"/>
    </row>
    <row r="5" spans="1:8" ht="18.75" customHeight="1">
      <c r="E5" s="147" t="s">
        <v>72</v>
      </c>
      <c r="F5" s="148" t="s">
        <v>72</v>
      </c>
      <c r="G5" s="149" t="s">
        <v>97</v>
      </c>
      <c r="H5" s="32"/>
    </row>
    <row r="6" spans="1:8" ht="18.75" customHeight="1">
      <c r="E6" s="150" t="s">
        <v>73</v>
      </c>
      <c r="F6" s="151" t="s">
        <v>73</v>
      </c>
      <c r="G6" s="152"/>
      <c r="H6" s="32"/>
    </row>
    <row r="7" spans="1:8" ht="18.75" customHeight="1">
      <c r="E7" s="284"/>
      <c r="F7" s="284"/>
      <c r="G7" s="284"/>
      <c r="H7" s="32"/>
    </row>
    <row r="8" spans="1:8">
      <c r="A8" s="32"/>
      <c r="B8" s="32"/>
      <c r="C8" s="32"/>
      <c r="D8" s="32"/>
      <c r="E8" s="285"/>
      <c r="F8" s="285"/>
      <c r="G8" s="285"/>
      <c r="H8" s="32"/>
    </row>
    <row r="9" spans="1:8">
      <c r="A9" s="32"/>
      <c r="B9" s="32"/>
      <c r="C9" s="32"/>
      <c r="D9" s="32"/>
      <c r="E9" s="285"/>
      <c r="F9" s="285"/>
      <c r="G9" s="285"/>
      <c r="H9" s="32"/>
    </row>
    <row r="10" spans="1:8">
      <c r="A10" s="32"/>
      <c r="B10" s="32"/>
      <c r="C10" s="32"/>
      <c r="D10" s="32"/>
      <c r="E10" s="285"/>
      <c r="F10" s="285"/>
      <c r="G10" s="285"/>
      <c r="H10" s="32"/>
    </row>
    <row r="11" spans="1:8">
      <c r="A11" s="32"/>
      <c r="B11" s="32"/>
      <c r="C11" s="32"/>
      <c r="D11" s="32"/>
      <c r="E11" s="79"/>
      <c r="F11" s="32"/>
      <c r="G11" s="32"/>
      <c r="H11" s="32"/>
    </row>
    <row r="12" spans="1:8">
      <c r="A12" s="32"/>
      <c r="B12" s="32"/>
      <c r="C12" s="32"/>
      <c r="D12" s="32"/>
      <c r="E12" s="79"/>
      <c r="F12" s="32"/>
      <c r="G12" s="32"/>
      <c r="H12" s="32"/>
    </row>
    <row r="13" spans="1:8">
      <c r="A13" s="32"/>
      <c r="B13" s="32"/>
      <c r="C13" s="32"/>
      <c r="D13" s="32"/>
      <c r="E13" s="79"/>
      <c r="F13" s="32"/>
      <c r="G13" s="32"/>
      <c r="H13" s="32"/>
    </row>
    <row r="14" spans="1:8">
      <c r="A14" s="32"/>
      <c r="B14" s="32"/>
      <c r="C14" s="32"/>
      <c r="D14" s="32"/>
      <c r="E14" s="32"/>
      <c r="F14" s="32"/>
      <c r="G14" s="32"/>
      <c r="H14" s="32"/>
    </row>
    <row r="15" spans="1:8">
      <c r="A15" s="32"/>
      <c r="B15" s="32"/>
      <c r="C15" s="32"/>
      <c r="D15" s="32"/>
      <c r="E15" s="32"/>
      <c r="F15" s="32"/>
      <c r="G15" s="32"/>
      <c r="H15" s="32"/>
    </row>
  </sheetData>
  <mergeCells count="2">
    <mergeCell ref="E2:G2"/>
    <mergeCell ref="E7:G10"/>
  </mergeCells>
  <hyperlinks>
    <hyperlink ref="E4" location="BK_CV_Di!A1" display="Bảng kê"/>
    <hyperlink ref="E5" location="BCTH_CVDi!A1" display="Báo cáo tổng hợp"/>
    <hyperlink ref="E6" location="BCCT_CVDi!A1" display="Báo cáo chi tiết"/>
    <hyperlink ref="F4" location="BK_CV_Den!A1" display="Bảng kê"/>
    <hyperlink ref="F5" location="BCTH_CVDen!A1" display="Báo cáo tổng hợp"/>
    <hyperlink ref="F6" location="BCCT_CVDen!A1" display="Báo cáo chi tiết"/>
    <hyperlink ref="G4" location="Setting!A1" display="Thiết lập"/>
    <hyperlink ref="G5" location="Quy_Trinh!A1" display="Hướng dẫn quy trình"/>
  </hyperlinks>
  <pageMargins left="0.45" right="0.2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19"/>
  <sheetViews>
    <sheetView showGridLines="0" workbookViewId="0">
      <selection activeCell="L11" sqref="D11:L11"/>
    </sheetView>
  </sheetViews>
  <sheetFormatPr defaultRowHeight="15.75"/>
  <cols>
    <col min="1" max="1" width="13.5" bestFit="1" customWidth="1"/>
    <col min="2" max="2" width="5.875" customWidth="1"/>
    <col min="3" max="8" width="10.875" customWidth="1"/>
    <col min="9" max="9" width="12" customWidth="1"/>
    <col min="10" max="11" width="10.875" customWidth="1"/>
    <col min="12" max="12" width="10" customWidth="1"/>
    <col min="15" max="15" width="10.75" customWidth="1"/>
  </cols>
  <sheetData>
    <row r="1" spans="1:20">
      <c r="A1" s="1">
        <f>COLUMN()</f>
        <v>1</v>
      </c>
      <c r="B1" s="1">
        <f>COLUMN()</f>
        <v>2</v>
      </c>
      <c r="C1" s="1">
        <f>COLUMN()</f>
        <v>3</v>
      </c>
      <c r="D1" s="1">
        <f>COLUMN()</f>
        <v>4</v>
      </c>
      <c r="E1" s="1">
        <f>COLUMN()</f>
        <v>5</v>
      </c>
      <c r="F1" s="1">
        <f>COLUMN()</f>
        <v>6</v>
      </c>
      <c r="G1" s="1">
        <f>COLUMN()</f>
        <v>7</v>
      </c>
      <c r="H1" s="1">
        <f>COLUMN()</f>
        <v>8</v>
      </c>
      <c r="I1" s="1">
        <f>COLUMN()</f>
        <v>9</v>
      </c>
      <c r="J1" s="1">
        <f>COLUMN()</f>
        <v>10</v>
      </c>
      <c r="K1" s="1">
        <f>COLUMN()</f>
        <v>11</v>
      </c>
      <c r="L1" s="1">
        <f>COLUMN()</f>
        <v>12</v>
      </c>
      <c r="M1" s="1">
        <f>COLUMN()</f>
        <v>13</v>
      </c>
      <c r="N1" s="1">
        <f>COLUMN()</f>
        <v>14</v>
      </c>
      <c r="O1" s="1">
        <f>COLUMN()</f>
        <v>15</v>
      </c>
      <c r="P1" s="1">
        <f>COLUMN()</f>
        <v>16</v>
      </c>
      <c r="Q1" s="1">
        <f>COLUMN()</f>
        <v>17</v>
      </c>
      <c r="R1" s="1">
        <f>COLUMN()</f>
        <v>18</v>
      </c>
      <c r="S1" s="1">
        <f>COLUMN()</f>
        <v>19</v>
      </c>
      <c r="T1" s="1">
        <f>COLUMN()</f>
        <v>20</v>
      </c>
    </row>
    <row r="2" spans="1:20">
      <c r="A2" s="56" t="s">
        <v>35</v>
      </c>
      <c r="C2" s="56" t="s">
        <v>67</v>
      </c>
    </row>
    <row r="3" spans="1:20">
      <c r="A3" s="57">
        <f>COUNTIFS(BK_CV_Den!$H$5:$H$1997,"&gt;="&amp;BCCT_CVDen!$B$2,BK_CV_Den!$H$5:$H$1997,"&lt;="&amp;BCCT_CVDen!$B$3)</f>
        <v>58</v>
      </c>
      <c r="C3" s="57">
        <f>COUNTIFS(BK_CV_Di!$H$5:$H$2002,"&gt;="&amp;BCCT_CVDi!$B$2,BK_CV_Di!$H$5:$H$2002,"&lt;="&amp;BCCT_CVDi!$B$3)</f>
        <v>35</v>
      </c>
    </row>
    <row r="6" spans="1:20" ht="32.25" customHeight="1">
      <c r="A6" s="66" t="s">
        <v>46</v>
      </c>
      <c r="B6" s="61" t="s">
        <v>0</v>
      </c>
      <c r="C6" s="62" t="s">
        <v>18</v>
      </c>
      <c r="D6" s="62" t="s">
        <v>29</v>
      </c>
      <c r="E6" s="62" t="s">
        <v>17</v>
      </c>
      <c r="F6" s="62" t="s">
        <v>19</v>
      </c>
      <c r="G6" s="62" t="s">
        <v>28</v>
      </c>
      <c r="H6" s="63" t="s">
        <v>20</v>
      </c>
      <c r="I6" s="62" t="s">
        <v>21</v>
      </c>
      <c r="J6" s="62" t="s">
        <v>22</v>
      </c>
      <c r="K6" s="64" t="s">
        <v>23</v>
      </c>
    </row>
    <row r="7" spans="1:20" ht="32.25" customHeight="1">
      <c r="A7" s="67">
        <f>COUNTIF(BK_CV_Den!$G$5:$G$1997,CVDen_New!$D$5)</f>
        <v>0</v>
      </c>
      <c r="B7" s="69">
        <f>CVDen_New!$B$3</f>
        <v>59</v>
      </c>
      <c r="C7" s="70" t="str">
        <f>CVDen_New!$D$3</f>
        <v/>
      </c>
      <c r="D7" s="70">
        <f>CVDen_New!$F$3</f>
        <v>0</v>
      </c>
      <c r="E7" s="70">
        <f>CVDen_New!$B$5</f>
        <v>0</v>
      </c>
      <c r="F7" s="70">
        <f>CVDen_New!$D$5</f>
        <v>0</v>
      </c>
      <c r="G7" s="70">
        <f>CVDen_New!$F$5</f>
        <v>0</v>
      </c>
      <c r="H7" s="70">
        <f>CVDen_New!$B$7</f>
        <v>0</v>
      </c>
      <c r="I7" s="70">
        <f>CVDen_New!$B$9</f>
        <v>0</v>
      </c>
      <c r="J7" s="70">
        <f>CVDen_New!$F$9</f>
        <v>0</v>
      </c>
      <c r="K7" s="71" t="str">
        <f>Setting!$A$5</f>
        <v>Chưa xử lý</v>
      </c>
    </row>
    <row r="8" spans="1:20" ht="32.25" customHeight="1">
      <c r="A8" s="68">
        <f>COUNTIF(D7:J7,0)</f>
        <v>7</v>
      </c>
      <c r="B8" s="58"/>
      <c r="C8" s="59"/>
      <c r="D8" s="59"/>
      <c r="E8" s="59"/>
      <c r="F8" s="59"/>
      <c r="G8" s="59"/>
      <c r="H8" s="59"/>
      <c r="I8" s="59"/>
      <c r="J8" s="59"/>
      <c r="K8" s="60"/>
    </row>
    <row r="10" spans="1:20">
      <c r="A10" s="66" t="s">
        <v>91</v>
      </c>
      <c r="B10" s="61" t="s">
        <v>0</v>
      </c>
      <c r="C10" s="62" t="s">
        <v>18</v>
      </c>
      <c r="D10" s="62" t="s">
        <v>23</v>
      </c>
      <c r="E10" s="62" t="s">
        <v>24</v>
      </c>
      <c r="F10" s="62" t="s">
        <v>25</v>
      </c>
      <c r="G10" s="62" t="s">
        <v>26</v>
      </c>
      <c r="H10" s="62" t="s">
        <v>27</v>
      </c>
      <c r="I10" s="88" t="s">
        <v>88</v>
      </c>
      <c r="J10" s="88" t="s">
        <v>83</v>
      </c>
      <c r="K10" s="88" t="s">
        <v>89</v>
      </c>
      <c r="L10" s="89" t="s">
        <v>85</v>
      </c>
    </row>
    <row r="11" spans="1:20">
      <c r="A11" s="67">
        <f>COUNTIF(B11:G11,0)</f>
        <v>3</v>
      </c>
      <c r="B11" s="69">
        <f>CVDen_XuLy!$B$3</f>
        <v>5</v>
      </c>
      <c r="C11" s="70" t="str">
        <f>CVDen_XuLy!$D$3</f>
        <v>70/BTM-QL</v>
      </c>
      <c r="D11" s="70" t="str">
        <f>IF(CVDen_XuLy!$F$10="",Setting!$A$4,Setting!$A$3)</f>
        <v>Đang xử lý</v>
      </c>
      <c r="E11" s="65">
        <f>CVDen_XuLy!$B$8</f>
        <v>0</v>
      </c>
      <c r="F11" s="70">
        <f>CVDen_XuLy!$B$10</f>
        <v>0</v>
      </c>
      <c r="G11" s="65">
        <f>CVDen_XuLy!$D$10</f>
        <v>0</v>
      </c>
      <c r="H11" s="70" t="str">
        <f>IF(CVDen_XuLy!$F$10="","",CVDen_XuLy!$F$10)</f>
        <v/>
      </c>
      <c r="I11" s="90" t="str">
        <f>IF(CVDen_XuLy!$C$12=0,"",CVDen_XuLy!$C$12)</f>
        <v/>
      </c>
      <c r="J11" s="90" t="str">
        <f>IF(CVDen_XuLy!$E$12=0,"",CVDen_XuLy!$E$12)</f>
        <v/>
      </c>
      <c r="K11" s="90" t="str">
        <f>IF(CVDen_XuLy!$C$13=0,"",CVDen_XuLy!$C$13)</f>
        <v/>
      </c>
      <c r="L11" s="91" t="str">
        <f>IF(CVDen_XuLy!$E$13=0,"",CVDen_XuLy!$E$13)</f>
        <v/>
      </c>
    </row>
    <row r="12" spans="1:20">
      <c r="A12" s="68"/>
      <c r="B12" s="58">
        <v>9</v>
      </c>
      <c r="C12" s="59"/>
      <c r="D12" s="59"/>
      <c r="E12" s="59"/>
      <c r="F12" s="59"/>
      <c r="G12" s="59"/>
      <c r="H12" s="86"/>
      <c r="I12" s="86"/>
      <c r="J12" s="86"/>
      <c r="K12" s="86"/>
      <c r="L12" s="87"/>
    </row>
    <row r="14" spans="1:20" ht="31.5">
      <c r="A14" s="66" t="s">
        <v>92</v>
      </c>
      <c r="B14" s="61" t="s">
        <v>0</v>
      </c>
      <c r="C14" s="62" t="s">
        <v>18</v>
      </c>
      <c r="D14" s="62" t="s">
        <v>62</v>
      </c>
      <c r="E14" s="62" t="s">
        <v>17</v>
      </c>
      <c r="F14" s="62" t="s">
        <v>19</v>
      </c>
      <c r="G14" s="62" t="s">
        <v>28</v>
      </c>
      <c r="H14" s="63" t="s">
        <v>20</v>
      </c>
      <c r="I14" s="62" t="s">
        <v>22</v>
      </c>
      <c r="J14" s="64" t="s">
        <v>21</v>
      </c>
      <c r="K14" s="64" t="s">
        <v>104</v>
      </c>
      <c r="L14" s="64" t="s">
        <v>88</v>
      </c>
      <c r="M14" s="64" t="s">
        <v>83</v>
      </c>
      <c r="N14" s="64" t="s">
        <v>89</v>
      </c>
      <c r="O14" s="64" t="s">
        <v>85</v>
      </c>
    </row>
    <row r="15" spans="1:20" ht="21.75" customHeight="1">
      <c r="A15" s="67">
        <f>COUNTIF(BK_CV_Di!$G$5:$G$2002,CVDi_New!$D$5)</f>
        <v>0</v>
      </c>
      <c r="B15" s="69">
        <f>CVDi_New!$B$3</f>
        <v>36</v>
      </c>
      <c r="C15" s="70" t="str">
        <f>CVDi_New!$D$3</f>
        <v/>
      </c>
      <c r="D15" s="70">
        <f>CVDi_New!$F$3</f>
        <v>0</v>
      </c>
      <c r="E15" s="70">
        <f>CVDi_New!$B$5</f>
        <v>0</v>
      </c>
      <c r="F15" s="70">
        <f>CVDi_New!$D$5</f>
        <v>0</v>
      </c>
      <c r="G15" s="70">
        <f>CVDi_New!$F$5</f>
        <v>0</v>
      </c>
      <c r="H15" s="70">
        <f>CVDi_New!$B$7</f>
        <v>0</v>
      </c>
      <c r="I15" s="70">
        <f>CVDi_New!$F$9</f>
        <v>0</v>
      </c>
      <c r="J15" s="71">
        <f>CVDi_New!$B$9</f>
        <v>0</v>
      </c>
      <c r="K15" s="71">
        <f>CVDi_New!$B$11</f>
        <v>0</v>
      </c>
      <c r="L15" s="71" t="str">
        <f>IF(CVDi_New!$C$13=0,"",CVDi_New!$C$13)</f>
        <v/>
      </c>
      <c r="M15" s="71" t="str">
        <f>IF(CVDi_New!$E$13=0,"",CVDi_New!$E$13)</f>
        <v/>
      </c>
      <c r="N15" s="71" t="str">
        <f>IF(CVDi_New!$C$14=0,"",CVDi_New!$C$14)</f>
        <v/>
      </c>
      <c r="O15" s="71" t="str">
        <f>IF(CVDi_New!$E$14=0,"",CVDi_New!$E$14)</f>
        <v/>
      </c>
    </row>
    <row r="16" spans="1:20" ht="21.75" customHeight="1">
      <c r="A16" s="68">
        <f>COUNTIF(D15:K15,0)</f>
        <v>8</v>
      </c>
      <c r="B16" s="58"/>
      <c r="C16" s="59"/>
      <c r="D16" s="59"/>
      <c r="E16" s="59"/>
      <c r="F16" s="59"/>
      <c r="G16" s="59"/>
      <c r="H16" s="59"/>
      <c r="I16" s="59"/>
      <c r="J16" s="86"/>
      <c r="K16" s="86"/>
      <c r="L16" s="86"/>
      <c r="M16" s="86"/>
      <c r="N16" s="86"/>
      <c r="O16" s="87"/>
    </row>
    <row r="17" spans="1:15">
      <c r="A17" s="36" t="s">
        <v>119</v>
      </c>
      <c r="B17" s="74">
        <v>5</v>
      </c>
      <c r="C17" s="74" t="s">
        <v>120</v>
      </c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9"/>
    </row>
    <row r="18" spans="1:15" ht="31.5">
      <c r="A18" s="26"/>
      <c r="B18" s="61" t="s">
        <v>0</v>
      </c>
      <c r="C18" s="62" t="s">
        <v>18</v>
      </c>
      <c r="D18" s="62" t="s">
        <v>62</v>
      </c>
      <c r="E18" s="62" t="s">
        <v>17</v>
      </c>
      <c r="F18" s="62" t="s">
        <v>19</v>
      </c>
      <c r="G18" s="62" t="s">
        <v>28</v>
      </c>
      <c r="H18" s="63" t="s">
        <v>20</v>
      </c>
      <c r="I18" s="62" t="s">
        <v>22</v>
      </c>
      <c r="J18" s="64" t="s">
        <v>21</v>
      </c>
      <c r="K18" s="64" t="s">
        <v>104</v>
      </c>
      <c r="L18" s="64" t="s">
        <v>88</v>
      </c>
      <c r="M18" s="64" t="s">
        <v>83</v>
      </c>
      <c r="N18" s="64" t="s">
        <v>89</v>
      </c>
      <c r="O18" s="64" t="s">
        <v>85</v>
      </c>
    </row>
    <row r="19" spans="1:15">
      <c r="A19" s="37">
        <f>COUNTIF(B19:O19,0)</f>
        <v>0</v>
      </c>
      <c r="B19" s="69">
        <f>CVDi_Edit!$B$3</f>
        <v>1</v>
      </c>
      <c r="C19" s="70" t="str">
        <f>CVDi_Edit!$D$3</f>
        <v>O-CV-001</v>
      </c>
      <c r="D19" s="65">
        <f>CVDi_Edit!$F$3</f>
        <v>44197</v>
      </c>
      <c r="E19" s="70" t="str">
        <f>CVDi_Edit!$B$5</f>
        <v>Công văn</v>
      </c>
      <c r="F19" s="65" t="str">
        <f>CVDi_Edit!$D$5</f>
        <v>82/CCT-PTC</v>
      </c>
      <c r="G19" s="65">
        <f>CVDi_Edit!$F$5</f>
        <v>44197</v>
      </c>
      <c r="H19" s="70" t="str">
        <f>CVDi_Edit!$B$7</f>
        <v>Về việc góp ý vào dự thảo Quy chế làm việc, Quy chế bầu cử và chương trình làm việc Đại hội XIII của Đảng</v>
      </c>
      <c r="I19" s="70" t="str">
        <f>CVDi_Edit!$F$9</f>
        <v>Từ Hữu Hòa</v>
      </c>
      <c r="J19" s="71">
        <f>CVDi_Edit!$B$9</f>
        <v>44197</v>
      </c>
      <c r="K19" s="71" t="str">
        <f>CVDi_Edit!$B$11</f>
        <v>Cục Tổ chức/TCCT</v>
      </c>
      <c r="L19" s="71">
        <f>IF(CVDi_Edit!$C$13=0,"",CVDi_Edit!$C$13)</f>
        <v>1</v>
      </c>
      <c r="M19" s="71" t="str">
        <f>IF(CVDi_Edit!$E$13=0,"",CVDi_Edit!$E$13)</f>
        <v>Văn thư</v>
      </c>
      <c r="N19" s="71">
        <f>IF(CVDi_Edit!$C$14=0,"",CVDi_Edit!$C$14)</f>
        <v>1</v>
      </c>
      <c r="O19" s="71" t="str">
        <f>IF(CVDi_Edit!$E$14=0,"",CVDi_Edit!$E$14)</f>
        <v>Phòng Tổ chức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J39"/>
  <sheetViews>
    <sheetView showGridLines="0" topLeftCell="A25" zoomScaleNormal="100" workbookViewId="0">
      <selection activeCell="A20" sqref="A20:I20"/>
    </sheetView>
  </sheetViews>
  <sheetFormatPr defaultRowHeight="15.75"/>
  <cols>
    <col min="9" max="9" width="10.125" customWidth="1"/>
    <col min="10" max="10" width="2.25" customWidth="1"/>
  </cols>
  <sheetData>
    <row r="1" spans="1:10" ht="18.75">
      <c r="A1" s="286" t="s">
        <v>98</v>
      </c>
      <c r="B1" s="287"/>
      <c r="C1" s="287"/>
      <c r="D1" s="287"/>
      <c r="E1" s="287"/>
      <c r="F1" s="287"/>
      <c r="G1" s="287"/>
      <c r="H1" s="287"/>
      <c r="I1" s="74"/>
      <c r="J1" s="19"/>
    </row>
    <row r="2" spans="1:10">
      <c r="A2" s="26"/>
      <c r="B2" s="92"/>
      <c r="C2" s="92"/>
      <c r="D2" s="92"/>
      <c r="E2" s="92"/>
      <c r="F2" s="92"/>
      <c r="G2" s="92"/>
      <c r="H2" s="92"/>
      <c r="I2" s="92"/>
      <c r="J2" s="22"/>
    </row>
    <row r="3" spans="1:10">
      <c r="A3" s="26"/>
      <c r="B3" s="92"/>
      <c r="C3" s="92"/>
      <c r="D3" s="92"/>
      <c r="E3" s="92"/>
      <c r="F3" s="92"/>
      <c r="G3" s="92"/>
      <c r="H3" s="92"/>
      <c r="I3" s="92"/>
      <c r="J3" s="22"/>
    </row>
    <row r="4" spans="1:10">
      <c r="A4" s="26"/>
      <c r="B4" s="92"/>
      <c r="C4" s="92"/>
      <c r="D4" s="92"/>
      <c r="E4" s="92"/>
      <c r="F4" s="92"/>
      <c r="G4" s="92"/>
      <c r="H4" s="92"/>
      <c r="I4" s="92"/>
      <c r="J4" s="22"/>
    </row>
    <row r="5" spans="1:10">
      <c r="A5" s="26"/>
      <c r="B5" s="92"/>
      <c r="C5" s="92"/>
      <c r="D5" s="92"/>
      <c r="E5" s="92"/>
      <c r="F5" s="92"/>
      <c r="G5" s="92"/>
      <c r="H5" s="92"/>
      <c r="I5" s="92"/>
      <c r="J5" s="22"/>
    </row>
    <row r="6" spans="1:10">
      <c r="A6" s="26"/>
      <c r="B6" s="92"/>
      <c r="C6" s="92"/>
      <c r="D6" s="92"/>
      <c r="E6" s="92"/>
      <c r="F6" s="92"/>
      <c r="G6" s="92"/>
      <c r="H6" s="92"/>
      <c r="I6" s="92"/>
      <c r="J6" s="22"/>
    </row>
    <row r="7" spans="1:10">
      <c r="A7" s="26"/>
      <c r="B7" s="92"/>
      <c r="C7" s="92"/>
      <c r="D7" s="92"/>
      <c r="E7" s="92"/>
      <c r="F7" s="92"/>
      <c r="G7" s="92"/>
      <c r="H7" s="92"/>
      <c r="I7" s="92"/>
      <c r="J7" s="22"/>
    </row>
    <row r="8" spans="1:10">
      <c r="A8" s="26"/>
      <c r="B8" s="92"/>
      <c r="C8" s="92"/>
      <c r="D8" s="92"/>
      <c r="E8" s="92"/>
      <c r="F8" s="92"/>
      <c r="G8" s="92"/>
      <c r="H8" s="92"/>
      <c r="I8" s="92"/>
      <c r="J8" s="22"/>
    </row>
    <row r="9" spans="1:10">
      <c r="A9" s="26"/>
      <c r="B9" s="92"/>
      <c r="C9" s="92"/>
      <c r="D9" s="92"/>
      <c r="E9" s="92"/>
      <c r="F9" s="92"/>
      <c r="G9" s="92"/>
      <c r="H9" s="92"/>
      <c r="I9" s="92"/>
      <c r="J9" s="22"/>
    </row>
    <row r="10" spans="1:10">
      <c r="A10" s="26"/>
      <c r="B10" s="92"/>
      <c r="C10" s="92"/>
      <c r="D10" s="92"/>
      <c r="E10" s="92"/>
      <c r="F10" s="92"/>
      <c r="G10" s="92"/>
      <c r="H10" s="92"/>
      <c r="I10" s="92"/>
      <c r="J10" s="22"/>
    </row>
    <row r="11" spans="1:10">
      <c r="A11" s="26"/>
      <c r="B11" s="92"/>
      <c r="C11" s="92"/>
      <c r="D11" s="92"/>
      <c r="E11" s="92"/>
      <c r="F11" s="92"/>
      <c r="G11" s="92"/>
      <c r="H11" s="92"/>
      <c r="I11" s="92"/>
      <c r="J11" s="22"/>
    </row>
    <row r="12" spans="1:10">
      <c r="A12" s="26"/>
      <c r="B12" s="92"/>
      <c r="C12" s="92"/>
      <c r="D12" s="92"/>
      <c r="E12" s="92"/>
      <c r="F12" s="92"/>
      <c r="G12" s="92"/>
      <c r="H12" s="92"/>
      <c r="I12" s="92"/>
      <c r="J12" s="22"/>
    </row>
    <row r="13" spans="1:10">
      <c r="A13" s="26"/>
      <c r="B13" s="92"/>
      <c r="C13" s="92"/>
      <c r="D13" s="92"/>
      <c r="E13" s="92"/>
      <c r="F13" s="92"/>
      <c r="G13" s="92"/>
      <c r="H13" s="92"/>
      <c r="I13" s="92"/>
      <c r="J13" s="22"/>
    </row>
    <row r="14" spans="1:10">
      <c r="A14" s="26"/>
      <c r="B14" s="92"/>
      <c r="C14" s="92"/>
      <c r="D14" s="92"/>
      <c r="E14" s="92"/>
      <c r="F14" s="92"/>
      <c r="G14" s="92"/>
      <c r="H14" s="92"/>
      <c r="I14" s="92"/>
      <c r="J14" s="22"/>
    </row>
    <row r="15" spans="1:10">
      <c r="A15" s="26"/>
      <c r="B15" s="92"/>
      <c r="C15" s="92"/>
      <c r="D15" s="92"/>
      <c r="E15" s="92"/>
      <c r="F15" s="92"/>
      <c r="G15" s="92"/>
      <c r="H15" s="92"/>
      <c r="I15" s="92"/>
      <c r="J15" s="22"/>
    </row>
    <row r="16" spans="1:10">
      <c r="A16" s="26"/>
      <c r="B16" s="92"/>
      <c r="C16" s="92"/>
      <c r="D16" s="92"/>
      <c r="E16" s="92"/>
      <c r="F16" s="92"/>
      <c r="G16" s="92"/>
      <c r="H16" s="92"/>
      <c r="I16" s="92"/>
      <c r="J16" s="22"/>
    </row>
    <row r="17" spans="1:10">
      <c r="A17" s="26"/>
      <c r="B17" s="92"/>
      <c r="C17" s="92"/>
      <c r="D17" s="92"/>
      <c r="E17" s="92"/>
      <c r="F17" s="92"/>
      <c r="G17" s="92"/>
      <c r="H17" s="92"/>
      <c r="I17" s="92"/>
      <c r="J17" s="22"/>
    </row>
    <row r="18" spans="1:10">
      <c r="A18" s="26"/>
      <c r="B18" s="92"/>
      <c r="C18" s="92"/>
      <c r="D18" s="92"/>
      <c r="E18" s="92"/>
      <c r="F18" s="92"/>
      <c r="G18" s="92"/>
      <c r="H18" s="92"/>
      <c r="I18" s="92"/>
      <c r="J18" s="22"/>
    </row>
    <row r="19" spans="1:10">
      <c r="A19" s="99" t="s">
        <v>75</v>
      </c>
      <c r="B19" s="92"/>
      <c r="C19" s="92"/>
      <c r="D19" s="92"/>
      <c r="E19" s="92"/>
      <c r="F19" s="92"/>
      <c r="G19" s="92"/>
      <c r="H19" s="92"/>
      <c r="I19" s="92"/>
      <c r="J19" s="22"/>
    </row>
    <row r="20" spans="1:10" ht="36.6" customHeight="1">
      <c r="A20" s="288" t="s">
        <v>99</v>
      </c>
      <c r="B20" s="289"/>
      <c r="C20" s="289"/>
      <c r="D20" s="289"/>
      <c r="E20" s="289"/>
      <c r="F20" s="289"/>
      <c r="G20" s="289"/>
      <c r="H20" s="289"/>
      <c r="I20" s="289"/>
      <c r="J20" s="22"/>
    </row>
    <row r="21" spans="1:10">
      <c r="A21" s="26" t="s">
        <v>76</v>
      </c>
      <c r="B21" s="92"/>
      <c r="C21" s="92"/>
      <c r="D21" s="92"/>
      <c r="E21" s="92"/>
      <c r="F21" s="92"/>
      <c r="G21" s="92"/>
      <c r="H21" s="92"/>
      <c r="I21" s="92"/>
      <c r="J21" s="22"/>
    </row>
    <row r="22" spans="1:10">
      <c r="A22" s="26" t="s">
        <v>77</v>
      </c>
      <c r="B22" s="92"/>
      <c r="C22" s="92"/>
      <c r="D22" s="92"/>
      <c r="E22" s="92"/>
      <c r="F22" s="92"/>
      <c r="G22" s="92"/>
      <c r="H22" s="92"/>
      <c r="I22" s="92"/>
      <c r="J22" s="22"/>
    </row>
    <row r="23" spans="1:10">
      <c r="A23" s="26" t="s">
        <v>78</v>
      </c>
      <c r="B23" s="92"/>
      <c r="C23" s="92"/>
      <c r="D23" s="92"/>
      <c r="E23" s="92"/>
      <c r="F23" s="92"/>
      <c r="G23" s="92"/>
      <c r="H23" s="92"/>
      <c r="I23" s="92"/>
      <c r="J23" s="22"/>
    </row>
    <row r="24" spans="1:10">
      <c r="A24" s="37"/>
      <c r="B24" s="93"/>
      <c r="C24" s="93"/>
      <c r="D24" s="93"/>
      <c r="E24" s="93"/>
      <c r="F24" s="93"/>
      <c r="G24" s="93"/>
      <c r="H24" s="93"/>
      <c r="I24" s="93"/>
      <c r="J24" s="97"/>
    </row>
    <row r="25" spans="1:10">
      <c r="A25" s="36"/>
      <c r="B25" s="74"/>
      <c r="C25" s="74"/>
      <c r="D25" s="74"/>
      <c r="E25" s="74"/>
      <c r="F25" s="74"/>
      <c r="G25" s="74"/>
      <c r="H25" s="74"/>
      <c r="I25" s="74"/>
      <c r="J25" s="19"/>
    </row>
    <row r="26" spans="1:10">
      <c r="A26" s="26"/>
      <c r="B26" s="92"/>
      <c r="C26" s="92"/>
      <c r="D26" s="92"/>
      <c r="E26" s="92"/>
      <c r="F26" s="92"/>
      <c r="G26" s="92"/>
      <c r="H26" s="92"/>
      <c r="I26" s="92"/>
      <c r="J26" s="22"/>
    </row>
    <row r="27" spans="1:10" ht="18.75">
      <c r="A27" s="290" t="s">
        <v>100</v>
      </c>
      <c r="B27" s="291"/>
      <c r="C27" s="291"/>
      <c r="D27" s="291"/>
      <c r="E27" s="291"/>
      <c r="F27" s="291"/>
      <c r="G27" s="291"/>
      <c r="H27" s="291"/>
      <c r="I27" s="92"/>
      <c r="J27" s="22"/>
    </row>
    <row r="28" spans="1:10">
      <c r="A28" s="26"/>
      <c r="B28" s="92"/>
      <c r="C28" s="92"/>
      <c r="D28" s="92"/>
      <c r="E28" s="92"/>
      <c r="F28" s="92"/>
      <c r="G28" s="92"/>
      <c r="H28" s="92"/>
      <c r="I28" s="92"/>
      <c r="J28" s="22"/>
    </row>
    <row r="29" spans="1:10">
      <c r="A29" s="26"/>
      <c r="B29" s="92"/>
      <c r="C29" s="92"/>
      <c r="D29" s="92"/>
      <c r="E29" s="92"/>
      <c r="F29" s="92"/>
      <c r="G29" s="92"/>
      <c r="H29" s="92"/>
      <c r="I29" s="92"/>
      <c r="J29" s="22"/>
    </row>
    <row r="30" spans="1:10">
      <c r="A30" s="26"/>
      <c r="B30" s="92"/>
      <c r="C30" s="92"/>
      <c r="D30" s="92"/>
      <c r="E30" s="92"/>
      <c r="F30" s="92"/>
      <c r="G30" s="92"/>
      <c r="H30" s="92"/>
      <c r="I30" s="92"/>
      <c r="J30" s="22"/>
    </row>
    <row r="31" spans="1:10">
      <c r="A31" s="26"/>
      <c r="B31" s="92"/>
      <c r="C31" s="92"/>
      <c r="D31" s="92"/>
      <c r="E31" s="92"/>
      <c r="F31" s="92"/>
      <c r="G31" s="92"/>
      <c r="H31" s="92"/>
      <c r="I31" s="92"/>
      <c r="J31" s="22"/>
    </row>
    <row r="32" spans="1:10">
      <c r="A32" s="26"/>
      <c r="B32" s="92"/>
      <c r="C32" s="92"/>
      <c r="D32" s="92"/>
      <c r="E32" s="92"/>
      <c r="F32" s="92"/>
      <c r="G32" s="92"/>
      <c r="H32" s="92"/>
      <c r="I32" s="92"/>
      <c r="J32" s="22"/>
    </row>
    <row r="33" spans="1:10">
      <c r="A33" s="26"/>
      <c r="B33" s="92"/>
      <c r="C33" s="92"/>
      <c r="D33" s="92"/>
      <c r="E33" s="92"/>
      <c r="F33" s="92"/>
      <c r="G33" s="92"/>
      <c r="H33" s="92"/>
      <c r="I33" s="92"/>
      <c r="J33" s="22"/>
    </row>
    <row r="34" spans="1:10">
      <c r="A34" s="26"/>
      <c r="B34" s="92"/>
      <c r="C34" s="92"/>
      <c r="D34" s="92"/>
      <c r="E34" s="92"/>
      <c r="F34" s="92"/>
      <c r="G34" s="92"/>
      <c r="H34" s="92"/>
      <c r="I34" s="92"/>
      <c r="J34" s="22"/>
    </row>
    <row r="35" spans="1:10">
      <c r="A35" s="26"/>
      <c r="B35" s="92"/>
      <c r="C35" s="92"/>
      <c r="D35" s="92"/>
      <c r="E35" s="92"/>
      <c r="F35" s="92"/>
      <c r="G35" s="92"/>
      <c r="H35" s="92"/>
      <c r="I35" s="92"/>
      <c r="J35" s="22"/>
    </row>
    <row r="36" spans="1:10">
      <c r="A36" s="26"/>
      <c r="B36" s="92"/>
      <c r="C36" s="92"/>
      <c r="D36" s="92"/>
      <c r="E36" s="92"/>
      <c r="F36" s="92"/>
      <c r="G36" s="92"/>
      <c r="H36" s="92"/>
      <c r="I36" s="92"/>
      <c r="J36" s="22"/>
    </row>
    <row r="37" spans="1:10">
      <c r="A37" s="26"/>
      <c r="B37" s="92"/>
      <c r="C37" s="92"/>
      <c r="D37" s="92"/>
      <c r="E37" s="92"/>
      <c r="F37" s="92"/>
      <c r="G37" s="92"/>
      <c r="H37" s="92"/>
      <c r="I37" s="92"/>
      <c r="J37" s="22"/>
    </row>
    <row r="38" spans="1:10">
      <c r="A38" s="26"/>
      <c r="B38" s="92"/>
      <c r="C38" s="92"/>
      <c r="D38" s="92"/>
      <c r="E38" s="92"/>
      <c r="F38" s="92"/>
      <c r="G38" s="92"/>
      <c r="H38" s="92"/>
      <c r="I38" s="92"/>
      <c r="J38" s="22"/>
    </row>
    <row r="39" spans="1:10">
      <c r="A39" s="37"/>
      <c r="B39" s="93"/>
      <c r="C39" s="93"/>
      <c r="D39" s="93"/>
      <c r="E39" s="93"/>
      <c r="F39" s="93"/>
      <c r="G39" s="93"/>
      <c r="H39" s="93"/>
      <c r="I39" s="93"/>
      <c r="J39" s="97"/>
    </row>
  </sheetData>
  <mergeCells count="3">
    <mergeCell ref="A1:H1"/>
    <mergeCell ref="A20:I20"/>
    <mergeCell ref="A27:H2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  <pageSetUpPr fitToPage="1"/>
  </sheetPr>
  <dimension ref="C1:P2003"/>
  <sheetViews>
    <sheetView showGridLines="0" tabSelected="1" zoomScaleNormal="100" workbookViewId="0">
      <pane xSplit="2" ySplit="4" topLeftCell="C25" activePane="bottomRight" state="frozen"/>
      <selection pane="topRight" activeCell="C1" sqref="C1"/>
      <selection pane="bottomLeft" activeCell="A5" sqref="A5"/>
      <selection pane="bottomRight" activeCell="G26" sqref="G26"/>
    </sheetView>
  </sheetViews>
  <sheetFormatPr defaultRowHeight="15.75"/>
  <cols>
    <col min="1" max="2" width="10.875" customWidth="1"/>
    <col min="3" max="3" width="4.5" style="219" customWidth="1"/>
    <col min="4" max="4" width="9.25" style="279" customWidth="1"/>
    <col min="5" max="5" width="10" style="280" customWidth="1"/>
    <col min="6" max="6" width="9.25" style="223" customWidth="1"/>
    <col min="7" max="7" width="11.875" style="279" customWidth="1"/>
    <col min="8" max="8" width="9.75" style="279" customWidth="1"/>
    <col min="9" max="9" width="37.25" style="219" customWidth="1"/>
    <col min="10" max="10" width="12.5" style="219" customWidth="1"/>
    <col min="11" max="11" width="10.25" style="223" customWidth="1"/>
    <col min="12" max="12" width="16.625" style="219" customWidth="1"/>
    <col min="13" max="13" width="6.625" style="219" customWidth="1"/>
    <col min="14" max="14" width="10.25" style="219" customWidth="1"/>
    <col min="15" max="15" width="6.25" style="219" customWidth="1"/>
    <col min="16" max="16" width="13.625" style="219" customWidth="1"/>
  </cols>
  <sheetData>
    <row r="1" spans="3:16" ht="30" customHeight="1">
      <c r="C1" s="292" t="s">
        <v>63</v>
      </c>
      <c r="D1" s="292"/>
      <c r="E1" s="292"/>
      <c r="F1" s="292"/>
      <c r="G1" s="292"/>
      <c r="H1" s="292"/>
      <c r="I1" s="292"/>
      <c r="J1" s="292"/>
      <c r="K1" s="292"/>
      <c r="L1" s="292"/>
      <c r="M1" s="292"/>
      <c r="N1" s="292"/>
      <c r="O1" s="292"/>
      <c r="P1" s="292"/>
    </row>
    <row r="2" spans="3:16" ht="21.75" customHeight="1">
      <c r="C2" s="293" t="s">
        <v>0</v>
      </c>
      <c r="D2" s="295" t="s">
        <v>18</v>
      </c>
      <c r="E2" s="298" t="s">
        <v>62</v>
      </c>
      <c r="F2" s="295" t="s">
        <v>87</v>
      </c>
      <c r="G2" s="295"/>
      <c r="H2" s="295"/>
      <c r="I2" s="295"/>
      <c r="J2" s="295"/>
      <c r="K2" s="295"/>
      <c r="L2" s="295"/>
      <c r="M2" s="295" t="s">
        <v>83</v>
      </c>
      <c r="N2" s="295"/>
      <c r="O2" s="295" t="s">
        <v>85</v>
      </c>
      <c r="P2" s="296"/>
    </row>
    <row r="3" spans="3:16" ht="36" customHeight="1">
      <c r="C3" s="294"/>
      <c r="D3" s="297"/>
      <c r="E3" s="299"/>
      <c r="F3" s="112" t="s">
        <v>107</v>
      </c>
      <c r="G3" s="111" t="s">
        <v>19</v>
      </c>
      <c r="H3" s="111" t="s">
        <v>28</v>
      </c>
      <c r="I3" s="112" t="s">
        <v>20</v>
      </c>
      <c r="J3" s="112" t="s">
        <v>22</v>
      </c>
      <c r="K3" s="112" t="s">
        <v>21</v>
      </c>
      <c r="L3" s="112" t="s">
        <v>104</v>
      </c>
      <c r="M3" s="113" t="s">
        <v>40</v>
      </c>
      <c r="N3" s="112" t="s">
        <v>84</v>
      </c>
      <c r="O3" s="113" t="s">
        <v>40</v>
      </c>
      <c r="P3" s="114" t="s">
        <v>84</v>
      </c>
    </row>
    <row r="4" spans="3:16" ht="21" customHeight="1">
      <c r="C4" s="115">
        <f>COLUMN()-2</f>
        <v>1</v>
      </c>
      <c r="D4" s="116">
        <f t="shared" ref="D4:P4" si="0">COLUMN()-2</f>
        <v>2</v>
      </c>
      <c r="E4" s="116">
        <f t="shared" si="0"/>
        <v>3</v>
      </c>
      <c r="F4" s="116">
        <f t="shared" si="0"/>
        <v>4</v>
      </c>
      <c r="G4" s="116">
        <f t="shared" si="0"/>
        <v>5</v>
      </c>
      <c r="H4" s="116">
        <f t="shared" si="0"/>
        <v>6</v>
      </c>
      <c r="I4" s="116">
        <f t="shared" si="0"/>
        <v>7</v>
      </c>
      <c r="J4" s="116">
        <f t="shared" si="0"/>
        <v>8</v>
      </c>
      <c r="K4" s="116">
        <f t="shared" si="0"/>
        <v>9</v>
      </c>
      <c r="L4" s="116">
        <f t="shared" si="0"/>
        <v>10</v>
      </c>
      <c r="M4" s="116">
        <f t="shared" si="0"/>
        <v>11</v>
      </c>
      <c r="N4" s="116">
        <f t="shared" si="0"/>
        <v>12</v>
      </c>
      <c r="O4" s="116">
        <f t="shared" si="0"/>
        <v>13</v>
      </c>
      <c r="P4" s="117">
        <f t="shared" si="0"/>
        <v>14</v>
      </c>
    </row>
    <row r="5" spans="3:16" ht="42" customHeight="1">
      <c r="C5" s="272">
        <v>3</v>
      </c>
      <c r="D5" s="220" t="s">
        <v>160</v>
      </c>
      <c r="E5" s="273">
        <v>44208</v>
      </c>
      <c r="F5" s="220" t="s">
        <v>158</v>
      </c>
      <c r="G5" s="274" t="s">
        <v>168</v>
      </c>
      <c r="H5" s="274">
        <v>44208</v>
      </c>
      <c r="I5" s="166" t="s">
        <v>187</v>
      </c>
      <c r="J5" s="166" t="s">
        <v>133</v>
      </c>
      <c r="K5" s="220">
        <v>44208</v>
      </c>
      <c r="L5" s="166" t="s">
        <v>138</v>
      </c>
      <c r="M5" s="166">
        <v>1</v>
      </c>
      <c r="N5" s="166" t="s">
        <v>90</v>
      </c>
      <c r="O5" s="166">
        <v>20</v>
      </c>
      <c r="P5" s="166" t="s">
        <v>148</v>
      </c>
    </row>
    <row r="6" spans="3:16" ht="42" customHeight="1">
      <c r="C6" s="272">
        <v>4</v>
      </c>
      <c r="D6" s="220" t="s">
        <v>188</v>
      </c>
      <c r="E6" s="273">
        <v>44209</v>
      </c>
      <c r="F6" s="220" t="s">
        <v>158</v>
      </c>
      <c r="G6" s="274" t="s">
        <v>168</v>
      </c>
      <c r="H6" s="274">
        <v>44209</v>
      </c>
      <c r="I6" s="166" t="s">
        <v>187</v>
      </c>
      <c r="J6" s="166" t="s">
        <v>133</v>
      </c>
      <c r="K6" s="220">
        <v>44209</v>
      </c>
      <c r="L6" s="166" t="s">
        <v>138</v>
      </c>
      <c r="M6" s="166">
        <v>2</v>
      </c>
      <c r="N6" s="166" t="s">
        <v>90</v>
      </c>
      <c r="O6" s="166">
        <v>21</v>
      </c>
      <c r="P6" s="166" t="s">
        <v>148</v>
      </c>
    </row>
    <row r="7" spans="3:16" ht="42" customHeight="1">
      <c r="C7" s="272">
        <v>5</v>
      </c>
      <c r="D7" s="220" t="s">
        <v>189</v>
      </c>
      <c r="E7" s="273">
        <v>44210</v>
      </c>
      <c r="F7" s="220" t="s">
        <v>158</v>
      </c>
      <c r="G7" s="274" t="s">
        <v>168</v>
      </c>
      <c r="H7" s="274">
        <v>44210</v>
      </c>
      <c r="I7" s="166" t="s">
        <v>187</v>
      </c>
      <c r="J7" s="166" t="s">
        <v>133</v>
      </c>
      <c r="K7" s="220">
        <v>44210</v>
      </c>
      <c r="L7" s="166" t="s">
        <v>138</v>
      </c>
      <c r="M7" s="166">
        <v>3</v>
      </c>
      <c r="N7" s="166" t="s">
        <v>90</v>
      </c>
      <c r="O7" s="166">
        <v>22</v>
      </c>
      <c r="P7" s="166" t="s">
        <v>148</v>
      </c>
    </row>
    <row r="8" spans="3:16" ht="42" customHeight="1">
      <c r="C8" s="272">
        <v>6</v>
      </c>
      <c r="D8" s="220" t="s">
        <v>190</v>
      </c>
      <c r="E8" s="273">
        <v>44211</v>
      </c>
      <c r="F8" s="220" t="s">
        <v>158</v>
      </c>
      <c r="G8" s="274" t="s">
        <v>168</v>
      </c>
      <c r="H8" s="274">
        <v>44211</v>
      </c>
      <c r="I8" s="166" t="s">
        <v>187</v>
      </c>
      <c r="J8" s="166" t="s">
        <v>133</v>
      </c>
      <c r="K8" s="220">
        <v>44211</v>
      </c>
      <c r="L8" s="166" t="s">
        <v>138</v>
      </c>
      <c r="M8" s="166">
        <v>4</v>
      </c>
      <c r="N8" s="166" t="s">
        <v>90</v>
      </c>
      <c r="O8" s="166">
        <v>23</v>
      </c>
      <c r="P8" s="166" t="s">
        <v>148</v>
      </c>
    </row>
    <row r="9" spans="3:16" s="2" customFormat="1" ht="42" customHeight="1">
      <c r="C9" s="272">
        <v>7</v>
      </c>
      <c r="D9" s="220" t="s">
        <v>191</v>
      </c>
      <c r="E9" s="273">
        <v>44212</v>
      </c>
      <c r="F9" s="220" t="s">
        <v>158</v>
      </c>
      <c r="G9" s="274" t="s">
        <v>168</v>
      </c>
      <c r="H9" s="274">
        <v>44212</v>
      </c>
      <c r="I9" s="166" t="s">
        <v>187</v>
      </c>
      <c r="J9" s="166" t="s">
        <v>133</v>
      </c>
      <c r="K9" s="220">
        <v>44212</v>
      </c>
      <c r="L9" s="166" t="s">
        <v>138</v>
      </c>
      <c r="M9" s="166">
        <v>5</v>
      </c>
      <c r="N9" s="166" t="s">
        <v>90</v>
      </c>
      <c r="O9" s="166">
        <v>24</v>
      </c>
      <c r="P9" s="166" t="s">
        <v>148</v>
      </c>
    </row>
    <row r="10" spans="3:16" ht="42" customHeight="1">
      <c r="C10" s="272">
        <v>8</v>
      </c>
      <c r="D10" s="220" t="s">
        <v>192</v>
      </c>
      <c r="E10" s="273">
        <v>44213</v>
      </c>
      <c r="F10" s="220" t="s">
        <v>158</v>
      </c>
      <c r="G10" s="274" t="s">
        <v>168</v>
      </c>
      <c r="H10" s="274">
        <v>44213</v>
      </c>
      <c r="I10" s="166" t="s">
        <v>187</v>
      </c>
      <c r="J10" s="166" t="s">
        <v>133</v>
      </c>
      <c r="K10" s="220">
        <v>44213</v>
      </c>
      <c r="L10" s="166" t="s">
        <v>138</v>
      </c>
      <c r="M10" s="166">
        <v>6</v>
      </c>
      <c r="N10" s="166" t="s">
        <v>90</v>
      </c>
      <c r="O10" s="166">
        <v>25</v>
      </c>
      <c r="P10" s="166" t="s">
        <v>148</v>
      </c>
    </row>
    <row r="11" spans="3:16" ht="42" customHeight="1">
      <c r="C11" s="272">
        <v>9</v>
      </c>
      <c r="D11" s="220" t="s">
        <v>193</v>
      </c>
      <c r="E11" s="273">
        <v>44214</v>
      </c>
      <c r="F11" s="220" t="s">
        <v>158</v>
      </c>
      <c r="G11" s="274" t="s">
        <v>168</v>
      </c>
      <c r="H11" s="274">
        <v>44214</v>
      </c>
      <c r="I11" s="166" t="s">
        <v>187</v>
      </c>
      <c r="J11" s="166" t="s">
        <v>133</v>
      </c>
      <c r="K11" s="220">
        <v>44214</v>
      </c>
      <c r="L11" s="166" t="s">
        <v>138</v>
      </c>
      <c r="M11" s="166">
        <v>7</v>
      </c>
      <c r="N11" s="166" t="s">
        <v>90</v>
      </c>
      <c r="O11" s="166">
        <v>26</v>
      </c>
      <c r="P11" s="166" t="s">
        <v>148</v>
      </c>
    </row>
    <row r="12" spans="3:16" s="2" customFormat="1" ht="42" customHeight="1">
      <c r="C12" s="272">
        <v>10</v>
      </c>
      <c r="D12" s="220" t="s">
        <v>194</v>
      </c>
      <c r="E12" s="273">
        <v>44215</v>
      </c>
      <c r="F12" s="220" t="s">
        <v>158</v>
      </c>
      <c r="G12" s="274" t="s">
        <v>168</v>
      </c>
      <c r="H12" s="274">
        <v>44215</v>
      </c>
      <c r="I12" s="166" t="s">
        <v>187</v>
      </c>
      <c r="J12" s="166" t="s">
        <v>133</v>
      </c>
      <c r="K12" s="220">
        <v>44215</v>
      </c>
      <c r="L12" s="166" t="s">
        <v>138</v>
      </c>
      <c r="M12" s="166">
        <v>8</v>
      </c>
      <c r="N12" s="166" t="s">
        <v>90</v>
      </c>
      <c r="O12" s="166">
        <v>27</v>
      </c>
      <c r="P12" s="166" t="s">
        <v>148</v>
      </c>
    </row>
    <row r="13" spans="3:16" ht="42" customHeight="1">
      <c r="C13" s="272">
        <v>11</v>
      </c>
      <c r="D13" s="220" t="s">
        <v>195</v>
      </c>
      <c r="E13" s="273">
        <v>44216</v>
      </c>
      <c r="F13" s="220" t="s">
        <v>158</v>
      </c>
      <c r="G13" s="274" t="s">
        <v>168</v>
      </c>
      <c r="H13" s="274">
        <v>44216</v>
      </c>
      <c r="I13" s="166" t="s">
        <v>187</v>
      </c>
      <c r="J13" s="166" t="s">
        <v>133</v>
      </c>
      <c r="K13" s="220">
        <v>44216</v>
      </c>
      <c r="L13" s="166" t="s">
        <v>138</v>
      </c>
      <c r="M13" s="166">
        <v>9</v>
      </c>
      <c r="N13" s="166" t="s">
        <v>90</v>
      </c>
      <c r="O13" s="166">
        <v>28</v>
      </c>
      <c r="P13" s="166" t="s">
        <v>148</v>
      </c>
    </row>
    <row r="14" spans="3:16" ht="42" customHeight="1">
      <c r="C14" s="272">
        <v>12</v>
      </c>
      <c r="D14" s="220" t="s">
        <v>196</v>
      </c>
      <c r="E14" s="273">
        <v>44217</v>
      </c>
      <c r="F14" s="220" t="s">
        <v>158</v>
      </c>
      <c r="G14" s="274" t="s">
        <v>168</v>
      </c>
      <c r="H14" s="274">
        <v>44217</v>
      </c>
      <c r="I14" s="166" t="s">
        <v>187</v>
      </c>
      <c r="J14" s="166" t="s">
        <v>133</v>
      </c>
      <c r="K14" s="220">
        <v>44217</v>
      </c>
      <c r="L14" s="166" t="s">
        <v>138</v>
      </c>
      <c r="M14" s="166">
        <v>10</v>
      </c>
      <c r="N14" s="166" t="s">
        <v>90</v>
      </c>
      <c r="O14" s="166">
        <v>29</v>
      </c>
      <c r="P14" s="166" t="s">
        <v>148</v>
      </c>
    </row>
    <row r="15" spans="3:16" ht="42" customHeight="1">
      <c r="C15" s="272">
        <v>13</v>
      </c>
      <c r="D15" s="220" t="s">
        <v>197</v>
      </c>
      <c r="E15" s="273">
        <v>44218</v>
      </c>
      <c r="F15" s="220" t="s">
        <v>158</v>
      </c>
      <c r="G15" s="274" t="s">
        <v>168</v>
      </c>
      <c r="H15" s="274">
        <v>44218</v>
      </c>
      <c r="I15" s="166" t="s">
        <v>187</v>
      </c>
      <c r="J15" s="166" t="s">
        <v>133</v>
      </c>
      <c r="K15" s="220">
        <v>44218</v>
      </c>
      <c r="L15" s="166" t="s">
        <v>138</v>
      </c>
      <c r="M15" s="166">
        <v>11</v>
      </c>
      <c r="N15" s="166" t="s">
        <v>90</v>
      </c>
      <c r="O15" s="166">
        <v>30</v>
      </c>
      <c r="P15" s="166" t="s">
        <v>148</v>
      </c>
    </row>
    <row r="16" spans="3:16" ht="42" customHeight="1">
      <c r="C16" s="272">
        <v>14</v>
      </c>
      <c r="D16" s="220" t="s">
        <v>198</v>
      </c>
      <c r="E16" s="273">
        <v>44219</v>
      </c>
      <c r="F16" s="220" t="s">
        <v>158</v>
      </c>
      <c r="G16" s="274" t="s">
        <v>168</v>
      </c>
      <c r="H16" s="274">
        <v>44219</v>
      </c>
      <c r="I16" s="166" t="s">
        <v>187</v>
      </c>
      <c r="J16" s="166" t="s">
        <v>133</v>
      </c>
      <c r="K16" s="220">
        <v>44219</v>
      </c>
      <c r="L16" s="166" t="s">
        <v>138</v>
      </c>
      <c r="M16" s="166">
        <v>12</v>
      </c>
      <c r="N16" s="166" t="s">
        <v>90</v>
      </c>
      <c r="O16" s="166">
        <v>31</v>
      </c>
      <c r="P16" s="166" t="s">
        <v>148</v>
      </c>
    </row>
    <row r="17" spans="3:16" ht="42" customHeight="1">
      <c r="C17" s="272">
        <v>15</v>
      </c>
      <c r="D17" s="220" t="s">
        <v>199</v>
      </c>
      <c r="E17" s="273">
        <v>44220</v>
      </c>
      <c r="F17" s="220" t="s">
        <v>158</v>
      </c>
      <c r="G17" s="274" t="s">
        <v>168</v>
      </c>
      <c r="H17" s="274">
        <v>44220</v>
      </c>
      <c r="I17" s="166" t="s">
        <v>187</v>
      </c>
      <c r="J17" s="166" t="s">
        <v>133</v>
      </c>
      <c r="K17" s="220">
        <v>44220</v>
      </c>
      <c r="L17" s="166" t="s">
        <v>138</v>
      </c>
      <c r="M17" s="166">
        <v>13</v>
      </c>
      <c r="N17" s="166" t="s">
        <v>90</v>
      </c>
      <c r="O17" s="166">
        <v>32</v>
      </c>
      <c r="P17" s="166" t="s">
        <v>148</v>
      </c>
    </row>
    <row r="18" spans="3:16" ht="42" customHeight="1">
      <c r="C18" s="272">
        <v>16</v>
      </c>
      <c r="D18" s="220" t="s">
        <v>200</v>
      </c>
      <c r="E18" s="273">
        <v>44221</v>
      </c>
      <c r="F18" s="220" t="s">
        <v>158</v>
      </c>
      <c r="G18" s="274" t="s">
        <v>168</v>
      </c>
      <c r="H18" s="274">
        <v>44221</v>
      </c>
      <c r="I18" s="166" t="s">
        <v>187</v>
      </c>
      <c r="J18" s="166" t="s">
        <v>133</v>
      </c>
      <c r="K18" s="220">
        <v>44221</v>
      </c>
      <c r="L18" s="166" t="s">
        <v>138</v>
      </c>
      <c r="M18" s="166">
        <v>14</v>
      </c>
      <c r="N18" s="166" t="s">
        <v>90</v>
      </c>
      <c r="O18" s="166">
        <v>33</v>
      </c>
      <c r="P18" s="166" t="s">
        <v>148</v>
      </c>
    </row>
    <row r="19" spans="3:16" ht="42" customHeight="1">
      <c r="C19" s="272">
        <v>17</v>
      </c>
      <c r="D19" s="220" t="s">
        <v>201</v>
      </c>
      <c r="E19" s="273">
        <v>44222</v>
      </c>
      <c r="F19" s="220" t="s">
        <v>158</v>
      </c>
      <c r="G19" s="274" t="s">
        <v>168</v>
      </c>
      <c r="H19" s="274">
        <v>44222</v>
      </c>
      <c r="I19" s="166" t="s">
        <v>187</v>
      </c>
      <c r="J19" s="166" t="s">
        <v>133</v>
      </c>
      <c r="K19" s="220">
        <v>44222</v>
      </c>
      <c r="L19" s="166" t="s">
        <v>138</v>
      </c>
      <c r="M19" s="166">
        <v>15</v>
      </c>
      <c r="N19" s="166" t="s">
        <v>90</v>
      </c>
      <c r="O19" s="166">
        <v>34</v>
      </c>
      <c r="P19" s="166" t="s">
        <v>148</v>
      </c>
    </row>
    <row r="20" spans="3:16" ht="42" customHeight="1">
      <c r="C20" s="272">
        <v>18</v>
      </c>
      <c r="D20" s="220" t="s">
        <v>202</v>
      </c>
      <c r="E20" s="273">
        <v>44223</v>
      </c>
      <c r="F20" s="220" t="s">
        <v>158</v>
      </c>
      <c r="G20" s="274" t="s">
        <v>168</v>
      </c>
      <c r="H20" s="274">
        <v>44223</v>
      </c>
      <c r="I20" s="166" t="s">
        <v>187</v>
      </c>
      <c r="J20" s="166" t="s">
        <v>133</v>
      </c>
      <c r="K20" s="220">
        <v>44223</v>
      </c>
      <c r="L20" s="166" t="s">
        <v>138</v>
      </c>
      <c r="M20" s="166">
        <v>16</v>
      </c>
      <c r="N20" s="166" t="s">
        <v>90</v>
      </c>
      <c r="O20" s="166">
        <v>35</v>
      </c>
      <c r="P20" s="166" t="s">
        <v>148</v>
      </c>
    </row>
    <row r="21" spans="3:16" ht="42" customHeight="1">
      <c r="C21" s="272">
        <v>19</v>
      </c>
      <c r="D21" s="220" t="s">
        <v>203</v>
      </c>
      <c r="E21" s="273">
        <v>44224</v>
      </c>
      <c r="F21" s="220" t="s">
        <v>158</v>
      </c>
      <c r="G21" s="274" t="s">
        <v>168</v>
      </c>
      <c r="H21" s="274">
        <v>44224</v>
      </c>
      <c r="I21" s="166" t="s">
        <v>187</v>
      </c>
      <c r="J21" s="166" t="s">
        <v>133</v>
      </c>
      <c r="K21" s="220">
        <v>44224</v>
      </c>
      <c r="L21" s="166" t="s">
        <v>138</v>
      </c>
      <c r="M21" s="166">
        <v>17</v>
      </c>
      <c r="N21" s="166" t="s">
        <v>90</v>
      </c>
      <c r="O21" s="166">
        <v>36</v>
      </c>
      <c r="P21" s="166" t="s">
        <v>148</v>
      </c>
    </row>
    <row r="22" spans="3:16" ht="42" customHeight="1">
      <c r="C22" s="272">
        <v>20</v>
      </c>
      <c r="D22" s="220" t="s">
        <v>204</v>
      </c>
      <c r="E22" s="273">
        <v>44225</v>
      </c>
      <c r="F22" s="220" t="s">
        <v>158</v>
      </c>
      <c r="G22" s="274" t="s">
        <v>168</v>
      </c>
      <c r="H22" s="274">
        <v>44225</v>
      </c>
      <c r="I22" s="166" t="s">
        <v>187</v>
      </c>
      <c r="J22" s="166" t="s">
        <v>133</v>
      </c>
      <c r="K22" s="220">
        <v>44225</v>
      </c>
      <c r="L22" s="166" t="s">
        <v>138</v>
      </c>
      <c r="M22" s="166">
        <v>18</v>
      </c>
      <c r="N22" s="166" t="s">
        <v>90</v>
      </c>
      <c r="O22" s="166">
        <v>37</v>
      </c>
      <c r="P22" s="166" t="s">
        <v>148</v>
      </c>
    </row>
    <row r="23" spans="3:16" ht="42" customHeight="1">
      <c r="C23" s="272">
        <v>21</v>
      </c>
      <c r="D23" s="220" t="s">
        <v>205</v>
      </c>
      <c r="E23" s="273">
        <v>44226</v>
      </c>
      <c r="F23" s="220" t="s">
        <v>158</v>
      </c>
      <c r="G23" s="274" t="s">
        <v>168</v>
      </c>
      <c r="H23" s="274">
        <v>44226</v>
      </c>
      <c r="I23" s="166" t="s">
        <v>187</v>
      </c>
      <c r="J23" s="166" t="s">
        <v>133</v>
      </c>
      <c r="K23" s="220">
        <v>44226</v>
      </c>
      <c r="L23" s="166" t="s">
        <v>138</v>
      </c>
      <c r="M23" s="166">
        <v>19</v>
      </c>
      <c r="N23" s="166" t="s">
        <v>90</v>
      </c>
      <c r="O23" s="166">
        <v>38</v>
      </c>
      <c r="P23" s="166" t="s">
        <v>148</v>
      </c>
    </row>
    <row r="24" spans="3:16" ht="42" customHeight="1">
      <c r="C24" s="272">
        <v>22</v>
      </c>
      <c r="D24" s="220" t="s">
        <v>206</v>
      </c>
      <c r="E24" s="273">
        <v>44227</v>
      </c>
      <c r="F24" s="220" t="s">
        <v>158</v>
      </c>
      <c r="G24" s="274" t="s">
        <v>168</v>
      </c>
      <c r="H24" s="274">
        <v>44227</v>
      </c>
      <c r="I24" s="166" t="s">
        <v>187</v>
      </c>
      <c r="J24" s="166" t="s">
        <v>133</v>
      </c>
      <c r="K24" s="220">
        <v>44227</v>
      </c>
      <c r="L24" s="166" t="s">
        <v>138</v>
      </c>
      <c r="M24" s="166">
        <v>20</v>
      </c>
      <c r="N24" s="166" t="s">
        <v>90</v>
      </c>
      <c r="O24" s="166">
        <v>39</v>
      </c>
      <c r="P24" s="166" t="s">
        <v>148</v>
      </c>
    </row>
    <row r="25" spans="3:16" ht="42" customHeight="1">
      <c r="C25" s="272">
        <v>23</v>
      </c>
      <c r="D25" s="220" t="s">
        <v>207</v>
      </c>
      <c r="E25" s="273">
        <v>44228</v>
      </c>
      <c r="F25" s="220" t="s">
        <v>158</v>
      </c>
      <c r="G25" s="274" t="s">
        <v>168</v>
      </c>
      <c r="H25" s="274">
        <v>44228</v>
      </c>
      <c r="I25" s="166" t="s">
        <v>187</v>
      </c>
      <c r="J25" s="166" t="s">
        <v>133</v>
      </c>
      <c r="K25" s="220">
        <v>44228</v>
      </c>
      <c r="L25" s="166" t="s">
        <v>138</v>
      </c>
      <c r="M25" s="166">
        <v>21</v>
      </c>
      <c r="N25" s="166" t="s">
        <v>90</v>
      </c>
      <c r="O25" s="166">
        <v>40</v>
      </c>
      <c r="P25" s="166" t="s">
        <v>148</v>
      </c>
    </row>
    <row r="26" spans="3:16" ht="42" customHeight="1">
      <c r="C26" s="272">
        <v>24</v>
      </c>
      <c r="D26" s="220" t="s">
        <v>208</v>
      </c>
      <c r="E26" s="273">
        <v>44229</v>
      </c>
      <c r="F26" s="220" t="s">
        <v>158</v>
      </c>
      <c r="G26" s="274" t="s">
        <v>168</v>
      </c>
      <c r="H26" s="274">
        <v>44229</v>
      </c>
      <c r="I26" s="166" t="s">
        <v>187</v>
      </c>
      <c r="J26" s="166" t="s">
        <v>133</v>
      </c>
      <c r="K26" s="220">
        <v>44229</v>
      </c>
      <c r="L26" s="166" t="s">
        <v>138</v>
      </c>
      <c r="M26" s="166">
        <v>22</v>
      </c>
      <c r="N26" s="166" t="s">
        <v>90</v>
      </c>
      <c r="O26" s="166">
        <v>41</v>
      </c>
      <c r="P26" s="166" t="s">
        <v>148</v>
      </c>
    </row>
    <row r="27" spans="3:16" ht="42" customHeight="1">
      <c r="C27" s="272">
        <v>25</v>
      </c>
      <c r="D27" s="220" t="s">
        <v>209</v>
      </c>
      <c r="E27" s="273">
        <v>44230</v>
      </c>
      <c r="F27" s="220" t="s">
        <v>158</v>
      </c>
      <c r="G27" s="274" t="s">
        <v>168</v>
      </c>
      <c r="H27" s="274">
        <v>44230</v>
      </c>
      <c r="I27" s="166" t="s">
        <v>187</v>
      </c>
      <c r="J27" s="166" t="s">
        <v>133</v>
      </c>
      <c r="K27" s="220">
        <v>44230</v>
      </c>
      <c r="L27" s="166" t="s">
        <v>138</v>
      </c>
      <c r="M27" s="166">
        <v>23</v>
      </c>
      <c r="N27" s="166" t="s">
        <v>90</v>
      </c>
      <c r="O27" s="166">
        <v>42</v>
      </c>
      <c r="P27" s="166" t="s">
        <v>148</v>
      </c>
    </row>
    <row r="28" spans="3:16" ht="42" customHeight="1">
      <c r="C28" s="272">
        <v>26</v>
      </c>
      <c r="D28" s="220" t="s">
        <v>210</v>
      </c>
      <c r="E28" s="273">
        <v>44231</v>
      </c>
      <c r="F28" s="220" t="s">
        <v>158</v>
      </c>
      <c r="G28" s="274" t="s">
        <v>168</v>
      </c>
      <c r="H28" s="274">
        <v>44231</v>
      </c>
      <c r="I28" s="166" t="s">
        <v>187</v>
      </c>
      <c r="J28" s="166" t="s">
        <v>133</v>
      </c>
      <c r="K28" s="220">
        <v>44231</v>
      </c>
      <c r="L28" s="166" t="s">
        <v>138</v>
      </c>
      <c r="M28" s="166">
        <v>24</v>
      </c>
      <c r="N28" s="166" t="s">
        <v>90</v>
      </c>
      <c r="O28" s="166">
        <v>43</v>
      </c>
      <c r="P28" s="166" t="s">
        <v>148</v>
      </c>
    </row>
    <row r="29" spans="3:16" ht="42" customHeight="1">
      <c r="C29" s="272">
        <v>27</v>
      </c>
      <c r="D29" s="220" t="s">
        <v>211</v>
      </c>
      <c r="E29" s="273">
        <v>44232</v>
      </c>
      <c r="F29" s="220" t="s">
        <v>158</v>
      </c>
      <c r="G29" s="274" t="s">
        <v>168</v>
      </c>
      <c r="H29" s="274">
        <v>44232</v>
      </c>
      <c r="I29" s="166" t="s">
        <v>187</v>
      </c>
      <c r="J29" s="166" t="s">
        <v>133</v>
      </c>
      <c r="K29" s="220">
        <v>44232</v>
      </c>
      <c r="L29" s="166" t="s">
        <v>138</v>
      </c>
      <c r="M29" s="166">
        <v>25</v>
      </c>
      <c r="N29" s="166" t="s">
        <v>90</v>
      </c>
      <c r="O29" s="166">
        <v>44</v>
      </c>
      <c r="P29" s="166" t="s">
        <v>148</v>
      </c>
    </row>
    <row r="30" spans="3:16" ht="42" customHeight="1">
      <c r="C30" s="272">
        <v>28</v>
      </c>
      <c r="D30" s="220" t="s">
        <v>212</v>
      </c>
      <c r="E30" s="273">
        <v>44233</v>
      </c>
      <c r="F30" s="220" t="s">
        <v>158</v>
      </c>
      <c r="G30" s="274" t="s">
        <v>168</v>
      </c>
      <c r="H30" s="274">
        <v>44233</v>
      </c>
      <c r="I30" s="166" t="s">
        <v>187</v>
      </c>
      <c r="J30" s="166" t="s">
        <v>133</v>
      </c>
      <c r="K30" s="220">
        <v>44233</v>
      </c>
      <c r="L30" s="166" t="s">
        <v>138</v>
      </c>
      <c r="M30" s="166">
        <v>26</v>
      </c>
      <c r="N30" s="166" t="s">
        <v>90</v>
      </c>
      <c r="O30" s="166">
        <v>45</v>
      </c>
      <c r="P30" s="166" t="s">
        <v>148</v>
      </c>
    </row>
    <row r="31" spans="3:16" ht="42" customHeight="1">
      <c r="C31" s="272">
        <v>29</v>
      </c>
      <c r="D31" s="220" t="s">
        <v>213</v>
      </c>
      <c r="E31" s="273">
        <v>44234</v>
      </c>
      <c r="F31" s="220" t="s">
        <v>158</v>
      </c>
      <c r="G31" s="274" t="s">
        <v>168</v>
      </c>
      <c r="H31" s="274">
        <v>44234</v>
      </c>
      <c r="I31" s="166" t="s">
        <v>187</v>
      </c>
      <c r="J31" s="166" t="s">
        <v>133</v>
      </c>
      <c r="K31" s="220">
        <v>44234</v>
      </c>
      <c r="L31" s="166" t="s">
        <v>138</v>
      </c>
      <c r="M31" s="166">
        <v>27</v>
      </c>
      <c r="N31" s="166" t="s">
        <v>90</v>
      </c>
      <c r="O31" s="166">
        <v>46</v>
      </c>
      <c r="P31" s="166" t="s">
        <v>148</v>
      </c>
    </row>
    <row r="32" spans="3:16" ht="42" customHeight="1">
      <c r="C32" s="272">
        <v>30</v>
      </c>
      <c r="D32" s="220" t="s">
        <v>214</v>
      </c>
      <c r="E32" s="273">
        <v>44235</v>
      </c>
      <c r="F32" s="220" t="s">
        <v>158</v>
      </c>
      <c r="G32" s="274" t="s">
        <v>168</v>
      </c>
      <c r="H32" s="274">
        <v>44235</v>
      </c>
      <c r="I32" s="166" t="s">
        <v>187</v>
      </c>
      <c r="J32" s="166" t="s">
        <v>133</v>
      </c>
      <c r="K32" s="220">
        <v>44235</v>
      </c>
      <c r="L32" s="166" t="s">
        <v>138</v>
      </c>
      <c r="M32" s="166">
        <v>28</v>
      </c>
      <c r="N32" s="166" t="s">
        <v>90</v>
      </c>
      <c r="O32" s="166">
        <v>47</v>
      </c>
      <c r="P32" s="166" t="s">
        <v>148</v>
      </c>
    </row>
    <row r="33" spans="3:16" ht="42" customHeight="1">
      <c r="C33" s="272">
        <v>31</v>
      </c>
      <c r="D33" s="220" t="s">
        <v>215</v>
      </c>
      <c r="E33" s="273">
        <v>44236</v>
      </c>
      <c r="F33" s="220" t="s">
        <v>158</v>
      </c>
      <c r="G33" s="274" t="s">
        <v>168</v>
      </c>
      <c r="H33" s="274">
        <v>44236</v>
      </c>
      <c r="I33" s="166" t="s">
        <v>187</v>
      </c>
      <c r="J33" s="166" t="s">
        <v>133</v>
      </c>
      <c r="K33" s="220">
        <v>44236</v>
      </c>
      <c r="L33" s="166" t="s">
        <v>138</v>
      </c>
      <c r="M33" s="166">
        <v>29</v>
      </c>
      <c r="N33" s="166" t="s">
        <v>90</v>
      </c>
      <c r="O33" s="166">
        <v>48</v>
      </c>
      <c r="P33" s="166" t="s">
        <v>148</v>
      </c>
    </row>
    <row r="34" spans="3:16" ht="42" customHeight="1">
      <c r="C34" s="272">
        <v>32</v>
      </c>
      <c r="D34" s="220" t="s">
        <v>216</v>
      </c>
      <c r="E34" s="273">
        <v>44237</v>
      </c>
      <c r="F34" s="220" t="s">
        <v>158</v>
      </c>
      <c r="G34" s="274" t="s">
        <v>168</v>
      </c>
      <c r="H34" s="274">
        <v>44237</v>
      </c>
      <c r="I34" s="166" t="s">
        <v>187</v>
      </c>
      <c r="J34" s="166" t="s">
        <v>133</v>
      </c>
      <c r="K34" s="220">
        <v>44237</v>
      </c>
      <c r="L34" s="166" t="s">
        <v>138</v>
      </c>
      <c r="M34" s="166">
        <v>30</v>
      </c>
      <c r="N34" s="166" t="s">
        <v>90</v>
      </c>
      <c r="O34" s="166">
        <v>49</v>
      </c>
      <c r="P34" s="166" t="s">
        <v>148</v>
      </c>
    </row>
    <row r="35" spans="3:16" ht="42" customHeight="1">
      <c r="C35" s="272">
        <v>33</v>
      </c>
      <c r="D35" s="220" t="s">
        <v>217</v>
      </c>
      <c r="E35" s="273">
        <v>44238</v>
      </c>
      <c r="F35" s="220" t="s">
        <v>158</v>
      </c>
      <c r="G35" s="274" t="s">
        <v>168</v>
      </c>
      <c r="H35" s="274">
        <v>44238</v>
      </c>
      <c r="I35" s="166" t="s">
        <v>187</v>
      </c>
      <c r="J35" s="166" t="s">
        <v>133</v>
      </c>
      <c r="K35" s="220">
        <v>44238</v>
      </c>
      <c r="L35" s="166" t="s">
        <v>138</v>
      </c>
      <c r="M35" s="166">
        <v>31</v>
      </c>
      <c r="N35" s="166" t="s">
        <v>90</v>
      </c>
      <c r="O35" s="166">
        <v>50</v>
      </c>
      <c r="P35" s="166" t="s">
        <v>148</v>
      </c>
    </row>
    <row r="36" spans="3:16" ht="42" customHeight="1">
      <c r="C36" s="272">
        <v>34</v>
      </c>
      <c r="D36" s="220" t="s">
        <v>218</v>
      </c>
      <c r="E36" s="273">
        <v>44239</v>
      </c>
      <c r="F36" s="220" t="s">
        <v>158</v>
      </c>
      <c r="G36" s="274" t="s">
        <v>168</v>
      </c>
      <c r="H36" s="274">
        <v>44239</v>
      </c>
      <c r="I36" s="166" t="s">
        <v>187</v>
      </c>
      <c r="J36" s="166" t="s">
        <v>133</v>
      </c>
      <c r="K36" s="220">
        <v>44239</v>
      </c>
      <c r="L36" s="166" t="s">
        <v>138</v>
      </c>
      <c r="M36" s="166">
        <v>32</v>
      </c>
      <c r="N36" s="166" t="s">
        <v>90</v>
      </c>
      <c r="O36" s="166">
        <v>51</v>
      </c>
      <c r="P36" s="166" t="s">
        <v>148</v>
      </c>
    </row>
    <row r="37" spans="3:16" ht="42" customHeight="1">
      <c r="C37" s="272">
        <v>35</v>
      </c>
      <c r="D37" s="220" t="s">
        <v>219</v>
      </c>
      <c r="E37" s="273">
        <v>44240</v>
      </c>
      <c r="F37" s="220" t="s">
        <v>158</v>
      </c>
      <c r="G37" s="274" t="s">
        <v>168</v>
      </c>
      <c r="H37" s="274">
        <v>44240</v>
      </c>
      <c r="I37" s="166" t="s">
        <v>187</v>
      </c>
      <c r="J37" s="166" t="s">
        <v>133</v>
      </c>
      <c r="K37" s="220">
        <v>44240</v>
      </c>
      <c r="L37" s="166" t="s">
        <v>138</v>
      </c>
      <c r="M37" s="166">
        <v>33</v>
      </c>
      <c r="N37" s="166" t="s">
        <v>90</v>
      </c>
      <c r="O37" s="166">
        <v>52</v>
      </c>
      <c r="P37" s="166" t="s">
        <v>148</v>
      </c>
    </row>
    <row r="38" spans="3:16" ht="42" customHeight="1">
      <c r="C38" s="272">
        <v>36</v>
      </c>
      <c r="D38" s="220" t="s">
        <v>220</v>
      </c>
      <c r="E38" s="273">
        <v>44241</v>
      </c>
      <c r="F38" s="220" t="s">
        <v>158</v>
      </c>
      <c r="G38" s="274" t="s">
        <v>168</v>
      </c>
      <c r="H38" s="274">
        <v>44241</v>
      </c>
      <c r="I38" s="166" t="s">
        <v>187</v>
      </c>
      <c r="J38" s="166" t="s">
        <v>133</v>
      </c>
      <c r="K38" s="220">
        <v>44241</v>
      </c>
      <c r="L38" s="166" t="s">
        <v>138</v>
      </c>
      <c r="M38" s="166">
        <v>34</v>
      </c>
      <c r="N38" s="166" t="s">
        <v>90</v>
      </c>
      <c r="O38" s="166">
        <v>53</v>
      </c>
      <c r="P38" s="166" t="s">
        <v>148</v>
      </c>
    </row>
    <row r="39" spans="3:16" ht="42" customHeight="1">
      <c r="C39" s="272">
        <v>37</v>
      </c>
      <c r="D39" s="220" t="s">
        <v>221</v>
      </c>
      <c r="E39" s="273">
        <v>44242</v>
      </c>
      <c r="F39" s="220" t="s">
        <v>158</v>
      </c>
      <c r="G39" s="274" t="s">
        <v>168</v>
      </c>
      <c r="H39" s="274">
        <v>44242</v>
      </c>
      <c r="I39" s="166" t="s">
        <v>187</v>
      </c>
      <c r="J39" s="166" t="s">
        <v>133</v>
      </c>
      <c r="K39" s="220">
        <v>44242</v>
      </c>
      <c r="L39" s="166" t="s">
        <v>138</v>
      </c>
      <c r="M39" s="166">
        <v>35</v>
      </c>
      <c r="N39" s="166" t="s">
        <v>90</v>
      </c>
      <c r="O39" s="166">
        <v>54</v>
      </c>
      <c r="P39" s="166" t="s">
        <v>148</v>
      </c>
    </row>
    <row r="40" spans="3:16" ht="42" customHeight="1">
      <c r="C40" s="272">
        <v>38</v>
      </c>
      <c r="D40" s="275"/>
      <c r="E40" s="276"/>
      <c r="F40" s="221"/>
      <c r="G40" s="275"/>
      <c r="H40" s="276"/>
      <c r="I40" s="217"/>
      <c r="J40" s="217"/>
      <c r="K40" s="221"/>
      <c r="L40" s="217"/>
      <c r="M40" s="217"/>
      <c r="N40" s="217"/>
      <c r="O40" s="217"/>
      <c r="P40" s="217"/>
    </row>
    <row r="41" spans="3:16" ht="42" customHeight="1">
      <c r="C41" s="272">
        <v>39</v>
      </c>
      <c r="D41" s="275"/>
      <c r="E41" s="276"/>
      <c r="F41" s="221"/>
      <c r="G41" s="275"/>
      <c r="H41" s="276"/>
      <c r="I41" s="217"/>
      <c r="J41" s="217"/>
      <c r="K41" s="221"/>
      <c r="L41" s="217"/>
      <c r="M41" s="217"/>
      <c r="N41" s="217"/>
      <c r="O41" s="217"/>
      <c r="P41" s="217"/>
    </row>
    <row r="42" spans="3:16" ht="42" customHeight="1">
      <c r="C42" s="272">
        <v>40</v>
      </c>
      <c r="D42" s="275"/>
      <c r="E42" s="276"/>
      <c r="F42" s="221"/>
      <c r="G42" s="275"/>
      <c r="H42" s="276"/>
      <c r="I42" s="217"/>
      <c r="J42" s="217"/>
      <c r="K42" s="221"/>
      <c r="L42" s="217"/>
      <c r="M42" s="217"/>
      <c r="N42" s="217"/>
      <c r="O42" s="217"/>
      <c r="P42" s="217"/>
    </row>
    <row r="43" spans="3:16" ht="42" customHeight="1">
      <c r="C43" s="272">
        <v>41</v>
      </c>
      <c r="D43" s="275"/>
      <c r="E43" s="276"/>
      <c r="F43" s="221"/>
      <c r="G43" s="275"/>
      <c r="H43" s="276"/>
      <c r="I43" s="217"/>
      <c r="J43" s="217"/>
      <c r="K43" s="221"/>
      <c r="L43" s="217"/>
      <c r="M43" s="217"/>
      <c r="N43" s="217"/>
      <c r="O43" s="217"/>
      <c r="P43" s="217"/>
    </row>
    <row r="44" spans="3:16" ht="42" customHeight="1">
      <c r="C44" s="272">
        <v>42</v>
      </c>
      <c r="D44" s="275"/>
      <c r="E44" s="276"/>
      <c r="F44" s="221"/>
      <c r="G44" s="275"/>
      <c r="H44" s="276"/>
      <c r="I44" s="217"/>
      <c r="J44" s="217"/>
      <c r="K44" s="221"/>
      <c r="L44" s="217"/>
      <c r="M44" s="217"/>
      <c r="N44" s="217"/>
      <c r="O44" s="217"/>
      <c r="P44" s="217"/>
    </row>
    <row r="45" spans="3:16" ht="42" customHeight="1">
      <c r="C45" s="272">
        <v>43</v>
      </c>
      <c r="D45" s="275"/>
      <c r="E45" s="276"/>
      <c r="F45" s="221"/>
      <c r="G45" s="275"/>
      <c r="H45" s="276"/>
      <c r="I45" s="217"/>
      <c r="J45" s="217"/>
      <c r="K45" s="221"/>
      <c r="L45" s="217"/>
      <c r="M45" s="217"/>
      <c r="N45" s="217"/>
      <c r="O45" s="217"/>
      <c r="P45" s="217"/>
    </row>
    <row r="46" spans="3:16" ht="42" customHeight="1">
      <c r="C46" s="272">
        <v>44</v>
      </c>
      <c r="D46" s="275"/>
      <c r="E46" s="276"/>
      <c r="F46" s="221"/>
      <c r="G46" s="275"/>
      <c r="H46" s="276"/>
      <c r="I46" s="217"/>
      <c r="J46" s="217"/>
      <c r="K46" s="221"/>
      <c r="L46" s="217"/>
      <c r="M46" s="217"/>
      <c r="N46" s="217"/>
      <c r="O46" s="217"/>
      <c r="P46" s="217"/>
    </row>
    <row r="47" spans="3:16" ht="42" customHeight="1">
      <c r="C47" s="272">
        <v>45</v>
      </c>
      <c r="D47" s="275"/>
      <c r="E47" s="276"/>
      <c r="F47" s="221"/>
      <c r="G47" s="275"/>
      <c r="H47" s="276"/>
      <c r="I47" s="217"/>
      <c r="J47" s="217"/>
      <c r="K47" s="221"/>
      <c r="L47" s="217"/>
      <c r="M47" s="217"/>
      <c r="N47" s="217"/>
      <c r="O47" s="217"/>
      <c r="P47" s="217"/>
    </row>
    <row r="48" spans="3:16" ht="42" customHeight="1">
      <c r="C48" s="272">
        <v>46</v>
      </c>
      <c r="D48" s="275"/>
      <c r="E48" s="276"/>
      <c r="F48" s="221"/>
      <c r="G48" s="275"/>
      <c r="H48" s="276"/>
      <c r="I48" s="217"/>
      <c r="J48" s="217"/>
      <c r="K48" s="221"/>
      <c r="L48" s="217"/>
      <c r="M48" s="217"/>
      <c r="N48" s="217"/>
      <c r="O48" s="217"/>
      <c r="P48" s="217"/>
    </row>
    <row r="49" spans="3:16" ht="42" customHeight="1">
      <c r="C49" s="272">
        <v>47</v>
      </c>
      <c r="D49" s="275"/>
      <c r="E49" s="276"/>
      <c r="F49" s="221"/>
      <c r="G49" s="275"/>
      <c r="H49" s="276"/>
      <c r="I49" s="217"/>
      <c r="J49" s="217"/>
      <c r="K49" s="221"/>
      <c r="L49" s="217"/>
      <c r="M49" s="217"/>
      <c r="N49" s="217"/>
      <c r="O49" s="217"/>
      <c r="P49" s="217"/>
    </row>
    <row r="50" spans="3:16" ht="42" customHeight="1">
      <c r="C50" s="272">
        <v>48</v>
      </c>
      <c r="D50" s="275"/>
      <c r="E50" s="276"/>
      <c r="F50" s="221"/>
      <c r="G50" s="275"/>
      <c r="H50" s="276"/>
      <c r="I50" s="217"/>
      <c r="J50" s="217"/>
      <c r="K50" s="221"/>
      <c r="L50" s="217"/>
      <c r="M50" s="217"/>
      <c r="N50" s="217"/>
      <c r="O50" s="217"/>
      <c r="P50" s="217"/>
    </row>
    <row r="51" spans="3:16" ht="42" customHeight="1">
      <c r="C51" s="272">
        <v>49</v>
      </c>
      <c r="D51" s="275"/>
      <c r="E51" s="276"/>
      <c r="F51" s="221"/>
      <c r="G51" s="275"/>
      <c r="H51" s="276"/>
      <c r="I51" s="217"/>
      <c r="J51" s="217"/>
      <c r="K51" s="221"/>
      <c r="L51" s="217"/>
      <c r="M51" s="217"/>
      <c r="N51" s="217"/>
      <c r="O51" s="217"/>
      <c r="P51" s="217"/>
    </row>
    <row r="52" spans="3:16" ht="42" customHeight="1">
      <c r="C52" s="272">
        <v>50</v>
      </c>
      <c r="D52" s="275"/>
      <c r="E52" s="276"/>
      <c r="F52" s="221"/>
      <c r="G52" s="275"/>
      <c r="H52" s="276"/>
      <c r="I52" s="217"/>
      <c r="J52" s="217"/>
      <c r="K52" s="221"/>
      <c r="L52" s="217"/>
      <c r="M52" s="217"/>
      <c r="N52" s="217"/>
      <c r="O52" s="217"/>
      <c r="P52" s="217"/>
    </row>
    <row r="53" spans="3:16" ht="42" customHeight="1">
      <c r="C53" s="272">
        <v>51</v>
      </c>
      <c r="D53" s="275"/>
      <c r="E53" s="276"/>
      <c r="F53" s="221"/>
      <c r="G53" s="275"/>
      <c r="H53" s="276"/>
      <c r="I53" s="217"/>
      <c r="J53" s="217"/>
      <c r="K53" s="221"/>
      <c r="L53" s="217"/>
      <c r="M53" s="217"/>
      <c r="N53" s="217"/>
      <c r="O53" s="217"/>
      <c r="P53" s="217"/>
    </row>
    <row r="54" spans="3:16" ht="42" customHeight="1">
      <c r="C54" s="272">
        <v>52</v>
      </c>
      <c r="D54" s="275"/>
      <c r="E54" s="276"/>
      <c r="F54" s="221"/>
      <c r="G54" s="275"/>
      <c r="H54" s="276"/>
      <c r="I54" s="217"/>
      <c r="J54" s="217"/>
      <c r="K54" s="221"/>
      <c r="L54" s="217"/>
      <c r="M54" s="217"/>
      <c r="N54" s="217"/>
      <c r="O54" s="217"/>
      <c r="P54" s="217"/>
    </row>
    <row r="55" spans="3:16" ht="42" customHeight="1">
      <c r="C55" s="272">
        <v>53</v>
      </c>
      <c r="D55" s="275"/>
      <c r="E55" s="276"/>
      <c r="F55" s="221"/>
      <c r="G55" s="275"/>
      <c r="H55" s="276"/>
      <c r="I55" s="217"/>
      <c r="J55" s="217"/>
      <c r="K55" s="221"/>
      <c r="L55" s="217"/>
      <c r="M55" s="217"/>
      <c r="N55" s="217"/>
      <c r="O55" s="217"/>
      <c r="P55" s="217"/>
    </row>
    <row r="56" spans="3:16" ht="42" customHeight="1">
      <c r="C56" s="272">
        <v>54</v>
      </c>
      <c r="D56" s="275"/>
      <c r="E56" s="276"/>
      <c r="F56" s="221"/>
      <c r="G56" s="275"/>
      <c r="H56" s="276"/>
      <c r="I56" s="217"/>
      <c r="J56" s="217"/>
      <c r="K56" s="221"/>
      <c r="L56" s="217"/>
      <c r="M56" s="217"/>
      <c r="N56" s="217"/>
      <c r="O56" s="217"/>
      <c r="P56" s="217"/>
    </row>
    <row r="57" spans="3:16" ht="42" customHeight="1">
      <c r="C57" s="272">
        <v>55</v>
      </c>
      <c r="D57" s="275"/>
      <c r="E57" s="276"/>
      <c r="F57" s="221"/>
      <c r="G57" s="275"/>
      <c r="H57" s="276"/>
      <c r="I57" s="217"/>
      <c r="J57" s="217"/>
      <c r="K57" s="221"/>
      <c r="L57" s="217"/>
      <c r="M57" s="217"/>
      <c r="N57" s="217"/>
      <c r="O57" s="217"/>
      <c r="P57" s="217"/>
    </row>
    <row r="58" spans="3:16" ht="42" customHeight="1">
      <c r="C58" s="272">
        <v>56</v>
      </c>
      <c r="D58" s="275"/>
      <c r="E58" s="276"/>
      <c r="F58" s="221"/>
      <c r="G58" s="275"/>
      <c r="H58" s="276"/>
      <c r="I58" s="217"/>
      <c r="J58" s="217"/>
      <c r="K58" s="221"/>
      <c r="L58" s="217"/>
      <c r="M58" s="217"/>
      <c r="N58" s="217"/>
      <c r="O58" s="217"/>
      <c r="P58" s="217"/>
    </row>
    <row r="59" spans="3:16" ht="42" customHeight="1">
      <c r="C59" s="272">
        <v>57</v>
      </c>
      <c r="D59" s="275"/>
      <c r="E59" s="276"/>
      <c r="F59" s="221"/>
      <c r="G59" s="275"/>
      <c r="H59" s="276"/>
      <c r="I59" s="217"/>
      <c r="J59" s="217"/>
      <c r="K59" s="221"/>
      <c r="L59" s="217"/>
      <c r="M59" s="217"/>
      <c r="N59" s="217"/>
      <c r="O59" s="217"/>
      <c r="P59" s="217"/>
    </row>
    <row r="60" spans="3:16" ht="42" customHeight="1">
      <c r="C60" s="272">
        <v>58</v>
      </c>
      <c r="D60" s="275"/>
      <c r="E60" s="276"/>
      <c r="F60" s="221"/>
      <c r="G60" s="275"/>
      <c r="H60" s="276"/>
      <c r="I60" s="217"/>
      <c r="J60" s="217"/>
      <c r="K60" s="221"/>
      <c r="L60" s="217"/>
      <c r="M60" s="217"/>
      <c r="N60" s="217"/>
      <c r="O60" s="217"/>
      <c r="P60" s="217"/>
    </row>
    <row r="61" spans="3:16" ht="42" customHeight="1">
      <c r="C61" s="272">
        <v>59</v>
      </c>
      <c r="D61" s="275"/>
      <c r="E61" s="276"/>
      <c r="F61" s="221"/>
      <c r="G61" s="275"/>
      <c r="H61" s="276"/>
      <c r="I61" s="217"/>
      <c r="J61" s="217"/>
      <c r="K61" s="221"/>
      <c r="L61" s="217"/>
      <c r="M61" s="217"/>
      <c r="N61" s="217"/>
      <c r="O61" s="217"/>
      <c r="P61" s="217"/>
    </row>
    <row r="62" spans="3:16" ht="42" customHeight="1">
      <c r="C62" s="272">
        <v>60</v>
      </c>
      <c r="D62" s="275"/>
      <c r="E62" s="276"/>
      <c r="F62" s="221"/>
      <c r="G62" s="275"/>
      <c r="H62" s="276"/>
      <c r="I62" s="217"/>
      <c r="J62" s="217"/>
      <c r="K62" s="221"/>
      <c r="L62" s="217"/>
      <c r="M62" s="217"/>
      <c r="N62" s="217"/>
      <c r="O62" s="217"/>
      <c r="P62" s="217"/>
    </row>
    <row r="63" spans="3:16" ht="42" customHeight="1">
      <c r="C63" s="272">
        <v>61</v>
      </c>
      <c r="D63" s="275"/>
      <c r="E63" s="276"/>
      <c r="F63" s="221"/>
      <c r="G63" s="275"/>
      <c r="H63" s="276"/>
      <c r="I63" s="217"/>
      <c r="J63" s="217"/>
      <c r="K63" s="221"/>
      <c r="L63" s="217"/>
      <c r="M63" s="217"/>
      <c r="N63" s="217"/>
      <c r="O63" s="217"/>
      <c r="P63" s="217"/>
    </row>
    <row r="64" spans="3:16" ht="42" customHeight="1">
      <c r="C64" s="272">
        <v>62</v>
      </c>
      <c r="D64" s="275"/>
      <c r="E64" s="276"/>
      <c r="F64" s="221"/>
      <c r="G64" s="275"/>
      <c r="H64" s="276"/>
      <c r="I64" s="217"/>
      <c r="J64" s="217"/>
      <c r="K64" s="221"/>
      <c r="L64" s="217"/>
      <c r="M64" s="217"/>
      <c r="N64" s="217"/>
      <c r="O64" s="217"/>
      <c r="P64" s="217"/>
    </row>
    <row r="65" spans="3:16" ht="42" customHeight="1">
      <c r="C65" s="272">
        <v>63</v>
      </c>
      <c r="D65" s="275"/>
      <c r="E65" s="276"/>
      <c r="F65" s="221"/>
      <c r="G65" s="275"/>
      <c r="H65" s="276"/>
      <c r="I65" s="217"/>
      <c r="J65" s="217"/>
      <c r="K65" s="221"/>
      <c r="L65" s="217"/>
      <c r="M65" s="217"/>
      <c r="N65" s="217"/>
      <c r="O65" s="217"/>
      <c r="P65" s="217"/>
    </row>
    <row r="66" spans="3:16" ht="42" customHeight="1">
      <c r="C66" s="272">
        <v>64</v>
      </c>
      <c r="D66" s="275"/>
      <c r="E66" s="276"/>
      <c r="F66" s="221"/>
      <c r="G66" s="275"/>
      <c r="H66" s="276"/>
      <c r="I66" s="217"/>
      <c r="J66" s="217"/>
      <c r="K66" s="221"/>
      <c r="L66" s="217"/>
      <c r="M66" s="217"/>
      <c r="N66" s="217"/>
      <c r="O66" s="217"/>
      <c r="P66" s="217"/>
    </row>
    <row r="67" spans="3:16" ht="42" customHeight="1">
      <c r="C67" s="272">
        <v>65</v>
      </c>
      <c r="D67" s="275"/>
      <c r="E67" s="276"/>
      <c r="F67" s="221"/>
      <c r="G67" s="275"/>
      <c r="H67" s="276"/>
      <c r="I67" s="217"/>
      <c r="J67" s="217"/>
      <c r="K67" s="221"/>
      <c r="L67" s="217"/>
      <c r="M67" s="217"/>
      <c r="N67" s="217"/>
      <c r="O67" s="217"/>
      <c r="P67" s="217"/>
    </row>
    <row r="68" spans="3:16" ht="42" customHeight="1">
      <c r="C68" s="272">
        <v>66</v>
      </c>
      <c r="D68" s="275"/>
      <c r="E68" s="276"/>
      <c r="F68" s="221"/>
      <c r="G68" s="275"/>
      <c r="H68" s="276"/>
      <c r="I68" s="217"/>
      <c r="J68" s="217"/>
      <c r="K68" s="221"/>
      <c r="L68" s="217"/>
      <c r="M68" s="217"/>
      <c r="N68" s="217"/>
      <c r="O68" s="217"/>
      <c r="P68" s="217"/>
    </row>
    <row r="69" spans="3:16" ht="42" customHeight="1">
      <c r="C69" s="272">
        <v>67</v>
      </c>
      <c r="D69" s="275"/>
      <c r="E69" s="276"/>
      <c r="F69" s="221"/>
      <c r="G69" s="275"/>
      <c r="H69" s="276"/>
      <c r="I69" s="217"/>
      <c r="J69" s="217"/>
      <c r="K69" s="221"/>
      <c r="L69" s="217"/>
      <c r="M69" s="217"/>
      <c r="N69" s="217"/>
      <c r="O69" s="217"/>
      <c r="P69" s="217"/>
    </row>
    <row r="70" spans="3:16" ht="42" customHeight="1">
      <c r="C70" s="272">
        <v>68</v>
      </c>
      <c r="D70" s="275"/>
      <c r="E70" s="276"/>
      <c r="F70" s="221"/>
      <c r="G70" s="275"/>
      <c r="H70" s="276"/>
      <c r="I70" s="217"/>
      <c r="J70" s="217"/>
      <c r="K70" s="221"/>
      <c r="L70" s="217"/>
      <c r="M70" s="217"/>
      <c r="N70" s="217"/>
      <c r="O70" s="217"/>
      <c r="P70" s="217"/>
    </row>
    <row r="71" spans="3:16" ht="42" customHeight="1">
      <c r="C71" s="272">
        <v>69</v>
      </c>
      <c r="D71" s="275"/>
      <c r="E71" s="276"/>
      <c r="F71" s="221"/>
      <c r="G71" s="275"/>
      <c r="H71" s="276"/>
      <c r="I71" s="217"/>
      <c r="J71" s="217"/>
      <c r="K71" s="221"/>
      <c r="L71" s="217"/>
      <c r="M71" s="217"/>
      <c r="N71" s="217"/>
      <c r="O71" s="217"/>
      <c r="P71" s="217"/>
    </row>
    <row r="72" spans="3:16" ht="42" customHeight="1">
      <c r="C72" s="272">
        <v>70</v>
      </c>
      <c r="D72" s="275"/>
      <c r="E72" s="276"/>
      <c r="F72" s="221"/>
      <c r="G72" s="275"/>
      <c r="H72" s="276"/>
      <c r="I72" s="217"/>
      <c r="J72" s="217"/>
      <c r="K72" s="221"/>
      <c r="L72" s="217"/>
      <c r="M72" s="217"/>
      <c r="N72" s="217"/>
      <c r="O72" s="217"/>
      <c r="P72" s="217"/>
    </row>
    <row r="73" spans="3:16" ht="42" customHeight="1">
      <c r="C73" s="272">
        <v>71</v>
      </c>
      <c r="D73" s="275"/>
      <c r="E73" s="276"/>
      <c r="F73" s="221"/>
      <c r="G73" s="275"/>
      <c r="H73" s="276"/>
      <c r="I73" s="217"/>
      <c r="J73" s="217"/>
      <c r="K73" s="221"/>
      <c r="L73" s="217"/>
      <c r="M73" s="217"/>
      <c r="N73" s="217"/>
      <c r="O73" s="217"/>
      <c r="P73" s="217"/>
    </row>
    <row r="74" spans="3:16" ht="42" customHeight="1">
      <c r="C74" s="272">
        <v>72</v>
      </c>
      <c r="D74" s="275"/>
      <c r="E74" s="276"/>
      <c r="F74" s="221"/>
      <c r="G74" s="275"/>
      <c r="H74" s="276"/>
      <c r="I74" s="217"/>
      <c r="J74" s="217"/>
      <c r="K74" s="221"/>
      <c r="L74" s="217"/>
      <c r="M74" s="217"/>
      <c r="N74" s="217"/>
      <c r="O74" s="217"/>
      <c r="P74" s="217"/>
    </row>
    <row r="75" spans="3:16" ht="42" customHeight="1">
      <c r="C75" s="272">
        <v>73</v>
      </c>
      <c r="D75" s="275"/>
      <c r="E75" s="276"/>
      <c r="F75" s="221"/>
      <c r="G75" s="275"/>
      <c r="H75" s="276"/>
      <c r="I75" s="217"/>
      <c r="J75" s="217"/>
      <c r="K75" s="221"/>
      <c r="L75" s="217"/>
      <c r="M75" s="217"/>
      <c r="N75" s="217"/>
      <c r="O75" s="217"/>
      <c r="P75" s="217"/>
    </row>
    <row r="76" spans="3:16" ht="42" customHeight="1">
      <c r="C76" s="272">
        <v>74</v>
      </c>
      <c r="D76" s="275"/>
      <c r="E76" s="276"/>
      <c r="F76" s="221"/>
      <c r="G76" s="275"/>
      <c r="H76" s="276"/>
      <c r="I76" s="217"/>
      <c r="J76" s="217"/>
      <c r="K76" s="221"/>
      <c r="L76" s="217"/>
      <c r="M76" s="217"/>
      <c r="N76" s="217"/>
      <c r="O76" s="217"/>
      <c r="P76" s="217"/>
    </row>
    <row r="77" spans="3:16" ht="42" customHeight="1">
      <c r="C77" s="272">
        <v>75</v>
      </c>
      <c r="D77" s="275"/>
      <c r="E77" s="276"/>
      <c r="F77" s="221"/>
      <c r="G77" s="275"/>
      <c r="H77" s="276"/>
      <c r="I77" s="217"/>
      <c r="J77" s="217"/>
      <c r="K77" s="221"/>
      <c r="L77" s="217"/>
      <c r="M77" s="217"/>
      <c r="N77" s="217"/>
      <c r="O77" s="217"/>
      <c r="P77" s="217"/>
    </row>
    <row r="78" spans="3:16" ht="42" customHeight="1">
      <c r="C78" s="272">
        <v>76</v>
      </c>
      <c r="D78" s="275"/>
      <c r="E78" s="276"/>
      <c r="F78" s="221"/>
      <c r="G78" s="275"/>
      <c r="H78" s="276"/>
      <c r="I78" s="217"/>
      <c r="J78" s="217"/>
      <c r="K78" s="221"/>
      <c r="L78" s="217"/>
      <c r="M78" s="217"/>
      <c r="N78" s="217"/>
      <c r="O78" s="217"/>
      <c r="P78" s="217"/>
    </row>
    <row r="79" spans="3:16" ht="42" customHeight="1">
      <c r="C79" s="272">
        <v>77</v>
      </c>
      <c r="D79" s="275"/>
      <c r="E79" s="276"/>
      <c r="F79" s="221"/>
      <c r="G79" s="275"/>
      <c r="H79" s="276"/>
      <c r="I79" s="217"/>
      <c r="J79" s="217"/>
      <c r="K79" s="221"/>
      <c r="L79" s="217"/>
      <c r="M79" s="217"/>
      <c r="N79" s="217"/>
      <c r="O79" s="217"/>
      <c r="P79" s="217"/>
    </row>
    <row r="80" spans="3:16" ht="42" customHeight="1">
      <c r="C80" s="272">
        <v>78</v>
      </c>
      <c r="D80" s="275"/>
      <c r="E80" s="276"/>
      <c r="F80" s="221"/>
      <c r="G80" s="275"/>
      <c r="H80" s="276"/>
      <c r="I80" s="217"/>
      <c r="J80" s="217"/>
      <c r="K80" s="221"/>
      <c r="L80" s="217"/>
      <c r="M80" s="217"/>
      <c r="N80" s="217"/>
      <c r="O80" s="217"/>
      <c r="P80" s="217"/>
    </row>
    <row r="81" spans="3:16" ht="42" customHeight="1">
      <c r="C81" s="272">
        <v>79</v>
      </c>
      <c r="D81" s="275"/>
      <c r="E81" s="276"/>
      <c r="F81" s="221"/>
      <c r="G81" s="275"/>
      <c r="H81" s="276"/>
      <c r="I81" s="217"/>
      <c r="J81" s="217"/>
      <c r="K81" s="221"/>
      <c r="L81" s="217"/>
      <c r="M81" s="217"/>
      <c r="N81" s="217"/>
      <c r="O81" s="217"/>
      <c r="P81" s="217"/>
    </row>
    <row r="82" spans="3:16" ht="42" customHeight="1">
      <c r="C82" s="272">
        <v>80</v>
      </c>
      <c r="D82" s="275"/>
      <c r="E82" s="276"/>
      <c r="F82" s="221"/>
      <c r="G82" s="275"/>
      <c r="H82" s="276"/>
      <c r="I82" s="217"/>
      <c r="J82" s="217"/>
      <c r="K82" s="221"/>
      <c r="L82" s="217"/>
      <c r="M82" s="217"/>
      <c r="N82" s="217"/>
      <c r="O82" s="217"/>
      <c r="P82" s="217"/>
    </row>
    <row r="83" spans="3:16" ht="42" customHeight="1">
      <c r="C83" s="272">
        <v>81</v>
      </c>
      <c r="D83" s="275"/>
      <c r="E83" s="276"/>
      <c r="F83" s="221"/>
      <c r="G83" s="275"/>
      <c r="H83" s="276"/>
      <c r="I83" s="217"/>
      <c r="J83" s="217"/>
      <c r="K83" s="221"/>
      <c r="L83" s="217"/>
      <c r="M83" s="217"/>
      <c r="N83" s="217"/>
      <c r="O83" s="217"/>
      <c r="P83" s="217"/>
    </row>
    <row r="84" spans="3:16" ht="42" customHeight="1">
      <c r="C84" s="272">
        <v>82</v>
      </c>
      <c r="D84" s="275"/>
      <c r="E84" s="276"/>
      <c r="F84" s="221"/>
      <c r="G84" s="275"/>
      <c r="H84" s="276"/>
      <c r="I84" s="217"/>
      <c r="J84" s="217"/>
      <c r="K84" s="221"/>
      <c r="L84" s="217"/>
      <c r="M84" s="217"/>
      <c r="N84" s="217"/>
      <c r="O84" s="217"/>
      <c r="P84" s="217"/>
    </row>
    <row r="85" spans="3:16" ht="42" customHeight="1">
      <c r="C85" s="272">
        <v>83</v>
      </c>
      <c r="D85" s="275"/>
      <c r="E85" s="276"/>
      <c r="F85" s="221"/>
      <c r="G85" s="275"/>
      <c r="H85" s="276"/>
      <c r="I85" s="217"/>
      <c r="J85" s="217"/>
      <c r="K85" s="221"/>
      <c r="L85" s="217"/>
      <c r="M85" s="217"/>
      <c r="N85" s="217"/>
      <c r="O85" s="217"/>
      <c r="P85" s="217"/>
    </row>
    <row r="86" spans="3:16" ht="42" customHeight="1">
      <c r="C86" s="272">
        <v>84</v>
      </c>
      <c r="D86" s="275"/>
      <c r="E86" s="276"/>
      <c r="F86" s="221"/>
      <c r="G86" s="275"/>
      <c r="H86" s="276"/>
      <c r="I86" s="217"/>
      <c r="J86" s="217"/>
      <c r="K86" s="221"/>
      <c r="L86" s="217"/>
      <c r="M86" s="217"/>
      <c r="N86" s="217"/>
      <c r="O86" s="217"/>
      <c r="P86" s="217"/>
    </row>
    <row r="87" spans="3:16" ht="42" customHeight="1">
      <c r="C87" s="272">
        <v>85</v>
      </c>
      <c r="D87" s="275"/>
      <c r="E87" s="276"/>
      <c r="F87" s="221"/>
      <c r="G87" s="275"/>
      <c r="H87" s="276"/>
      <c r="I87" s="217"/>
      <c r="J87" s="217"/>
      <c r="K87" s="221"/>
      <c r="L87" s="217"/>
      <c r="M87" s="217"/>
      <c r="N87" s="217"/>
      <c r="O87" s="217"/>
      <c r="P87" s="217"/>
    </row>
    <row r="88" spans="3:16" ht="42" customHeight="1">
      <c r="C88" s="272">
        <v>86</v>
      </c>
      <c r="D88" s="275"/>
      <c r="E88" s="276"/>
      <c r="F88" s="221"/>
      <c r="G88" s="275"/>
      <c r="H88" s="276"/>
      <c r="I88" s="217"/>
      <c r="J88" s="217"/>
      <c r="K88" s="221"/>
      <c r="L88" s="217"/>
      <c r="M88" s="217"/>
      <c r="N88" s="217"/>
      <c r="O88" s="217"/>
      <c r="P88" s="217"/>
    </row>
    <row r="89" spans="3:16" ht="42" customHeight="1">
      <c r="C89" s="272">
        <v>87</v>
      </c>
      <c r="D89" s="275"/>
      <c r="E89" s="276"/>
      <c r="F89" s="221"/>
      <c r="G89" s="275"/>
      <c r="H89" s="276"/>
      <c r="I89" s="217"/>
      <c r="J89" s="217"/>
      <c r="K89" s="221"/>
      <c r="L89" s="217"/>
      <c r="M89" s="217"/>
      <c r="N89" s="217"/>
      <c r="O89" s="217"/>
      <c r="P89" s="217"/>
    </row>
    <row r="90" spans="3:16" ht="42" customHeight="1">
      <c r="C90" s="272">
        <v>88</v>
      </c>
      <c r="D90" s="275"/>
      <c r="E90" s="276"/>
      <c r="F90" s="221"/>
      <c r="G90" s="275"/>
      <c r="H90" s="276"/>
      <c r="I90" s="217"/>
      <c r="J90" s="217"/>
      <c r="K90" s="221"/>
      <c r="L90" s="217"/>
      <c r="M90" s="217"/>
      <c r="N90" s="217"/>
      <c r="O90" s="217"/>
      <c r="P90" s="217"/>
    </row>
    <row r="91" spans="3:16" ht="42" customHeight="1">
      <c r="C91" s="272">
        <v>89</v>
      </c>
      <c r="D91" s="275"/>
      <c r="E91" s="276"/>
      <c r="F91" s="221"/>
      <c r="G91" s="275"/>
      <c r="H91" s="276"/>
      <c r="I91" s="217"/>
      <c r="J91" s="217"/>
      <c r="K91" s="221"/>
      <c r="L91" s="217"/>
      <c r="M91" s="217"/>
      <c r="N91" s="217"/>
      <c r="O91" s="217"/>
      <c r="P91" s="217"/>
    </row>
    <row r="92" spans="3:16" ht="42" customHeight="1">
      <c r="C92" s="272">
        <v>90</v>
      </c>
      <c r="D92" s="275"/>
      <c r="E92" s="276"/>
      <c r="F92" s="221"/>
      <c r="G92" s="275"/>
      <c r="H92" s="276"/>
      <c r="I92" s="217"/>
      <c r="J92" s="217"/>
      <c r="K92" s="221"/>
      <c r="L92" s="217"/>
      <c r="M92" s="217"/>
      <c r="N92" s="217"/>
      <c r="O92" s="217"/>
      <c r="P92" s="217"/>
    </row>
    <row r="93" spans="3:16" ht="42" customHeight="1">
      <c r="C93" s="272">
        <v>91</v>
      </c>
      <c r="D93" s="275"/>
      <c r="E93" s="276"/>
      <c r="F93" s="221"/>
      <c r="G93" s="275"/>
      <c r="H93" s="276"/>
      <c r="I93" s="217"/>
      <c r="J93" s="217"/>
      <c r="K93" s="221"/>
      <c r="L93" s="217"/>
      <c r="M93" s="217"/>
      <c r="N93" s="217"/>
      <c r="O93" s="217"/>
      <c r="P93" s="217"/>
    </row>
    <row r="94" spans="3:16" ht="42" customHeight="1">
      <c r="C94" s="272">
        <v>92</v>
      </c>
      <c r="D94" s="275"/>
      <c r="E94" s="276"/>
      <c r="F94" s="221"/>
      <c r="G94" s="275"/>
      <c r="H94" s="276"/>
      <c r="I94" s="217"/>
      <c r="J94" s="217"/>
      <c r="K94" s="221"/>
      <c r="L94" s="217"/>
      <c r="M94" s="217"/>
      <c r="N94" s="217"/>
      <c r="O94" s="217"/>
      <c r="P94" s="217"/>
    </row>
    <row r="95" spans="3:16" ht="42" customHeight="1">
      <c r="C95" s="272">
        <v>93</v>
      </c>
      <c r="D95" s="275"/>
      <c r="E95" s="276"/>
      <c r="F95" s="221"/>
      <c r="G95" s="275"/>
      <c r="H95" s="276"/>
      <c r="I95" s="217"/>
      <c r="J95" s="217"/>
      <c r="K95" s="221"/>
      <c r="L95" s="217"/>
      <c r="M95" s="217"/>
      <c r="N95" s="217"/>
      <c r="O95" s="217"/>
      <c r="P95" s="217"/>
    </row>
    <row r="96" spans="3:16" ht="42" customHeight="1">
      <c r="C96" s="272">
        <v>94</v>
      </c>
      <c r="D96" s="275"/>
      <c r="E96" s="276"/>
      <c r="F96" s="221"/>
      <c r="G96" s="275"/>
      <c r="H96" s="276"/>
      <c r="I96" s="217"/>
      <c r="J96" s="217"/>
      <c r="K96" s="221"/>
      <c r="L96" s="217"/>
      <c r="M96" s="217"/>
      <c r="N96" s="217"/>
      <c r="O96" s="217"/>
      <c r="P96" s="217"/>
    </row>
    <row r="97" spans="3:16" ht="42" customHeight="1">
      <c r="C97" s="272">
        <v>95</v>
      </c>
      <c r="D97" s="275"/>
      <c r="E97" s="276"/>
      <c r="F97" s="221"/>
      <c r="G97" s="275"/>
      <c r="H97" s="276"/>
      <c r="I97" s="217"/>
      <c r="J97" s="217"/>
      <c r="K97" s="221"/>
      <c r="L97" s="217"/>
      <c r="M97" s="217"/>
      <c r="N97" s="217"/>
      <c r="O97" s="217"/>
      <c r="P97" s="217"/>
    </row>
    <row r="98" spans="3:16" ht="42" customHeight="1">
      <c r="C98" s="272">
        <v>96</v>
      </c>
      <c r="D98" s="275"/>
      <c r="E98" s="276"/>
      <c r="F98" s="221"/>
      <c r="G98" s="275"/>
      <c r="H98" s="276"/>
      <c r="I98" s="217"/>
      <c r="J98" s="217"/>
      <c r="K98" s="221"/>
      <c r="L98" s="217"/>
      <c r="M98" s="217"/>
      <c r="N98" s="217"/>
      <c r="O98" s="217"/>
      <c r="P98" s="217"/>
    </row>
    <row r="99" spans="3:16" ht="42" customHeight="1">
      <c r="C99" s="272">
        <v>97</v>
      </c>
      <c r="D99" s="275"/>
      <c r="E99" s="276"/>
      <c r="F99" s="221"/>
      <c r="G99" s="275"/>
      <c r="H99" s="276"/>
      <c r="I99" s="217"/>
      <c r="J99" s="217"/>
      <c r="K99" s="221"/>
      <c r="L99" s="217"/>
      <c r="M99" s="217"/>
      <c r="N99" s="217"/>
      <c r="O99" s="217"/>
      <c r="P99" s="217"/>
    </row>
    <row r="100" spans="3:16" ht="42" customHeight="1">
      <c r="C100" s="272">
        <v>98</v>
      </c>
      <c r="D100" s="275"/>
      <c r="E100" s="276"/>
      <c r="F100" s="221"/>
      <c r="G100" s="275"/>
      <c r="H100" s="276"/>
      <c r="I100" s="217"/>
      <c r="J100" s="217"/>
      <c r="K100" s="221"/>
      <c r="L100" s="217"/>
      <c r="M100" s="217"/>
      <c r="N100" s="217"/>
      <c r="O100" s="217"/>
      <c r="P100" s="217"/>
    </row>
    <row r="101" spans="3:16" ht="42" customHeight="1">
      <c r="C101" s="272">
        <v>99</v>
      </c>
      <c r="D101" s="275"/>
      <c r="E101" s="276"/>
      <c r="F101" s="221"/>
      <c r="G101" s="275"/>
      <c r="H101" s="276"/>
      <c r="I101" s="217"/>
      <c r="J101" s="217"/>
      <c r="K101" s="221"/>
      <c r="L101" s="217"/>
      <c r="M101" s="217"/>
      <c r="N101" s="217"/>
      <c r="O101" s="217"/>
      <c r="P101" s="217"/>
    </row>
    <row r="102" spans="3:16" ht="42" customHeight="1">
      <c r="C102" s="272">
        <v>100</v>
      </c>
      <c r="D102" s="275"/>
      <c r="E102" s="276"/>
      <c r="F102" s="221"/>
      <c r="G102" s="275"/>
      <c r="H102" s="276"/>
      <c r="I102" s="217"/>
      <c r="J102" s="217"/>
      <c r="K102" s="221"/>
      <c r="L102" s="217"/>
      <c r="M102" s="217"/>
      <c r="N102" s="217"/>
      <c r="O102" s="217"/>
      <c r="P102" s="217"/>
    </row>
    <row r="103" spans="3:16" ht="42" customHeight="1">
      <c r="C103" s="272">
        <v>101</v>
      </c>
      <c r="D103" s="275"/>
      <c r="E103" s="276"/>
      <c r="F103" s="221"/>
      <c r="G103" s="275"/>
      <c r="H103" s="276"/>
      <c r="I103" s="217"/>
      <c r="J103" s="217"/>
      <c r="K103" s="221"/>
      <c r="L103" s="217"/>
      <c r="M103" s="217"/>
      <c r="N103" s="217"/>
      <c r="O103" s="217"/>
      <c r="P103" s="217"/>
    </row>
    <row r="104" spans="3:16" ht="42" customHeight="1">
      <c r="C104" s="272">
        <v>102</v>
      </c>
      <c r="D104" s="275"/>
      <c r="E104" s="276"/>
      <c r="F104" s="221"/>
      <c r="G104" s="275"/>
      <c r="H104" s="276"/>
      <c r="I104" s="217"/>
      <c r="J104" s="217"/>
      <c r="K104" s="221"/>
      <c r="L104" s="217"/>
      <c r="M104" s="217"/>
      <c r="N104" s="217"/>
      <c r="O104" s="217"/>
      <c r="P104" s="217"/>
    </row>
    <row r="105" spans="3:16" ht="42" customHeight="1">
      <c r="C105" s="272">
        <v>103</v>
      </c>
      <c r="D105" s="275"/>
      <c r="E105" s="276"/>
      <c r="F105" s="221"/>
      <c r="G105" s="275"/>
      <c r="H105" s="276"/>
      <c r="I105" s="217"/>
      <c r="J105" s="217"/>
      <c r="K105" s="221"/>
      <c r="L105" s="217"/>
      <c r="M105" s="217"/>
      <c r="N105" s="217"/>
      <c r="O105" s="217"/>
      <c r="P105" s="217"/>
    </row>
    <row r="106" spans="3:16" ht="42" customHeight="1">
      <c r="C106" s="272">
        <v>104</v>
      </c>
      <c r="D106" s="275"/>
      <c r="E106" s="276"/>
      <c r="F106" s="221"/>
      <c r="G106" s="275"/>
      <c r="H106" s="276"/>
      <c r="I106" s="217"/>
      <c r="J106" s="217"/>
      <c r="K106" s="221"/>
      <c r="L106" s="217"/>
      <c r="M106" s="217"/>
      <c r="N106" s="217"/>
      <c r="O106" s="217"/>
      <c r="P106" s="217"/>
    </row>
    <row r="107" spans="3:16" ht="42" customHeight="1">
      <c r="C107" s="272">
        <v>105</v>
      </c>
      <c r="D107" s="275"/>
      <c r="E107" s="276"/>
      <c r="F107" s="221"/>
      <c r="G107" s="275"/>
      <c r="H107" s="276"/>
      <c r="I107" s="217"/>
      <c r="J107" s="217"/>
      <c r="K107" s="221"/>
      <c r="L107" s="217"/>
      <c r="M107" s="217"/>
      <c r="N107" s="217"/>
      <c r="O107" s="217"/>
      <c r="P107" s="217"/>
    </row>
    <row r="108" spans="3:16" ht="42" customHeight="1">
      <c r="C108" s="272">
        <v>106</v>
      </c>
      <c r="D108" s="275"/>
      <c r="E108" s="276"/>
      <c r="F108" s="221"/>
      <c r="G108" s="275"/>
      <c r="H108" s="276"/>
      <c r="I108" s="217"/>
      <c r="J108" s="217"/>
      <c r="K108" s="221"/>
      <c r="L108" s="217"/>
      <c r="M108" s="217"/>
      <c r="N108" s="217"/>
      <c r="O108" s="217"/>
      <c r="P108" s="217"/>
    </row>
    <row r="109" spans="3:16" ht="42" customHeight="1">
      <c r="C109" s="272">
        <v>107</v>
      </c>
      <c r="D109" s="275"/>
      <c r="E109" s="276"/>
      <c r="F109" s="221"/>
      <c r="G109" s="275"/>
      <c r="H109" s="276"/>
      <c r="I109" s="217"/>
      <c r="J109" s="217"/>
      <c r="K109" s="221"/>
      <c r="L109" s="217"/>
      <c r="M109" s="217"/>
      <c r="N109" s="217"/>
      <c r="O109" s="217"/>
      <c r="P109" s="217"/>
    </row>
    <row r="110" spans="3:16" ht="42" customHeight="1">
      <c r="C110" s="272">
        <v>108</v>
      </c>
      <c r="D110" s="275"/>
      <c r="E110" s="276"/>
      <c r="F110" s="221"/>
      <c r="G110" s="275"/>
      <c r="H110" s="276"/>
      <c r="I110" s="217"/>
      <c r="J110" s="217"/>
      <c r="K110" s="221"/>
      <c r="L110" s="217"/>
      <c r="M110" s="217"/>
      <c r="N110" s="217"/>
      <c r="O110" s="217"/>
      <c r="P110" s="217"/>
    </row>
    <row r="111" spans="3:16" ht="42" customHeight="1">
      <c r="C111" s="272">
        <v>109</v>
      </c>
      <c r="D111" s="275"/>
      <c r="E111" s="276"/>
      <c r="F111" s="221"/>
      <c r="G111" s="275"/>
      <c r="H111" s="276"/>
      <c r="I111" s="217"/>
      <c r="J111" s="217"/>
      <c r="K111" s="221"/>
      <c r="L111" s="217"/>
      <c r="M111" s="217"/>
      <c r="N111" s="217"/>
      <c r="O111" s="217"/>
      <c r="P111" s="217"/>
    </row>
    <row r="112" spans="3:16" ht="42" customHeight="1">
      <c r="C112" s="272">
        <v>110</v>
      </c>
      <c r="D112" s="275"/>
      <c r="E112" s="276"/>
      <c r="F112" s="221"/>
      <c r="G112" s="275"/>
      <c r="H112" s="276"/>
      <c r="I112" s="217"/>
      <c r="J112" s="217"/>
      <c r="K112" s="221"/>
      <c r="L112" s="217"/>
      <c r="M112" s="217"/>
      <c r="N112" s="217"/>
      <c r="O112" s="217"/>
      <c r="P112" s="217"/>
    </row>
    <row r="113" spans="3:16" ht="42" customHeight="1">
      <c r="C113" s="272">
        <v>111</v>
      </c>
      <c r="D113" s="275"/>
      <c r="E113" s="276"/>
      <c r="F113" s="221"/>
      <c r="G113" s="275"/>
      <c r="H113" s="276"/>
      <c r="I113" s="217"/>
      <c r="J113" s="217"/>
      <c r="K113" s="221"/>
      <c r="L113" s="217"/>
      <c r="M113" s="217"/>
      <c r="N113" s="217"/>
      <c r="O113" s="217"/>
      <c r="P113" s="217"/>
    </row>
    <row r="114" spans="3:16" ht="42" customHeight="1">
      <c r="C114" s="272">
        <v>112</v>
      </c>
      <c r="D114" s="275"/>
      <c r="E114" s="276"/>
      <c r="F114" s="221"/>
      <c r="G114" s="275"/>
      <c r="H114" s="276"/>
      <c r="I114" s="217"/>
      <c r="J114" s="217"/>
      <c r="K114" s="221"/>
      <c r="L114" s="217"/>
      <c r="M114" s="217"/>
      <c r="N114" s="217"/>
      <c r="O114" s="217"/>
      <c r="P114" s="217"/>
    </row>
    <row r="115" spans="3:16" ht="42" customHeight="1">
      <c r="C115" s="272">
        <v>113</v>
      </c>
      <c r="D115" s="275"/>
      <c r="E115" s="276"/>
      <c r="F115" s="221"/>
      <c r="G115" s="275"/>
      <c r="H115" s="276"/>
      <c r="I115" s="217"/>
      <c r="J115" s="217"/>
      <c r="K115" s="221"/>
      <c r="L115" s="217"/>
      <c r="M115" s="217"/>
      <c r="N115" s="217"/>
      <c r="O115" s="217"/>
      <c r="P115" s="217"/>
    </row>
    <row r="116" spans="3:16" ht="42" customHeight="1">
      <c r="C116" s="272">
        <v>114</v>
      </c>
      <c r="D116" s="275"/>
      <c r="E116" s="276"/>
      <c r="F116" s="221"/>
      <c r="G116" s="275"/>
      <c r="H116" s="276"/>
      <c r="I116" s="217"/>
      <c r="J116" s="217"/>
      <c r="K116" s="221"/>
      <c r="L116" s="217"/>
      <c r="M116" s="217"/>
      <c r="N116" s="217"/>
      <c r="O116" s="217"/>
      <c r="P116" s="217"/>
    </row>
    <row r="117" spans="3:16" ht="42" customHeight="1">
      <c r="C117" s="272">
        <v>115</v>
      </c>
      <c r="D117" s="275"/>
      <c r="E117" s="276"/>
      <c r="F117" s="221"/>
      <c r="G117" s="275"/>
      <c r="H117" s="276"/>
      <c r="I117" s="217"/>
      <c r="J117" s="217"/>
      <c r="K117" s="221"/>
      <c r="L117" s="217"/>
      <c r="M117" s="217"/>
      <c r="N117" s="217"/>
      <c r="O117" s="217"/>
      <c r="P117" s="217"/>
    </row>
    <row r="118" spans="3:16" ht="42" customHeight="1">
      <c r="C118" s="272">
        <v>116</v>
      </c>
      <c r="D118" s="275"/>
      <c r="E118" s="276"/>
      <c r="F118" s="221"/>
      <c r="G118" s="275"/>
      <c r="H118" s="276"/>
      <c r="I118" s="217"/>
      <c r="J118" s="217"/>
      <c r="K118" s="221"/>
      <c r="L118" s="217"/>
      <c r="M118" s="217"/>
      <c r="N118" s="217"/>
      <c r="O118" s="217"/>
      <c r="P118" s="217"/>
    </row>
    <row r="119" spans="3:16" ht="42" customHeight="1">
      <c r="C119" s="272">
        <v>117</v>
      </c>
      <c r="D119" s="275"/>
      <c r="E119" s="276"/>
      <c r="F119" s="221"/>
      <c r="G119" s="275"/>
      <c r="H119" s="276"/>
      <c r="I119" s="217"/>
      <c r="J119" s="217"/>
      <c r="K119" s="221"/>
      <c r="L119" s="217"/>
      <c r="M119" s="217"/>
      <c r="N119" s="217"/>
      <c r="O119" s="217"/>
      <c r="P119" s="217"/>
    </row>
    <row r="120" spans="3:16" ht="42" customHeight="1">
      <c r="C120" s="272">
        <v>118</v>
      </c>
      <c r="D120" s="275"/>
      <c r="E120" s="276"/>
      <c r="F120" s="221"/>
      <c r="G120" s="275"/>
      <c r="H120" s="276"/>
      <c r="I120" s="217"/>
      <c r="J120" s="217"/>
      <c r="K120" s="221"/>
      <c r="L120" s="217"/>
      <c r="M120" s="217"/>
      <c r="N120" s="217"/>
      <c r="O120" s="217"/>
      <c r="P120" s="217"/>
    </row>
    <row r="121" spans="3:16" ht="42" customHeight="1">
      <c r="C121" s="272">
        <v>119</v>
      </c>
      <c r="D121" s="275"/>
      <c r="E121" s="276"/>
      <c r="F121" s="221"/>
      <c r="G121" s="275"/>
      <c r="H121" s="276"/>
      <c r="I121" s="217"/>
      <c r="J121" s="217"/>
      <c r="K121" s="221"/>
      <c r="L121" s="217"/>
      <c r="M121" s="217"/>
      <c r="N121" s="217"/>
      <c r="O121" s="217"/>
      <c r="P121" s="217"/>
    </row>
    <row r="122" spans="3:16" ht="42" customHeight="1">
      <c r="C122" s="272">
        <v>120</v>
      </c>
      <c r="D122" s="275"/>
      <c r="E122" s="276"/>
      <c r="F122" s="221"/>
      <c r="G122" s="275"/>
      <c r="H122" s="276"/>
      <c r="I122" s="217"/>
      <c r="J122" s="217"/>
      <c r="K122" s="221"/>
      <c r="L122" s="217"/>
      <c r="M122" s="217"/>
      <c r="N122" s="217"/>
      <c r="O122" s="217"/>
      <c r="P122" s="217"/>
    </row>
    <row r="123" spans="3:16" ht="42" customHeight="1">
      <c r="C123" s="272">
        <v>121</v>
      </c>
      <c r="D123" s="275"/>
      <c r="E123" s="276"/>
      <c r="F123" s="221"/>
      <c r="G123" s="275"/>
      <c r="H123" s="276"/>
      <c r="I123" s="217"/>
      <c r="J123" s="217"/>
      <c r="K123" s="221"/>
      <c r="L123" s="217"/>
      <c r="M123" s="217"/>
      <c r="N123" s="217"/>
      <c r="O123" s="217"/>
      <c r="P123" s="217"/>
    </row>
    <row r="124" spans="3:16" ht="42" customHeight="1">
      <c r="C124" s="272">
        <v>122</v>
      </c>
      <c r="D124" s="275"/>
      <c r="E124" s="276"/>
      <c r="F124" s="221"/>
      <c r="G124" s="275"/>
      <c r="H124" s="276"/>
      <c r="I124" s="217"/>
      <c r="J124" s="217"/>
      <c r="K124" s="221"/>
      <c r="L124" s="217"/>
      <c r="M124" s="217"/>
      <c r="N124" s="217"/>
      <c r="O124" s="217"/>
      <c r="P124" s="217"/>
    </row>
    <row r="125" spans="3:16" ht="42" customHeight="1">
      <c r="C125" s="272">
        <v>123</v>
      </c>
      <c r="D125" s="275"/>
      <c r="E125" s="276"/>
      <c r="F125" s="221"/>
      <c r="G125" s="275"/>
      <c r="H125" s="276"/>
      <c r="I125" s="217"/>
      <c r="J125" s="217"/>
      <c r="K125" s="221"/>
      <c r="L125" s="217"/>
      <c r="M125" s="217"/>
      <c r="N125" s="217"/>
      <c r="O125" s="217"/>
      <c r="P125" s="217"/>
    </row>
    <row r="126" spans="3:16" ht="42" customHeight="1">
      <c r="C126" s="272">
        <v>124</v>
      </c>
      <c r="D126" s="275"/>
      <c r="E126" s="276"/>
      <c r="F126" s="221"/>
      <c r="G126" s="275"/>
      <c r="H126" s="276"/>
      <c r="I126" s="217"/>
      <c r="J126" s="217"/>
      <c r="K126" s="221"/>
      <c r="L126" s="217"/>
      <c r="M126" s="217"/>
      <c r="N126" s="217"/>
      <c r="O126" s="217"/>
      <c r="P126" s="217"/>
    </row>
    <row r="127" spans="3:16" ht="42" customHeight="1">
      <c r="C127" s="272">
        <v>125</v>
      </c>
      <c r="D127" s="275"/>
      <c r="E127" s="276"/>
      <c r="F127" s="221"/>
      <c r="G127" s="275"/>
      <c r="H127" s="276"/>
      <c r="I127" s="217"/>
      <c r="J127" s="217"/>
      <c r="K127" s="221"/>
      <c r="L127" s="217"/>
      <c r="M127" s="217"/>
      <c r="N127" s="217"/>
      <c r="O127" s="217"/>
      <c r="P127" s="217"/>
    </row>
    <row r="128" spans="3:16" ht="42" customHeight="1">
      <c r="C128" s="272">
        <v>126</v>
      </c>
      <c r="D128" s="275"/>
      <c r="E128" s="276"/>
      <c r="F128" s="221"/>
      <c r="G128" s="275"/>
      <c r="H128" s="276"/>
      <c r="I128" s="217"/>
      <c r="J128" s="217"/>
      <c r="K128" s="221"/>
      <c r="L128" s="217"/>
      <c r="M128" s="217"/>
      <c r="N128" s="217"/>
      <c r="O128" s="217"/>
      <c r="P128" s="217"/>
    </row>
    <row r="129" spans="3:16" ht="42" customHeight="1">
      <c r="C129" s="272">
        <v>127</v>
      </c>
      <c r="D129" s="275"/>
      <c r="E129" s="276"/>
      <c r="F129" s="221"/>
      <c r="G129" s="275"/>
      <c r="H129" s="276"/>
      <c r="I129" s="217"/>
      <c r="J129" s="217"/>
      <c r="K129" s="221"/>
      <c r="L129" s="217"/>
      <c r="M129" s="217"/>
      <c r="N129" s="217"/>
      <c r="O129" s="217"/>
      <c r="P129" s="217"/>
    </row>
    <row r="130" spans="3:16" ht="42" customHeight="1">
      <c r="C130" s="272">
        <v>128</v>
      </c>
      <c r="D130" s="275"/>
      <c r="E130" s="276"/>
      <c r="F130" s="221"/>
      <c r="G130" s="275"/>
      <c r="H130" s="276"/>
      <c r="I130" s="217"/>
      <c r="J130" s="217"/>
      <c r="K130" s="221"/>
      <c r="L130" s="217"/>
      <c r="M130" s="217"/>
      <c r="N130" s="217"/>
      <c r="O130" s="217"/>
      <c r="P130" s="217"/>
    </row>
    <row r="131" spans="3:16" ht="42" customHeight="1">
      <c r="C131" s="272">
        <v>129</v>
      </c>
      <c r="D131" s="275"/>
      <c r="E131" s="276"/>
      <c r="F131" s="221"/>
      <c r="G131" s="275"/>
      <c r="H131" s="276"/>
      <c r="I131" s="217"/>
      <c r="J131" s="217"/>
      <c r="K131" s="221"/>
      <c r="L131" s="217"/>
      <c r="M131" s="217"/>
      <c r="N131" s="217"/>
      <c r="O131" s="217"/>
      <c r="P131" s="217"/>
    </row>
    <row r="132" spans="3:16" ht="42" customHeight="1">
      <c r="C132" s="272">
        <v>130</v>
      </c>
      <c r="D132" s="275"/>
      <c r="E132" s="276"/>
      <c r="F132" s="221"/>
      <c r="G132" s="275"/>
      <c r="H132" s="276"/>
      <c r="I132" s="217"/>
      <c r="J132" s="217"/>
      <c r="K132" s="221"/>
      <c r="L132" s="217"/>
      <c r="M132" s="217"/>
      <c r="N132" s="217"/>
      <c r="O132" s="217"/>
      <c r="P132" s="217"/>
    </row>
    <row r="133" spans="3:16" ht="42" customHeight="1">
      <c r="C133" s="272">
        <v>131</v>
      </c>
      <c r="D133" s="275"/>
      <c r="E133" s="276"/>
      <c r="F133" s="221"/>
      <c r="G133" s="275"/>
      <c r="H133" s="276"/>
      <c r="I133" s="217"/>
      <c r="J133" s="217"/>
      <c r="K133" s="221"/>
      <c r="L133" s="217"/>
      <c r="M133" s="217"/>
      <c r="N133" s="217"/>
      <c r="O133" s="217"/>
      <c r="P133" s="217"/>
    </row>
    <row r="134" spans="3:16" ht="42" customHeight="1">
      <c r="C134" s="272">
        <v>132</v>
      </c>
      <c r="D134" s="275"/>
      <c r="E134" s="276"/>
      <c r="F134" s="221"/>
      <c r="G134" s="275"/>
      <c r="H134" s="276"/>
      <c r="I134" s="217"/>
      <c r="J134" s="217"/>
      <c r="K134" s="221"/>
      <c r="L134" s="217"/>
      <c r="M134" s="217"/>
      <c r="N134" s="217"/>
      <c r="O134" s="217"/>
      <c r="P134" s="217"/>
    </row>
    <row r="135" spans="3:16" ht="42" customHeight="1">
      <c r="C135" s="272">
        <v>133</v>
      </c>
      <c r="D135" s="275"/>
      <c r="E135" s="276"/>
      <c r="F135" s="221"/>
      <c r="G135" s="275"/>
      <c r="H135" s="276"/>
      <c r="I135" s="217"/>
      <c r="J135" s="217"/>
      <c r="K135" s="221"/>
      <c r="L135" s="217"/>
      <c r="M135" s="217"/>
      <c r="N135" s="217"/>
      <c r="O135" s="217"/>
      <c r="P135" s="217"/>
    </row>
    <row r="136" spans="3:16" ht="42" customHeight="1">
      <c r="C136" s="272">
        <v>134</v>
      </c>
      <c r="D136" s="275"/>
      <c r="E136" s="276"/>
      <c r="F136" s="221"/>
      <c r="G136" s="275"/>
      <c r="H136" s="276"/>
      <c r="I136" s="217"/>
      <c r="J136" s="217"/>
      <c r="K136" s="221"/>
      <c r="L136" s="217"/>
      <c r="M136" s="217"/>
      <c r="N136" s="217"/>
      <c r="O136" s="217"/>
      <c r="P136" s="217"/>
    </row>
    <row r="137" spans="3:16" ht="42" customHeight="1">
      <c r="C137" s="272">
        <v>135</v>
      </c>
      <c r="D137" s="275"/>
      <c r="E137" s="276"/>
      <c r="F137" s="221"/>
      <c r="G137" s="275"/>
      <c r="H137" s="276"/>
      <c r="I137" s="217"/>
      <c r="J137" s="217"/>
      <c r="K137" s="221"/>
      <c r="L137" s="217"/>
      <c r="M137" s="217"/>
      <c r="N137" s="217"/>
      <c r="O137" s="217"/>
      <c r="P137" s="217"/>
    </row>
    <row r="138" spans="3:16" ht="42" customHeight="1">
      <c r="C138" s="272">
        <v>136</v>
      </c>
      <c r="D138" s="275"/>
      <c r="E138" s="276"/>
      <c r="F138" s="221"/>
      <c r="G138" s="275"/>
      <c r="H138" s="276"/>
      <c r="I138" s="217"/>
      <c r="J138" s="217"/>
      <c r="K138" s="221"/>
      <c r="L138" s="217"/>
      <c r="M138" s="217"/>
      <c r="N138" s="217"/>
      <c r="O138" s="217"/>
      <c r="P138" s="217"/>
    </row>
    <row r="139" spans="3:16" ht="42" customHeight="1">
      <c r="C139" s="272">
        <v>137</v>
      </c>
      <c r="D139" s="275"/>
      <c r="E139" s="276"/>
      <c r="F139" s="221"/>
      <c r="G139" s="275"/>
      <c r="H139" s="276"/>
      <c r="I139" s="217"/>
      <c r="J139" s="217"/>
      <c r="K139" s="221"/>
      <c r="L139" s="217"/>
      <c r="M139" s="217"/>
      <c r="N139" s="217"/>
      <c r="O139" s="217"/>
      <c r="P139" s="217"/>
    </row>
    <row r="140" spans="3:16" ht="42" customHeight="1">
      <c r="C140" s="272">
        <v>138</v>
      </c>
      <c r="D140" s="275"/>
      <c r="E140" s="276"/>
      <c r="F140" s="221"/>
      <c r="G140" s="275"/>
      <c r="H140" s="276"/>
      <c r="I140" s="217"/>
      <c r="J140" s="217"/>
      <c r="K140" s="221"/>
      <c r="L140" s="217"/>
      <c r="M140" s="217"/>
      <c r="N140" s="217"/>
      <c r="O140" s="217"/>
      <c r="P140" s="217"/>
    </row>
    <row r="141" spans="3:16" ht="42" customHeight="1">
      <c r="C141" s="272">
        <v>139</v>
      </c>
      <c r="D141" s="275"/>
      <c r="E141" s="276"/>
      <c r="F141" s="221"/>
      <c r="G141" s="275"/>
      <c r="H141" s="276"/>
      <c r="I141" s="217"/>
      <c r="J141" s="217"/>
      <c r="K141" s="221"/>
      <c r="L141" s="217"/>
      <c r="M141" s="217"/>
      <c r="N141" s="217"/>
      <c r="O141" s="217"/>
      <c r="P141" s="217"/>
    </row>
    <row r="142" spans="3:16" ht="42" customHeight="1">
      <c r="C142" s="272">
        <v>140</v>
      </c>
      <c r="D142" s="275"/>
      <c r="E142" s="276"/>
      <c r="F142" s="221"/>
      <c r="G142" s="275"/>
      <c r="H142" s="276"/>
      <c r="I142" s="217"/>
      <c r="J142" s="217"/>
      <c r="K142" s="221"/>
      <c r="L142" s="217"/>
      <c r="M142" s="217"/>
      <c r="N142" s="217"/>
      <c r="O142" s="217"/>
      <c r="P142" s="217"/>
    </row>
    <row r="143" spans="3:16" ht="42" customHeight="1">
      <c r="C143" s="272">
        <v>141</v>
      </c>
      <c r="D143" s="275"/>
      <c r="E143" s="276"/>
      <c r="F143" s="221"/>
      <c r="G143" s="275"/>
      <c r="H143" s="276"/>
      <c r="I143" s="217"/>
      <c r="J143" s="217"/>
      <c r="K143" s="221"/>
      <c r="L143" s="217"/>
      <c r="M143" s="217"/>
      <c r="N143" s="217"/>
      <c r="O143" s="217"/>
      <c r="P143" s="217"/>
    </row>
    <row r="144" spans="3:16" ht="42" customHeight="1">
      <c r="C144" s="272">
        <v>142</v>
      </c>
      <c r="D144" s="275"/>
      <c r="E144" s="276"/>
      <c r="F144" s="221"/>
      <c r="G144" s="275"/>
      <c r="H144" s="276"/>
      <c r="I144" s="217"/>
      <c r="J144" s="217"/>
      <c r="K144" s="221"/>
      <c r="L144" s="217"/>
      <c r="M144" s="217"/>
      <c r="N144" s="217"/>
      <c r="O144" s="217"/>
      <c r="P144" s="217"/>
    </row>
    <row r="145" spans="3:16" ht="42" customHeight="1">
      <c r="C145" s="272">
        <v>143</v>
      </c>
      <c r="D145" s="275"/>
      <c r="E145" s="276"/>
      <c r="F145" s="221"/>
      <c r="G145" s="275"/>
      <c r="H145" s="276"/>
      <c r="I145" s="217"/>
      <c r="J145" s="217"/>
      <c r="K145" s="221"/>
      <c r="L145" s="217"/>
      <c r="M145" s="217"/>
      <c r="N145" s="217"/>
      <c r="O145" s="217"/>
      <c r="P145" s="217"/>
    </row>
    <row r="146" spans="3:16" ht="42" customHeight="1">
      <c r="C146" s="272">
        <v>144</v>
      </c>
      <c r="D146" s="275"/>
      <c r="E146" s="276"/>
      <c r="F146" s="221"/>
      <c r="G146" s="275"/>
      <c r="H146" s="276"/>
      <c r="I146" s="217"/>
      <c r="J146" s="217"/>
      <c r="K146" s="221"/>
      <c r="L146" s="217"/>
      <c r="M146" s="217"/>
      <c r="N146" s="217"/>
      <c r="O146" s="217"/>
      <c r="P146" s="217"/>
    </row>
    <row r="147" spans="3:16" ht="42" customHeight="1">
      <c r="C147" s="272">
        <v>145</v>
      </c>
      <c r="D147" s="275"/>
      <c r="E147" s="276"/>
      <c r="F147" s="221"/>
      <c r="G147" s="275"/>
      <c r="H147" s="276"/>
      <c r="I147" s="217"/>
      <c r="J147" s="217"/>
      <c r="K147" s="221"/>
      <c r="L147" s="217"/>
      <c r="M147" s="217"/>
      <c r="N147" s="217"/>
      <c r="O147" s="217"/>
      <c r="P147" s="217"/>
    </row>
    <row r="148" spans="3:16" ht="42" customHeight="1">
      <c r="C148" s="272">
        <v>146</v>
      </c>
      <c r="D148" s="275"/>
      <c r="E148" s="276"/>
      <c r="F148" s="221"/>
      <c r="G148" s="275"/>
      <c r="H148" s="276"/>
      <c r="I148" s="217"/>
      <c r="J148" s="217"/>
      <c r="K148" s="221"/>
      <c r="L148" s="217"/>
      <c r="M148" s="217"/>
      <c r="N148" s="217"/>
      <c r="O148" s="217"/>
      <c r="P148" s="217"/>
    </row>
    <row r="149" spans="3:16" ht="42" customHeight="1">
      <c r="C149" s="272">
        <v>147</v>
      </c>
      <c r="D149" s="275"/>
      <c r="E149" s="276"/>
      <c r="F149" s="221"/>
      <c r="G149" s="275"/>
      <c r="H149" s="276"/>
      <c r="I149" s="217"/>
      <c r="J149" s="217"/>
      <c r="K149" s="221"/>
      <c r="L149" s="217"/>
      <c r="M149" s="217"/>
      <c r="N149" s="217"/>
      <c r="O149" s="217"/>
      <c r="P149" s="217"/>
    </row>
    <row r="150" spans="3:16" ht="42" customHeight="1">
      <c r="C150" s="272">
        <v>148</v>
      </c>
      <c r="D150" s="275"/>
      <c r="E150" s="276"/>
      <c r="F150" s="221"/>
      <c r="G150" s="275"/>
      <c r="H150" s="276"/>
      <c r="I150" s="217"/>
      <c r="J150" s="217"/>
      <c r="K150" s="221"/>
      <c r="L150" s="217"/>
      <c r="M150" s="217"/>
      <c r="N150" s="217"/>
      <c r="O150" s="217"/>
      <c r="P150" s="217"/>
    </row>
    <row r="151" spans="3:16" ht="42" customHeight="1">
      <c r="C151" s="272">
        <v>149</v>
      </c>
      <c r="D151" s="275"/>
      <c r="E151" s="276"/>
      <c r="F151" s="221"/>
      <c r="G151" s="275"/>
      <c r="H151" s="276"/>
      <c r="I151" s="217"/>
      <c r="J151" s="217"/>
      <c r="K151" s="221"/>
      <c r="L151" s="217"/>
      <c r="M151" s="217"/>
      <c r="N151" s="217"/>
      <c r="O151" s="217"/>
      <c r="P151" s="217"/>
    </row>
    <row r="152" spans="3:16" ht="42" customHeight="1">
      <c r="C152" s="272">
        <v>150</v>
      </c>
      <c r="D152" s="275"/>
      <c r="E152" s="276"/>
      <c r="F152" s="221"/>
      <c r="G152" s="275"/>
      <c r="H152" s="276"/>
      <c r="I152" s="217"/>
      <c r="J152" s="217"/>
      <c r="K152" s="221"/>
      <c r="L152" s="217"/>
      <c r="M152" s="217"/>
      <c r="N152" s="217"/>
      <c r="O152" s="217"/>
      <c r="P152" s="217"/>
    </row>
    <row r="153" spans="3:16" ht="42" customHeight="1">
      <c r="C153" s="272">
        <v>151</v>
      </c>
      <c r="D153" s="275"/>
      <c r="E153" s="276"/>
      <c r="F153" s="221"/>
      <c r="G153" s="275"/>
      <c r="H153" s="276"/>
      <c r="I153" s="217"/>
      <c r="J153" s="217"/>
      <c r="K153" s="221"/>
      <c r="L153" s="217"/>
      <c r="M153" s="217"/>
      <c r="N153" s="217"/>
      <c r="O153" s="217"/>
      <c r="P153" s="217"/>
    </row>
    <row r="154" spans="3:16" ht="42" customHeight="1">
      <c r="C154" s="272">
        <v>152</v>
      </c>
      <c r="D154" s="275"/>
      <c r="E154" s="276"/>
      <c r="F154" s="221"/>
      <c r="G154" s="275"/>
      <c r="H154" s="276"/>
      <c r="I154" s="217"/>
      <c r="J154" s="217"/>
      <c r="K154" s="221"/>
      <c r="L154" s="217"/>
      <c r="M154" s="217"/>
      <c r="N154" s="217"/>
      <c r="O154" s="217"/>
      <c r="P154" s="217"/>
    </row>
    <row r="155" spans="3:16" ht="42" customHeight="1">
      <c r="C155" s="272">
        <v>153</v>
      </c>
      <c r="D155" s="275"/>
      <c r="E155" s="276"/>
      <c r="F155" s="221"/>
      <c r="G155" s="275"/>
      <c r="H155" s="276"/>
      <c r="I155" s="217"/>
      <c r="J155" s="217"/>
      <c r="K155" s="221"/>
      <c r="L155" s="217"/>
      <c r="M155" s="217"/>
      <c r="N155" s="217"/>
      <c r="O155" s="217"/>
      <c r="P155" s="217"/>
    </row>
    <row r="156" spans="3:16" ht="42" customHeight="1">
      <c r="C156" s="272">
        <v>154</v>
      </c>
      <c r="D156" s="275"/>
      <c r="E156" s="276"/>
      <c r="F156" s="221"/>
      <c r="G156" s="275"/>
      <c r="H156" s="276"/>
      <c r="I156" s="217"/>
      <c r="J156" s="217"/>
      <c r="K156" s="221"/>
      <c r="L156" s="217"/>
      <c r="M156" s="217"/>
      <c r="N156" s="217"/>
      <c r="O156" s="217"/>
      <c r="P156" s="217"/>
    </row>
    <row r="157" spans="3:16" ht="42" customHeight="1">
      <c r="C157" s="272">
        <v>155</v>
      </c>
      <c r="D157" s="275"/>
      <c r="E157" s="276"/>
      <c r="F157" s="221"/>
      <c r="G157" s="275"/>
      <c r="H157" s="276"/>
      <c r="I157" s="217"/>
      <c r="J157" s="217"/>
      <c r="K157" s="221"/>
      <c r="L157" s="217"/>
      <c r="M157" s="217"/>
      <c r="N157" s="217"/>
      <c r="O157" s="217"/>
      <c r="P157" s="217"/>
    </row>
    <row r="158" spans="3:16" ht="42" customHeight="1">
      <c r="C158" s="272">
        <v>156</v>
      </c>
      <c r="D158" s="275"/>
      <c r="E158" s="276"/>
      <c r="F158" s="221"/>
      <c r="G158" s="275"/>
      <c r="H158" s="276"/>
      <c r="I158" s="217"/>
      <c r="J158" s="217"/>
      <c r="K158" s="221"/>
      <c r="L158" s="217"/>
      <c r="M158" s="217"/>
      <c r="N158" s="217"/>
      <c r="O158" s="217"/>
      <c r="P158" s="217"/>
    </row>
    <row r="159" spans="3:16" ht="42" customHeight="1">
      <c r="C159" s="272">
        <v>157</v>
      </c>
      <c r="D159" s="275"/>
      <c r="E159" s="276"/>
      <c r="F159" s="221"/>
      <c r="G159" s="275"/>
      <c r="H159" s="276"/>
      <c r="I159" s="217"/>
      <c r="J159" s="217"/>
      <c r="K159" s="221"/>
      <c r="L159" s="217"/>
      <c r="M159" s="217"/>
      <c r="N159" s="217"/>
      <c r="O159" s="217"/>
      <c r="P159" s="217"/>
    </row>
    <row r="160" spans="3:16" ht="42" customHeight="1">
      <c r="C160" s="272">
        <v>158</v>
      </c>
      <c r="D160" s="275"/>
      <c r="E160" s="276"/>
      <c r="F160" s="221"/>
      <c r="G160" s="275"/>
      <c r="H160" s="276"/>
      <c r="I160" s="217"/>
      <c r="J160" s="217"/>
      <c r="K160" s="221"/>
      <c r="L160" s="217"/>
      <c r="M160" s="217"/>
      <c r="N160" s="217"/>
      <c r="O160" s="217"/>
      <c r="P160" s="217"/>
    </row>
    <row r="161" spans="3:16" ht="42" customHeight="1">
      <c r="C161" s="272">
        <v>159</v>
      </c>
      <c r="D161" s="275"/>
      <c r="E161" s="276"/>
      <c r="F161" s="221"/>
      <c r="G161" s="275"/>
      <c r="H161" s="276"/>
      <c r="I161" s="217"/>
      <c r="J161" s="217"/>
      <c r="K161" s="221"/>
      <c r="L161" s="217"/>
      <c r="M161" s="217"/>
      <c r="N161" s="217"/>
      <c r="O161" s="217"/>
      <c r="P161" s="217"/>
    </row>
    <row r="162" spans="3:16" ht="42" customHeight="1">
      <c r="C162" s="272">
        <v>160</v>
      </c>
      <c r="D162" s="275"/>
      <c r="E162" s="276"/>
      <c r="F162" s="221"/>
      <c r="G162" s="275"/>
      <c r="H162" s="276"/>
      <c r="I162" s="217"/>
      <c r="J162" s="217"/>
      <c r="K162" s="221"/>
      <c r="L162" s="217"/>
      <c r="M162" s="217"/>
      <c r="N162" s="217"/>
      <c r="O162" s="217"/>
      <c r="P162" s="217"/>
    </row>
    <row r="163" spans="3:16" ht="42" customHeight="1">
      <c r="C163" s="272">
        <v>161</v>
      </c>
      <c r="D163" s="275"/>
      <c r="E163" s="276"/>
      <c r="F163" s="221"/>
      <c r="G163" s="275"/>
      <c r="H163" s="276"/>
      <c r="I163" s="217"/>
      <c r="J163" s="217"/>
      <c r="K163" s="221"/>
      <c r="L163" s="217"/>
      <c r="M163" s="217"/>
      <c r="N163" s="217"/>
      <c r="O163" s="217"/>
      <c r="P163" s="217"/>
    </row>
    <row r="164" spans="3:16" ht="42" customHeight="1">
      <c r="C164" s="272">
        <v>162</v>
      </c>
      <c r="D164" s="275"/>
      <c r="E164" s="276"/>
      <c r="F164" s="221"/>
      <c r="G164" s="275"/>
      <c r="H164" s="276"/>
      <c r="I164" s="217"/>
      <c r="J164" s="217"/>
      <c r="K164" s="221"/>
      <c r="L164" s="217"/>
      <c r="M164" s="217"/>
      <c r="N164" s="217"/>
      <c r="O164" s="217"/>
      <c r="P164" s="217"/>
    </row>
    <row r="165" spans="3:16" ht="42" customHeight="1">
      <c r="C165" s="272">
        <v>163</v>
      </c>
      <c r="D165" s="275"/>
      <c r="E165" s="276"/>
      <c r="F165" s="221"/>
      <c r="G165" s="275"/>
      <c r="H165" s="276"/>
      <c r="I165" s="217"/>
      <c r="J165" s="217"/>
      <c r="K165" s="221"/>
      <c r="L165" s="217"/>
      <c r="M165" s="217"/>
      <c r="N165" s="217"/>
      <c r="O165" s="217"/>
      <c r="P165" s="217"/>
    </row>
    <row r="166" spans="3:16" ht="42" customHeight="1">
      <c r="C166" s="272">
        <v>164</v>
      </c>
      <c r="D166" s="275"/>
      <c r="E166" s="276"/>
      <c r="F166" s="221"/>
      <c r="G166" s="275"/>
      <c r="H166" s="276"/>
      <c r="I166" s="217"/>
      <c r="J166" s="217"/>
      <c r="K166" s="221"/>
      <c r="L166" s="217"/>
      <c r="M166" s="217"/>
      <c r="N166" s="217"/>
      <c r="O166" s="217"/>
      <c r="P166" s="217"/>
    </row>
    <row r="167" spans="3:16" ht="42" customHeight="1">
      <c r="C167" s="272">
        <v>165</v>
      </c>
      <c r="D167" s="275"/>
      <c r="E167" s="276"/>
      <c r="F167" s="221"/>
      <c r="G167" s="275"/>
      <c r="H167" s="276"/>
      <c r="I167" s="217"/>
      <c r="J167" s="217"/>
      <c r="K167" s="221"/>
      <c r="L167" s="217"/>
      <c r="M167" s="217"/>
      <c r="N167" s="217"/>
      <c r="O167" s="217"/>
      <c r="P167" s="217"/>
    </row>
    <row r="168" spans="3:16" ht="42" customHeight="1">
      <c r="C168" s="272">
        <v>166</v>
      </c>
      <c r="D168" s="275"/>
      <c r="E168" s="276"/>
      <c r="F168" s="221"/>
      <c r="G168" s="275"/>
      <c r="H168" s="276"/>
      <c r="I168" s="217"/>
      <c r="J168" s="217"/>
      <c r="K168" s="221"/>
      <c r="L168" s="217"/>
      <c r="M168" s="217"/>
      <c r="N168" s="217"/>
      <c r="O168" s="217"/>
      <c r="P168" s="217"/>
    </row>
    <row r="169" spans="3:16" ht="42" customHeight="1">
      <c r="C169" s="272">
        <v>167</v>
      </c>
      <c r="D169" s="275"/>
      <c r="E169" s="276"/>
      <c r="F169" s="221"/>
      <c r="G169" s="275"/>
      <c r="H169" s="276"/>
      <c r="I169" s="217"/>
      <c r="J169" s="217"/>
      <c r="K169" s="221"/>
      <c r="L169" s="217"/>
      <c r="M169" s="217"/>
      <c r="N169" s="217"/>
      <c r="O169" s="217"/>
      <c r="P169" s="217"/>
    </row>
    <row r="170" spans="3:16" ht="42" customHeight="1">
      <c r="C170" s="272">
        <v>168</v>
      </c>
      <c r="D170" s="275"/>
      <c r="E170" s="276"/>
      <c r="F170" s="221"/>
      <c r="G170" s="275"/>
      <c r="H170" s="276"/>
      <c r="I170" s="217"/>
      <c r="J170" s="217"/>
      <c r="K170" s="221"/>
      <c r="L170" s="217"/>
      <c r="M170" s="217"/>
      <c r="N170" s="217"/>
      <c r="O170" s="217"/>
      <c r="P170" s="217"/>
    </row>
    <row r="171" spans="3:16" ht="42" customHeight="1">
      <c r="C171" s="272">
        <v>169</v>
      </c>
      <c r="D171" s="275"/>
      <c r="E171" s="276"/>
      <c r="F171" s="221"/>
      <c r="G171" s="275"/>
      <c r="H171" s="276"/>
      <c r="I171" s="217"/>
      <c r="J171" s="217"/>
      <c r="K171" s="221"/>
      <c r="L171" s="217"/>
      <c r="M171" s="217"/>
      <c r="N171" s="217"/>
      <c r="O171" s="217"/>
      <c r="P171" s="217"/>
    </row>
    <row r="172" spans="3:16" ht="42" customHeight="1">
      <c r="C172" s="272">
        <v>170</v>
      </c>
      <c r="D172" s="275"/>
      <c r="E172" s="276"/>
      <c r="F172" s="221"/>
      <c r="G172" s="275"/>
      <c r="H172" s="276"/>
      <c r="I172" s="217"/>
      <c r="J172" s="217"/>
      <c r="K172" s="221"/>
      <c r="L172" s="217"/>
      <c r="M172" s="217"/>
      <c r="N172" s="217"/>
      <c r="O172" s="217"/>
      <c r="P172" s="217"/>
    </row>
    <row r="173" spans="3:16" ht="42" customHeight="1">
      <c r="C173" s="272">
        <v>171</v>
      </c>
      <c r="D173" s="275"/>
      <c r="E173" s="276"/>
      <c r="F173" s="221"/>
      <c r="G173" s="275"/>
      <c r="H173" s="276"/>
      <c r="I173" s="217"/>
      <c r="J173" s="217"/>
      <c r="K173" s="221"/>
      <c r="L173" s="217"/>
      <c r="M173" s="217"/>
      <c r="N173" s="217"/>
      <c r="O173" s="217"/>
      <c r="P173" s="217"/>
    </row>
    <row r="174" spans="3:16" ht="42" customHeight="1">
      <c r="C174" s="272">
        <v>172</v>
      </c>
      <c r="D174" s="275"/>
      <c r="E174" s="276"/>
      <c r="F174" s="221"/>
      <c r="G174" s="275"/>
      <c r="H174" s="276"/>
      <c r="I174" s="217"/>
      <c r="J174" s="217"/>
      <c r="K174" s="221"/>
      <c r="L174" s="217"/>
      <c r="M174" s="217"/>
      <c r="N174" s="217"/>
      <c r="O174" s="217"/>
      <c r="P174" s="217"/>
    </row>
    <row r="175" spans="3:16" ht="42" customHeight="1">
      <c r="C175" s="272">
        <v>173</v>
      </c>
      <c r="D175" s="275"/>
      <c r="E175" s="276"/>
      <c r="F175" s="221"/>
      <c r="G175" s="275"/>
      <c r="H175" s="276"/>
      <c r="I175" s="217"/>
      <c r="J175" s="217"/>
      <c r="K175" s="221"/>
      <c r="L175" s="217"/>
      <c r="M175" s="217"/>
      <c r="N175" s="217"/>
      <c r="O175" s="217"/>
      <c r="P175" s="217"/>
    </row>
    <row r="176" spans="3:16" ht="42" customHeight="1">
      <c r="C176" s="272">
        <v>174</v>
      </c>
      <c r="D176" s="275"/>
      <c r="E176" s="276"/>
      <c r="F176" s="221"/>
      <c r="G176" s="275"/>
      <c r="H176" s="276"/>
      <c r="I176" s="217"/>
      <c r="J176" s="217"/>
      <c r="K176" s="221"/>
      <c r="L176" s="217"/>
      <c r="M176" s="217"/>
      <c r="N176" s="217"/>
      <c r="O176" s="217"/>
      <c r="P176" s="217"/>
    </row>
    <row r="177" spans="3:16" ht="42" customHeight="1">
      <c r="C177" s="272">
        <v>175</v>
      </c>
      <c r="D177" s="275"/>
      <c r="E177" s="276"/>
      <c r="F177" s="221"/>
      <c r="G177" s="275"/>
      <c r="H177" s="276"/>
      <c r="I177" s="217"/>
      <c r="J177" s="217"/>
      <c r="K177" s="221"/>
      <c r="L177" s="217"/>
      <c r="M177" s="217"/>
      <c r="N177" s="217"/>
      <c r="O177" s="217"/>
      <c r="P177" s="217"/>
    </row>
    <row r="178" spans="3:16" ht="42" customHeight="1">
      <c r="C178" s="272">
        <v>176</v>
      </c>
      <c r="D178" s="275"/>
      <c r="E178" s="276"/>
      <c r="F178" s="221"/>
      <c r="G178" s="275"/>
      <c r="H178" s="276"/>
      <c r="I178" s="217"/>
      <c r="J178" s="217"/>
      <c r="K178" s="221"/>
      <c r="L178" s="217"/>
      <c r="M178" s="217"/>
      <c r="N178" s="217"/>
      <c r="O178" s="217"/>
      <c r="P178" s="217"/>
    </row>
    <row r="179" spans="3:16" ht="42" customHeight="1">
      <c r="C179" s="272">
        <v>177</v>
      </c>
      <c r="D179" s="275"/>
      <c r="E179" s="276"/>
      <c r="F179" s="221"/>
      <c r="G179" s="275"/>
      <c r="H179" s="276"/>
      <c r="I179" s="217"/>
      <c r="J179" s="217"/>
      <c r="K179" s="221"/>
      <c r="L179" s="217"/>
      <c r="M179" s="217"/>
      <c r="N179" s="217"/>
      <c r="O179" s="217"/>
      <c r="P179" s="217"/>
    </row>
    <row r="180" spans="3:16" ht="42" customHeight="1">
      <c r="C180" s="272">
        <v>178</v>
      </c>
      <c r="D180" s="275"/>
      <c r="E180" s="276"/>
      <c r="F180" s="221"/>
      <c r="G180" s="275"/>
      <c r="H180" s="276"/>
      <c r="I180" s="217"/>
      <c r="J180" s="217"/>
      <c r="K180" s="221"/>
      <c r="L180" s="217"/>
      <c r="M180" s="217"/>
      <c r="N180" s="217"/>
      <c r="O180" s="217"/>
      <c r="P180" s="217"/>
    </row>
    <row r="181" spans="3:16" ht="42" customHeight="1">
      <c r="C181" s="272">
        <v>179</v>
      </c>
      <c r="D181" s="275"/>
      <c r="E181" s="276"/>
      <c r="F181" s="221"/>
      <c r="G181" s="275"/>
      <c r="H181" s="276"/>
      <c r="I181" s="217"/>
      <c r="J181" s="217"/>
      <c r="K181" s="221"/>
      <c r="L181" s="217"/>
      <c r="M181" s="217"/>
      <c r="N181" s="217"/>
      <c r="O181" s="217"/>
      <c r="P181" s="217"/>
    </row>
    <row r="182" spans="3:16" ht="42" customHeight="1">
      <c r="C182" s="272">
        <v>180</v>
      </c>
      <c r="D182" s="275"/>
      <c r="E182" s="276"/>
      <c r="F182" s="221"/>
      <c r="G182" s="275"/>
      <c r="H182" s="276"/>
      <c r="I182" s="217"/>
      <c r="J182" s="217"/>
      <c r="K182" s="221"/>
      <c r="L182" s="217"/>
      <c r="M182" s="217"/>
      <c r="N182" s="217"/>
      <c r="O182" s="217"/>
      <c r="P182" s="217"/>
    </row>
    <row r="183" spans="3:16" ht="42" customHeight="1">
      <c r="C183" s="272">
        <v>181</v>
      </c>
      <c r="D183" s="275"/>
      <c r="E183" s="276"/>
      <c r="F183" s="221"/>
      <c r="G183" s="275"/>
      <c r="H183" s="276"/>
      <c r="I183" s="217"/>
      <c r="J183" s="217"/>
      <c r="K183" s="221"/>
      <c r="L183" s="217"/>
      <c r="M183" s="217"/>
      <c r="N183" s="217"/>
      <c r="O183" s="217"/>
      <c r="P183" s="217"/>
    </row>
    <row r="184" spans="3:16" ht="42" customHeight="1">
      <c r="C184" s="272">
        <v>182</v>
      </c>
      <c r="D184" s="275"/>
      <c r="E184" s="276"/>
      <c r="F184" s="221"/>
      <c r="G184" s="275"/>
      <c r="H184" s="276"/>
      <c r="I184" s="217"/>
      <c r="J184" s="217"/>
      <c r="K184" s="221"/>
      <c r="L184" s="217"/>
      <c r="M184" s="217"/>
      <c r="N184" s="217"/>
      <c r="O184" s="217"/>
      <c r="P184" s="217"/>
    </row>
    <row r="185" spans="3:16" ht="42" customHeight="1">
      <c r="C185" s="272">
        <v>183</v>
      </c>
      <c r="D185" s="275"/>
      <c r="E185" s="276"/>
      <c r="F185" s="221"/>
      <c r="G185" s="275"/>
      <c r="H185" s="276"/>
      <c r="I185" s="217"/>
      <c r="J185" s="217"/>
      <c r="K185" s="221"/>
      <c r="L185" s="217"/>
      <c r="M185" s="217"/>
      <c r="N185" s="217"/>
      <c r="O185" s="217"/>
      <c r="P185" s="217"/>
    </row>
    <row r="186" spans="3:16" ht="42" customHeight="1">
      <c r="C186" s="272">
        <v>184</v>
      </c>
      <c r="D186" s="275"/>
      <c r="E186" s="276"/>
      <c r="F186" s="221"/>
      <c r="G186" s="275"/>
      <c r="H186" s="276"/>
      <c r="I186" s="217"/>
      <c r="J186" s="217"/>
      <c r="K186" s="221"/>
      <c r="L186" s="217"/>
      <c r="M186" s="217"/>
      <c r="N186" s="217"/>
      <c r="O186" s="217"/>
      <c r="P186" s="217"/>
    </row>
    <row r="187" spans="3:16" ht="42" customHeight="1">
      <c r="C187" s="272">
        <v>185</v>
      </c>
      <c r="D187" s="275"/>
      <c r="E187" s="276"/>
      <c r="F187" s="221"/>
      <c r="G187" s="275"/>
      <c r="H187" s="276"/>
      <c r="I187" s="217"/>
      <c r="J187" s="217"/>
      <c r="K187" s="221"/>
      <c r="L187" s="217"/>
      <c r="M187" s="217"/>
      <c r="N187" s="217"/>
      <c r="O187" s="217"/>
      <c r="P187" s="217"/>
    </row>
    <row r="188" spans="3:16" ht="42" customHeight="1">
      <c r="C188" s="272">
        <v>186</v>
      </c>
      <c r="D188" s="275"/>
      <c r="E188" s="276"/>
      <c r="F188" s="221"/>
      <c r="G188" s="275"/>
      <c r="H188" s="276"/>
      <c r="I188" s="217"/>
      <c r="J188" s="217"/>
      <c r="K188" s="221"/>
      <c r="L188" s="217"/>
      <c r="M188" s="217"/>
      <c r="N188" s="217"/>
      <c r="O188" s="217"/>
      <c r="P188" s="217"/>
    </row>
    <row r="189" spans="3:16" ht="42" customHeight="1">
      <c r="C189" s="272">
        <v>187</v>
      </c>
      <c r="D189" s="275"/>
      <c r="E189" s="276"/>
      <c r="F189" s="221"/>
      <c r="G189" s="275"/>
      <c r="H189" s="276"/>
      <c r="I189" s="217"/>
      <c r="J189" s="217"/>
      <c r="K189" s="221"/>
      <c r="L189" s="217"/>
      <c r="M189" s="217"/>
      <c r="N189" s="217"/>
      <c r="O189" s="217"/>
      <c r="P189" s="217"/>
    </row>
    <row r="190" spans="3:16" ht="42" customHeight="1">
      <c r="C190" s="272">
        <v>188</v>
      </c>
      <c r="D190" s="275"/>
      <c r="E190" s="276"/>
      <c r="F190" s="221"/>
      <c r="G190" s="275"/>
      <c r="H190" s="276"/>
      <c r="I190" s="217"/>
      <c r="J190" s="217"/>
      <c r="K190" s="221"/>
      <c r="L190" s="217"/>
      <c r="M190" s="217"/>
      <c r="N190" s="217"/>
      <c r="O190" s="217"/>
      <c r="P190" s="217"/>
    </row>
    <row r="191" spans="3:16" ht="42" customHeight="1">
      <c r="C191" s="272">
        <v>189</v>
      </c>
      <c r="D191" s="275"/>
      <c r="E191" s="276"/>
      <c r="F191" s="221"/>
      <c r="G191" s="275"/>
      <c r="H191" s="276"/>
      <c r="I191" s="217"/>
      <c r="J191" s="217"/>
      <c r="K191" s="221"/>
      <c r="L191" s="217"/>
      <c r="M191" s="217"/>
      <c r="N191" s="217"/>
      <c r="O191" s="217"/>
      <c r="P191" s="217"/>
    </row>
    <row r="192" spans="3:16" ht="42" customHeight="1">
      <c r="C192" s="272">
        <v>190</v>
      </c>
      <c r="D192" s="275"/>
      <c r="E192" s="276"/>
      <c r="F192" s="221"/>
      <c r="G192" s="275"/>
      <c r="H192" s="276"/>
      <c r="I192" s="217"/>
      <c r="J192" s="217"/>
      <c r="K192" s="221"/>
      <c r="L192" s="217"/>
      <c r="M192" s="217"/>
      <c r="N192" s="217"/>
      <c r="O192" s="217"/>
      <c r="P192" s="217"/>
    </row>
    <row r="193" spans="3:16" ht="42" customHeight="1">
      <c r="C193" s="272">
        <v>191</v>
      </c>
      <c r="D193" s="275"/>
      <c r="E193" s="276"/>
      <c r="F193" s="221"/>
      <c r="G193" s="275"/>
      <c r="H193" s="276"/>
      <c r="I193" s="217"/>
      <c r="J193" s="217"/>
      <c r="K193" s="221"/>
      <c r="L193" s="217"/>
      <c r="M193" s="217"/>
      <c r="N193" s="217"/>
      <c r="O193" s="217"/>
      <c r="P193" s="217"/>
    </row>
    <row r="194" spans="3:16" ht="42" customHeight="1">
      <c r="C194" s="272">
        <v>192</v>
      </c>
      <c r="D194" s="275"/>
      <c r="E194" s="276"/>
      <c r="F194" s="221"/>
      <c r="G194" s="275"/>
      <c r="H194" s="276"/>
      <c r="I194" s="217"/>
      <c r="J194" s="217"/>
      <c r="K194" s="221"/>
      <c r="L194" s="217"/>
      <c r="M194" s="217"/>
      <c r="N194" s="217"/>
      <c r="O194" s="217"/>
      <c r="P194" s="217"/>
    </row>
    <row r="195" spans="3:16" ht="42" customHeight="1">
      <c r="C195" s="272">
        <v>193</v>
      </c>
      <c r="D195" s="275"/>
      <c r="E195" s="276"/>
      <c r="F195" s="221"/>
      <c r="G195" s="275"/>
      <c r="H195" s="276"/>
      <c r="I195" s="217"/>
      <c r="J195" s="217"/>
      <c r="K195" s="221"/>
      <c r="L195" s="217"/>
      <c r="M195" s="217"/>
      <c r="N195" s="217"/>
      <c r="O195" s="217"/>
      <c r="P195" s="217"/>
    </row>
    <row r="196" spans="3:16" ht="42" customHeight="1">
      <c r="C196" s="272">
        <v>194</v>
      </c>
      <c r="D196" s="275"/>
      <c r="E196" s="276"/>
      <c r="F196" s="221"/>
      <c r="G196" s="275"/>
      <c r="H196" s="276"/>
      <c r="I196" s="217"/>
      <c r="J196" s="217"/>
      <c r="K196" s="221"/>
      <c r="L196" s="217"/>
      <c r="M196" s="217"/>
      <c r="N196" s="217"/>
      <c r="O196" s="217"/>
      <c r="P196" s="217"/>
    </row>
    <row r="197" spans="3:16" ht="42" customHeight="1">
      <c r="C197" s="272">
        <v>195</v>
      </c>
      <c r="D197" s="275"/>
      <c r="E197" s="276"/>
      <c r="F197" s="221"/>
      <c r="G197" s="275"/>
      <c r="H197" s="276"/>
      <c r="I197" s="217"/>
      <c r="J197" s="217"/>
      <c r="K197" s="221"/>
      <c r="L197" s="217"/>
      <c r="M197" s="217"/>
      <c r="N197" s="217"/>
      <c r="O197" s="217"/>
      <c r="P197" s="217"/>
    </row>
    <row r="198" spans="3:16" ht="42" customHeight="1">
      <c r="C198" s="272">
        <v>196</v>
      </c>
      <c r="D198" s="275"/>
      <c r="E198" s="276"/>
      <c r="F198" s="221"/>
      <c r="G198" s="275"/>
      <c r="H198" s="276"/>
      <c r="I198" s="217"/>
      <c r="J198" s="217"/>
      <c r="K198" s="221"/>
      <c r="L198" s="217"/>
      <c r="M198" s="217"/>
      <c r="N198" s="217"/>
      <c r="O198" s="217"/>
      <c r="P198" s="217"/>
    </row>
    <row r="199" spans="3:16" ht="42" customHeight="1">
      <c r="C199" s="272">
        <v>197</v>
      </c>
      <c r="D199" s="275"/>
      <c r="E199" s="276"/>
      <c r="F199" s="221"/>
      <c r="G199" s="275"/>
      <c r="H199" s="276"/>
      <c r="I199" s="217"/>
      <c r="J199" s="217"/>
      <c r="K199" s="221"/>
      <c r="L199" s="217"/>
      <c r="M199" s="217"/>
      <c r="N199" s="217"/>
      <c r="O199" s="217"/>
      <c r="P199" s="217"/>
    </row>
    <row r="200" spans="3:16" ht="42" customHeight="1">
      <c r="C200" s="272">
        <v>198</v>
      </c>
      <c r="D200" s="275"/>
      <c r="E200" s="276"/>
      <c r="F200" s="221"/>
      <c r="G200" s="275"/>
      <c r="H200" s="276"/>
      <c r="I200" s="217"/>
      <c r="J200" s="217"/>
      <c r="K200" s="221"/>
      <c r="L200" s="217"/>
      <c r="M200" s="217"/>
      <c r="N200" s="217"/>
      <c r="O200" s="217"/>
      <c r="P200" s="217"/>
    </row>
    <row r="201" spans="3:16" ht="42" customHeight="1">
      <c r="C201" s="272">
        <v>199</v>
      </c>
      <c r="D201" s="275"/>
      <c r="E201" s="276"/>
      <c r="F201" s="221"/>
      <c r="G201" s="275"/>
      <c r="H201" s="276"/>
      <c r="I201" s="217"/>
      <c r="J201" s="217"/>
      <c r="K201" s="221"/>
      <c r="L201" s="217"/>
      <c r="M201" s="217"/>
      <c r="N201" s="217"/>
      <c r="O201" s="217"/>
      <c r="P201" s="217"/>
    </row>
    <row r="202" spans="3:16" ht="42" customHeight="1">
      <c r="C202" s="272">
        <v>200</v>
      </c>
      <c r="D202" s="275"/>
      <c r="E202" s="276"/>
      <c r="F202" s="221"/>
      <c r="G202" s="275"/>
      <c r="H202" s="276"/>
      <c r="I202" s="217"/>
      <c r="J202" s="217"/>
      <c r="K202" s="221"/>
      <c r="L202" s="217"/>
      <c r="M202" s="217"/>
      <c r="N202" s="217"/>
      <c r="O202" s="217"/>
      <c r="P202" s="217"/>
    </row>
    <row r="203" spans="3:16" ht="42" customHeight="1">
      <c r="C203" s="272">
        <v>201</v>
      </c>
      <c r="D203" s="275"/>
      <c r="E203" s="276"/>
      <c r="F203" s="221"/>
      <c r="G203" s="275"/>
      <c r="H203" s="276"/>
      <c r="I203" s="217"/>
      <c r="J203" s="217"/>
      <c r="K203" s="221"/>
      <c r="L203" s="217"/>
      <c r="M203" s="217"/>
      <c r="N203" s="217"/>
      <c r="O203" s="217"/>
      <c r="P203" s="217"/>
    </row>
    <row r="204" spans="3:16" ht="42" customHeight="1">
      <c r="C204" s="272">
        <v>202</v>
      </c>
      <c r="D204" s="275"/>
      <c r="E204" s="276"/>
      <c r="F204" s="221"/>
      <c r="G204" s="275"/>
      <c r="H204" s="276"/>
      <c r="I204" s="217"/>
      <c r="J204" s="217"/>
      <c r="K204" s="221"/>
      <c r="L204" s="217"/>
      <c r="M204" s="217"/>
      <c r="N204" s="217"/>
      <c r="O204" s="217"/>
      <c r="P204" s="217"/>
    </row>
    <row r="205" spans="3:16" ht="42" customHeight="1">
      <c r="C205" s="272">
        <v>203</v>
      </c>
      <c r="D205" s="275"/>
      <c r="E205" s="276"/>
      <c r="F205" s="221"/>
      <c r="G205" s="275"/>
      <c r="H205" s="276"/>
      <c r="I205" s="217"/>
      <c r="J205" s="217"/>
      <c r="K205" s="221"/>
      <c r="L205" s="217"/>
      <c r="M205" s="217"/>
      <c r="N205" s="217"/>
      <c r="O205" s="217"/>
      <c r="P205" s="217"/>
    </row>
    <row r="206" spans="3:16" ht="42" customHeight="1">
      <c r="C206" s="272">
        <v>204</v>
      </c>
      <c r="D206" s="275"/>
      <c r="E206" s="276"/>
      <c r="F206" s="221"/>
      <c r="G206" s="275"/>
      <c r="H206" s="276"/>
      <c r="I206" s="217"/>
      <c r="J206" s="217"/>
      <c r="K206" s="221"/>
      <c r="L206" s="217"/>
      <c r="M206" s="217"/>
      <c r="N206" s="217"/>
      <c r="O206" s="217"/>
      <c r="P206" s="217"/>
    </row>
    <row r="207" spans="3:16" ht="42" customHeight="1">
      <c r="C207" s="272">
        <v>205</v>
      </c>
      <c r="D207" s="275"/>
      <c r="E207" s="276"/>
      <c r="F207" s="221"/>
      <c r="G207" s="275"/>
      <c r="H207" s="276"/>
      <c r="I207" s="217"/>
      <c r="J207" s="217"/>
      <c r="K207" s="221"/>
      <c r="L207" s="217"/>
      <c r="M207" s="217"/>
      <c r="N207" s="217"/>
      <c r="O207" s="217"/>
      <c r="P207" s="217"/>
    </row>
    <row r="208" spans="3:16" ht="42" customHeight="1">
      <c r="C208" s="272">
        <v>206</v>
      </c>
      <c r="D208" s="275"/>
      <c r="E208" s="276"/>
      <c r="F208" s="221"/>
      <c r="G208" s="275"/>
      <c r="H208" s="276"/>
      <c r="I208" s="217"/>
      <c r="J208" s="217"/>
      <c r="K208" s="221"/>
      <c r="L208" s="217"/>
      <c r="M208" s="217"/>
      <c r="N208" s="217"/>
      <c r="O208" s="217"/>
      <c r="P208" s="217"/>
    </row>
    <row r="209" spans="3:16" ht="42" customHeight="1">
      <c r="C209" s="272">
        <v>207</v>
      </c>
      <c r="D209" s="275"/>
      <c r="E209" s="276"/>
      <c r="F209" s="221"/>
      <c r="G209" s="275"/>
      <c r="H209" s="276"/>
      <c r="I209" s="217"/>
      <c r="J209" s="217"/>
      <c r="K209" s="221"/>
      <c r="L209" s="217"/>
      <c r="M209" s="217"/>
      <c r="N209" s="217"/>
      <c r="O209" s="217"/>
      <c r="P209" s="217"/>
    </row>
    <row r="210" spans="3:16" ht="42" customHeight="1">
      <c r="C210" s="272">
        <v>208</v>
      </c>
      <c r="D210" s="275"/>
      <c r="E210" s="276"/>
      <c r="F210" s="221"/>
      <c r="G210" s="275"/>
      <c r="H210" s="276"/>
      <c r="I210" s="217"/>
      <c r="J210" s="217"/>
      <c r="K210" s="221"/>
      <c r="L210" s="217"/>
      <c r="M210" s="217"/>
      <c r="N210" s="217"/>
      <c r="O210" s="217"/>
      <c r="P210" s="217"/>
    </row>
    <row r="211" spans="3:16" ht="42" customHeight="1">
      <c r="C211" s="272">
        <v>209</v>
      </c>
      <c r="D211" s="275"/>
      <c r="E211" s="276"/>
      <c r="F211" s="221"/>
      <c r="G211" s="275"/>
      <c r="H211" s="276"/>
      <c r="I211" s="217"/>
      <c r="J211" s="217"/>
      <c r="K211" s="221"/>
      <c r="L211" s="217"/>
      <c r="M211" s="217"/>
      <c r="N211" s="217"/>
      <c r="O211" s="217"/>
      <c r="P211" s="217"/>
    </row>
    <row r="212" spans="3:16" ht="42" customHeight="1">
      <c r="C212" s="272">
        <v>210</v>
      </c>
      <c r="D212" s="275"/>
      <c r="E212" s="276"/>
      <c r="F212" s="221"/>
      <c r="G212" s="275"/>
      <c r="H212" s="276"/>
      <c r="I212" s="217"/>
      <c r="J212" s="217"/>
      <c r="K212" s="221"/>
      <c r="L212" s="217"/>
      <c r="M212" s="217"/>
      <c r="N212" s="217"/>
      <c r="O212" s="217"/>
      <c r="P212" s="217"/>
    </row>
    <row r="213" spans="3:16" ht="42" customHeight="1">
      <c r="C213" s="272">
        <v>211</v>
      </c>
      <c r="D213" s="275"/>
      <c r="E213" s="276"/>
      <c r="F213" s="221"/>
      <c r="G213" s="275"/>
      <c r="H213" s="276"/>
      <c r="I213" s="217"/>
      <c r="J213" s="217"/>
      <c r="K213" s="221"/>
      <c r="L213" s="217"/>
      <c r="M213" s="217"/>
      <c r="N213" s="217"/>
      <c r="O213" s="217"/>
      <c r="P213" s="217"/>
    </row>
    <row r="214" spans="3:16" ht="42" customHeight="1">
      <c r="C214" s="272">
        <v>212</v>
      </c>
      <c r="D214" s="275"/>
      <c r="E214" s="276"/>
      <c r="F214" s="221"/>
      <c r="G214" s="275"/>
      <c r="H214" s="276"/>
      <c r="I214" s="217"/>
      <c r="J214" s="217"/>
      <c r="K214" s="221"/>
      <c r="L214" s="217"/>
      <c r="M214" s="217"/>
      <c r="N214" s="217"/>
      <c r="O214" s="217"/>
      <c r="P214" s="217"/>
    </row>
    <row r="215" spans="3:16" ht="42" customHeight="1">
      <c r="C215" s="272">
        <v>213</v>
      </c>
      <c r="D215" s="275"/>
      <c r="E215" s="276"/>
      <c r="F215" s="221"/>
      <c r="G215" s="275"/>
      <c r="H215" s="276"/>
      <c r="I215" s="217"/>
      <c r="J215" s="217"/>
      <c r="K215" s="221"/>
      <c r="L215" s="217"/>
      <c r="M215" s="217"/>
      <c r="N215" s="217"/>
      <c r="O215" s="217"/>
      <c r="P215" s="217"/>
    </row>
    <row r="216" spans="3:16" ht="42" customHeight="1">
      <c r="C216" s="272">
        <v>214</v>
      </c>
      <c r="D216" s="275"/>
      <c r="E216" s="276"/>
      <c r="F216" s="221"/>
      <c r="G216" s="275"/>
      <c r="H216" s="276"/>
      <c r="I216" s="217"/>
      <c r="J216" s="217"/>
      <c r="K216" s="221"/>
      <c r="L216" s="217"/>
      <c r="M216" s="217"/>
      <c r="N216" s="217"/>
      <c r="O216" s="217"/>
      <c r="P216" s="217"/>
    </row>
    <row r="217" spans="3:16" ht="42" customHeight="1">
      <c r="C217" s="272">
        <v>215</v>
      </c>
      <c r="D217" s="275"/>
      <c r="E217" s="276"/>
      <c r="F217" s="221"/>
      <c r="G217" s="275"/>
      <c r="H217" s="276"/>
      <c r="I217" s="217"/>
      <c r="J217" s="217"/>
      <c r="K217" s="221"/>
      <c r="L217" s="217"/>
      <c r="M217" s="217"/>
      <c r="N217" s="217"/>
      <c r="O217" s="217"/>
      <c r="P217" s="217"/>
    </row>
    <row r="218" spans="3:16" ht="42" customHeight="1">
      <c r="C218" s="272">
        <v>216</v>
      </c>
      <c r="D218" s="275"/>
      <c r="E218" s="276"/>
      <c r="F218" s="221"/>
      <c r="G218" s="275"/>
      <c r="H218" s="276"/>
      <c r="I218" s="217"/>
      <c r="J218" s="217"/>
      <c r="K218" s="221"/>
      <c r="L218" s="217"/>
      <c r="M218" s="217"/>
      <c r="N218" s="217"/>
      <c r="O218" s="217"/>
      <c r="P218" s="217"/>
    </row>
    <row r="219" spans="3:16" ht="42" customHeight="1">
      <c r="C219" s="272">
        <v>217</v>
      </c>
      <c r="D219" s="275"/>
      <c r="E219" s="276"/>
      <c r="F219" s="221"/>
      <c r="G219" s="275"/>
      <c r="H219" s="276"/>
      <c r="I219" s="217"/>
      <c r="J219" s="217"/>
      <c r="K219" s="221"/>
      <c r="L219" s="217"/>
      <c r="M219" s="217"/>
      <c r="N219" s="217"/>
      <c r="O219" s="217"/>
      <c r="P219" s="217"/>
    </row>
    <row r="220" spans="3:16" ht="42" customHeight="1">
      <c r="C220" s="272">
        <v>218</v>
      </c>
      <c r="D220" s="275"/>
      <c r="E220" s="276"/>
      <c r="F220" s="221"/>
      <c r="G220" s="275"/>
      <c r="H220" s="276"/>
      <c r="I220" s="217"/>
      <c r="J220" s="217"/>
      <c r="K220" s="221"/>
      <c r="L220" s="217"/>
      <c r="M220" s="217"/>
      <c r="N220" s="217"/>
      <c r="O220" s="217"/>
      <c r="P220" s="217"/>
    </row>
    <row r="221" spans="3:16" ht="42" customHeight="1">
      <c r="C221" s="272">
        <v>219</v>
      </c>
      <c r="D221" s="275"/>
      <c r="E221" s="276"/>
      <c r="F221" s="221"/>
      <c r="G221" s="275"/>
      <c r="H221" s="276"/>
      <c r="I221" s="217"/>
      <c r="J221" s="217"/>
      <c r="K221" s="221"/>
      <c r="L221" s="217"/>
      <c r="M221" s="217"/>
      <c r="N221" s="217"/>
      <c r="O221" s="217"/>
      <c r="P221" s="217"/>
    </row>
    <row r="222" spans="3:16" ht="42" customHeight="1">
      <c r="C222" s="272">
        <v>220</v>
      </c>
      <c r="D222" s="275"/>
      <c r="E222" s="276"/>
      <c r="F222" s="221"/>
      <c r="G222" s="275"/>
      <c r="H222" s="276"/>
      <c r="I222" s="217"/>
      <c r="J222" s="217"/>
      <c r="K222" s="221"/>
      <c r="L222" s="217"/>
      <c r="M222" s="217"/>
      <c r="N222" s="217"/>
      <c r="O222" s="217"/>
      <c r="P222" s="217"/>
    </row>
    <row r="223" spans="3:16" ht="42" customHeight="1">
      <c r="C223" s="272">
        <v>221</v>
      </c>
      <c r="D223" s="275"/>
      <c r="E223" s="276"/>
      <c r="F223" s="221"/>
      <c r="G223" s="275"/>
      <c r="H223" s="276"/>
      <c r="I223" s="217"/>
      <c r="J223" s="217"/>
      <c r="K223" s="221"/>
      <c r="L223" s="217"/>
      <c r="M223" s="217"/>
      <c r="N223" s="217"/>
      <c r="O223" s="217"/>
      <c r="P223" s="217"/>
    </row>
    <row r="224" spans="3:16" ht="42" customHeight="1">
      <c r="C224" s="272">
        <v>222</v>
      </c>
      <c r="D224" s="275"/>
      <c r="E224" s="276"/>
      <c r="F224" s="221"/>
      <c r="G224" s="275"/>
      <c r="H224" s="276"/>
      <c r="I224" s="217"/>
      <c r="J224" s="217"/>
      <c r="K224" s="221"/>
      <c r="L224" s="217"/>
      <c r="M224" s="217"/>
      <c r="N224" s="217"/>
      <c r="O224" s="217"/>
      <c r="P224" s="217"/>
    </row>
    <row r="225" spans="3:16" ht="42" customHeight="1">
      <c r="C225" s="272">
        <v>223</v>
      </c>
      <c r="D225" s="275"/>
      <c r="E225" s="276"/>
      <c r="F225" s="221"/>
      <c r="G225" s="275"/>
      <c r="H225" s="276"/>
      <c r="I225" s="217"/>
      <c r="J225" s="217"/>
      <c r="K225" s="221"/>
      <c r="L225" s="217"/>
      <c r="M225" s="217"/>
      <c r="N225" s="217"/>
      <c r="O225" s="217"/>
      <c r="P225" s="217"/>
    </row>
    <row r="226" spans="3:16" ht="42" customHeight="1">
      <c r="C226" s="272">
        <v>224</v>
      </c>
      <c r="D226" s="275"/>
      <c r="E226" s="276"/>
      <c r="F226" s="221"/>
      <c r="G226" s="275"/>
      <c r="H226" s="276"/>
      <c r="I226" s="217"/>
      <c r="J226" s="217"/>
      <c r="K226" s="221"/>
      <c r="L226" s="217"/>
      <c r="M226" s="217"/>
      <c r="N226" s="217"/>
      <c r="O226" s="217"/>
      <c r="P226" s="217"/>
    </row>
    <row r="227" spans="3:16" ht="42" customHeight="1">
      <c r="C227" s="272">
        <v>225</v>
      </c>
      <c r="D227" s="275"/>
      <c r="E227" s="276"/>
      <c r="F227" s="221"/>
      <c r="G227" s="275"/>
      <c r="H227" s="276"/>
      <c r="I227" s="217"/>
      <c r="J227" s="217"/>
      <c r="K227" s="221"/>
      <c r="L227" s="217"/>
      <c r="M227" s="217"/>
      <c r="N227" s="217"/>
      <c r="O227" s="217"/>
      <c r="P227" s="217"/>
    </row>
    <row r="228" spans="3:16" ht="42" customHeight="1">
      <c r="C228" s="272">
        <v>226</v>
      </c>
      <c r="D228" s="275"/>
      <c r="E228" s="276"/>
      <c r="F228" s="221"/>
      <c r="G228" s="275"/>
      <c r="H228" s="276"/>
      <c r="I228" s="217"/>
      <c r="J228" s="217"/>
      <c r="K228" s="221"/>
      <c r="L228" s="217"/>
      <c r="M228" s="217"/>
      <c r="N228" s="217"/>
      <c r="O228" s="217"/>
      <c r="P228" s="217"/>
    </row>
    <row r="229" spans="3:16" ht="42" customHeight="1">
      <c r="C229" s="272">
        <v>227</v>
      </c>
      <c r="D229" s="275"/>
      <c r="E229" s="276"/>
      <c r="F229" s="221"/>
      <c r="G229" s="275"/>
      <c r="H229" s="276"/>
      <c r="I229" s="217"/>
      <c r="J229" s="217"/>
      <c r="K229" s="221"/>
      <c r="L229" s="217"/>
      <c r="M229" s="217"/>
      <c r="N229" s="217"/>
      <c r="O229" s="217"/>
      <c r="P229" s="217"/>
    </row>
    <row r="230" spans="3:16" ht="42" customHeight="1">
      <c r="C230" s="272">
        <v>228</v>
      </c>
      <c r="D230" s="275"/>
      <c r="E230" s="276"/>
      <c r="F230" s="221"/>
      <c r="G230" s="275"/>
      <c r="H230" s="276"/>
      <c r="I230" s="217"/>
      <c r="J230" s="217"/>
      <c r="K230" s="221"/>
      <c r="L230" s="217"/>
      <c r="M230" s="217"/>
      <c r="N230" s="217"/>
      <c r="O230" s="217"/>
      <c r="P230" s="217"/>
    </row>
    <row r="231" spans="3:16" ht="42" customHeight="1">
      <c r="C231" s="272">
        <v>229</v>
      </c>
      <c r="D231" s="275"/>
      <c r="E231" s="276"/>
      <c r="F231" s="221"/>
      <c r="G231" s="275"/>
      <c r="H231" s="276"/>
      <c r="I231" s="217"/>
      <c r="J231" s="217"/>
      <c r="K231" s="221"/>
      <c r="L231" s="217"/>
      <c r="M231" s="217"/>
      <c r="N231" s="217"/>
      <c r="O231" s="217"/>
      <c r="P231" s="217"/>
    </row>
    <row r="232" spans="3:16" ht="42" customHeight="1">
      <c r="C232" s="272">
        <v>230</v>
      </c>
      <c r="D232" s="275"/>
      <c r="E232" s="276"/>
      <c r="F232" s="221"/>
      <c r="G232" s="275"/>
      <c r="H232" s="276"/>
      <c r="I232" s="217"/>
      <c r="J232" s="217"/>
      <c r="K232" s="221"/>
      <c r="L232" s="217"/>
      <c r="M232" s="217"/>
      <c r="N232" s="217"/>
      <c r="O232" s="217"/>
      <c r="P232" s="217"/>
    </row>
    <row r="233" spans="3:16" ht="42" customHeight="1">
      <c r="C233" s="272">
        <v>231</v>
      </c>
      <c r="D233" s="275"/>
      <c r="E233" s="276"/>
      <c r="F233" s="221"/>
      <c r="G233" s="275"/>
      <c r="H233" s="276"/>
      <c r="I233" s="217"/>
      <c r="J233" s="217"/>
      <c r="K233" s="221"/>
      <c r="L233" s="217"/>
      <c r="M233" s="217"/>
      <c r="N233" s="217"/>
      <c r="O233" s="217"/>
      <c r="P233" s="217"/>
    </row>
    <row r="234" spans="3:16" ht="42" customHeight="1">
      <c r="C234" s="272">
        <v>232</v>
      </c>
      <c r="D234" s="275"/>
      <c r="E234" s="276"/>
      <c r="F234" s="221"/>
      <c r="G234" s="275"/>
      <c r="H234" s="276"/>
      <c r="I234" s="217"/>
      <c r="J234" s="217"/>
      <c r="K234" s="221"/>
      <c r="L234" s="217"/>
      <c r="M234" s="217"/>
      <c r="N234" s="217"/>
      <c r="O234" s="217"/>
      <c r="P234" s="217"/>
    </row>
    <row r="235" spans="3:16" ht="42" customHeight="1">
      <c r="C235" s="272">
        <v>233</v>
      </c>
      <c r="D235" s="275"/>
      <c r="E235" s="276"/>
      <c r="F235" s="221"/>
      <c r="G235" s="275"/>
      <c r="H235" s="276"/>
      <c r="I235" s="217"/>
      <c r="J235" s="217"/>
      <c r="K235" s="221"/>
      <c r="L235" s="217"/>
      <c r="M235" s="217"/>
      <c r="N235" s="217"/>
      <c r="O235" s="217"/>
      <c r="P235" s="217"/>
    </row>
    <row r="236" spans="3:16" ht="42" customHeight="1">
      <c r="C236" s="272">
        <v>234</v>
      </c>
      <c r="D236" s="275"/>
      <c r="E236" s="276"/>
      <c r="F236" s="221"/>
      <c r="G236" s="275"/>
      <c r="H236" s="276"/>
      <c r="I236" s="217"/>
      <c r="J236" s="217"/>
      <c r="K236" s="221"/>
      <c r="L236" s="217"/>
      <c r="M236" s="217"/>
      <c r="N236" s="217"/>
      <c r="O236" s="217"/>
      <c r="P236" s="217"/>
    </row>
    <row r="237" spans="3:16" ht="42" customHeight="1">
      <c r="C237" s="272">
        <v>235</v>
      </c>
      <c r="D237" s="275"/>
      <c r="E237" s="276"/>
      <c r="F237" s="221"/>
      <c r="G237" s="275"/>
      <c r="H237" s="276"/>
      <c r="I237" s="217"/>
      <c r="J237" s="217"/>
      <c r="K237" s="221"/>
      <c r="L237" s="217"/>
      <c r="M237" s="217"/>
      <c r="N237" s="217"/>
      <c r="O237" s="217"/>
      <c r="P237" s="217"/>
    </row>
    <row r="238" spans="3:16" ht="42" customHeight="1">
      <c r="C238" s="272">
        <v>236</v>
      </c>
      <c r="D238" s="275"/>
      <c r="E238" s="276"/>
      <c r="F238" s="221"/>
      <c r="G238" s="275"/>
      <c r="H238" s="276"/>
      <c r="I238" s="217"/>
      <c r="J238" s="217"/>
      <c r="K238" s="221"/>
      <c r="L238" s="217"/>
      <c r="M238" s="217"/>
      <c r="N238" s="217"/>
      <c r="O238" s="217"/>
      <c r="P238" s="217"/>
    </row>
    <row r="239" spans="3:16" ht="42" customHeight="1">
      <c r="C239" s="272">
        <v>237</v>
      </c>
      <c r="D239" s="275"/>
      <c r="E239" s="276"/>
      <c r="F239" s="221"/>
      <c r="G239" s="275"/>
      <c r="H239" s="276"/>
      <c r="I239" s="217"/>
      <c r="J239" s="217"/>
      <c r="K239" s="221"/>
      <c r="L239" s="217"/>
      <c r="M239" s="217"/>
      <c r="N239" s="217"/>
      <c r="O239" s="217"/>
      <c r="P239" s="217"/>
    </row>
    <row r="240" spans="3:16" ht="42" customHeight="1">
      <c r="C240" s="272">
        <v>238</v>
      </c>
      <c r="D240" s="275"/>
      <c r="E240" s="276"/>
      <c r="F240" s="221"/>
      <c r="G240" s="275"/>
      <c r="H240" s="276"/>
      <c r="I240" s="217"/>
      <c r="J240" s="217"/>
      <c r="K240" s="221"/>
      <c r="L240" s="217"/>
      <c r="M240" s="217"/>
      <c r="N240" s="217"/>
      <c r="O240" s="217"/>
      <c r="P240" s="217"/>
    </row>
    <row r="241" spans="3:16" ht="42" customHeight="1">
      <c r="C241" s="272">
        <v>239</v>
      </c>
      <c r="D241" s="275"/>
      <c r="E241" s="276"/>
      <c r="F241" s="221"/>
      <c r="G241" s="275"/>
      <c r="H241" s="276"/>
      <c r="I241" s="217"/>
      <c r="J241" s="217"/>
      <c r="K241" s="221"/>
      <c r="L241" s="217"/>
      <c r="M241" s="217"/>
      <c r="N241" s="217"/>
      <c r="O241" s="217"/>
      <c r="P241" s="217"/>
    </row>
    <row r="242" spans="3:16" ht="42" customHeight="1">
      <c r="C242" s="272">
        <v>240</v>
      </c>
      <c r="D242" s="275"/>
      <c r="E242" s="276"/>
      <c r="F242" s="221"/>
      <c r="G242" s="275"/>
      <c r="H242" s="276"/>
      <c r="I242" s="217"/>
      <c r="J242" s="217"/>
      <c r="K242" s="221"/>
      <c r="L242" s="217"/>
      <c r="M242" s="217"/>
      <c r="N242" s="217"/>
      <c r="O242" s="217"/>
      <c r="P242" s="217"/>
    </row>
    <row r="243" spans="3:16" ht="42" customHeight="1">
      <c r="C243" s="272">
        <v>241</v>
      </c>
      <c r="D243" s="275"/>
      <c r="E243" s="276"/>
      <c r="F243" s="221"/>
      <c r="G243" s="275"/>
      <c r="H243" s="276"/>
      <c r="I243" s="217"/>
      <c r="J243" s="217"/>
      <c r="K243" s="221"/>
      <c r="L243" s="217"/>
      <c r="M243" s="217"/>
      <c r="N243" s="217"/>
      <c r="O243" s="217"/>
      <c r="P243" s="217"/>
    </row>
    <row r="244" spans="3:16" ht="42" customHeight="1">
      <c r="C244" s="272">
        <v>242</v>
      </c>
      <c r="D244" s="275"/>
      <c r="E244" s="276"/>
      <c r="F244" s="221"/>
      <c r="G244" s="275"/>
      <c r="H244" s="276"/>
      <c r="I244" s="217"/>
      <c r="J244" s="217"/>
      <c r="K244" s="221"/>
      <c r="L244" s="217"/>
      <c r="M244" s="217"/>
      <c r="N244" s="217"/>
      <c r="O244" s="217"/>
      <c r="P244" s="217"/>
    </row>
    <row r="245" spans="3:16" ht="42" customHeight="1">
      <c r="C245" s="272">
        <v>243</v>
      </c>
      <c r="D245" s="275"/>
      <c r="E245" s="276"/>
      <c r="F245" s="221"/>
      <c r="G245" s="275"/>
      <c r="H245" s="276"/>
      <c r="I245" s="217"/>
      <c r="J245" s="217"/>
      <c r="K245" s="221"/>
      <c r="L245" s="217"/>
      <c r="M245" s="217"/>
      <c r="N245" s="217"/>
      <c r="O245" s="217"/>
      <c r="P245" s="217"/>
    </row>
    <row r="246" spans="3:16" ht="42" customHeight="1">
      <c r="C246" s="272">
        <v>244</v>
      </c>
      <c r="D246" s="275"/>
      <c r="E246" s="276"/>
      <c r="F246" s="221"/>
      <c r="G246" s="275"/>
      <c r="H246" s="276"/>
      <c r="I246" s="217"/>
      <c r="J246" s="217"/>
      <c r="K246" s="221"/>
      <c r="L246" s="217"/>
      <c r="M246" s="217"/>
      <c r="N246" s="217"/>
      <c r="O246" s="217"/>
      <c r="P246" s="217"/>
    </row>
    <row r="247" spans="3:16" ht="42" customHeight="1">
      <c r="C247" s="272">
        <v>245</v>
      </c>
      <c r="D247" s="275"/>
      <c r="E247" s="276"/>
      <c r="F247" s="221"/>
      <c r="G247" s="275"/>
      <c r="H247" s="276"/>
      <c r="I247" s="217"/>
      <c r="J247" s="217"/>
      <c r="K247" s="221"/>
      <c r="L247" s="217"/>
      <c r="M247" s="217"/>
      <c r="N247" s="217"/>
      <c r="O247" s="217"/>
      <c r="P247" s="217"/>
    </row>
    <row r="248" spans="3:16" ht="42" customHeight="1">
      <c r="C248" s="272">
        <v>246</v>
      </c>
      <c r="D248" s="275"/>
      <c r="E248" s="276"/>
      <c r="F248" s="221"/>
      <c r="G248" s="275"/>
      <c r="H248" s="276"/>
      <c r="I248" s="217"/>
      <c r="J248" s="217"/>
      <c r="K248" s="221"/>
      <c r="L248" s="217"/>
      <c r="M248" s="217"/>
      <c r="N248" s="217"/>
      <c r="O248" s="217"/>
      <c r="P248" s="217"/>
    </row>
    <row r="249" spans="3:16" ht="42" customHeight="1">
      <c r="C249" s="272">
        <v>247</v>
      </c>
      <c r="D249" s="275"/>
      <c r="E249" s="276"/>
      <c r="F249" s="221"/>
      <c r="G249" s="275"/>
      <c r="H249" s="276"/>
      <c r="I249" s="217"/>
      <c r="J249" s="217"/>
      <c r="K249" s="221"/>
      <c r="L249" s="217"/>
      <c r="M249" s="217"/>
      <c r="N249" s="217"/>
      <c r="O249" s="217"/>
      <c r="P249" s="217"/>
    </row>
    <row r="250" spans="3:16" ht="42" customHeight="1">
      <c r="C250" s="272">
        <v>248</v>
      </c>
      <c r="D250" s="275"/>
      <c r="E250" s="276"/>
      <c r="F250" s="221"/>
      <c r="G250" s="275"/>
      <c r="H250" s="276"/>
      <c r="I250" s="217"/>
      <c r="J250" s="217"/>
      <c r="K250" s="221"/>
      <c r="L250" s="217"/>
      <c r="M250" s="217"/>
      <c r="N250" s="217"/>
      <c r="O250" s="217"/>
      <c r="P250" s="217"/>
    </row>
    <row r="251" spans="3:16" ht="42" customHeight="1">
      <c r="C251" s="272">
        <v>249</v>
      </c>
      <c r="D251" s="275"/>
      <c r="E251" s="276"/>
      <c r="F251" s="221"/>
      <c r="G251" s="275"/>
      <c r="H251" s="276"/>
      <c r="I251" s="217"/>
      <c r="J251" s="217"/>
      <c r="K251" s="221"/>
      <c r="L251" s="217"/>
      <c r="M251" s="217"/>
      <c r="N251" s="217"/>
      <c r="O251" s="217"/>
      <c r="P251" s="217"/>
    </row>
    <row r="252" spans="3:16" ht="42" customHeight="1">
      <c r="C252" s="272">
        <v>250</v>
      </c>
      <c r="D252" s="275"/>
      <c r="E252" s="276"/>
      <c r="F252" s="221"/>
      <c r="G252" s="275"/>
      <c r="H252" s="276"/>
      <c r="I252" s="217"/>
      <c r="J252" s="217"/>
      <c r="K252" s="221"/>
      <c r="L252" s="217"/>
      <c r="M252" s="217"/>
      <c r="N252" s="217"/>
      <c r="O252" s="217"/>
      <c r="P252" s="217"/>
    </row>
    <row r="253" spans="3:16" ht="42" customHeight="1">
      <c r="C253" s="272">
        <v>251</v>
      </c>
      <c r="D253" s="275"/>
      <c r="E253" s="276"/>
      <c r="F253" s="221"/>
      <c r="G253" s="275"/>
      <c r="H253" s="276"/>
      <c r="I253" s="217"/>
      <c r="J253" s="217"/>
      <c r="K253" s="221"/>
      <c r="L253" s="217"/>
      <c r="M253" s="217"/>
      <c r="N253" s="217"/>
      <c r="O253" s="217"/>
      <c r="P253" s="217"/>
    </row>
    <row r="254" spans="3:16" ht="42" customHeight="1">
      <c r="C254" s="272">
        <v>252</v>
      </c>
      <c r="D254" s="275"/>
      <c r="E254" s="276"/>
      <c r="F254" s="221"/>
      <c r="G254" s="275"/>
      <c r="H254" s="276"/>
      <c r="I254" s="217"/>
      <c r="J254" s="217"/>
      <c r="K254" s="221"/>
      <c r="L254" s="217"/>
      <c r="M254" s="217"/>
      <c r="N254" s="217"/>
      <c r="O254" s="217"/>
      <c r="P254" s="217"/>
    </row>
    <row r="255" spans="3:16" ht="42" customHeight="1">
      <c r="C255" s="272">
        <v>253</v>
      </c>
      <c r="D255" s="275"/>
      <c r="E255" s="276"/>
      <c r="F255" s="221"/>
      <c r="G255" s="275"/>
      <c r="H255" s="276"/>
      <c r="I255" s="217"/>
      <c r="J255" s="217"/>
      <c r="K255" s="221"/>
      <c r="L255" s="217"/>
      <c r="M255" s="217"/>
      <c r="N255" s="217"/>
      <c r="O255" s="217"/>
      <c r="P255" s="217"/>
    </row>
    <row r="256" spans="3:16" ht="42" customHeight="1">
      <c r="C256" s="272">
        <v>254</v>
      </c>
      <c r="D256" s="275"/>
      <c r="E256" s="276"/>
      <c r="F256" s="221"/>
      <c r="G256" s="275"/>
      <c r="H256" s="276"/>
      <c r="I256" s="217"/>
      <c r="J256" s="217"/>
      <c r="K256" s="221"/>
      <c r="L256" s="217"/>
      <c r="M256" s="217"/>
      <c r="N256" s="217"/>
      <c r="O256" s="217"/>
      <c r="P256" s="217"/>
    </row>
    <row r="257" spans="3:16" ht="42" customHeight="1">
      <c r="C257" s="272">
        <v>255</v>
      </c>
      <c r="D257" s="275"/>
      <c r="E257" s="276"/>
      <c r="F257" s="221"/>
      <c r="G257" s="275"/>
      <c r="H257" s="276"/>
      <c r="I257" s="217"/>
      <c r="J257" s="217"/>
      <c r="K257" s="221"/>
      <c r="L257" s="217"/>
      <c r="M257" s="217"/>
      <c r="N257" s="217"/>
      <c r="O257" s="217"/>
      <c r="P257" s="217"/>
    </row>
    <row r="258" spans="3:16" ht="42" customHeight="1">
      <c r="C258" s="272">
        <v>256</v>
      </c>
      <c r="D258" s="275"/>
      <c r="E258" s="276"/>
      <c r="F258" s="221"/>
      <c r="G258" s="275"/>
      <c r="H258" s="276"/>
      <c r="I258" s="217"/>
      <c r="J258" s="217"/>
      <c r="K258" s="221"/>
      <c r="L258" s="217"/>
      <c r="M258" s="217"/>
      <c r="N258" s="217"/>
      <c r="O258" s="217"/>
      <c r="P258" s="217"/>
    </row>
    <row r="259" spans="3:16" ht="42" customHeight="1">
      <c r="C259" s="272">
        <v>257</v>
      </c>
      <c r="D259" s="275"/>
      <c r="E259" s="276"/>
      <c r="F259" s="221"/>
      <c r="G259" s="275"/>
      <c r="H259" s="276"/>
      <c r="I259" s="217"/>
      <c r="J259" s="217"/>
      <c r="K259" s="221"/>
      <c r="L259" s="217"/>
      <c r="M259" s="217"/>
      <c r="N259" s="217"/>
      <c r="O259" s="217"/>
      <c r="P259" s="217"/>
    </row>
    <row r="260" spans="3:16" ht="42" customHeight="1">
      <c r="C260" s="272">
        <v>258</v>
      </c>
      <c r="D260" s="275"/>
      <c r="E260" s="276"/>
      <c r="F260" s="221"/>
      <c r="G260" s="275"/>
      <c r="H260" s="276"/>
      <c r="I260" s="217"/>
      <c r="J260" s="217"/>
      <c r="K260" s="221"/>
      <c r="L260" s="217"/>
      <c r="M260" s="217"/>
      <c r="N260" s="217"/>
      <c r="O260" s="217"/>
      <c r="P260" s="217"/>
    </row>
    <row r="261" spans="3:16" ht="42" customHeight="1">
      <c r="C261" s="272">
        <v>259</v>
      </c>
      <c r="D261" s="275"/>
      <c r="E261" s="276"/>
      <c r="F261" s="221"/>
      <c r="G261" s="275"/>
      <c r="H261" s="276"/>
      <c r="I261" s="217"/>
      <c r="J261" s="217"/>
      <c r="K261" s="221"/>
      <c r="L261" s="217"/>
      <c r="M261" s="217"/>
      <c r="N261" s="217"/>
      <c r="O261" s="217"/>
      <c r="P261" s="217"/>
    </row>
    <row r="262" spans="3:16" ht="42" customHeight="1">
      <c r="C262" s="272">
        <v>260</v>
      </c>
      <c r="D262" s="275"/>
      <c r="E262" s="276"/>
      <c r="F262" s="221"/>
      <c r="G262" s="275"/>
      <c r="H262" s="276"/>
      <c r="I262" s="217"/>
      <c r="J262" s="217"/>
      <c r="K262" s="221"/>
      <c r="L262" s="217"/>
      <c r="M262" s="217"/>
      <c r="N262" s="217"/>
      <c r="O262" s="217"/>
      <c r="P262" s="217"/>
    </row>
    <row r="263" spans="3:16" ht="42" customHeight="1">
      <c r="C263" s="272">
        <v>261</v>
      </c>
      <c r="D263" s="275"/>
      <c r="E263" s="276"/>
      <c r="F263" s="221"/>
      <c r="G263" s="275"/>
      <c r="H263" s="276"/>
      <c r="I263" s="217"/>
      <c r="J263" s="217"/>
      <c r="K263" s="221"/>
      <c r="L263" s="217"/>
      <c r="M263" s="217"/>
      <c r="N263" s="217"/>
      <c r="O263" s="217"/>
      <c r="P263" s="217"/>
    </row>
    <row r="264" spans="3:16" ht="42" customHeight="1">
      <c r="C264" s="272">
        <v>262</v>
      </c>
      <c r="D264" s="275"/>
      <c r="E264" s="276"/>
      <c r="F264" s="221"/>
      <c r="G264" s="275"/>
      <c r="H264" s="276"/>
      <c r="I264" s="217"/>
      <c r="J264" s="217"/>
      <c r="K264" s="221"/>
      <c r="L264" s="217"/>
      <c r="M264" s="217"/>
      <c r="N264" s="217"/>
      <c r="O264" s="217"/>
      <c r="P264" s="217"/>
    </row>
    <row r="265" spans="3:16" ht="42" customHeight="1">
      <c r="C265" s="272">
        <v>263</v>
      </c>
      <c r="D265" s="275"/>
      <c r="E265" s="276"/>
      <c r="F265" s="221"/>
      <c r="G265" s="275"/>
      <c r="H265" s="276"/>
      <c r="I265" s="217"/>
      <c r="J265" s="217"/>
      <c r="K265" s="221"/>
      <c r="L265" s="217"/>
      <c r="M265" s="217"/>
      <c r="N265" s="217"/>
      <c r="O265" s="217"/>
      <c r="P265" s="217"/>
    </row>
    <row r="266" spans="3:16" ht="42" customHeight="1">
      <c r="C266" s="272">
        <v>264</v>
      </c>
      <c r="D266" s="275"/>
      <c r="E266" s="276"/>
      <c r="F266" s="221"/>
      <c r="G266" s="275"/>
      <c r="H266" s="276"/>
      <c r="I266" s="217"/>
      <c r="J266" s="217"/>
      <c r="K266" s="221"/>
      <c r="L266" s="217"/>
      <c r="M266" s="217"/>
      <c r="N266" s="217"/>
      <c r="O266" s="217"/>
      <c r="P266" s="217"/>
    </row>
    <row r="267" spans="3:16" ht="42" customHeight="1">
      <c r="C267" s="272">
        <v>265</v>
      </c>
      <c r="D267" s="275"/>
      <c r="E267" s="276"/>
      <c r="F267" s="221"/>
      <c r="G267" s="275"/>
      <c r="H267" s="276"/>
      <c r="I267" s="217"/>
      <c r="J267" s="217"/>
      <c r="K267" s="221"/>
      <c r="L267" s="217"/>
      <c r="M267" s="217"/>
      <c r="N267" s="217"/>
      <c r="O267" s="217"/>
      <c r="P267" s="217"/>
    </row>
    <row r="268" spans="3:16" ht="42" customHeight="1">
      <c r="C268" s="272">
        <v>266</v>
      </c>
      <c r="D268" s="275"/>
      <c r="E268" s="276"/>
      <c r="F268" s="221"/>
      <c r="G268" s="275"/>
      <c r="H268" s="276"/>
      <c r="I268" s="217"/>
      <c r="J268" s="217"/>
      <c r="K268" s="221"/>
      <c r="L268" s="217"/>
      <c r="M268" s="217"/>
      <c r="N268" s="217"/>
      <c r="O268" s="217"/>
      <c r="P268" s="217"/>
    </row>
    <row r="269" spans="3:16" ht="42" customHeight="1">
      <c r="C269" s="272">
        <v>267</v>
      </c>
      <c r="D269" s="275"/>
      <c r="E269" s="276"/>
      <c r="F269" s="221"/>
      <c r="G269" s="275"/>
      <c r="H269" s="276"/>
      <c r="I269" s="217"/>
      <c r="J269" s="217"/>
      <c r="K269" s="221"/>
      <c r="L269" s="217"/>
      <c r="M269" s="217"/>
      <c r="N269" s="217"/>
      <c r="O269" s="217"/>
      <c r="P269" s="217"/>
    </row>
    <row r="270" spans="3:16" ht="42" customHeight="1">
      <c r="C270" s="272">
        <v>268</v>
      </c>
      <c r="D270" s="275"/>
      <c r="E270" s="276"/>
      <c r="F270" s="221"/>
      <c r="G270" s="275"/>
      <c r="H270" s="276"/>
      <c r="I270" s="217"/>
      <c r="J270" s="217"/>
      <c r="K270" s="221"/>
      <c r="L270" s="217"/>
      <c r="M270" s="217"/>
      <c r="N270" s="217"/>
      <c r="O270" s="217"/>
      <c r="P270" s="217"/>
    </row>
    <row r="271" spans="3:16" ht="42" customHeight="1">
      <c r="C271" s="272">
        <v>269</v>
      </c>
      <c r="D271" s="275"/>
      <c r="E271" s="276"/>
      <c r="F271" s="221"/>
      <c r="G271" s="275"/>
      <c r="H271" s="276"/>
      <c r="I271" s="217"/>
      <c r="J271" s="217"/>
      <c r="K271" s="221"/>
      <c r="L271" s="217"/>
      <c r="M271" s="217"/>
      <c r="N271" s="217"/>
      <c r="O271" s="217"/>
      <c r="P271" s="217"/>
    </row>
    <row r="272" spans="3:16" ht="42" customHeight="1">
      <c r="C272" s="272">
        <v>270</v>
      </c>
      <c r="D272" s="275"/>
      <c r="E272" s="276"/>
      <c r="F272" s="221"/>
      <c r="G272" s="275"/>
      <c r="H272" s="276"/>
      <c r="I272" s="217"/>
      <c r="J272" s="217"/>
      <c r="K272" s="221"/>
      <c r="L272" s="217"/>
      <c r="M272" s="217"/>
      <c r="N272" s="217"/>
      <c r="O272" s="217"/>
      <c r="P272" s="217"/>
    </row>
    <row r="273" spans="3:16" ht="42" customHeight="1">
      <c r="C273" s="272">
        <v>271</v>
      </c>
      <c r="D273" s="275"/>
      <c r="E273" s="276"/>
      <c r="F273" s="221"/>
      <c r="G273" s="275"/>
      <c r="H273" s="276"/>
      <c r="I273" s="217"/>
      <c r="J273" s="217"/>
      <c r="K273" s="221"/>
      <c r="L273" s="217"/>
      <c r="M273" s="217"/>
      <c r="N273" s="217"/>
      <c r="O273" s="217"/>
      <c r="P273" s="217"/>
    </row>
    <row r="274" spans="3:16" ht="42" customHeight="1">
      <c r="C274" s="272">
        <v>272</v>
      </c>
      <c r="D274" s="275"/>
      <c r="E274" s="276"/>
      <c r="F274" s="221"/>
      <c r="G274" s="275"/>
      <c r="H274" s="276"/>
      <c r="I274" s="217"/>
      <c r="J274" s="217"/>
      <c r="K274" s="221"/>
      <c r="L274" s="217"/>
      <c r="M274" s="217"/>
      <c r="N274" s="217"/>
      <c r="O274" s="217"/>
      <c r="P274" s="217"/>
    </row>
    <row r="275" spans="3:16" ht="42" customHeight="1">
      <c r="C275" s="272">
        <v>273</v>
      </c>
      <c r="D275" s="275"/>
      <c r="E275" s="276"/>
      <c r="F275" s="221"/>
      <c r="G275" s="275"/>
      <c r="H275" s="276"/>
      <c r="I275" s="217"/>
      <c r="J275" s="217"/>
      <c r="K275" s="221"/>
      <c r="L275" s="217"/>
      <c r="M275" s="217"/>
      <c r="N275" s="217"/>
      <c r="O275" s="217"/>
      <c r="P275" s="217"/>
    </row>
    <row r="276" spans="3:16" ht="42" customHeight="1">
      <c r="C276" s="272">
        <v>274</v>
      </c>
      <c r="D276" s="275"/>
      <c r="E276" s="276"/>
      <c r="F276" s="221"/>
      <c r="G276" s="275"/>
      <c r="H276" s="276"/>
      <c r="I276" s="217"/>
      <c r="J276" s="217"/>
      <c r="K276" s="221"/>
      <c r="L276" s="217"/>
      <c r="M276" s="217"/>
      <c r="N276" s="217"/>
      <c r="O276" s="217"/>
      <c r="P276" s="217"/>
    </row>
    <row r="277" spans="3:16" ht="42" customHeight="1">
      <c r="C277" s="272">
        <v>275</v>
      </c>
      <c r="D277" s="275"/>
      <c r="E277" s="276"/>
      <c r="F277" s="221"/>
      <c r="G277" s="275"/>
      <c r="H277" s="276"/>
      <c r="I277" s="217"/>
      <c r="J277" s="217"/>
      <c r="K277" s="221"/>
      <c r="L277" s="217"/>
      <c r="M277" s="217"/>
      <c r="N277" s="217"/>
      <c r="O277" s="217"/>
      <c r="P277" s="217"/>
    </row>
    <row r="278" spans="3:16" ht="42" customHeight="1">
      <c r="C278" s="272">
        <v>276</v>
      </c>
      <c r="D278" s="275"/>
      <c r="E278" s="276"/>
      <c r="F278" s="221"/>
      <c r="G278" s="275"/>
      <c r="H278" s="276"/>
      <c r="I278" s="217"/>
      <c r="J278" s="217"/>
      <c r="K278" s="221"/>
      <c r="L278" s="217"/>
      <c r="M278" s="217"/>
      <c r="N278" s="217"/>
      <c r="O278" s="217"/>
      <c r="P278" s="217"/>
    </row>
    <row r="279" spans="3:16" ht="42" customHeight="1">
      <c r="C279" s="272">
        <v>277</v>
      </c>
      <c r="D279" s="275"/>
      <c r="E279" s="276"/>
      <c r="F279" s="221"/>
      <c r="G279" s="275"/>
      <c r="H279" s="276"/>
      <c r="I279" s="217"/>
      <c r="J279" s="217"/>
      <c r="K279" s="221"/>
      <c r="L279" s="217"/>
      <c r="M279" s="217"/>
      <c r="N279" s="217"/>
      <c r="O279" s="217"/>
      <c r="P279" s="217"/>
    </row>
    <row r="280" spans="3:16" ht="42" customHeight="1">
      <c r="C280" s="272">
        <v>278</v>
      </c>
      <c r="D280" s="275"/>
      <c r="E280" s="276"/>
      <c r="F280" s="221"/>
      <c r="G280" s="275"/>
      <c r="H280" s="276"/>
      <c r="I280" s="217"/>
      <c r="J280" s="217"/>
      <c r="K280" s="221"/>
      <c r="L280" s="217"/>
      <c r="M280" s="217"/>
      <c r="N280" s="217"/>
      <c r="O280" s="217"/>
      <c r="P280" s="217"/>
    </row>
    <row r="281" spans="3:16" ht="42" customHeight="1">
      <c r="C281" s="272">
        <v>279</v>
      </c>
      <c r="D281" s="275"/>
      <c r="E281" s="276"/>
      <c r="F281" s="221"/>
      <c r="G281" s="275"/>
      <c r="H281" s="276"/>
      <c r="I281" s="217"/>
      <c r="J281" s="217"/>
      <c r="K281" s="221"/>
      <c r="L281" s="217"/>
      <c r="M281" s="217"/>
      <c r="N281" s="217"/>
      <c r="O281" s="217"/>
      <c r="P281" s="217"/>
    </row>
    <row r="282" spans="3:16" ht="42" customHeight="1">
      <c r="C282" s="272">
        <v>280</v>
      </c>
      <c r="D282" s="275"/>
      <c r="E282" s="276"/>
      <c r="F282" s="221"/>
      <c r="G282" s="275"/>
      <c r="H282" s="276"/>
      <c r="I282" s="217"/>
      <c r="J282" s="217"/>
      <c r="K282" s="221"/>
      <c r="L282" s="217"/>
      <c r="M282" s="217"/>
      <c r="N282" s="217"/>
      <c r="O282" s="217"/>
      <c r="P282" s="217"/>
    </row>
    <row r="283" spans="3:16" ht="42" customHeight="1">
      <c r="C283" s="272">
        <v>281</v>
      </c>
      <c r="D283" s="275"/>
      <c r="E283" s="276"/>
      <c r="F283" s="221"/>
      <c r="G283" s="275"/>
      <c r="H283" s="276"/>
      <c r="I283" s="217"/>
      <c r="J283" s="217"/>
      <c r="K283" s="221"/>
      <c r="L283" s="217"/>
      <c r="M283" s="217"/>
      <c r="N283" s="217"/>
      <c r="O283" s="217"/>
      <c r="P283" s="217"/>
    </row>
    <row r="284" spans="3:16" ht="42" customHeight="1">
      <c r="C284" s="272">
        <v>282</v>
      </c>
      <c r="D284" s="275"/>
      <c r="E284" s="276"/>
      <c r="F284" s="221"/>
      <c r="G284" s="275"/>
      <c r="H284" s="276"/>
      <c r="I284" s="217"/>
      <c r="J284" s="217"/>
      <c r="K284" s="221"/>
      <c r="L284" s="217"/>
      <c r="M284" s="217"/>
      <c r="N284" s="217"/>
      <c r="O284" s="217"/>
      <c r="P284" s="217"/>
    </row>
    <row r="285" spans="3:16" ht="42" customHeight="1">
      <c r="C285" s="272">
        <v>283</v>
      </c>
      <c r="D285" s="275"/>
      <c r="E285" s="276"/>
      <c r="F285" s="221"/>
      <c r="G285" s="275"/>
      <c r="H285" s="276"/>
      <c r="I285" s="217"/>
      <c r="J285" s="217"/>
      <c r="K285" s="221"/>
      <c r="L285" s="217"/>
      <c r="M285" s="217"/>
      <c r="N285" s="217"/>
      <c r="O285" s="217"/>
      <c r="P285" s="217"/>
    </row>
    <row r="286" spans="3:16" ht="42" customHeight="1">
      <c r="C286" s="272">
        <v>284</v>
      </c>
      <c r="D286" s="275"/>
      <c r="E286" s="276"/>
      <c r="F286" s="221"/>
      <c r="G286" s="275"/>
      <c r="H286" s="276"/>
      <c r="I286" s="217"/>
      <c r="J286" s="217"/>
      <c r="K286" s="221"/>
      <c r="L286" s="217"/>
      <c r="M286" s="217"/>
      <c r="N286" s="217"/>
      <c r="O286" s="217"/>
      <c r="P286" s="217"/>
    </row>
    <row r="287" spans="3:16" ht="42" customHeight="1">
      <c r="C287" s="272">
        <v>285</v>
      </c>
      <c r="D287" s="275"/>
      <c r="E287" s="276"/>
      <c r="F287" s="221"/>
      <c r="G287" s="275"/>
      <c r="H287" s="276"/>
      <c r="I287" s="217"/>
      <c r="J287" s="217"/>
      <c r="K287" s="221"/>
      <c r="L287" s="217"/>
      <c r="M287" s="217"/>
      <c r="N287" s="217"/>
      <c r="O287" s="217"/>
      <c r="P287" s="217"/>
    </row>
    <row r="288" spans="3:16" ht="42" customHeight="1">
      <c r="C288" s="272">
        <v>286</v>
      </c>
      <c r="D288" s="275"/>
      <c r="E288" s="276"/>
      <c r="F288" s="221"/>
      <c r="G288" s="275"/>
      <c r="H288" s="276"/>
      <c r="I288" s="217"/>
      <c r="J288" s="217"/>
      <c r="K288" s="221"/>
      <c r="L288" s="217"/>
      <c r="M288" s="217"/>
      <c r="N288" s="217"/>
      <c r="O288" s="217"/>
      <c r="P288" s="217"/>
    </row>
    <row r="289" spans="3:16" ht="42" customHeight="1">
      <c r="C289" s="272">
        <v>287</v>
      </c>
      <c r="D289" s="275"/>
      <c r="E289" s="276"/>
      <c r="F289" s="221"/>
      <c r="G289" s="275"/>
      <c r="H289" s="276"/>
      <c r="I289" s="217"/>
      <c r="J289" s="217"/>
      <c r="K289" s="221"/>
      <c r="L289" s="217"/>
      <c r="M289" s="217"/>
      <c r="N289" s="217"/>
      <c r="O289" s="217"/>
      <c r="P289" s="217"/>
    </row>
    <row r="290" spans="3:16" ht="42" customHeight="1">
      <c r="C290" s="272">
        <v>288</v>
      </c>
      <c r="D290" s="275"/>
      <c r="E290" s="276"/>
      <c r="F290" s="221"/>
      <c r="G290" s="275"/>
      <c r="H290" s="276"/>
      <c r="I290" s="217"/>
      <c r="J290" s="217"/>
      <c r="K290" s="221"/>
      <c r="L290" s="217"/>
      <c r="M290" s="217"/>
      <c r="N290" s="217"/>
      <c r="O290" s="217"/>
      <c r="P290" s="217"/>
    </row>
    <row r="291" spans="3:16" ht="42" customHeight="1">
      <c r="C291" s="272">
        <v>289</v>
      </c>
      <c r="D291" s="275"/>
      <c r="E291" s="276"/>
      <c r="F291" s="221"/>
      <c r="G291" s="275"/>
      <c r="H291" s="276"/>
      <c r="I291" s="217"/>
      <c r="J291" s="217"/>
      <c r="K291" s="221"/>
      <c r="L291" s="217"/>
      <c r="M291" s="217"/>
      <c r="N291" s="217"/>
      <c r="O291" s="217"/>
      <c r="P291" s="217"/>
    </row>
    <row r="292" spans="3:16" ht="42" customHeight="1">
      <c r="C292" s="272">
        <v>290</v>
      </c>
      <c r="D292" s="275"/>
      <c r="E292" s="276"/>
      <c r="F292" s="221"/>
      <c r="G292" s="275"/>
      <c r="H292" s="276"/>
      <c r="I292" s="217"/>
      <c r="J292" s="217"/>
      <c r="K292" s="221"/>
      <c r="L292" s="217"/>
      <c r="M292" s="217"/>
      <c r="N292" s="217"/>
      <c r="O292" s="217"/>
      <c r="P292" s="217"/>
    </row>
    <row r="293" spans="3:16" ht="42" customHeight="1">
      <c r="C293" s="272">
        <v>291</v>
      </c>
      <c r="D293" s="275"/>
      <c r="E293" s="276"/>
      <c r="F293" s="221"/>
      <c r="G293" s="275"/>
      <c r="H293" s="276"/>
      <c r="I293" s="217"/>
      <c r="J293" s="217"/>
      <c r="K293" s="221"/>
      <c r="L293" s="217"/>
      <c r="M293" s="217"/>
      <c r="N293" s="217"/>
      <c r="O293" s="217"/>
      <c r="P293" s="217"/>
    </row>
    <row r="294" spans="3:16" ht="42" customHeight="1">
      <c r="C294" s="272">
        <v>292</v>
      </c>
      <c r="D294" s="275"/>
      <c r="E294" s="276"/>
      <c r="F294" s="221"/>
      <c r="G294" s="275"/>
      <c r="H294" s="276"/>
      <c r="I294" s="217"/>
      <c r="J294" s="217"/>
      <c r="K294" s="221"/>
      <c r="L294" s="217"/>
      <c r="M294" s="217"/>
      <c r="N294" s="217"/>
      <c r="O294" s="217"/>
      <c r="P294" s="217"/>
    </row>
    <row r="295" spans="3:16" ht="42" customHeight="1">
      <c r="C295" s="272">
        <v>293</v>
      </c>
      <c r="D295" s="275"/>
      <c r="E295" s="276"/>
      <c r="F295" s="221"/>
      <c r="G295" s="275"/>
      <c r="H295" s="276"/>
      <c r="I295" s="217"/>
      <c r="J295" s="217"/>
      <c r="K295" s="221"/>
      <c r="L295" s="217"/>
      <c r="M295" s="217"/>
      <c r="N295" s="217"/>
      <c r="O295" s="217"/>
      <c r="P295" s="217"/>
    </row>
    <row r="296" spans="3:16" ht="42" customHeight="1">
      <c r="C296" s="272">
        <v>294</v>
      </c>
      <c r="D296" s="275"/>
      <c r="E296" s="276"/>
      <c r="F296" s="221"/>
      <c r="G296" s="275"/>
      <c r="H296" s="276"/>
      <c r="I296" s="217"/>
      <c r="J296" s="217"/>
      <c r="K296" s="221"/>
      <c r="L296" s="217"/>
      <c r="M296" s="217"/>
      <c r="N296" s="217"/>
      <c r="O296" s="217"/>
      <c r="P296" s="217"/>
    </row>
    <row r="297" spans="3:16" ht="42" customHeight="1">
      <c r="C297" s="272">
        <v>295</v>
      </c>
      <c r="D297" s="275"/>
      <c r="E297" s="276"/>
      <c r="F297" s="221"/>
      <c r="G297" s="275"/>
      <c r="H297" s="276"/>
      <c r="I297" s="217"/>
      <c r="J297" s="217"/>
      <c r="K297" s="221"/>
      <c r="L297" s="217"/>
      <c r="M297" s="217"/>
      <c r="N297" s="217"/>
      <c r="O297" s="217"/>
      <c r="P297" s="217"/>
    </row>
    <row r="298" spans="3:16" ht="42" customHeight="1">
      <c r="C298" s="272">
        <v>296</v>
      </c>
      <c r="D298" s="275"/>
      <c r="E298" s="276"/>
      <c r="F298" s="221"/>
      <c r="G298" s="275"/>
      <c r="H298" s="276"/>
      <c r="I298" s="217"/>
      <c r="J298" s="217"/>
      <c r="K298" s="221"/>
      <c r="L298" s="217"/>
      <c r="M298" s="217"/>
      <c r="N298" s="217"/>
      <c r="O298" s="217"/>
      <c r="P298" s="217"/>
    </row>
    <row r="299" spans="3:16" ht="42" customHeight="1">
      <c r="C299" s="272">
        <v>297</v>
      </c>
      <c r="D299" s="275"/>
      <c r="E299" s="276"/>
      <c r="F299" s="221"/>
      <c r="G299" s="275"/>
      <c r="H299" s="276"/>
      <c r="I299" s="217"/>
      <c r="J299" s="217"/>
      <c r="K299" s="221"/>
      <c r="L299" s="217"/>
      <c r="M299" s="217"/>
      <c r="N299" s="217"/>
      <c r="O299" s="217"/>
      <c r="P299" s="217"/>
    </row>
    <row r="300" spans="3:16" ht="42" customHeight="1">
      <c r="C300" s="272">
        <v>298</v>
      </c>
      <c r="D300" s="275"/>
      <c r="E300" s="276"/>
      <c r="F300" s="221"/>
      <c r="G300" s="275"/>
      <c r="H300" s="276"/>
      <c r="I300" s="217"/>
      <c r="J300" s="217"/>
      <c r="K300" s="221"/>
      <c r="L300" s="217"/>
      <c r="M300" s="217"/>
      <c r="N300" s="217"/>
      <c r="O300" s="217"/>
      <c r="P300" s="217"/>
    </row>
    <row r="301" spans="3:16" ht="42" customHeight="1">
      <c r="C301" s="272">
        <v>299</v>
      </c>
      <c r="D301" s="275"/>
      <c r="E301" s="276"/>
      <c r="F301" s="221"/>
      <c r="G301" s="275"/>
      <c r="H301" s="276"/>
      <c r="I301" s="217"/>
      <c r="J301" s="217"/>
      <c r="K301" s="221"/>
      <c r="L301" s="217"/>
      <c r="M301" s="217"/>
      <c r="N301" s="217"/>
      <c r="O301" s="217"/>
      <c r="P301" s="217"/>
    </row>
    <row r="302" spans="3:16" ht="42" customHeight="1">
      <c r="C302" s="272">
        <v>300</v>
      </c>
      <c r="D302" s="275"/>
      <c r="E302" s="276"/>
      <c r="F302" s="221"/>
      <c r="G302" s="275"/>
      <c r="H302" s="276"/>
      <c r="I302" s="217"/>
      <c r="J302" s="217"/>
      <c r="K302" s="221"/>
      <c r="L302" s="217"/>
      <c r="M302" s="217"/>
      <c r="N302" s="217"/>
      <c r="O302" s="217"/>
      <c r="P302" s="217"/>
    </row>
    <row r="303" spans="3:16" ht="42" customHeight="1">
      <c r="C303" s="272">
        <v>301</v>
      </c>
      <c r="D303" s="275"/>
      <c r="E303" s="276"/>
      <c r="F303" s="221"/>
      <c r="G303" s="275"/>
      <c r="H303" s="276"/>
      <c r="I303" s="217"/>
      <c r="J303" s="217"/>
      <c r="K303" s="221"/>
      <c r="L303" s="217"/>
      <c r="M303" s="217"/>
      <c r="N303" s="217"/>
      <c r="O303" s="217"/>
      <c r="P303" s="217"/>
    </row>
    <row r="304" spans="3:16" ht="42" customHeight="1">
      <c r="C304" s="272">
        <v>302</v>
      </c>
      <c r="D304" s="275"/>
      <c r="E304" s="276"/>
      <c r="F304" s="221"/>
      <c r="G304" s="275"/>
      <c r="H304" s="276"/>
      <c r="I304" s="217"/>
      <c r="J304" s="217"/>
      <c r="K304" s="221"/>
      <c r="L304" s="217"/>
      <c r="M304" s="217"/>
      <c r="N304" s="217"/>
      <c r="O304" s="217"/>
      <c r="P304" s="217"/>
    </row>
    <row r="305" spans="3:16" ht="42" customHeight="1">
      <c r="C305" s="272">
        <v>303</v>
      </c>
      <c r="D305" s="275"/>
      <c r="E305" s="276"/>
      <c r="F305" s="221"/>
      <c r="G305" s="275"/>
      <c r="H305" s="276"/>
      <c r="I305" s="217"/>
      <c r="J305" s="217"/>
      <c r="K305" s="221"/>
      <c r="L305" s="217"/>
      <c r="M305" s="217"/>
      <c r="N305" s="217"/>
      <c r="O305" s="217"/>
      <c r="P305" s="217"/>
    </row>
    <row r="306" spans="3:16" ht="42" customHeight="1">
      <c r="C306" s="272">
        <v>304</v>
      </c>
      <c r="D306" s="275"/>
      <c r="E306" s="276"/>
      <c r="F306" s="221"/>
      <c r="G306" s="275"/>
      <c r="H306" s="276"/>
      <c r="I306" s="217"/>
      <c r="J306" s="217"/>
      <c r="K306" s="221"/>
      <c r="L306" s="217"/>
      <c r="M306" s="217"/>
      <c r="N306" s="217"/>
      <c r="O306" s="217"/>
      <c r="P306" s="217"/>
    </row>
    <row r="307" spans="3:16" ht="42" customHeight="1">
      <c r="C307" s="272">
        <v>305</v>
      </c>
      <c r="D307" s="275"/>
      <c r="E307" s="276"/>
      <c r="F307" s="221"/>
      <c r="G307" s="275"/>
      <c r="H307" s="276"/>
      <c r="I307" s="217"/>
      <c r="J307" s="217"/>
      <c r="K307" s="221"/>
      <c r="L307" s="217"/>
      <c r="M307" s="217"/>
      <c r="N307" s="217"/>
      <c r="O307" s="217"/>
      <c r="P307" s="217"/>
    </row>
    <row r="308" spans="3:16" ht="42" customHeight="1">
      <c r="C308" s="272">
        <v>306</v>
      </c>
      <c r="D308" s="275"/>
      <c r="E308" s="276"/>
      <c r="F308" s="221"/>
      <c r="G308" s="275"/>
      <c r="H308" s="276"/>
      <c r="I308" s="217"/>
      <c r="J308" s="217"/>
      <c r="K308" s="221"/>
      <c r="L308" s="217"/>
      <c r="M308" s="217"/>
      <c r="N308" s="217"/>
      <c r="O308" s="217"/>
      <c r="P308" s="217"/>
    </row>
    <row r="309" spans="3:16" ht="42" customHeight="1">
      <c r="C309" s="272">
        <v>307</v>
      </c>
      <c r="D309" s="275"/>
      <c r="E309" s="276"/>
      <c r="F309" s="221"/>
      <c r="G309" s="275"/>
      <c r="H309" s="276"/>
      <c r="I309" s="217"/>
      <c r="J309" s="217"/>
      <c r="K309" s="221"/>
      <c r="L309" s="217"/>
      <c r="M309" s="217"/>
      <c r="N309" s="217"/>
      <c r="O309" s="217"/>
      <c r="P309" s="217"/>
    </row>
    <row r="310" spans="3:16" ht="42" customHeight="1">
      <c r="C310" s="272">
        <v>308</v>
      </c>
      <c r="D310" s="275"/>
      <c r="E310" s="276"/>
      <c r="F310" s="221"/>
      <c r="G310" s="275"/>
      <c r="H310" s="276"/>
      <c r="I310" s="217"/>
      <c r="J310" s="217"/>
      <c r="K310" s="221"/>
      <c r="L310" s="217"/>
      <c r="M310" s="217"/>
      <c r="N310" s="217"/>
      <c r="O310" s="217"/>
      <c r="P310" s="217"/>
    </row>
    <row r="311" spans="3:16" ht="42" customHeight="1">
      <c r="C311" s="272">
        <v>309</v>
      </c>
      <c r="D311" s="275"/>
      <c r="E311" s="276"/>
      <c r="F311" s="221"/>
      <c r="G311" s="275"/>
      <c r="H311" s="276"/>
      <c r="I311" s="217"/>
      <c r="J311" s="217"/>
      <c r="K311" s="221"/>
      <c r="L311" s="217"/>
      <c r="M311" s="217"/>
      <c r="N311" s="217"/>
      <c r="O311" s="217"/>
      <c r="P311" s="217"/>
    </row>
    <row r="312" spans="3:16" ht="42" customHeight="1">
      <c r="C312" s="272">
        <v>310</v>
      </c>
      <c r="D312" s="275"/>
      <c r="E312" s="276"/>
      <c r="F312" s="221"/>
      <c r="G312" s="275"/>
      <c r="H312" s="276"/>
      <c r="I312" s="217"/>
      <c r="J312" s="217"/>
      <c r="K312" s="221"/>
      <c r="L312" s="217"/>
      <c r="M312" s="217"/>
      <c r="N312" s="217"/>
      <c r="O312" s="217"/>
      <c r="P312" s="217"/>
    </row>
    <row r="313" spans="3:16" ht="42" customHeight="1">
      <c r="C313" s="272">
        <v>311</v>
      </c>
      <c r="D313" s="275"/>
      <c r="E313" s="276"/>
      <c r="F313" s="221"/>
      <c r="G313" s="275"/>
      <c r="H313" s="276"/>
      <c r="I313" s="217"/>
      <c r="J313" s="217"/>
      <c r="K313" s="221"/>
      <c r="L313" s="217"/>
      <c r="M313" s="217"/>
      <c r="N313" s="217"/>
      <c r="O313" s="217"/>
      <c r="P313" s="217"/>
    </row>
    <row r="314" spans="3:16" ht="42" customHeight="1">
      <c r="C314" s="272">
        <v>312</v>
      </c>
      <c r="D314" s="275"/>
      <c r="E314" s="276"/>
      <c r="F314" s="221"/>
      <c r="G314" s="275"/>
      <c r="H314" s="276"/>
      <c r="I314" s="217"/>
      <c r="J314" s="217"/>
      <c r="K314" s="221"/>
      <c r="L314" s="217"/>
      <c r="M314" s="217"/>
      <c r="N314" s="217"/>
      <c r="O314" s="217"/>
      <c r="P314" s="217"/>
    </row>
    <row r="315" spans="3:16" ht="42" customHeight="1">
      <c r="C315" s="272">
        <v>313</v>
      </c>
      <c r="D315" s="275"/>
      <c r="E315" s="276"/>
      <c r="F315" s="221"/>
      <c r="G315" s="275"/>
      <c r="H315" s="276"/>
      <c r="I315" s="217"/>
      <c r="J315" s="217"/>
      <c r="K315" s="221"/>
      <c r="L315" s="217"/>
      <c r="M315" s="217"/>
      <c r="N315" s="217"/>
      <c r="O315" s="217"/>
      <c r="P315" s="217"/>
    </row>
    <row r="316" spans="3:16" ht="42" customHeight="1">
      <c r="C316" s="272">
        <v>314</v>
      </c>
      <c r="D316" s="275"/>
      <c r="E316" s="276"/>
      <c r="F316" s="221"/>
      <c r="G316" s="275"/>
      <c r="H316" s="276"/>
      <c r="I316" s="217"/>
      <c r="J316" s="217"/>
      <c r="K316" s="221"/>
      <c r="L316" s="217"/>
      <c r="M316" s="217"/>
      <c r="N316" s="217"/>
      <c r="O316" s="217"/>
      <c r="P316" s="217"/>
    </row>
    <row r="317" spans="3:16" ht="42" customHeight="1">
      <c r="C317" s="272">
        <v>315</v>
      </c>
      <c r="D317" s="275"/>
      <c r="E317" s="276"/>
      <c r="F317" s="221"/>
      <c r="G317" s="275"/>
      <c r="H317" s="276"/>
      <c r="I317" s="217"/>
      <c r="J317" s="217"/>
      <c r="K317" s="221"/>
      <c r="L317" s="217"/>
      <c r="M317" s="217"/>
      <c r="N317" s="217"/>
      <c r="O317" s="217"/>
      <c r="P317" s="217"/>
    </row>
    <row r="318" spans="3:16" ht="42" customHeight="1">
      <c r="C318" s="272">
        <v>316</v>
      </c>
      <c r="D318" s="275"/>
      <c r="E318" s="276"/>
      <c r="F318" s="221"/>
      <c r="G318" s="275"/>
      <c r="H318" s="276"/>
      <c r="I318" s="217"/>
      <c r="J318" s="217"/>
      <c r="K318" s="221"/>
      <c r="L318" s="217"/>
      <c r="M318" s="217"/>
      <c r="N318" s="217"/>
      <c r="O318" s="217"/>
      <c r="P318" s="217"/>
    </row>
    <row r="319" spans="3:16" ht="42" customHeight="1">
      <c r="C319" s="272">
        <v>317</v>
      </c>
      <c r="D319" s="275"/>
      <c r="E319" s="276"/>
      <c r="F319" s="221"/>
      <c r="G319" s="275"/>
      <c r="H319" s="276"/>
      <c r="I319" s="217"/>
      <c r="J319" s="217"/>
      <c r="K319" s="221"/>
      <c r="L319" s="217"/>
      <c r="M319" s="217"/>
      <c r="N319" s="217"/>
      <c r="O319" s="217"/>
      <c r="P319" s="217"/>
    </row>
    <row r="320" spans="3:16" ht="42" customHeight="1">
      <c r="C320" s="272">
        <v>318</v>
      </c>
      <c r="D320" s="275"/>
      <c r="E320" s="276"/>
      <c r="F320" s="221"/>
      <c r="G320" s="275"/>
      <c r="H320" s="276"/>
      <c r="I320" s="217"/>
      <c r="J320" s="217"/>
      <c r="K320" s="221"/>
      <c r="L320" s="217"/>
      <c r="M320" s="217"/>
      <c r="N320" s="217"/>
      <c r="O320" s="217"/>
      <c r="P320" s="217"/>
    </row>
    <row r="321" spans="3:16" ht="42" customHeight="1">
      <c r="C321" s="272">
        <v>319</v>
      </c>
      <c r="D321" s="275"/>
      <c r="E321" s="276"/>
      <c r="F321" s="221"/>
      <c r="G321" s="275"/>
      <c r="H321" s="276"/>
      <c r="I321" s="217"/>
      <c r="J321" s="217"/>
      <c r="K321" s="221"/>
      <c r="L321" s="217"/>
      <c r="M321" s="217"/>
      <c r="N321" s="217"/>
      <c r="O321" s="217"/>
      <c r="P321" s="217"/>
    </row>
    <row r="322" spans="3:16" ht="42" customHeight="1">
      <c r="C322" s="272">
        <v>320</v>
      </c>
      <c r="D322" s="275"/>
      <c r="E322" s="276"/>
      <c r="F322" s="221"/>
      <c r="G322" s="275"/>
      <c r="H322" s="276"/>
      <c r="I322" s="217"/>
      <c r="J322" s="217"/>
      <c r="K322" s="221"/>
      <c r="L322" s="217"/>
      <c r="M322" s="217"/>
      <c r="N322" s="217"/>
      <c r="O322" s="217"/>
      <c r="P322" s="217"/>
    </row>
    <row r="323" spans="3:16" ht="42" customHeight="1">
      <c r="C323" s="272">
        <v>321</v>
      </c>
      <c r="D323" s="275"/>
      <c r="E323" s="276"/>
      <c r="F323" s="221"/>
      <c r="G323" s="275"/>
      <c r="H323" s="276"/>
      <c r="I323" s="217"/>
      <c r="J323" s="217"/>
      <c r="K323" s="221"/>
      <c r="L323" s="217"/>
      <c r="M323" s="217"/>
      <c r="N323" s="217"/>
      <c r="O323" s="217"/>
      <c r="P323" s="217"/>
    </row>
    <row r="324" spans="3:16" ht="42" customHeight="1">
      <c r="C324" s="272">
        <v>322</v>
      </c>
      <c r="D324" s="275"/>
      <c r="E324" s="276"/>
      <c r="F324" s="221"/>
      <c r="G324" s="275"/>
      <c r="H324" s="276"/>
      <c r="I324" s="217"/>
      <c r="J324" s="217"/>
      <c r="K324" s="221"/>
      <c r="L324" s="217"/>
      <c r="M324" s="217"/>
      <c r="N324" s="217"/>
      <c r="O324" s="217"/>
      <c r="P324" s="217"/>
    </row>
    <row r="325" spans="3:16" ht="42" customHeight="1">
      <c r="C325" s="272">
        <v>323</v>
      </c>
      <c r="D325" s="275"/>
      <c r="E325" s="276"/>
      <c r="F325" s="221"/>
      <c r="G325" s="275"/>
      <c r="H325" s="276"/>
      <c r="I325" s="217"/>
      <c r="J325" s="217"/>
      <c r="K325" s="221"/>
      <c r="L325" s="217"/>
      <c r="M325" s="217"/>
      <c r="N325" s="217"/>
      <c r="O325" s="217"/>
      <c r="P325" s="217"/>
    </row>
    <row r="326" spans="3:16" ht="42" customHeight="1">
      <c r="C326" s="272">
        <v>324</v>
      </c>
      <c r="D326" s="275"/>
      <c r="E326" s="276"/>
      <c r="F326" s="221"/>
      <c r="G326" s="275"/>
      <c r="H326" s="276"/>
      <c r="I326" s="217"/>
      <c r="J326" s="217"/>
      <c r="K326" s="221"/>
      <c r="L326" s="217"/>
      <c r="M326" s="217"/>
      <c r="N326" s="217"/>
      <c r="O326" s="217"/>
      <c r="P326" s="217"/>
    </row>
    <row r="327" spans="3:16" ht="42" customHeight="1">
      <c r="C327" s="272">
        <v>325</v>
      </c>
      <c r="D327" s="275"/>
      <c r="E327" s="276"/>
      <c r="F327" s="221"/>
      <c r="G327" s="275"/>
      <c r="H327" s="276"/>
      <c r="I327" s="217"/>
      <c r="J327" s="217"/>
      <c r="K327" s="221"/>
      <c r="L327" s="217"/>
      <c r="M327" s="217"/>
      <c r="N327" s="217"/>
      <c r="O327" s="217"/>
      <c r="P327" s="217"/>
    </row>
    <row r="328" spans="3:16" ht="42" customHeight="1">
      <c r="C328" s="272">
        <v>326</v>
      </c>
      <c r="D328" s="275"/>
      <c r="E328" s="276"/>
      <c r="F328" s="221"/>
      <c r="G328" s="275"/>
      <c r="H328" s="276"/>
      <c r="I328" s="217"/>
      <c r="J328" s="217"/>
      <c r="K328" s="221"/>
      <c r="L328" s="217"/>
      <c r="M328" s="217"/>
      <c r="N328" s="217"/>
      <c r="O328" s="217"/>
      <c r="P328" s="217"/>
    </row>
    <row r="329" spans="3:16" ht="42" customHeight="1">
      <c r="C329" s="272">
        <v>327</v>
      </c>
      <c r="D329" s="275"/>
      <c r="E329" s="276"/>
      <c r="F329" s="221"/>
      <c r="G329" s="275"/>
      <c r="H329" s="276"/>
      <c r="I329" s="217"/>
      <c r="J329" s="217"/>
      <c r="K329" s="221"/>
      <c r="L329" s="217"/>
      <c r="M329" s="217"/>
      <c r="N329" s="217"/>
      <c r="O329" s="217"/>
      <c r="P329" s="217"/>
    </row>
    <row r="330" spans="3:16" ht="42" customHeight="1">
      <c r="C330" s="272">
        <v>328</v>
      </c>
      <c r="D330" s="275"/>
      <c r="E330" s="276"/>
      <c r="F330" s="221"/>
      <c r="G330" s="275"/>
      <c r="H330" s="276"/>
      <c r="I330" s="217"/>
      <c r="J330" s="217"/>
      <c r="K330" s="221"/>
      <c r="L330" s="217"/>
      <c r="M330" s="217"/>
      <c r="N330" s="217"/>
      <c r="O330" s="217"/>
      <c r="P330" s="217"/>
    </row>
    <row r="331" spans="3:16" ht="42" customHeight="1">
      <c r="C331" s="272">
        <v>329</v>
      </c>
      <c r="D331" s="275"/>
      <c r="E331" s="276"/>
      <c r="F331" s="221"/>
      <c r="G331" s="275"/>
      <c r="H331" s="276"/>
      <c r="I331" s="217"/>
      <c r="J331" s="217"/>
      <c r="K331" s="221"/>
      <c r="L331" s="217"/>
      <c r="M331" s="217"/>
      <c r="N331" s="217"/>
      <c r="O331" s="217"/>
      <c r="P331" s="217"/>
    </row>
    <row r="332" spans="3:16" ht="42" customHeight="1">
      <c r="C332" s="272">
        <v>330</v>
      </c>
      <c r="D332" s="275"/>
      <c r="E332" s="276"/>
      <c r="F332" s="221"/>
      <c r="G332" s="275"/>
      <c r="H332" s="276"/>
      <c r="I332" s="217"/>
      <c r="J332" s="217"/>
      <c r="K332" s="221"/>
      <c r="L332" s="217"/>
      <c r="M332" s="217"/>
      <c r="N332" s="217"/>
      <c r="O332" s="217"/>
      <c r="P332" s="217"/>
    </row>
    <row r="333" spans="3:16" ht="42" customHeight="1">
      <c r="C333" s="272">
        <v>331</v>
      </c>
      <c r="D333" s="275"/>
      <c r="E333" s="276"/>
      <c r="F333" s="221"/>
      <c r="G333" s="275"/>
      <c r="H333" s="276"/>
      <c r="I333" s="217"/>
      <c r="J333" s="217"/>
      <c r="K333" s="221"/>
      <c r="L333" s="217"/>
      <c r="M333" s="217"/>
      <c r="N333" s="217"/>
      <c r="O333" s="217"/>
      <c r="P333" s="217"/>
    </row>
    <row r="334" spans="3:16" ht="42" customHeight="1">
      <c r="C334" s="272">
        <v>332</v>
      </c>
      <c r="D334" s="275"/>
      <c r="E334" s="276"/>
      <c r="F334" s="221"/>
      <c r="G334" s="275"/>
      <c r="H334" s="276"/>
      <c r="I334" s="217"/>
      <c r="J334" s="217"/>
      <c r="K334" s="221"/>
      <c r="L334" s="217"/>
      <c r="M334" s="217"/>
      <c r="N334" s="217"/>
      <c r="O334" s="217"/>
      <c r="P334" s="217"/>
    </row>
    <row r="335" spans="3:16" ht="42" customHeight="1">
      <c r="C335" s="272">
        <v>333</v>
      </c>
      <c r="D335" s="275"/>
      <c r="E335" s="276"/>
      <c r="F335" s="221"/>
      <c r="G335" s="275"/>
      <c r="H335" s="276"/>
      <c r="I335" s="217"/>
      <c r="J335" s="217"/>
      <c r="K335" s="221"/>
      <c r="L335" s="217"/>
      <c r="M335" s="217"/>
      <c r="N335" s="217"/>
      <c r="O335" s="217"/>
      <c r="P335" s="217"/>
    </row>
    <row r="336" spans="3:16" ht="42" customHeight="1">
      <c r="C336" s="272">
        <v>334</v>
      </c>
      <c r="D336" s="275"/>
      <c r="E336" s="276"/>
      <c r="F336" s="221"/>
      <c r="G336" s="275"/>
      <c r="H336" s="276"/>
      <c r="I336" s="217"/>
      <c r="J336" s="217"/>
      <c r="K336" s="221"/>
      <c r="L336" s="217"/>
      <c r="M336" s="217"/>
      <c r="N336" s="217"/>
      <c r="O336" s="217"/>
      <c r="P336" s="217"/>
    </row>
    <row r="337" spans="3:16" ht="42" customHeight="1">
      <c r="C337" s="272">
        <v>335</v>
      </c>
      <c r="D337" s="275"/>
      <c r="E337" s="276"/>
      <c r="F337" s="221"/>
      <c r="G337" s="275"/>
      <c r="H337" s="276"/>
      <c r="I337" s="217"/>
      <c r="J337" s="217"/>
      <c r="K337" s="221"/>
      <c r="L337" s="217"/>
      <c r="M337" s="217"/>
      <c r="N337" s="217"/>
      <c r="O337" s="217"/>
      <c r="P337" s="217"/>
    </row>
    <row r="338" spans="3:16" ht="42" customHeight="1">
      <c r="C338" s="272">
        <v>336</v>
      </c>
      <c r="D338" s="275"/>
      <c r="E338" s="276"/>
      <c r="F338" s="221"/>
      <c r="G338" s="275"/>
      <c r="H338" s="276"/>
      <c r="I338" s="217"/>
      <c r="J338" s="217"/>
      <c r="K338" s="221"/>
      <c r="L338" s="217"/>
      <c r="M338" s="217"/>
      <c r="N338" s="217"/>
      <c r="O338" s="217"/>
      <c r="P338" s="217"/>
    </row>
    <row r="339" spans="3:16" ht="42" customHeight="1">
      <c r="C339" s="272">
        <v>337</v>
      </c>
      <c r="D339" s="275"/>
      <c r="E339" s="276"/>
      <c r="F339" s="221"/>
      <c r="G339" s="275"/>
      <c r="H339" s="276"/>
      <c r="I339" s="217"/>
      <c r="J339" s="217"/>
      <c r="K339" s="221"/>
      <c r="L339" s="217"/>
      <c r="M339" s="217"/>
      <c r="N339" s="217"/>
      <c r="O339" s="217"/>
      <c r="P339" s="217"/>
    </row>
    <row r="340" spans="3:16" ht="42" customHeight="1">
      <c r="C340" s="272">
        <v>338</v>
      </c>
      <c r="D340" s="275"/>
      <c r="E340" s="276"/>
      <c r="F340" s="221"/>
      <c r="G340" s="275"/>
      <c r="H340" s="276"/>
      <c r="I340" s="217"/>
      <c r="J340" s="217"/>
      <c r="K340" s="221"/>
      <c r="L340" s="217"/>
      <c r="M340" s="217"/>
      <c r="N340" s="217"/>
      <c r="O340" s="217"/>
      <c r="P340" s="217"/>
    </row>
    <row r="341" spans="3:16" ht="42" customHeight="1">
      <c r="C341" s="272">
        <v>339</v>
      </c>
      <c r="D341" s="275"/>
      <c r="E341" s="276"/>
      <c r="F341" s="221"/>
      <c r="G341" s="275"/>
      <c r="H341" s="276"/>
      <c r="I341" s="217"/>
      <c r="J341" s="217"/>
      <c r="K341" s="221"/>
      <c r="L341" s="217"/>
      <c r="M341" s="217"/>
      <c r="N341" s="217"/>
      <c r="O341" s="217"/>
      <c r="P341" s="217"/>
    </row>
    <row r="342" spans="3:16" ht="42" customHeight="1">
      <c r="C342" s="272">
        <v>340</v>
      </c>
      <c r="D342" s="275"/>
      <c r="E342" s="276"/>
      <c r="F342" s="221"/>
      <c r="G342" s="275"/>
      <c r="H342" s="276"/>
      <c r="I342" s="217"/>
      <c r="J342" s="217"/>
      <c r="K342" s="221"/>
      <c r="L342" s="217"/>
      <c r="M342" s="217"/>
      <c r="N342" s="217"/>
      <c r="O342" s="217"/>
      <c r="P342" s="217"/>
    </row>
    <row r="343" spans="3:16" ht="42" customHeight="1">
      <c r="C343" s="272">
        <v>341</v>
      </c>
      <c r="D343" s="275"/>
      <c r="E343" s="276"/>
      <c r="F343" s="221"/>
      <c r="G343" s="275"/>
      <c r="H343" s="276"/>
      <c r="I343" s="217"/>
      <c r="J343" s="217"/>
      <c r="K343" s="221"/>
      <c r="L343" s="217"/>
      <c r="M343" s="217"/>
      <c r="N343" s="217"/>
      <c r="O343" s="217"/>
      <c r="P343" s="217"/>
    </row>
    <row r="344" spans="3:16" ht="42" customHeight="1">
      <c r="C344" s="272">
        <v>342</v>
      </c>
      <c r="D344" s="275"/>
      <c r="E344" s="276"/>
      <c r="F344" s="221"/>
      <c r="G344" s="275"/>
      <c r="H344" s="276"/>
      <c r="I344" s="217"/>
      <c r="J344" s="217"/>
      <c r="K344" s="221"/>
      <c r="L344" s="217"/>
      <c r="M344" s="217"/>
      <c r="N344" s="217"/>
      <c r="O344" s="217"/>
      <c r="P344" s="217"/>
    </row>
    <row r="345" spans="3:16" ht="42" customHeight="1">
      <c r="C345" s="272">
        <v>343</v>
      </c>
      <c r="D345" s="275"/>
      <c r="E345" s="276"/>
      <c r="F345" s="221"/>
      <c r="G345" s="275"/>
      <c r="H345" s="276"/>
      <c r="I345" s="217"/>
      <c r="J345" s="217"/>
      <c r="K345" s="221"/>
      <c r="L345" s="217"/>
      <c r="M345" s="217"/>
      <c r="N345" s="217"/>
      <c r="O345" s="217"/>
      <c r="P345" s="217"/>
    </row>
    <row r="346" spans="3:16" ht="42" customHeight="1">
      <c r="C346" s="272">
        <v>344</v>
      </c>
      <c r="D346" s="275"/>
      <c r="E346" s="276"/>
      <c r="F346" s="221"/>
      <c r="G346" s="275"/>
      <c r="H346" s="276"/>
      <c r="I346" s="217"/>
      <c r="J346" s="217"/>
      <c r="K346" s="221"/>
      <c r="L346" s="217"/>
      <c r="M346" s="217"/>
      <c r="N346" s="217"/>
      <c r="O346" s="217"/>
      <c r="P346" s="217"/>
    </row>
    <row r="347" spans="3:16" ht="42" customHeight="1">
      <c r="C347" s="272">
        <v>345</v>
      </c>
      <c r="D347" s="275"/>
      <c r="E347" s="276"/>
      <c r="F347" s="221"/>
      <c r="G347" s="275"/>
      <c r="H347" s="276"/>
      <c r="I347" s="217"/>
      <c r="J347" s="217"/>
      <c r="K347" s="221"/>
      <c r="L347" s="217"/>
      <c r="M347" s="217"/>
      <c r="N347" s="217"/>
      <c r="O347" s="217"/>
      <c r="P347" s="217"/>
    </row>
    <row r="348" spans="3:16" ht="42" customHeight="1">
      <c r="C348" s="272">
        <v>346</v>
      </c>
      <c r="D348" s="275"/>
      <c r="E348" s="276"/>
      <c r="F348" s="221"/>
      <c r="G348" s="275"/>
      <c r="H348" s="276"/>
      <c r="I348" s="217"/>
      <c r="J348" s="217"/>
      <c r="K348" s="221"/>
      <c r="L348" s="217"/>
      <c r="M348" s="217"/>
      <c r="N348" s="217"/>
      <c r="O348" s="217"/>
      <c r="P348" s="217"/>
    </row>
    <row r="349" spans="3:16" ht="42" customHeight="1">
      <c r="C349" s="272">
        <v>347</v>
      </c>
      <c r="D349" s="275"/>
      <c r="E349" s="276"/>
      <c r="F349" s="221"/>
      <c r="G349" s="275"/>
      <c r="H349" s="276"/>
      <c r="I349" s="217"/>
      <c r="J349" s="217"/>
      <c r="K349" s="221"/>
      <c r="L349" s="217"/>
      <c r="M349" s="217"/>
      <c r="N349" s="217"/>
      <c r="O349" s="217"/>
      <c r="P349" s="217"/>
    </row>
    <row r="350" spans="3:16" ht="42" customHeight="1">
      <c r="C350" s="272">
        <v>348</v>
      </c>
      <c r="D350" s="275"/>
      <c r="E350" s="276"/>
      <c r="F350" s="221"/>
      <c r="G350" s="275"/>
      <c r="H350" s="276"/>
      <c r="I350" s="217"/>
      <c r="J350" s="217"/>
      <c r="K350" s="221"/>
      <c r="L350" s="217"/>
      <c r="M350" s="217"/>
      <c r="N350" s="217"/>
      <c r="O350" s="217"/>
      <c r="P350" s="217"/>
    </row>
    <row r="351" spans="3:16" ht="42" customHeight="1">
      <c r="C351" s="272">
        <v>349</v>
      </c>
      <c r="D351" s="275"/>
      <c r="E351" s="276"/>
      <c r="F351" s="221"/>
      <c r="G351" s="275"/>
      <c r="H351" s="276"/>
      <c r="I351" s="217"/>
      <c r="J351" s="217"/>
      <c r="K351" s="221"/>
      <c r="L351" s="217"/>
      <c r="M351" s="217"/>
      <c r="N351" s="217"/>
      <c r="O351" s="217"/>
      <c r="P351" s="217"/>
    </row>
    <row r="352" spans="3:16" ht="42" customHeight="1">
      <c r="C352" s="272">
        <v>350</v>
      </c>
      <c r="D352" s="275"/>
      <c r="E352" s="276"/>
      <c r="F352" s="221"/>
      <c r="G352" s="275"/>
      <c r="H352" s="276"/>
      <c r="I352" s="217"/>
      <c r="J352" s="217"/>
      <c r="K352" s="221"/>
      <c r="L352" s="217"/>
      <c r="M352" s="217"/>
      <c r="N352" s="217"/>
      <c r="O352" s="217"/>
      <c r="P352" s="217"/>
    </row>
    <row r="353" spans="3:16" ht="42" customHeight="1">
      <c r="C353" s="272">
        <v>351</v>
      </c>
      <c r="D353" s="275"/>
      <c r="E353" s="276"/>
      <c r="F353" s="221"/>
      <c r="G353" s="275"/>
      <c r="H353" s="276"/>
      <c r="I353" s="217"/>
      <c r="J353" s="217"/>
      <c r="K353" s="221"/>
      <c r="L353" s="217"/>
      <c r="M353" s="217"/>
      <c r="N353" s="217"/>
      <c r="O353" s="217"/>
      <c r="P353" s="217"/>
    </row>
    <row r="354" spans="3:16" ht="42" customHeight="1">
      <c r="C354" s="272">
        <v>352</v>
      </c>
      <c r="D354" s="275"/>
      <c r="E354" s="276"/>
      <c r="F354" s="221"/>
      <c r="G354" s="275"/>
      <c r="H354" s="276"/>
      <c r="I354" s="217"/>
      <c r="J354" s="217"/>
      <c r="K354" s="221"/>
      <c r="L354" s="217"/>
      <c r="M354" s="217"/>
      <c r="N354" s="217"/>
      <c r="O354" s="217"/>
      <c r="P354" s="217"/>
    </row>
    <row r="355" spans="3:16" ht="42" customHeight="1">
      <c r="C355" s="272">
        <v>353</v>
      </c>
      <c r="D355" s="275"/>
      <c r="E355" s="276"/>
      <c r="F355" s="221"/>
      <c r="G355" s="275"/>
      <c r="H355" s="276"/>
      <c r="I355" s="217"/>
      <c r="J355" s="217"/>
      <c r="K355" s="221"/>
      <c r="L355" s="217"/>
      <c r="M355" s="217"/>
      <c r="N355" s="217"/>
      <c r="O355" s="217"/>
      <c r="P355" s="217"/>
    </row>
    <row r="356" spans="3:16" ht="42" customHeight="1">
      <c r="C356" s="272">
        <v>354</v>
      </c>
      <c r="D356" s="275"/>
      <c r="E356" s="276"/>
      <c r="F356" s="221"/>
      <c r="G356" s="275"/>
      <c r="H356" s="276"/>
      <c r="I356" s="217"/>
      <c r="J356" s="217"/>
      <c r="K356" s="221"/>
      <c r="L356" s="217"/>
      <c r="M356" s="217"/>
      <c r="N356" s="217"/>
      <c r="O356" s="217"/>
      <c r="P356" s="217"/>
    </row>
    <row r="357" spans="3:16" ht="42" customHeight="1">
      <c r="C357" s="272">
        <v>355</v>
      </c>
      <c r="D357" s="275"/>
      <c r="E357" s="276"/>
      <c r="F357" s="221"/>
      <c r="G357" s="275"/>
      <c r="H357" s="276"/>
      <c r="I357" s="217"/>
      <c r="J357" s="217"/>
      <c r="K357" s="221"/>
      <c r="L357" s="217"/>
      <c r="M357" s="217"/>
      <c r="N357" s="217"/>
      <c r="O357" s="217"/>
      <c r="P357" s="217"/>
    </row>
    <row r="358" spans="3:16" ht="42" customHeight="1">
      <c r="C358" s="272">
        <v>356</v>
      </c>
      <c r="D358" s="275"/>
      <c r="E358" s="276"/>
      <c r="F358" s="221"/>
      <c r="G358" s="275"/>
      <c r="H358" s="276"/>
      <c r="I358" s="217"/>
      <c r="J358" s="217"/>
      <c r="K358" s="221"/>
      <c r="L358" s="217"/>
      <c r="M358" s="217"/>
      <c r="N358" s="217"/>
      <c r="O358" s="217"/>
      <c r="P358" s="217"/>
    </row>
    <row r="359" spans="3:16" ht="42" customHeight="1">
      <c r="C359" s="272">
        <v>357</v>
      </c>
      <c r="D359" s="275"/>
      <c r="E359" s="276"/>
      <c r="F359" s="221"/>
      <c r="G359" s="275"/>
      <c r="H359" s="276"/>
      <c r="I359" s="217"/>
      <c r="J359" s="217"/>
      <c r="K359" s="221"/>
      <c r="L359" s="217"/>
      <c r="M359" s="217"/>
      <c r="N359" s="217"/>
      <c r="O359" s="217"/>
      <c r="P359" s="217"/>
    </row>
    <row r="360" spans="3:16" ht="42" customHeight="1">
      <c r="C360" s="272">
        <v>358</v>
      </c>
      <c r="D360" s="275"/>
      <c r="E360" s="276"/>
      <c r="F360" s="221"/>
      <c r="G360" s="275"/>
      <c r="H360" s="276"/>
      <c r="I360" s="217"/>
      <c r="J360" s="217"/>
      <c r="K360" s="221"/>
      <c r="L360" s="217"/>
      <c r="M360" s="217"/>
      <c r="N360" s="217"/>
      <c r="O360" s="217"/>
      <c r="P360" s="217"/>
    </row>
    <row r="361" spans="3:16" ht="42" customHeight="1">
      <c r="C361" s="272">
        <v>359</v>
      </c>
      <c r="D361" s="275"/>
      <c r="E361" s="276"/>
      <c r="F361" s="221"/>
      <c r="G361" s="275"/>
      <c r="H361" s="276"/>
      <c r="I361" s="217"/>
      <c r="J361" s="217"/>
      <c r="K361" s="221"/>
      <c r="L361" s="217"/>
      <c r="M361" s="217"/>
      <c r="N361" s="217"/>
      <c r="O361" s="217"/>
      <c r="P361" s="217"/>
    </row>
    <row r="362" spans="3:16" ht="42" customHeight="1">
      <c r="C362" s="272">
        <v>360</v>
      </c>
      <c r="D362" s="275"/>
      <c r="E362" s="276"/>
      <c r="F362" s="221"/>
      <c r="G362" s="275"/>
      <c r="H362" s="276"/>
      <c r="I362" s="217"/>
      <c r="J362" s="217"/>
      <c r="K362" s="221"/>
      <c r="L362" s="217"/>
      <c r="M362" s="217"/>
      <c r="N362" s="217"/>
      <c r="O362" s="217"/>
      <c r="P362" s="217"/>
    </row>
    <row r="363" spans="3:16" ht="42" customHeight="1">
      <c r="C363" s="272">
        <v>361</v>
      </c>
      <c r="D363" s="275"/>
      <c r="E363" s="276"/>
      <c r="F363" s="221"/>
      <c r="G363" s="275"/>
      <c r="H363" s="276"/>
      <c r="I363" s="217"/>
      <c r="J363" s="217"/>
      <c r="K363" s="221"/>
      <c r="L363" s="217"/>
      <c r="M363" s="217"/>
      <c r="N363" s="217"/>
      <c r="O363" s="217"/>
      <c r="P363" s="217"/>
    </row>
    <row r="364" spans="3:16" ht="42" customHeight="1">
      <c r="C364" s="272">
        <v>362</v>
      </c>
      <c r="D364" s="275"/>
      <c r="E364" s="276"/>
      <c r="F364" s="221"/>
      <c r="G364" s="275"/>
      <c r="H364" s="276"/>
      <c r="I364" s="217"/>
      <c r="J364" s="217"/>
      <c r="K364" s="221"/>
      <c r="L364" s="217"/>
      <c r="M364" s="217"/>
      <c r="N364" s="217"/>
      <c r="O364" s="217"/>
      <c r="P364" s="217"/>
    </row>
    <row r="365" spans="3:16" ht="42" customHeight="1">
      <c r="C365" s="272">
        <v>363</v>
      </c>
      <c r="D365" s="275"/>
      <c r="E365" s="276"/>
      <c r="F365" s="221"/>
      <c r="G365" s="275"/>
      <c r="H365" s="276"/>
      <c r="I365" s="217"/>
      <c r="J365" s="217"/>
      <c r="K365" s="221"/>
      <c r="L365" s="217"/>
      <c r="M365" s="217"/>
      <c r="N365" s="217"/>
      <c r="O365" s="217"/>
      <c r="P365" s="217"/>
    </row>
    <row r="366" spans="3:16" ht="42" customHeight="1">
      <c r="C366" s="272">
        <v>364</v>
      </c>
      <c r="D366" s="275"/>
      <c r="E366" s="276"/>
      <c r="F366" s="221"/>
      <c r="G366" s="275"/>
      <c r="H366" s="276"/>
      <c r="I366" s="217"/>
      <c r="J366" s="217"/>
      <c r="K366" s="221"/>
      <c r="L366" s="217"/>
      <c r="M366" s="217"/>
      <c r="N366" s="217"/>
      <c r="O366" s="217"/>
      <c r="P366" s="217"/>
    </row>
    <row r="367" spans="3:16" ht="42" customHeight="1">
      <c r="C367" s="272">
        <v>365</v>
      </c>
      <c r="D367" s="275"/>
      <c r="E367" s="276"/>
      <c r="F367" s="221"/>
      <c r="G367" s="275"/>
      <c r="H367" s="276"/>
      <c r="I367" s="217"/>
      <c r="J367" s="217"/>
      <c r="K367" s="221"/>
      <c r="L367" s="217"/>
      <c r="M367" s="217"/>
      <c r="N367" s="217"/>
      <c r="O367" s="217"/>
      <c r="P367" s="217"/>
    </row>
    <row r="368" spans="3:16" ht="42" customHeight="1">
      <c r="C368" s="272">
        <v>366</v>
      </c>
      <c r="D368" s="275"/>
      <c r="E368" s="276"/>
      <c r="F368" s="221"/>
      <c r="G368" s="275"/>
      <c r="H368" s="276"/>
      <c r="I368" s="217"/>
      <c r="J368" s="217"/>
      <c r="K368" s="221"/>
      <c r="L368" s="217"/>
      <c r="M368" s="217"/>
      <c r="N368" s="217"/>
      <c r="O368" s="217"/>
      <c r="P368" s="217"/>
    </row>
    <row r="369" spans="3:16" ht="42" customHeight="1">
      <c r="C369" s="272">
        <v>367</v>
      </c>
      <c r="D369" s="275"/>
      <c r="E369" s="276"/>
      <c r="F369" s="221"/>
      <c r="G369" s="275"/>
      <c r="H369" s="276"/>
      <c r="I369" s="217"/>
      <c r="J369" s="217"/>
      <c r="K369" s="221"/>
      <c r="L369" s="217"/>
      <c r="M369" s="217"/>
      <c r="N369" s="217"/>
      <c r="O369" s="217"/>
      <c r="P369" s="217"/>
    </row>
    <row r="370" spans="3:16" ht="42" customHeight="1">
      <c r="C370" s="272">
        <v>368</v>
      </c>
      <c r="D370" s="275"/>
      <c r="E370" s="276"/>
      <c r="F370" s="221"/>
      <c r="G370" s="275"/>
      <c r="H370" s="276"/>
      <c r="I370" s="217"/>
      <c r="J370" s="217"/>
      <c r="K370" s="221"/>
      <c r="L370" s="217"/>
      <c r="M370" s="217"/>
      <c r="N370" s="217"/>
      <c r="O370" s="217"/>
      <c r="P370" s="217"/>
    </row>
    <row r="371" spans="3:16" ht="42" customHeight="1">
      <c r="C371" s="272">
        <v>369</v>
      </c>
      <c r="D371" s="275"/>
      <c r="E371" s="276"/>
      <c r="F371" s="221"/>
      <c r="G371" s="275"/>
      <c r="H371" s="276"/>
      <c r="I371" s="217"/>
      <c r="J371" s="217"/>
      <c r="K371" s="221"/>
      <c r="L371" s="217"/>
      <c r="M371" s="217"/>
      <c r="N371" s="217"/>
      <c r="O371" s="217"/>
      <c r="P371" s="217"/>
    </row>
    <row r="372" spans="3:16" ht="42" customHeight="1">
      <c r="C372" s="272">
        <v>370</v>
      </c>
      <c r="D372" s="275"/>
      <c r="E372" s="276"/>
      <c r="F372" s="221"/>
      <c r="G372" s="275"/>
      <c r="H372" s="276"/>
      <c r="I372" s="217"/>
      <c r="J372" s="217"/>
      <c r="K372" s="221"/>
      <c r="L372" s="217"/>
      <c r="M372" s="217"/>
      <c r="N372" s="217"/>
      <c r="O372" s="217"/>
      <c r="P372" s="217"/>
    </row>
    <row r="373" spans="3:16" ht="42" customHeight="1">
      <c r="C373" s="272">
        <v>371</v>
      </c>
      <c r="D373" s="275"/>
      <c r="E373" s="276"/>
      <c r="F373" s="221"/>
      <c r="G373" s="275"/>
      <c r="H373" s="276"/>
      <c r="I373" s="217"/>
      <c r="J373" s="217"/>
      <c r="K373" s="221"/>
      <c r="L373" s="217"/>
      <c r="M373" s="217"/>
      <c r="N373" s="217"/>
      <c r="O373" s="217"/>
      <c r="P373" s="217"/>
    </row>
    <row r="374" spans="3:16" ht="42" customHeight="1">
      <c r="C374" s="272">
        <v>372</v>
      </c>
      <c r="D374" s="275"/>
      <c r="E374" s="276"/>
      <c r="F374" s="221"/>
      <c r="G374" s="275"/>
      <c r="H374" s="276"/>
      <c r="I374" s="217"/>
      <c r="J374" s="217"/>
      <c r="K374" s="221"/>
      <c r="L374" s="217"/>
      <c r="M374" s="217"/>
      <c r="N374" s="217"/>
      <c r="O374" s="217"/>
      <c r="P374" s="217"/>
    </row>
    <row r="375" spans="3:16" ht="42" customHeight="1">
      <c r="C375" s="272">
        <v>373</v>
      </c>
      <c r="D375" s="275"/>
      <c r="E375" s="276"/>
      <c r="F375" s="221"/>
      <c r="G375" s="275"/>
      <c r="H375" s="276"/>
      <c r="I375" s="217"/>
      <c r="J375" s="217"/>
      <c r="K375" s="221"/>
      <c r="L375" s="217"/>
      <c r="M375" s="217"/>
      <c r="N375" s="217"/>
      <c r="O375" s="217"/>
      <c r="P375" s="217"/>
    </row>
    <row r="376" spans="3:16" ht="42" customHeight="1">
      <c r="C376" s="272">
        <v>374</v>
      </c>
      <c r="D376" s="275"/>
      <c r="E376" s="276"/>
      <c r="F376" s="221"/>
      <c r="G376" s="275"/>
      <c r="H376" s="276"/>
      <c r="I376" s="217"/>
      <c r="J376" s="217"/>
      <c r="K376" s="221"/>
      <c r="L376" s="217"/>
      <c r="M376" s="217"/>
      <c r="N376" s="217"/>
      <c r="O376" s="217"/>
      <c r="P376" s="217"/>
    </row>
    <row r="377" spans="3:16" ht="42" customHeight="1">
      <c r="C377" s="272">
        <v>375</v>
      </c>
      <c r="D377" s="275"/>
      <c r="E377" s="276"/>
      <c r="F377" s="221"/>
      <c r="G377" s="275"/>
      <c r="H377" s="276"/>
      <c r="I377" s="217"/>
      <c r="J377" s="217"/>
      <c r="K377" s="221"/>
      <c r="L377" s="217"/>
      <c r="M377" s="217"/>
      <c r="N377" s="217"/>
      <c r="O377" s="217"/>
      <c r="P377" s="217"/>
    </row>
    <row r="378" spans="3:16" ht="42" customHeight="1">
      <c r="C378" s="272">
        <v>376</v>
      </c>
      <c r="D378" s="275"/>
      <c r="E378" s="276"/>
      <c r="F378" s="221"/>
      <c r="G378" s="275"/>
      <c r="H378" s="276"/>
      <c r="I378" s="217"/>
      <c r="J378" s="217"/>
      <c r="K378" s="221"/>
      <c r="L378" s="217"/>
      <c r="M378" s="217"/>
      <c r="N378" s="217"/>
      <c r="O378" s="217"/>
      <c r="P378" s="217"/>
    </row>
    <row r="379" spans="3:16" ht="42" customHeight="1">
      <c r="C379" s="272">
        <v>377</v>
      </c>
      <c r="D379" s="275"/>
      <c r="E379" s="276"/>
      <c r="F379" s="221"/>
      <c r="G379" s="275"/>
      <c r="H379" s="276"/>
      <c r="I379" s="217"/>
      <c r="J379" s="217"/>
      <c r="K379" s="221"/>
      <c r="L379" s="217"/>
      <c r="M379" s="217"/>
      <c r="N379" s="217"/>
      <c r="O379" s="217"/>
      <c r="P379" s="217"/>
    </row>
    <row r="380" spans="3:16" ht="42" customHeight="1">
      <c r="C380" s="272">
        <v>378</v>
      </c>
      <c r="D380" s="275"/>
      <c r="E380" s="276"/>
      <c r="F380" s="221"/>
      <c r="G380" s="275"/>
      <c r="H380" s="276"/>
      <c r="I380" s="217"/>
      <c r="J380" s="217"/>
      <c r="K380" s="221"/>
      <c r="L380" s="217"/>
      <c r="M380" s="217"/>
      <c r="N380" s="217"/>
      <c r="O380" s="217"/>
      <c r="P380" s="217"/>
    </row>
    <row r="381" spans="3:16" ht="42" customHeight="1">
      <c r="C381" s="272">
        <v>379</v>
      </c>
      <c r="D381" s="275"/>
      <c r="E381" s="276"/>
      <c r="F381" s="221"/>
      <c r="G381" s="275"/>
      <c r="H381" s="276"/>
      <c r="I381" s="217"/>
      <c r="J381" s="217"/>
      <c r="K381" s="221"/>
      <c r="L381" s="217"/>
      <c r="M381" s="217"/>
      <c r="N381" s="217"/>
      <c r="O381" s="217"/>
      <c r="P381" s="217"/>
    </row>
    <row r="382" spans="3:16" ht="42" customHeight="1">
      <c r="C382" s="272">
        <v>380</v>
      </c>
      <c r="D382" s="275"/>
      <c r="E382" s="276"/>
      <c r="F382" s="221"/>
      <c r="G382" s="275"/>
      <c r="H382" s="276"/>
      <c r="I382" s="217"/>
      <c r="J382" s="217"/>
      <c r="K382" s="221"/>
      <c r="L382" s="217"/>
      <c r="M382" s="217"/>
      <c r="N382" s="217"/>
      <c r="O382" s="217"/>
      <c r="P382" s="217"/>
    </row>
    <row r="383" spans="3:16" ht="42" customHeight="1">
      <c r="C383" s="272">
        <v>381</v>
      </c>
      <c r="D383" s="275"/>
      <c r="E383" s="276"/>
      <c r="F383" s="221"/>
      <c r="G383" s="275"/>
      <c r="H383" s="276"/>
      <c r="I383" s="217"/>
      <c r="J383" s="217"/>
      <c r="K383" s="221"/>
      <c r="L383" s="217"/>
      <c r="M383" s="217"/>
      <c r="N383" s="217"/>
      <c r="O383" s="217"/>
      <c r="P383" s="217"/>
    </row>
    <row r="384" spans="3:16" ht="42" customHeight="1">
      <c r="C384" s="272">
        <v>382</v>
      </c>
      <c r="D384" s="275"/>
      <c r="E384" s="276"/>
      <c r="F384" s="221"/>
      <c r="G384" s="275"/>
      <c r="H384" s="276"/>
      <c r="I384" s="217"/>
      <c r="J384" s="217"/>
      <c r="K384" s="221"/>
      <c r="L384" s="217"/>
      <c r="M384" s="217"/>
      <c r="N384" s="217"/>
      <c r="O384" s="217"/>
      <c r="P384" s="217"/>
    </row>
    <row r="385" spans="3:16" ht="42" customHeight="1">
      <c r="C385" s="272">
        <v>383</v>
      </c>
      <c r="D385" s="275"/>
      <c r="E385" s="276"/>
      <c r="F385" s="221"/>
      <c r="G385" s="275"/>
      <c r="H385" s="276"/>
      <c r="I385" s="217"/>
      <c r="J385" s="217"/>
      <c r="K385" s="221"/>
      <c r="L385" s="217"/>
      <c r="M385" s="217"/>
      <c r="N385" s="217"/>
      <c r="O385" s="217"/>
      <c r="P385" s="217"/>
    </row>
    <row r="386" spans="3:16" ht="42" customHeight="1">
      <c r="C386" s="272">
        <v>384</v>
      </c>
      <c r="D386" s="275"/>
      <c r="E386" s="276"/>
      <c r="F386" s="221"/>
      <c r="G386" s="275"/>
      <c r="H386" s="276"/>
      <c r="I386" s="217"/>
      <c r="J386" s="217"/>
      <c r="K386" s="221"/>
      <c r="L386" s="217"/>
      <c r="M386" s="217"/>
      <c r="N386" s="217"/>
      <c r="O386" s="217"/>
      <c r="P386" s="217"/>
    </row>
    <row r="387" spans="3:16" ht="42" customHeight="1">
      <c r="C387" s="272">
        <v>385</v>
      </c>
      <c r="D387" s="275"/>
      <c r="E387" s="276"/>
      <c r="F387" s="221"/>
      <c r="G387" s="275"/>
      <c r="H387" s="276"/>
      <c r="I387" s="217"/>
      <c r="J387" s="217"/>
      <c r="K387" s="221"/>
      <c r="L387" s="217"/>
      <c r="M387" s="217"/>
      <c r="N387" s="217"/>
      <c r="O387" s="217"/>
      <c r="P387" s="217"/>
    </row>
    <row r="388" spans="3:16" ht="42" customHeight="1">
      <c r="C388" s="272">
        <v>386</v>
      </c>
      <c r="D388" s="275"/>
      <c r="E388" s="276"/>
      <c r="F388" s="221"/>
      <c r="G388" s="275"/>
      <c r="H388" s="276"/>
      <c r="I388" s="217"/>
      <c r="J388" s="217"/>
      <c r="K388" s="221"/>
      <c r="L388" s="217"/>
      <c r="M388" s="217"/>
      <c r="N388" s="217"/>
      <c r="O388" s="217"/>
      <c r="P388" s="217"/>
    </row>
    <row r="389" spans="3:16" ht="42" customHeight="1">
      <c r="C389" s="272">
        <v>387</v>
      </c>
      <c r="D389" s="275"/>
      <c r="E389" s="276"/>
      <c r="F389" s="221"/>
      <c r="G389" s="275"/>
      <c r="H389" s="276"/>
      <c r="I389" s="217"/>
      <c r="J389" s="217"/>
      <c r="K389" s="221"/>
      <c r="L389" s="217"/>
      <c r="M389" s="217"/>
      <c r="N389" s="217"/>
      <c r="O389" s="217"/>
      <c r="P389" s="217"/>
    </row>
    <row r="390" spans="3:16" ht="42" customHeight="1">
      <c r="C390" s="272">
        <v>388</v>
      </c>
      <c r="D390" s="275"/>
      <c r="E390" s="276"/>
      <c r="F390" s="221"/>
      <c r="G390" s="275"/>
      <c r="H390" s="276"/>
      <c r="I390" s="217"/>
      <c r="J390" s="217"/>
      <c r="K390" s="221"/>
      <c r="L390" s="217"/>
      <c r="M390" s="217"/>
      <c r="N390" s="217"/>
      <c r="O390" s="217"/>
      <c r="P390" s="217"/>
    </row>
    <row r="391" spans="3:16" ht="42" customHeight="1">
      <c r="C391" s="272">
        <v>389</v>
      </c>
      <c r="D391" s="275"/>
      <c r="E391" s="276"/>
      <c r="F391" s="221"/>
      <c r="G391" s="275"/>
      <c r="H391" s="276"/>
      <c r="I391" s="217"/>
      <c r="J391" s="217"/>
      <c r="K391" s="221"/>
      <c r="L391" s="217"/>
      <c r="M391" s="217"/>
      <c r="N391" s="217"/>
      <c r="O391" s="217"/>
      <c r="P391" s="217"/>
    </row>
    <row r="392" spans="3:16" ht="42" customHeight="1">
      <c r="C392" s="272">
        <v>390</v>
      </c>
      <c r="D392" s="275"/>
      <c r="E392" s="276"/>
      <c r="F392" s="221"/>
      <c r="G392" s="275"/>
      <c r="H392" s="276"/>
      <c r="I392" s="217"/>
      <c r="J392" s="217"/>
      <c r="K392" s="221"/>
      <c r="L392" s="217"/>
      <c r="M392" s="217"/>
      <c r="N392" s="217"/>
      <c r="O392" s="217"/>
      <c r="P392" s="217"/>
    </row>
    <row r="393" spans="3:16" ht="42" customHeight="1">
      <c r="C393" s="272">
        <v>391</v>
      </c>
      <c r="D393" s="275"/>
      <c r="E393" s="276"/>
      <c r="F393" s="221"/>
      <c r="G393" s="275"/>
      <c r="H393" s="276"/>
      <c r="I393" s="217"/>
      <c r="J393" s="217"/>
      <c r="K393" s="221"/>
      <c r="L393" s="217"/>
      <c r="M393" s="217"/>
      <c r="N393" s="217"/>
      <c r="O393" s="217"/>
      <c r="P393" s="217"/>
    </row>
    <row r="394" spans="3:16" ht="42" customHeight="1">
      <c r="C394" s="272">
        <v>392</v>
      </c>
      <c r="D394" s="275"/>
      <c r="E394" s="276"/>
      <c r="F394" s="221"/>
      <c r="G394" s="275"/>
      <c r="H394" s="276"/>
      <c r="I394" s="217"/>
      <c r="J394" s="217"/>
      <c r="K394" s="221"/>
      <c r="L394" s="217"/>
      <c r="M394" s="217"/>
      <c r="N394" s="217"/>
      <c r="O394" s="217"/>
      <c r="P394" s="217"/>
    </row>
    <row r="395" spans="3:16" ht="42" customHeight="1">
      <c r="C395" s="272">
        <v>393</v>
      </c>
      <c r="D395" s="275"/>
      <c r="E395" s="276"/>
      <c r="F395" s="221"/>
      <c r="G395" s="275"/>
      <c r="H395" s="276"/>
      <c r="I395" s="217"/>
      <c r="J395" s="217"/>
      <c r="K395" s="221"/>
      <c r="L395" s="217"/>
      <c r="M395" s="217"/>
      <c r="N395" s="217"/>
      <c r="O395" s="217"/>
      <c r="P395" s="217"/>
    </row>
    <row r="396" spans="3:16" ht="42" customHeight="1">
      <c r="C396" s="272">
        <v>394</v>
      </c>
      <c r="D396" s="275"/>
      <c r="E396" s="276"/>
      <c r="F396" s="221"/>
      <c r="G396" s="275"/>
      <c r="H396" s="276"/>
      <c r="I396" s="217"/>
      <c r="J396" s="217"/>
      <c r="K396" s="221"/>
      <c r="L396" s="217"/>
      <c r="M396" s="217"/>
      <c r="N396" s="217"/>
      <c r="O396" s="217"/>
      <c r="P396" s="217"/>
    </row>
    <row r="397" spans="3:16" ht="42" customHeight="1">
      <c r="C397" s="272">
        <v>395</v>
      </c>
      <c r="D397" s="275"/>
      <c r="E397" s="276"/>
      <c r="F397" s="221"/>
      <c r="G397" s="275"/>
      <c r="H397" s="276"/>
      <c r="I397" s="217"/>
      <c r="J397" s="217"/>
      <c r="K397" s="221"/>
      <c r="L397" s="217"/>
      <c r="M397" s="217"/>
      <c r="N397" s="217"/>
      <c r="O397" s="217"/>
      <c r="P397" s="217"/>
    </row>
    <row r="398" spans="3:16" ht="42" customHeight="1">
      <c r="C398" s="272">
        <v>396</v>
      </c>
      <c r="D398" s="275"/>
      <c r="E398" s="276"/>
      <c r="F398" s="221"/>
      <c r="G398" s="275"/>
      <c r="H398" s="276"/>
      <c r="I398" s="217"/>
      <c r="J398" s="217"/>
      <c r="K398" s="221"/>
      <c r="L398" s="217"/>
      <c r="M398" s="217"/>
      <c r="N398" s="217"/>
      <c r="O398" s="217"/>
      <c r="P398" s="217"/>
    </row>
    <row r="399" spans="3:16" ht="42" customHeight="1">
      <c r="C399" s="272">
        <v>397</v>
      </c>
      <c r="D399" s="275"/>
      <c r="E399" s="276"/>
      <c r="F399" s="221"/>
      <c r="G399" s="275"/>
      <c r="H399" s="276"/>
      <c r="I399" s="217"/>
      <c r="J399" s="217"/>
      <c r="K399" s="221"/>
      <c r="L399" s="217"/>
      <c r="M399" s="217"/>
      <c r="N399" s="217"/>
      <c r="O399" s="217"/>
      <c r="P399" s="217"/>
    </row>
    <row r="400" spans="3:16" ht="42" customHeight="1">
      <c r="C400" s="272">
        <v>398</v>
      </c>
      <c r="D400" s="275"/>
      <c r="E400" s="276"/>
      <c r="F400" s="221"/>
      <c r="G400" s="275"/>
      <c r="H400" s="276"/>
      <c r="I400" s="217"/>
      <c r="J400" s="217"/>
      <c r="K400" s="221"/>
      <c r="L400" s="217"/>
      <c r="M400" s="217"/>
      <c r="N400" s="217"/>
      <c r="O400" s="217"/>
      <c r="P400" s="217"/>
    </row>
    <row r="401" spans="3:16" ht="42" customHeight="1">
      <c r="C401" s="272">
        <v>399</v>
      </c>
      <c r="D401" s="275"/>
      <c r="E401" s="276"/>
      <c r="F401" s="221"/>
      <c r="G401" s="275"/>
      <c r="H401" s="276"/>
      <c r="I401" s="217"/>
      <c r="J401" s="217"/>
      <c r="K401" s="221"/>
      <c r="L401" s="217"/>
      <c r="M401" s="217"/>
      <c r="N401" s="217"/>
      <c r="O401" s="217"/>
      <c r="P401" s="217"/>
    </row>
    <row r="402" spans="3:16" ht="42" customHeight="1">
      <c r="C402" s="272">
        <v>400</v>
      </c>
      <c r="D402" s="275"/>
      <c r="E402" s="276"/>
      <c r="F402" s="221"/>
      <c r="G402" s="275"/>
      <c r="H402" s="276"/>
      <c r="I402" s="217"/>
      <c r="J402" s="217"/>
      <c r="K402" s="221"/>
      <c r="L402" s="217"/>
      <c r="M402" s="217"/>
      <c r="N402" s="217"/>
      <c r="O402" s="217"/>
      <c r="P402" s="217"/>
    </row>
    <row r="403" spans="3:16" ht="42" customHeight="1">
      <c r="C403" s="272">
        <v>401</v>
      </c>
      <c r="D403" s="275"/>
      <c r="E403" s="276"/>
      <c r="F403" s="221"/>
      <c r="G403" s="275"/>
      <c r="H403" s="276"/>
      <c r="I403" s="217"/>
      <c r="J403" s="217"/>
      <c r="K403" s="221"/>
      <c r="L403" s="217"/>
      <c r="M403" s="217"/>
      <c r="N403" s="217"/>
      <c r="O403" s="217"/>
      <c r="P403" s="217"/>
    </row>
    <row r="404" spans="3:16" ht="42" customHeight="1">
      <c r="C404" s="272">
        <v>402</v>
      </c>
      <c r="D404" s="275"/>
      <c r="E404" s="276"/>
      <c r="F404" s="221"/>
      <c r="G404" s="275"/>
      <c r="H404" s="276"/>
      <c r="I404" s="217"/>
      <c r="J404" s="217"/>
      <c r="K404" s="221"/>
      <c r="L404" s="217"/>
      <c r="M404" s="217"/>
      <c r="N404" s="217"/>
      <c r="O404" s="217"/>
      <c r="P404" s="217"/>
    </row>
    <row r="405" spans="3:16" ht="42" customHeight="1">
      <c r="C405" s="272">
        <v>403</v>
      </c>
      <c r="D405" s="275"/>
      <c r="E405" s="276"/>
      <c r="F405" s="221"/>
      <c r="G405" s="275"/>
      <c r="H405" s="276"/>
      <c r="I405" s="217"/>
      <c r="J405" s="217"/>
      <c r="K405" s="221"/>
      <c r="L405" s="217"/>
      <c r="M405" s="217"/>
      <c r="N405" s="217"/>
      <c r="O405" s="217"/>
      <c r="P405" s="217"/>
    </row>
    <row r="406" spans="3:16" ht="42" customHeight="1">
      <c r="C406" s="272">
        <v>404</v>
      </c>
      <c r="D406" s="275"/>
      <c r="E406" s="276"/>
      <c r="F406" s="221"/>
      <c r="G406" s="275"/>
      <c r="H406" s="276"/>
      <c r="I406" s="217"/>
      <c r="J406" s="217"/>
      <c r="K406" s="221"/>
      <c r="L406" s="217"/>
      <c r="M406" s="217"/>
      <c r="N406" s="217"/>
      <c r="O406" s="217"/>
      <c r="P406" s="217"/>
    </row>
    <row r="407" spans="3:16" ht="42" customHeight="1">
      <c r="C407" s="272">
        <v>405</v>
      </c>
      <c r="D407" s="275"/>
      <c r="E407" s="276"/>
      <c r="F407" s="221"/>
      <c r="G407" s="275"/>
      <c r="H407" s="276"/>
      <c r="I407" s="217"/>
      <c r="J407" s="217"/>
      <c r="K407" s="221"/>
      <c r="L407" s="217"/>
      <c r="M407" s="217"/>
      <c r="N407" s="217"/>
      <c r="O407" s="217"/>
      <c r="P407" s="217"/>
    </row>
    <row r="408" spans="3:16" ht="42" customHeight="1">
      <c r="C408" s="272">
        <v>406</v>
      </c>
      <c r="D408" s="275"/>
      <c r="E408" s="276"/>
      <c r="F408" s="221"/>
      <c r="G408" s="275"/>
      <c r="H408" s="276"/>
      <c r="I408" s="217"/>
      <c r="J408" s="217"/>
      <c r="K408" s="221"/>
      <c r="L408" s="217"/>
      <c r="M408" s="217"/>
      <c r="N408" s="217"/>
      <c r="O408" s="217"/>
      <c r="P408" s="217"/>
    </row>
    <row r="409" spans="3:16" ht="42" customHeight="1">
      <c r="C409" s="272">
        <v>407</v>
      </c>
      <c r="D409" s="275"/>
      <c r="E409" s="276"/>
      <c r="F409" s="221"/>
      <c r="G409" s="275"/>
      <c r="H409" s="276"/>
      <c r="I409" s="217"/>
      <c r="J409" s="217"/>
      <c r="K409" s="221"/>
      <c r="L409" s="217"/>
      <c r="M409" s="217"/>
      <c r="N409" s="217"/>
      <c r="O409" s="217"/>
      <c r="P409" s="217"/>
    </row>
    <row r="410" spans="3:16" ht="42" customHeight="1">
      <c r="C410" s="272">
        <v>408</v>
      </c>
      <c r="D410" s="275"/>
      <c r="E410" s="276"/>
      <c r="F410" s="221"/>
      <c r="G410" s="275"/>
      <c r="H410" s="276"/>
      <c r="I410" s="217"/>
      <c r="J410" s="217"/>
      <c r="K410" s="221"/>
      <c r="L410" s="217"/>
      <c r="M410" s="217"/>
      <c r="N410" s="217"/>
      <c r="O410" s="217"/>
      <c r="P410" s="217"/>
    </row>
    <row r="411" spans="3:16" ht="42" customHeight="1">
      <c r="C411" s="272">
        <v>409</v>
      </c>
      <c r="D411" s="275"/>
      <c r="E411" s="276"/>
      <c r="F411" s="221"/>
      <c r="G411" s="275"/>
      <c r="H411" s="276"/>
      <c r="I411" s="217"/>
      <c r="J411" s="217"/>
      <c r="K411" s="221"/>
      <c r="L411" s="217"/>
      <c r="M411" s="217"/>
      <c r="N411" s="217"/>
      <c r="O411" s="217"/>
      <c r="P411" s="217"/>
    </row>
    <row r="412" spans="3:16" ht="42" customHeight="1">
      <c r="C412" s="272">
        <v>410</v>
      </c>
      <c r="D412" s="275"/>
      <c r="E412" s="276"/>
      <c r="F412" s="221"/>
      <c r="G412" s="275"/>
      <c r="H412" s="276"/>
      <c r="I412" s="217"/>
      <c r="J412" s="217"/>
      <c r="K412" s="221"/>
      <c r="L412" s="217"/>
      <c r="M412" s="217"/>
      <c r="N412" s="217"/>
      <c r="O412" s="217"/>
      <c r="P412" s="217"/>
    </row>
    <row r="413" spans="3:16" ht="42" customHeight="1">
      <c r="C413" s="272">
        <v>411</v>
      </c>
      <c r="D413" s="275"/>
      <c r="E413" s="276"/>
      <c r="F413" s="221"/>
      <c r="G413" s="275"/>
      <c r="H413" s="276"/>
      <c r="I413" s="217"/>
      <c r="J413" s="217"/>
      <c r="K413" s="221"/>
      <c r="L413" s="217"/>
      <c r="M413" s="217"/>
      <c r="N413" s="217"/>
      <c r="O413" s="217"/>
      <c r="P413" s="217"/>
    </row>
    <row r="414" spans="3:16" ht="42" customHeight="1">
      <c r="C414" s="272">
        <v>412</v>
      </c>
      <c r="D414" s="275"/>
      <c r="E414" s="276"/>
      <c r="F414" s="221"/>
      <c r="G414" s="275"/>
      <c r="H414" s="276"/>
      <c r="I414" s="217"/>
      <c r="J414" s="217"/>
      <c r="K414" s="221"/>
      <c r="L414" s="217"/>
      <c r="M414" s="217"/>
      <c r="N414" s="217"/>
      <c r="O414" s="217"/>
      <c r="P414" s="217"/>
    </row>
    <row r="415" spans="3:16" ht="42" customHeight="1">
      <c r="C415" s="272">
        <v>413</v>
      </c>
      <c r="D415" s="275"/>
      <c r="E415" s="276"/>
      <c r="F415" s="221"/>
      <c r="G415" s="275"/>
      <c r="H415" s="276"/>
      <c r="I415" s="217"/>
      <c r="J415" s="217"/>
      <c r="K415" s="221"/>
      <c r="L415" s="217"/>
      <c r="M415" s="217"/>
      <c r="N415" s="217"/>
      <c r="O415" s="217"/>
      <c r="P415" s="217"/>
    </row>
    <row r="416" spans="3:16" ht="42" customHeight="1">
      <c r="C416" s="272">
        <v>414</v>
      </c>
      <c r="D416" s="275"/>
      <c r="E416" s="276"/>
      <c r="F416" s="221"/>
      <c r="G416" s="275"/>
      <c r="H416" s="276"/>
      <c r="I416" s="217"/>
      <c r="J416" s="217"/>
      <c r="K416" s="221"/>
      <c r="L416" s="217"/>
      <c r="M416" s="217"/>
      <c r="N416" s="217"/>
      <c r="O416" s="217"/>
      <c r="P416" s="217"/>
    </row>
    <row r="417" spans="3:16" ht="42" customHeight="1">
      <c r="C417" s="272">
        <v>415</v>
      </c>
      <c r="D417" s="275"/>
      <c r="E417" s="276"/>
      <c r="F417" s="221"/>
      <c r="G417" s="275"/>
      <c r="H417" s="276"/>
      <c r="I417" s="217"/>
      <c r="J417" s="217"/>
      <c r="K417" s="221"/>
      <c r="L417" s="217"/>
      <c r="M417" s="217"/>
      <c r="N417" s="217"/>
      <c r="O417" s="217"/>
      <c r="P417" s="217"/>
    </row>
    <row r="418" spans="3:16" ht="42" customHeight="1">
      <c r="C418" s="272">
        <v>416</v>
      </c>
      <c r="D418" s="275"/>
      <c r="E418" s="276"/>
      <c r="F418" s="221"/>
      <c r="G418" s="275"/>
      <c r="H418" s="276"/>
      <c r="I418" s="217"/>
      <c r="J418" s="217"/>
      <c r="K418" s="221"/>
      <c r="L418" s="217"/>
      <c r="M418" s="217"/>
      <c r="N418" s="217"/>
      <c r="O418" s="217"/>
      <c r="P418" s="217"/>
    </row>
    <row r="419" spans="3:16" ht="42" customHeight="1">
      <c r="C419" s="272">
        <v>417</v>
      </c>
      <c r="D419" s="275"/>
      <c r="E419" s="276"/>
      <c r="F419" s="221"/>
      <c r="G419" s="275"/>
      <c r="H419" s="276"/>
      <c r="I419" s="217"/>
      <c r="J419" s="217"/>
      <c r="K419" s="221"/>
      <c r="L419" s="217"/>
      <c r="M419" s="217"/>
      <c r="N419" s="217"/>
      <c r="O419" s="217"/>
      <c r="P419" s="217"/>
    </row>
    <row r="420" spans="3:16" ht="42" customHeight="1">
      <c r="C420" s="272">
        <v>418</v>
      </c>
      <c r="D420" s="275"/>
      <c r="E420" s="276"/>
      <c r="F420" s="221"/>
      <c r="G420" s="275"/>
      <c r="H420" s="276"/>
      <c r="I420" s="217"/>
      <c r="J420" s="217"/>
      <c r="K420" s="221"/>
      <c r="L420" s="217"/>
      <c r="M420" s="217"/>
      <c r="N420" s="217"/>
      <c r="O420" s="217"/>
      <c r="P420" s="217"/>
    </row>
    <row r="421" spans="3:16" ht="42" customHeight="1">
      <c r="C421" s="272">
        <v>419</v>
      </c>
      <c r="D421" s="275"/>
      <c r="E421" s="276"/>
      <c r="F421" s="221"/>
      <c r="G421" s="275"/>
      <c r="H421" s="276"/>
      <c r="I421" s="217"/>
      <c r="J421" s="217"/>
      <c r="K421" s="221"/>
      <c r="L421" s="217"/>
      <c r="M421" s="217"/>
      <c r="N421" s="217"/>
      <c r="O421" s="217"/>
      <c r="P421" s="217"/>
    </row>
    <row r="422" spans="3:16" ht="42" customHeight="1">
      <c r="C422" s="272">
        <v>420</v>
      </c>
      <c r="D422" s="275"/>
      <c r="E422" s="276"/>
      <c r="F422" s="221"/>
      <c r="G422" s="275"/>
      <c r="H422" s="276"/>
      <c r="I422" s="217"/>
      <c r="J422" s="217"/>
      <c r="K422" s="221"/>
      <c r="L422" s="217"/>
      <c r="M422" s="217"/>
      <c r="N422" s="217"/>
      <c r="O422" s="217"/>
      <c r="P422" s="217"/>
    </row>
    <row r="423" spans="3:16" ht="42" customHeight="1">
      <c r="C423" s="272">
        <v>421</v>
      </c>
      <c r="D423" s="275"/>
      <c r="E423" s="276"/>
      <c r="F423" s="221"/>
      <c r="G423" s="275"/>
      <c r="H423" s="276"/>
      <c r="I423" s="217"/>
      <c r="J423" s="217"/>
      <c r="K423" s="221"/>
      <c r="L423" s="217"/>
      <c r="M423" s="217"/>
      <c r="N423" s="217"/>
      <c r="O423" s="217"/>
      <c r="P423" s="217"/>
    </row>
    <row r="424" spans="3:16" ht="42" customHeight="1">
      <c r="C424" s="272">
        <v>422</v>
      </c>
      <c r="D424" s="275"/>
      <c r="E424" s="276"/>
      <c r="F424" s="221"/>
      <c r="G424" s="275"/>
      <c r="H424" s="276"/>
      <c r="I424" s="217"/>
      <c r="J424" s="217"/>
      <c r="K424" s="221"/>
      <c r="L424" s="217"/>
      <c r="M424" s="217"/>
      <c r="N424" s="217"/>
      <c r="O424" s="217"/>
      <c r="P424" s="217"/>
    </row>
    <row r="425" spans="3:16" ht="42" customHeight="1">
      <c r="C425" s="272">
        <v>423</v>
      </c>
      <c r="D425" s="275"/>
      <c r="E425" s="276"/>
      <c r="F425" s="221"/>
      <c r="G425" s="275"/>
      <c r="H425" s="276"/>
      <c r="I425" s="217"/>
      <c r="J425" s="217"/>
      <c r="K425" s="221"/>
      <c r="L425" s="217"/>
      <c r="M425" s="217"/>
      <c r="N425" s="217"/>
      <c r="O425" s="217"/>
      <c r="P425" s="217"/>
    </row>
    <row r="426" spans="3:16" ht="42" customHeight="1">
      <c r="C426" s="272">
        <v>424</v>
      </c>
      <c r="D426" s="275"/>
      <c r="E426" s="276"/>
      <c r="F426" s="221"/>
      <c r="G426" s="275"/>
      <c r="H426" s="276"/>
      <c r="I426" s="217"/>
      <c r="J426" s="217"/>
      <c r="K426" s="221"/>
      <c r="L426" s="217"/>
      <c r="M426" s="217"/>
      <c r="N426" s="217"/>
      <c r="O426" s="217"/>
      <c r="P426" s="217"/>
    </row>
    <row r="427" spans="3:16" ht="42" customHeight="1">
      <c r="C427" s="272">
        <v>425</v>
      </c>
      <c r="D427" s="275"/>
      <c r="E427" s="276"/>
      <c r="F427" s="221"/>
      <c r="G427" s="275"/>
      <c r="H427" s="276"/>
      <c r="I427" s="217"/>
      <c r="J427" s="217"/>
      <c r="K427" s="221"/>
      <c r="L427" s="217"/>
      <c r="M427" s="217"/>
      <c r="N427" s="217"/>
      <c r="O427" s="217"/>
      <c r="P427" s="217"/>
    </row>
    <row r="428" spans="3:16" ht="42" customHeight="1">
      <c r="C428" s="272">
        <v>426</v>
      </c>
      <c r="D428" s="275"/>
      <c r="E428" s="276"/>
      <c r="F428" s="221"/>
      <c r="G428" s="275"/>
      <c r="H428" s="276"/>
      <c r="I428" s="217"/>
      <c r="J428" s="217"/>
      <c r="K428" s="221"/>
      <c r="L428" s="217"/>
      <c r="M428" s="217"/>
      <c r="N428" s="217"/>
      <c r="O428" s="217"/>
      <c r="P428" s="217"/>
    </row>
    <row r="429" spans="3:16" ht="42" customHeight="1">
      <c r="C429" s="272">
        <v>427</v>
      </c>
      <c r="D429" s="275"/>
      <c r="E429" s="276"/>
      <c r="F429" s="221"/>
      <c r="G429" s="275"/>
      <c r="H429" s="276"/>
      <c r="I429" s="217"/>
      <c r="J429" s="217"/>
      <c r="K429" s="221"/>
      <c r="L429" s="217"/>
      <c r="M429" s="217"/>
      <c r="N429" s="217"/>
      <c r="O429" s="217"/>
      <c r="P429" s="217"/>
    </row>
    <row r="430" spans="3:16" ht="42" customHeight="1">
      <c r="C430" s="272">
        <v>428</v>
      </c>
      <c r="D430" s="275"/>
      <c r="E430" s="276"/>
      <c r="F430" s="221"/>
      <c r="G430" s="275"/>
      <c r="H430" s="276"/>
      <c r="I430" s="217"/>
      <c r="J430" s="217"/>
      <c r="K430" s="221"/>
      <c r="L430" s="217"/>
      <c r="M430" s="217"/>
      <c r="N430" s="217"/>
      <c r="O430" s="217"/>
      <c r="P430" s="217"/>
    </row>
    <row r="431" spans="3:16" ht="42" customHeight="1">
      <c r="C431" s="272">
        <v>429</v>
      </c>
      <c r="D431" s="275"/>
      <c r="E431" s="276"/>
      <c r="F431" s="221"/>
      <c r="G431" s="275"/>
      <c r="H431" s="276"/>
      <c r="I431" s="217"/>
      <c r="J431" s="217"/>
      <c r="K431" s="221"/>
      <c r="L431" s="217"/>
      <c r="M431" s="217"/>
      <c r="N431" s="217"/>
      <c r="O431" s="217"/>
      <c r="P431" s="217"/>
    </row>
    <row r="432" spans="3:16" ht="42" customHeight="1">
      <c r="C432" s="272">
        <v>430</v>
      </c>
      <c r="D432" s="275"/>
      <c r="E432" s="276"/>
      <c r="F432" s="221"/>
      <c r="G432" s="275"/>
      <c r="H432" s="276"/>
      <c r="I432" s="217"/>
      <c r="J432" s="217"/>
      <c r="K432" s="221"/>
      <c r="L432" s="217"/>
      <c r="M432" s="217"/>
      <c r="N432" s="217"/>
      <c r="O432" s="217"/>
      <c r="P432" s="217"/>
    </row>
    <row r="433" spans="3:16" ht="42" customHeight="1">
      <c r="C433" s="272">
        <v>431</v>
      </c>
      <c r="D433" s="275"/>
      <c r="E433" s="276"/>
      <c r="F433" s="221"/>
      <c r="G433" s="275"/>
      <c r="H433" s="276"/>
      <c r="I433" s="217"/>
      <c r="J433" s="217"/>
      <c r="K433" s="221"/>
      <c r="L433" s="217"/>
      <c r="M433" s="217"/>
      <c r="N433" s="217"/>
      <c r="O433" s="217"/>
      <c r="P433" s="217"/>
    </row>
    <row r="434" spans="3:16" ht="42" customHeight="1">
      <c r="C434" s="272">
        <v>432</v>
      </c>
      <c r="D434" s="275"/>
      <c r="E434" s="276"/>
      <c r="F434" s="221"/>
      <c r="G434" s="275"/>
      <c r="H434" s="276"/>
      <c r="I434" s="217"/>
      <c r="J434" s="217"/>
      <c r="K434" s="221"/>
      <c r="L434" s="217"/>
      <c r="M434" s="217"/>
      <c r="N434" s="217"/>
      <c r="O434" s="217"/>
      <c r="P434" s="217"/>
    </row>
    <row r="435" spans="3:16" ht="42" customHeight="1">
      <c r="C435" s="272">
        <v>433</v>
      </c>
      <c r="D435" s="275"/>
      <c r="E435" s="276"/>
      <c r="F435" s="221"/>
      <c r="G435" s="275"/>
      <c r="H435" s="276"/>
      <c r="I435" s="217"/>
      <c r="J435" s="217"/>
      <c r="K435" s="221"/>
      <c r="L435" s="217"/>
      <c r="M435" s="217"/>
      <c r="N435" s="217"/>
      <c r="O435" s="217"/>
      <c r="P435" s="217"/>
    </row>
    <row r="436" spans="3:16" ht="42" customHeight="1">
      <c r="C436" s="272">
        <v>434</v>
      </c>
      <c r="D436" s="275"/>
      <c r="E436" s="276"/>
      <c r="F436" s="221"/>
      <c r="G436" s="275"/>
      <c r="H436" s="276"/>
      <c r="I436" s="217"/>
      <c r="J436" s="217"/>
      <c r="K436" s="221"/>
      <c r="L436" s="217"/>
      <c r="M436" s="217"/>
      <c r="N436" s="217"/>
      <c r="O436" s="217"/>
      <c r="P436" s="217"/>
    </row>
    <row r="437" spans="3:16" ht="42" customHeight="1">
      <c r="C437" s="272">
        <v>435</v>
      </c>
      <c r="D437" s="275"/>
      <c r="E437" s="276"/>
      <c r="F437" s="221"/>
      <c r="G437" s="275"/>
      <c r="H437" s="276"/>
      <c r="I437" s="217"/>
      <c r="J437" s="217"/>
      <c r="K437" s="221"/>
      <c r="L437" s="217"/>
      <c r="M437" s="217"/>
      <c r="N437" s="217"/>
      <c r="O437" s="217"/>
      <c r="P437" s="217"/>
    </row>
    <row r="438" spans="3:16" ht="42" customHeight="1">
      <c r="C438" s="272">
        <v>436</v>
      </c>
      <c r="D438" s="275"/>
      <c r="E438" s="276"/>
      <c r="F438" s="221"/>
      <c r="G438" s="275"/>
      <c r="H438" s="276"/>
      <c r="I438" s="217"/>
      <c r="J438" s="217"/>
      <c r="K438" s="221"/>
      <c r="L438" s="217"/>
      <c r="M438" s="217"/>
      <c r="N438" s="217"/>
      <c r="O438" s="217"/>
      <c r="P438" s="217"/>
    </row>
    <row r="439" spans="3:16" ht="42" customHeight="1">
      <c r="C439" s="272">
        <v>437</v>
      </c>
      <c r="D439" s="275"/>
      <c r="E439" s="276"/>
      <c r="F439" s="221"/>
      <c r="G439" s="275"/>
      <c r="H439" s="276"/>
      <c r="I439" s="217"/>
      <c r="J439" s="217"/>
      <c r="K439" s="221"/>
      <c r="L439" s="217"/>
      <c r="M439" s="217"/>
      <c r="N439" s="217"/>
      <c r="O439" s="217"/>
      <c r="P439" s="217"/>
    </row>
    <row r="440" spans="3:16" ht="42" customHeight="1">
      <c r="C440" s="272">
        <v>438</v>
      </c>
      <c r="D440" s="275"/>
      <c r="E440" s="276"/>
      <c r="F440" s="221"/>
      <c r="G440" s="275"/>
      <c r="H440" s="276"/>
      <c r="I440" s="217"/>
      <c r="J440" s="217"/>
      <c r="K440" s="221"/>
      <c r="L440" s="217"/>
      <c r="M440" s="217"/>
      <c r="N440" s="217"/>
      <c r="O440" s="217"/>
      <c r="P440" s="217"/>
    </row>
    <row r="441" spans="3:16" ht="42" customHeight="1">
      <c r="C441" s="272">
        <v>439</v>
      </c>
      <c r="D441" s="275"/>
      <c r="E441" s="276"/>
      <c r="F441" s="221"/>
      <c r="G441" s="275"/>
      <c r="H441" s="276"/>
      <c r="I441" s="217"/>
      <c r="J441" s="217"/>
      <c r="K441" s="221"/>
      <c r="L441" s="217"/>
      <c r="M441" s="217"/>
      <c r="N441" s="217"/>
      <c r="O441" s="217"/>
      <c r="P441" s="217"/>
    </row>
    <row r="442" spans="3:16" ht="42" customHeight="1">
      <c r="C442" s="272">
        <v>440</v>
      </c>
      <c r="D442" s="275"/>
      <c r="E442" s="276"/>
      <c r="F442" s="221"/>
      <c r="G442" s="275"/>
      <c r="H442" s="276"/>
      <c r="I442" s="217"/>
      <c r="J442" s="217"/>
      <c r="K442" s="221"/>
      <c r="L442" s="217"/>
      <c r="M442" s="217"/>
      <c r="N442" s="217"/>
      <c r="O442" s="217"/>
      <c r="P442" s="217"/>
    </row>
    <row r="443" spans="3:16" ht="42" customHeight="1">
      <c r="C443" s="272">
        <v>441</v>
      </c>
      <c r="D443" s="275"/>
      <c r="E443" s="276"/>
      <c r="F443" s="221"/>
      <c r="G443" s="275"/>
      <c r="H443" s="276"/>
      <c r="I443" s="217"/>
      <c r="J443" s="217"/>
      <c r="K443" s="221"/>
      <c r="L443" s="217"/>
      <c r="M443" s="217"/>
      <c r="N443" s="217"/>
      <c r="O443" s="217"/>
      <c r="P443" s="217"/>
    </row>
    <row r="444" spans="3:16" ht="42" customHeight="1">
      <c r="C444" s="272">
        <v>442</v>
      </c>
      <c r="D444" s="275"/>
      <c r="E444" s="276"/>
      <c r="F444" s="221"/>
      <c r="G444" s="275"/>
      <c r="H444" s="276"/>
      <c r="I444" s="217"/>
      <c r="J444" s="217"/>
      <c r="K444" s="221"/>
      <c r="L444" s="217"/>
      <c r="M444" s="217"/>
      <c r="N444" s="217"/>
      <c r="O444" s="217"/>
      <c r="P444" s="217"/>
    </row>
    <row r="445" spans="3:16" ht="42" customHeight="1">
      <c r="C445" s="272">
        <v>443</v>
      </c>
      <c r="D445" s="275"/>
      <c r="E445" s="276"/>
      <c r="F445" s="221"/>
      <c r="G445" s="275"/>
      <c r="H445" s="276"/>
      <c r="I445" s="217"/>
      <c r="J445" s="217"/>
      <c r="K445" s="221"/>
      <c r="L445" s="217"/>
      <c r="M445" s="217"/>
      <c r="N445" s="217"/>
      <c r="O445" s="217"/>
      <c r="P445" s="217"/>
    </row>
    <row r="446" spans="3:16" ht="42" customHeight="1">
      <c r="C446" s="272">
        <v>444</v>
      </c>
      <c r="D446" s="275"/>
      <c r="E446" s="276"/>
      <c r="F446" s="221"/>
      <c r="G446" s="275"/>
      <c r="H446" s="276"/>
      <c r="I446" s="217"/>
      <c r="J446" s="217"/>
      <c r="K446" s="221"/>
      <c r="L446" s="217"/>
      <c r="M446" s="217"/>
      <c r="N446" s="217"/>
      <c r="O446" s="217"/>
      <c r="P446" s="217"/>
    </row>
    <row r="447" spans="3:16" ht="42" customHeight="1">
      <c r="C447" s="272">
        <v>445</v>
      </c>
      <c r="D447" s="275"/>
      <c r="E447" s="276"/>
      <c r="F447" s="221"/>
      <c r="G447" s="275"/>
      <c r="H447" s="276"/>
      <c r="I447" s="217"/>
      <c r="J447" s="217"/>
      <c r="K447" s="221"/>
      <c r="L447" s="217"/>
      <c r="M447" s="217"/>
      <c r="N447" s="217"/>
      <c r="O447" s="217"/>
      <c r="P447" s="217"/>
    </row>
    <row r="448" spans="3:16" ht="42" customHeight="1">
      <c r="C448" s="272">
        <v>446</v>
      </c>
      <c r="D448" s="275"/>
      <c r="E448" s="276"/>
      <c r="F448" s="221"/>
      <c r="G448" s="275"/>
      <c r="H448" s="276"/>
      <c r="I448" s="217"/>
      <c r="J448" s="217"/>
      <c r="K448" s="221"/>
      <c r="L448" s="217"/>
      <c r="M448" s="217"/>
      <c r="N448" s="217"/>
      <c r="O448" s="217"/>
      <c r="P448" s="217"/>
    </row>
    <row r="449" spans="3:16" ht="42" customHeight="1">
      <c r="C449" s="272">
        <v>447</v>
      </c>
      <c r="D449" s="275"/>
      <c r="E449" s="276"/>
      <c r="F449" s="221"/>
      <c r="G449" s="275"/>
      <c r="H449" s="276"/>
      <c r="I449" s="217"/>
      <c r="J449" s="217"/>
      <c r="K449" s="221"/>
      <c r="L449" s="217"/>
      <c r="M449" s="217"/>
      <c r="N449" s="217"/>
      <c r="O449" s="217"/>
      <c r="P449" s="217"/>
    </row>
    <row r="450" spans="3:16" ht="42" customHeight="1">
      <c r="C450" s="272">
        <v>448</v>
      </c>
      <c r="D450" s="275"/>
      <c r="E450" s="276"/>
      <c r="F450" s="221"/>
      <c r="G450" s="275"/>
      <c r="H450" s="276"/>
      <c r="I450" s="217"/>
      <c r="J450" s="217"/>
      <c r="K450" s="221"/>
      <c r="L450" s="217"/>
      <c r="M450" s="217"/>
      <c r="N450" s="217"/>
      <c r="O450" s="217"/>
      <c r="P450" s="217"/>
    </row>
    <row r="451" spans="3:16" ht="42" customHeight="1">
      <c r="C451" s="272">
        <v>449</v>
      </c>
      <c r="D451" s="275"/>
      <c r="E451" s="276"/>
      <c r="F451" s="221"/>
      <c r="G451" s="275"/>
      <c r="H451" s="276"/>
      <c r="I451" s="217"/>
      <c r="J451" s="217"/>
      <c r="K451" s="221"/>
      <c r="L451" s="217"/>
      <c r="M451" s="217"/>
      <c r="N451" s="217"/>
      <c r="O451" s="217"/>
      <c r="P451" s="217"/>
    </row>
    <row r="452" spans="3:16" ht="42" customHeight="1">
      <c r="C452" s="272">
        <v>450</v>
      </c>
      <c r="D452" s="275"/>
      <c r="E452" s="276"/>
      <c r="F452" s="221"/>
      <c r="G452" s="275"/>
      <c r="H452" s="276"/>
      <c r="I452" s="217"/>
      <c r="J452" s="217"/>
      <c r="K452" s="221"/>
      <c r="L452" s="217"/>
      <c r="M452" s="217"/>
      <c r="N452" s="217"/>
      <c r="O452" s="217"/>
      <c r="P452" s="217"/>
    </row>
    <row r="453" spans="3:16" ht="42" customHeight="1">
      <c r="C453" s="272">
        <v>451</v>
      </c>
      <c r="D453" s="275"/>
      <c r="E453" s="276"/>
      <c r="F453" s="221"/>
      <c r="G453" s="275"/>
      <c r="H453" s="276"/>
      <c r="I453" s="217"/>
      <c r="J453" s="217"/>
      <c r="K453" s="221"/>
      <c r="L453" s="217"/>
      <c r="M453" s="217"/>
      <c r="N453" s="217"/>
      <c r="O453" s="217"/>
      <c r="P453" s="217"/>
    </row>
    <row r="454" spans="3:16" ht="42" customHeight="1">
      <c r="C454" s="272">
        <v>452</v>
      </c>
      <c r="D454" s="275"/>
      <c r="E454" s="276"/>
      <c r="F454" s="221"/>
      <c r="G454" s="275"/>
      <c r="H454" s="276"/>
      <c r="I454" s="217"/>
      <c r="J454" s="217"/>
      <c r="K454" s="221"/>
      <c r="L454" s="217"/>
      <c r="M454" s="217"/>
      <c r="N454" s="217"/>
      <c r="O454" s="217"/>
      <c r="P454" s="217"/>
    </row>
    <row r="455" spans="3:16" ht="42" customHeight="1">
      <c r="C455" s="272">
        <v>453</v>
      </c>
      <c r="D455" s="275"/>
      <c r="E455" s="276"/>
      <c r="F455" s="221"/>
      <c r="G455" s="275"/>
      <c r="H455" s="276"/>
      <c r="I455" s="217"/>
      <c r="J455" s="217"/>
      <c r="K455" s="221"/>
      <c r="L455" s="217"/>
      <c r="M455" s="217"/>
      <c r="N455" s="217"/>
      <c r="O455" s="217"/>
      <c r="P455" s="217"/>
    </row>
    <row r="456" spans="3:16" ht="42" customHeight="1">
      <c r="C456" s="272">
        <v>454</v>
      </c>
      <c r="D456" s="275"/>
      <c r="E456" s="276"/>
      <c r="F456" s="221"/>
      <c r="G456" s="275"/>
      <c r="H456" s="276"/>
      <c r="I456" s="217"/>
      <c r="J456" s="217"/>
      <c r="K456" s="221"/>
      <c r="L456" s="217"/>
      <c r="M456" s="217"/>
      <c r="N456" s="217"/>
      <c r="O456" s="217"/>
      <c r="P456" s="217"/>
    </row>
    <row r="457" spans="3:16" ht="42" customHeight="1">
      <c r="C457" s="272">
        <v>455</v>
      </c>
      <c r="D457" s="275"/>
      <c r="E457" s="276"/>
      <c r="F457" s="221"/>
      <c r="G457" s="275"/>
      <c r="H457" s="276"/>
      <c r="I457" s="217"/>
      <c r="J457" s="217"/>
      <c r="K457" s="221"/>
      <c r="L457" s="217"/>
      <c r="M457" s="217"/>
      <c r="N457" s="217"/>
      <c r="O457" s="217"/>
      <c r="P457" s="217"/>
    </row>
    <row r="458" spans="3:16" ht="42" customHeight="1">
      <c r="C458" s="272">
        <v>456</v>
      </c>
      <c r="D458" s="275"/>
      <c r="E458" s="276"/>
      <c r="F458" s="221"/>
      <c r="G458" s="275"/>
      <c r="H458" s="276"/>
      <c r="I458" s="217"/>
      <c r="J458" s="217"/>
      <c r="K458" s="221"/>
      <c r="L458" s="217"/>
      <c r="M458" s="217"/>
      <c r="N458" s="217"/>
      <c r="O458" s="217"/>
      <c r="P458" s="217"/>
    </row>
    <row r="459" spans="3:16" ht="42" customHeight="1">
      <c r="C459" s="272">
        <v>457</v>
      </c>
      <c r="D459" s="275"/>
      <c r="E459" s="276"/>
      <c r="F459" s="221"/>
      <c r="G459" s="275"/>
      <c r="H459" s="276"/>
      <c r="I459" s="217"/>
      <c r="J459" s="217"/>
      <c r="K459" s="221"/>
      <c r="L459" s="217"/>
      <c r="M459" s="217"/>
      <c r="N459" s="217"/>
      <c r="O459" s="217"/>
      <c r="P459" s="217"/>
    </row>
    <row r="460" spans="3:16" ht="42" customHeight="1">
      <c r="C460" s="272">
        <v>458</v>
      </c>
      <c r="D460" s="275"/>
      <c r="E460" s="276"/>
      <c r="F460" s="221"/>
      <c r="G460" s="275"/>
      <c r="H460" s="276"/>
      <c r="I460" s="217"/>
      <c r="J460" s="217"/>
      <c r="K460" s="221"/>
      <c r="L460" s="217"/>
      <c r="M460" s="217"/>
      <c r="N460" s="217"/>
      <c r="O460" s="217"/>
      <c r="P460" s="217"/>
    </row>
    <row r="461" spans="3:16" ht="42" customHeight="1">
      <c r="C461" s="272">
        <v>459</v>
      </c>
      <c r="D461" s="275"/>
      <c r="E461" s="276"/>
      <c r="F461" s="221"/>
      <c r="G461" s="275"/>
      <c r="H461" s="276"/>
      <c r="I461" s="217"/>
      <c r="J461" s="217"/>
      <c r="K461" s="221"/>
      <c r="L461" s="217"/>
      <c r="M461" s="217"/>
      <c r="N461" s="217"/>
      <c r="O461" s="217"/>
      <c r="P461" s="217"/>
    </row>
    <row r="462" spans="3:16" ht="42" customHeight="1">
      <c r="C462" s="272">
        <v>460</v>
      </c>
      <c r="D462" s="275"/>
      <c r="E462" s="276"/>
      <c r="F462" s="221"/>
      <c r="G462" s="275"/>
      <c r="H462" s="276"/>
      <c r="I462" s="217"/>
      <c r="J462" s="217"/>
      <c r="K462" s="221"/>
      <c r="L462" s="217"/>
      <c r="M462" s="217"/>
      <c r="N462" s="217"/>
      <c r="O462" s="217"/>
      <c r="P462" s="217"/>
    </row>
    <row r="463" spans="3:16" ht="42" customHeight="1">
      <c r="C463" s="272">
        <v>461</v>
      </c>
      <c r="D463" s="275"/>
      <c r="E463" s="276"/>
      <c r="F463" s="221"/>
      <c r="G463" s="275"/>
      <c r="H463" s="276"/>
      <c r="I463" s="217"/>
      <c r="J463" s="217"/>
      <c r="K463" s="221"/>
      <c r="L463" s="217"/>
      <c r="M463" s="217"/>
      <c r="N463" s="217"/>
      <c r="O463" s="217"/>
      <c r="P463" s="217"/>
    </row>
    <row r="464" spans="3:16" ht="42" customHeight="1">
      <c r="C464" s="272">
        <v>462</v>
      </c>
      <c r="D464" s="275"/>
      <c r="E464" s="276"/>
      <c r="F464" s="221"/>
      <c r="G464" s="275"/>
      <c r="H464" s="276"/>
      <c r="I464" s="217"/>
      <c r="J464" s="217"/>
      <c r="K464" s="221"/>
      <c r="L464" s="217"/>
      <c r="M464" s="217"/>
      <c r="N464" s="217"/>
      <c r="O464" s="217"/>
      <c r="P464" s="217"/>
    </row>
    <row r="465" spans="3:16" ht="42" customHeight="1">
      <c r="C465" s="272">
        <v>463</v>
      </c>
      <c r="D465" s="275"/>
      <c r="E465" s="276"/>
      <c r="F465" s="221"/>
      <c r="G465" s="275"/>
      <c r="H465" s="276"/>
      <c r="I465" s="217"/>
      <c r="J465" s="217"/>
      <c r="K465" s="221"/>
      <c r="L465" s="217"/>
      <c r="M465" s="217"/>
      <c r="N465" s="217"/>
      <c r="O465" s="217"/>
      <c r="P465" s="217"/>
    </row>
    <row r="466" spans="3:16" ht="42" customHeight="1">
      <c r="C466" s="272">
        <v>464</v>
      </c>
      <c r="D466" s="275"/>
      <c r="E466" s="276"/>
      <c r="F466" s="221"/>
      <c r="G466" s="275"/>
      <c r="H466" s="276"/>
      <c r="I466" s="217"/>
      <c r="J466" s="217"/>
      <c r="K466" s="221"/>
      <c r="L466" s="217"/>
      <c r="M466" s="217"/>
      <c r="N466" s="217"/>
      <c r="O466" s="217"/>
      <c r="P466" s="217"/>
    </row>
    <row r="467" spans="3:16" ht="42" customHeight="1">
      <c r="C467" s="272">
        <v>465</v>
      </c>
      <c r="D467" s="275"/>
      <c r="E467" s="276"/>
      <c r="F467" s="221"/>
      <c r="G467" s="275"/>
      <c r="H467" s="276"/>
      <c r="I467" s="217"/>
      <c r="J467" s="217"/>
      <c r="K467" s="221"/>
      <c r="L467" s="217"/>
      <c r="M467" s="217"/>
      <c r="N467" s="217"/>
      <c r="O467" s="217"/>
      <c r="P467" s="217"/>
    </row>
    <row r="468" spans="3:16" ht="42" customHeight="1">
      <c r="C468" s="272">
        <v>466</v>
      </c>
      <c r="D468" s="275"/>
      <c r="E468" s="276"/>
      <c r="F468" s="221"/>
      <c r="G468" s="275"/>
      <c r="H468" s="276"/>
      <c r="I468" s="217"/>
      <c r="J468" s="217"/>
      <c r="K468" s="221"/>
      <c r="L468" s="217"/>
      <c r="M468" s="217"/>
      <c r="N468" s="217"/>
      <c r="O468" s="217"/>
      <c r="P468" s="217"/>
    </row>
    <row r="469" spans="3:16" ht="42" customHeight="1">
      <c r="C469" s="272">
        <v>467</v>
      </c>
      <c r="D469" s="275"/>
      <c r="E469" s="276"/>
      <c r="F469" s="221"/>
      <c r="G469" s="275"/>
      <c r="H469" s="276"/>
      <c r="I469" s="217"/>
      <c r="J469" s="217"/>
      <c r="K469" s="221"/>
      <c r="L469" s="217"/>
      <c r="M469" s="217"/>
      <c r="N469" s="217"/>
      <c r="O469" s="217"/>
      <c r="P469" s="217"/>
    </row>
    <row r="470" spans="3:16" ht="42" customHeight="1">
      <c r="C470" s="272">
        <v>468</v>
      </c>
      <c r="D470" s="275"/>
      <c r="E470" s="276"/>
      <c r="F470" s="221"/>
      <c r="G470" s="275"/>
      <c r="H470" s="276"/>
      <c r="I470" s="217"/>
      <c r="J470" s="217"/>
      <c r="K470" s="221"/>
      <c r="L470" s="217"/>
      <c r="M470" s="217"/>
      <c r="N470" s="217"/>
      <c r="O470" s="217"/>
      <c r="P470" s="217"/>
    </row>
    <row r="471" spans="3:16" ht="42" customHeight="1">
      <c r="C471" s="272">
        <v>469</v>
      </c>
      <c r="D471" s="275"/>
      <c r="E471" s="276"/>
      <c r="F471" s="221"/>
      <c r="G471" s="275"/>
      <c r="H471" s="276"/>
      <c r="I471" s="217"/>
      <c r="J471" s="217"/>
      <c r="K471" s="221"/>
      <c r="L471" s="217"/>
      <c r="M471" s="217"/>
      <c r="N471" s="217"/>
      <c r="O471" s="217"/>
      <c r="P471" s="217"/>
    </row>
    <row r="472" spans="3:16" ht="42" customHeight="1">
      <c r="C472" s="272">
        <v>470</v>
      </c>
      <c r="D472" s="275"/>
      <c r="E472" s="276"/>
      <c r="F472" s="221"/>
      <c r="G472" s="275"/>
      <c r="H472" s="276"/>
      <c r="I472" s="217"/>
      <c r="J472" s="217"/>
      <c r="K472" s="221"/>
      <c r="L472" s="217"/>
      <c r="M472" s="217"/>
      <c r="N472" s="217"/>
      <c r="O472" s="217"/>
      <c r="P472" s="217"/>
    </row>
    <row r="473" spans="3:16" ht="42" customHeight="1">
      <c r="C473" s="272">
        <v>471</v>
      </c>
      <c r="D473" s="275"/>
      <c r="E473" s="276"/>
      <c r="F473" s="221"/>
      <c r="G473" s="275"/>
      <c r="H473" s="276"/>
      <c r="I473" s="217"/>
      <c r="J473" s="217"/>
      <c r="K473" s="221"/>
      <c r="L473" s="217"/>
      <c r="M473" s="217"/>
      <c r="N473" s="217"/>
      <c r="O473" s="217"/>
      <c r="P473" s="217"/>
    </row>
    <row r="474" spans="3:16" ht="42" customHeight="1">
      <c r="C474" s="272">
        <v>472</v>
      </c>
      <c r="D474" s="275"/>
      <c r="E474" s="276"/>
      <c r="F474" s="221"/>
      <c r="G474" s="275"/>
      <c r="H474" s="276"/>
      <c r="I474" s="217"/>
      <c r="J474" s="217"/>
      <c r="K474" s="221"/>
      <c r="L474" s="217"/>
      <c r="M474" s="217"/>
      <c r="N474" s="217"/>
      <c r="O474" s="217"/>
      <c r="P474" s="217"/>
    </row>
    <row r="475" spans="3:16" ht="42" customHeight="1">
      <c r="C475" s="272">
        <v>473</v>
      </c>
      <c r="D475" s="275"/>
      <c r="E475" s="276"/>
      <c r="F475" s="221"/>
      <c r="G475" s="275"/>
      <c r="H475" s="276"/>
      <c r="I475" s="217"/>
      <c r="J475" s="217"/>
      <c r="K475" s="221"/>
      <c r="L475" s="217"/>
      <c r="M475" s="217"/>
      <c r="N475" s="217"/>
      <c r="O475" s="217"/>
      <c r="P475" s="217"/>
    </row>
    <row r="476" spans="3:16" ht="42" customHeight="1">
      <c r="C476" s="272">
        <v>474</v>
      </c>
      <c r="D476" s="275"/>
      <c r="E476" s="276"/>
      <c r="F476" s="221"/>
      <c r="G476" s="275"/>
      <c r="H476" s="276"/>
      <c r="I476" s="217"/>
      <c r="J476" s="217"/>
      <c r="K476" s="221"/>
      <c r="L476" s="217"/>
      <c r="M476" s="217"/>
      <c r="N476" s="217"/>
      <c r="O476" s="217"/>
      <c r="P476" s="217"/>
    </row>
    <row r="477" spans="3:16" ht="42" customHeight="1">
      <c r="C477" s="272">
        <v>475</v>
      </c>
      <c r="D477" s="275"/>
      <c r="E477" s="276"/>
      <c r="F477" s="221"/>
      <c r="G477" s="275"/>
      <c r="H477" s="276"/>
      <c r="I477" s="217"/>
      <c r="J477" s="217"/>
      <c r="K477" s="221"/>
      <c r="L477" s="217"/>
      <c r="M477" s="217"/>
      <c r="N477" s="217"/>
      <c r="O477" s="217"/>
      <c r="P477" s="217"/>
    </row>
    <row r="478" spans="3:16" ht="42" customHeight="1">
      <c r="C478" s="272">
        <v>476</v>
      </c>
      <c r="D478" s="275"/>
      <c r="E478" s="276"/>
      <c r="F478" s="221"/>
      <c r="G478" s="275"/>
      <c r="H478" s="276"/>
      <c r="I478" s="217"/>
      <c r="J478" s="217"/>
      <c r="K478" s="221"/>
      <c r="L478" s="217"/>
      <c r="M478" s="217"/>
      <c r="N478" s="217"/>
      <c r="O478" s="217"/>
      <c r="P478" s="217"/>
    </row>
    <row r="479" spans="3:16" ht="42" customHeight="1">
      <c r="C479" s="272">
        <v>477</v>
      </c>
      <c r="D479" s="275"/>
      <c r="E479" s="276"/>
      <c r="F479" s="221"/>
      <c r="G479" s="275"/>
      <c r="H479" s="276"/>
      <c r="I479" s="217"/>
      <c r="J479" s="217"/>
      <c r="K479" s="221"/>
      <c r="L479" s="217"/>
      <c r="M479" s="217"/>
      <c r="N479" s="217"/>
      <c r="O479" s="217"/>
      <c r="P479" s="217"/>
    </row>
    <row r="480" spans="3:16" ht="42" customHeight="1">
      <c r="C480" s="272">
        <v>478</v>
      </c>
      <c r="D480" s="275"/>
      <c r="E480" s="276"/>
      <c r="F480" s="221"/>
      <c r="G480" s="275"/>
      <c r="H480" s="276"/>
      <c r="I480" s="217"/>
      <c r="J480" s="217"/>
      <c r="K480" s="221"/>
      <c r="L480" s="217"/>
      <c r="M480" s="217"/>
      <c r="N480" s="217"/>
      <c r="O480" s="217"/>
      <c r="P480" s="217"/>
    </row>
    <row r="481" spans="3:16" ht="42" customHeight="1">
      <c r="C481" s="272">
        <v>479</v>
      </c>
      <c r="D481" s="275"/>
      <c r="E481" s="276"/>
      <c r="F481" s="221"/>
      <c r="G481" s="275"/>
      <c r="H481" s="276"/>
      <c r="I481" s="217"/>
      <c r="J481" s="217"/>
      <c r="K481" s="221"/>
      <c r="L481" s="217"/>
      <c r="M481" s="217"/>
      <c r="N481" s="217"/>
      <c r="O481" s="217"/>
      <c r="P481" s="217"/>
    </row>
    <row r="482" spans="3:16" ht="42" customHeight="1">
      <c r="C482" s="272">
        <v>480</v>
      </c>
      <c r="D482" s="275"/>
      <c r="E482" s="276"/>
      <c r="F482" s="221"/>
      <c r="G482" s="275"/>
      <c r="H482" s="276"/>
      <c r="I482" s="217"/>
      <c r="J482" s="217"/>
      <c r="K482" s="221"/>
      <c r="L482" s="217"/>
      <c r="M482" s="217"/>
      <c r="N482" s="217"/>
      <c r="O482" s="217"/>
      <c r="P482" s="217"/>
    </row>
    <row r="483" spans="3:16" ht="42" customHeight="1">
      <c r="C483" s="272">
        <v>481</v>
      </c>
      <c r="D483" s="275"/>
      <c r="E483" s="276"/>
      <c r="F483" s="221"/>
      <c r="G483" s="275"/>
      <c r="H483" s="276"/>
      <c r="I483" s="217"/>
      <c r="J483" s="217"/>
      <c r="K483" s="221"/>
      <c r="L483" s="217"/>
      <c r="M483" s="217"/>
      <c r="N483" s="217"/>
      <c r="O483" s="217"/>
      <c r="P483" s="217"/>
    </row>
    <row r="484" spans="3:16" ht="42" customHeight="1">
      <c r="C484" s="272">
        <v>482</v>
      </c>
      <c r="D484" s="275"/>
      <c r="E484" s="276"/>
      <c r="F484" s="221"/>
      <c r="G484" s="275"/>
      <c r="H484" s="276"/>
      <c r="I484" s="217"/>
      <c r="J484" s="217"/>
      <c r="K484" s="221"/>
      <c r="L484" s="217"/>
      <c r="M484" s="217"/>
      <c r="N484" s="217"/>
      <c r="O484" s="217"/>
      <c r="P484" s="217"/>
    </row>
    <row r="485" spans="3:16" ht="42" customHeight="1">
      <c r="C485" s="272">
        <v>483</v>
      </c>
      <c r="D485" s="275"/>
      <c r="E485" s="276"/>
      <c r="F485" s="221"/>
      <c r="G485" s="275"/>
      <c r="H485" s="276"/>
      <c r="I485" s="217"/>
      <c r="J485" s="217"/>
      <c r="K485" s="221"/>
      <c r="L485" s="217"/>
      <c r="M485" s="217"/>
      <c r="N485" s="217"/>
      <c r="O485" s="217"/>
      <c r="P485" s="217"/>
    </row>
    <row r="486" spans="3:16" ht="42" customHeight="1">
      <c r="C486" s="272">
        <v>484</v>
      </c>
      <c r="D486" s="275"/>
      <c r="E486" s="276"/>
      <c r="F486" s="221"/>
      <c r="G486" s="275"/>
      <c r="H486" s="276"/>
      <c r="I486" s="217"/>
      <c r="J486" s="217"/>
      <c r="K486" s="221"/>
      <c r="L486" s="217"/>
      <c r="M486" s="217"/>
      <c r="N486" s="217"/>
      <c r="O486" s="217"/>
      <c r="P486" s="217"/>
    </row>
    <row r="487" spans="3:16" ht="42" customHeight="1">
      <c r="C487" s="272">
        <v>485</v>
      </c>
      <c r="D487" s="275"/>
      <c r="E487" s="276"/>
      <c r="F487" s="221"/>
      <c r="G487" s="275"/>
      <c r="H487" s="276"/>
      <c r="I487" s="217"/>
      <c r="J487" s="217"/>
      <c r="K487" s="221"/>
      <c r="L487" s="217"/>
      <c r="M487" s="217"/>
      <c r="N487" s="217"/>
      <c r="O487" s="217"/>
      <c r="P487" s="217"/>
    </row>
    <row r="488" spans="3:16" ht="42" customHeight="1">
      <c r="C488" s="272">
        <v>486</v>
      </c>
      <c r="D488" s="275"/>
      <c r="E488" s="276"/>
      <c r="F488" s="221"/>
      <c r="G488" s="275"/>
      <c r="H488" s="276"/>
      <c r="I488" s="217"/>
      <c r="J488" s="217"/>
      <c r="K488" s="221"/>
      <c r="L488" s="217"/>
      <c r="M488" s="217"/>
      <c r="N488" s="217"/>
      <c r="O488" s="217"/>
      <c r="P488" s="217"/>
    </row>
    <row r="489" spans="3:16" ht="42" customHeight="1">
      <c r="C489" s="272">
        <v>487</v>
      </c>
      <c r="D489" s="275"/>
      <c r="E489" s="276"/>
      <c r="F489" s="221"/>
      <c r="G489" s="275"/>
      <c r="H489" s="276"/>
      <c r="I489" s="217"/>
      <c r="J489" s="217"/>
      <c r="K489" s="221"/>
      <c r="L489" s="217"/>
      <c r="M489" s="217"/>
      <c r="N489" s="217"/>
      <c r="O489" s="217"/>
      <c r="P489" s="217"/>
    </row>
    <row r="490" spans="3:16" ht="42" customHeight="1">
      <c r="C490" s="272">
        <v>488</v>
      </c>
      <c r="D490" s="275"/>
      <c r="E490" s="276"/>
      <c r="F490" s="221"/>
      <c r="G490" s="275"/>
      <c r="H490" s="276"/>
      <c r="I490" s="217"/>
      <c r="J490" s="217"/>
      <c r="K490" s="221"/>
      <c r="L490" s="217"/>
      <c r="M490" s="217"/>
      <c r="N490" s="217"/>
      <c r="O490" s="217"/>
      <c r="P490" s="217"/>
    </row>
    <row r="491" spans="3:16" ht="42" customHeight="1">
      <c r="C491" s="272">
        <v>489</v>
      </c>
      <c r="D491" s="275"/>
      <c r="E491" s="276"/>
      <c r="F491" s="221"/>
      <c r="G491" s="275"/>
      <c r="H491" s="276"/>
      <c r="I491" s="217"/>
      <c r="J491" s="217"/>
      <c r="K491" s="221"/>
      <c r="L491" s="217"/>
      <c r="M491" s="217"/>
      <c r="N491" s="217"/>
      <c r="O491" s="217"/>
      <c r="P491" s="217"/>
    </row>
    <row r="492" spans="3:16" ht="42" customHeight="1">
      <c r="C492" s="272">
        <v>490</v>
      </c>
      <c r="D492" s="275"/>
      <c r="E492" s="276"/>
      <c r="F492" s="221"/>
      <c r="G492" s="275"/>
      <c r="H492" s="276"/>
      <c r="I492" s="217"/>
      <c r="J492" s="217"/>
      <c r="K492" s="221"/>
      <c r="L492" s="217"/>
      <c r="M492" s="217"/>
      <c r="N492" s="217"/>
      <c r="O492" s="217"/>
      <c r="P492" s="217"/>
    </row>
    <row r="493" spans="3:16" ht="42" customHeight="1">
      <c r="C493" s="272">
        <v>491</v>
      </c>
      <c r="D493" s="275"/>
      <c r="E493" s="276"/>
      <c r="F493" s="221"/>
      <c r="G493" s="275"/>
      <c r="H493" s="276"/>
      <c r="I493" s="217"/>
      <c r="J493" s="217"/>
      <c r="K493" s="221"/>
      <c r="L493" s="217"/>
      <c r="M493" s="217"/>
      <c r="N493" s="217"/>
      <c r="O493" s="217"/>
      <c r="P493" s="217"/>
    </row>
    <row r="494" spans="3:16" ht="42" customHeight="1">
      <c r="C494" s="272">
        <v>492</v>
      </c>
      <c r="D494" s="275"/>
      <c r="E494" s="276"/>
      <c r="F494" s="221"/>
      <c r="G494" s="275"/>
      <c r="H494" s="276"/>
      <c r="I494" s="217"/>
      <c r="J494" s="217"/>
      <c r="K494" s="221"/>
      <c r="L494" s="217"/>
      <c r="M494" s="217"/>
      <c r="N494" s="217"/>
      <c r="O494" s="217"/>
      <c r="P494" s="217"/>
    </row>
    <row r="495" spans="3:16" ht="42" customHeight="1">
      <c r="C495" s="272">
        <v>493</v>
      </c>
      <c r="D495" s="275"/>
      <c r="E495" s="276"/>
      <c r="F495" s="221"/>
      <c r="G495" s="275"/>
      <c r="H495" s="276"/>
      <c r="I495" s="217"/>
      <c r="J495" s="217"/>
      <c r="K495" s="221"/>
      <c r="L495" s="217"/>
      <c r="M495" s="217"/>
      <c r="N495" s="217"/>
      <c r="O495" s="217"/>
      <c r="P495" s="217"/>
    </row>
    <row r="496" spans="3:16" ht="42" customHeight="1">
      <c r="C496" s="272">
        <v>494</v>
      </c>
      <c r="D496" s="275"/>
      <c r="E496" s="276"/>
      <c r="F496" s="221"/>
      <c r="G496" s="275"/>
      <c r="H496" s="276"/>
      <c r="I496" s="217"/>
      <c r="J496" s="217"/>
      <c r="K496" s="221"/>
      <c r="L496" s="217"/>
      <c r="M496" s="217"/>
      <c r="N496" s="217"/>
      <c r="O496" s="217"/>
      <c r="P496" s="217"/>
    </row>
    <row r="497" spans="3:16" ht="42" customHeight="1">
      <c r="C497" s="272">
        <v>495</v>
      </c>
      <c r="D497" s="275"/>
      <c r="E497" s="276"/>
      <c r="F497" s="221"/>
      <c r="G497" s="275"/>
      <c r="H497" s="276"/>
      <c r="I497" s="217"/>
      <c r="J497" s="217"/>
      <c r="K497" s="221"/>
      <c r="L497" s="217"/>
      <c r="M497" s="217"/>
      <c r="N497" s="217"/>
      <c r="O497" s="217"/>
      <c r="P497" s="217"/>
    </row>
    <row r="498" spans="3:16" ht="42" customHeight="1">
      <c r="C498" s="272">
        <v>496</v>
      </c>
      <c r="D498" s="275"/>
      <c r="E498" s="276"/>
      <c r="F498" s="221"/>
      <c r="G498" s="275"/>
      <c r="H498" s="276"/>
      <c r="I498" s="217"/>
      <c r="J498" s="217"/>
      <c r="K498" s="221"/>
      <c r="L498" s="217"/>
      <c r="M498" s="217"/>
      <c r="N498" s="217"/>
      <c r="O498" s="217"/>
      <c r="P498" s="217"/>
    </row>
    <row r="499" spans="3:16" ht="42" customHeight="1">
      <c r="C499" s="272">
        <v>497</v>
      </c>
      <c r="D499" s="275"/>
      <c r="E499" s="276"/>
      <c r="F499" s="221"/>
      <c r="G499" s="275"/>
      <c r="H499" s="276"/>
      <c r="I499" s="217"/>
      <c r="J499" s="217"/>
      <c r="K499" s="221"/>
      <c r="L499" s="217"/>
      <c r="M499" s="217"/>
      <c r="N499" s="217"/>
      <c r="O499" s="217"/>
      <c r="P499" s="217"/>
    </row>
    <row r="500" spans="3:16" ht="42" customHeight="1">
      <c r="C500" s="272">
        <v>498</v>
      </c>
      <c r="D500" s="275"/>
      <c r="E500" s="276"/>
      <c r="F500" s="221"/>
      <c r="G500" s="275"/>
      <c r="H500" s="276"/>
      <c r="I500" s="217"/>
      <c r="J500" s="217"/>
      <c r="K500" s="221"/>
      <c r="L500" s="217"/>
      <c r="M500" s="217"/>
      <c r="N500" s="217"/>
      <c r="O500" s="217"/>
      <c r="P500" s="217"/>
    </row>
    <row r="501" spans="3:16" ht="42" customHeight="1">
      <c r="C501" s="272">
        <v>499</v>
      </c>
      <c r="D501" s="275"/>
      <c r="E501" s="276"/>
      <c r="F501" s="221"/>
      <c r="G501" s="275"/>
      <c r="H501" s="276"/>
      <c r="I501" s="217"/>
      <c r="J501" s="217"/>
      <c r="K501" s="221"/>
      <c r="L501" s="217"/>
      <c r="M501" s="217"/>
      <c r="N501" s="217"/>
      <c r="O501" s="217"/>
      <c r="P501" s="217"/>
    </row>
    <row r="502" spans="3:16" ht="42" customHeight="1">
      <c r="C502" s="272">
        <v>500</v>
      </c>
      <c r="D502" s="275"/>
      <c r="E502" s="276"/>
      <c r="F502" s="221"/>
      <c r="G502" s="275"/>
      <c r="H502" s="276"/>
      <c r="I502" s="217"/>
      <c r="J502" s="217"/>
      <c r="K502" s="221"/>
      <c r="L502" s="217"/>
      <c r="M502" s="217"/>
      <c r="N502" s="217"/>
      <c r="O502" s="217"/>
      <c r="P502" s="217"/>
    </row>
    <row r="503" spans="3:16" ht="42" customHeight="1">
      <c r="C503" s="272">
        <v>501</v>
      </c>
      <c r="D503" s="275"/>
      <c r="E503" s="276"/>
      <c r="F503" s="221"/>
      <c r="G503" s="275"/>
      <c r="H503" s="276"/>
      <c r="I503" s="217"/>
      <c r="J503" s="217"/>
      <c r="K503" s="221"/>
      <c r="L503" s="217"/>
      <c r="M503" s="217"/>
      <c r="N503" s="217"/>
      <c r="O503" s="217"/>
      <c r="P503" s="217"/>
    </row>
    <row r="504" spans="3:16" ht="42" customHeight="1">
      <c r="C504" s="272">
        <v>502</v>
      </c>
      <c r="D504" s="275"/>
      <c r="E504" s="276"/>
      <c r="F504" s="221"/>
      <c r="G504" s="275"/>
      <c r="H504" s="276"/>
      <c r="I504" s="217"/>
      <c r="J504" s="217"/>
      <c r="K504" s="221"/>
      <c r="L504" s="217"/>
      <c r="M504" s="217"/>
      <c r="N504" s="217"/>
      <c r="O504" s="217"/>
      <c r="P504" s="217"/>
    </row>
    <row r="505" spans="3:16" ht="42" customHeight="1">
      <c r="C505" s="272">
        <v>503</v>
      </c>
      <c r="D505" s="275"/>
      <c r="E505" s="276"/>
      <c r="F505" s="221"/>
      <c r="G505" s="275"/>
      <c r="H505" s="276"/>
      <c r="I505" s="217"/>
      <c r="J505" s="217"/>
      <c r="K505" s="221"/>
      <c r="L505" s="217"/>
      <c r="M505" s="217"/>
      <c r="N505" s="217"/>
      <c r="O505" s="217"/>
      <c r="P505" s="217"/>
    </row>
    <row r="506" spans="3:16" ht="42" customHeight="1">
      <c r="C506" s="272">
        <v>504</v>
      </c>
      <c r="D506" s="275"/>
      <c r="E506" s="276"/>
      <c r="F506" s="221"/>
      <c r="G506" s="275"/>
      <c r="H506" s="276"/>
      <c r="I506" s="217"/>
      <c r="J506" s="217"/>
      <c r="K506" s="221"/>
      <c r="L506" s="217"/>
      <c r="M506" s="217"/>
      <c r="N506" s="217"/>
      <c r="O506" s="217"/>
      <c r="P506" s="217"/>
    </row>
    <row r="507" spans="3:16" ht="42" customHeight="1">
      <c r="C507" s="272">
        <v>505</v>
      </c>
      <c r="D507" s="275"/>
      <c r="E507" s="276"/>
      <c r="F507" s="221"/>
      <c r="G507" s="275"/>
      <c r="H507" s="276"/>
      <c r="I507" s="217"/>
      <c r="J507" s="217"/>
      <c r="K507" s="221"/>
      <c r="L507" s="217"/>
      <c r="M507" s="217"/>
      <c r="N507" s="217"/>
      <c r="O507" s="217"/>
      <c r="P507" s="217"/>
    </row>
    <row r="508" spans="3:16" ht="42" customHeight="1">
      <c r="C508" s="272">
        <v>506</v>
      </c>
      <c r="D508" s="275"/>
      <c r="E508" s="276"/>
      <c r="F508" s="221"/>
      <c r="G508" s="275"/>
      <c r="H508" s="276"/>
      <c r="I508" s="217"/>
      <c r="J508" s="217"/>
      <c r="K508" s="221"/>
      <c r="L508" s="217"/>
      <c r="M508" s="217"/>
      <c r="N508" s="217"/>
      <c r="O508" s="217"/>
      <c r="P508" s="217"/>
    </row>
    <row r="509" spans="3:16" ht="42" customHeight="1">
      <c r="C509" s="272">
        <v>507</v>
      </c>
      <c r="D509" s="275"/>
      <c r="E509" s="276"/>
      <c r="F509" s="221"/>
      <c r="G509" s="275"/>
      <c r="H509" s="276"/>
      <c r="I509" s="217"/>
      <c r="J509" s="217"/>
      <c r="K509" s="221"/>
      <c r="L509" s="217"/>
      <c r="M509" s="217"/>
      <c r="N509" s="217"/>
      <c r="O509" s="217"/>
      <c r="P509" s="217"/>
    </row>
    <row r="510" spans="3:16" ht="42" customHeight="1">
      <c r="C510" s="272">
        <v>508</v>
      </c>
      <c r="D510" s="275"/>
      <c r="E510" s="276"/>
      <c r="F510" s="221"/>
      <c r="G510" s="275"/>
      <c r="H510" s="276"/>
      <c r="I510" s="217"/>
      <c r="J510" s="217"/>
      <c r="K510" s="221"/>
      <c r="L510" s="217"/>
      <c r="M510" s="217"/>
      <c r="N510" s="217"/>
      <c r="O510" s="217"/>
      <c r="P510" s="217"/>
    </row>
    <row r="511" spans="3:16" ht="42" customHeight="1">
      <c r="C511" s="272">
        <v>509</v>
      </c>
      <c r="D511" s="275"/>
      <c r="E511" s="276"/>
      <c r="F511" s="221"/>
      <c r="G511" s="275"/>
      <c r="H511" s="276"/>
      <c r="I511" s="217"/>
      <c r="J511" s="217"/>
      <c r="K511" s="221"/>
      <c r="L511" s="217"/>
      <c r="M511" s="217"/>
      <c r="N511" s="217"/>
      <c r="O511" s="217"/>
      <c r="P511" s="217"/>
    </row>
    <row r="512" spans="3:16" ht="42" customHeight="1">
      <c r="C512" s="272">
        <v>510</v>
      </c>
      <c r="D512" s="275"/>
      <c r="E512" s="276"/>
      <c r="F512" s="221"/>
      <c r="G512" s="275"/>
      <c r="H512" s="276"/>
      <c r="I512" s="217"/>
      <c r="J512" s="217"/>
      <c r="K512" s="221"/>
      <c r="L512" s="217"/>
      <c r="M512" s="217"/>
      <c r="N512" s="217"/>
      <c r="O512" s="217"/>
      <c r="P512" s="217"/>
    </row>
    <row r="513" spans="3:16" ht="42" customHeight="1">
      <c r="C513" s="272">
        <v>511</v>
      </c>
      <c r="D513" s="275"/>
      <c r="E513" s="276"/>
      <c r="F513" s="221"/>
      <c r="G513" s="275"/>
      <c r="H513" s="276"/>
      <c r="I513" s="217"/>
      <c r="J513" s="217"/>
      <c r="K513" s="221"/>
      <c r="L513" s="217"/>
      <c r="M513" s="217"/>
      <c r="N513" s="217"/>
      <c r="O513" s="217"/>
      <c r="P513" s="217"/>
    </row>
    <row r="514" spans="3:16" ht="42" customHeight="1">
      <c r="C514" s="272">
        <v>512</v>
      </c>
      <c r="D514" s="275"/>
      <c r="E514" s="276"/>
      <c r="F514" s="221"/>
      <c r="G514" s="275"/>
      <c r="H514" s="276"/>
      <c r="I514" s="217"/>
      <c r="J514" s="217"/>
      <c r="K514" s="221"/>
      <c r="L514" s="217"/>
      <c r="M514" s="217"/>
      <c r="N514" s="217"/>
      <c r="O514" s="217"/>
      <c r="P514" s="217"/>
    </row>
    <row r="515" spans="3:16" ht="42" customHeight="1">
      <c r="C515" s="272">
        <v>513</v>
      </c>
      <c r="D515" s="275"/>
      <c r="E515" s="276"/>
      <c r="F515" s="221"/>
      <c r="G515" s="275"/>
      <c r="H515" s="276"/>
      <c r="I515" s="217"/>
      <c r="J515" s="217"/>
      <c r="K515" s="221"/>
      <c r="L515" s="217"/>
      <c r="M515" s="217"/>
      <c r="N515" s="217"/>
      <c r="O515" s="217"/>
      <c r="P515" s="217"/>
    </row>
    <row r="516" spans="3:16" ht="42" customHeight="1">
      <c r="C516" s="272">
        <v>514</v>
      </c>
      <c r="D516" s="275"/>
      <c r="E516" s="276"/>
      <c r="F516" s="221"/>
      <c r="G516" s="275"/>
      <c r="H516" s="276"/>
      <c r="I516" s="217"/>
      <c r="J516" s="217"/>
      <c r="K516" s="221"/>
      <c r="L516" s="217"/>
      <c r="M516" s="217"/>
      <c r="N516" s="217"/>
      <c r="O516" s="217"/>
      <c r="P516" s="217"/>
    </row>
    <row r="517" spans="3:16" ht="42" customHeight="1">
      <c r="C517" s="272">
        <v>515</v>
      </c>
      <c r="D517" s="275"/>
      <c r="E517" s="276"/>
      <c r="F517" s="221"/>
      <c r="G517" s="275"/>
      <c r="H517" s="276"/>
      <c r="I517" s="217"/>
      <c r="J517" s="217"/>
      <c r="K517" s="221"/>
      <c r="L517" s="217"/>
      <c r="M517" s="217"/>
      <c r="N517" s="217"/>
      <c r="O517" s="217"/>
      <c r="P517" s="217"/>
    </row>
    <row r="518" spans="3:16" ht="42" customHeight="1">
      <c r="C518" s="272">
        <v>516</v>
      </c>
      <c r="D518" s="275"/>
      <c r="E518" s="276"/>
      <c r="F518" s="221"/>
      <c r="G518" s="275"/>
      <c r="H518" s="276"/>
      <c r="I518" s="217"/>
      <c r="J518" s="217"/>
      <c r="K518" s="221"/>
      <c r="L518" s="217"/>
      <c r="M518" s="217"/>
      <c r="N518" s="217"/>
      <c r="O518" s="217"/>
      <c r="P518" s="217"/>
    </row>
    <row r="519" spans="3:16" ht="42" customHeight="1">
      <c r="C519" s="272">
        <v>517</v>
      </c>
      <c r="D519" s="275"/>
      <c r="E519" s="276"/>
      <c r="F519" s="221"/>
      <c r="G519" s="275"/>
      <c r="H519" s="276"/>
      <c r="I519" s="217"/>
      <c r="J519" s="217"/>
      <c r="K519" s="221"/>
      <c r="L519" s="217"/>
      <c r="M519" s="217"/>
      <c r="N519" s="217"/>
      <c r="O519" s="217"/>
      <c r="P519" s="217"/>
    </row>
    <row r="520" spans="3:16" ht="42" customHeight="1">
      <c r="C520" s="272">
        <v>518</v>
      </c>
      <c r="D520" s="275"/>
      <c r="E520" s="276"/>
      <c r="F520" s="221"/>
      <c r="G520" s="275"/>
      <c r="H520" s="276"/>
      <c r="I520" s="217"/>
      <c r="J520" s="217"/>
      <c r="K520" s="221"/>
      <c r="L520" s="217"/>
      <c r="M520" s="217"/>
      <c r="N520" s="217"/>
      <c r="O520" s="217"/>
      <c r="P520" s="217"/>
    </row>
    <row r="521" spans="3:16" ht="42" customHeight="1">
      <c r="C521" s="272">
        <v>519</v>
      </c>
      <c r="D521" s="275"/>
      <c r="E521" s="276"/>
      <c r="F521" s="221"/>
      <c r="G521" s="275"/>
      <c r="H521" s="276"/>
      <c r="I521" s="217"/>
      <c r="J521" s="217"/>
      <c r="K521" s="221"/>
      <c r="L521" s="217"/>
      <c r="M521" s="217"/>
      <c r="N521" s="217"/>
      <c r="O521" s="217"/>
      <c r="P521" s="217"/>
    </row>
    <row r="522" spans="3:16" ht="42" customHeight="1">
      <c r="C522" s="272">
        <v>520</v>
      </c>
      <c r="D522" s="275"/>
      <c r="E522" s="276"/>
      <c r="F522" s="221"/>
      <c r="G522" s="275"/>
      <c r="H522" s="276"/>
      <c r="I522" s="217"/>
      <c r="J522" s="217"/>
      <c r="K522" s="221"/>
      <c r="L522" s="217"/>
      <c r="M522" s="217"/>
      <c r="N522" s="217"/>
      <c r="O522" s="217"/>
      <c r="P522" s="217"/>
    </row>
    <row r="523" spans="3:16" ht="42" customHeight="1">
      <c r="C523" s="272">
        <v>521</v>
      </c>
      <c r="D523" s="275"/>
      <c r="E523" s="276"/>
      <c r="F523" s="221"/>
      <c r="G523" s="275"/>
      <c r="H523" s="276"/>
      <c r="I523" s="217"/>
      <c r="J523" s="217"/>
      <c r="K523" s="221"/>
      <c r="L523" s="217"/>
      <c r="M523" s="217"/>
      <c r="N523" s="217"/>
      <c r="O523" s="217"/>
      <c r="P523" s="217"/>
    </row>
    <row r="524" spans="3:16" ht="42" customHeight="1">
      <c r="C524" s="272">
        <v>522</v>
      </c>
      <c r="D524" s="275"/>
      <c r="E524" s="276"/>
      <c r="F524" s="221"/>
      <c r="G524" s="275"/>
      <c r="H524" s="276"/>
      <c r="I524" s="217"/>
      <c r="J524" s="217"/>
      <c r="K524" s="221"/>
      <c r="L524" s="217"/>
      <c r="M524" s="217"/>
      <c r="N524" s="217"/>
      <c r="O524" s="217"/>
      <c r="P524" s="217"/>
    </row>
    <row r="525" spans="3:16" ht="42" customHeight="1">
      <c r="C525" s="272">
        <v>523</v>
      </c>
      <c r="D525" s="275"/>
      <c r="E525" s="276"/>
      <c r="F525" s="221"/>
      <c r="G525" s="275"/>
      <c r="H525" s="276"/>
      <c r="I525" s="217"/>
      <c r="J525" s="217"/>
      <c r="K525" s="221"/>
      <c r="L525" s="217"/>
      <c r="M525" s="217"/>
      <c r="N525" s="217"/>
      <c r="O525" s="217"/>
      <c r="P525" s="217"/>
    </row>
    <row r="526" spans="3:16" ht="42" customHeight="1">
      <c r="C526" s="272">
        <v>524</v>
      </c>
      <c r="D526" s="275"/>
      <c r="E526" s="276"/>
      <c r="F526" s="221"/>
      <c r="G526" s="275"/>
      <c r="H526" s="276"/>
      <c r="I526" s="217"/>
      <c r="J526" s="217"/>
      <c r="K526" s="221"/>
      <c r="L526" s="217"/>
      <c r="M526" s="217"/>
      <c r="N526" s="217"/>
      <c r="O526" s="217"/>
      <c r="P526" s="217"/>
    </row>
    <row r="527" spans="3:16" ht="42" customHeight="1">
      <c r="C527" s="272">
        <v>525</v>
      </c>
      <c r="D527" s="275"/>
      <c r="E527" s="276"/>
      <c r="F527" s="221"/>
      <c r="G527" s="275"/>
      <c r="H527" s="276"/>
      <c r="I527" s="217"/>
      <c r="J527" s="217"/>
      <c r="K527" s="221"/>
      <c r="L527" s="217"/>
      <c r="M527" s="217"/>
      <c r="N527" s="217"/>
      <c r="O527" s="217"/>
      <c r="P527" s="217"/>
    </row>
    <row r="528" spans="3:16" ht="42" customHeight="1">
      <c r="C528" s="272">
        <v>526</v>
      </c>
      <c r="D528" s="275"/>
      <c r="E528" s="276"/>
      <c r="F528" s="221"/>
      <c r="G528" s="275"/>
      <c r="H528" s="276"/>
      <c r="I528" s="217"/>
      <c r="J528" s="217"/>
      <c r="K528" s="221"/>
      <c r="L528" s="217"/>
      <c r="M528" s="217"/>
      <c r="N528" s="217"/>
      <c r="O528" s="217"/>
      <c r="P528" s="217"/>
    </row>
    <row r="529" spans="3:16" ht="42" customHeight="1">
      <c r="C529" s="272">
        <v>527</v>
      </c>
      <c r="D529" s="275"/>
      <c r="E529" s="276"/>
      <c r="F529" s="221"/>
      <c r="G529" s="275"/>
      <c r="H529" s="276"/>
      <c r="I529" s="217"/>
      <c r="J529" s="217"/>
      <c r="K529" s="221"/>
      <c r="L529" s="217"/>
      <c r="M529" s="217"/>
      <c r="N529" s="217"/>
      <c r="O529" s="217"/>
      <c r="P529" s="217"/>
    </row>
    <row r="530" spans="3:16" ht="42" customHeight="1">
      <c r="C530" s="272">
        <v>528</v>
      </c>
      <c r="D530" s="275"/>
      <c r="E530" s="276"/>
      <c r="F530" s="221"/>
      <c r="G530" s="275"/>
      <c r="H530" s="276"/>
      <c r="I530" s="217"/>
      <c r="J530" s="217"/>
      <c r="K530" s="221"/>
      <c r="L530" s="217"/>
      <c r="M530" s="217"/>
      <c r="N530" s="217"/>
      <c r="O530" s="217"/>
      <c r="P530" s="217"/>
    </row>
    <row r="531" spans="3:16" ht="42" customHeight="1">
      <c r="C531" s="272">
        <v>529</v>
      </c>
      <c r="D531" s="275"/>
      <c r="E531" s="276"/>
      <c r="F531" s="221"/>
      <c r="G531" s="275"/>
      <c r="H531" s="276"/>
      <c r="I531" s="217"/>
      <c r="J531" s="217"/>
      <c r="K531" s="221"/>
      <c r="L531" s="217"/>
      <c r="M531" s="217"/>
      <c r="N531" s="217"/>
      <c r="O531" s="217"/>
      <c r="P531" s="217"/>
    </row>
    <row r="532" spans="3:16" ht="42" customHeight="1">
      <c r="C532" s="272">
        <v>530</v>
      </c>
      <c r="D532" s="275"/>
      <c r="E532" s="276"/>
      <c r="F532" s="221"/>
      <c r="G532" s="275"/>
      <c r="H532" s="276"/>
      <c r="I532" s="217"/>
      <c r="J532" s="217"/>
      <c r="K532" s="221"/>
      <c r="L532" s="217"/>
      <c r="M532" s="217"/>
      <c r="N532" s="217"/>
      <c r="O532" s="217"/>
      <c r="P532" s="217"/>
    </row>
    <row r="533" spans="3:16" ht="42" customHeight="1">
      <c r="C533" s="272">
        <v>531</v>
      </c>
      <c r="D533" s="275"/>
      <c r="E533" s="276"/>
      <c r="F533" s="221"/>
      <c r="G533" s="275"/>
      <c r="H533" s="276"/>
      <c r="I533" s="217"/>
      <c r="J533" s="217"/>
      <c r="K533" s="221"/>
      <c r="L533" s="217"/>
      <c r="M533" s="217"/>
      <c r="N533" s="217"/>
      <c r="O533" s="217"/>
      <c r="P533" s="217"/>
    </row>
    <row r="534" spans="3:16" ht="42" customHeight="1">
      <c r="C534" s="272">
        <v>532</v>
      </c>
      <c r="D534" s="275"/>
      <c r="E534" s="276"/>
      <c r="F534" s="221"/>
      <c r="G534" s="275"/>
      <c r="H534" s="276"/>
      <c r="I534" s="217"/>
      <c r="J534" s="217"/>
      <c r="K534" s="221"/>
      <c r="L534" s="217"/>
      <c r="M534" s="217"/>
      <c r="N534" s="217"/>
      <c r="O534" s="217"/>
      <c r="P534" s="217"/>
    </row>
    <row r="535" spans="3:16" ht="42" customHeight="1">
      <c r="C535" s="272">
        <v>533</v>
      </c>
      <c r="D535" s="275"/>
      <c r="E535" s="276"/>
      <c r="F535" s="221"/>
      <c r="G535" s="275"/>
      <c r="H535" s="276"/>
      <c r="I535" s="217"/>
      <c r="J535" s="217"/>
      <c r="K535" s="221"/>
      <c r="L535" s="217"/>
      <c r="M535" s="217"/>
      <c r="N535" s="217"/>
      <c r="O535" s="217"/>
      <c r="P535" s="217"/>
    </row>
    <row r="536" spans="3:16" ht="42" customHeight="1">
      <c r="C536" s="272">
        <v>534</v>
      </c>
      <c r="D536" s="275"/>
      <c r="E536" s="276"/>
      <c r="F536" s="221"/>
      <c r="G536" s="275"/>
      <c r="H536" s="276"/>
      <c r="I536" s="217"/>
      <c r="J536" s="217"/>
      <c r="K536" s="221"/>
      <c r="L536" s="217"/>
      <c r="M536" s="217"/>
      <c r="N536" s="217"/>
      <c r="O536" s="217"/>
      <c r="P536" s="217"/>
    </row>
    <row r="537" spans="3:16" ht="42" customHeight="1">
      <c r="C537" s="272">
        <v>535</v>
      </c>
      <c r="D537" s="275"/>
      <c r="E537" s="276"/>
      <c r="F537" s="221"/>
      <c r="G537" s="275"/>
      <c r="H537" s="276"/>
      <c r="I537" s="217"/>
      <c r="J537" s="217"/>
      <c r="K537" s="221"/>
      <c r="L537" s="217"/>
      <c r="M537" s="217"/>
      <c r="N537" s="217"/>
      <c r="O537" s="217"/>
      <c r="P537" s="217"/>
    </row>
    <row r="538" spans="3:16" ht="42" customHeight="1">
      <c r="C538" s="272">
        <v>536</v>
      </c>
      <c r="D538" s="275"/>
      <c r="E538" s="276"/>
      <c r="F538" s="221"/>
      <c r="G538" s="275"/>
      <c r="H538" s="276"/>
      <c r="I538" s="217"/>
      <c r="J538" s="217"/>
      <c r="K538" s="221"/>
      <c r="L538" s="217"/>
      <c r="M538" s="217"/>
      <c r="N538" s="217"/>
      <c r="O538" s="217"/>
      <c r="P538" s="217"/>
    </row>
    <row r="539" spans="3:16" ht="42" customHeight="1">
      <c r="C539" s="272">
        <v>537</v>
      </c>
      <c r="D539" s="275"/>
      <c r="E539" s="276"/>
      <c r="F539" s="221"/>
      <c r="G539" s="275"/>
      <c r="H539" s="276"/>
      <c r="I539" s="217"/>
      <c r="J539" s="217"/>
      <c r="K539" s="221"/>
      <c r="L539" s="217"/>
      <c r="M539" s="217"/>
      <c r="N539" s="217"/>
      <c r="O539" s="217"/>
      <c r="P539" s="217"/>
    </row>
    <row r="540" spans="3:16" ht="42" customHeight="1">
      <c r="C540" s="272">
        <v>538</v>
      </c>
      <c r="D540" s="275"/>
      <c r="E540" s="276"/>
      <c r="F540" s="221"/>
      <c r="G540" s="275"/>
      <c r="H540" s="276"/>
      <c r="I540" s="217"/>
      <c r="J540" s="217"/>
      <c r="K540" s="221"/>
      <c r="L540" s="217"/>
      <c r="M540" s="217"/>
      <c r="N540" s="217"/>
      <c r="O540" s="217"/>
      <c r="P540" s="217"/>
    </row>
    <row r="541" spans="3:16" ht="42" customHeight="1">
      <c r="C541" s="272">
        <v>539</v>
      </c>
      <c r="D541" s="275"/>
      <c r="E541" s="276"/>
      <c r="F541" s="221"/>
      <c r="G541" s="275"/>
      <c r="H541" s="276"/>
      <c r="I541" s="217"/>
      <c r="J541" s="217"/>
      <c r="K541" s="221"/>
      <c r="L541" s="217"/>
      <c r="M541" s="217"/>
      <c r="N541" s="217"/>
      <c r="O541" s="217"/>
      <c r="P541" s="217"/>
    </row>
    <row r="542" spans="3:16" ht="42" customHeight="1">
      <c r="C542" s="272">
        <v>540</v>
      </c>
      <c r="D542" s="275"/>
      <c r="E542" s="276"/>
      <c r="F542" s="221"/>
      <c r="G542" s="275"/>
      <c r="H542" s="276"/>
      <c r="I542" s="217"/>
      <c r="J542" s="217"/>
      <c r="K542" s="221"/>
      <c r="L542" s="217"/>
      <c r="M542" s="217"/>
      <c r="N542" s="217"/>
      <c r="O542" s="217"/>
      <c r="P542" s="217"/>
    </row>
    <row r="543" spans="3:16" ht="42" customHeight="1">
      <c r="C543" s="272">
        <v>541</v>
      </c>
      <c r="D543" s="275"/>
      <c r="E543" s="276"/>
      <c r="F543" s="221"/>
      <c r="G543" s="275"/>
      <c r="H543" s="276"/>
      <c r="I543" s="217"/>
      <c r="J543" s="217"/>
      <c r="K543" s="221"/>
      <c r="L543" s="217"/>
      <c r="M543" s="217"/>
      <c r="N543" s="217"/>
      <c r="O543" s="217"/>
      <c r="P543" s="217"/>
    </row>
    <row r="544" spans="3:16" ht="42" customHeight="1">
      <c r="C544" s="272">
        <v>542</v>
      </c>
      <c r="D544" s="275"/>
      <c r="E544" s="276"/>
      <c r="F544" s="221"/>
      <c r="G544" s="275"/>
      <c r="H544" s="276"/>
      <c r="I544" s="217"/>
      <c r="J544" s="217"/>
      <c r="K544" s="221"/>
      <c r="L544" s="217"/>
      <c r="M544" s="217"/>
      <c r="N544" s="217"/>
      <c r="O544" s="217"/>
      <c r="P544" s="217"/>
    </row>
    <row r="545" spans="3:16" ht="42" customHeight="1">
      <c r="C545" s="272">
        <v>543</v>
      </c>
      <c r="D545" s="275"/>
      <c r="E545" s="276"/>
      <c r="F545" s="221"/>
      <c r="G545" s="275"/>
      <c r="H545" s="276"/>
      <c r="I545" s="217"/>
      <c r="J545" s="217"/>
      <c r="K545" s="221"/>
      <c r="L545" s="217"/>
      <c r="M545" s="217"/>
      <c r="N545" s="217"/>
      <c r="O545" s="217"/>
      <c r="P545" s="217"/>
    </row>
    <row r="546" spans="3:16" ht="42" customHeight="1">
      <c r="C546" s="272">
        <v>544</v>
      </c>
      <c r="D546" s="275"/>
      <c r="E546" s="276"/>
      <c r="F546" s="221"/>
      <c r="G546" s="275"/>
      <c r="H546" s="276"/>
      <c r="I546" s="217"/>
      <c r="J546" s="217"/>
      <c r="K546" s="221"/>
      <c r="L546" s="217"/>
      <c r="M546" s="217"/>
      <c r="N546" s="217"/>
      <c r="O546" s="217"/>
      <c r="P546" s="217"/>
    </row>
    <row r="547" spans="3:16" ht="42" customHeight="1">
      <c r="C547" s="272">
        <v>545</v>
      </c>
      <c r="D547" s="275"/>
      <c r="E547" s="276"/>
      <c r="F547" s="221"/>
      <c r="G547" s="275"/>
      <c r="H547" s="276"/>
      <c r="I547" s="217"/>
      <c r="J547" s="217"/>
      <c r="K547" s="221"/>
      <c r="L547" s="217"/>
      <c r="M547" s="217"/>
      <c r="N547" s="217"/>
      <c r="O547" s="217"/>
      <c r="P547" s="217"/>
    </row>
    <row r="548" spans="3:16" ht="42" customHeight="1">
      <c r="C548" s="272">
        <v>546</v>
      </c>
      <c r="D548" s="275"/>
      <c r="E548" s="276"/>
      <c r="F548" s="221"/>
      <c r="G548" s="275"/>
      <c r="H548" s="276"/>
      <c r="I548" s="217"/>
      <c r="J548" s="217"/>
      <c r="K548" s="221"/>
      <c r="L548" s="217"/>
      <c r="M548" s="217"/>
      <c r="N548" s="217"/>
      <c r="O548" s="217"/>
      <c r="P548" s="217"/>
    </row>
    <row r="549" spans="3:16" ht="42" customHeight="1">
      <c r="C549" s="272">
        <v>547</v>
      </c>
      <c r="D549" s="275"/>
      <c r="E549" s="276"/>
      <c r="F549" s="221"/>
      <c r="G549" s="275"/>
      <c r="H549" s="276"/>
      <c r="I549" s="217"/>
      <c r="J549" s="217"/>
      <c r="K549" s="221"/>
      <c r="L549" s="217"/>
      <c r="M549" s="217"/>
      <c r="N549" s="217"/>
      <c r="O549" s="217"/>
      <c r="P549" s="217"/>
    </row>
    <row r="550" spans="3:16" ht="42" customHeight="1">
      <c r="C550" s="272">
        <v>548</v>
      </c>
      <c r="D550" s="275"/>
      <c r="E550" s="276"/>
      <c r="F550" s="221"/>
      <c r="G550" s="275"/>
      <c r="H550" s="276"/>
      <c r="I550" s="217"/>
      <c r="J550" s="217"/>
      <c r="K550" s="221"/>
      <c r="L550" s="217"/>
      <c r="M550" s="217"/>
      <c r="N550" s="217"/>
      <c r="O550" s="217"/>
      <c r="P550" s="217"/>
    </row>
    <row r="551" spans="3:16" ht="42" customHeight="1">
      <c r="C551" s="272">
        <v>549</v>
      </c>
      <c r="D551" s="275"/>
      <c r="E551" s="276"/>
      <c r="F551" s="221"/>
      <c r="G551" s="275"/>
      <c r="H551" s="276"/>
      <c r="I551" s="217"/>
      <c r="J551" s="217"/>
      <c r="K551" s="221"/>
      <c r="L551" s="217"/>
      <c r="M551" s="217"/>
      <c r="N551" s="217"/>
      <c r="O551" s="217"/>
      <c r="P551" s="217"/>
    </row>
    <row r="552" spans="3:16" ht="42" customHeight="1">
      <c r="C552" s="272">
        <v>550</v>
      </c>
      <c r="D552" s="275"/>
      <c r="E552" s="276"/>
      <c r="F552" s="221"/>
      <c r="G552" s="275"/>
      <c r="H552" s="276"/>
      <c r="I552" s="217"/>
      <c r="J552" s="217"/>
      <c r="K552" s="221"/>
      <c r="L552" s="217"/>
      <c r="M552" s="217"/>
      <c r="N552" s="217"/>
      <c r="O552" s="217"/>
      <c r="P552" s="217"/>
    </row>
    <row r="553" spans="3:16" ht="42" customHeight="1">
      <c r="C553" s="272">
        <v>551</v>
      </c>
      <c r="D553" s="275"/>
      <c r="E553" s="276"/>
      <c r="F553" s="221"/>
      <c r="G553" s="275"/>
      <c r="H553" s="276"/>
      <c r="I553" s="217"/>
      <c r="J553" s="217"/>
      <c r="K553" s="221"/>
      <c r="L553" s="217"/>
      <c r="M553" s="217"/>
      <c r="N553" s="217"/>
      <c r="O553" s="217"/>
      <c r="P553" s="217"/>
    </row>
    <row r="554" spans="3:16" ht="42" customHeight="1">
      <c r="C554" s="272">
        <v>552</v>
      </c>
      <c r="D554" s="275"/>
      <c r="E554" s="276"/>
      <c r="F554" s="221"/>
      <c r="G554" s="275"/>
      <c r="H554" s="276"/>
      <c r="I554" s="217"/>
      <c r="J554" s="217"/>
      <c r="K554" s="221"/>
      <c r="L554" s="217"/>
      <c r="M554" s="217"/>
      <c r="N554" s="217"/>
      <c r="O554" s="217"/>
      <c r="P554" s="217"/>
    </row>
    <row r="555" spans="3:16" ht="42" customHeight="1">
      <c r="C555" s="272">
        <v>553</v>
      </c>
      <c r="D555" s="275"/>
      <c r="E555" s="276"/>
      <c r="F555" s="221"/>
      <c r="G555" s="275"/>
      <c r="H555" s="276"/>
      <c r="I555" s="217"/>
      <c r="J555" s="217"/>
      <c r="K555" s="221"/>
      <c r="L555" s="217"/>
      <c r="M555" s="217"/>
      <c r="N555" s="217"/>
      <c r="O555" s="217"/>
      <c r="P555" s="217"/>
    </row>
    <row r="556" spans="3:16" ht="42" customHeight="1">
      <c r="C556" s="272">
        <v>554</v>
      </c>
      <c r="D556" s="275"/>
      <c r="E556" s="276"/>
      <c r="F556" s="221"/>
      <c r="G556" s="275"/>
      <c r="H556" s="276"/>
      <c r="I556" s="217"/>
      <c r="J556" s="217"/>
      <c r="K556" s="221"/>
      <c r="L556" s="217"/>
      <c r="M556" s="217"/>
      <c r="N556" s="217"/>
      <c r="O556" s="217"/>
      <c r="P556" s="217"/>
    </row>
    <row r="557" spans="3:16" ht="42" customHeight="1">
      <c r="C557" s="272">
        <v>555</v>
      </c>
      <c r="D557" s="275"/>
      <c r="E557" s="276"/>
      <c r="F557" s="221"/>
      <c r="G557" s="275"/>
      <c r="H557" s="276"/>
      <c r="I557" s="217"/>
      <c r="J557" s="217"/>
      <c r="K557" s="221"/>
      <c r="L557" s="217"/>
      <c r="M557" s="217"/>
      <c r="N557" s="217"/>
      <c r="O557" s="217"/>
      <c r="P557" s="217"/>
    </row>
    <row r="558" spans="3:16" ht="42" customHeight="1">
      <c r="C558" s="272">
        <v>556</v>
      </c>
      <c r="D558" s="275"/>
      <c r="E558" s="276"/>
      <c r="F558" s="221"/>
      <c r="G558" s="275"/>
      <c r="H558" s="276"/>
      <c r="I558" s="217"/>
      <c r="J558" s="217"/>
      <c r="K558" s="221"/>
      <c r="L558" s="217"/>
      <c r="M558" s="217"/>
      <c r="N558" s="217"/>
      <c r="O558" s="217"/>
      <c r="P558" s="217"/>
    </row>
    <row r="559" spans="3:16" ht="42" customHeight="1">
      <c r="C559" s="272">
        <v>557</v>
      </c>
      <c r="D559" s="275"/>
      <c r="E559" s="276"/>
      <c r="F559" s="221"/>
      <c r="G559" s="275"/>
      <c r="H559" s="276"/>
      <c r="I559" s="217"/>
      <c r="J559" s="217"/>
      <c r="K559" s="221"/>
      <c r="L559" s="217"/>
      <c r="M559" s="217"/>
      <c r="N559" s="217"/>
      <c r="O559" s="217"/>
      <c r="P559" s="217"/>
    </row>
    <row r="560" spans="3:16" ht="42" customHeight="1">
      <c r="C560" s="272">
        <v>558</v>
      </c>
      <c r="D560" s="275"/>
      <c r="E560" s="276"/>
      <c r="F560" s="221"/>
      <c r="G560" s="275"/>
      <c r="H560" s="276"/>
      <c r="I560" s="217"/>
      <c r="J560" s="217"/>
      <c r="K560" s="221"/>
      <c r="L560" s="217"/>
      <c r="M560" s="217"/>
      <c r="N560" s="217"/>
      <c r="O560" s="217"/>
      <c r="P560" s="217"/>
    </row>
    <row r="561" spans="3:16" ht="42" customHeight="1">
      <c r="C561" s="272">
        <v>559</v>
      </c>
      <c r="D561" s="275"/>
      <c r="E561" s="276"/>
      <c r="F561" s="221"/>
      <c r="G561" s="275"/>
      <c r="H561" s="276"/>
      <c r="I561" s="217"/>
      <c r="J561" s="217"/>
      <c r="K561" s="221"/>
      <c r="L561" s="217"/>
      <c r="M561" s="217"/>
      <c r="N561" s="217"/>
      <c r="O561" s="217"/>
      <c r="P561" s="217"/>
    </row>
    <row r="562" spans="3:16" ht="42" customHeight="1">
      <c r="C562" s="272">
        <v>560</v>
      </c>
      <c r="D562" s="275"/>
      <c r="E562" s="276"/>
      <c r="F562" s="221"/>
      <c r="G562" s="275"/>
      <c r="H562" s="276"/>
      <c r="I562" s="217"/>
      <c r="J562" s="217"/>
      <c r="K562" s="221"/>
      <c r="L562" s="217"/>
      <c r="M562" s="217"/>
      <c r="N562" s="217"/>
      <c r="O562" s="217"/>
      <c r="P562" s="217"/>
    </row>
    <row r="563" spans="3:16" ht="42" customHeight="1">
      <c r="C563" s="272">
        <v>561</v>
      </c>
      <c r="D563" s="275"/>
      <c r="E563" s="276"/>
      <c r="F563" s="221"/>
      <c r="G563" s="275"/>
      <c r="H563" s="276"/>
      <c r="I563" s="217"/>
      <c r="J563" s="217"/>
      <c r="K563" s="221"/>
      <c r="L563" s="217"/>
      <c r="M563" s="217"/>
      <c r="N563" s="217"/>
      <c r="O563" s="217"/>
      <c r="P563" s="217"/>
    </row>
    <row r="564" spans="3:16" ht="42" customHeight="1">
      <c r="C564" s="272">
        <v>562</v>
      </c>
      <c r="D564" s="275"/>
      <c r="E564" s="276"/>
      <c r="F564" s="221"/>
      <c r="G564" s="275"/>
      <c r="H564" s="276"/>
      <c r="I564" s="217"/>
      <c r="J564" s="217"/>
      <c r="K564" s="221"/>
      <c r="L564" s="217"/>
      <c r="M564" s="217"/>
      <c r="N564" s="217"/>
      <c r="O564" s="217"/>
      <c r="P564" s="217"/>
    </row>
    <row r="565" spans="3:16" ht="42" customHeight="1">
      <c r="C565" s="272">
        <v>563</v>
      </c>
      <c r="D565" s="275"/>
      <c r="E565" s="276"/>
      <c r="F565" s="221"/>
      <c r="G565" s="275"/>
      <c r="H565" s="276"/>
      <c r="I565" s="217"/>
      <c r="J565" s="217"/>
      <c r="K565" s="221"/>
      <c r="L565" s="217"/>
      <c r="M565" s="217"/>
      <c r="N565" s="217"/>
      <c r="O565" s="217"/>
      <c r="P565" s="217"/>
    </row>
    <row r="566" spans="3:16" ht="42" customHeight="1">
      <c r="C566" s="272">
        <v>564</v>
      </c>
      <c r="D566" s="275"/>
      <c r="E566" s="276"/>
      <c r="F566" s="221"/>
      <c r="G566" s="275"/>
      <c r="H566" s="276"/>
      <c r="I566" s="217"/>
      <c r="J566" s="217"/>
      <c r="K566" s="221"/>
      <c r="L566" s="217"/>
      <c r="M566" s="217"/>
      <c r="N566" s="217"/>
      <c r="O566" s="217"/>
      <c r="P566" s="217"/>
    </row>
    <row r="567" spans="3:16" ht="42" customHeight="1">
      <c r="C567" s="272">
        <v>565</v>
      </c>
      <c r="D567" s="275"/>
      <c r="E567" s="276"/>
      <c r="F567" s="221"/>
      <c r="G567" s="275"/>
      <c r="H567" s="276"/>
      <c r="I567" s="217"/>
      <c r="J567" s="217"/>
      <c r="K567" s="221"/>
      <c r="L567" s="217"/>
      <c r="M567" s="217"/>
      <c r="N567" s="217"/>
      <c r="O567" s="217"/>
      <c r="P567" s="217"/>
    </row>
    <row r="568" spans="3:16" ht="42" customHeight="1">
      <c r="C568" s="272">
        <v>566</v>
      </c>
      <c r="D568" s="275"/>
      <c r="E568" s="276"/>
      <c r="F568" s="221"/>
      <c r="G568" s="275"/>
      <c r="H568" s="276"/>
      <c r="I568" s="217"/>
      <c r="J568" s="217"/>
      <c r="K568" s="221"/>
      <c r="L568" s="217"/>
      <c r="M568" s="217"/>
      <c r="N568" s="217"/>
      <c r="O568" s="217"/>
      <c r="P568" s="217"/>
    </row>
    <row r="569" spans="3:16" ht="42" customHeight="1">
      <c r="C569" s="272">
        <v>567</v>
      </c>
      <c r="D569" s="275"/>
      <c r="E569" s="276"/>
      <c r="F569" s="221"/>
      <c r="G569" s="275"/>
      <c r="H569" s="276"/>
      <c r="I569" s="217"/>
      <c r="J569" s="217"/>
      <c r="K569" s="221"/>
      <c r="L569" s="217"/>
      <c r="M569" s="217"/>
      <c r="N569" s="217"/>
      <c r="O569" s="217"/>
      <c r="P569" s="217"/>
    </row>
    <row r="570" spans="3:16" ht="42" customHeight="1">
      <c r="C570" s="272">
        <v>568</v>
      </c>
      <c r="D570" s="275"/>
      <c r="E570" s="276"/>
      <c r="F570" s="221"/>
      <c r="G570" s="275"/>
      <c r="H570" s="276"/>
      <c r="I570" s="217"/>
      <c r="J570" s="217"/>
      <c r="K570" s="221"/>
      <c r="L570" s="217"/>
      <c r="M570" s="217"/>
      <c r="N570" s="217"/>
      <c r="O570" s="217"/>
      <c r="P570" s="217"/>
    </row>
    <row r="571" spans="3:16" ht="42" customHeight="1">
      <c r="C571" s="272">
        <v>569</v>
      </c>
      <c r="D571" s="275"/>
      <c r="E571" s="276"/>
      <c r="F571" s="221"/>
      <c r="G571" s="275"/>
      <c r="H571" s="276"/>
      <c r="I571" s="217"/>
      <c r="J571" s="217"/>
      <c r="K571" s="221"/>
      <c r="L571" s="217"/>
      <c r="M571" s="217"/>
      <c r="N571" s="217"/>
      <c r="O571" s="217"/>
      <c r="P571" s="217"/>
    </row>
    <row r="572" spans="3:16" ht="42" customHeight="1">
      <c r="C572" s="272">
        <v>570</v>
      </c>
      <c r="D572" s="275"/>
      <c r="E572" s="276"/>
      <c r="F572" s="221"/>
      <c r="G572" s="275"/>
      <c r="H572" s="276"/>
      <c r="I572" s="217"/>
      <c r="J572" s="217"/>
      <c r="K572" s="221"/>
      <c r="L572" s="217"/>
      <c r="M572" s="217"/>
      <c r="N572" s="217"/>
      <c r="O572" s="217"/>
      <c r="P572" s="217"/>
    </row>
    <row r="573" spans="3:16" ht="42" customHeight="1">
      <c r="C573" s="272">
        <v>571</v>
      </c>
      <c r="D573" s="275"/>
      <c r="E573" s="276"/>
      <c r="F573" s="221"/>
      <c r="G573" s="275"/>
      <c r="H573" s="276"/>
      <c r="I573" s="217"/>
      <c r="J573" s="217"/>
      <c r="K573" s="221"/>
      <c r="L573" s="217"/>
      <c r="M573" s="217"/>
      <c r="N573" s="217"/>
      <c r="O573" s="217"/>
      <c r="P573" s="217"/>
    </row>
    <row r="574" spans="3:16" ht="42" customHeight="1">
      <c r="C574" s="272">
        <v>572</v>
      </c>
      <c r="D574" s="275"/>
      <c r="E574" s="276"/>
      <c r="F574" s="221"/>
      <c r="G574" s="275"/>
      <c r="H574" s="276"/>
      <c r="I574" s="217"/>
      <c r="J574" s="217"/>
      <c r="K574" s="221"/>
      <c r="L574" s="217"/>
      <c r="M574" s="217"/>
      <c r="N574" s="217"/>
      <c r="O574" s="217"/>
      <c r="P574" s="217"/>
    </row>
    <row r="575" spans="3:16" ht="42" customHeight="1">
      <c r="C575" s="272">
        <v>573</v>
      </c>
      <c r="D575" s="275"/>
      <c r="E575" s="276"/>
      <c r="F575" s="221"/>
      <c r="G575" s="275"/>
      <c r="H575" s="276"/>
      <c r="I575" s="217"/>
      <c r="J575" s="217"/>
      <c r="K575" s="221"/>
      <c r="L575" s="217"/>
      <c r="M575" s="217"/>
      <c r="N575" s="217"/>
      <c r="O575" s="217"/>
      <c r="P575" s="217"/>
    </row>
    <row r="576" spans="3:16" ht="42" customHeight="1">
      <c r="C576" s="272">
        <v>574</v>
      </c>
      <c r="D576" s="275"/>
      <c r="E576" s="276"/>
      <c r="F576" s="221"/>
      <c r="G576" s="275"/>
      <c r="H576" s="276"/>
      <c r="I576" s="217"/>
      <c r="J576" s="217"/>
      <c r="K576" s="221"/>
      <c r="L576" s="217"/>
      <c r="M576" s="217"/>
      <c r="N576" s="217"/>
      <c r="O576" s="217"/>
      <c r="P576" s="217"/>
    </row>
    <row r="577" spans="3:16" ht="42" customHeight="1">
      <c r="C577" s="272">
        <v>575</v>
      </c>
      <c r="D577" s="275"/>
      <c r="E577" s="276"/>
      <c r="F577" s="221"/>
      <c r="G577" s="275"/>
      <c r="H577" s="276"/>
      <c r="I577" s="217"/>
      <c r="J577" s="217"/>
      <c r="K577" s="221"/>
      <c r="L577" s="217"/>
      <c r="M577" s="217"/>
      <c r="N577" s="217"/>
      <c r="O577" s="217"/>
      <c r="P577" s="217"/>
    </row>
    <row r="578" spans="3:16" ht="42" customHeight="1">
      <c r="C578" s="272">
        <v>576</v>
      </c>
      <c r="D578" s="275"/>
      <c r="E578" s="276"/>
      <c r="F578" s="221"/>
      <c r="G578" s="275"/>
      <c r="H578" s="276"/>
      <c r="I578" s="217"/>
      <c r="J578" s="217"/>
      <c r="K578" s="221"/>
      <c r="L578" s="217"/>
      <c r="M578" s="217"/>
      <c r="N578" s="217"/>
      <c r="O578" s="217"/>
      <c r="P578" s="217"/>
    </row>
    <row r="579" spans="3:16" ht="42" customHeight="1">
      <c r="C579" s="272">
        <v>577</v>
      </c>
      <c r="D579" s="275"/>
      <c r="E579" s="276"/>
      <c r="F579" s="221"/>
      <c r="G579" s="275"/>
      <c r="H579" s="276"/>
      <c r="I579" s="217"/>
      <c r="J579" s="217"/>
      <c r="K579" s="221"/>
      <c r="L579" s="217"/>
      <c r="M579" s="217"/>
      <c r="N579" s="217"/>
      <c r="O579" s="217"/>
      <c r="P579" s="217"/>
    </row>
    <row r="580" spans="3:16" ht="42" customHeight="1">
      <c r="C580" s="272">
        <v>578</v>
      </c>
      <c r="D580" s="275"/>
      <c r="E580" s="276"/>
      <c r="F580" s="221"/>
      <c r="G580" s="275"/>
      <c r="H580" s="276"/>
      <c r="I580" s="217"/>
      <c r="J580" s="217"/>
      <c r="K580" s="221"/>
      <c r="L580" s="217"/>
      <c r="M580" s="217"/>
      <c r="N580" s="217"/>
      <c r="O580" s="217"/>
      <c r="P580" s="217"/>
    </row>
    <row r="581" spans="3:16" ht="42" customHeight="1">
      <c r="C581" s="272">
        <v>579</v>
      </c>
      <c r="D581" s="275"/>
      <c r="E581" s="276"/>
      <c r="F581" s="221"/>
      <c r="G581" s="275"/>
      <c r="H581" s="276"/>
      <c r="I581" s="217"/>
      <c r="J581" s="217"/>
      <c r="K581" s="221"/>
      <c r="L581" s="217"/>
      <c r="M581" s="217"/>
      <c r="N581" s="217"/>
      <c r="O581" s="217"/>
      <c r="P581" s="217"/>
    </row>
    <row r="582" spans="3:16" ht="42" customHeight="1">
      <c r="C582" s="272">
        <v>580</v>
      </c>
      <c r="D582" s="275"/>
      <c r="E582" s="276"/>
      <c r="F582" s="221"/>
      <c r="G582" s="275"/>
      <c r="H582" s="276"/>
      <c r="I582" s="217"/>
      <c r="J582" s="217"/>
      <c r="K582" s="221"/>
      <c r="L582" s="217"/>
      <c r="M582" s="217"/>
      <c r="N582" s="217"/>
      <c r="O582" s="217"/>
      <c r="P582" s="217"/>
    </row>
    <row r="583" spans="3:16" ht="42" customHeight="1">
      <c r="C583" s="272">
        <v>581</v>
      </c>
      <c r="D583" s="275"/>
      <c r="E583" s="276"/>
      <c r="F583" s="221"/>
      <c r="G583" s="275"/>
      <c r="H583" s="276"/>
      <c r="I583" s="217"/>
      <c r="J583" s="217"/>
      <c r="K583" s="221"/>
      <c r="L583" s="217"/>
      <c r="M583" s="217"/>
      <c r="N583" s="217"/>
      <c r="O583" s="217"/>
      <c r="P583" s="217"/>
    </row>
    <row r="584" spans="3:16" ht="42" customHeight="1">
      <c r="C584" s="272">
        <v>582</v>
      </c>
      <c r="D584" s="275"/>
      <c r="E584" s="276"/>
      <c r="F584" s="221"/>
      <c r="G584" s="275"/>
      <c r="H584" s="276"/>
      <c r="I584" s="217"/>
      <c r="J584" s="217"/>
      <c r="K584" s="221"/>
      <c r="L584" s="217"/>
      <c r="M584" s="217"/>
      <c r="N584" s="217"/>
      <c r="O584" s="217"/>
      <c r="P584" s="217"/>
    </row>
    <row r="585" spans="3:16" ht="42" customHeight="1">
      <c r="C585" s="272">
        <v>583</v>
      </c>
      <c r="D585" s="275"/>
      <c r="E585" s="276"/>
      <c r="F585" s="221"/>
      <c r="G585" s="275"/>
      <c r="H585" s="276"/>
      <c r="I585" s="217"/>
      <c r="J585" s="217"/>
      <c r="K585" s="221"/>
      <c r="L585" s="217"/>
      <c r="M585" s="217"/>
      <c r="N585" s="217"/>
      <c r="O585" s="217"/>
      <c r="P585" s="217"/>
    </row>
    <row r="586" spans="3:16" ht="42" customHeight="1">
      <c r="C586" s="272">
        <v>584</v>
      </c>
      <c r="D586" s="275"/>
      <c r="E586" s="276"/>
      <c r="F586" s="221"/>
      <c r="G586" s="275"/>
      <c r="H586" s="276"/>
      <c r="I586" s="217"/>
      <c r="J586" s="217"/>
      <c r="K586" s="221"/>
      <c r="L586" s="217"/>
      <c r="M586" s="217"/>
      <c r="N586" s="217"/>
      <c r="O586" s="217"/>
      <c r="P586" s="217"/>
    </row>
    <row r="587" spans="3:16" ht="42" customHeight="1">
      <c r="C587" s="272">
        <v>585</v>
      </c>
      <c r="D587" s="275"/>
      <c r="E587" s="276"/>
      <c r="F587" s="221"/>
      <c r="G587" s="275"/>
      <c r="H587" s="276"/>
      <c r="I587" s="217"/>
      <c r="J587" s="217"/>
      <c r="K587" s="221"/>
      <c r="L587" s="217"/>
      <c r="M587" s="217"/>
      <c r="N587" s="217"/>
      <c r="O587" s="217"/>
      <c r="P587" s="217"/>
    </row>
    <row r="588" spans="3:16" ht="42" customHeight="1">
      <c r="C588" s="272">
        <v>586</v>
      </c>
      <c r="D588" s="275"/>
      <c r="E588" s="276"/>
      <c r="F588" s="221"/>
      <c r="G588" s="275"/>
      <c r="H588" s="276"/>
      <c r="I588" s="217"/>
      <c r="J588" s="217"/>
      <c r="K588" s="221"/>
      <c r="L588" s="217"/>
      <c r="M588" s="217"/>
      <c r="N588" s="217"/>
      <c r="O588" s="217"/>
      <c r="P588" s="217"/>
    </row>
    <row r="589" spans="3:16" ht="42" customHeight="1">
      <c r="C589" s="272">
        <v>587</v>
      </c>
      <c r="D589" s="275"/>
      <c r="E589" s="276"/>
      <c r="F589" s="221"/>
      <c r="G589" s="275"/>
      <c r="H589" s="276"/>
      <c r="I589" s="217"/>
      <c r="J589" s="217"/>
      <c r="K589" s="221"/>
      <c r="L589" s="217"/>
      <c r="M589" s="217"/>
      <c r="N589" s="217"/>
      <c r="O589" s="217"/>
      <c r="P589" s="217"/>
    </row>
    <row r="590" spans="3:16" ht="42" customHeight="1">
      <c r="C590" s="272">
        <v>588</v>
      </c>
      <c r="D590" s="275"/>
      <c r="E590" s="276"/>
      <c r="F590" s="221"/>
      <c r="G590" s="275"/>
      <c r="H590" s="276"/>
      <c r="I590" s="217"/>
      <c r="J590" s="217"/>
      <c r="K590" s="221"/>
      <c r="L590" s="217"/>
      <c r="M590" s="217"/>
      <c r="N590" s="217"/>
      <c r="O590" s="217"/>
      <c r="P590" s="217"/>
    </row>
    <row r="591" spans="3:16" ht="42" customHeight="1">
      <c r="C591" s="272">
        <v>589</v>
      </c>
      <c r="D591" s="275"/>
      <c r="E591" s="276"/>
      <c r="F591" s="221"/>
      <c r="G591" s="275"/>
      <c r="H591" s="276"/>
      <c r="I591" s="217"/>
      <c r="J591" s="217"/>
      <c r="K591" s="221"/>
      <c r="L591" s="217"/>
      <c r="M591" s="217"/>
      <c r="N591" s="217"/>
      <c r="O591" s="217"/>
      <c r="P591" s="217"/>
    </row>
    <row r="592" spans="3:16" ht="42" customHeight="1">
      <c r="C592" s="272">
        <v>590</v>
      </c>
      <c r="D592" s="275"/>
      <c r="E592" s="276"/>
      <c r="F592" s="221"/>
      <c r="G592" s="275"/>
      <c r="H592" s="276"/>
      <c r="I592" s="217"/>
      <c r="J592" s="217"/>
      <c r="K592" s="221"/>
      <c r="L592" s="217"/>
      <c r="M592" s="217"/>
      <c r="N592" s="217"/>
      <c r="O592" s="217"/>
      <c r="P592" s="217"/>
    </row>
    <row r="593" spans="3:16" ht="42" customHeight="1">
      <c r="C593" s="272">
        <v>591</v>
      </c>
      <c r="D593" s="275"/>
      <c r="E593" s="276"/>
      <c r="F593" s="221"/>
      <c r="G593" s="275"/>
      <c r="H593" s="276"/>
      <c r="I593" s="217"/>
      <c r="J593" s="217"/>
      <c r="K593" s="221"/>
      <c r="L593" s="217"/>
      <c r="M593" s="217"/>
      <c r="N593" s="217"/>
      <c r="O593" s="217"/>
      <c r="P593" s="217"/>
    </row>
    <row r="594" spans="3:16" ht="42" customHeight="1">
      <c r="C594" s="272">
        <v>592</v>
      </c>
      <c r="D594" s="275"/>
      <c r="E594" s="276"/>
      <c r="F594" s="221"/>
      <c r="G594" s="275"/>
      <c r="H594" s="276"/>
      <c r="I594" s="217"/>
      <c r="J594" s="217"/>
      <c r="K594" s="221"/>
      <c r="L594" s="217"/>
      <c r="M594" s="217"/>
      <c r="N594" s="217"/>
      <c r="O594" s="217"/>
      <c r="P594" s="217"/>
    </row>
    <row r="595" spans="3:16" ht="42" customHeight="1">
      <c r="C595" s="272">
        <v>593</v>
      </c>
      <c r="D595" s="275"/>
      <c r="E595" s="276"/>
      <c r="F595" s="221"/>
      <c r="G595" s="275"/>
      <c r="H595" s="276"/>
      <c r="I595" s="217"/>
      <c r="J595" s="217"/>
      <c r="K595" s="221"/>
      <c r="L595" s="217"/>
      <c r="M595" s="217"/>
      <c r="N595" s="217"/>
      <c r="O595" s="217"/>
      <c r="P595" s="217"/>
    </row>
    <row r="596" spans="3:16" ht="42" customHeight="1">
      <c r="C596" s="272">
        <v>594</v>
      </c>
      <c r="D596" s="275"/>
      <c r="E596" s="276"/>
      <c r="F596" s="221"/>
      <c r="G596" s="275"/>
      <c r="H596" s="276"/>
      <c r="I596" s="217"/>
      <c r="J596" s="217"/>
      <c r="K596" s="221"/>
      <c r="L596" s="217"/>
      <c r="M596" s="217"/>
      <c r="N596" s="217"/>
      <c r="O596" s="217"/>
      <c r="P596" s="217"/>
    </row>
    <row r="597" spans="3:16" ht="42" customHeight="1">
      <c r="C597" s="272">
        <v>595</v>
      </c>
      <c r="D597" s="275"/>
      <c r="E597" s="276"/>
      <c r="F597" s="221"/>
      <c r="G597" s="275"/>
      <c r="H597" s="276"/>
      <c r="I597" s="217"/>
      <c r="J597" s="217"/>
      <c r="K597" s="221"/>
      <c r="L597" s="217"/>
      <c r="M597" s="217"/>
      <c r="N597" s="217"/>
      <c r="O597" s="217"/>
      <c r="P597" s="217"/>
    </row>
    <row r="598" spans="3:16" ht="42" customHeight="1">
      <c r="C598" s="272">
        <v>596</v>
      </c>
      <c r="D598" s="275"/>
      <c r="E598" s="276"/>
      <c r="F598" s="221"/>
      <c r="G598" s="275"/>
      <c r="H598" s="276"/>
      <c r="I598" s="217"/>
      <c r="J598" s="217"/>
      <c r="K598" s="221"/>
      <c r="L598" s="217"/>
      <c r="M598" s="217"/>
      <c r="N598" s="217"/>
      <c r="O598" s="217"/>
      <c r="P598" s="217"/>
    </row>
    <row r="599" spans="3:16" ht="42" customHeight="1">
      <c r="C599" s="272">
        <v>597</v>
      </c>
      <c r="D599" s="275"/>
      <c r="E599" s="276"/>
      <c r="F599" s="221"/>
      <c r="G599" s="275"/>
      <c r="H599" s="276"/>
      <c r="I599" s="217"/>
      <c r="J599" s="217"/>
      <c r="K599" s="221"/>
      <c r="L599" s="217"/>
      <c r="M599" s="217"/>
      <c r="N599" s="217"/>
      <c r="O599" s="217"/>
      <c r="P599" s="217"/>
    </row>
    <row r="600" spans="3:16" ht="42" customHeight="1">
      <c r="C600" s="272">
        <v>598</v>
      </c>
      <c r="D600" s="275"/>
      <c r="E600" s="276"/>
      <c r="F600" s="221"/>
      <c r="G600" s="275"/>
      <c r="H600" s="276"/>
      <c r="I600" s="217"/>
      <c r="J600" s="217"/>
      <c r="K600" s="221"/>
      <c r="L600" s="217"/>
      <c r="M600" s="217"/>
      <c r="N600" s="217"/>
      <c r="O600" s="217"/>
      <c r="P600" s="217"/>
    </row>
    <row r="601" spans="3:16" ht="42" customHeight="1">
      <c r="C601" s="272">
        <v>599</v>
      </c>
      <c r="D601" s="275"/>
      <c r="E601" s="276"/>
      <c r="F601" s="221"/>
      <c r="G601" s="275"/>
      <c r="H601" s="276"/>
      <c r="I601" s="217"/>
      <c r="J601" s="217"/>
      <c r="K601" s="221"/>
      <c r="L601" s="217"/>
      <c r="M601" s="217"/>
      <c r="N601" s="217"/>
      <c r="O601" s="217"/>
      <c r="P601" s="217"/>
    </row>
    <row r="602" spans="3:16" ht="42" customHeight="1">
      <c r="C602" s="272">
        <v>600</v>
      </c>
      <c r="D602" s="275"/>
      <c r="E602" s="276"/>
      <c r="F602" s="221"/>
      <c r="G602" s="275"/>
      <c r="H602" s="276"/>
      <c r="I602" s="217"/>
      <c r="J602" s="217"/>
      <c r="K602" s="221"/>
      <c r="L602" s="217"/>
      <c r="M602" s="217"/>
      <c r="N602" s="217"/>
      <c r="O602" s="217"/>
      <c r="P602" s="217"/>
    </row>
    <row r="603" spans="3:16" ht="42" customHeight="1">
      <c r="C603" s="272">
        <v>601</v>
      </c>
      <c r="D603" s="275"/>
      <c r="E603" s="276"/>
      <c r="F603" s="221"/>
      <c r="G603" s="275"/>
      <c r="H603" s="276"/>
      <c r="I603" s="217"/>
      <c r="J603" s="217"/>
      <c r="K603" s="221"/>
      <c r="L603" s="217"/>
      <c r="M603" s="217"/>
      <c r="N603" s="217"/>
      <c r="O603" s="217"/>
      <c r="P603" s="217"/>
    </row>
    <row r="604" spans="3:16" ht="42" customHeight="1">
      <c r="C604" s="272">
        <v>602</v>
      </c>
      <c r="D604" s="275"/>
      <c r="E604" s="276"/>
      <c r="F604" s="221"/>
      <c r="G604" s="275"/>
      <c r="H604" s="276"/>
      <c r="I604" s="217"/>
      <c r="J604" s="217"/>
      <c r="K604" s="221"/>
      <c r="L604" s="217"/>
      <c r="M604" s="217"/>
      <c r="N604" s="217"/>
      <c r="O604" s="217"/>
      <c r="P604" s="217"/>
    </row>
    <row r="605" spans="3:16" ht="42" customHeight="1">
      <c r="C605" s="272">
        <v>603</v>
      </c>
      <c r="D605" s="275"/>
      <c r="E605" s="276"/>
      <c r="F605" s="221"/>
      <c r="G605" s="275"/>
      <c r="H605" s="276"/>
      <c r="I605" s="217"/>
      <c r="J605" s="217"/>
      <c r="K605" s="221"/>
      <c r="L605" s="217"/>
      <c r="M605" s="217"/>
      <c r="N605" s="217"/>
      <c r="O605" s="217"/>
      <c r="P605" s="217"/>
    </row>
    <row r="606" spans="3:16" ht="42" customHeight="1">
      <c r="C606" s="272">
        <v>604</v>
      </c>
      <c r="D606" s="275"/>
      <c r="E606" s="276"/>
      <c r="F606" s="221"/>
      <c r="G606" s="275"/>
      <c r="H606" s="276"/>
      <c r="I606" s="217"/>
      <c r="J606" s="217"/>
      <c r="K606" s="221"/>
      <c r="L606" s="217"/>
      <c r="M606" s="217"/>
      <c r="N606" s="217"/>
      <c r="O606" s="217"/>
      <c r="P606" s="217"/>
    </row>
    <row r="607" spans="3:16" ht="42" customHeight="1">
      <c r="C607" s="272">
        <v>605</v>
      </c>
      <c r="D607" s="275"/>
      <c r="E607" s="276"/>
      <c r="F607" s="221"/>
      <c r="G607" s="275"/>
      <c r="H607" s="276"/>
      <c r="I607" s="217"/>
      <c r="J607" s="217"/>
      <c r="K607" s="221"/>
      <c r="L607" s="217"/>
      <c r="M607" s="217"/>
      <c r="N607" s="217"/>
      <c r="O607" s="217"/>
      <c r="P607" s="217"/>
    </row>
    <row r="608" spans="3:16" ht="42" customHeight="1">
      <c r="C608" s="272">
        <v>606</v>
      </c>
      <c r="D608" s="275"/>
      <c r="E608" s="276"/>
      <c r="F608" s="221"/>
      <c r="G608" s="275"/>
      <c r="H608" s="276"/>
      <c r="I608" s="217"/>
      <c r="J608" s="217"/>
      <c r="K608" s="221"/>
      <c r="L608" s="217"/>
      <c r="M608" s="217"/>
      <c r="N608" s="217"/>
      <c r="O608" s="217"/>
      <c r="P608" s="217"/>
    </row>
    <row r="609" spans="3:16" ht="42" customHeight="1">
      <c r="C609" s="272">
        <v>607</v>
      </c>
      <c r="D609" s="275"/>
      <c r="E609" s="276"/>
      <c r="F609" s="221"/>
      <c r="G609" s="275"/>
      <c r="H609" s="276"/>
      <c r="I609" s="217"/>
      <c r="J609" s="217"/>
      <c r="K609" s="221"/>
      <c r="L609" s="217"/>
      <c r="M609" s="217"/>
      <c r="N609" s="217"/>
      <c r="O609" s="217"/>
      <c r="P609" s="217"/>
    </row>
    <row r="610" spans="3:16" ht="42" customHeight="1">
      <c r="C610" s="272">
        <v>608</v>
      </c>
      <c r="D610" s="275"/>
      <c r="E610" s="276"/>
      <c r="F610" s="221"/>
      <c r="G610" s="275"/>
      <c r="H610" s="276"/>
      <c r="I610" s="217"/>
      <c r="J610" s="217"/>
      <c r="K610" s="221"/>
      <c r="L610" s="217"/>
      <c r="M610" s="217"/>
      <c r="N610" s="217"/>
      <c r="O610" s="217"/>
      <c r="P610" s="217"/>
    </row>
    <row r="611" spans="3:16" ht="42" customHeight="1">
      <c r="C611" s="272">
        <v>609</v>
      </c>
      <c r="D611" s="275"/>
      <c r="E611" s="276"/>
      <c r="F611" s="221"/>
      <c r="G611" s="275"/>
      <c r="H611" s="276"/>
      <c r="I611" s="217"/>
      <c r="J611" s="217"/>
      <c r="K611" s="221"/>
      <c r="L611" s="217"/>
      <c r="M611" s="217"/>
      <c r="N611" s="217"/>
      <c r="O611" s="217"/>
      <c r="P611" s="217"/>
    </row>
    <row r="612" spans="3:16" ht="42" customHeight="1">
      <c r="C612" s="272">
        <v>610</v>
      </c>
      <c r="D612" s="275"/>
      <c r="E612" s="276"/>
      <c r="F612" s="221"/>
      <c r="G612" s="275"/>
      <c r="H612" s="276"/>
      <c r="I612" s="217"/>
      <c r="J612" s="217"/>
      <c r="K612" s="221"/>
      <c r="L612" s="217"/>
      <c r="M612" s="217"/>
      <c r="N612" s="217"/>
      <c r="O612" s="217"/>
      <c r="P612" s="217"/>
    </row>
    <row r="613" spans="3:16" ht="42" customHeight="1">
      <c r="C613" s="272">
        <v>611</v>
      </c>
      <c r="D613" s="275"/>
      <c r="E613" s="276"/>
      <c r="F613" s="221"/>
      <c r="G613" s="275"/>
      <c r="H613" s="276"/>
      <c r="I613" s="217"/>
      <c r="J613" s="217"/>
      <c r="K613" s="221"/>
      <c r="L613" s="217"/>
      <c r="M613" s="217"/>
      <c r="N613" s="217"/>
      <c r="O613" s="217"/>
      <c r="P613" s="217"/>
    </row>
    <row r="614" spans="3:16" ht="42" customHeight="1">
      <c r="C614" s="272">
        <v>612</v>
      </c>
      <c r="D614" s="275"/>
      <c r="E614" s="276"/>
      <c r="F614" s="221"/>
      <c r="G614" s="275"/>
      <c r="H614" s="276"/>
      <c r="I614" s="217"/>
      <c r="J614" s="217"/>
      <c r="K614" s="221"/>
      <c r="L614" s="217"/>
      <c r="M614" s="217"/>
      <c r="N614" s="217"/>
      <c r="O614" s="217"/>
      <c r="P614" s="217"/>
    </row>
    <row r="615" spans="3:16" ht="42" customHeight="1">
      <c r="C615" s="272">
        <v>613</v>
      </c>
      <c r="D615" s="275"/>
      <c r="E615" s="276"/>
      <c r="F615" s="221"/>
      <c r="G615" s="275"/>
      <c r="H615" s="276"/>
      <c r="I615" s="217"/>
      <c r="J615" s="217"/>
      <c r="K615" s="221"/>
      <c r="L615" s="217"/>
      <c r="M615" s="217"/>
      <c r="N615" s="217"/>
      <c r="O615" s="217"/>
      <c r="P615" s="217"/>
    </row>
    <row r="616" spans="3:16" ht="42" customHeight="1">
      <c r="C616" s="272">
        <v>614</v>
      </c>
      <c r="D616" s="275"/>
      <c r="E616" s="276"/>
      <c r="F616" s="221"/>
      <c r="G616" s="275"/>
      <c r="H616" s="276"/>
      <c r="I616" s="217"/>
      <c r="J616" s="217"/>
      <c r="K616" s="221"/>
      <c r="L616" s="217"/>
      <c r="M616" s="217"/>
      <c r="N616" s="217"/>
      <c r="O616" s="217"/>
      <c r="P616" s="217"/>
    </row>
    <row r="617" spans="3:16" ht="42" customHeight="1">
      <c r="C617" s="272">
        <v>615</v>
      </c>
      <c r="D617" s="275"/>
      <c r="E617" s="276"/>
      <c r="F617" s="221"/>
      <c r="G617" s="275"/>
      <c r="H617" s="276"/>
      <c r="I617" s="217"/>
      <c r="J617" s="217"/>
      <c r="K617" s="221"/>
      <c r="L617" s="217"/>
      <c r="M617" s="217"/>
      <c r="N617" s="217"/>
      <c r="O617" s="217"/>
      <c r="P617" s="217"/>
    </row>
    <row r="618" spans="3:16" ht="42" customHeight="1">
      <c r="C618" s="272">
        <v>616</v>
      </c>
      <c r="D618" s="275"/>
      <c r="E618" s="276"/>
      <c r="F618" s="221"/>
      <c r="G618" s="275"/>
      <c r="H618" s="276"/>
      <c r="I618" s="217"/>
      <c r="J618" s="217"/>
      <c r="K618" s="221"/>
      <c r="L618" s="217"/>
      <c r="M618" s="217"/>
      <c r="N618" s="217"/>
      <c r="O618" s="217"/>
      <c r="P618" s="217"/>
    </row>
    <row r="619" spans="3:16" ht="42" customHeight="1">
      <c r="C619" s="272">
        <v>617</v>
      </c>
      <c r="D619" s="275"/>
      <c r="E619" s="276"/>
      <c r="F619" s="221"/>
      <c r="G619" s="275"/>
      <c r="H619" s="276"/>
      <c r="I619" s="217"/>
      <c r="J619" s="217"/>
      <c r="K619" s="221"/>
      <c r="L619" s="217"/>
      <c r="M619" s="217"/>
      <c r="N619" s="217"/>
      <c r="O619" s="217"/>
      <c r="P619" s="217"/>
    </row>
    <row r="620" spans="3:16" ht="42" customHeight="1">
      <c r="C620" s="272">
        <v>618</v>
      </c>
      <c r="D620" s="275"/>
      <c r="E620" s="276"/>
      <c r="F620" s="221"/>
      <c r="G620" s="275"/>
      <c r="H620" s="276"/>
      <c r="I620" s="217"/>
      <c r="J620" s="217"/>
      <c r="K620" s="221"/>
      <c r="L620" s="217"/>
      <c r="M620" s="217"/>
      <c r="N620" s="217"/>
      <c r="O620" s="217"/>
      <c r="P620" s="217"/>
    </row>
    <row r="621" spans="3:16" ht="42" customHeight="1">
      <c r="C621" s="272">
        <v>619</v>
      </c>
      <c r="D621" s="275"/>
      <c r="E621" s="276"/>
      <c r="F621" s="221"/>
      <c r="G621" s="275"/>
      <c r="H621" s="276"/>
      <c r="I621" s="217"/>
      <c r="J621" s="217"/>
      <c r="K621" s="221"/>
      <c r="L621" s="217"/>
      <c r="M621" s="217"/>
      <c r="N621" s="217"/>
      <c r="O621" s="217"/>
      <c r="P621" s="217"/>
    </row>
    <row r="622" spans="3:16" ht="42" customHeight="1">
      <c r="C622" s="272">
        <v>620</v>
      </c>
      <c r="D622" s="275"/>
      <c r="E622" s="276"/>
      <c r="F622" s="221"/>
      <c r="G622" s="275"/>
      <c r="H622" s="276"/>
      <c r="I622" s="217"/>
      <c r="J622" s="217"/>
      <c r="K622" s="221"/>
      <c r="L622" s="217"/>
      <c r="M622" s="217"/>
      <c r="N622" s="217"/>
      <c r="O622" s="217"/>
      <c r="P622" s="217"/>
    </row>
    <row r="623" spans="3:16" ht="42" customHeight="1">
      <c r="C623" s="272">
        <v>621</v>
      </c>
      <c r="D623" s="275"/>
      <c r="E623" s="276"/>
      <c r="F623" s="221"/>
      <c r="G623" s="275"/>
      <c r="H623" s="276"/>
      <c r="I623" s="217"/>
      <c r="J623" s="217"/>
      <c r="K623" s="221"/>
      <c r="L623" s="217"/>
      <c r="M623" s="217"/>
      <c r="N623" s="217"/>
      <c r="O623" s="217"/>
      <c r="P623" s="217"/>
    </row>
    <row r="624" spans="3:16" ht="42" customHeight="1">
      <c r="C624" s="272">
        <v>622</v>
      </c>
      <c r="D624" s="275"/>
      <c r="E624" s="276"/>
      <c r="F624" s="221"/>
      <c r="G624" s="275"/>
      <c r="H624" s="276"/>
      <c r="I624" s="217"/>
      <c r="J624" s="217"/>
      <c r="K624" s="221"/>
      <c r="L624" s="217"/>
      <c r="M624" s="217"/>
      <c r="N624" s="217"/>
      <c r="O624" s="217"/>
      <c r="P624" s="217"/>
    </row>
    <row r="625" spans="3:16" ht="42" customHeight="1">
      <c r="C625" s="272">
        <v>623</v>
      </c>
      <c r="D625" s="275"/>
      <c r="E625" s="276"/>
      <c r="F625" s="221"/>
      <c r="G625" s="275"/>
      <c r="H625" s="276"/>
      <c r="I625" s="217"/>
      <c r="J625" s="217"/>
      <c r="K625" s="221"/>
      <c r="L625" s="217"/>
      <c r="M625" s="217"/>
      <c r="N625" s="217"/>
      <c r="O625" s="217"/>
      <c r="P625" s="217"/>
    </row>
    <row r="626" spans="3:16" ht="42" customHeight="1">
      <c r="C626" s="272">
        <v>624</v>
      </c>
      <c r="D626" s="275"/>
      <c r="E626" s="276"/>
      <c r="F626" s="221"/>
      <c r="G626" s="275"/>
      <c r="H626" s="276"/>
      <c r="I626" s="217"/>
      <c r="J626" s="217"/>
      <c r="K626" s="221"/>
      <c r="L626" s="217"/>
      <c r="M626" s="217"/>
      <c r="N626" s="217"/>
      <c r="O626" s="217"/>
      <c r="P626" s="217"/>
    </row>
    <row r="627" spans="3:16" ht="42" customHeight="1">
      <c r="C627" s="272">
        <v>625</v>
      </c>
      <c r="D627" s="275"/>
      <c r="E627" s="276"/>
      <c r="F627" s="221"/>
      <c r="G627" s="275"/>
      <c r="H627" s="276"/>
      <c r="I627" s="217"/>
      <c r="J627" s="217"/>
      <c r="K627" s="221"/>
      <c r="L627" s="217"/>
      <c r="M627" s="217"/>
      <c r="N627" s="217"/>
      <c r="O627" s="217"/>
      <c r="P627" s="217"/>
    </row>
    <row r="628" spans="3:16" ht="42" customHeight="1">
      <c r="C628" s="272">
        <v>626</v>
      </c>
      <c r="D628" s="275"/>
      <c r="E628" s="276"/>
      <c r="F628" s="221"/>
      <c r="G628" s="275"/>
      <c r="H628" s="276"/>
      <c r="I628" s="217"/>
      <c r="J628" s="217"/>
      <c r="K628" s="221"/>
      <c r="L628" s="217"/>
      <c r="M628" s="217"/>
      <c r="N628" s="217"/>
      <c r="O628" s="217"/>
      <c r="P628" s="217"/>
    </row>
    <row r="629" spans="3:16" ht="42" customHeight="1">
      <c r="C629" s="272">
        <v>627</v>
      </c>
      <c r="D629" s="275"/>
      <c r="E629" s="276"/>
      <c r="F629" s="221"/>
      <c r="G629" s="275"/>
      <c r="H629" s="276"/>
      <c r="I629" s="217"/>
      <c r="J629" s="217"/>
      <c r="K629" s="221"/>
      <c r="L629" s="217"/>
      <c r="M629" s="217"/>
      <c r="N629" s="217"/>
      <c r="O629" s="217"/>
      <c r="P629" s="217"/>
    </row>
    <row r="630" spans="3:16" ht="42" customHeight="1">
      <c r="C630" s="272">
        <v>628</v>
      </c>
      <c r="D630" s="275"/>
      <c r="E630" s="276"/>
      <c r="F630" s="221"/>
      <c r="G630" s="275"/>
      <c r="H630" s="276"/>
      <c r="I630" s="217"/>
      <c r="J630" s="217"/>
      <c r="K630" s="221"/>
      <c r="L630" s="217"/>
      <c r="M630" s="217"/>
      <c r="N630" s="217"/>
      <c r="O630" s="217"/>
      <c r="P630" s="217"/>
    </row>
    <row r="631" spans="3:16" ht="42" customHeight="1">
      <c r="C631" s="272">
        <v>629</v>
      </c>
      <c r="D631" s="275"/>
      <c r="E631" s="276"/>
      <c r="F631" s="221"/>
      <c r="G631" s="275"/>
      <c r="H631" s="276"/>
      <c r="I631" s="217"/>
      <c r="J631" s="217"/>
      <c r="K631" s="221"/>
      <c r="L631" s="217"/>
      <c r="M631" s="217"/>
      <c r="N631" s="217"/>
      <c r="O631" s="217"/>
      <c r="P631" s="217"/>
    </row>
    <row r="632" spans="3:16" ht="42" customHeight="1">
      <c r="C632" s="272">
        <v>630</v>
      </c>
      <c r="D632" s="275"/>
      <c r="E632" s="276"/>
      <c r="F632" s="221"/>
      <c r="G632" s="275"/>
      <c r="H632" s="276"/>
      <c r="I632" s="217"/>
      <c r="J632" s="217"/>
      <c r="K632" s="221"/>
      <c r="L632" s="217"/>
      <c r="M632" s="217"/>
      <c r="N632" s="217"/>
      <c r="O632" s="217"/>
      <c r="P632" s="217"/>
    </row>
    <row r="633" spans="3:16" ht="42" customHeight="1">
      <c r="C633" s="272">
        <v>631</v>
      </c>
      <c r="D633" s="275"/>
      <c r="E633" s="276"/>
      <c r="F633" s="221"/>
      <c r="G633" s="275"/>
      <c r="H633" s="276"/>
      <c r="I633" s="217"/>
      <c r="J633" s="217"/>
      <c r="K633" s="221"/>
      <c r="L633" s="217"/>
      <c r="M633" s="217"/>
      <c r="N633" s="217"/>
      <c r="O633" s="217"/>
      <c r="P633" s="217"/>
    </row>
    <row r="634" spans="3:16" ht="42" customHeight="1">
      <c r="C634" s="272">
        <v>632</v>
      </c>
      <c r="D634" s="275"/>
      <c r="E634" s="276"/>
      <c r="F634" s="221"/>
      <c r="G634" s="275"/>
      <c r="H634" s="276"/>
      <c r="I634" s="217"/>
      <c r="J634" s="217"/>
      <c r="K634" s="221"/>
      <c r="L634" s="217"/>
      <c r="M634" s="217"/>
      <c r="N634" s="217"/>
      <c r="O634" s="217"/>
      <c r="P634" s="217"/>
    </row>
    <row r="635" spans="3:16" ht="42" customHeight="1">
      <c r="C635" s="272">
        <v>633</v>
      </c>
      <c r="D635" s="275"/>
      <c r="E635" s="276"/>
      <c r="F635" s="221"/>
      <c r="G635" s="275"/>
      <c r="H635" s="276"/>
      <c r="I635" s="217"/>
      <c r="J635" s="217"/>
      <c r="K635" s="221"/>
      <c r="L635" s="217"/>
      <c r="M635" s="217"/>
      <c r="N635" s="217"/>
      <c r="O635" s="217"/>
      <c r="P635" s="217"/>
    </row>
    <row r="636" spans="3:16" ht="42" customHeight="1">
      <c r="C636" s="272">
        <v>634</v>
      </c>
      <c r="D636" s="275"/>
      <c r="E636" s="276"/>
      <c r="F636" s="221"/>
      <c r="G636" s="275"/>
      <c r="H636" s="276"/>
      <c r="I636" s="217"/>
      <c r="J636" s="217"/>
      <c r="K636" s="221"/>
      <c r="L636" s="217"/>
      <c r="M636" s="217"/>
      <c r="N636" s="217"/>
      <c r="O636" s="217"/>
      <c r="P636" s="217"/>
    </row>
    <row r="637" spans="3:16" ht="42" customHeight="1">
      <c r="C637" s="272">
        <v>635</v>
      </c>
      <c r="D637" s="275"/>
      <c r="E637" s="276"/>
      <c r="F637" s="221"/>
      <c r="G637" s="275"/>
      <c r="H637" s="276"/>
      <c r="I637" s="217"/>
      <c r="J637" s="217"/>
      <c r="K637" s="221"/>
      <c r="L637" s="217"/>
      <c r="M637" s="217"/>
      <c r="N637" s="217"/>
      <c r="O637" s="217"/>
      <c r="P637" s="217"/>
    </row>
    <row r="638" spans="3:16" ht="42" customHeight="1">
      <c r="C638" s="272">
        <v>636</v>
      </c>
      <c r="D638" s="275"/>
      <c r="E638" s="276"/>
      <c r="F638" s="221"/>
      <c r="G638" s="275"/>
      <c r="H638" s="276"/>
      <c r="I638" s="217"/>
      <c r="J638" s="217"/>
      <c r="K638" s="221"/>
      <c r="L638" s="217"/>
      <c r="M638" s="217"/>
      <c r="N638" s="217"/>
      <c r="O638" s="217"/>
      <c r="P638" s="217"/>
    </row>
    <row r="639" spans="3:16" ht="42" customHeight="1">
      <c r="C639" s="272">
        <v>637</v>
      </c>
      <c r="D639" s="275"/>
      <c r="E639" s="276"/>
      <c r="F639" s="221"/>
      <c r="G639" s="275"/>
      <c r="H639" s="276"/>
      <c r="I639" s="217"/>
      <c r="J639" s="217"/>
      <c r="K639" s="221"/>
      <c r="L639" s="217"/>
      <c r="M639" s="217"/>
      <c r="N639" s="217"/>
      <c r="O639" s="217"/>
      <c r="P639" s="217"/>
    </row>
    <row r="640" spans="3:16" ht="42" customHeight="1">
      <c r="C640" s="272">
        <v>638</v>
      </c>
      <c r="D640" s="275"/>
      <c r="E640" s="276"/>
      <c r="F640" s="221"/>
      <c r="G640" s="275"/>
      <c r="H640" s="276"/>
      <c r="I640" s="217"/>
      <c r="J640" s="217"/>
      <c r="K640" s="221"/>
      <c r="L640" s="217"/>
      <c r="M640" s="217"/>
      <c r="N640" s="217"/>
      <c r="O640" s="217"/>
      <c r="P640" s="217"/>
    </row>
    <row r="641" spans="3:16" ht="42" customHeight="1">
      <c r="C641" s="272">
        <v>639</v>
      </c>
      <c r="D641" s="275"/>
      <c r="E641" s="276"/>
      <c r="F641" s="221"/>
      <c r="G641" s="275"/>
      <c r="H641" s="276"/>
      <c r="I641" s="217"/>
      <c r="J641" s="217"/>
      <c r="K641" s="221"/>
      <c r="L641" s="217"/>
      <c r="M641" s="217"/>
      <c r="N641" s="217"/>
      <c r="O641" s="217"/>
      <c r="P641" s="217"/>
    </row>
    <row r="642" spans="3:16" ht="42" customHeight="1">
      <c r="C642" s="272">
        <v>640</v>
      </c>
      <c r="D642" s="275"/>
      <c r="E642" s="276"/>
      <c r="F642" s="221"/>
      <c r="G642" s="275"/>
      <c r="H642" s="276"/>
      <c r="I642" s="217"/>
      <c r="J642" s="217"/>
      <c r="K642" s="221"/>
      <c r="L642" s="217"/>
      <c r="M642" s="217"/>
      <c r="N642" s="217"/>
      <c r="O642" s="217"/>
      <c r="P642" s="217"/>
    </row>
    <row r="643" spans="3:16" ht="42" customHeight="1">
      <c r="C643" s="272">
        <v>641</v>
      </c>
      <c r="D643" s="275"/>
      <c r="E643" s="276"/>
      <c r="F643" s="221"/>
      <c r="G643" s="275"/>
      <c r="H643" s="276"/>
      <c r="I643" s="217"/>
      <c r="J643" s="217"/>
      <c r="K643" s="221"/>
      <c r="L643" s="217"/>
      <c r="M643" s="217"/>
      <c r="N643" s="217"/>
      <c r="O643" s="217"/>
      <c r="P643" s="217"/>
    </row>
    <row r="644" spans="3:16" ht="42" customHeight="1">
      <c r="C644" s="272">
        <v>642</v>
      </c>
      <c r="D644" s="275"/>
      <c r="E644" s="276"/>
      <c r="F644" s="221"/>
      <c r="G644" s="275"/>
      <c r="H644" s="276"/>
      <c r="I644" s="217"/>
      <c r="J644" s="217"/>
      <c r="K644" s="221"/>
      <c r="L644" s="217"/>
      <c r="M644" s="217"/>
      <c r="N644" s="217"/>
      <c r="O644" s="217"/>
      <c r="P644" s="217"/>
    </row>
    <row r="645" spans="3:16" ht="42" customHeight="1">
      <c r="C645" s="272">
        <v>643</v>
      </c>
      <c r="D645" s="275"/>
      <c r="E645" s="276"/>
      <c r="F645" s="221"/>
      <c r="G645" s="275"/>
      <c r="H645" s="276"/>
      <c r="I645" s="217"/>
      <c r="J645" s="217"/>
      <c r="K645" s="221"/>
      <c r="L645" s="217"/>
      <c r="M645" s="217"/>
      <c r="N645" s="217"/>
      <c r="O645" s="217"/>
      <c r="P645" s="217"/>
    </row>
    <row r="646" spans="3:16" ht="42" customHeight="1">
      <c r="C646" s="272">
        <v>644</v>
      </c>
      <c r="D646" s="275"/>
      <c r="E646" s="276"/>
      <c r="F646" s="221"/>
      <c r="G646" s="275"/>
      <c r="H646" s="276"/>
      <c r="I646" s="217"/>
      <c r="J646" s="217"/>
      <c r="K646" s="221"/>
      <c r="L646" s="217"/>
      <c r="M646" s="217"/>
      <c r="N646" s="217"/>
      <c r="O646" s="217"/>
      <c r="P646" s="217"/>
    </row>
    <row r="647" spans="3:16" ht="42" customHeight="1">
      <c r="C647" s="272">
        <v>645</v>
      </c>
      <c r="D647" s="275"/>
      <c r="E647" s="276"/>
      <c r="F647" s="221"/>
      <c r="G647" s="275"/>
      <c r="H647" s="276"/>
      <c r="I647" s="217"/>
      <c r="J647" s="217"/>
      <c r="K647" s="221"/>
      <c r="L647" s="217"/>
      <c r="M647" s="217"/>
      <c r="N647" s="217"/>
      <c r="O647" s="217"/>
      <c r="P647" s="217"/>
    </row>
    <row r="648" spans="3:16" ht="42" customHeight="1">
      <c r="C648" s="272">
        <v>646</v>
      </c>
      <c r="D648" s="275"/>
      <c r="E648" s="276"/>
      <c r="F648" s="221"/>
      <c r="G648" s="275"/>
      <c r="H648" s="276"/>
      <c r="I648" s="217"/>
      <c r="J648" s="217"/>
      <c r="K648" s="221"/>
      <c r="L648" s="217"/>
      <c r="M648" s="217"/>
      <c r="N648" s="217"/>
      <c r="O648" s="217"/>
      <c r="P648" s="217"/>
    </row>
    <row r="649" spans="3:16" ht="42" customHeight="1">
      <c r="C649" s="272">
        <v>647</v>
      </c>
      <c r="D649" s="275"/>
      <c r="E649" s="276"/>
      <c r="F649" s="221"/>
      <c r="G649" s="275"/>
      <c r="H649" s="276"/>
      <c r="I649" s="217"/>
      <c r="J649" s="217"/>
      <c r="K649" s="221"/>
      <c r="L649" s="217"/>
      <c r="M649" s="217"/>
      <c r="N649" s="217"/>
      <c r="O649" s="217"/>
      <c r="P649" s="217"/>
    </row>
    <row r="650" spans="3:16" ht="42" customHeight="1">
      <c r="C650" s="272">
        <v>648</v>
      </c>
      <c r="D650" s="275"/>
      <c r="E650" s="276"/>
      <c r="F650" s="221"/>
      <c r="G650" s="275"/>
      <c r="H650" s="276"/>
      <c r="I650" s="217"/>
      <c r="J650" s="217"/>
      <c r="K650" s="221"/>
      <c r="L650" s="217"/>
      <c r="M650" s="217"/>
      <c r="N650" s="217"/>
      <c r="O650" s="217"/>
      <c r="P650" s="217"/>
    </row>
    <row r="651" spans="3:16" ht="42" customHeight="1">
      <c r="C651" s="272">
        <v>649</v>
      </c>
      <c r="D651" s="275"/>
      <c r="E651" s="276"/>
      <c r="F651" s="221"/>
      <c r="G651" s="275"/>
      <c r="H651" s="276"/>
      <c r="I651" s="217"/>
      <c r="J651" s="217"/>
      <c r="K651" s="221"/>
      <c r="L651" s="217"/>
      <c r="M651" s="217"/>
      <c r="N651" s="217"/>
      <c r="O651" s="217"/>
      <c r="P651" s="217"/>
    </row>
    <row r="652" spans="3:16" ht="42" customHeight="1">
      <c r="C652" s="272">
        <v>650</v>
      </c>
      <c r="D652" s="275"/>
      <c r="E652" s="276"/>
      <c r="F652" s="221"/>
      <c r="G652" s="275"/>
      <c r="H652" s="276"/>
      <c r="I652" s="217"/>
      <c r="J652" s="217"/>
      <c r="K652" s="221"/>
      <c r="L652" s="217"/>
      <c r="M652" s="217"/>
      <c r="N652" s="217"/>
      <c r="O652" s="217"/>
      <c r="P652" s="217"/>
    </row>
    <row r="653" spans="3:16" ht="42" customHeight="1">
      <c r="C653" s="272">
        <v>651</v>
      </c>
      <c r="D653" s="275"/>
      <c r="E653" s="276"/>
      <c r="F653" s="221"/>
      <c r="G653" s="275"/>
      <c r="H653" s="276"/>
      <c r="I653" s="217"/>
      <c r="J653" s="217"/>
      <c r="K653" s="221"/>
      <c r="L653" s="217"/>
      <c r="M653" s="217"/>
      <c r="N653" s="217"/>
      <c r="O653" s="217"/>
      <c r="P653" s="217"/>
    </row>
    <row r="654" spans="3:16" ht="42" customHeight="1">
      <c r="C654" s="272">
        <v>652</v>
      </c>
      <c r="D654" s="275"/>
      <c r="E654" s="276"/>
      <c r="F654" s="221"/>
      <c r="G654" s="275"/>
      <c r="H654" s="276"/>
      <c r="I654" s="217"/>
      <c r="J654" s="217"/>
      <c r="K654" s="221"/>
      <c r="L654" s="217"/>
      <c r="M654" s="217"/>
      <c r="N654" s="217"/>
      <c r="O654" s="217"/>
      <c r="P654" s="217"/>
    </row>
    <row r="655" spans="3:16" ht="42" customHeight="1">
      <c r="C655" s="272">
        <v>653</v>
      </c>
      <c r="D655" s="275"/>
      <c r="E655" s="276"/>
      <c r="F655" s="221"/>
      <c r="G655" s="275"/>
      <c r="H655" s="276"/>
      <c r="I655" s="217"/>
      <c r="J655" s="217"/>
      <c r="K655" s="221"/>
      <c r="L655" s="217"/>
      <c r="M655" s="217"/>
      <c r="N655" s="217"/>
      <c r="O655" s="217"/>
      <c r="P655" s="217"/>
    </row>
    <row r="656" spans="3:16" ht="42" customHeight="1">
      <c r="C656" s="272">
        <v>654</v>
      </c>
      <c r="D656" s="275"/>
      <c r="E656" s="276"/>
      <c r="F656" s="221"/>
      <c r="G656" s="275"/>
      <c r="H656" s="276"/>
      <c r="I656" s="217"/>
      <c r="J656" s="217"/>
      <c r="K656" s="221"/>
      <c r="L656" s="217"/>
      <c r="M656" s="217"/>
      <c r="N656" s="217"/>
      <c r="O656" s="217"/>
      <c r="P656" s="217"/>
    </row>
    <row r="657" spans="3:16" ht="42" customHeight="1">
      <c r="C657" s="272">
        <v>655</v>
      </c>
      <c r="D657" s="275"/>
      <c r="E657" s="276"/>
      <c r="F657" s="221"/>
      <c r="G657" s="275"/>
      <c r="H657" s="276"/>
      <c r="I657" s="217"/>
      <c r="J657" s="217"/>
      <c r="K657" s="221"/>
      <c r="L657" s="217"/>
      <c r="M657" s="217"/>
      <c r="N657" s="217"/>
      <c r="O657" s="217"/>
      <c r="P657" s="217"/>
    </row>
    <row r="658" spans="3:16" ht="42" customHeight="1">
      <c r="C658" s="272">
        <v>656</v>
      </c>
      <c r="D658" s="275"/>
      <c r="E658" s="276"/>
      <c r="F658" s="221"/>
      <c r="G658" s="275"/>
      <c r="H658" s="276"/>
      <c r="I658" s="217"/>
      <c r="J658" s="217"/>
      <c r="K658" s="221"/>
      <c r="L658" s="217"/>
      <c r="M658" s="217"/>
      <c r="N658" s="217"/>
      <c r="O658" s="217"/>
      <c r="P658" s="217"/>
    </row>
    <row r="659" spans="3:16" ht="42" customHeight="1">
      <c r="C659" s="272">
        <v>657</v>
      </c>
      <c r="D659" s="275"/>
      <c r="E659" s="276"/>
      <c r="F659" s="221"/>
      <c r="G659" s="275"/>
      <c r="H659" s="276"/>
      <c r="I659" s="217"/>
      <c r="J659" s="217"/>
      <c r="K659" s="221"/>
      <c r="L659" s="217"/>
      <c r="M659" s="217"/>
      <c r="N659" s="217"/>
      <c r="O659" s="217"/>
      <c r="P659" s="217"/>
    </row>
    <row r="660" spans="3:16" ht="42" customHeight="1">
      <c r="C660" s="272">
        <v>658</v>
      </c>
      <c r="D660" s="275"/>
      <c r="E660" s="276"/>
      <c r="F660" s="221"/>
      <c r="G660" s="275"/>
      <c r="H660" s="276"/>
      <c r="I660" s="217"/>
      <c r="J660" s="217"/>
      <c r="K660" s="221"/>
      <c r="L660" s="217"/>
      <c r="M660" s="217"/>
      <c r="N660" s="217"/>
      <c r="O660" s="217"/>
      <c r="P660" s="217"/>
    </row>
    <row r="661" spans="3:16" ht="42" customHeight="1">
      <c r="C661" s="272">
        <v>659</v>
      </c>
      <c r="D661" s="275"/>
      <c r="E661" s="276"/>
      <c r="F661" s="221"/>
      <c r="G661" s="275"/>
      <c r="H661" s="276"/>
      <c r="I661" s="217"/>
      <c r="J661" s="217"/>
      <c r="K661" s="221"/>
      <c r="L661" s="217"/>
      <c r="M661" s="217"/>
      <c r="N661" s="217"/>
      <c r="O661" s="217"/>
      <c r="P661" s="217"/>
    </row>
    <row r="662" spans="3:16" ht="42" customHeight="1">
      <c r="C662" s="272">
        <v>660</v>
      </c>
      <c r="D662" s="275"/>
      <c r="E662" s="276"/>
      <c r="F662" s="221"/>
      <c r="G662" s="275"/>
      <c r="H662" s="276"/>
      <c r="I662" s="217"/>
      <c r="J662" s="217"/>
      <c r="K662" s="221"/>
      <c r="L662" s="217"/>
      <c r="M662" s="217"/>
      <c r="N662" s="217"/>
      <c r="O662" s="217"/>
      <c r="P662" s="217"/>
    </row>
    <row r="663" spans="3:16" ht="42" customHeight="1">
      <c r="C663" s="272">
        <v>661</v>
      </c>
      <c r="D663" s="275"/>
      <c r="E663" s="276"/>
      <c r="F663" s="221"/>
      <c r="G663" s="275"/>
      <c r="H663" s="276"/>
      <c r="I663" s="217"/>
      <c r="J663" s="217"/>
      <c r="K663" s="221"/>
      <c r="L663" s="217"/>
      <c r="M663" s="217"/>
      <c r="N663" s="217"/>
      <c r="O663" s="217"/>
      <c r="P663" s="217"/>
    </row>
    <row r="664" spans="3:16" ht="42" customHeight="1">
      <c r="C664" s="272">
        <v>662</v>
      </c>
      <c r="D664" s="275"/>
      <c r="E664" s="276"/>
      <c r="F664" s="221"/>
      <c r="G664" s="275"/>
      <c r="H664" s="276"/>
      <c r="I664" s="217"/>
      <c r="J664" s="217"/>
      <c r="K664" s="221"/>
      <c r="L664" s="217"/>
      <c r="M664" s="217"/>
      <c r="N664" s="217"/>
      <c r="O664" s="217"/>
      <c r="P664" s="217"/>
    </row>
    <row r="665" spans="3:16" ht="42" customHeight="1">
      <c r="C665" s="272">
        <v>663</v>
      </c>
      <c r="D665" s="275"/>
      <c r="E665" s="276"/>
      <c r="F665" s="221"/>
      <c r="G665" s="275"/>
      <c r="H665" s="276"/>
      <c r="I665" s="217"/>
      <c r="J665" s="217"/>
      <c r="K665" s="221"/>
      <c r="L665" s="217"/>
      <c r="M665" s="217"/>
      <c r="N665" s="217"/>
      <c r="O665" s="217"/>
      <c r="P665" s="217"/>
    </row>
    <row r="666" spans="3:16" ht="42" customHeight="1">
      <c r="C666" s="272">
        <v>664</v>
      </c>
      <c r="D666" s="275"/>
      <c r="E666" s="276"/>
      <c r="F666" s="221"/>
      <c r="G666" s="275"/>
      <c r="H666" s="276"/>
      <c r="I666" s="217"/>
      <c r="J666" s="217"/>
      <c r="K666" s="221"/>
      <c r="L666" s="217"/>
      <c r="M666" s="217"/>
      <c r="N666" s="217"/>
      <c r="O666" s="217"/>
      <c r="P666" s="217"/>
    </row>
    <row r="667" spans="3:16" ht="42" customHeight="1">
      <c r="C667" s="272">
        <v>665</v>
      </c>
      <c r="D667" s="275"/>
      <c r="E667" s="276"/>
      <c r="F667" s="221"/>
      <c r="G667" s="275"/>
      <c r="H667" s="276"/>
      <c r="I667" s="217"/>
      <c r="J667" s="217"/>
      <c r="K667" s="221"/>
      <c r="L667" s="217"/>
      <c r="M667" s="217"/>
      <c r="N667" s="217"/>
      <c r="O667" s="217"/>
      <c r="P667" s="217"/>
    </row>
    <row r="668" spans="3:16" ht="42" customHeight="1">
      <c r="C668" s="272">
        <v>666</v>
      </c>
      <c r="D668" s="275"/>
      <c r="E668" s="276"/>
      <c r="F668" s="221"/>
      <c r="G668" s="275"/>
      <c r="H668" s="276"/>
      <c r="I668" s="217"/>
      <c r="J668" s="217"/>
      <c r="K668" s="221"/>
      <c r="L668" s="217"/>
      <c r="M668" s="217"/>
      <c r="N668" s="217"/>
      <c r="O668" s="217"/>
      <c r="P668" s="217"/>
    </row>
    <row r="669" spans="3:16" ht="42" customHeight="1">
      <c r="C669" s="272">
        <v>667</v>
      </c>
      <c r="D669" s="275"/>
      <c r="E669" s="276"/>
      <c r="F669" s="221"/>
      <c r="G669" s="275"/>
      <c r="H669" s="276"/>
      <c r="I669" s="217"/>
      <c r="J669" s="217"/>
      <c r="K669" s="221"/>
      <c r="L669" s="217"/>
      <c r="M669" s="217"/>
      <c r="N669" s="217"/>
      <c r="O669" s="217"/>
      <c r="P669" s="217"/>
    </row>
    <row r="670" spans="3:16" ht="42" customHeight="1">
      <c r="C670" s="272">
        <v>668</v>
      </c>
      <c r="D670" s="275"/>
      <c r="E670" s="276"/>
      <c r="F670" s="221"/>
      <c r="G670" s="275"/>
      <c r="H670" s="276"/>
      <c r="I670" s="217"/>
      <c r="J670" s="217"/>
      <c r="K670" s="221"/>
      <c r="L670" s="217"/>
      <c r="M670" s="217"/>
      <c r="N670" s="217"/>
      <c r="O670" s="217"/>
      <c r="P670" s="217"/>
    </row>
    <row r="671" spans="3:16" ht="42" customHeight="1">
      <c r="C671" s="272">
        <v>669</v>
      </c>
      <c r="D671" s="275"/>
      <c r="E671" s="276"/>
      <c r="F671" s="221"/>
      <c r="G671" s="275"/>
      <c r="H671" s="276"/>
      <c r="I671" s="217"/>
      <c r="J671" s="217"/>
      <c r="K671" s="221"/>
      <c r="L671" s="217"/>
      <c r="M671" s="217"/>
      <c r="N671" s="217"/>
      <c r="O671" s="217"/>
      <c r="P671" s="217"/>
    </row>
    <row r="672" spans="3:16" ht="42" customHeight="1">
      <c r="C672" s="272">
        <v>670</v>
      </c>
      <c r="D672" s="275"/>
      <c r="E672" s="276"/>
      <c r="F672" s="221"/>
      <c r="G672" s="275"/>
      <c r="H672" s="276"/>
      <c r="I672" s="217"/>
      <c r="J672" s="217"/>
      <c r="K672" s="221"/>
      <c r="L672" s="217"/>
      <c r="M672" s="217"/>
      <c r="N672" s="217"/>
      <c r="O672" s="217"/>
      <c r="P672" s="217"/>
    </row>
    <row r="673" spans="3:16" ht="42" customHeight="1">
      <c r="C673" s="272">
        <v>671</v>
      </c>
      <c r="D673" s="275"/>
      <c r="E673" s="276"/>
      <c r="F673" s="221"/>
      <c r="G673" s="275"/>
      <c r="H673" s="276"/>
      <c r="I673" s="217"/>
      <c r="J673" s="217"/>
      <c r="K673" s="221"/>
      <c r="L673" s="217"/>
      <c r="M673" s="217"/>
      <c r="N673" s="217"/>
      <c r="O673" s="217"/>
      <c r="P673" s="217"/>
    </row>
    <row r="674" spans="3:16" ht="42" customHeight="1">
      <c r="C674" s="272">
        <v>672</v>
      </c>
      <c r="D674" s="275"/>
      <c r="E674" s="276"/>
      <c r="F674" s="221"/>
      <c r="G674" s="275"/>
      <c r="H674" s="276"/>
      <c r="I674" s="217"/>
      <c r="J674" s="217"/>
      <c r="K674" s="221"/>
      <c r="L674" s="217"/>
      <c r="M674" s="217"/>
      <c r="N674" s="217"/>
      <c r="O674" s="217"/>
      <c r="P674" s="217"/>
    </row>
    <row r="675" spans="3:16" ht="42" customHeight="1">
      <c r="C675" s="272">
        <v>673</v>
      </c>
      <c r="D675" s="275"/>
      <c r="E675" s="276"/>
      <c r="F675" s="221"/>
      <c r="G675" s="275"/>
      <c r="H675" s="276"/>
      <c r="I675" s="217"/>
      <c r="J675" s="217"/>
      <c r="K675" s="221"/>
      <c r="L675" s="217"/>
      <c r="M675" s="217"/>
      <c r="N675" s="217"/>
      <c r="O675" s="217"/>
      <c r="P675" s="217"/>
    </row>
    <row r="676" spans="3:16" ht="42" customHeight="1">
      <c r="C676" s="272">
        <v>674</v>
      </c>
      <c r="D676" s="275"/>
      <c r="E676" s="276"/>
      <c r="F676" s="221"/>
      <c r="G676" s="275"/>
      <c r="H676" s="276"/>
      <c r="I676" s="217"/>
      <c r="J676" s="217"/>
      <c r="K676" s="221"/>
      <c r="L676" s="217"/>
      <c r="M676" s="217"/>
      <c r="N676" s="217"/>
      <c r="O676" s="217"/>
      <c r="P676" s="217"/>
    </row>
    <row r="677" spans="3:16" ht="42" customHeight="1">
      <c r="C677" s="272">
        <v>675</v>
      </c>
      <c r="D677" s="275"/>
      <c r="E677" s="276"/>
      <c r="F677" s="221"/>
      <c r="G677" s="275"/>
      <c r="H677" s="276"/>
      <c r="I677" s="217"/>
      <c r="J677" s="217"/>
      <c r="K677" s="221"/>
      <c r="L677" s="217"/>
      <c r="M677" s="217"/>
      <c r="N677" s="217"/>
      <c r="O677" s="217"/>
      <c r="P677" s="217"/>
    </row>
    <row r="678" spans="3:16" ht="42" customHeight="1">
      <c r="C678" s="272">
        <v>676</v>
      </c>
      <c r="D678" s="275"/>
      <c r="E678" s="276"/>
      <c r="F678" s="221"/>
      <c r="G678" s="275"/>
      <c r="H678" s="276"/>
      <c r="I678" s="217"/>
      <c r="J678" s="217"/>
      <c r="K678" s="221"/>
      <c r="L678" s="217"/>
      <c r="M678" s="217"/>
      <c r="N678" s="217"/>
      <c r="O678" s="217"/>
      <c r="P678" s="217"/>
    </row>
    <row r="679" spans="3:16" ht="42" customHeight="1">
      <c r="C679" s="272">
        <v>677</v>
      </c>
      <c r="D679" s="275"/>
      <c r="E679" s="276"/>
      <c r="F679" s="221"/>
      <c r="G679" s="275"/>
      <c r="H679" s="276"/>
      <c r="I679" s="217"/>
      <c r="J679" s="217"/>
      <c r="K679" s="221"/>
      <c r="L679" s="217"/>
      <c r="M679" s="217"/>
      <c r="N679" s="217"/>
      <c r="O679" s="217"/>
      <c r="P679" s="217"/>
    </row>
    <row r="680" spans="3:16" ht="42" customHeight="1">
      <c r="C680" s="272">
        <v>678</v>
      </c>
      <c r="D680" s="275"/>
      <c r="E680" s="276"/>
      <c r="F680" s="221"/>
      <c r="G680" s="275"/>
      <c r="H680" s="276"/>
      <c r="I680" s="217"/>
      <c r="J680" s="217"/>
      <c r="K680" s="221"/>
      <c r="L680" s="217"/>
      <c r="M680" s="217"/>
      <c r="N680" s="217"/>
      <c r="O680" s="217"/>
      <c r="P680" s="217"/>
    </row>
    <row r="681" spans="3:16" ht="42" customHeight="1">
      <c r="C681" s="272">
        <v>679</v>
      </c>
      <c r="D681" s="275"/>
      <c r="E681" s="276"/>
      <c r="F681" s="221"/>
      <c r="G681" s="275"/>
      <c r="H681" s="276"/>
      <c r="I681" s="217"/>
      <c r="J681" s="217"/>
      <c r="K681" s="221"/>
      <c r="L681" s="217"/>
      <c r="M681" s="217"/>
      <c r="N681" s="217"/>
      <c r="O681" s="217"/>
      <c r="P681" s="217"/>
    </row>
    <row r="682" spans="3:16" ht="42" customHeight="1">
      <c r="C682" s="272">
        <v>680</v>
      </c>
      <c r="D682" s="275"/>
      <c r="E682" s="276"/>
      <c r="F682" s="221"/>
      <c r="G682" s="275"/>
      <c r="H682" s="276"/>
      <c r="I682" s="217"/>
      <c r="J682" s="217"/>
      <c r="K682" s="221"/>
      <c r="L682" s="217"/>
      <c r="M682" s="217"/>
      <c r="N682" s="217"/>
      <c r="O682" s="217"/>
      <c r="P682" s="217"/>
    </row>
    <row r="683" spans="3:16" ht="42" customHeight="1">
      <c r="C683" s="272">
        <v>681</v>
      </c>
      <c r="D683" s="275"/>
      <c r="E683" s="276"/>
      <c r="F683" s="221"/>
      <c r="G683" s="275"/>
      <c r="H683" s="276"/>
      <c r="I683" s="217"/>
      <c r="J683" s="217"/>
      <c r="K683" s="221"/>
      <c r="L683" s="217"/>
      <c r="M683" s="217"/>
      <c r="N683" s="217"/>
      <c r="O683" s="217"/>
      <c r="P683" s="217"/>
    </row>
    <row r="684" spans="3:16" ht="42" customHeight="1">
      <c r="C684" s="272">
        <v>682</v>
      </c>
      <c r="D684" s="275"/>
      <c r="E684" s="276"/>
      <c r="F684" s="221"/>
      <c r="G684" s="275"/>
      <c r="H684" s="276"/>
      <c r="I684" s="217"/>
      <c r="J684" s="217"/>
      <c r="K684" s="221"/>
      <c r="L684" s="217"/>
      <c r="M684" s="217"/>
      <c r="N684" s="217"/>
      <c r="O684" s="217"/>
      <c r="P684" s="217"/>
    </row>
    <row r="685" spans="3:16" ht="42" customHeight="1">
      <c r="C685" s="272">
        <v>683</v>
      </c>
      <c r="D685" s="275"/>
      <c r="E685" s="276"/>
      <c r="F685" s="221"/>
      <c r="G685" s="275"/>
      <c r="H685" s="276"/>
      <c r="I685" s="217"/>
      <c r="J685" s="217"/>
      <c r="K685" s="221"/>
      <c r="L685" s="217"/>
      <c r="M685" s="217"/>
      <c r="N685" s="217"/>
      <c r="O685" s="217"/>
      <c r="P685" s="217"/>
    </row>
    <row r="686" spans="3:16" ht="42" customHeight="1">
      <c r="C686" s="272">
        <v>684</v>
      </c>
      <c r="D686" s="275"/>
      <c r="E686" s="276"/>
      <c r="F686" s="221"/>
      <c r="G686" s="275"/>
      <c r="H686" s="276"/>
      <c r="I686" s="217"/>
      <c r="J686" s="217"/>
      <c r="K686" s="221"/>
      <c r="L686" s="217"/>
      <c r="M686" s="217"/>
      <c r="N686" s="217"/>
      <c r="O686" s="217"/>
      <c r="P686" s="217"/>
    </row>
    <row r="687" spans="3:16" ht="42" customHeight="1">
      <c r="C687" s="272">
        <v>685</v>
      </c>
      <c r="D687" s="275"/>
      <c r="E687" s="276"/>
      <c r="F687" s="221"/>
      <c r="G687" s="275"/>
      <c r="H687" s="276"/>
      <c r="I687" s="217"/>
      <c r="J687" s="217"/>
      <c r="K687" s="221"/>
      <c r="L687" s="217"/>
      <c r="M687" s="217"/>
      <c r="N687" s="217"/>
      <c r="O687" s="217"/>
      <c r="P687" s="217"/>
    </row>
    <row r="688" spans="3:16" ht="42" customHeight="1">
      <c r="C688" s="272">
        <v>686</v>
      </c>
      <c r="D688" s="275"/>
      <c r="E688" s="276"/>
      <c r="F688" s="221"/>
      <c r="G688" s="275"/>
      <c r="H688" s="276"/>
      <c r="I688" s="217"/>
      <c r="J688" s="217"/>
      <c r="K688" s="221"/>
      <c r="L688" s="217"/>
      <c r="M688" s="217"/>
      <c r="N688" s="217"/>
      <c r="O688" s="217"/>
      <c r="P688" s="217"/>
    </row>
    <row r="689" spans="3:16" ht="42" customHeight="1">
      <c r="C689" s="272">
        <v>687</v>
      </c>
      <c r="D689" s="275"/>
      <c r="E689" s="276"/>
      <c r="F689" s="221"/>
      <c r="G689" s="275"/>
      <c r="H689" s="276"/>
      <c r="I689" s="217"/>
      <c r="J689" s="217"/>
      <c r="K689" s="221"/>
      <c r="L689" s="217"/>
      <c r="M689" s="217"/>
      <c r="N689" s="217"/>
      <c r="O689" s="217"/>
      <c r="P689" s="217"/>
    </row>
    <row r="690" spans="3:16" ht="42" customHeight="1">
      <c r="C690" s="272">
        <v>688</v>
      </c>
      <c r="D690" s="275"/>
      <c r="E690" s="276"/>
      <c r="F690" s="221"/>
      <c r="G690" s="275"/>
      <c r="H690" s="276"/>
      <c r="I690" s="217"/>
      <c r="J690" s="217"/>
      <c r="K690" s="221"/>
      <c r="L690" s="217"/>
      <c r="M690" s="217"/>
      <c r="N690" s="217"/>
      <c r="O690" s="217"/>
      <c r="P690" s="217"/>
    </row>
    <row r="691" spans="3:16" ht="42" customHeight="1">
      <c r="C691" s="272">
        <v>689</v>
      </c>
      <c r="D691" s="275"/>
      <c r="E691" s="276"/>
      <c r="F691" s="221"/>
      <c r="G691" s="275"/>
      <c r="H691" s="276"/>
      <c r="I691" s="217"/>
      <c r="J691" s="217"/>
      <c r="K691" s="221"/>
      <c r="L691" s="217"/>
      <c r="M691" s="217"/>
      <c r="N691" s="217"/>
      <c r="O691" s="217"/>
      <c r="P691" s="217"/>
    </row>
    <row r="692" spans="3:16" ht="42" customHeight="1">
      <c r="C692" s="272">
        <v>690</v>
      </c>
      <c r="D692" s="275"/>
      <c r="E692" s="276"/>
      <c r="F692" s="221"/>
      <c r="G692" s="275"/>
      <c r="H692" s="276"/>
      <c r="I692" s="217"/>
      <c r="J692" s="217"/>
      <c r="K692" s="221"/>
      <c r="L692" s="217"/>
      <c r="M692" s="217"/>
      <c r="N692" s="217"/>
      <c r="O692" s="217"/>
      <c r="P692" s="217"/>
    </row>
    <row r="693" spans="3:16" ht="42" customHeight="1">
      <c r="C693" s="272">
        <v>691</v>
      </c>
      <c r="D693" s="275"/>
      <c r="E693" s="276"/>
      <c r="F693" s="221"/>
      <c r="G693" s="275"/>
      <c r="H693" s="276"/>
      <c r="I693" s="217"/>
      <c r="J693" s="217"/>
      <c r="K693" s="221"/>
      <c r="L693" s="217"/>
      <c r="M693" s="217"/>
      <c r="N693" s="217"/>
      <c r="O693" s="217"/>
      <c r="P693" s="217"/>
    </row>
    <row r="694" spans="3:16" ht="42" customHeight="1">
      <c r="C694" s="272">
        <v>692</v>
      </c>
      <c r="D694" s="275"/>
      <c r="E694" s="276"/>
      <c r="F694" s="221"/>
      <c r="G694" s="275"/>
      <c r="H694" s="276"/>
      <c r="I694" s="217"/>
      <c r="J694" s="217"/>
      <c r="K694" s="221"/>
      <c r="L694" s="217"/>
      <c r="M694" s="217"/>
      <c r="N694" s="217"/>
      <c r="O694" s="217"/>
      <c r="P694" s="217"/>
    </row>
    <row r="695" spans="3:16" ht="42" customHeight="1">
      <c r="C695" s="272">
        <v>693</v>
      </c>
      <c r="D695" s="275"/>
      <c r="E695" s="276"/>
      <c r="F695" s="221"/>
      <c r="G695" s="275"/>
      <c r="H695" s="276"/>
      <c r="I695" s="217"/>
      <c r="J695" s="217"/>
      <c r="K695" s="221"/>
      <c r="L695" s="217"/>
      <c r="M695" s="217"/>
      <c r="N695" s="217"/>
      <c r="O695" s="217"/>
      <c r="P695" s="217"/>
    </row>
    <row r="696" spans="3:16" ht="42" customHeight="1">
      <c r="C696" s="272">
        <v>694</v>
      </c>
      <c r="D696" s="275"/>
      <c r="E696" s="276"/>
      <c r="F696" s="221"/>
      <c r="G696" s="275"/>
      <c r="H696" s="276"/>
      <c r="I696" s="217"/>
      <c r="J696" s="217"/>
      <c r="K696" s="221"/>
      <c r="L696" s="217"/>
      <c r="M696" s="217"/>
      <c r="N696" s="217"/>
      <c r="O696" s="217"/>
      <c r="P696" s="217"/>
    </row>
    <row r="697" spans="3:16" ht="42" customHeight="1">
      <c r="C697" s="272">
        <v>695</v>
      </c>
      <c r="D697" s="275"/>
      <c r="E697" s="276"/>
      <c r="F697" s="221"/>
      <c r="G697" s="275"/>
      <c r="H697" s="276"/>
      <c r="I697" s="217"/>
      <c r="J697" s="217"/>
      <c r="K697" s="221"/>
      <c r="L697" s="217"/>
      <c r="M697" s="217"/>
      <c r="N697" s="217"/>
      <c r="O697" s="217"/>
      <c r="P697" s="217"/>
    </row>
    <row r="698" spans="3:16" ht="42" customHeight="1">
      <c r="C698" s="272">
        <v>696</v>
      </c>
      <c r="D698" s="275"/>
      <c r="E698" s="276"/>
      <c r="F698" s="221"/>
      <c r="G698" s="275"/>
      <c r="H698" s="276"/>
      <c r="I698" s="217"/>
      <c r="J698" s="217"/>
      <c r="K698" s="221"/>
      <c r="L698" s="217"/>
      <c r="M698" s="217"/>
      <c r="N698" s="217"/>
      <c r="O698" s="217"/>
      <c r="P698" s="217"/>
    </row>
    <row r="699" spans="3:16" ht="42" customHeight="1">
      <c r="C699" s="272">
        <v>697</v>
      </c>
      <c r="D699" s="275"/>
      <c r="E699" s="276"/>
      <c r="F699" s="221"/>
      <c r="G699" s="275"/>
      <c r="H699" s="276"/>
      <c r="I699" s="217"/>
      <c r="J699" s="217"/>
      <c r="K699" s="221"/>
      <c r="L699" s="217"/>
      <c r="M699" s="217"/>
      <c r="N699" s="217"/>
      <c r="O699" s="217"/>
      <c r="P699" s="217"/>
    </row>
    <row r="700" spans="3:16" ht="42" customHeight="1">
      <c r="C700" s="272">
        <v>698</v>
      </c>
      <c r="D700" s="275"/>
      <c r="E700" s="276"/>
      <c r="F700" s="221"/>
      <c r="G700" s="275"/>
      <c r="H700" s="276"/>
      <c r="I700" s="217"/>
      <c r="J700" s="217"/>
      <c r="K700" s="221"/>
      <c r="L700" s="217"/>
      <c r="M700" s="217"/>
      <c r="N700" s="217"/>
      <c r="O700" s="217"/>
      <c r="P700" s="217"/>
    </row>
    <row r="701" spans="3:16" ht="42" customHeight="1">
      <c r="C701" s="272">
        <v>699</v>
      </c>
      <c r="D701" s="275"/>
      <c r="E701" s="276"/>
      <c r="F701" s="221"/>
      <c r="G701" s="275"/>
      <c r="H701" s="276"/>
      <c r="I701" s="217"/>
      <c r="J701" s="217"/>
      <c r="K701" s="221"/>
      <c r="L701" s="217"/>
      <c r="M701" s="217"/>
      <c r="N701" s="217"/>
      <c r="O701" s="217"/>
      <c r="P701" s="217"/>
    </row>
    <row r="702" spans="3:16" ht="42" customHeight="1">
      <c r="C702" s="272">
        <v>700</v>
      </c>
      <c r="D702" s="275"/>
      <c r="E702" s="276"/>
      <c r="F702" s="221"/>
      <c r="G702" s="275"/>
      <c r="H702" s="276"/>
      <c r="I702" s="217"/>
      <c r="J702" s="217"/>
      <c r="K702" s="221"/>
      <c r="L702" s="217"/>
      <c r="M702" s="217"/>
      <c r="N702" s="217"/>
      <c r="O702" s="217"/>
      <c r="P702" s="217"/>
    </row>
    <row r="703" spans="3:16" ht="42" customHeight="1">
      <c r="C703" s="272">
        <v>701</v>
      </c>
      <c r="D703" s="275"/>
      <c r="E703" s="276"/>
      <c r="F703" s="221"/>
      <c r="G703" s="275"/>
      <c r="H703" s="276"/>
      <c r="I703" s="217"/>
      <c r="J703" s="217"/>
      <c r="K703" s="221"/>
      <c r="L703" s="217"/>
      <c r="M703" s="217"/>
      <c r="N703" s="217"/>
      <c r="O703" s="217"/>
      <c r="P703" s="217"/>
    </row>
    <row r="704" spans="3:16" ht="42" customHeight="1">
      <c r="C704" s="272">
        <v>702</v>
      </c>
      <c r="D704" s="275"/>
      <c r="E704" s="276"/>
      <c r="F704" s="221"/>
      <c r="G704" s="275"/>
      <c r="H704" s="276"/>
      <c r="I704" s="217"/>
      <c r="J704" s="217"/>
      <c r="K704" s="221"/>
      <c r="L704" s="217"/>
      <c r="M704" s="217"/>
      <c r="N704" s="217"/>
      <c r="O704" s="217"/>
      <c r="P704" s="217"/>
    </row>
    <row r="705" spans="3:16" ht="42" customHeight="1">
      <c r="C705" s="272">
        <v>703</v>
      </c>
      <c r="D705" s="275"/>
      <c r="E705" s="276"/>
      <c r="F705" s="221"/>
      <c r="G705" s="275"/>
      <c r="H705" s="276"/>
      <c r="I705" s="217"/>
      <c r="J705" s="217"/>
      <c r="K705" s="221"/>
      <c r="L705" s="217"/>
      <c r="M705" s="217"/>
      <c r="N705" s="217"/>
      <c r="O705" s="217"/>
      <c r="P705" s="217"/>
    </row>
    <row r="706" spans="3:16" ht="42" customHeight="1">
      <c r="C706" s="272">
        <v>704</v>
      </c>
      <c r="D706" s="275"/>
      <c r="E706" s="276"/>
      <c r="F706" s="221"/>
      <c r="G706" s="275"/>
      <c r="H706" s="276"/>
      <c r="I706" s="217"/>
      <c r="J706" s="217"/>
      <c r="K706" s="221"/>
      <c r="L706" s="217"/>
      <c r="M706" s="217"/>
      <c r="N706" s="217"/>
      <c r="O706" s="217"/>
      <c r="P706" s="217"/>
    </row>
    <row r="707" spans="3:16" ht="42" customHeight="1">
      <c r="C707" s="272">
        <v>705</v>
      </c>
      <c r="D707" s="275"/>
      <c r="E707" s="276"/>
      <c r="F707" s="221"/>
      <c r="G707" s="275"/>
      <c r="H707" s="276"/>
      <c r="I707" s="217"/>
      <c r="J707" s="217"/>
      <c r="K707" s="221"/>
      <c r="L707" s="217"/>
      <c r="M707" s="217"/>
      <c r="N707" s="217"/>
      <c r="O707" s="217"/>
      <c r="P707" s="217"/>
    </row>
    <row r="708" spans="3:16" ht="42" customHeight="1">
      <c r="C708" s="272">
        <v>706</v>
      </c>
      <c r="D708" s="275"/>
      <c r="E708" s="276"/>
      <c r="F708" s="221"/>
      <c r="G708" s="275"/>
      <c r="H708" s="276"/>
      <c r="I708" s="217"/>
      <c r="J708" s="217"/>
      <c r="K708" s="221"/>
      <c r="L708" s="217"/>
      <c r="M708" s="217"/>
      <c r="N708" s="217"/>
      <c r="O708" s="217"/>
      <c r="P708" s="217"/>
    </row>
    <row r="709" spans="3:16" ht="42" customHeight="1">
      <c r="C709" s="272">
        <v>707</v>
      </c>
      <c r="D709" s="275"/>
      <c r="E709" s="276"/>
      <c r="F709" s="221"/>
      <c r="G709" s="275"/>
      <c r="H709" s="276"/>
      <c r="I709" s="217"/>
      <c r="J709" s="217"/>
      <c r="K709" s="221"/>
      <c r="L709" s="217"/>
      <c r="M709" s="217"/>
      <c r="N709" s="217"/>
      <c r="O709" s="217"/>
      <c r="P709" s="217"/>
    </row>
    <row r="710" spans="3:16" ht="42" customHeight="1">
      <c r="C710" s="272">
        <v>708</v>
      </c>
      <c r="D710" s="275"/>
      <c r="E710" s="276"/>
      <c r="F710" s="221"/>
      <c r="G710" s="275"/>
      <c r="H710" s="276"/>
      <c r="I710" s="217"/>
      <c r="J710" s="217"/>
      <c r="K710" s="221"/>
      <c r="L710" s="217"/>
      <c r="M710" s="217"/>
      <c r="N710" s="217"/>
      <c r="O710" s="217"/>
      <c r="P710" s="217"/>
    </row>
    <row r="711" spans="3:16" ht="42" customHeight="1">
      <c r="C711" s="272">
        <v>709</v>
      </c>
      <c r="D711" s="275"/>
      <c r="E711" s="276"/>
      <c r="F711" s="221"/>
      <c r="G711" s="275"/>
      <c r="H711" s="276"/>
      <c r="I711" s="217"/>
      <c r="J711" s="217"/>
      <c r="K711" s="221"/>
      <c r="L711" s="217"/>
      <c r="M711" s="217"/>
      <c r="N711" s="217"/>
      <c r="O711" s="217"/>
      <c r="P711" s="217"/>
    </row>
    <row r="712" spans="3:16" ht="42" customHeight="1">
      <c r="C712" s="272">
        <v>710</v>
      </c>
      <c r="D712" s="275"/>
      <c r="E712" s="276"/>
      <c r="F712" s="221"/>
      <c r="G712" s="275"/>
      <c r="H712" s="276"/>
      <c r="I712" s="217"/>
      <c r="J712" s="217"/>
      <c r="K712" s="221"/>
      <c r="L712" s="217"/>
      <c r="M712" s="217"/>
      <c r="N712" s="217"/>
      <c r="O712" s="217"/>
      <c r="P712" s="217"/>
    </row>
    <row r="713" spans="3:16" ht="42" customHeight="1">
      <c r="C713" s="272">
        <v>711</v>
      </c>
      <c r="D713" s="275"/>
      <c r="E713" s="276"/>
      <c r="F713" s="221"/>
      <c r="G713" s="275"/>
      <c r="H713" s="276"/>
      <c r="I713" s="217"/>
      <c r="J713" s="217"/>
      <c r="K713" s="221"/>
      <c r="L713" s="217"/>
      <c r="M713" s="217"/>
      <c r="N713" s="217"/>
      <c r="O713" s="217"/>
      <c r="P713" s="217"/>
    </row>
    <row r="714" spans="3:16" ht="42" customHeight="1">
      <c r="C714" s="272">
        <v>712</v>
      </c>
      <c r="D714" s="275"/>
      <c r="E714" s="276"/>
      <c r="F714" s="221"/>
      <c r="G714" s="275"/>
      <c r="H714" s="276"/>
      <c r="I714" s="217"/>
      <c r="J714" s="217"/>
      <c r="K714" s="221"/>
      <c r="L714" s="217"/>
      <c r="M714" s="217"/>
      <c r="N714" s="217"/>
      <c r="O714" s="217"/>
      <c r="P714" s="217"/>
    </row>
    <row r="715" spans="3:16" ht="42" customHeight="1">
      <c r="C715" s="272">
        <v>713</v>
      </c>
      <c r="D715" s="275"/>
      <c r="E715" s="276"/>
      <c r="F715" s="221"/>
      <c r="G715" s="275"/>
      <c r="H715" s="276"/>
      <c r="I715" s="217"/>
      <c r="J715" s="217"/>
      <c r="K715" s="221"/>
      <c r="L715" s="217"/>
      <c r="M715" s="217"/>
      <c r="N715" s="217"/>
      <c r="O715" s="217"/>
      <c r="P715" s="217"/>
    </row>
    <row r="716" spans="3:16" ht="42" customHeight="1">
      <c r="C716" s="272">
        <v>714</v>
      </c>
      <c r="D716" s="275"/>
      <c r="E716" s="276"/>
      <c r="F716" s="221"/>
      <c r="G716" s="275"/>
      <c r="H716" s="276"/>
      <c r="I716" s="217"/>
      <c r="J716" s="217"/>
      <c r="K716" s="221"/>
      <c r="L716" s="217"/>
      <c r="M716" s="217"/>
      <c r="N716" s="217"/>
      <c r="O716" s="217"/>
      <c r="P716" s="217"/>
    </row>
    <row r="717" spans="3:16" ht="42" customHeight="1">
      <c r="C717" s="272">
        <v>715</v>
      </c>
      <c r="D717" s="275"/>
      <c r="E717" s="276"/>
      <c r="F717" s="221"/>
      <c r="G717" s="275"/>
      <c r="H717" s="276"/>
      <c r="I717" s="217"/>
      <c r="J717" s="217"/>
      <c r="K717" s="221"/>
      <c r="L717" s="217"/>
      <c r="M717" s="217"/>
      <c r="N717" s="217"/>
      <c r="O717" s="217"/>
      <c r="P717" s="217"/>
    </row>
    <row r="718" spans="3:16" ht="42" customHeight="1">
      <c r="C718" s="272">
        <v>716</v>
      </c>
      <c r="D718" s="275"/>
      <c r="E718" s="276"/>
      <c r="F718" s="221"/>
      <c r="G718" s="275"/>
      <c r="H718" s="276"/>
      <c r="I718" s="217"/>
      <c r="J718" s="217"/>
      <c r="K718" s="221"/>
      <c r="L718" s="217"/>
      <c r="M718" s="217"/>
      <c r="N718" s="217"/>
      <c r="O718" s="217"/>
      <c r="P718" s="217"/>
    </row>
    <row r="719" spans="3:16" ht="42" customHeight="1">
      <c r="C719" s="272">
        <v>717</v>
      </c>
      <c r="D719" s="275"/>
      <c r="E719" s="276"/>
      <c r="F719" s="221"/>
      <c r="G719" s="275"/>
      <c r="H719" s="276"/>
      <c r="I719" s="217"/>
      <c r="J719" s="217"/>
      <c r="K719" s="221"/>
      <c r="L719" s="217"/>
      <c r="M719" s="217"/>
      <c r="N719" s="217"/>
      <c r="O719" s="217"/>
      <c r="P719" s="217"/>
    </row>
    <row r="720" spans="3:16" ht="42" customHeight="1">
      <c r="C720" s="272">
        <v>718</v>
      </c>
      <c r="D720" s="275"/>
      <c r="E720" s="276"/>
      <c r="F720" s="221"/>
      <c r="G720" s="275"/>
      <c r="H720" s="276"/>
      <c r="I720" s="217"/>
      <c r="J720" s="217"/>
      <c r="K720" s="221"/>
      <c r="L720" s="217"/>
      <c r="M720" s="217"/>
      <c r="N720" s="217"/>
      <c r="O720" s="217"/>
      <c r="P720" s="217"/>
    </row>
    <row r="721" spans="3:16" ht="42" customHeight="1">
      <c r="C721" s="272">
        <v>719</v>
      </c>
      <c r="D721" s="275"/>
      <c r="E721" s="276"/>
      <c r="F721" s="221"/>
      <c r="G721" s="275"/>
      <c r="H721" s="276"/>
      <c r="I721" s="217"/>
      <c r="J721" s="217"/>
      <c r="K721" s="221"/>
      <c r="L721" s="217"/>
      <c r="M721" s="217"/>
      <c r="N721" s="217"/>
      <c r="O721" s="217"/>
      <c r="P721" s="217"/>
    </row>
    <row r="722" spans="3:16" ht="42" customHeight="1">
      <c r="C722" s="272">
        <v>720</v>
      </c>
      <c r="D722" s="275"/>
      <c r="E722" s="276"/>
      <c r="F722" s="221"/>
      <c r="G722" s="275"/>
      <c r="H722" s="276"/>
      <c r="I722" s="217"/>
      <c r="J722" s="217"/>
      <c r="K722" s="221"/>
      <c r="L722" s="217"/>
      <c r="M722" s="217"/>
      <c r="N722" s="217"/>
      <c r="O722" s="217"/>
      <c r="P722" s="217"/>
    </row>
    <row r="723" spans="3:16" ht="42" customHeight="1">
      <c r="C723" s="272">
        <v>721</v>
      </c>
      <c r="D723" s="275"/>
      <c r="E723" s="276"/>
      <c r="F723" s="221"/>
      <c r="G723" s="275"/>
      <c r="H723" s="276"/>
      <c r="I723" s="217"/>
      <c r="J723" s="217"/>
      <c r="K723" s="221"/>
      <c r="L723" s="217"/>
      <c r="M723" s="217"/>
      <c r="N723" s="217"/>
      <c r="O723" s="217"/>
      <c r="P723" s="217"/>
    </row>
    <row r="724" spans="3:16" ht="42" customHeight="1">
      <c r="C724" s="272">
        <v>722</v>
      </c>
      <c r="D724" s="275"/>
      <c r="E724" s="276"/>
      <c r="F724" s="221"/>
      <c r="G724" s="275"/>
      <c r="H724" s="276"/>
      <c r="I724" s="217"/>
      <c r="J724" s="217"/>
      <c r="K724" s="221"/>
      <c r="L724" s="217"/>
      <c r="M724" s="217"/>
      <c r="N724" s="217"/>
      <c r="O724" s="217"/>
      <c r="P724" s="217"/>
    </row>
    <row r="725" spans="3:16" ht="42" customHeight="1">
      <c r="C725" s="272">
        <v>723</v>
      </c>
      <c r="D725" s="275"/>
      <c r="E725" s="276"/>
      <c r="F725" s="221"/>
      <c r="G725" s="275"/>
      <c r="H725" s="276"/>
      <c r="I725" s="217"/>
      <c r="J725" s="217"/>
      <c r="K725" s="221"/>
      <c r="L725" s="217"/>
      <c r="M725" s="217"/>
      <c r="N725" s="217"/>
      <c r="O725" s="217"/>
      <c r="P725" s="217"/>
    </row>
    <row r="726" spans="3:16" ht="42" customHeight="1">
      <c r="C726" s="272">
        <v>724</v>
      </c>
      <c r="D726" s="275"/>
      <c r="E726" s="276"/>
      <c r="F726" s="221"/>
      <c r="G726" s="275"/>
      <c r="H726" s="276"/>
      <c r="I726" s="217"/>
      <c r="J726" s="217"/>
      <c r="K726" s="221"/>
      <c r="L726" s="217"/>
      <c r="M726" s="217"/>
      <c r="N726" s="217"/>
      <c r="O726" s="217"/>
      <c r="P726" s="217"/>
    </row>
    <row r="727" spans="3:16" ht="42" customHeight="1">
      <c r="C727" s="272">
        <v>725</v>
      </c>
      <c r="D727" s="275"/>
      <c r="E727" s="276"/>
      <c r="F727" s="221"/>
      <c r="G727" s="275"/>
      <c r="H727" s="276"/>
      <c r="I727" s="217"/>
      <c r="J727" s="217"/>
      <c r="K727" s="221"/>
      <c r="L727" s="217"/>
      <c r="M727" s="217"/>
      <c r="N727" s="217"/>
      <c r="O727" s="217"/>
      <c r="P727" s="217"/>
    </row>
    <row r="728" spans="3:16" ht="42" customHeight="1">
      <c r="C728" s="272">
        <v>726</v>
      </c>
      <c r="D728" s="275"/>
      <c r="E728" s="276"/>
      <c r="F728" s="221"/>
      <c r="G728" s="275"/>
      <c r="H728" s="276"/>
      <c r="I728" s="217"/>
      <c r="J728" s="217"/>
      <c r="K728" s="221"/>
      <c r="L728" s="217"/>
      <c r="M728" s="217"/>
      <c r="N728" s="217"/>
      <c r="O728" s="217"/>
      <c r="P728" s="217"/>
    </row>
    <row r="729" spans="3:16" ht="42" customHeight="1">
      <c r="C729" s="272">
        <v>727</v>
      </c>
      <c r="D729" s="275"/>
      <c r="E729" s="276"/>
      <c r="F729" s="221"/>
      <c r="G729" s="275"/>
      <c r="H729" s="276"/>
      <c r="I729" s="217"/>
      <c r="J729" s="217"/>
      <c r="K729" s="221"/>
      <c r="L729" s="217"/>
      <c r="M729" s="217"/>
      <c r="N729" s="217"/>
      <c r="O729" s="217"/>
      <c r="P729" s="217"/>
    </row>
    <row r="730" spans="3:16" ht="42" customHeight="1">
      <c r="C730" s="272">
        <v>728</v>
      </c>
      <c r="D730" s="275"/>
      <c r="E730" s="276"/>
      <c r="F730" s="221"/>
      <c r="G730" s="275"/>
      <c r="H730" s="276"/>
      <c r="I730" s="217"/>
      <c r="J730" s="217"/>
      <c r="K730" s="221"/>
      <c r="L730" s="217"/>
      <c r="M730" s="217"/>
      <c r="N730" s="217"/>
      <c r="O730" s="217"/>
      <c r="P730" s="217"/>
    </row>
    <row r="731" spans="3:16" ht="42" customHeight="1">
      <c r="C731" s="272">
        <v>729</v>
      </c>
      <c r="D731" s="275"/>
      <c r="E731" s="276"/>
      <c r="F731" s="221"/>
      <c r="G731" s="275"/>
      <c r="H731" s="276"/>
      <c r="I731" s="217"/>
      <c r="J731" s="217"/>
      <c r="K731" s="221"/>
      <c r="L731" s="217"/>
      <c r="M731" s="217"/>
      <c r="N731" s="217"/>
      <c r="O731" s="217"/>
      <c r="P731" s="217"/>
    </row>
    <row r="732" spans="3:16" ht="42" customHeight="1">
      <c r="C732" s="272">
        <v>730</v>
      </c>
      <c r="D732" s="275"/>
      <c r="E732" s="276"/>
      <c r="F732" s="221"/>
      <c r="G732" s="275"/>
      <c r="H732" s="276"/>
      <c r="I732" s="217"/>
      <c r="J732" s="217"/>
      <c r="K732" s="221"/>
      <c r="L732" s="217"/>
      <c r="M732" s="217"/>
      <c r="N732" s="217"/>
      <c r="O732" s="217"/>
      <c r="P732" s="217"/>
    </row>
    <row r="733" spans="3:16" ht="42" customHeight="1">
      <c r="C733" s="272">
        <v>731</v>
      </c>
      <c r="D733" s="275"/>
      <c r="E733" s="276"/>
      <c r="F733" s="221"/>
      <c r="G733" s="275"/>
      <c r="H733" s="276"/>
      <c r="I733" s="217"/>
      <c r="J733" s="217"/>
      <c r="K733" s="221"/>
      <c r="L733" s="217"/>
      <c r="M733" s="217"/>
      <c r="N733" s="217"/>
      <c r="O733" s="217"/>
      <c r="P733" s="217"/>
    </row>
    <row r="734" spans="3:16" ht="42" customHeight="1">
      <c r="C734" s="272">
        <v>732</v>
      </c>
      <c r="D734" s="275"/>
      <c r="E734" s="276"/>
      <c r="F734" s="221"/>
      <c r="G734" s="275"/>
      <c r="H734" s="276"/>
      <c r="I734" s="217"/>
      <c r="J734" s="217"/>
      <c r="K734" s="221"/>
      <c r="L734" s="217"/>
      <c r="M734" s="217"/>
      <c r="N734" s="217"/>
      <c r="O734" s="217"/>
      <c r="P734" s="217"/>
    </row>
    <row r="735" spans="3:16" ht="42" customHeight="1">
      <c r="C735" s="272">
        <v>733</v>
      </c>
      <c r="D735" s="275"/>
      <c r="E735" s="276"/>
      <c r="F735" s="221"/>
      <c r="G735" s="275"/>
      <c r="H735" s="276"/>
      <c r="I735" s="217"/>
      <c r="J735" s="217"/>
      <c r="K735" s="221"/>
      <c r="L735" s="217"/>
      <c r="M735" s="217"/>
      <c r="N735" s="217"/>
      <c r="O735" s="217"/>
      <c r="P735" s="217"/>
    </row>
    <row r="736" spans="3:16" ht="42" customHeight="1">
      <c r="C736" s="272">
        <v>734</v>
      </c>
      <c r="D736" s="275"/>
      <c r="E736" s="276"/>
      <c r="F736" s="221"/>
      <c r="G736" s="275"/>
      <c r="H736" s="276"/>
      <c r="I736" s="217"/>
      <c r="J736" s="217"/>
      <c r="K736" s="221"/>
      <c r="L736" s="217"/>
      <c r="M736" s="217"/>
      <c r="N736" s="217"/>
      <c r="O736" s="217"/>
      <c r="P736" s="217"/>
    </row>
    <row r="737" spans="3:16" ht="42" customHeight="1">
      <c r="C737" s="272">
        <v>735</v>
      </c>
      <c r="D737" s="275"/>
      <c r="E737" s="276"/>
      <c r="F737" s="221"/>
      <c r="G737" s="275"/>
      <c r="H737" s="276"/>
      <c r="I737" s="217"/>
      <c r="J737" s="217"/>
      <c r="K737" s="221"/>
      <c r="L737" s="217"/>
      <c r="M737" s="217"/>
      <c r="N737" s="217"/>
      <c r="O737" s="217"/>
      <c r="P737" s="217"/>
    </row>
    <row r="738" spans="3:16" ht="42" customHeight="1">
      <c r="C738" s="272">
        <v>736</v>
      </c>
      <c r="D738" s="275"/>
      <c r="E738" s="276"/>
      <c r="F738" s="221"/>
      <c r="G738" s="275"/>
      <c r="H738" s="276"/>
      <c r="I738" s="217"/>
      <c r="J738" s="217"/>
      <c r="K738" s="221"/>
      <c r="L738" s="217"/>
      <c r="M738" s="217"/>
      <c r="N738" s="217"/>
      <c r="O738" s="217"/>
      <c r="P738" s="217"/>
    </row>
    <row r="739" spans="3:16" ht="42" customHeight="1">
      <c r="C739" s="272">
        <v>737</v>
      </c>
      <c r="D739" s="275"/>
      <c r="E739" s="276"/>
      <c r="F739" s="221"/>
      <c r="G739" s="275"/>
      <c r="H739" s="276"/>
      <c r="I739" s="217"/>
      <c r="J739" s="217"/>
      <c r="K739" s="221"/>
      <c r="L739" s="217"/>
      <c r="M739" s="217"/>
      <c r="N739" s="217"/>
      <c r="O739" s="217"/>
      <c r="P739" s="217"/>
    </row>
    <row r="740" spans="3:16" ht="42" customHeight="1">
      <c r="C740" s="272">
        <v>738</v>
      </c>
      <c r="D740" s="275"/>
      <c r="E740" s="276"/>
      <c r="F740" s="221"/>
      <c r="G740" s="275"/>
      <c r="H740" s="276"/>
      <c r="I740" s="217"/>
      <c r="J740" s="217"/>
      <c r="K740" s="221"/>
      <c r="L740" s="217"/>
      <c r="M740" s="217"/>
      <c r="N740" s="217"/>
      <c r="O740" s="217"/>
      <c r="P740" s="217"/>
    </row>
    <row r="741" spans="3:16" ht="42" customHeight="1">
      <c r="C741" s="272">
        <v>739</v>
      </c>
      <c r="D741" s="275"/>
      <c r="E741" s="276"/>
      <c r="F741" s="221"/>
      <c r="G741" s="275"/>
      <c r="H741" s="276"/>
      <c r="I741" s="217"/>
      <c r="J741" s="217"/>
      <c r="K741" s="221"/>
      <c r="L741" s="217"/>
      <c r="M741" s="217"/>
      <c r="N741" s="217"/>
      <c r="O741" s="217"/>
      <c r="P741" s="217"/>
    </row>
    <row r="742" spans="3:16" ht="42" customHeight="1">
      <c r="C742" s="272">
        <v>740</v>
      </c>
      <c r="D742" s="275"/>
      <c r="E742" s="276"/>
      <c r="F742" s="221"/>
      <c r="G742" s="275"/>
      <c r="H742" s="276"/>
      <c r="I742" s="217"/>
      <c r="J742" s="217"/>
      <c r="K742" s="221"/>
      <c r="L742" s="217"/>
      <c r="M742" s="217"/>
      <c r="N742" s="217"/>
      <c r="O742" s="217"/>
      <c r="P742" s="217"/>
    </row>
    <row r="743" spans="3:16" ht="42" customHeight="1">
      <c r="C743" s="272">
        <v>741</v>
      </c>
      <c r="D743" s="275"/>
      <c r="E743" s="276"/>
      <c r="F743" s="221"/>
      <c r="G743" s="275"/>
      <c r="H743" s="276"/>
      <c r="I743" s="217"/>
      <c r="J743" s="217"/>
      <c r="K743" s="221"/>
      <c r="L743" s="217"/>
      <c r="M743" s="217"/>
      <c r="N743" s="217"/>
      <c r="O743" s="217"/>
      <c r="P743" s="217"/>
    </row>
    <row r="744" spans="3:16" ht="42" customHeight="1">
      <c r="C744" s="272">
        <v>742</v>
      </c>
      <c r="D744" s="275"/>
      <c r="E744" s="276"/>
      <c r="F744" s="221"/>
      <c r="G744" s="275"/>
      <c r="H744" s="276"/>
      <c r="I744" s="217"/>
      <c r="J744" s="217"/>
      <c r="K744" s="221"/>
      <c r="L744" s="217"/>
      <c r="M744" s="217"/>
      <c r="N744" s="217"/>
      <c r="O744" s="217"/>
      <c r="P744" s="217"/>
    </row>
    <row r="745" spans="3:16" ht="42" customHeight="1">
      <c r="C745" s="272">
        <v>743</v>
      </c>
      <c r="D745" s="275"/>
      <c r="E745" s="276"/>
      <c r="F745" s="221"/>
      <c r="G745" s="275"/>
      <c r="H745" s="276"/>
      <c r="I745" s="217"/>
      <c r="J745" s="217"/>
      <c r="K745" s="221"/>
      <c r="L745" s="217"/>
      <c r="M745" s="217"/>
      <c r="N745" s="217"/>
      <c r="O745" s="217"/>
      <c r="P745" s="217"/>
    </row>
    <row r="746" spans="3:16" ht="42" customHeight="1">
      <c r="C746" s="272">
        <v>744</v>
      </c>
      <c r="D746" s="275"/>
      <c r="E746" s="276"/>
      <c r="F746" s="221"/>
      <c r="G746" s="275"/>
      <c r="H746" s="276"/>
      <c r="I746" s="217"/>
      <c r="J746" s="217"/>
      <c r="K746" s="221"/>
      <c r="L746" s="217"/>
      <c r="M746" s="217"/>
      <c r="N746" s="217"/>
      <c r="O746" s="217"/>
      <c r="P746" s="217"/>
    </row>
    <row r="747" spans="3:16" ht="42" customHeight="1">
      <c r="C747" s="272">
        <v>745</v>
      </c>
      <c r="D747" s="275"/>
      <c r="E747" s="276"/>
      <c r="F747" s="221"/>
      <c r="G747" s="275"/>
      <c r="H747" s="276"/>
      <c r="I747" s="217"/>
      <c r="J747" s="217"/>
      <c r="K747" s="221"/>
      <c r="L747" s="217"/>
      <c r="M747" s="217"/>
      <c r="N747" s="217"/>
      <c r="O747" s="217"/>
      <c r="P747" s="217"/>
    </row>
    <row r="748" spans="3:16" ht="42" customHeight="1">
      <c r="C748" s="272">
        <v>746</v>
      </c>
      <c r="D748" s="275"/>
      <c r="E748" s="276"/>
      <c r="F748" s="221"/>
      <c r="G748" s="275"/>
      <c r="H748" s="276"/>
      <c r="I748" s="217"/>
      <c r="J748" s="217"/>
      <c r="K748" s="221"/>
      <c r="L748" s="217"/>
      <c r="M748" s="217"/>
      <c r="N748" s="217"/>
      <c r="O748" s="217"/>
      <c r="P748" s="217"/>
    </row>
    <row r="749" spans="3:16" ht="42" customHeight="1">
      <c r="C749" s="272">
        <v>747</v>
      </c>
      <c r="D749" s="275"/>
      <c r="E749" s="276"/>
      <c r="F749" s="221"/>
      <c r="G749" s="275"/>
      <c r="H749" s="276"/>
      <c r="I749" s="217"/>
      <c r="J749" s="217"/>
      <c r="K749" s="221"/>
      <c r="L749" s="217"/>
      <c r="M749" s="217"/>
      <c r="N749" s="217"/>
      <c r="O749" s="217"/>
      <c r="P749" s="217"/>
    </row>
    <row r="750" spans="3:16" ht="42" customHeight="1">
      <c r="C750" s="272">
        <v>748</v>
      </c>
      <c r="D750" s="275"/>
      <c r="E750" s="276"/>
      <c r="F750" s="221"/>
      <c r="G750" s="275"/>
      <c r="H750" s="276"/>
      <c r="I750" s="217"/>
      <c r="J750" s="217"/>
      <c r="K750" s="221"/>
      <c r="L750" s="217"/>
      <c r="M750" s="217"/>
      <c r="N750" s="217"/>
      <c r="O750" s="217"/>
      <c r="P750" s="217"/>
    </row>
    <row r="751" spans="3:16" ht="42" customHeight="1">
      <c r="C751" s="272">
        <v>749</v>
      </c>
      <c r="D751" s="275"/>
      <c r="E751" s="276"/>
      <c r="F751" s="221"/>
      <c r="G751" s="275"/>
      <c r="H751" s="276"/>
      <c r="I751" s="217"/>
      <c r="J751" s="217"/>
      <c r="K751" s="221"/>
      <c r="L751" s="217"/>
      <c r="M751" s="217"/>
      <c r="N751" s="217"/>
      <c r="O751" s="217"/>
      <c r="P751" s="217"/>
    </row>
    <row r="752" spans="3:16" ht="42" customHeight="1">
      <c r="C752" s="272">
        <v>750</v>
      </c>
      <c r="D752" s="275"/>
      <c r="E752" s="276"/>
      <c r="F752" s="221"/>
      <c r="G752" s="275"/>
      <c r="H752" s="276"/>
      <c r="I752" s="217"/>
      <c r="J752" s="217"/>
      <c r="K752" s="221"/>
      <c r="L752" s="217"/>
      <c r="M752" s="217"/>
      <c r="N752" s="217"/>
      <c r="O752" s="217"/>
      <c r="P752" s="217"/>
    </row>
    <row r="753" spans="3:16" ht="42" customHeight="1">
      <c r="C753" s="272">
        <v>751</v>
      </c>
      <c r="D753" s="275"/>
      <c r="E753" s="276"/>
      <c r="F753" s="221"/>
      <c r="G753" s="275"/>
      <c r="H753" s="276"/>
      <c r="I753" s="217"/>
      <c r="J753" s="217"/>
      <c r="K753" s="221"/>
      <c r="L753" s="217"/>
      <c r="M753" s="217"/>
      <c r="N753" s="217"/>
      <c r="O753" s="217"/>
      <c r="P753" s="217"/>
    </row>
    <row r="754" spans="3:16" ht="42" customHeight="1">
      <c r="C754" s="272">
        <v>752</v>
      </c>
      <c r="D754" s="275"/>
      <c r="E754" s="276"/>
      <c r="F754" s="221"/>
      <c r="G754" s="275"/>
      <c r="H754" s="276"/>
      <c r="I754" s="217"/>
      <c r="J754" s="217"/>
      <c r="K754" s="221"/>
      <c r="L754" s="217"/>
      <c r="M754" s="217"/>
      <c r="N754" s="217"/>
      <c r="O754" s="217"/>
      <c r="P754" s="217"/>
    </row>
    <row r="755" spans="3:16" ht="42" customHeight="1">
      <c r="C755" s="272">
        <v>753</v>
      </c>
      <c r="D755" s="275"/>
      <c r="E755" s="276"/>
      <c r="F755" s="221"/>
      <c r="G755" s="275"/>
      <c r="H755" s="276"/>
      <c r="I755" s="217"/>
      <c r="J755" s="217"/>
      <c r="K755" s="221"/>
      <c r="L755" s="217"/>
      <c r="M755" s="217"/>
      <c r="N755" s="217"/>
      <c r="O755" s="217"/>
      <c r="P755" s="217"/>
    </row>
    <row r="756" spans="3:16" ht="42" customHeight="1">
      <c r="C756" s="272">
        <v>754</v>
      </c>
      <c r="D756" s="275"/>
      <c r="E756" s="276"/>
      <c r="F756" s="221"/>
      <c r="G756" s="275"/>
      <c r="H756" s="276"/>
      <c r="I756" s="217"/>
      <c r="J756" s="217"/>
      <c r="K756" s="221"/>
      <c r="L756" s="217"/>
      <c r="M756" s="217"/>
      <c r="N756" s="217"/>
      <c r="O756" s="217"/>
      <c r="P756" s="217"/>
    </row>
    <row r="757" spans="3:16" ht="42" customHeight="1">
      <c r="C757" s="272">
        <v>755</v>
      </c>
      <c r="D757" s="275"/>
      <c r="E757" s="276"/>
      <c r="F757" s="221"/>
      <c r="G757" s="275"/>
      <c r="H757" s="276"/>
      <c r="I757" s="217"/>
      <c r="J757" s="217"/>
      <c r="K757" s="221"/>
      <c r="L757" s="217"/>
      <c r="M757" s="217"/>
      <c r="N757" s="217"/>
      <c r="O757" s="217"/>
      <c r="P757" s="217"/>
    </row>
    <row r="758" spans="3:16" ht="42" customHeight="1">
      <c r="C758" s="272">
        <v>756</v>
      </c>
      <c r="D758" s="275"/>
      <c r="E758" s="276"/>
      <c r="F758" s="221"/>
      <c r="G758" s="275"/>
      <c r="H758" s="276"/>
      <c r="I758" s="217"/>
      <c r="J758" s="217"/>
      <c r="K758" s="221"/>
      <c r="L758" s="217"/>
      <c r="M758" s="217"/>
      <c r="N758" s="217"/>
      <c r="O758" s="217"/>
      <c r="P758" s="217"/>
    </row>
    <row r="759" spans="3:16" ht="42" customHeight="1">
      <c r="C759" s="272">
        <v>757</v>
      </c>
      <c r="D759" s="275"/>
      <c r="E759" s="276"/>
      <c r="F759" s="221"/>
      <c r="G759" s="275"/>
      <c r="H759" s="276"/>
      <c r="I759" s="217"/>
      <c r="J759" s="217"/>
      <c r="K759" s="221"/>
      <c r="L759" s="217"/>
      <c r="M759" s="217"/>
      <c r="N759" s="217"/>
      <c r="O759" s="217"/>
      <c r="P759" s="217"/>
    </row>
    <row r="760" spans="3:16" ht="42" customHeight="1">
      <c r="C760" s="272">
        <v>758</v>
      </c>
      <c r="D760" s="275"/>
      <c r="E760" s="276"/>
      <c r="F760" s="221"/>
      <c r="G760" s="275"/>
      <c r="H760" s="276"/>
      <c r="I760" s="217"/>
      <c r="J760" s="217"/>
      <c r="K760" s="221"/>
      <c r="L760" s="217"/>
      <c r="M760" s="217"/>
      <c r="N760" s="217"/>
      <c r="O760" s="217"/>
      <c r="P760" s="217"/>
    </row>
    <row r="761" spans="3:16" ht="42" customHeight="1">
      <c r="C761" s="272">
        <v>759</v>
      </c>
      <c r="D761" s="275"/>
      <c r="E761" s="276"/>
      <c r="F761" s="221"/>
      <c r="G761" s="275"/>
      <c r="H761" s="276"/>
      <c r="I761" s="217"/>
      <c r="J761" s="217"/>
      <c r="K761" s="221"/>
      <c r="L761" s="217"/>
      <c r="M761" s="217"/>
      <c r="N761" s="217"/>
      <c r="O761" s="217"/>
      <c r="P761" s="217"/>
    </row>
    <row r="762" spans="3:16" ht="42" customHeight="1">
      <c r="C762" s="272">
        <v>760</v>
      </c>
      <c r="D762" s="275"/>
      <c r="E762" s="276"/>
      <c r="F762" s="221"/>
      <c r="G762" s="275"/>
      <c r="H762" s="276"/>
      <c r="I762" s="217"/>
      <c r="J762" s="217"/>
      <c r="K762" s="221"/>
      <c r="L762" s="217"/>
      <c r="M762" s="217"/>
      <c r="N762" s="217"/>
      <c r="O762" s="217"/>
      <c r="P762" s="217"/>
    </row>
    <row r="763" spans="3:16" ht="42" customHeight="1">
      <c r="C763" s="272">
        <v>761</v>
      </c>
      <c r="D763" s="275"/>
      <c r="E763" s="276"/>
      <c r="F763" s="221"/>
      <c r="G763" s="275"/>
      <c r="H763" s="276"/>
      <c r="I763" s="217"/>
      <c r="J763" s="217"/>
      <c r="K763" s="221"/>
      <c r="L763" s="217"/>
      <c r="M763" s="217"/>
      <c r="N763" s="217"/>
      <c r="O763" s="217"/>
      <c r="P763" s="217"/>
    </row>
    <row r="764" spans="3:16" ht="42" customHeight="1">
      <c r="C764" s="272">
        <v>762</v>
      </c>
      <c r="D764" s="275"/>
      <c r="E764" s="276"/>
      <c r="F764" s="221"/>
      <c r="G764" s="275"/>
      <c r="H764" s="276"/>
      <c r="I764" s="217"/>
      <c r="J764" s="217"/>
      <c r="K764" s="221"/>
      <c r="L764" s="217"/>
      <c r="M764" s="217"/>
      <c r="N764" s="217"/>
      <c r="O764" s="217"/>
      <c r="P764" s="217"/>
    </row>
    <row r="765" spans="3:16" ht="42" customHeight="1">
      <c r="C765" s="272">
        <v>763</v>
      </c>
      <c r="D765" s="275"/>
      <c r="E765" s="276"/>
      <c r="F765" s="221"/>
      <c r="G765" s="275"/>
      <c r="H765" s="276"/>
      <c r="I765" s="217"/>
      <c r="J765" s="217"/>
      <c r="K765" s="221"/>
      <c r="L765" s="217"/>
      <c r="M765" s="217"/>
      <c r="N765" s="217"/>
      <c r="O765" s="217"/>
      <c r="P765" s="217"/>
    </row>
    <row r="766" spans="3:16" ht="42" customHeight="1">
      <c r="C766" s="272">
        <v>764</v>
      </c>
      <c r="D766" s="275"/>
      <c r="E766" s="276"/>
      <c r="F766" s="221"/>
      <c r="G766" s="275"/>
      <c r="H766" s="276"/>
      <c r="I766" s="217"/>
      <c r="J766" s="217"/>
      <c r="K766" s="221"/>
      <c r="L766" s="217"/>
      <c r="M766" s="217"/>
      <c r="N766" s="217"/>
      <c r="O766" s="217"/>
      <c r="P766" s="217"/>
    </row>
    <row r="767" spans="3:16" ht="42" customHeight="1">
      <c r="C767" s="272">
        <v>765</v>
      </c>
      <c r="D767" s="275"/>
      <c r="E767" s="276"/>
      <c r="F767" s="221"/>
      <c r="G767" s="275"/>
      <c r="H767" s="276"/>
      <c r="I767" s="217"/>
      <c r="J767" s="217"/>
      <c r="K767" s="221"/>
      <c r="L767" s="217"/>
      <c r="M767" s="217"/>
      <c r="N767" s="217"/>
      <c r="O767" s="217"/>
      <c r="P767" s="217"/>
    </row>
    <row r="768" spans="3:16" ht="42" customHeight="1">
      <c r="C768" s="272">
        <v>766</v>
      </c>
      <c r="D768" s="275"/>
      <c r="E768" s="276"/>
      <c r="F768" s="221"/>
      <c r="G768" s="275"/>
      <c r="H768" s="276"/>
      <c r="I768" s="217"/>
      <c r="J768" s="217"/>
      <c r="K768" s="221"/>
      <c r="L768" s="217"/>
      <c r="M768" s="217"/>
      <c r="N768" s="217"/>
      <c r="O768" s="217"/>
      <c r="P768" s="217"/>
    </row>
    <row r="769" spans="3:16" ht="42" customHeight="1">
      <c r="C769" s="272">
        <v>767</v>
      </c>
      <c r="D769" s="275"/>
      <c r="E769" s="276"/>
      <c r="F769" s="221"/>
      <c r="G769" s="275"/>
      <c r="H769" s="276"/>
      <c r="I769" s="217"/>
      <c r="J769" s="217"/>
      <c r="K769" s="221"/>
      <c r="L769" s="217"/>
      <c r="M769" s="217"/>
      <c r="N769" s="217"/>
      <c r="O769" s="217"/>
      <c r="P769" s="217"/>
    </row>
    <row r="770" spans="3:16" ht="42" customHeight="1">
      <c r="C770" s="272">
        <v>768</v>
      </c>
      <c r="D770" s="275"/>
      <c r="E770" s="276"/>
      <c r="F770" s="221"/>
      <c r="G770" s="275"/>
      <c r="H770" s="276"/>
      <c r="I770" s="217"/>
      <c r="J770" s="217"/>
      <c r="K770" s="221"/>
      <c r="L770" s="217"/>
      <c r="M770" s="217"/>
      <c r="N770" s="217"/>
      <c r="O770" s="217"/>
      <c r="P770" s="217"/>
    </row>
    <row r="771" spans="3:16" ht="42" customHeight="1">
      <c r="C771" s="272">
        <v>769</v>
      </c>
      <c r="D771" s="275"/>
      <c r="E771" s="276"/>
      <c r="F771" s="221"/>
      <c r="G771" s="275"/>
      <c r="H771" s="276"/>
      <c r="I771" s="217"/>
      <c r="J771" s="217"/>
      <c r="K771" s="221"/>
      <c r="L771" s="217"/>
      <c r="M771" s="217"/>
      <c r="N771" s="217"/>
      <c r="O771" s="217"/>
      <c r="P771" s="217"/>
    </row>
    <row r="772" spans="3:16" ht="42" customHeight="1">
      <c r="C772" s="272">
        <v>770</v>
      </c>
      <c r="D772" s="275"/>
      <c r="E772" s="276"/>
      <c r="F772" s="221"/>
      <c r="G772" s="275"/>
      <c r="H772" s="276"/>
      <c r="I772" s="217"/>
      <c r="J772" s="217"/>
      <c r="K772" s="221"/>
      <c r="L772" s="217"/>
      <c r="M772" s="217"/>
      <c r="N772" s="217"/>
      <c r="O772" s="217"/>
      <c r="P772" s="217"/>
    </row>
    <row r="773" spans="3:16" ht="42" customHeight="1">
      <c r="C773" s="272">
        <v>771</v>
      </c>
      <c r="D773" s="275"/>
      <c r="E773" s="276"/>
      <c r="F773" s="221"/>
      <c r="G773" s="275"/>
      <c r="H773" s="276"/>
      <c r="I773" s="217"/>
      <c r="J773" s="217"/>
      <c r="K773" s="221"/>
      <c r="L773" s="217"/>
      <c r="M773" s="217"/>
      <c r="N773" s="217"/>
      <c r="O773" s="217"/>
      <c r="P773" s="217"/>
    </row>
    <row r="774" spans="3:16" ht="42" customHeight="1">
      <c r="C774" s="272">
        <v>772</v>
      </c>
      <c r="D774" s="275"/>
      <c r="E774" s="276"/>
      <c r="F774" s="221"/>
      <c r="G774" s="275"/>
      <c r="H774" s="276"/>
      <c r="I774" s="217"/>
      <c r="J774" s="217"/>
      <c r="K774" s="221"/>
      <c r="L774" s="217"/>
      <c r="M774" s="217"/>
      <c r="N774" s="217"/>
      <c r="O774" s="217"/>
      <c r="P774" s="217"/>
    </row>
    <row r="775" spans="3:16" ht="42" customHeight="1">
      <c r="C775" s="272">
        <v>773</v>
      </c>
      <c r="D775" s="275"/>
      <c r="E775" s="276"/>
      <c r="F775" s="221"/>
      <c r="G775" s="275"/>
      <c r="H775" s="276"/>
      <c r="I775" s="217"/>
      <c r="J775" s="217"/>
      <c r="K775" s="221"/>
      <c r="L775" s="217"/>
      <c r="M775" s="217"/>
      <c r="N775" s="217"/>
      <c r="O775" s="217"/>
      <c r="P775" s="217"/>
    </row>
    <row r="776" spans="3:16" ht="42" customHeight="1">
      <c r="C776" s="272">
        <v>774</v>
      </c>
      <c r="D776" s="275"/>
      <c r="E776" s="276"/>
      <c r="F776" s="221"/>
      <c r="G776" s="275"/>
      <c r="H776" s="276"/>
      <c r="I776" s="217"/>
      <c r="J776" s="217"/>
      <c r="K776" s="221"/>
      <c r="L776" s="217"/>
      <c r="M776" s="217"/>
      <c r="N776" s="217"/>
      <c r="O776" s="217"/>
      <c r="P776" s="217"/>
    </row>
    <row r="777" spans="3:16" ht="42" customHeight="1">
      <c r="C777" s="272">
        <v>775</v>
      </c>
      <c r="D777" s="275"/>
      <c r="E777" s="276"/>
      <c r="F777" s="221"/>
      <c r="G777" s="275"/>
      <c r="H777" s="276"/>
      <c r="I777" s="217"/>
      <c r="J777" s="217"/>
      <c r="K777" s="221"/>
      <c r="L777" s="217"/>
      <c r="M777" s="217"/>
      <c r="N777" s="217"/>
      <c r="O777" s="217"/>
      <c r="P777" s="217"/>
    </row>
    <row r="778" spans="3:16" ht="42" customHeight="1">
      <c r="C778" s="272">
        <v>776</v>
      </c>
      <c r="D778" s="275"/>
      <c r="E778" s="276"/>
      <c r="F778" s="221"/>
      <c r="G778" s="275"/>
      <c r="H778" s="276"/>
      <c r="I778" s="217"/>
      <c r="J778" s="217"/>
      <c r="K778" s="221"/>
      <c r="L778" s="217"/>
      <c r="M778" s="217"/>
      <c r="N778" s="217"/>
      <c r="O778" s="217"/>
      <c r="P778" s="217"/>
    </row>
    <row r="779" spans="3:16" ht="42" customHeight="1">
      <c r="C779" s="272">
        <v>777</v>
      </c>
      <c r="D779" s="275"/>
      <c r="E779" s="276"/>
      <c r="F779" s="221"/>
      <c r="G779" s="275"/>
      <c r="H779" s="276"/>
      <c r="I779" s="217"/>
      <c r="J779" s="217"/>
      <c r="K779" s="221"/>
      <c r="L779" s="217"/>
      <c r="M779" s="217"/>
      <c r="N779" s="217"/>
      <c r="O779" s="217"/>
      <c r="P779" s="217"/>
    </row>
    <row r="780" spans="3:16" ht="42" customHeight="1">
      <c r="C780" s="272">
        <v>778</v>
      </c>
      <c r="D780" s="275"/>
      <c r="E780" s="276"/>
      <c r="F780" s="221"/>
      <c r="G780" s="275"/>
      <c r="H780" s="276"/>
      <c r="I780" s="217"/>
      <c r="J780" s="217"/>
      <c r="K780" s="221"/>
      <c r="L780" s="217"/>
      <c r="M780" s="217"/>
      <c r="N780" s="217"/>
      <c r="O780" s="217"/>
      <c r="P780" s="217"/>
    </row>
    <row r="781" spans="3:16" ht="42" customHeight="1">
      <c r="C781" s="272">
        <v>779</v>
      </c>
      <c r="D781" s="275"/>
      <c r="E781" s="276"/>
      <c r="F781" s="221"/>
      <c r="G781" s="275"/>
      <c r="H781" s="276"/>
      <c r="I781" s="217"/>
      <c r="J781" s="217"/>
      <c r="K781" s="221"/>
      <c r="L781" s="217"/>
      <c r="M781" s="217"/>
      <c r="N781" s="217"/>
      <c r="O781" s="217"/>
      <c r="P781" s="217"/>
    </row>
    <row r="782" spans="3:16" ht="42" customHeight="1">
      <c r="C782" s="272">
        <v>780</v>
      </c>
      <c r="D782" s="275"/>
      <c r="E782" s="276"/>
      <c r="F782" s="221"/>
      <c r="G782" s="275"/>
      <c r="H782" s="276"/>
      <c r="I782" s="217"/>
      <c r="J782" s="217"/>
      <c r="K782" s="221"/>
      <c r="L782" s="217"/>
      <c r="M782" s="217"/>
      <c r="N782" s="217"/>
      <c r="O782" s="217"/>
      <c r="P782" s="217"/>
    </row>
    <row r="783" spans="3:16" ht="42" customHeight="1">
      <c r="C783" s="272">
        <v>781</v>
      </c>
      <c r="D783" s="275"/>
      <c r="E783" s="276"/>
      <c r="F783" s="221"/>
      <c r="G783" s="275"/>
      <c r="H783" s="276"/>
      <c r="I783" s="217"/>
      <c r="J783" s="217"/>
      <c r="K783" s="221"/>
      <c r="L783" s="217"/>
      <c r="M783" s="217"/>
      <c r="N783" s="217"/>
      <c r="O783" s="217"/>
      <c r="P783" s="217"/>
    </row>
    <row r="784" spans="3:16" ht="42" customHeight="1">
      <c r="C784" s="272">
        <v>782</v>
      </c>
      <c r="D784" s="275"/>
      <c r="E784" s="276"/>
      <c r="F784" s="221"/>
      <c r="G784" s="275"/>
      <c r="H784" s="276"/>
      <c r="I784" s="217"/>
      <c r="J784" s="217"/>
      <c r="K784" s="221"/>
      <c r="L784" s="217"/>
      <c r="M784" s="217"/>
      <c r="N784" s="217"/>
      <c r="O784" s="217"/>
      <c r="P784" s="217"/>
    </row>
    <row r="785" spans="3:16" ht="42" customHeight="1">
      <c r="C785" s="272">
        <v>783</v>
      </c>
      <c r="D785" s="275"/>
      <c r="E785" s="276"/>
      <c r="F785" s="221"/>
      <c r="G785" s="275"/>
      <c r="H785" s="276"/>
      <c r="I785" s="217"/>
      <c r="J785" s="217"/>
      <c r="K785" s="221"/>
      <c r="L785" s="217"/>
      <c r="M785" s="217"/>
      <c r="N785" s="217"/>
      <c r="O785" s="217"/>
      <c r="P785" s="217"/>
    </row>
    <row r="786" spans="3:16" ht="42" customHeight="1">
      <c r="C786" s="272">
        <v>784</v>
      </c>
      <c r="D786" s="275"/>
      <c r="E786" s="276"/>
      <c r="F786" s="221"/>
      <c r="G786" s="275"/>
      <c r="H786" s="276"/>
      <c r="I786" s="217"/>
      <c r="J786" s="217"/>
      <c r="K786" s="221"/>
      <c r="L786" s="217"/>
      <c r="M786" s="217"/>
      <c r="N786" s="217"/>
      <c r="O786" s="217"/>
      <c r="P786" s="217"/>
    </row>
    <row r="787" spans="3:16" ht="42" customHeight="1">
      <c r="C787" s="272">
        <v>785</v>
      </c>
      <c r="D787" s="275"/>
      <c r="E787" s="276"/>
      <c r="F787" s="221"/>
      <c r="G787" s="275"/>
      <c r="H787" s="276"/>
      <c r="I787" s="217"/>
      <c r="J787" s="217"/>
      <c r="K787" s="221"/>
      <c r="L787" s="217"/>
      <c r="M787" s="217"/>
      <c r="N787" s="217"/>
      <c r="O787" s="217"/>
      <c r="P787" s="217"/>
    </row>
    <row r="788" spans="3:16" ht="42" customHeight="1">
      <c r="C788" s="272">
        <v>786</v>
      </c>
      <c r="D788" s="275"/>
      <c r="E788" s="276"/>
      <c r="F788" s="221"/>
      <c r="G788" s="275"/>
      <c r="H788" s="276"/>
      <c r="I788" s="217"/>
      <c r="J788" s="217"/>
      <c r="K788" s="221"/>
      <c r="L788" s="217"/>
      <c r="M788" s="217"/>
      <c r="N788" s="217"/>
      <c r="O788" s="217"/>
      <c r="P788" s="217"/>
    </row>
    <row r="789" spans="3:16" ht="42" customHeight="1">
      <c r="C789" s="272">
        <v>787</v>
      </c>
      <c r="D789" s="275"/>
      <c r="E789" s="276"/>
      <c r="F789" s="221"/>
      <c r="G789" s="275"/>
      <c r="H789" s="276"/>
      <c r="I789" s="217"/>
      <c r="J789" s="217"/>
      <c r="K789" s="221"/>
      <c r="L789" s="217"/>
      <c r="M789" s="217"/>
      <c r="N789" s="217"/>
      <c r="O789" s="217"/>
      <c r="P789" s="217"/>
    </row>
    <row r="790" spans="3:16" ht="42" customHeight="1">
      <c r="C790" s="272">
        <v>788</v>
      </c>
      <c r="D790" s="275"/>
      <c r="E790" s="276"/>
      <c r="F790" s="221"/>
      <c r="G790" s="275"/>
      <c r="H790" s="276"/>
      <c r="I790" s="217"/>
      <c r="J790" s="217"/>
      <c r="K790" s="221"/>
      <c r="L790" s="217"/>
      <c r="M790" s="217"/>
      <c r="N790" s="217"/>
      <c r="O790" s="217"/>
      <c r="P790" s="217"/>
    </row>
    <row r="791" spans="3:16" ht="42" customHeight="1">
      <c r="C791" s="272">
        <v>789</v>
      </c>
      <c r="D791" s="275"/>
      <c r="E791" s="276"/>
      <c r="F791" s="221"/>
      <c r="G791" s="275"/>
      <c r="H791" s="276"/>
      <c r="I791" s="217"/>
      <c r="J791" s="217"/>
      <c r="K791" s="221"/>
      <c r="L791" s="217"/>
      <c r="M791" s="217"/>
      <c r="N791" s="217"/>
      <c r="O791" s="217"/>
      <c r="P791" s="217"/>
    </row>
    <row r="792" spans="3:16" ht="42" customHeight="1">
      <c r="C792" s="272">
        <v>790</v>
      </c>
      <c r="D792" s="275"/>
      <c r="E792" s="276"/>
      <c r="F792" s="221"/>
      <c r="G792" s="275"/>
      <c r="H792" s="276"/>
      <c r="I792" s="217"/>
      <c r="J792" s="217"/>
      <c r="K792" s="221"/>
      <c r="L792" s="217"/>
      <c r="M792" s="217"/>
      <c r="N792" s="217"/>
      <c r="O792" s="217"/>
      <c r="P792" s="217"/>
    </row>
    <row r="793" spans="3:16" ht="42" customHeight="1">
      <c r="C793" s="272">
        <v>791</v>
      </c>
      <c r="D793" s="275"/>
      <c r="E793" s="276"/>
      <c r="F793" s="221"/>
      <c r="G793" s="275"/>
      <c r="H793" s="276"/>
      <c r="I793" s="217"/>
      <c r="J793" s="217"/>
      <c r="K793" s="221"/>
      <c r="L793" s="217"/>
      <c r="M793" s="217"/>
      <c r="N793" s="217"/>
      <c r="O793" s="217"/>
      <c r="P793" s="217"/>
    </row>
    <row r="794" spans="3:16" ht="42" customHeight="1">
      <c r="C794" s="272">
        <v>792</v>
      </c>
      <c r="D794" s="275"/>
      <c r="E794" s="276"/>
      <c r="F794" s="221"/>
      <c r="G794" s="275"/>
      <c r="H794" s="276"/>
      <c r="I794" s="217"/>
      <c r="J794" s="217"/>
      <c r="K794" s="221"/>
      <c r="L794" s="217"/>
      <c r="M794" s="217"/>
      <c r="N794" s="217"/>
      <c r="O794" s="217"/>
      <c r="P794" s="217"/>
    </row>
    <row r="795" spans="3:16" ht="42" customHeight="1">
      <c r="C795" s="272">
        <v>793</v>
      </c>
      <c r="D795" s="275"/>
      <c r="E795" s="276"/>
      <c r="F795" s="221"/>
      <c r="G795" s="275"/>
      <c r="H795" s="276"/>
      <c r="I795" s="217"/>
      <c r="J795" s="217"/>
      <c r="K795" s="221"/>
      <c r="L795" s="217"/>
      <c r="M795" s="217"/>
      <c r="N795" s="217"/>
      <c r="O795" s="217"/>
      <c r="P795" s="217"/>
    </row>
    <row r="796" spans="3:16" ht="42" customHeight="1">
      <c r="C796" s="272">
        <v>794</v>
      </c>
      <c r="D796" s="275"/>
      <c r="E796" s="276"/>
      <c r="F796" s="221"/>
      <c r="G796" s="275"/>
      <c r="H796" s="276"/>
      <c r="I796" s="217"/>
      <c r="J796" s="217"/>
      <c r="K796" s="221"/>
      <c r="L796" s="217"/>
      <c r="M796" s="217"/>
      <c r="N796" s="217"/>
      <c r="O796" s="217"/>
      <c r="P796" s="217"/>
    </row>
    <row r="797" spans="3:16" ht="42" customHeight="1">
      <c r="C797" s="272">
        <v>795</v>
      </c>
      <c r="D797" s="275"/>
      <c r="E797" s="276"/>
      <c r="F797" s="221"/>
      <c r="G797" s="275"/>
      <c r="H797" s="276"/>
      <c r="I797" s="217"/>
      <c r="J797" s="217"/>
      <c r="K797" s="221"/>
      <c r="L797" s="217"/>
      <c r="M797" s="217"/>
      <c r="N797" s="217"/>
      <c r="O797" s="217"/>
      <c r="P797" s="217"/>
    </row>
    <row r="798" spans="3:16" ht="42" customHeight="1">
      <c r="C798" s="272">
        <v>796</v>
      </c>
      <c r="D798" s="275"/>
      <c r="E798" s="276"/>
      <c r="F798" s="221"/>
      <c r="G798" s="275"/>
      <c r="H798" s="276"/>
      <c r="I798" s="217"/>
      <c r="J798" s="217"/>
      <c r="K798" s="221"/>
      <c r="L798" s="217"/>
      <c r="M798" s="217"/>
      <c r="N798" s="217"/>
      <c r="O798" s="217"/>
      <c r="P798" s="217"/>
    </row>
    <row r="799" spans="3:16" ht="42" customHeight="1">
      <c r="C799" s="272">
        <v>797</v>
      </c>
      <c r="D799" s="275"/>
      <c r="E799" s="276"/>
      <c r="F799" s="221"/>
      <c r="G799" s="275"/>
      <c r="H799" s="276"/>
      <c r="I799" s="217"/>
      <c r="J799" s="217"/>
      <c r="K799" s="221"/>
      <c r="L799" s="217"/>
      <c r="M799" s="217"/>
      <c r="N799" s="217"/>
      <c r="O799" s="217"/>
      <c r="P799" s="217"/>
    </row>
    <row r="800" spans="3:16" ht="42" customHeight="1">
      <c r="C800" s="272">
        <v>798</v>
      </c>
      <c r="D800" s="275"/>
      <c r="E800" s="276"/>
      <c r="F800" s="221"/>
      <c r="G800" s="275"/>
      <c r="H800" s="276"/>
      <c r="I800" s="217"/>
      <c r="J800" s="217"/>
      <c r="K800" s="221"/>
      <c r="L800" s="217"/>
      <c r="M800" s="217"/>
      <c r="N800" s="217"/>
      <c r="O800" s="217"/>
      <c r="P800" s="217"/>
    </row>
    <row r="801" spans="3:16" ht="42" customHeight="1">
      <c r="C801" s="272">
        <v>799</v>
      </c>
      <c r="D801" s="275"/>
      <c r="E801" s="276"/>
      <c r="F801" s="221"/>
      <c r="G801" s="275"/>
      <c r="H801" s="276"/>
      <c r="I801" s="217"/>
      <c r="J801" s="217"/>
      <c r="K801" s="221"/>
      <c r="L801" s="217"/>
      <c r="M801" s="217"/>
      <c r="N801" s="217"/>
      <c r="O801" s="217"/>
      <c r="P801" s="217"/>
    </row>
    <row r="802" spans="3:16" ht="42" customHeight="1">
      <c r="C802" s="272">
        <v>800</v>
      </c>
      <c r="D802" s="275"/>
      <c r="E802" s="276"/>
      <c r="F802" s="221"/>
      <c r="G802" s="275"/>
      <c r="H802" s="276"/>
      <c r="I802" s="217"/>
      <c r="J802" s="217"/>
      <c r="K802" s="221"/>
      <c r="L802" s="217"/>
      <c r="M802" s="217"/>
      <c r="N802" s="217"/>
      <c r="O802" s="217"/>
      <c r="P802" s="217"/>
    </row>
    <row r="803" spans="3:16" ht="42" customHeight="1">
      <c r="C803" s="272">
        <v>801</v>
      </c>
      <c r="D803" s="275"/>
      <c r="E803" s="276"/>
      <c r="F803" s="221"/>
      <c r="G803" s="275"/>
      <c r="H803" s="276"/>
      <c r="I803" s="217"/>
      <c r="J803" s="217"/>
      <c r="K803" s="221"/>
      <c r="L803" s="217"/>
      <c r="M803" s="217"/>
      <c r="N803" s="217"/>
      <c r="O803" s="217"/>
      <c r="P803" s="217"/>
    </row>
    <row r="804" spans="3:16" ht="42" customHeight="1">
      <c r="C804" s="272">
        <v>802</v>
      </c>
      <c r="D804" s="275"/>
      <c r="E804" s="276"/>
      <c r="F804" s="221"/>
      <c r="G804" s="275"/>
      <c r="H804" s="276"/>
      <c r="I804" s="217"/>
      <c r="J804" s="217"/>
      <c r="K804" s="221"/>
      <c r="L804" s="217"/>
      <c r="M804" s="217"/>
      <c r="N804" s="217"/>
      <c r="O804" s="217"/>
      <c r="P804" s="217"/>
    </row>
    <row r="805" spans="3:16" ht="42" customHeight="1">
      <c r="C805" s="272">
        <v>803</v>
      </c>
      <c r="D805" s="275"/>
      <c r="E805" s="276"/>
      <c r="F805" s="221"/>
      <c r="G805" s="275"/>
      <c r="H805" s="276"/>
      <c r="I805" s="217"/>
      <c r="J805" s="217"/>
      <c r="K805" s="221"/>
      <c r="L805" s="217"/>
      <c r="M805" s="217"/>
      <c r="N805" s="217"/>
      <c r="O805" s="217"/>
      <c r="P805" s="217"/>
    </row>
    <row r="806" spans="3:16" ht="42" customHeight="1">
      <c r="C806" s="272">
        <v>804</v>
      </c>
      <c r="D806" s="275"/>
      <c r="E806" s="276"/>
      <c r="F806" s="221"/>
      <c r="G806" s="275"/>
      <c r="H806" s="276"/>
      <c r="I806" s="217"/>
      <c r="J806" s="217"/>
      <c r="K806" s="221"/>
      <c r="L806" s="217"/>
      <c r="M806" s="217"/>
      <c r="N806" s="217"/>
      <c r="O806" s="217"/>
      <c r="P806" s="217"/>
    </row>
    <row r="807" spans="3:16" ht="42" customHeight="1">
      <c r="C807" s="272">
        <v>805</v>
      </c>
      <c r="D807" s="275"/>
      <c r="E807" s="276"/>
      <c r="F807" s="221"/>
      <c r="G807" s="275"/>
      <c r="H807" s="276"/>
      <c r="I807" s="217"/>
      <c r="J807" s="217"/>
      <c r="K807" s="221"/>
      <c r="L807" s="217"/>
      <c r="M807" s="217"/>
      <c r="N807" s="217"/>
      <c r="O807" s="217"/>
      <c r="P807" s="217"/>
    </row>
    <row r="808" spans="3:16" ht="42" customHeight="1">
      <c r="C808" s="272">
        <v>806</v>
      </c>
      <c r="D808" s="275"/>
      <c r="E808" s="276"/>
      <c r="F808" s="221"/>
      <c r="G808" s="275"/>
      <c r="H808" s="276"/>
      <c r="I808" s="217"/>
      <c r="J808" s="217"/>
      <c r="K808" s="221"/>
      <c r="L808" s="217"/>
      <c r="M808" s="217"/>
      <c r="N808" s="217"/>
      <c r="O808" s="217"/>
      <c r="P808" s="217"/>
    </row>
    <row r="809" spans="3:16" ht="42" customHeight="1">
      <c r="C809" s="272">
        <v>807</v>
      </c>
      <c r="D809" s="275"/>
      <c r="E809" s="276"/>
      <c r="F809" s="221"/>
      <c r="G809" s="275"/>
      <c r="H809" s="276"/>
      <c r="I809" s="217"/>
      <c r="J809" s="217"/>
      <c r="K809" s="221"/>
      <c r="L809" s="217"/>
      <c r="M809" s="217"/>
      <c r="N809" s="217"/>
      <c r="O809" s="217"/>
      <c r="P809" s="217"/>
    </row>
    <row r="810" spans="3:16" ht="42" customHeight="1">
      <c r="C810" s="272">
        <v>808</v>
      </c>
      <c r="D810" s="275"/>
      <c r="E810" s="276"/>
      <c r="F810" s="221"/>
      <c r="G810" s="275"/>
      <c r="H810" s="276"/>
      <c r="I810" s="217"/>
      <c r="J810" s="217"/>
      <c r="K810" s="221"/>
      <c r="L810" s="217"/>
      <c r="M810" s="217"/>
      <c r="N810" s="217"/>
      <c r="O810" s="217"/>
      <c r="P810" s="217"/>
    </row>
    <row r="811" spans="3:16" ht="42" customHeight="1">
      <c r="C811" s="272">
        <v>809</v>
      </c>
      <c r="D811" s="275"/>
      <c r="E811" s="276"/>
      <c r="F811" s="221"/>
      <c r="G811" s="275"/>
      <c r="H811" s="276"/>
      <c r="I811" s="217"/>
      <c r="J811" s="217"/>
      <c r="K811" s="221"/>
      <c r="L811" s="217"/>
      <c r="M811" s="217"/>
      <c r="N811" s="217"/>
      <c r="O811" s="217"/>
      <c r="P811" s="217"/>
    </row>
    <row r="812" spans="3:16" ht="42" customHeight="1">
      <c r="C812" s="272">
        <v>810</v>
      </c>
      <c r="D812" s="275"/>
      <c r="E812" s="276"/>
      <c r="F812" s="221"/>
      <c r="G812" s="275"/>
      <c r="H812" s="276"/>
      <c r="I812" s="217"/>
      <c r="J812" s="217"/>
      <c r="K812" s="221"/>
      <c r="L812" s="217"/>
      <c r="M812" s="217"/>
      <c r="N812" s="217"/>
      <c r="O812" s="217"/>
      <c r="P812" s="217"/>
    </row>
    <row r="813" spans="3:16" ht="42" customHeight="1">
      <c r="C813" s="272">
        <v>811</v>
      </c>
      <c r="D813" s="275"/>
      <c r="E813" s="276"/>
      <c r="F813" s="221"/>
      <c r="G813" s="275"/>
      <c r="H813" s="276"/>
      <c r="I813" s="217"/>
      <c r="J813" s="217"/>
      <c r="K813" s="221"/>
      <c r="L813" s="217"/>
      <c r="M813" s="217"/>
      <c r="N813" s="217"/>
      <c r="O813" s="217"/>
      <c r="P813" s="217"/>
    </row>
    <row r="814" spans="3:16" ht="42" customHeight="1">
      <c r="C814" s="272">
        <v>812</v>
      </c>
      <c r="D814" s="275"/>
      <c r="E814" s="276"/>
      <c r="F814" s="221"/>
      <c r="G814" s="275"/>
      <c r="H814" s="276"/>
      <c r="I814" s="217"/>
      <c r="J814" s="217"/>
      <c r="K814" s="221"/>
      <c r="L814" s="217"/>
      <c r="M814" s="217"/>
      <c r="N814" s="217"/>
      <c r="O814" s="217"/>
      <c r="P814" s="217"/>
    </row>
    <row r="815" spans="3:16" ht="42" customHeight="1">
      <c r="C815" s="272">
        <v>813</v>
      </c>
      <c r="D815" s="275"/>
      <c r="E815" s="276"/>
      <c r="F815" s="221"/>
      <c r="G815" s="275"/>
      <c r="H815" s="276"/>
      <c r="I815" s="217"/>
      <c r="J815" s="217"/>
      <c r="K815" s="221"/>
      <c r="L815" s="217"/>
      <c r="M815" s="217"/>
      <c r="N815" s="217"/>
      <c r="O815" s="217"/>
      <c r="P815" s="217"/>
    </row>
    <row r="816" spans="3:16" ht="42" customHeight="1">
      <c r="C816" s="272">
        <v>814</v>
      </c>
      <c r="D816" s="275"/>
      <c r="E816" s="276"/>
      <c r="F816" s="221"/>
      <c r="G816" s="275"/>
      <c r="H816" s="276"/>
      <c r="I816" s="217"/>
      <c r="J816" s="217"/>
      <c r="K816" s="221"/>
      <c r="L816" s="217"/>
      <c r="M816" s="217"/>
      <c r="N816" s="217"/>
      <c r="O816" s="217"/>
      <c r="P816" s="217"/>
    </row>
    <row r="817" spans="3:16" ht="42" customHeight="1">
      <c r="C817" s="272">
        <v>815</v>
      </c>
      <c r="D817" s="275"/>
      <c r="E817" s="276"/>
      <c r="F817" s="221"/>
      <c r="G817" s="275"/>
      <c r="H817" s="276"/>
      <c r="I817" s="217"/>
      <c r="J817" s="217"/>
      <c r="K817" s="221"/>
      <c r="L817" s="217"/>
      <c r="M817" s="217"/>
      <c r="N817" s="217"/>
      <c r="O817" s="217"/>
      <c r="P817" s="217"/>
    </row>
    <row r="818" spans="3:16" ht="42" customHeight="1">
      <c r="C818" s="272">
        <v>816</v>
      </c>
      <c r="D818" s="275"/>
      <c r="E818" s="276"/>
      <c r="F818" s="221"/>
      <c r="G818" s="275"/>
      <c r="H818" s="276"/>
      <c r="I818" s="217"/>
      <c r="J818" s="217"/>
      <c r="K818" s="221"/>
      <c r="L818" s="217"/>
      <c r="M818" s="217"/>
      <c r="N818" s="217"/>
      <c r="O818" s="217"/>
      <c r="P818" s="217"/>
    </row>
    <row r="819" spans="3:16" ht="42" customHeight="1">
      <c r="C819" s="272">
        <v>817</v>
      </c>
      <c r="D819" s="275"/>
      <c r="E819" s="276"/>
      <c r="F819" s="221"/>
      <c r="G819" s="275"/>
      <c r="H819" s="276"/>
      <c r="I819" s="217"/>
      <c r="J819" s="217"/>
      <c r="K819" s="221"/>
      <c r="L819" s="217"/>
      <c r="M819" s="217"/>
      <c r="N819" s="217"/>
      <c r="O819" s="217"/>
      <c r="P819" s="217"/>
    </row>
    <row r="820" spans="3:16" ht="42" customHeight="1">
      <c r="C820" s="272">
        <v>818</v>
      </c>
      <c r="D820" s="275"/>
      <c r="E820" s="276"/>
      <c r="F820" s="221"/>
      <c r="G820" s="275"/>
      <c r="H820" s="276"/>
      <c r="I820" s="217"/>
      <c r="J820" s="217"/>
      <c r="K820" s="221"/>
      <c r="L820" s="217"/>
      <c r="M820" s="217"/>
      <c r="N820" s="217"/>
      <c r="O820" s="217"/>
      <c r="P820" s="217"/>
    </row>
    <row r="821" spans="3:16" ht="42" customHeight="1">
      <c r="C821" s="272">
        <v>819</v>
      </c>
      <c r="D821" s="275"/>
      <c r="E821" s="276"/>
      <c r="F821" s="221"/>
      <c r="G821" s="275"/>
      <c r="H821" s="276"/>
      <c r="I821" s="217"/>
      <c r="J821" s="217"/>
      <c r="K821" s="221"/>
      <c r="L821" s="217"/>
      <c r="M821" s="217"/>
      <c r="N821" s="217"/>
      <c r="O821" s="217"/>
      <c r="P821" s="217"/>
    </row>
    <row r="822" spans="3:16" ht="42" customHeight="1">
      <c r="C822" s="272">
        <v>820</v>
      </c>
      <c r="D822" s="275"/>
      <c r="E822" s="276"/>
      <c r="F822" s="221"/>
      <c r="G822" s="275"/>
      <c r="H822" s="276"/>
      <c r="I822" s="217"/>
      <c r="J822" s="217"/>
      <c r="K822" s="221"/>
      <c r="L822" s="217"/>
      <c r="M822" s="217"/>
      <c r="N822" s="217"/>
      <c r="O822" s="217"/>
      <c r="P822" s="217"/>
    </row>
    <row r="823" spans="3:16" ht="42" customHeight="1">
      <c r="C823" s="272">
        <v>821</v>
      </c>
      <c r="D823" s="275"/>
      <c r="E823" s="276"/>
      <c r="F823" s="221"/>
      <c r="G823" s="275"/>
      <c r="H823" s="276"/>
      <c r="I823" s="217"/>
      <c r="J823" s="217"/>
      <c r="K823" s="221"/>
      <c r="L823" s="217"/>
      <c r="M823" s="217"/>
      <c r="N823" s="217"/>
      <c r="O823" s="217"/>
      <c r="P823" s="217"/>
    </row>
    <row r="824" spans="3:16" ht="42" customHeight="1">
      <c r="C824" s="272">
        <v>822</v>
      </c>
      <c r="D824" s="275"/>
      <c r="E824" s="276"/>
      <c r="F824" s="221"/>
      <c r="G824" s="275"/>
      <c r="H824" s="276"/>
      <c r="I824" s="217"/>
      <c r="J824" s="217"/>
      <c r="K824" s="221"/>
      <c r="L824" s="217"/>
      <c r="M824" s="217"/>
      <c r="N824" s="217"/>
      <c r="O824" s="217"/>
      <c r="P824" s="217"/>
    </row>
    <row r="825" spans="3:16" ht="42" customHeight="1">
      <c r="C825" s="272">
        <v>823</v>
      </c>
      <c r="D825" s="275"/>
      <c r="E825" s="276"/>
      <c r="F825" s="221"/>
      <c r="G825" s="275"/>
      <c r="H825" s="276"/>
      <c r="I825" s="217"/>
      <c r="J825" s="217"/>
      <c r="K825" s="221"/>
      <c r="L825" s="217"/>
      <c r="M825" s="217"/>
      <c r="N825" s="217"/>
      <c r="O825" s="217"/>
      <c r="P825" s="217"/>
    </row>
    <row r="826" spans="3:16" ht="42" customHeight="1">
      <c r="C826" s="272">
        <v>824</v>
      </c>
      <c r="D826" s="275"/>
      <c r="E826" s="276"/>
      <c r="F826" s="221"/>
      <c r="G826" s="275"/>
      <c r="H826" s="276"/>
      <c r="I826" s="217"/>
      <c r="J826" s="217"/>
      <c r="K826" s="221"/>
      <c r="L826" s="217"/>
      <c r="M826" s="217"/>
      <c r="N826" s="217"/>
      <c r="O826" s="217"/>
      <c r="P826" s="217"/>
    </row>
    <row r="827" spans="3:16" ht="42" customHeight="1">
      <c r="C827" s="272">
        <v>825</v>
      </c>
      <c r="D827" s="275"/>
      <c r="E827" s="276"/>
      <c r="F827" s="221"/>
      <c r="G827" s="275"/>
      <c r="H827" s="276"/>
      <c r="I827" s="217"/>
      <c r="J827" s="217"/>
      <c r="K827" s="221"/>
      <c r="L827" s="217"/>
      <c r="M827" s="217"/>
      <c r="N827" s="217"/>
      <c r="O827" s="217"/>
      <c r="P827" s="217"/>
    </row>
    <row r="828" spans="3:16" ht="42" customHeight="1">
      <c r="C828" s="272">
        <v>826</v>
      </c>
      <c r="D828" s="275"/>
      <c r="E828" s="276"/>
      <c r="F828" s="221"/>
      <c r="G828" s="275"/>
      <c r="H828" s="276"/>
      <c r="I828" s="217"/>
      <c r="J828" s="217"/>
      <c r="K828" s="221"/>
      <c r="L828" s="217"/>
      <c r="M828" s="217"/>
      <c r="N828" s="217"/>
      <c r="O828" s="217"/>
      <c r="P828" s="217"/>
    </row>
    <row r="829" spans="3:16" ht="42" customHeight="1">
      <c r="C829" s="272">
        <v>827</v>
      </c>
      <c r="D829" s="275"/>
      <c r="E829" s="276"/>
      <c r="F829" s="221"/>
      <c r="G829" s="275"/>
      <c r="H829" s="276"/>
      <c r="I829" s="217"/>
      <c r="J829" s="217"/>
      <c r="K829" s="221"/>
      <c r="L829" s="217"/>
      <c r="M829" s="217"/>
      <c r="N829" s="217"/>
      <c r="O829" s="217"/>
      <c r="P829" s="217"/>
    </row>
    <row r="830" spans="3:16" ht="42" customHeight="1">
      <c r="C830" s="272">
        <v>828</v>
      </c>
      <c r="D830" s="275"/>
      <c r="E830" s="276"/>
      <c r="F830" s="221"/>
      <c r="G830" s="275"/>
      <c r="H830" s="276"/>
      <c r="I830" s="217"/>
      <c r="J830" s="217"/>
      <c r="K830" s="221"/>
      <c r="L830" s="217"/>
      <c r="M830" s="217"/>
      <c r="N830" s="217"/>
      <c r="O830" s="217"/>
      <c r="P830" s="217"/>
    </row>
    <row r="831" spans="3:16" ht="42" customHeight="1">
      <c r="C831" s="272">
        <v>829</v>
      </c>
      <c r="D831" s="275"/>
      <c r="E831" s="276"/>
      <c r="F831" s="221"/>
      <c r="G831" s="275"/>
      <c r="H831" s="276"/>
      <c r="I831" s="217"/>
      <c r="J831" s="217"/>
      <c r="K831" s="221"/>
      <c r="L831" s="217"/>
      <c r="M831" s="217"/>
      <c r="N831" s="217"/>
      <c r="O831" s="217"/>
      <c r="P831" s="217"/>
    </row>
    <row r="832" spans="3:16" ht="42" customHeight="1">
      <c r="C832" s="272">
        <v>830</v>
      </c>
      <c r="D832" s="275"/>
      <c r="E832" s="276"/>
      <c r="F832" s="221"/>
      <c r="G832" s="275"/>
      <c r="H832" s="276"/>
      <c r="I832" s="217"/>
      <c r="J832" s="217"/>
      <c r="K832" s="221"/>
      <c r="L832" s="217"/>
      <c r="M832" s="217"/>
      <c r="N832" s="217"/>
      <c r="O832" s="217"/>
      <c r="P832" s="217"/>
    </row>
    <row r="833" spans="3:16" ht="42" customHeight="1">
      <c r="C833" s="272">
        <v>831</v>
      </c>
      <c r="D833" s="275"/>
      <c r="E833" s="276"/>
      <c r="F833" s="221"/>
      <c r="G833" s="275"/>
      <c r="H833" s="276"/>
      <c r="I833" s="217"/>
      <c r="J833" s="217"/>
      <c r="K833" s="221"/>
      <c r="L833" s="217"/>
      <c r="M833" s="217"/>
      <c r="N833" s="217"/>
      <c r="O833" s="217"/>
      <c r="P833" s="217"/>
    </row>
    <row r="834" spans="3:16" ht="42" customHeight="1">
      <c r="C834" s="272">
        <v>832</v>
      </c>
      <c r="D834" s="275"/>
      <c r="E834" s="276"/>
      <c r="F834" s="221"/>
      <c r="G834" s="275"/>
      <c r="H834" s="276"/>
      <c r="I834" s="217"/>
      <c r="J834" s="217"/>
      <c r="K834" s="221"/>
      <c r="L834" s="217"/>
      <c r="M834" s="217"/>
      <c r="N834" s="217"/>
      <c r="O834" s="217"/>
      <c r="P834" s="217"/>
    </row>
    <row r="835" spans="3:16" ht="42" customHeight="1">
      <c r="C835" s="272">
        <v>833</v>
      </c>
      <c r="D835" s="275"/>
      <c r="E835" s="276"/>
      <c r="F835" s="221"/>
      <c r="G835" s="275"/>
      <c r="H835" s="276"/>
      <c r="I835" s="217"/>
      <c r="J835" s="217"/>
      <c r="K835" s="221"/>
      <c r="L835" s="217"/>
      <c r="M835" s="217"/>
      <c r="N835" s="217"/>
      <c r="O835" s="217"/>
      <c r="P835" s="217"/>
    </row>
    <row r="836" spans="3:16" ht="42" customHeight="1">
      <c r="C836" s="272">
        <v>834</v>
      </c>
      <c r="D836" s="275"/>
      <c r="E836" s="276"/>
      <c r="F836" s="221"/>
      <c r="G836" s="275"/>
      <c r="H836" s="276"/>
      <c r="I836" s="217"/>
      <c r="J836" s="217"/>
      <c r="K836" s="221"/>
      <c r="L836" s="217"/>
      <c r="M836" s="217"/>
      <c r="N836" s="217"/>
      <c r="O836" s="217"/>
      <c r="P836" s="217"/>
    </row>
    <row r="837" spans="3:16" ht="42" customHeight="1">
      <c r="C837" s="272">
        <v>835</v>
      </c>
      <c r="D837" s="275"/>
      <c r="E837" s="276"/>
      <c r="F837" s="221"/>
      <c r="G837" s="275"/>
      <c r="H837" s="276"/>
      <c r="I837" s="217"/>
      <c r="J837" s="217"/>
      <c r="K837" s="221"/>
      <c r="L837" s="217"/>
      <c r="M837" s="217"/>
      <c r="N837" s="217"/>
      <c r="O837" s="217"/>
      <c r="P837" s="217"/>
    </row>
    <row r="838" spans="3:16" ht="42" customHeight="1">
      <c r="C838" s="272">
        <v>836</v>
      </c>
      <c r="D838" s="275"/>
      <c r="E838" s="276"/>
      <c r="F838" s="221"/>
      <c r="G838" s="275"/>
      <c r="H838" s="276"/>
      <c r="I838" s="217"/>
      <c r="J838" s="217"/>
      <c r="K838" s="221"/>
      <c r="L838" s="217"/>
      <c r="M838" s="217"/>
      <c r="N838" s="217"/>
      <c r="O838" s="217"/>
      <c r="P838" s="217"/>
    </row>
    <row r="839" spans="3:16" ht="42" customHeight="1">
      <c r="C839" s="272">
        <v>837</v>
      </c>
      <c r="D839" s="275"/>
      <c r="E839" s="276"/>
      <c r="F839" s="221"/>
      <c r="G839" s="275"/>
      <c r="H839" s="276"/>
      <c r="I839" s="217"/>
      <c r="J839" s="217"/>
      <c r="K839" s="221"/>
      <c r="L839" s="217"/>
      <c r="M839" s="217"/>
      <c r="N839" s="217"/>
      <c r="O839" s="217"/>
      <c r="P839" s="217"/>
    </row>
    <row r="840" spans="3:16" ht="42" customHeight="1">
      <c r="C840" s="272">
        <v>838</v>
      </c>
      <c r="D840" s="275"/>
      <c r="E840" s="276"/>
      <c r="F840" s="221"/>
      <c r="G840" s="275"/>
      <c r="H840" s="276"/>
      <c r="I840" s="217"/>
      <c r="J840" s="217"/>
      <c r="K840" s="221"/>
      <c r="L840" s="217"/>
      <c r="M840" s="217"/>
      <c r="N840" s="217"/>
      <c r="O840" s="217"/>
      <c r="P840" s="217"/>
    </row>
    <row r="841" spans="3:16" ht="42" customHeight="1">
      <c r="C841" s="272">
        <v>839</v>
      </c>
      <c r="D841" s="275"/>
      <c r="E841" s="276"/>
      <c r="F841" s="221"/>
      <c r="G841" s="275"/>
      <c r="H841" s="276"/>
      <c r="I841" s="217"/>
      <c r="J841" s="217"/>
      <c r="K841" s="221"/>
      <c r="L841" s="217"/>
      <c r="M841" s="217"/>
      <c r="N841" s="217"/>
      <c r="O841" s="217"/>
      <c r="P841" s="217"/>
    </row>
    <row r="842" spans="3:16" ht="42" customHeight="1">
      <c r="C842" s="272">
        <v>840</v>
      </c>
      <c r="D842" s="275"/>
      <c r="E842" s="276"/>
      <c r="F842" s="221"/>
      <c r="G842" s="275"/>
      <c r="H842" s="276"/>
      <c r="I842" s="217"/>
      <c r="J842" s="217"/>
      <c r="K842" s="221"/>
      <c r="L842" s="217"/>
      <c r="M842" s="217"/>
      <c r="N842" s="217"/>
      <c r="O842" s="217"/>
      <c r="P842" s="217"/>
    </row>
    <row r="843" spans="3:16" ht="42" customHeight="1">
      <c r="C843" s="272">
        <v>841</v>
      </c>
      <c r="D843" s="275"/>
      <c r="E843" s="276"/>
      <c r="F843" s="221"/>
      <c r="G843" s="275"/>
      <c r="H843" s="276"/>
      <c r="I843" s="217"/>
      <c r="J843" s="217"/>
      <c r="K843" s="221"/>
      <c r="L843" s="217"/>
      <c r="M843" s="217"/>
      <c r="N843" s="217"/>
      <c r="O843" s="217"/>
      <c r="P843" s="217"/>
    </row>
    <row r="844" spans="3:16" ht="42" customHeight="1">
      <c r="C844" s="272">
        <v>842</v>
      </c>
      <c r="D844" s="275"/>
      <c r="E844" s="276"/>
      <c r="F844" s="221"/>
      <c r="G844" s="275"/>
      <c r="H844" s="276"/>
      <c r="I844" s="217"/>
      <c r="J844" s="217"/>
      <c r="K844" s="221"/>
      <c r="L844" s="217"/>
      <c r="M844" s="217"/>
      <c r="N844" s="217"/>
      <c r="O844" s="217"/>
      <c r="P844" s="217"/>
    </row>
    <row r="845" spans="3:16" ht="42" customHeight="1">
      <c r="C845" s="272">
        <v>843</v>
      </c>
      <c r="D845" s="275"/>
      <c r="E845" s="276"/>
      <c r="F845" s="221"/>
      <c r="G845" s="275"/>
      <c r="H845" s="276"/>
      <c r="I845" s="217"/>
      <c r="J845" s="217"/>
      <c r="K845" s="221"/>
      <c r="L845" s="217"/>
      <c r="M845" s="217"/>
      <c r="N845" s="217"/>
      <c r="O845" s="217"/>
      <c r="P845" s="217"/>
    </row>
    <row r="846" spans="3:16" ht="42" customHeight="1">
      <c r="C846" s="272">
        <v>844</v>
      </c>
      <c r="D846" s="275"/>
      <c r="E846" s="276"/>
      <c r="F846" s="221"/>
      <c r="G846" s="275"/>
      <c r="H846" s="276"/>
      <c r="I846" s="217"/>
      <c r="J846" s="217"/>
      <c r="K846" s="221"/>
      <c r="L846" s="217"/>
      <c r="M846" s="217"/>
      <c r="N846" s="217"/>
      <c r="O846" s="217"/>
      <c r="P846" s="217"/>
    </row>
    <row r="847" spans="3:16" ht="42" customHeight="1">
      <c r="C847" s="272">
        <v>845</v>
      </c>
      <c r="D847" s="275"/>
      <c r="E847" s="276"/>
      <c r="F847" s="221"/>
      <c r="G847" s="275"/>
      <c r="H847" s="276"/>
      <c r="I847" s="217"/>
      <c r="J847" s="217"/>
      <c r="K847" s="221"/>
      <c r="L847" s="217"/>
      <c r="M847" s="217"/>
      <c r="N847" s="217"/>
      <c r="O847" s="217"/>
      <c r="P847" s="217"/>
    </row>
    <row r="848" spans="3:16" ht="42" customHeight="1">
      <c r="C848" s="272">
        <v>846</v>
      </c>
      <c r="D848" s="275"/>
      <c r="E848" s="276"/>
      <c r="F848" s="221"/>
      <c r="G848" s="275"/>
      <c r="H848" s="276"/>
      <c r="I848" s="217"/>
      <c r="J848" s="217"/>
      <c r="K848" s="221"/>
      <c r="L848" s="217"/>
      <c r="M848" s="217"/>
      <c r="N848" s="217"/>
      <c r="O848" s="217"/>
      <c r="P848" s="217"/>
    </row>
    <row r="849" spans="3:16" ht="42" customHeight="1">
      <c r="C849" s="272">
        <v>847</v>
      </c>
      <c r="D849" s="275"/>
      <c r="E849" s="276"/>
      <c r="F849" s="221"/>
      <c r="G849" s="275"/>
      <c r="H849" s="276"/>
      <c r="I849" s="217"/>
      <c r="J849" s="217"/>
      <c r="K849" s="221"/>
      <c r="L849" s="217"/>
      <c r="M849" s="217"/>
      <c r="N849" s="217"/>
      <c r="O849" s="217"/>
      <c r="P849" s="217"/>
    </row>
    <row r="850" spans="3:16" ht="42" customHeight="1">
      <c r="C850" s="272">
        <v>848</v>
      </c>
      <c r="D850" s="275"/>
      <c r="E850" s="276"/>
      <c r="F850" s="221"/>
      <c r="G850" s="275"/>
      <c r="H850" s="276"/>
      <c r="I850" s="217"/>
      <c r="J850" s="217"/>
      <c r="K850" s="221"/>
      <c r="L850" s="217"/>
      <c r="M850" s="217"/>
      <c r="N850" s="217"/>
      <c r="O850" s="217"/>
      <c r="P850" s="217"/>
    </row>
    <row r="851" spans="3:16" ht="42" customHeight="1">
      <c r="C851" s="272">
        <v>849</v>
      </c>
      <c r="D851" s="275"/>
      <c r="E851" s="276"/>
      <c r="F851" s="221"/>
      <c r="G851" s="275"/>
      <c r="H851" s="276"/>
      <c r="I851" s="217"/>
      <c r="J851" s="217"/>
      <c r="K851" s="221"/>
      <c r="L851" s="217"/>
      <c r="M851" s="217"/>
      <c r="N851" s="217"/>
      <c r="O851" s="217"/>
      <c r="P851" s="217"/>
    </row>
    <row r="852" spans="3:16" ht="42" customHeight="1">
      <c r="C852" s="272">
        <v>850</v>
      </c>
      <c r="D852" s="275"/>
      <c r="E852" s="276"/>
      <c r="F852" s="221"/>
      <c r="G852" s="275"/>
      <c r="H852" s="276"/>
      <c r="I852" s="217"/>
      <c r="J852" s="217"/>
      <c r="K852" s="221"/>
      <c r="L852" s="217"/>
      <c r="M852" s="217"/>
      <c r="N852" s="217"/>
      <c r="O852" s="217"/>
      <c r="P852" s="217"/>
    </row>
    <row r="853" spans="3:16" ht="42" customHeight="1">
      <c r="C853" s="272">
        <v>851</v>
      </c>
      <c r="D853" s="275"/>
      <c r="E853" s="276"/>
      <c r="F853" s="221"/>
      <c r="G853" s="275"/>
      <c r="H853" s="276"/>
      <c r="I853" s="217"/>
      <c r="J853" s="217"/>
      <c r="K853" s="221"/>
      <c r="L853" s="217"/>
      <c r="M853" s="217"/>
      <c r="N853" s="217"/>
      <c r="O853" s="217"/>
      <c r="P853" s="217"/>
    </row>
    <row r="854" spans="3:16" ht="42" customHeight="1">
      <c r="C854" s="272">
        <v>852</v>
      </c>
      <c r="D854" s="275"/>
      <c r="E854" s="276"/>
      <c r="F854" s="221"/>
      <c r="G854" s="275"/>
      <c r="H854" s="276"/>
      <c r="I854" s="217"/>
      <c r="J854" s="217"/>
      <c r="K854" s="221"/>
      <c r="L854" s="217"/>
      <c r="M854" s="217"/>
      <c r="N854" s="217"/>
      <c r="O854" s="217"/>
      <c r="P854" s="217"/>
    </row>
    <row r="855" spans="3:16" ht="42" customHeight="1">
      <c r="C855" s="272">
        <v>853</v>
      </c>
      <c r="D855" s="275"/>
      <c r="E855" s="276"/>
      <c r="F855" s="221"/>
      <c r="G855" s="275"/>
      <c r="H855" s="276"/>
      <c r="I855" s="217"/>
      <c r="J855" s="217"/>
      <c r="K855" s="221"/>
      <c r="L855" s="217"/>
      <c r="M855" s="217"/>
      <c r="N855" s="217"/>
      <c r="O855" s="217"/>
      <c r="P855" s="217"/>
    </row>
    <row r="856" spans="3:16" ht="42" customHeight="1">
      <c r="C856" s="272">
        <v>854</v>
      </c>
      <c r="D856" s="275"/>
      <c r="E856" s="276"/>
      <c r="F856" s="221"/>
      <c r="G856" s="275"/>
      <c r="H856" s="276"/>
      <c r="I856" s="217"/>
      <c r="J856" s="217"/>
      <c r="K856" s="221"/>
      <c r="L856" s="217"/>
      <c r="M856" s="217"/>
      <c r="N856" s="217"/>
      <c r="O856" s="217"/>
      <c r="P856" s="217"/>
    </row>
    <row r="857" spans="3:16" ht="42" customHeight="1">
      <c r="C857" s="272">
        <v>855</v>
      </c>
      <c r="D857" s="275"/>
      <c r="E857" s="276"/>
      <c r="F857" s="221"/>
      <c r="G857" s="275"/>
      <c r="H857" s="276"/>
      <c r="I857" s="217"/>
      <c r="J857" s="217"/>
      <c r="K857" s="221"/>
      <c r="L857" s="217"/>
      <c r="M857" s="217"/>
      <c r="N857" s="217"/>
      <c r="O857" s="217"/>
      <c r="P857" s="217"/>
    </row>
    <row r="858" spans="3:16" ht="42" customHeight="1">
      <c r="C858" s="272">
        <v>856</v>
      </c>
      <c r="D858" s="275"/>
      <c r="E858" s="276"/>
      <c r="F858" s="221"/>
      <c r="G858" s="275"/>
      <c r="H858" s="276"/>
      <c r="I858" s="217"/>
      <c r="J858" s="217"/>
      <c r="K858" s="221"/>
      <c r="L858" s="217"/>
      <c r="M858" s="217"/>
      <c r="N858" s="217"/>
      <c r="O858" s="217"/>
      <c r="P858" s="217"/>
    </row>
    <row r="859" spans="3:16" ht="42" customHeight="1">
      <c r="C859" s="272">
        <v>857</v>
      </c>
      <c r="D859" s="275"/>
      <c r="E859" s="276"/>
      <c r="F859" s="221"/>
      <c r="G859" s="275"/>
      <c r="H859" s="276"/>
      <c r="I859" s="217"/>
      <c r="J859" s="217"/>
      <c r="K859" s="221"/>
      <c r="L859" s="217"/>
      <c r="M859" s="217"/>
      <c r="N859" s="217"/>
      <c r="O859" s="217"/>
      <c r="P859" s="217"/>
    </row>
    <row r="860" spans="3:16" ht="42" customHeight="1">
      <c r="C860" s="272">
        <v>858</v>
      </c>
      <c r="D860" s="275"/>
      <c r="E860" s="276"/>
      <c r="F860" s="221"/>
      <c r="G860" s="275"/>
      <c r="H860" s="276"/>
      <c r="I860" s="217"/>
      <c r="J860" s="217"/>
      <c r="K860" s="221"/>
      <c r="L860" s="217"/>
      <c r="M860" s="217"/>
      <c r="N860" s="217"/>
      <c r="O860" s="217"/>
      <c r="P860" s="217"/>
    </row>
    <row r="861" spans="3:16" ht="42" customHeight="1">
      <c r="C861" s="272">
        <v>859</v>
      </c>
      <c r="D861" s="275"/>
      <c r="E861" s="276"/>
      <c r="F861" s="221"/>
      <c r="G861" s="275"/>
      <c r="H861" s="276"/>
      <c r="I861" s="217"/>
      <c r="J861" s="217"/>
      <c r="K861" s="221"/>
      <c r="L861" s="217"/>
      <c r="M861" s="217"/>
      <c r="N861" s="217"/>
      <c r="O861" s="217"/>
      <c r="P861" s="217"/>
    </row>
    <row r="862" spans="3:16" ht="42" customHeight="1">
      <c r="C862" s="272">
        <v>860</v>
      </c>
      <c r="D862" s="275"/>
      <c r="E862" s="276"/>
      <c r="F862" s="221"/>
      <c r="G862" s="275"/>
      <c r="H862" s="276"/>
      <c r="I862" s="217"/>
      <c r="J862" s="217"/>
      <c r="K862" s="221"/>
      <c r="L862" s="217"/>
      <c r="M862" s="217"/>
      <c r="N862" s="217"/>
      <c r="O862" s="217"/>
      <c r="P862" s="217"/>
    </row>
    <row r="863" spans="3:16" ht="42" customHeight="1">
      <c r="C863" s="272">
        <v>861</v>
      </c>
      <c r="D863" s="275"/>
      <c r="E863" s="276"/>
      <c r="F863" s="221"/>
      <c r="G863" s="275"/>
      <c r="H863" s="276"/>
      <c r="I863" s="217"/>
      <c r="J863" s="217"/>
      <c r="K863" s="221"/>
      <c r="L863" s="217"/>
      <c r="M863" s="217"/>
      <c r="N863" s="217"/>
      <c r="O863" s="217"/>
      <c r="P863" s="217"/>
    </row>
    <row r="864" spans="3:16" ht="42" customHeight="1">
      <c r="C864" s="272">
        <v>862</v>
      </c>
      <c r="D864" s="275"/>
      <c r="E864" s="276"/>
      <c r="F864" s="221"/>
      <c r="G864" s="275"/>
      <c r="H864" s="276"/>
      <c r="I864" s="217"/>
      <c r="J864" s="217"/>
      <c r="K864" s="221"/>
      <c r="L864" s="217"/>
      <c r="M864" s="217"/>
      <c r="N864" s="217"/>
      <c r="O864" s="217"/>
      <c r="P864" s="217"/>
    </row>
    <row r="865" spans="3:16" ht="42" customHeight="1">
      <c r="C865" s="272">
        <v>863</v>
      </c>
      <c r="D865" s="275"/>
      <c r="E865" s="276"/>
      <c r="F865" s="221"/>
      <c r="G865" s="275"/>
      <c r="H865" s="276"/>
      <c r="I865" s="217"/>
      <c r="J865" s="217"/>
      <c r="K865" s="221"/>
      <c r="L865" s="217"/>
      <c r="M865" s="217"/>
      <c r="N865" s="217"/>
      <c r="O865" s="217"/>
      <c r="P865" s="217"/>
    </row>
    <row r="866" spans="3:16" ht="42" customHeight="1">
      <c r="C866" s="272">
        <v>864</v>
      </c>
      <c r="D866" s="275"/>
      <c r="E866" s="276"/>
      <c r="F866" s="221"/>
      <c r="G866" s="275"/>
      <c r="H866" s="276"/>
      <c r="I866" s="217"/>
      <c r="J866" s="217"/>
      <c r="K866" s="221"/>
      <c r="L866" s="217"/>
      <c r="M866" s="217"/>
      <c r="N866" s="217"/>
      <c r="O866" s="217"/>
      <c r="P866" s="217"/>
    </row>
    <row r="867" spans="3:16" ht="42" customHeight="1">
      <c r="C867" s="272">
        <v>865</v>
      </c>
      <c r="D867" s="275"/>
      <c r="E867" s="276"/>
      <c r="F867" s="221"/>
      <c r="G867" s="275"/>
      <c r="H867" s="276"/>
      <c r="I867" s="217"/>
      <c r="J867" s="217"/>
      <c r="K867" s="221"/>
      <c r="L867" s="217"/>
      <c r="M867" s="217"/>
      <c r="N867" s="217"/>
      <c r="O867" s="217"/>
      <c r="P867" s="217"/>
    </row>
    <row r="868" spans="3:16" ht="42" customHeight="1">
      <c r="C868" s="272">
        <v>866</v>
      </c>
      <c r="D868" s="275"/>
      <c r="E868" s="276"/>
      <c r="F868" s="221"/>
      <c r="G868" s="275"/>
      <c r="H868" s="276"/>
      <c r="I868" s="217"/>
      <c r="J868" s="217"/>
      <c r="K868" s="221"/>
      <c r="L868" s="217"/>
      <c r="M868" s="217"/>
      <c r="N868" s="217"/>
      <c r="O868" s="217"/>
      <c r="P868" s="217"/>
    </row>
    <row r="869" spans="3:16" ht="42" customHeight="1">
      <c r="C869" s="272">
        <v>867</v>
      </c>
      <c r="D869" s="275"/>
      <c r="E869" s="276"/>
      <c r="F869" s="221"/>
      <c r="G869" s="275"/>
      <c r="H869" s="276"/>
      <c r="I869" s="217"/>
      <c r="J869" s="217"/>
      <c r="K869" s="221"/>
      <c r="L869" s="217"/>
      <c r="M869" s="217"/>
      <c r="N869" s="217"/>
      <c r="O869" s="217"/>
      <c r="P869" s="217"/>
    </row>
    <row r="870" spans="3:16" ht="42" customHeight="1">
      <c r="C870" s="272">
        <v>868</v>
      </c>
      <c r="D870" s="275"/>
      <c r="E870" s="276"/>
      <c r="F870" s="221"/>
      <c r="G870" s="275"/>
      <c r="H870" s="276"/>
      <c r="I870" s="217"/>
      <c r="J870" s="217"/>
      <c r="K870" s="221"/>
      <c r="L870" s="217"/>
      <c r="M870" s="217"/>
      <c r="N870" s="217"/>
      <c r="O870" s="217"/>
      <c r="P870" s="217"/>
    </row>
    <row r="871" spans="3:16" ht="42" customHeight="1">
      <c r="C871" s="272">
        <v>869</v>
      </c>
      <c r="D871" s="275"/>
      <c r="E871" s="276"/>
      <c r="F871" s="221"/>
      <c r="G871" s="275"/>
      <c r="H871" s="276"/>
      <c r="I871" s="217"/>
      <c r="J871" s="217"/>
      <c r="K871" s="221"/>
      <c r="L871" s="217"/>
      <c r="M871" s="217"/>
      <c r="N871" s="217"/>
      <c r="O871" s="217"/>
      <c r="P871" s="217"/>
    </row>
    <row r="872" spans="3:16" ht="42" customHeight="1">
      <c r="C872" s="272">
        <v>870</v>
      </c>
      <c r="D872" s="275"/>
      <c r="E872" s="276"/>
      <c r="F872" s="221"/>
      <c r="G872" s="275"/>
      <c r="H872" s="276"/>
      <c r="I872" s="217"/>
      <c r="J872" s="217"/>
      <c r="K872" s="221"/>
      <c r="L872" s="217"/>
      <c r="M872" s="217"/>
      <c r="N872" s="217"/>
      <c r="O872" s="217"/>
      <c r="P872" s="217"/>
    </row>
    <row r="873" spans="3:16" ht="42" customHeight="1">
      <c r="C873" s="272">
        <v>871</v>
      </c>
      <c r="D873" s="275"/>
      <c r="E873" s="276"/>
      <c r="F873" s="221"/>
      <c r="G873" s="275"/>
      <c r="H873" s="276"/>
      <c r="I873" s="217"/>
      <c r="J873" s="217"/>
      <c r="K873" s="221"/>
      <c r="L873" s="217"/>
      <c r="M873" s="217"/>
      <c r="N873" s="217"/>
      <c r="O873" s="217"/>
      <c r="P873" s="217"/>
    </row>
    <row r="874" spans="3:16" ht="42" customHeight="1">
      <c r="C874" s="272">
        <v>872</v>
      </c>
      <c r="D874" s="275"/>
      <c r="E874" s="276"/>
      <c r="F874" s="221"/>
      <c r="G874" s="275"/>
      <c r="H874" s="276"/>
      <c r="I874" s="217"/>
      <c r="J874" s="217"/>
      <c r="K874" s="221"/>
      <c r="L874" s="217"/>
      <c r="M874" s="217"/>
      <c r="N874" s="217"/>
      <c r="O874" s="217"/>
      <c r="P874" s="217"/>
    </row>
    <row r="875" spans="3:16" ht="42" customHeight="1">
      <c r="C875" s="272">
        <v>873</v>
      </c>
      <c r="D875" s="275"/>
      <c r="E875" s="276"/>
      <c r="F875" s="221"/>
      <c r="G875" s="275"/>
      <c r="H875" s="276"/>
      <c r="I875" s="217"/>
      <c r="J875" s="217"/>
      <c r="K875" s="221"/>
      <c r="L875" s="217"/>
      <c r="M875" s="217"/>
      <c r="N875" s="217"/>
      <c r="O875" s="217"/>
      <c r="P875" s="217"/>
    </row>
    <row r="876" spans="3:16" ht="42" customHeight="1">
      <c r="C876" s="272">
        <v>874</v>
      </c>
      <c r="D876" s="275"/>
      <c r="E876" s="276"/>
      <c r="F876" s="221"/>
      <c r="G876" s="275"/>
      <c r="H876" s="276"/>
      <c r="I876" s="217"/>
      <c r="J876" s="217"/>
      <c r="K876" s="221"/>
      <c r="L876" s="217"/>
      <c r="M876" s="217"/>
      <c r="N876" s="217"/>
      <c r="O876" s="217"/>
      <c r="P876" s="217"/>
    </row>
    <row r="877" spans="3:16" ht="42" customHeight="1">
      <c r="C877" s="272">
        <v>875</v>
      </c>
      <c r="D877" s="275"/>
      <c r="E877" s="276"/>
      <c r="F877" s="221"/>
      <c r="G877" s="275"/>
      <c r="H877" s="276"/>
      <c r="I877" s="217"/>
      <c r="J877" s="217"/>
      <c r="K877" s="221"/>
      <c r="L877" s="217"/>
      <c r="M877" s="217"/>
      <c r="N877" s="217"/>
      <c r="O877" s="217"/>
      <c r="P877" s="217"/>
    </row>
    <row r="878" spans="3:16" ht="42" customHeight="1">
      <c r="C878" s="272">
        <v>876</v>
      </c>
      <c r="D878" s="275"/>
      <c r="E878" s="276"/>
      <c r="F878" s="221"/>
      <c r="G878" s="275"/>
      <c r="H878" s="276"/>
      <c r="I878" s="217"/>
      <c r="J878" s="217"/>
      <c r="K878" s="221"/>
      <c r="L878" s="217"/>
      <c r="M878" s="217"/>
      <c r="N878" s="217"/>
      <c r="O878" s="217"/>
      <c r="P878" s="217"/>
    </row>
    <row r="879" spans="3:16" ht="42" customHeight="1">
      <c r="C879" s="272">
        <v>877</v>
      </c>
      <c r="D879" s="275"/>
      <c r="E879" s="276"/>
      <c r="F879" s="221"/>
      <c r="G879" s="275"/>
      <c r="H879" s="276"/>
      <c r="I879" s="217"/>
      <c r="J879" s="217"/>
      <c r="K879" s="221"/>
      <c r="L879" s="217"/>
      <c r="M879" s="217"/>
      <c r="N879" s="217"/>
      <c r="O879" s="217"/>
      <c r="P879" s="217"/>
    </row>
    <row r="880" spans="3:16" ht="42" customHeight="1">
      <c r="C880" s="272">
        <v>878</v>
      </c>
      <c r="D880" s="275"/>
      <c r="E880" s="276"/>
      <c r="F880" s="221"/>
      <c r="G880" s="275"/>
      <c r="H880" s="276"/>
      <c r="I880" s="217"/>
      <c r="J880" s="217"/>
      <c r="K880" s="221"/>
      <c r="L880" s="217"/>
      <c r="M880" s="217"/>
      <c r="N880" s="217"/>
      <c r="O880" s="217"/>
      <c r="P880" s="217"/>
    </row>
    <row r="881" spans="3:16" ht="42" customHeight="1">
      <c r="C881" s="272">
        <v>879</v>
      </c>
      <c r="D881" s="275"/>
      <c r="E881" s="276"/>
      <c r="F881" s="221"/>
      <c r="G881" s="275"/>
      <c r="H881" s="276"/>
      <c r="I881" s="217"/>
      <c r="J881" s="217"/>
      <c r="K881" s="221"/>
      <c r="L881" s="217"/>
      <c r="M881" s="217"/>
      <c r="N881" s="217"/>
      <c r="O881" s="217"/>
      <c r="P881" s="217"/>
    </row>
    <row r="882" spans="3:16" ht="42" customHeight="1">
      <c r="C882" s="272">
        <v>880</v>
      </c>
      <c r="D882" s="275"/>
      <c r="E882" s="276"/>
      <c r="F882" s="221"/>
      <c r="G882" s="275"/>
      <c r="H882" s="276"/>
      <c r="I882" s="217"/>
      <c r="J882" s="217"/>
      <c r="K882" s="221"/>
      <c r="L882" s="217"/>
      <c r="M882" s="217"/>
      <c r="N882" s="217"/>
      <c r="O882" s="217"/>
      <c r="P882" s="217"/>
    </row>
    <row r="883" spans="3:16" ht="42" customHeight="1">
      <c r="C883" s="272">
        <v>881</v>
      </c>
      <c r="D883" s="275"/>
      <c r="E883" s="276"/>
      <c r="F883" s="221"/>
      <c r="G883" s="275"/>
      <c r="H883" s="276"/>
      <c r="I883" s="217"/>
      <c r="J883" s="217"/>
      <c r="K883" s="221"/>
      <c r="L883" s="217"/>
      <c r="M883" s="217"/>
      <c r="N883" s="217"/>
      <c r="O883" s="217"/>
      <c r="P883" s="217"/>
    </row>
    <row r="884" spans="3:16" ht="42" customHeight="1">
      <c r="C884" s="272">
        <v>882</v>
      </c>
      <c r="D884" s="275"/>
      <c r="E884" s="276"/>
      <c r="F884" s="221"/>
      <c r="G884" s="275"/>
      <c r="H884" s="276"/>
      <c r="I884" s="217"/>
      <c r="J884" s="217"/>
      <c r="K884" s="221"/>
      <c r="L884" s="217"/>
      <c r="M884" s="217"/>
      <c r="N884" s="217"/>
      <c r="O884" s="217"/>
      <c r="P884" s="217"/>
    </row>
    <row r="885" spans="3:16" ht="42" customHeight="1">
      <c r="C885" s="272">
        <v>883</v>
      </c>
      <c r="D885" s="275"/>
      <c r="E885" s="276"/>
      <c r="F885" s="221"/>
      <c r="G885" s="275"/>
      <c r="H885" s="276"/>
      <c r="I885" s="217"/>
      <c r="J885" s="217"/>
      <c r="K885" s="221"/>
      <c r="L885" s="217"/>
      <c r="M885" s="217"/>
      <c r="N885" s="217"/>
      <c r="O885" s="217"/>
      <c r="P885" s="217"/>
    </row>
    <row r="886" spans="3:16" ht="42" customHeight="1">
      <c r="C886" s="272">
        <v>884</v>
      </c>
      <c r="D886" s="275"/>
      <c r="E886" s="276"/>
      <c r="F886" s="221"/>
      <c r="G886" s="275"/>
      <c r="H886" s="276"/>
      <c r="I886" s="217"/>
      <c r="J886" s="217"/>
      <c r="K886" s="221"/>
      <c r="L886" s="217"/>
      <c r="M886" s="217"/>
      <c r="N886" s="217"/>
      <c r="O886" s="217"/>
      <c r="P886" s="217"/>
    </row>
    <row r="887" spans="3:16" ht="42" customHeight="1">
      <c r="C887" s="272">
        <v>885</v>
      </c>
      <c r="D887" s="275"/>
      <c r="E887" s="276"/>
      <c r="F887" s="221"/>
      <c r="G887" s="275"/>
      <c r="H887" s="276"/>
      <c r="I887" s="217"/>
      <c r="J887" s="217"/>
      <c r="K887" s="221"/>
      <c r="L887" s="217"/>
      <c r="M887" s="217"/>
      <c r="N887" s="217"/>
      <c r="O887" s="217"/>
      <c r="P887" s="217"/>
    </row>
    <row r="888" spans="3:16" ht="42" customHeight="1">
      <c r="C888" s="272">
        <v>886</v>
      </c>
      <c r="D888" s="275"/>
      <c r="E888" s="276"/>
      <c r="F888" s="221"/>
      <c r="G888" s="275"/>
      <c r="H888" s="276"/>
      <c r="I888" s="217"/>
      <c r="J888" s="217"/>
      <c r="K888" s="221"/>
      <c r="L888" s="217"/>
      <c r="M888" s="217"/>
      <c r="N888" s="217"/>
      <c r="O888" s="217"/>
      <c r="P888" s="217"/>
    </row>
    <row r="889" spans="3:16" ht="42" customHeight="1">
      <c r="C889" s="272">
        <v>887</v>
      </c>
      <c r="D889" s="275"/>
      <c r="E889" s="276"/>
      <c r="F889" s="221"/>
      <c r="G889" s="275"/>
      <c r="H889" s="276"/>
      <c r="I889" s="217"/>
      <c r="J889" s="217"/>
      <c r="K889" s="221"/>
      <c r="L889" s="217"/>
      <c r="M889" s="217"/>
      <c r="N889" s="217"/>
      <c r="O889" s="217"/>
      <c r="P889" s="217"/>
    </row>
    <row r="890" spans="3:16" ht="42" customHeight="1">
      <c r="C890" s="272">
        <v>888</v>
      </c>
      <c r="D890" s="275"/>
      <c r="E890" s="276"/>
      <c r="F890" s="221"/>
      <c r="G890" s="275"/>
      <c r="H890" s="276"/>
      <c r="I890" s="217"/>
      <c r="J890" s="217"/>
      <c r="K890" s="221"/>
      <c r="L890" s="217"/>
      <c r="M890" s="217"/>
      <c r="N890" s="217"/>
      <c r="O890" s="217"/>
      <c r="P890" s="217"/>
    </row>
    <row r="891" spans="3:16" ht="42" customHeight="1">
      <c r="C891" s="272">
        <v>889</v>
      </c>
      <c r="D891" s="275"/>
      <c r="E891" s="276"/>
      <c r="F891" s="221"/>
      <c r="G891" s="275"/>
      <c r="H891" s="276"/>
      <c r="I891" s="217"/>
      <c r="J891" s="217"/>
      <c r="K891" s="221"/>
      <c r="L891" s="217"/>
      <c r="M891" s="217"/>
      <c r="N891" s="217"/>
      <c r="O891" s="217"/>
      <c r="P891" s="217"/>
    </row>
    <row r="892" spans="3:16" ht="42" customHeight="1">
      <c r="C892" s="272">
        <v>890</v>
      </c>
      <c r="D892" s="275"/>
      <c r="E892" s="276"/>
      <c r="F892" s="221"/>
      <c r="G892" s="275"/>
      <c r="H892" s="276"/>
      <c r="I892" s="217"/>
      <c r="J892" s="217"/>
      <c r="K892" s="221"/>
      <c r="L892" s="217"/>
      <c r="M892" s="217"/>
      <c r="N892" s="217"/>
      <c r="O892" s="217"/>
      <c r="P892" s="217"/>
    </row>
    <row r="893" spans="3:16" ht="42" customHeight="1">
      <c r="C893" s="272">
        <v>891</v>
      </c>
      <c r="D893" s="275"/>
      <c r="E893" s="276"/>
      <c r="F893" s="221"/>
      <c r="G893" s="275"/>
      <c r="H893" s="276"/>
      <c r="I893" s="217"/>
      <c r="J893" s="217"/>
      <c r="K893" s="221"/>
      <c r="L893" s="217"/>
      <c r="M893" s="217"/>
      <c r="N893" s="217"/>
      <c r="O893" s="217"/>
      <c r="P893" s="217"/>
    </row>
    <row r="894" spans="3:16" ht="42" customHeight="1">
      <c r="C894" s="272">
        <v>892</v>
      </c>
      <c r="D894" s="275"/>
      <c r="E894" s="276"/>
      <c r="F894" s="221"/>
      <c r="G894" s="275"/>
      <c r="H894" s="276"/>
      <c r="I894" s="217"/>
      <c r="J894" s="217"/>
      <c r="K894" s="221"/>
      <c r="L894" s="217"/>
      <c r="M894" s="217"/>
      <c r="N894" s="217"/>
      <c r="O894" s="217"/>
      <c r="P894" s="217"/>
    </row>
    <row r="895" spans="3:16" ht="42" customHeight="1">
      <c r="C895" s="272">
        <v>893</v>
      </c>
      <c r="D895" s="275"/>
      <c r="E895" s="276"/>
      <c r="F895" s="221"/>
      <c r="G895" s="275"/>
      <c r="H895" s="276"/>
      <c r="I895" s="217"/>
      <c r="J895" s="217"/>
      <c r="K895" s="221"/>
      <c r="L895" s="217"/>
      <c r="M895" s="217"/>
      <c r="N895" s="217"/>
      <c r="O895" s="217"/>
      <c r="P895" s="217"/>
    </row>
    <row r="896" spans="3:16" ht="42" customHeight="1">
      <c r="C896" s="272">
        <v>894</v>
      </c>
      <c r="D896" s="275"/>
      <c r="E896" s="276"/>
      <c r="F896" s="221"/>
      <c r="G896" s="275"/>
      <c r="H896" s="276"/>
      <c r="I896" s="217"/>
      <c r="J896" s="217"/>
      <c r="K896" s="221"/>
      <c r="L896" s="217"/>
      <c r="M896" s="217"/>
      <c r="N896" s="217"/>
      <c r="O896" s="217"/>
      <c r="P896" s="217"/>
    </row>
    <row r="897" spans="3:16" ht="42" customHeight="1">
      <c r="C897" s="272">
        <v>895</v>
      </c>
      <c r="D897" s="275"/>
      <c r="E897" s="276"/>
      <c r="F897" s="221"/>
      <c r="G897" s="275"/>
      <c r="H897" s="276"/>
      <c r="I897" s="217"/>
      <c r="J897" s="217"/>
      <c r="K897" s="221"/>
      <c r="L897" s="217"/>
      <c r="M897" s="217"/>
      <c r="N897" s="217"/>
      <c r="O897" s="217"/>
      <c r="P897" s="217"/>
    </row>
    <row r="898" spans="3:16" ht="42" customHeight="1">
      <c r="C898" s="272">
        <v>896</v>
      </c>
      <c r="D898" s="275"/>
      <c r="E898" s="276"/>
      <c r="F898" s="221"/>
      <c r="G898" s="275"/>
      <c r="H898" s="276"/>
      <c r="I898" s="217"/>
      <c r="J898" s="217"/>
      <c r="K898" s="221"/>
      <c r="L898" s="217"/>
      <c r="M898" s="217"/>
      <c r="N898" s="217"/>
      <c r="O898" s="217"/>
      <c r="P898" s="217"/>
    </row>
    <row r="899" spans="3:16" ht="42" customHeight="1">
      <c r="C899" s="272">
        <v>897</v>
      </c>
      <c r="D899" s="275"/>
      <c r="E899" s="276"/>
      <c r="F899" s="221"/>
      <c r="G899" s="275"/>
      <c r="H899" s="276"/>
      <c r="I899" s="217"/>
      <c r="J899" s="217"/>
      <c r="K899" s="221"/>
      <c r="L899" s="217"/>
      <c r="M899" s="217"/>
      <c r="N899" s="217"/>
      <c r="O899" s="217"/>
      <c r="P899" s="217"/>
    </row>
    <row r="900" spans="3:16" ht="42" customHeight="1">
      <c r="C900" s="272">
        <v>898</v>
      </c>
      <c r="D900" s="275"/>
      <c r="E900" s="276"/>
      <c r="F900" s="221"/>
      <c r="G900" s="275"/>
      <c r="H900" s="276"/>
      <c r="I900" s="217"/>
      <c r="J900" s="217"/>
      <c r="K900" s="221"/>
      <c r="L900" s="217"/>
      <c r="M900" s="217"/>
      <c r="N900" s="217"/>
      <c r="O900" s="217"/>
      <c r="P900" s="217"/>
    </row>
    <row r="901" spans="3:16" ht="42" customHeight="1">
      <c r="C901" s="272">
        <v>899</v>
      </c>
      <c r="D901" s="275"/>
      <c r="E901" s="276"/>
      <c r="F901" s="221"/>
      <c r="G901" s="275"/>
      <c r="H901" s="276"/>
      <c r="I901" s="217"/>
      <c r="J901" s="217"/>
      <c r="K901" s="221"/>
      <c r="L901" s="217"/>
      <c r="M901" s="217"/>
      <c r="N901" s="217"/>
      <c r="O901" s="217"/>
      <c r="P901" s="217"/>
    </row>
    <row r="902" spans="3:16" ht="42" customHeight="1">
      <c r="C902" s="272">
        <v>900</v>
      </c>
      <c r="D902" s="275"/>
      <c r="E902" s="276"/>
      <c r="F902" s="221"/>
      <c r="G902" s="275"/>
      <c r="H902" s="276"/>
      <c r="I902" s="217"/>
      <c r="J902" s="217"/>
      <c r="K902" s="221"/>
      <c r="L902" s="217"/>
      <c r="M902" s="217"/>
      <c r="N902" s="217"/>
      <c r="O902" s="217"/>
      <c r="P902" s="217"/>
    </row>
    <row r="903" spans="3:16" ht="42" customHeight="1">
      <c r="C903" s="272">
        <v>901</v>
      </c>
      <c r="D903" s="275"/>
      <c r="E903" s="276"/>
      <c r="F903" s="221"/>
      <c r="G903" s="275"/>
      <c r="H903" s="276"/>
      <c r="I903" s="217"/>
      <c r="J903" s="217"/>
      <c r="K903" s="221"/>
      <c r="L903" s="217"/>
      <c r="M903" s="217"/>
      <c r="N903" s="217"/>
      <c r="O903" s="217"/>
      <c r="P903" s="217"/>
    </row>
    <row r="904" spans="3:16" ht="42" customHeight="1">
      <c r="C904" s="272">
        <v>902</v>
      </c>
      <c r="D904" s="275"/>
      <c r="E904" s="276"/>
      <c r="F904" s="221"/>
      <c r="G904" s="275"/>
      <c r="H904" s="276"/>
      <c r="I904" s="217"/>
      <c r="J904" s="217"/>
      <c r="K904" s="221"/>
      <c r="L904" s="217"/>
      <c r="M904" s="217"/>
      <c r="N904" s="217"/>
      <c r="O904" s="217"/>
      <c r="P904" s="217"/>
    </row>
    <row r="905" spans="3:16" ht="42" customHeight="1">
      <c r="C905" s="272">
        <v>903</v>
      </c>
      <c r="D905" s="275"/>
      <c r="E905" s="276"/>
      <c r="F905" s="221"/>
      <c r="G905" s="275"/>
      <c r="H905" s="276"/>
      <c r="I905" s="217"/>
      <c r="J905" s="217"/>
      <c r="K905" s="221"/>
      <c r="L905" s="217"/>
      <c r="M905" s="217"/>
      <c r="N905" s="217"/>
      <c r="O905" s="217"/>
      <c r="P905" s="217"/>
    </row>
    <row r="906" spans="3:16" ht="42" customHeight="1">
      <c r="C906" s="272">
        <v>904</v>
      </c>
      <c r="D906" s="275"/>
      <c r="E906" s="276"/>
      <c r="F906" s="221"/>
      <c r="G906" s="275"/>
      <c r="H906" s="276"/>
      <c r="I906" s="217"/>
      <c r="J906" s="217"/>
      <c r="K906" s="221"/>
      <c r="L906" s="217"/>
      <c r="M906" s="217"/>
      <c r="N906" s="217"/>
      <c r="O906" s="217"/>
      <c r="P906" s="217"/>
    </row>
    <row r="907" spans="3:16" ht="42" customHeight="1">
      <c r="C907" s="272">
        <v>905</v>
      </c>
      <c r="D907" s="275"/>
      <c r="E907" s="276"/>
      <c r="F907" s="221"/>
      <c r="G907" s="275"/>
      <c r="H907" s="276"/>
      <c r="I907" s="217"/>
      <c r="J907" s="217"/>
      <c r="K907" s="221"/>
      <c r="L907" s="217"/>
      <c r="M907" s="217"/>
      <c r="N907" s="217"/>
      <c r="O907" s="217"/>
      <c r="P907" s="217"/>
    </row>
    <row r="908" spans="3:16" ht="42" customHeight="1">
      <c r="C908" s="272">
        <v>906</v>
      </c>
      <c r="D908" s="275"/>
      <c r="E908" s="276"/>
      <c r="F908" s="221"/>
      <c r="G908" s="275"/>
      <c r="H908" s="276"/>
      <c r="I908" s="217"/>
      <c r="J908" s="217"/>
      <c r="K908" s="221"/>
      <c r="L908" s="217"/>
      <c r="M908" s="217"/>
      <c r="N908" s="217"/>
      <c r="O908" s="217"/>
      <c r="P908" s="217"/>
    </row>
    <row r="909" spans="3:16" ht="42" customHeight="1">
      <c r="C909" s="272">
        <v>907</v>
      </c>
      <c r="D909" s="275"/>
      <c r="E909" s="276"/>
      <c r="F909" s="221"/>
      <c r="G909" s="275"/>
      <c r="H909" s="276"/>
      <c r="I909" s="217"/>
      <c r="J909" s="217"/>
      <c r="K909" s="221"/>
      <c r="L909" s="217"/>
      <c r="M909" s="217"/>
      <c r="N909" s="217"/>
      <c r="O909" s="217"/>
      <c r="P909" s="217"/>
    </row>
    <row r="910" spans="3:16" ht="42" customHeight="1">
      <c r="C910" s="272">
        <v>908</v>
      </c>
      <c r="D910" s="275"/>
      <c r="E910" s="276"/>
      <c r="F910" s="221"/>
      <c r="G910" s="275"/>
      <c r="H910" s="276"/>
      <c r="I910" s="217"/>
      <c r="J910" s="217"/>
      <c r="K910" s="221"/>
      <c r="L910" s="217"/>
      <c r="M910" s="217"/>
      <c r="N910" s="217"/>
      <c r="O910" s="217"/>
      <c r="P910" s="217"/>
    </row>
    <row r="911" spans="3:16" ht="42" customHeight="1">
      <c r="C911" s="272">
        <v>909</v>
      </c>
      <c r="D911" s="275"/>
      <c r="E911" s="276"/>
      <c r="F911" s="221"/>
      <c r="G911" s="275"/>
      <c r="H911" s="276"/>
      <c r="I911" s="217"/>
      <c r="J911" s="217"/>
      <c r="K911" s="221"/>
      <c r="L911" s="217"/>
      <c r="M911" s="217"/>
      <c r="N911" s="217"/>
      <c r="O911" s="217"/>
      <c r="P911" s="217"/>
    </row>
    <row r="912" spans="3:16" ht="42" customHeight="1">
      <c r="C912" s="272">
        <v>910</v>
      </c>
      <c r="D912" s="275"/>
      <c r="E912" s="276"/>
      <c r="F912" s="221"/>
      <c r="G912" s="275"/>
      <c r="H912" s="276"/>
      <c r="I912" s="217"/>
      <c r="J912" s="217"/>
      <c r="K912" s="221"/>
      <c r="L912" s="217"/>
      <c r="M912" s="217"/>
      <c r="N912" s="217"/>
      <c r="O912" s="217"/>
      <c r="P912" s="217"/>
    </row>
    <row r="913" spans="3:16" ht="42" customHeight="1">
      <c r="C913" s="272">
        <v>911</v>
      </c>
      <c r="D913" s="275"/>
      <c r="E913" s="276"/>
      <c r="F913" s="221"/>
      <c r="G913" s="275"/>
      <c r="H913" s="276"/>
      <c r="I913" s="217"/>
      <c r="J913" s="217"/>
      <c r="K913" s="221"/>
      <c r="L913" s="217"/>
      <c r="M913" s="217"/>
      <c r="N913" s="217"/>
      <c r="O913" s="217"/>
      <c r="P913" s="217"/>
    </row>
    <row r="914" spans="3:16" ht="42" customHeight="1">
      <c r="C914" s="272">
        <v>912</v>
      </c>
      <c r="D914" s="275"/>
      <c r="E914" s="276"/>
      <c r="F914" s="221"/>
      <c r="G914" s="275"/>
      <c r="H914" s="276"/>
      <c r="I914" s="217"/>
      <c r="J914" s="217"/>
      <c r="K914" s="221"/>
      <c r="L914" s="217"/>
      <c r="M914" s="217"/>
      <c r="N914" s="217"/>
      <c r="O914" s="217"/>
      <c r="P914" s="217"/>
    </row>
    <row r="915" spans="3:16" ht="42" customHeight="1">
      <c r="C915" s="272">
        <v>913</v>
      </c>
      <c r="D915" s="275"/>
      <c r="E915" s="276"/>
      <c r="F915" s="221"/>
      <c r="G915" s="275"/>
      <c r="H915" s="276"/>
      <c r="I915" s="217"/>
      <c r="J915" s="217"/>
      <c r="K915" s="221"/>
      <c r="L915" s="217"/>
      <c r="M915" s="217"/>
      <c r="N915" s="217"/>
      <c r="O915" s="217"/>
      <c r="P915" s="217"/>
    </row>
    <row r="916" spans="3:16" ht="42" customHeight="1">
      <c r="C916" s="272">
        <v>914</v>
      </c>
      <c r="D916" s="275"/>
      <c r="E916" s="276"/>
      <c r="F916" s="221"/>
      <c r="G916" s="275"/>
      <c r="H916" s="276"/>
      <c r="I916" s="217"/>
      <c r="J916" s="217"/>
      <c r="K916" s="221"/>
      <c r="L916" s="217"/>
      <c r="M916" s="217"/>
      <c r="N916" s="217"/>
      <c r="O916" s="217"/>
      <c r="P916" s="217"/>
    </row>
    <row r="917" spans="3:16" ht="42" customHeight="1">
      <c r="C917" s="272">
        <v>915</v>
      </c>
      <c r="D917" s="275"/>
      <c r="E917" s="276"/>
      <c r="F917" s="221"/>
      <c r="G917" s="275"/>
      <c r="H917" s="276"/>
      <c r="I917" s="217"/>
      <c r="J917" s="217"/>
      <c r="K917" s="221"/>
      <c r="L917" s="217"/>
      <c r="M917" s="217"/>
      <c r="N917" s="217"/>
      <c r="O917" s="217"/>
      <c r="P917" s="217"/>
    </row>
    <row r="918" spans="3:16" ht="42" customHeight="1">
      <c r="C918" s="272">
        <v>916</v>
      </c>
      <c r="D918" s="275"/>
      <c r="E918" s="276"/>
      <c r="F918" s="221"/>
      <c r="G918" s="275"/>
      <c r="H918" s="276"/>
      <c r="I918" s="217"/>
      <c r="J918" s="217"/>
      <c r="K918" s="221"/>
      <c r="L918" s="217"/>
      <c r="M918" s="217"/>
      <c r="N918" s="217"/>
      <c r="O918" s="217"/>
      <c r="P918" s="217"/>
    </row>
    <row r="919" spans="3:16" ht="42" customHeight="1">
      <c r="C919" s="272">
        <v>917</v>
      </c>
      <c r="D919" s="275"/>
      <c r="E919" s="276"/>
      <c r="F919" s="221"/>
      <c r="G919" s="275"/>
      <c r="H919" s="276"/>
      <c r="I919" s="217"/>
      <c r="J919" s="217"/>
      <c r="K919" s="221"/>
      <c r="L919" s="217"/>
      <c r="M919" s="217"/>
      <c r="N919" s="217"/>
      <c r="O919" s="217"/>
      <c r="P919" s="217"/>
    </row>
    <row r="920" spans="3:16" ht="42" customHeight="1">
      <c r="C920" s="272">
        <v>918</v>
      </c>
      <c r="D920" s="275"/>
      <c r="E920" s="276"/>
      <c r="F920" s="221"/>
      <c r="G920" s="275"/>
      <c r="H920" s="276"/>
      <c r="I920" s="217"/>
      <c r="J920" s="217"/>
      <c r="K920" s="221"/>
      <c r="L920" s="217"/>
      <c r="M920" s="217"/>
      <c r="N920" s="217"/>
      <c r="O920" s="217"/>
      <c r="P920" s="217"/>
    </row>
    <row r="921" spans="3:16" ht="42" customHeight="1">
      <c r="C921" s="272">
        <v>919</v>
      </c>
      <c r="D921" s="275"/>
      <c r="E921" s="276"/>
      <c r="F921" s="221"/>
      <c r="G921" s="275"/>
      <c r="H921" s="276"/>
      <c r="I921" s="217"/>
      <c r="J921" s="217"/>
      <c r="K921" s="221"/>
      <c r="L921" s="217"/>
      <c r="M921" s="217"/>
      <c r="N921" s="217"/>
      <c r="O921" s="217"/>
      <c r="P921" s="217"/>
    </row>
    <row r="922" spans="3:16" ht="42" customHeight="1">
      <c r="C922" s="272">
        <v>920</v>
      </c>
      <c r="D922" s="275"/>
      <c r="E922" s="276"/>
      <c r="F922" s="221"/>
      <c r="G922" s="275"/>
      <c r="H922" s="276"/>
      <c r="I922" s="217"/>
      <c r="J922" s="217"/>
      <c r="K922" s="221"/>
      <c r="L922" s="217"/>
      <c r="M922" s="217"/>
      <c r="N922" s="217"/>
      <c r="O922" s="217"/>
      <c r="P922" s="217"/>
    </row>
    <row r="923" spans="3:16" ht="42" customHeight="1">
      <c r="C923" s="272">
        <v>921</v>
      </c>
      <c r="D923" s="275"/>
      <c r="E923" s="276"/>
      <c r="F923" s="221"/>
      <c r="G923" s="275"/>
      <c r="H923" s="276"/>
      <c r="I923" s="217"/>
      <c r="J923" s="217"/>
      <c r="K923" s="221"/>
      <c r="L923" s="217"/>
      <c r="M923" s="217"/>
      <c r="N923" s="217"/>
      <c r="O923" s="217"/>
      <c r="P923" s="217"/>
    </row>
    <row r="924" spans="3:16" ht="42" customHeight="1">
      <c r="C924" s="272">
        <v>922</v>
      </c>
      <c r="D924" s="275"/>
      <c r="E924" s="276"/>
      <c r="F924" s="221"/>
      <c r="G924" s="275"/>
      <c r="H924" s="276"/>
      <c r="I924" s="217"/>
      <c r="J924" s="217"/>
      <c r="K924" s="221"/>
      <c r="L924" s="217"/>
      <c r="M924" s="217"/>
      <c r="N924" s="217"/>
      <c r="O924" s="217"/>
      <c r="P924" s="217"/>
    </row>
    <row r="925" spans="3:16" ht="42" customHeight="1">
      <c r="C925" s="272">
        <v>923</v>
      </c>
      <c r="D925" s="275"/>
      <c r="E925" s="276"/>
      <c r="F925" s="221"/>
      <c r="G925" s="275"/>
      <c r="H925" s="276"/>
      <c r="I925" s="217"/>
      <c r="J925" s="217"/>
      <c r="K925" s="221"/>
      <c r="L925" s="217"/>
      <c r="M925" s="217"/>
      <c r="N925" s="217"/>
      <c r="O925" s="217"/>
      <c r="P925" s="217"/>
    </row>
    <row r="926" spans="3:16" ht="42" customHeight="1">
      <c r="C926" s="272">
        <v>924</v>
      </c>
      <c r="D926" s="275"/>
      <c r="E926" s="276"/>
      <c r="F926" s="221"/>
      <c r="G926" s="275"/>
      <c r="H926" s="276"/>
      <c r="I926" s="217"/>
      <c r="J926" s="217"/>
      <c r="K926" s="221"/>
      <c r="L926" s="217"/>
      <c r="M926" s="217"/>
      <c r="N926" s="217"/>
      <c r="O926" s="217"/>
      <c r="P926" s="217"/>
    </row>
    <row r="927" spans="3:16" ht="42" customHeight="1">
      <c r="C927" s="272">
        <v>925</v>
      </c>
      <c r="D927" s="275"/>
      <c r="E927" s="276"/>
      <c r="F927" s="221"/>
      <c r="G927" s="275"/>
      <c r="H927" s="276"/>
      <c r="I927" s="217"/>
      <c r="J927" s="217"/>
      <c r="K927" s="221"/>
      <c r="L927" s="217"/>
      <c r="M927" s="217"/>
      <c r="N927" s="217"/>
      <c r="O927" s="217"/>
      <c r="P927" s="217"/>
    </row>
    <row r="928" spans="3:16" ht="42" customHeight="1">
      <c r="C928" s="272">
        <v>926</v>
      </c>
      <c r="D928" s="275"/>
      <c r="E928" s="276"/>
      <c r="F928" s="221"/>
      <c r="G928" s="275"/>
      <c r="H928" s="276"/>
      <c r="I928" s="217"/>
      <c r="J928" s="217"/>
      <c r="K928" s="221"/>
      <c r="L928" s="217"/>
      <c r="M928" s="217"/>
      <c r="N928" s="217"/>
      <c r="O928" s="217"/>
      <c r="P928" s="217"/>
    </row>
    <row r="929" spans="3:16" ht="42" customHeight="1">
      <c r="C929" s="272">
        <v>927</v>
      </c>
      <c r="D929" s="275"/>
      <c r="E929" s="276"/>
      <c r="F929" s="221"/>
      <c r="G929" s="275"/>
      <c r="H929" s="276"/>
      <c r="I929" s="217"/>
      <c r="J929" s="217"/>
      <c r="K929" s="221"/>
      <c r="L929" s="217"/>
      <c r="M929" s="217"/>
      <c r="N929" s="217"/>
      <c r="O929" s="217"/>
      <c r="P929" s="217"/>
    </row>
    <row r="930" spans="3:16" ht="42" customHeight="1">
      <c r="C930" s="272">
        <v>928</v>
      </c>
      <c r="D930" s="275"/>
      <c r="E930" s="276"/>
      <c r="F930" s="221"/>
      <c r="G930" s="275"/>
      <c r="H930" s="276"/>
      <c r="I930" s="217"/>
      <c r="J930" s="217"/>
      <c r="K930" s="221"/>
      <c r="L930" s="217"/>
      <c r="M930" s="217"/>
      <c r="N930" s="217"/>
      <c r="O930" s="217"/>
      <c r="P930" s="217"/>
    </row>
    <row r="931" spans="3:16" ht="42" customHeight="1">
      <c r="C931" s="272">
        <v>929</v>
      </c>
      <c r="D931" s="275"/>
      <c r="E931" s="276"/>
      <c r="F931" s="221"/>
      <c r="G931" s="275"/>
      <c r="H931" s="276"/>
      <c r="I931" s="217"/>
      <c r="J931" s="217"/>
      <c r="K931" s="221"/>
      <c r="L931" s="217"/>
      <c r="M931" s="217"/>
      <c r="N931" s="217"/>
      <c r="O931" s="217"/>
      <c r="P931" s="217"/>
    </row>
    <row r="932" spans="3:16" ht="42" customHeight="1">
      <c r="C932" s="272">
        <v>930</v>
      </c>
      <c r="D932" s="275"/>
      <c r="E932" s="276"/>
      <c r="F932" s="221"/>
      <c r="G932" s="275"/>
      <c r="H932" s="276"/>
      <c r="I932" s="217"/>
      <c r="J932" s="217"/>
      <c r="K932" s="221"/>
      <c r="L932" s="217"/>
      <c r="M932" s="217"/>
      <c r="N932" s="217"/>
      <c r="O932" s="217"/>
      <c r="P932" s="217"/>
    </row>
    <row r="933" spans="3:16" ht="42" customHeight="1">
      <c r="C933" s="272">
        <v>931</v>
      </c>
      <c r="D933" s="275"/>
      <c r="E933" s="276"/>
      <c r="F933" s="221"/>
      <c r="G933" s="275"/>
      <c r="H933" s="276"/>
      <c r="I933" s="217"/>
      <c r="J933" s="217"/>
      <c r="K933" s="221"/>
      <c r="L933" s="217"/>
      <c r="M933" s="217"/>
      <c r="N933" s="217"/>
      <c r="O933" s="217"/>
      <c r="P933" s="217"/>
    </row>
    <row r="934" spans="3:16" ht="42" customHeight="1">
      <c r="C934" s="272">
        <v>932</v>
      </c>
      <c r="D934" s="275"/>
      <c r="E934" s="276"/>
      <c r="F934" s="221"/>
      <c r="G934" s="275"/>
      <c r="H934" s="276"/>
      <c r="I934" s="217"/>
      <c r="J934" s="217"/>
      <c r="K934" s="221"/>
      <c r="L934" s="217"/>
      <c r="M934" s="217"/>
      <c r="N934" s="217"/>
      <c r="O934" s="217"/>
      <c r="P934" s="217"/>
    </row>
    <row r="935" spans="3:16" ht="42" customHeight="1">
      <c r="C935" s="272">
        <v>933</v>
      </c>
      <c r="D935" s="275"/>
      <c r="E935" s="276"/>
      <c r="F935" s="221"/>
      <c r="G935" s="275"/>
      <c r="H935" s="276"/>
      <c r="I935" s="217"/>
      <c r="J935" s="217"/>
      <c r="K935" s="221"/>
      <c r="L935" s="217"/>
      <c r="M935" s="217"/>
      <c r="N935" s="217"/>
      <c r="O935" s="217"/>
      <c r="P935" s="217"/>
    </row>
    <row r="936" spans="3:16" ht="42" customHeight="1">
      <c r="C936" s="272">
        <v>934</v>
      </c>
      <c r="D936" s="275"/>
      <c r="E936" s="276"/>
      <c r="F936" s="221"/>
      <c r="G936" s="275"/>
      <c r="H936" s="276"/>
      <c r="I936" s="217"/>
      <c r="J936" s="217"/>
      <c r="K936" s="221"/>
      <c r="L936" s="217"/>
      <c r="M936" s="217"/>
      <c r="N936" s="217"/>
      <c r="O936" s="217"/>
      <c r="P936" s="217"/>
    </row>
    <row r="937" spans="3:16" ht="42" customHeight="1">
      <c r="C937" s="272">
        <v>935</v>
      </c>
      <c r="D937" s="275"/>
      <c r="E937" s="276"/>
      <c r="F937" s="221"/>
      <c r="G937" s="275"/>
      <c r="H937" s="276"/>
      <c r="I937" s="217"/>
      <c r="J937" s="217"/>
      <c r="K937" s="221"/>
      <c r="L937" s="217"/>
      <c r="M937" s="217"/>
      <c r="N937" s="217"/>
      <c r="O937" s="217"/>
      <c r="P937" s="217"/>
    </row>
    <row r="938" spans="3:16" ht="42" customHeight="1">
      <c r="C938" s="272">
        <v>936</v>
      </c>
      <c r="D938" s="275"/>
      <c r="E938" s="276"/>
      <c r="F938" s="221"/>
      <c r="G938" s="275"/>
      <c r="H938" s="276"/>
      <c r="I938" s="217"/>
      <c r="J938" s="217"/>
      <c r="K938" s="221"/>
      <c r="L938" s="217"/>
      <c r="M938" s="217"/>
      <c r="N938" s="217"/>
      <c r="O938" s="217"/>
      <c r="P938" s="217"/>
    </row>
    <row r="939" spans="3:16" ht="42" customHeight="1">
      <c r="C939" s="272">
        <v>937</v>
      </c>
      <c r="D939" s="275"/>
      <c r="E939" s="276"/>
      <c r="F939" s="221"/>
      <c r="G939" s="275"/>
      <c r="H939" s="276"/>
      <c r="I939" s="217"/>
      <c r="J939" s="217"/>
      <c r="K939" s="221"/>
      <c r="L939" s="217"/>
      <c r="M939" s="217"/>
      <c r="N939" s="217"/>
      <c r="O939" s="217"/>
      <c r="P939" s="217"/>
    </row>
    <row r="940" spans="3:16" ht="42" customHeight="1">
      <c r="C940" s="272">
        <v>938</v>
      </c>
      <c r="D940" s="275"/>
      <c r="E940" s="276"/>
      <c r="F940" s="221"/>
      <c r="G940" s="275"/>
      <c r="H940" s="276"/>
      <c r="I940" s="217"/>
      <c r="J940" s="217"/>
      <c r="K940" s="221"/>
      <c r="L940" s="217"/>
      <c r="M940" s="217"/>
      <c r="N940" s="217"/>
      <c r="O940" s="217"/>
      <c r="P940" s="217"/>
    </row>
    <row r="941" spans="3:16" ht="42" customHeight="1">
      <c r="C941" s="272">
        <v>939</v>
      </c>
      <c r="D941" s="275"/>
      <c r="E941" s="276"/>
      <c r="F941" s="221"/>
      <c r="G941" s="275"/>
      <c r="H941" s="276"/>
      <c r="I941" s="217"/>
      <c r="J941" s="217"/>
      <c r="K941" s="221"/>
      <c r="L941" s="217"/>
      <c r="M941" s="217"/>
      <c r="N941" s="217"/>
      <c r="O941" s="217"/>
      <c r="P941" s="217"/>
    </row>
    <row r="942" spans="3:16" ht="42" customHeight="1">
      <c r="C942" s="272">
        <v>940</v>
      </c>
      <c r="D942" s="275"/>
      <c r="E942" s="276"/>
      <c r="F942" s="221"/>
      <c r="G942" s="275"/>
      <c r="H942" s="276"/>
      <c r="I942" s="217"/>
      <c r="J942" s="217"/>
      <c r="K942" s="221"/>
      <c r="L942" s="217"/>
      <c r="M942" s="217"/>
      <c r="N942" s="217"/>
      <c r="O942" s="217"/>
      <c r="P942" s="217"/>
    </row>
    <row r="943" spans="3:16" ht="42" customHeight="1">
      <c r="C943" s="272">
        <v>941</v>
      </c>
      <c r="D943" s="275"/>
      <c r="E943" s="276"/>
      <c r="F943" s="221"/>
      <c r="G943" s="275"/>
      <c r="H943" s="276"/>
      <c r="I943" s="217"/>
      <c r="J943" s="217"/>
      <c r="K943" s="221"/>
      <c r="L943" s="217"/>
      <c r="M943" s="217"/>
      <c r="N943" s="217"/>
      <c r="O943" s="217"/>
      <c r="P943" s="217"/>
    </row>
    <row r="944" spans="3:16" ht="42" customHeight="1">
      <c r="C944" s="272">
        <v>942</v>
      </c>
      <c r="D944" s="275"/>
      <c r="E944" s="276"/>
      <c r="F944" s="221"/>
      <c r="G944" s="275"/>
      <c r="H944" s="276"/>
      <c r="I944" s="217"/>
      <c r="J944" s="217"/>
      <c r="K944" s="221"/>
      <c r="L944" s="217"/>
      <c r="M944" s="217"/>
      <c r="N944" s="217"/>
      <c r="O944" s="217"/>
      <c r="P944" s="217"/>
    </row>
    <row r="945" spans="3:16" ht="42" customHeight="1">
      <c r="C945" s="272">
        <v>943</v>
      </c>
      <c r="D945" s="275"/>
      <c r="E945" s="276"/>
      <c r="F945" s="221"/>
      <c r="G945" s="275"/>
      <c r="H945" s="276"/>
      <c r="I945" s="217"/>
      <c r="J945" s="217"/>
      <c r="K945" s="221"/>
      <c r="L945" s="217"/>
      <c r="M945" s="217"/>
      <c r="N945" s="217"/>
      <c r="O945" s="217"/>
      <c r="P945" s="217"/>
    </row>
    <row r="946" spans="3:16" ht="42" customHeight="1">
      <c r="C946" s="272">
        <v>944</v>
      </c>
      <c r="D946" s="275"/>
      <c r="E946" s="276"/>
      <c r="F946" s="221"/>
      <c r="G946" s="275"/>
      <c r="H946" s="276"/>
      <c r="I946" s="217"/>
      <c r="J946" s="217"/>
      <c r="K946" s="221"/>
      <c r="L946" s="217"/>
      <c r="M946" s="217"/>
      <c r="N946" s="217"/>
      <c r="O946" s="217"/>
      <c r="P946" s="217"/>
    </row>
    <row r="947" spans="3:16" ht="42" customHeight="1">
      <c r="C947" s="272">
        <v>945</v>
      </c>
      <c r="D947" s="275"/>
      <c r="E947" s="276"/>
      <c r="F947" s="221"/>
      <c r="G947" s="275"/>
      <c r="H947" s="276"/>
      <c r="I947" s="217"/>
      <c r="J947" s="217"/>
      <c r="K947" s="221"/>
      <c r="L947" s="217"/>
      <c r="M947" s="217"/>
      <c r="N947" s="217"/>
      <c r="O947" s="217"/>
      <c r="P947" s="217"/>
    </row>
    <row r="948" spans="3:16" ht="42" customHeight="1">
      <c r="C948" s="272">
        <v>946</v>
      </c>
      <c r="D948" s="275"/>
      <c r="E948" s="276"/>
      <c r="F948" s="221"/>
      <c r="G948" s="275"/>
      <c r="H948" s="276"/>
      <c r="I948" s="217"/>
      <c r="J948" s="217"/>
      <c r="K948" s="221"/>
      <c r="L948" s="217"/>
      <c r="M948" s="217"/>
      <c r="N948" s="217"/>
      <c r="O948" s="217"/>
      <c r="P948" s="217"/>
    </row>
    <row r="949" spans="3:16" ht="42" customHeight="1">
      <c r="C949" s="272">
        <v>947</v>
      </c>
      <c r="D949" s="275"/>
      <c r="E949" s="276"/>
      <c r="F949" s="221"/>
      <c r="G949" s="275"/>
      <c r="H949" s="276"/>
      <c r="I949" s="217"/>
      <c r="J949" s="217"/>
      <c r="K949" s="221"/>
      <c r="L949" s="217"/>
      <c r="M949" s="217"/>
      <c r="N949" s="217"/>
      <c r="O949" s="217"/>
      <c r="P949" s="217"/>
    </row>
    <row r="950" spans="3:16" ht="42" customHeight="1">
      <c r="C950" s="272">
        <v>948</v>
      </c>
      <c r="D950" s="275"/>
      <c r="E950" s="276"/>
      <c r="F950" s="221"/>
      <c r="G950" s="275"/>
      <c r="H950" s="276"/>
      <c r="I950" s="217"/>
      <c r="J950" s="217"/>
      <c r="K950" s="221"/>
      <c r="L950" s="217"/>
      <c r="M950" s="217"/>
      <c r="N950" s="217"/>
      <c r="O950" s="217"/>
      <c r="P950" s="217"/>
    </row>
    <row r="951" spans="3:16" ht="42" customHeight="1">
      <c r="C951" s="272">
        <v>949</v>
      </c>
      <c r="D951" s="275"/>
      <c r="E951" s="276"/>
      <c r="F951" s="221"/>
      <c r="G951" s="275"/>
      <c r="H951" s="276"/>
      <c r="I951" s="217"/>
      <c r="J951" s="217"/>
      <c r="K951" s="221"/>
      <c r="L951" s="217"/>
      <c r="M951" s="217"/>
      <c r="N951" s="217"/>
      <c r="O951" s="217"/>
      <c r="P951" s="217"/>
    </row>
    <row r="952" spans="3:16" ht="42" customHeight="1">
      <c r="C952" s="272">
        <v>950</v>
      </c>
      <c r="D952" s="275"/>
      <c r="E952" s="276"/>
      <c r="F952" s="221"/>
      <c r="G952" s="275"/>
      <c r="H952" s="276"/>
      <c r="I952" s="217"/>
      <c r="J952" s="217"/>
      <c r="K952" s="221"/>
      <c r="L952" s="217"/>
      <c r="M952" s="217"/>
      <c r="N952" s="217"/>
      <c r="O952" s="217"/>
      <c r="P952" s="217"/>
    </row>
    <row r="953" spans="3:16" ht="42" customHeight="1">
      <c r="C953" s="272">
        <v>951</v>
      </c>
      <c r="D953" s="275"/>
      <c r="E953" s="276"/>
      <c r="F953" s="221"/>
      <c r="G953" s="275"/>
      <c r="H953" s="276"/>
      <c r="I953" s="217"/>
      <c r="J953" s="217"/>
      <c r="K953" s="221"/>
      <c r="L953" s="217"/>
      <c r="M953" s="217"/>
      <c r="N953" s="217"/>
      <c r="O953" s="217"/>
      <c r="P953" s="217"/>
    </row>
    <row r="954" spans="3:16" ht="42" customHeight="1">
      <c r="C954" s="272">
        <v>952</v>
      </c>
      <c r="D954" s="275"/>
      <c r="E954" s="276"/>
      <c r="F954" s="221"/>
      <c r="G954" s="275"/>
      <c r="H954" s="276"/>
      <c r="I954" s="217"/>
      <c r="J954" s="217"/>
      <c r="K954" s="221"/>
      <c r="L954" s="217"/>
      <c r="M954" s="217"/>
      <c r="N954" s="217"/>
      <c r="O954" s="217"/>
      <c r="P954" s="217"/>
    </row>
    <row r="955" spans="3:16" ht="42" customHeight="1">
      <c r="C955" s="272">
        <v>953</v>
      </c>
      <c r="D955" s="275"/>
      <c r="E955" s="276"/>
      <c r="F955" s="221"/>
      <c r="G955" s="275"/>
      <c r="H955" s="276"/>
      <c r="I955" s="217"/>
      <c r="J955" s="217"/>
      <c r="K955" s="221"/>
      <c r="L955" s="217"/>
      <c r="M955" s="217"/>
      <c r="N955" s="217"/>
      <c r="O955" s="217"/>
      <c r="P955" s="217"/>
    </row>
    <row r="956" spans="3:16" ht="42" customHeight="1">
      <c r="C956" s="272">
        <v>954</v>
      </c>
      <c r="D956" s="275"/>
      <c r="E956" s="276"/>
      <c r="F956" s="221"/>
      <c r="G956" s="275"/>
      <c r="H956" s="276"/>
      <c r="I956" s="217"/>
      <c r="J956" s="217"/>
      <c r="K956" s="221"/>
      <c r="L956" s="217"/>
      <c r="M956" s="217"/>
      <c r="N956" s="217"/>
      <c r="O956" s="217"/>
      <c r="P956" s="217"/>
    </row>
    <row r="957" spans="3:16" ht="42" customHeight="1">
      <c r="C957" s="272">
        <v>955</v>
      </c>
      <c r="D957" s="275"/>
      <c r="E957" s="276"/>
      <c r="F957" s="221"/>
      <c r="G957" s="275"/>
      <c r="H957" s="276"/>
      <c r="I957" s="217"/>
      <c r="J957" s="217"/>
      <c r="K957" s="221"/>
      <c r="L957" s="217"/>
      <c r="M957" s="217"/>
      <c r="N957" s="217"/>
      <c r="O957" s="217"/>
      <c r="P957" s="217"/>
    </row>
    <row r="958" spans="3:16" ht="42" customHeight="1">
      <c r="C958" s="272">
        <v>956</v>
      </c>
      <c r="D958" s="275"/>
      <c r="E958" s="276"/>
      <c r="F958" s="221"/>
      <c r="G958" s="275"/>
      <c r="H958" s="276"/>
      <c r="I958" s="217"/>
      <c r="J958" s="217"/>
      <c r="K958" s="221"/>
      <c r="L958" s="217"/>
      <c r="M958" s="217"/>
      <c r="N958" s="217"/>
      <c r="O958" s="217"/>
      <c r="P958" s="217"/>
    </row>
    <row r="959" spans="3:16" ht="42" customHeight="1">
      <c r="C959" s="272">
        <v>957</v>
      </c>
      <c r="D959" s="275"/>
      <c r="E959" s="276"/>
      <c r="F959" s="221"/>
      <c r="G959" s="275"/>
      <c r="H959" s="276"/>
      <c r="I959" s="217"/>
      <c r="J959" s="217"/>
      <c r="K959" s="221"/>
      <c r="L959" s="217"/>
      <c r="M959" s="217"/>
      <c r="N959" s="217"/>
      <c r="O959" s="217"/>
      <c r="P959" s="217"/>
    </row>
    <row r="960" spans="3:16" ht="42" customHeight="1">
      <c r="C960" s="272">
        <v>958</v>
      </c>
      <c r="D960" s="275"/>
      <c r="E960" s="276"/>
      <c r="F960" s="221"/>
      <c r="G960" s="275"/>
      <c r="H960" s="276"/>
      <c r="I960" s="217"/>
      <c r="J960" s="217"/>
      <c r="K960" s="221"/>
      <c r="L960" s="217"/>
      <c r="M960" s="217"/>
      <c r="N960" s="217"/>
      <c r="O960" s="217"/>
      <c r="P960" s="217"/>
    </row>
    <row r="961" spans="3:16" ht="42" customHeight="1">
      <c r="C961" s="272">
        <v>959</v>
      </c>
      <c r="D961" s="275"/>
      <c r="E961" s="276"/>
      <c r="F961" s="221"/>
      <c r="G961" s="275"/>
      <c r="H961" s="276"/>
      <c r="I961" s="217"/>
      <c r="J961" s="217"/>
      <c r="K961" s="221"/>
      <c r="L961" s="217"/>
      <c r="M961" s="217"/>
      <c r="N961" s="217"/>
      <c r="O961" s="217"/>
      <c r="P961" s="217"/>
    </row>
    <row r="962" spans="3:16" ht="42" customHeight="1">
      <c r="C962" s="272">
        <v>960</v>
      </c>
      <c r="D962" s="275"/>
      <c r="E962" s="276"/>
      <c r="F962" s="221"/>
      <c r="G962" s="275"/>
      <c r="H962" s="276"/>
      <c r="I962" s="217"/>
      <c r="J962" s="217"/>
      <c r="K962" s="221"/>
      <c r="L962" s="217"/>
      <c r="M962" s="217"/>
      <c r="N962" s="217"/>
      <c r="O962" s="217"/>
      <c r="P962" s="217"/>
    </row>
    <row r="963" spans="3:16" ht="42" customHeight="1">
      <c r="C963" s="272">
        <v>961</v>
      </c>
      <c r="D963" s="275"/>
      <c r="E963" s="276"/>
      <c r="F963" s="221"/>
      <c r="G963" s="275"/>
      <c r="H963" s="276"/>
      <c r="I963" s="217"/>
      <c r="J963" s="217"/>
      <c r="K963" s="221"/>
      <c r="L963" s="217"/>
      <c r="M963" s="217"/>
      <c r="N963" s="217"/>
      <c r="O963" s="217"/>
      <c r="P963" s="217"/>
    </row>
    <row r="964" spans="3:16" ht="42" customHeight="1">
      <c r="C964" s="272">
        <v>962</v>
      </c>
      <c r="D964" s="275"/>
      <c r="E964" s="276"/>
      <c r="F964" s="221"/>
      <c r="G964" s="275"/>
      <c r="H964" s="276"/>
      <c r="I964" s="217"/>
      <c r="J964" s="217"/>
      <c r="K964" s="221"/>
      <c r="L964" s="217"/>
      <c r="M964" s="217"/>
      <c r="N964" s="217"/>
      <c r="O964" s="217"/>
      <c r="P964" s="217"/>
    </row>
    <row r="965" spans="3:16" ht="42" customHeight="1">
      <c r="C965" s="272">
        <v>963</v>
      </c>
      <c r="D965" s="275"/>
      <c r="E965" s="276"/>
      <c r="F965" s="221"/>
      <c r="G965" s="275"/>
      <c r="H965" s="276"/>
      <c r="I965" s="217"/>
      <c r="J965" s="217"/>
      <c r="K965" s="221"/>
      <c r="L965" s="217"/>
      <c r="M965" s="217"/>
      <c r="N965" s="217"/>
      <c r="O965" s="217"/>
      <c r="P965" s="217"/>
    </row>
    <row r="966" spans="3:16" ht="42" customHeight="1">
      <c r="C966" s="272">
        <v>964</v>
      </c>
      <c r="D966" s="275"/>
      <c r="E966" s="276"/>
      <c r="F966" s="221"/>
      <c r="G966" s="275"/>
      <c r="H966" s="276"/>
      <c r="I966" s="217"/>
      <c r="J966" s="217"/>
      <c r="K966" s="221"/>
      <c r="L966" s="217"/>
      <c r="M966" s="217"/>
      <c r="N966" s="217"/>
      <c r="O966" s="217"/>
      <c r="P966" s="217"/>
    </row>
    <row r="967" spans="3:16" ht="42" customHeight="1">
      <c r="C967" s="272">
        <v>965</v>
      </c>
      <c r="D967" s="275"/>
      <c r="E967" s="276"/>
      <c r="F967" s="221"/>
      <c r="G967" s="275"/>
      <c r="H967" s="276"/>
      <c r="I967" s="217"/>
      <c r="J967" s="217"/>
      <c r="K967" s="221"/>
      <c r="L967" s="217"/>
      <c r="M967" s="217"/>
      <c r="N967" s="217"/>
      <c r="O967" s="217"/>
      <c r="P967" s="217"/>
    </row>
    <row r="968" spans="3:16" ht="42" customHeight="1">
      <c r="C968" s="272">
        <v>966</v>
      </c>
      <c r="D968" s="275"/>
      <c r="E968" s="276"/>
      <c r="F968" s="221"/>
      <c r="G968" s="275"/>
      <c r="H968" s="276"/>
      <c r="I968" s="217"/>
      <c r="J968" s="217"/>
      <c r="K968" s="221"/>
      <c r="L968" s="217"/>
      <c r="M968" s="217"/>
      <c r="N968" s="217"/>
      <c r="O968" s="217"/>
      <c r="P968" s="217"/>
    </row>
    <row r="969" spans="3:16" ht="42" customHeight="1">
      <c r="C969" s="272">
        <v>967</v>
      </c>
      <c r="D969" s="275"/>
      <c r="E969" s="276"/>
      <c r="F969" s="221"/>
      <c r="G969" s="275"/>
      <c r="H969" s="276"/>
      <c r="I969" s="217"/>
      <c r="J969" s="217"/>
      <c r="K969" s="221"/>
      <c r="L969" s="217"/>
      <c r="M969" s="217"/>
      <c r="N969" s="217"/>
      <c r="O969" s="217"/>
      <c r="P969" s="217"/>
    </row>
    <row r="970" spans="3:16" ht="42" customHeight="1">
      <c r="C970" s="272">
        <v>968</v>
      </c>
      <c r="D970" s="275"/>
      <c r="E970" s="276"/>
      <c r="F970" s="221"/>
      <c r="G970" s="275"/>
      <c r="H970" s="276"/>
      <c r="I970" s="217"/>
      <c r="J970" s="217"/>
      <c r="K970" s="221"/>
      <c r="L970" s="217"/>
      <c r="M970" s="217"/>
      <c r="N970" s="217"/>
      <c r="O970" s="217"/>
      <c r="P970" s="217"/>
    </row>
    <row r="971" spans="3:16" ht="42" customHeight="1">
      <c r="C971" s="272">
        <v>969</v>
      </c>
      <c r="D971" s="275"/>
      <c r="E971" s="276"/>
      <c r="F971" s="221"/>
      <c r="G971" s="275"/>
      <c r="H971" s="276"/>
      <c r="I971" s="217"/>
      <c r="J971" s="217"/>
      <c r="K971" s="221"/>
      <c r="L971" s="217"/>
      <c r="M971" s="217"/>
      <c r="N971" s="217"/>
      <c r="O971" s="217"/>
      <c r="P971" s="217"/>
    </row>
    <row r="972" spans="3:16" ht="42" customHeight="1">
      <c r="C972" s="272">
        <v>970</v>
      </c>
      <c r="D972" s="275"/>
      <c r="E972" s="276"/>
      <c r="F972" s="221"/>
      <c r="G972" s="275"/>
      <c r="H972" s="276"/>
      <c r="I972" s="217"/>
      <c r="J972" s="217"/>
      <c r="K972" s="221"/>
      <c r="L972" s="217"/>
      <c r="M972" s="217"/>
      <c r="N972" s="217"/>
      <c r="O972" s="217"/>
      <c r="P972" s="217"/>
    </row>
    <row r="973" spans="3:16" ht="42" customHeight="1">
      <c r="C973" s="272">
        <v>971</v>
      </c>
      <c r="D973" s="275"/>
      <c r="E973" s="276"/>
      <c r="F973" s="221"/>
      <c r="G973" s="275"/>
      <c r="H973" s="276"/>
      <c r="I973" s="217"/>
      <c r="J973" s="217"/>
      <c r="K973" s="221"/>
      <c r="L973" s="217"/>
      <c r="M973" s="217"/>
      <c r="N973" s="217"/>
      <c r="O973" s="217"/>
      <c r="P973" s="217"/>
    </row>
    <row r="974" spans="3:16" ht="42" customHeight="1">
      <c r="C974" s="272">
        <v>972</v>
      </c>
      <c r="D974" s="275"/>
      <c r="E974" s="276"/>
      <c r="F974" s="221"/>
      <c r="G974" s="275"/>
      <c r="H974" s="276"/>
      <c r="I974" s="217"/>
      <c r="J974" s="217"/>
      <c r="K974" s="221"/>
      <c r="L974" s="217"/>
      <c r="M974" s="217"/>
      <c r="N974" s="217"/>
      <c r="O974" s="217"/>
      <c r="P974" s="217"/>
    </row>
    <row r="975" spans="3:16" ht="42" customHeight="1">
      <c r="C975" s="272">
        <v>973</v>
      </c>
      <c r="D975" s="275"/>
      <c r="E975" s="276"/>
      <c r="F975" s="221"/>
      <c r="G975" s="275"/>
      <c r="H975" s="276"/>
      <c r="I975" s="217"/>
      <c r="J975" s="217"/>
      <c r="K975" s="221"/>
      <c r="L975" s="217"/>
      <c r="M975" s="217"/>
      <c r="N975" s="217"/>
      <c r="O975" s="217"/>
      <c r="P975" s="217"/>
    </row>
    <row r="976" spans="3:16" ht="42" customHeight="1">
      <c r="C976" s="272">
        <v>974</v>
      </c>
      <c r="D976" s="275"/>
      <c r="E976" s="276"/>
      <c r="F976" s="221"/>
      <c r="G976" s="275"/>
      <c r="H976" s="276"/>
      <c r="I976" s="217"/>
      <c r="J976" s="217"/>
      <c r="K976" s="221"/>
      <c r="L976" s="217"/>
      <c r="M976" s="217"/>
      <c r="N976" s="217"/>
      <c r="O976" s="217"/>
      <c r="P976" s="217"/>
    </row>
    <row r="977" spans="3:16" ht="42" customHeight="1">
      <c r="C977" s="272">
        <v>975</v>
      </c>
      <c r="D977" s="275"/>
      <c r="E977" s="276"/>
      <c r="F977" s="221"/>
      <c r="G977" s="275"/>
      <c r="H977" s="276"/>
      <c r="I977" s="217"/>
      <c r="J977" s="217"/>
      <c r="K977" s="221"/>
      <c r="L977" s="217"/>
      <c r="M977" s="217"/>
      <c r="N977" s="217"/>
      <c r="O977" s="217"/>
      <c r="P977" s="217"/>
    </row>
    <row r="978" spans="3:16" ht="42" customHeight="1">
      <c r="C978" s="272">
        <v>976</v>
      </c>
      <c r="D978" s="275"/>
      <c r="E978" s="276"/>
      <c r="F978" s="221"/>
      <c r="G978" s="275"/>
      <c r="H978" s="276"/>
      <c r="I978" s="217"/>
      <c r="J978" s="217"/>
      <c r="K978" s="221"/>
      <c r="L978" s="217"/>
      <c r="M978" s="217"/>
      <c r="N978" s="217"/>
      <c r="O978" s="217"/>
      <c r="P978" s="217"/>
    </row>
    <row r="979" spans="3:16" ht="42" customHeight="1">
      <c r="C979" s="272">
        <v>977</v>
      </c>
      <c r="D979" s="275"/>
      <c r="E979" s="276"/>
      <c r="F979" s="221"/>
      <c r="G979" s="275"/>
      <c r="H979" s="276"/>
      <c r="I979" s="217"/>
      <c r="J979" s="217"/>
      <c r="K979" s="221"/>
      <c r="L979" s="217"/>
      <c r="M979" s="217"/>
      <c r="N979" s="217"/>
      <c r="O979" s="217"/>
      <c r="P979" s="217"/>
    </row>
    <row r="980" spans="3:16" ht="42" customHeight="1">
      <c r="C980" s="272">
        <v>978</v>
      </c>
      <c r="D980" s="275"/>
      <c r="E980" s="276"/>
      <c r="F980" s="221"/>
      <c r="G980" s="275"/>
      <c r="H980" s="276"/>
      <c r="I980" s="217"/>
      <c r="J980" s="217"/>
      <c r="K980" s="221"/>
      <c r="L980" s="217"/>
      <c r="M980" s="217"/>
      <c r="N980" s="217"/>
      <c r="O980" s="217"/>
      <c r="P980" s="217"/>
    </row>
    <row r="981" spans="3:16" ht="42" customHeight="1">
      <c r="C981" s="272">
        <v>979</v>
      </c>
      <c r="D981" s="275"/>
      <c r="E981" s="276"/>
      <c r="F981" s="221"/>
      <c r="G981" s="275"/>
      <c r="H981" s="276"/>
      <c r="I981" s="217"/>
      <c r="J981" s="217"/>
      <c r="K981" s="221"/>
      <c r="L981" s="217"/>
      <c r="M981" s="217"/>
      <c r="N981" s="217"/>
      <c r="O981" s="217"/>
      <c r="P981" s="217"/>
    </row>
    <row r="982" spans="3:16" ht="42" customHeight="1">
      <c r="C982" s="272">
        <v>980</v>
      </c>
      <c r="D982" s="275"/>
      <c r="E982" s="276"/>
      <c r="F982" s="221"/>
      <c r="G982" s="275"/>
      <c r="H982" s="276"/>
      <c r="I982" s="217"/>
      <c r="J982" s="217"/>
      <c r="K982" s="221"/>
      <c r="L982" s="217"/>
      <c r="M982" s="217"/>
      <c r="N982" s="217"/>
      <c r="O982" s="217"/>
      <c r="P982" s="217"/>
    </row>
    <row r="983" spans="3:16" ht="42" customHeight="1">
      <c r="C983" s="272">
        <v>981</v>
      </c>
      <c r="D983" s="275"/>
      <c r="E983" s="276"/>
      <c r="F983" s="221"/>
      <c r="G983" s="275"/>
      <c r="H983" s="276"/>
      <c r="I983" s="217"/>
      <c r="J983" s="217"/>
      <c r="K983" s="221"/>
      <c r="L983" s="217"/>
      <c r="M983" s="217"/>
      <c r="N983" s="217"/>
      <c r="O983" s="217"/>
      <c r="P983" s="217"/>
    </row>
    <row r="984" spans="3:16" ht="42" customHeight="1">
      <c r="C984" s="272">
        <v>982</v>
      </c>
      <c r="D984" s="275"/>
      <c r="E984" s="276"/>
      <c r="F984" s="221"/>
      <c r="G984" s="275"/>
      <c r="H984" s="276"/>
      <c r="I984" s="217"/>
      <c r="J984" s="217"/>
      <c r="K984" s="221"/>
      <c r="L984" s="217"/>
      <c r="M984" s="217"/>
      <c r="N984" s="217"/>
      <c r="O984" s="217"/>
      <c r="P984" s="217"/>
    </row>
    <row r="985" spans="3:16" ht="42" customHeight="1">
      <c r="C985" s="272">
        <v>983</v>
      </c>
      <c r="D985" s="275"/>
      <c r="E985" s="276"/>
      <c r="F985" s="221"/>
      <c r="G985" s="275"/>
      <c r="H985" s="276"/>
      <c r="I985" s="217"/>
      <c r="J985" s="217"/>
      <c r="K985" s="221"/>
      <c r="L985" s="217"/>
      <c r="M985" s="217"/>
      <c r="N985" s="217"/>
      <c r="O985" s="217"/>
      <c r="P985" s="217"/>
    </row>
    <row r="986" spans="3:16" ht="42" customHeight="1">
      <c r="C986" s="272">
        <v>984</v>
      </c>
      <c r="D986" s="275"/>
      <c r="E986" s="276"/>
      <c r="F986" s="221"/>
      <c r="G986" s="275"/>
      <c r="H986" s="276"/>
      <c r="I986" s="217"/>
      <c r="J986" s="217"/>
      <c r="K986" s="221"/>
      <c r="L986" s="217"/>
      <c r="M986" s="217"/>
      <c r="N986" s="217"/>
      <c r="O986" s="217"/>
      <c r="P986" s="217"/>
    </row>
    <row r="987" spans="3:16" ht="42" customHeight="1">
      <c r="C987" s="272">
        <v>985</v>
      </c>
      <c r="D987" s="275"/>
      <c r="E987" s="276"/>
      <c r="F987" s="221"/>
      <c r="G987" s="275"/>
      <c r="H987" s="276"/>
      <c r="I987" s="217"/>
      <c r="J987" s="217"/>
      <c r="K987" s="221"/>
      <c r="L987" s="217"/>
      <c r="M987" s="217"/>
      <c r="N987" s="217"/>
      <c r="O987" s="217"/>
      <c r="P987" s="217"/>
    </row>
    <row r="988" spans="3:16" ht="42" customHeight="1">
      <c r="C988" s="272">
        <v>986</v>
      </c>
      <c r="D988" s="275"/>
      <c r="E988" s="276"/>
      <c r="F988" s="221"/>
      <c r="G988" s="275"/>
      <c r="H988" s="276"/>
      <c r="I988" s="217"/>
      <c r="J988" s="217"/>
      <c r="K988" s="221"/>
      <c r="L988" s="217"/>
      <c r="M988" s="217"/>
      <c r="N988" s="217"/>
      <c r="O988" s="217"/>
      <c r="P988" s="217"/>
    </row>
    <row r="989" spans="3:16" ht="42" customHeight="1">
      <c r="C989" s="272">
        <v>987</v>
      </c>
      <c r="D989" s="275"/>
      <c r="E989" s="276"/>
      <c r="F989" s="221"/>
      <c r="G989" s="275"/>
      <c r="H989" s="276"/>
      <c r="I989" s="217"/>
      <c r="J989" s="217"/>
      <c r="K989" s="221"/>
      <c r="L989" s="217"/>
      <c r="M989" s="217"/>
      <c r="N989" s="217"/>
      <c r="O989" s="217"/>
      <c r="P989" s="217"/>
    </row>
    <row r="990" spans="3:16" ht="42" customHeight="1">
      <c r="C990" s="272">
        <v>988</v>
      </c>
      <c r="D990" s="275"/>
      <c r="E990" s="276"/>
      <c r="F990" s="221"/>
      <c r="G990" s="275"/>
      <c r="H990" s="276"/>
      <c r="I990" s="217"/>
      <c r="J990" s="217"/>
      <c r="K990" s="221"/>
      <c r="L990" s="217"/>
      <c r="M990" s="217"/>
      <c r="N990" s="217"/>
      <c r="O990" s="217"/>
      <c r="P990" s="217"/>
    </row>
    <row r="991" spans="3:16" ht="42" customHeight="1">
      <c r="C991" s="272">
        <v>989</v>
      </c>
      <c r="D991" s="275"/>
      <c r="E991" s="276"/>
      <c r="F991" s="221"/>
      <c r="G991" s="275"/>
      <c r="H991" s="276"/>
      <c r="I991" s="217"/>
      <c r="J991" s="217"/>
      <c r="K991" s="221"/>
      <c r="L991" s="217"/>
      <c r="M991" s="217"/>
      <c r="N991" s="217"/>
      <c r="O991" s="217"/>
      <c r="P991" s="217"/>
    </row>
    <row r="992" spans="3:16" ht="42" customHeight="1">
      <c r="C992" s="272">
        <v>990</v>
      </c>
      <c r="D992" s="275"/>
      <c r="E992" s="276"/>
      <c r="F992" s="221"/>
      <c r="G992" s="275"/>
      <c r="H992" s="276"/>
      <c r="I992" s="217"/>
      <c r="J992" s="217"/>
      <c r="K992" s="221"/>
      <c r="L992" s="217"/>
      <c r="M992" s="217"/>
      <c r="N992" s="217"/>
      <c r="O992" s="217"/>
      <c r="P992" s="217"/>
    </row>
    <row r="993" spans="3:16" ht="42" customHeight="1">
      <c r="C993" s="272">
        <v>991</v>
      </c>
      <c r="D993" s="275"/>
      <c r="E993" s="276"/>
      <c r="F993" s="221"/>
      <c r="G993" s="275"/>
      <c r="H993" s="276"/>
      <c r="I993" s="217"/>
      <c r="J993" s="217"/>
      <c r="K993" s="221"/>
      <c r="L993" s="217"/>
      <c r="M993" s="217"/>
      <c r="N993" s="217"/>
      <c r="O993" s="217"/>
      <c r="P993" s="217"/>
    </row>
    <row r="994" spans="3:16" ht="42" customHeight="1">
      <c r="C994" s="272">
        <v>992</v>
      </c>
      <c r="D994" s="275"/>
      <c r="E994" s="276"/>
      <c r="F994" s="221"/>
      <c r="G994" s="275"/>
      <c r="H994" s="276"/>
      <c r="I994" s="217"/>
      <c r="J994" s="217"/>
      <c r="K994" s="221"/>
      <c r="L994" s="217"/>
      <c r="M994" s="217"/>
      <c r="N994" s="217"/>
      <c r="O994" s="217"/>
      <c r="P994" s="217"/>
    </row>
    <row r="995" spans="3:16" ht="42" customHeight="1">
      <c r="C995" s="272">
        <v>993</v>
      </c>
      <c r="D995" s="275"/>
      <c r="E995" s="276"/>
      <c r="F995" s="221"/>
      <c r="G995" s="275"/>
      <c r="H995" s="276"/>
      <c r="I995" s="217"/>
      <c r="J995" s="217"/>
      <c r="K995" s="221"/>
      <c r="L995" s="217"/>
      <c r="M995" s="217"/>
      <c r="N995" s="217"/>
      <c r="O995" s="217"/>
      <c r="P995" s="217"/>
    </row>
    <row r="996" spans="3:16" ht="42" customHeight="1">
      <c r="C996" s="272">
        <v>994</v>
      </c>
      <c r="D996" s="275"/>
      <c r="E996" s="276"/>
      <c r="F996" s="221"/>
      <c r="G996" s="275"/>
      <c r="H996" s="276"/>
      <c r="I996" s="217"/>
      <c r="J996" s="217"/>
      <c r="K996" s="221"/>
      <c r="L996" s="217"/>
      <c r="M996" s="217"/>
      <c r="N996" s="217"/>
      <c r="O996" s="217"/>
      <c r="P996" s="217"/>
    </row>
    <row r="997" spans="3:16" ht="42" customHeight="1">
      <c r="C997" s="272">
        <v>995</v>
      </c>
      <c r="D997" s="275"/>
      <c r="E997" s="276"/>
      <c r="F997" s="221"/>
      <c r="G997" s="275"/>
      <c r="H997" s="276"/>
      <c r="I997" s="217"/>
      <c r="J997" s="217"/>
      <c r="K997" s="221"/>
      <c r="L997" s="217"/>
      <c r="M997" s="217"/>
      <c r="N997" s="217"/>
      <c r="O997" s="217"/>
      <c r="P997" s="217"/>
    </row>
    <row r="998" spans="3:16" ht="42" customHeight="1">
      <c r="C998" s="272">
        <v>996</v>
      </c>
      <c r="D998" s="275"/>
      <c r="E998" s="276"/>
      <c r="F998" s="221"/>
      <c r="G998" s="275"/>
      <c r="H998" s="276"/>
      <c r="I998" s="217"/>
      <c r="J998" s="217"/>
      <c r="K998" s="221"/>
      <c r="L998" s="217"/>
      <c r="M998" s="217"/>
      <c r="N998" s="217"/>
      <c r="O998" s="217"/>
      <c r="P998" s="217"/>
    </row>
    <row r="999" spans="3:16" ht="42" customHeight="1">
      <c r="C999" s="272">
        <v>997</v>
      </c>
      <c r="D999" s="275"/>
      <c r="E999" s="276"/>
      <c r="F999" s="221"/>
      <c r="G999" s="275"/>
      <c r="H999" s="276"/>
      <c r="I999" s="217"/>
      <c r="J999" s="217"/>
      <c r="K999" s="221"/>
      <c r="L999" s="217"/>
      <c r="M999" s="217"/>
      <c r="N999" s="217"/>
      <c r="O999" s="217"/>
      <c r="P999" s="217"/>
    </row>
    <row r="1000" spans="3:16" ht="42" customHeight="1">
      <c r="C1000" s="272">
        <v>998</v>
      </c>
      <c r="D1000" s="275"/>
      <c r="E1000" s="276"/>
      <c r="F1000" s="221"/>
      <c r="G1000" s="275"/>
      <c r="H1000" s="276"/>
      <c r="I1000" s="217"/>
      <c r="J1000" s="217"/>
      <c r="K1000" s="221"/>
      <c r="L1000" s="217"/>
      <c r="M1000" s="217"/>
      <c r="N1000" s="217"/>
      <c r="O1000" s="217"/>
      <c r="P1000" s="217"/>
    </row>
    <row r="1001" spans="3:16" ht="42" customHeight="1">
      <c r="C1001" s="272">
        <v>999</v>
      </c>
      <c r="D1001" s="275"/>
      <c r="E1001" s="276"/>
      <c r="F1001" s="221"/>
      <c r="G1001" s="275"/>
      <c r="H1001" s="276"/>
      <c r="I1001" s="217"/>
      <c r="J1001" s="217"/>
      <c r="K1001" s="221"/>
      <c r="L1001" s="217"/>
      <c r="M1001" s="217"/>
      <c r="N1001" s="217"/>
      <c r="O1001" s="217"/>
      <c r="P1001" s="217"/>
    </row>
    <row r="1002" spans="3:16" ht="42" customHeight="1">
      <c r="C1002" s="272">
        <v>1000</v>
      </c>
      <c r="D1002" s="275"/>
      <c r="E1002" s="276"/>
      <c r="F1002" s="221"/>
      <c r="G1002" s="275"/>
      <c r="H1002" s="276"/>
      <c r="I1002" s="217"/>
      <c r="J1002" s="217"/>
      <c r="K1002" s="221"/>
      <c r="L1002" s="217"/>
      <c r="M1002" s="217"/>
      <c r="N1002" s="217"/>
      <c r="O1002" s="217"/>
      <c r="P1002" s="217"/>
    </row>
    <row r="1003" spans="3:16" ht="42" customHeight="1">
      <c r="C1003" s="272">
        <v>1001</v>
      </c>
      <c r="D1003" s="275"/>
      <c r="E1003" s="276"/>
      <c r="F1003" s="221"/>
      <c r="G1003" s="275"/>
      <c r="H1003" s="276"/>
      <c r="I1003" s="217"/>
      <c r="J1003" s="217"/>
      <c r="K1003" s="221"/>
      <c r="L1003" s="217"/>
      <c r="M1003" s="217"/>
      <c r="N1003" s="217"/>
      <c r="O1003" s="217"/>
      <c r="P1003" s="217"/>
    </row>
    <row r="1004" spans="3:16" ht="42" customHeight="1">
      <c r="C1004" s="272">
        <v>1002</v>
      </c>
      <c r="D1004" s="275"/>
      <c r="E1004" s="276"/>
      <c r="F1004" s="221"/>
      <c r="G1004" s="275"/>
      <c r="H1004" s="276"/>
      <c r="I1004" s="217"/>
      <c r="J1004" s="217"/>
      <c r="K1004" s="221"/>
      <c r="L1004" s="217"/>
      <c r="M1004" s="217"/>
      <c r="N1004" s="217"/>
      <c r="O1004" s="217"/>
      <c r="P1004" s="217"/>
    </row>
    <row r="1005" spans="3:16" ht="42" customHeight="1">
      <c r="C1005" s="272">
        <v>1003</v>
      </c>
      <c r="D1005" s="275"/>
      <c r="E1005" s="276"/>
      <c r="F1005" s="221"/>
      <c r="G1005" s="275"/>
      <c r="H1005" s="276"/>
      <c r="I1005" s="217"/>
      <c r="J1005" s="217"/>
      <c r="K1005" s="221"/>
      <c r="L1005" s="217"/>
      <c r="M1005" s="217"/>
      <c r="N1005" s="217"/>
      <c r="O1005" s="217"/>
      <c r="P1005" s="217"/>
    </row>
    <row r="1006" spans="3:16" ht="42" customHeight="1">
      <c r="C1006" s="272">
        <v>1004</v>
      </c>
      <c r="D1006" s="275"/>
      <c r="E1006" s="276"/>
      <c r="F1006" s="221"/>
      <c r="G1006" s="275"/>
      <c r="H1006" s="276"/>
      <c r="I1006" s="217"/>
      <c r="J1006" s="217"/>
      <c r="K1006" s="221"/>
      <c r="L1006" s="217"/>
      <c r="M1006" s="217"/>
      <c r="N1006" s="217"/>
      <c r="O1006" s="217"/>
      <c r="P1006" s="217"/>
    </row>
    <row r="1007" spans="3:16" ht="42" customHeight="1">
      <c r="C1007" s="272">
        <v>1005</v>
      </c>
      <c r="D1007" s="275"/>
      <c r="E1007" s="276"/>
      <c r="F1007" s="221"/>
      <c r="G1007" s="275"/>
      <c r="H1007" s="276"/>
      <c r="I1007" s="217"/>
      <c r="J1007" s="217"/>
      <c r="K1007" s="221"/>
      <c r="L1007" s="217"/>
      <c r="M1007" s="217"/>
      <c r="N1007" s="217"/>
      <c r="O1007" s="217"/>
      <c r="P1007" s="217"/>
    </row>
    <row r="1008" spans="3:16" ht="42" customHeight="1">
      <c r="C1008" s="272">
        <v>1006</v>
      </c>
      <c r="D1008" s="275"/>
      <c r="E1008" s="276"/>
      <c r="F1008" s="221"/>
      <c r="G1008" s="275"/>
      <c r="H1008" s="276"/>
      <c r="I1008" s="217"/>
      <c r="J1008" s="217"/>
      <c r="K1008" s="221"/>
      <c r="L1008" s="217"/>
      <c r="M1008" s="217"/>
      <c r="N1008" s="217"/>
      <c r="O1008" s="217"/>
      <c r="P1008" s="217"/>
    </row>
    <row r="1009" spans="3:16" ht="42" customHeight="1">
      <c r="C1009" s="272">
        <v>1007</v>
      </c>
      <c r="D1009" s="275"/>
      <c r="E1009" s="276"/>
      <c r="F1009" s="221"/>
      <c r="G1009" s="275"/>
      <c r="H1009" s="276"/>
      <c r="I1009" s="217"/>
      <c r="J1009" s="217"/>
      <c r="K1009" s="221"/>
      <c r="L1009" s="217"/>
      <c r="M1009" s="217"/>
      <c r="N1009" s="217"/>
      <c r="O1009" s="217"/>
      <c r="P1009" s="217"/>
    </row>
    <row r="1010" spans="3:16" ht="42" customHeight="1">
      <c r="C1010" s="272">
        <v>1008</v>
      </c>
      <c r="D1010" s="275"/>
      <c r="E1010" s="276"/>
      <c r="F1010" s="221"/>
      <c r="G1010" s="275"/>
      <c r="H1010" s="276"/>
      <c r="I1010" s="217"/>
      <c r="J1010" s="217"/>
      <c r="K1010" s="221"/>
      <c r="L1010" s="217"/>
      <c r="M1010" s="217"/>
      <c r="N1010" s="217"/>
      <c r="O1010" s="217"/>
      <c r="P1010" s="217"/>
    </row>
    <row r="1011" spans="3:16" ht="42" customHeight="1">
      <c r="C1011" s="272">
        <v>1009</v>
      </c>
      <c r="D1011" s="275"/>
      <c r="E1011" s="276"/>
      <c r="F1011" s="221"/>
      <c r="G1011" s="275"/>
      <c r="H1011" s="276"/>
      <c r="I1011" s="217"/>
      <c r="J1011" s="217"/>
      <c r="K1011" s="221"/>
      <c r="L1011" s="217"/>
      <c r="M1011" s="217"/>
      <c r="N1011" s="217"/>
      <c r="O1011" s="217"/>
      <c r="P1011" s="217"/>
    </row>
    <row r="1012" spans="3:16" ht="42" customHeight="1">
      <c r="C1012" s="272">
        <v>1010</v>
      </c>
      <c r="D1012" s="275"/>
      <c r="E1012" s="276"/>
      <c r="F1012" s="221"/>
      <c r="G1012" s="275"/>
      <c r="H1012" s="276"/>
      <c r="I1012" s="217"/>
      <c r="J1012" s="217"/>
      <c r="K1012" s="221"/>
      <c r="L1012" s="217"/>
      <c r="M1012" s="217"/>
      <c r="N1012" s="217"/>
      <c r="O1012" s="217"/>
      <c r="P1012" s="217"/>
    </row>
    <row r="1013" spans="3:16" ht="42" customHeight="1">
      <c r="C1013" s="272">
        <v>1011</v>
      </c>
      <c r="D1013" s="275"/>
      <c r="E1013" s="276"/>
      <c r="F1013" s="221"/>
      <c r="G1013" s="275"/>
      <c r="H1013" s="276"/>
      <c r="I1013" s="217"/>
      <c r="J1013" s="217"/>
      <c r="K1013" s="221"/>
      <c r="L1013" s="217"/>
      <c r="M1013" s="217"/>
      <c r="N1013" s="217"/>
      <c r="O1013" s="217"/>
      <c r="P1013" s="217"/>
    </row>
    <row r="1014" spans="3:16" ht="42" customHeight="1">
      <c r="C1014" s="272">
        <v>1012</v>
      </c>
      <c r="D1014" s="275"/>
      <c r="E1014" s="276"/>
      <c r="F1014" s="221"/>
      <c r="G1014" s="275"/>
      <c r="H1014" s="276"/>
      <c r="I1014" s="217"/>
      <c r="J1014" s="217"/>
      <c r="K1014" s="221"/>
      <c r="L1014" s="217"/>
      <c r="M1014" s="217"/>
      <c r="N1014" s="217"/>
      <c r="O1014" s="217"/>
      <c r="P1014" s="217"/>
    </row>
    <row r="1015" spans="3:16" ht="42" customHeight="1">
      <c r="C1015" s="272">
        <v>1013</v>
      </c>
      <c r="D1015" s="275"/>
      <c r="E1015" s="276"/>
      <c r="F1015" s="221"/>
      <c r="G1015" s="275"/>
      <c r="H1015" s="276"/>
      <c r="I1015" s="217"/>
      <c r="J1015" s="217"/>
      <c r="K1015" s="221"/>
      <c r="L1015" s="217"/>
      <c r="M1015" s="217"/>
      <c r="N1015" s="217"/>
      <c r="O1015" s="217"/>
      <c r="P1015" s="217"/>
    </row>
    <row r="1016" spans="3:16" ht="42" customHeight="1">
      <c r="C1016" s="272">
        <v>1014</v>
      </c>
      <c r="D1016" s="275"/>
      <c r="E1016" s="276"/>
      <c r="F1016" s="221"/>
      <c r="G1016" s="275"/>
      <c r="H1016" s="276"/>
      <c r="I1016" s="217"/>
      <c r="J1016" s="217"/>
      <c r="K1016" s="221"/>
      <c r="L1016" s="217"/>
      <c r="M1016" s="217"/>
      <c r="N1016" s="217"/>
      <c r="O1016" s="217"/>
      <c r="P1016" s="217"/>
    </row>
    <row r="1017" spans="3:16" ht="42" customHeight="1">
      <c r="C1017" s="272">
        <v>1015</v>
      </c>
      <c r="D1017" s="275"/>
      <c r="E1017" s="276"/>
      <c r="F1017" s="221"/>
      <c r="G1017" s="275"/>
      <c r="H1017" s="276"/>
      <c r="I1017" s="217"/>
      <c r="J1017" s="217"/>
      <c r="K1017" s="221"/>
      <c r="L1017" s="217"/>
      <c r="M1017" s="217"/>
      <c r="N1017" s="217"/>
      <c r="O1017" s="217"/>
      <c r="P1017" s="217"/>
    </row>
    <row r="1018" spans="3:16" ht="42" customHeight="1">
      <c r="C1018" s="272">
        <v>1016</v>
      </c>
      <c r="D1018" s="275"/>
      <c r="E1018" s="276"/>
      <c r="F1018" s="221"/>
      <c r="G1018" s="275"/>
      <c r="H1018" s="276"/>
      <c r="I1018" s="217"/>
      <c r="J1018" s="217"/>
      <c r="K1018" s="221"/>
      <c r="L1018" s="217"/>
      <c r="M1018" s="217"/>
      <c r="N1018" s="217"/>
      <c r="O1018" s="217"/>
      <c r="P1018" s="217"/>
    </row>
    <row r="1019" spans="3:16" ht="42" customHeight="1">
      <c r="C1019" s="272">
        <v>1017</v>
      </c>
      <c r="D1019" s="275"/>
      <c r="E1019" s="276"/>
      <c r="F1019" s="221"/>
      <c r="G1019" s="275"/>
      <c r="H1019" s="276"/>
      <c r="I1019" s="217"/>
      <c r="J1019" s="217"/>
      <c r="K1019" s="221"/>
      <c r="L1019" s="217"/>
      <c r="M1019" s="217"/>
      <c r="N1019" s="217"/>
      <c r="O1019" s="217"/>
      <c r="P1019" s="217"/>
    </row>
    <row r="1020" spans="3:16" ht="42" customHeight="1">
      <c r="C1020" s="272">
        <v>1018</v>
      </c>
      <c r="D1020" s="275"/>
      <c r="E1020" s="276"/>
      <c r="F1020" s="221"/>
      <c r="G1020" s="275"/>
      <c r="H1020" s="276"/>
      <c r="I1020" s="217"/>
      <c r="J1020" s="217"/>
      <c r="K1020" s="221"/>
      <c r="L1020" s="217"/>
      <c r="M1020" s="217"/>
      <c r="N1020" s="217"/>
      <c r="O1020" s="217"/>
      <c r="P1020" s="217"/>
    </row>
    <row r="1021" spans="3:16" ht="42" customHeight="1">
      <c r="C1021" s="272">
        <v>1019</v>
      </c>
      <c r="D1021" s="275"/>
      <c r="E1021" s="276"/>
      <c r="F1021" s="221"/>
      <c r="G1021" s="275"/>
      <c r="H1021" s="276"/>
      <c r="I1021" s="217"/>
      <c r="J1021" s="217"/>
      <c r="K1021" s="221"/>
      <c r="L1021" s="217"/>
      <c r="M1021" s="217"/>
      <c r="N1021" s="217"/>
      <c r="O1021" s="217"/>
      <c r="P1021" s="217"/>
    </row>
    <row r="1022" spans="3:16" ht="42" customHeight="1">
      <c r="C1022" s="272">
        <v>1020</v>
      </c>
      <c r="D1022" s="275"/>
      <c r="E1022" s="276"/>
      <c r="F1022" s="221"/>
      <c r="G1022" s="275"/>
      <c r="H1022" s="276"/>
      <c r="I1022" s="217"/>
      <c r="J1022" s="217"/>
      <c r="K1022" s="221"/>
      <c r="L1022" s="217"/>
      <c r="M1022" s="217"/>
      <c r="N1022" s="217"/>
      <c r="O1022" s="217"/>
      <c r="P1022" s="217"/>
    </row>
    <row r="1023" spans="3:16" ht="42" customHeight="1">
      <c r="C1023" s="272">
        <v>1021</v>
      </c>
      <c r="D1023" s="275"/>
      <c r="E1023" s="276"/>
      <c r="F1023" s="221"/>
      <c r="G1023" s="275"/>
      <c r="H1023" s="276"/>
      <c r="I1023" s="217"/>
      <c r="J1023" s="217"/>
      <c r="K1023" s="221"/>
      <c r="L1023" s="217"/>
      <c r="M1023" s="217"/>
      <c r="N1023" s="217"/>
      <c r="O1023" s="217"/>
      <c r="P1023" s="217"/>
    </row>
    <row r="1024" spans="3:16" ht="42" customHeight="1">
      <c r="C1024" s="272">
        <v>1022</v>
      </c>
      <c r="D1024" s="275"/>
      <c r="E1024" s="276"/>
      <c r="F1024" s="221"/>
      <c r="G1024" s="275"/>
      <c r="H1024" s="276"/>
      <c r="I1024" s="217"/>
      <c r="J1024" s="217"/>
      <c r="K1024" s="221"/>
      <c r="L1024" s="217"/>
      <c r="M1024" s="217"/>
      <c r="N1024" s="217"/>
      <c r="O1024" s="217"/>
      <c r="P1024" s="217"/>
    </row>
    <row r="1025" spans="3:16" ht="42" customHeight="1">
      <c r="C1025" s="272">
        <v>1023</v>
      </c>
      <c r="D1025" s="275"/>
      <c r="E1025" s="276"/>
      <c r="F1025" s="221"/>
      <c r="G1025" s="275"/>
      <c r="H1025" s="276"/>
      <c r="I1025" s="217"/>
      <c r="J1025" s="217"/>
      <c r="K1025" s="221"/>
      <c r="L1025" s="217"/>
      <c r="M1025" s="217"/>
      <c r="N1025" s="217"/>
      <c r="O1025" s="217"/>
      <c r="P1025" s="217"/>
    </row>
    <row r="1026" spans="3:16" ht="42" customHeight="1">
      <c r="C1026" s="272">
        <v>1024</v>
      </c>
      <c r="D1026" s="275"/>
      <c r="E1026" s="276"/>
      <c r="F1026" s="221"/>
      <c r="G1026" s="275"/>
      <c r="H1026" s="276"/>
      <c r="I1026" s="217"/>
      <c r="J1026" s="217"/>
      <c r="K1026" s="221"/>
      <c r="L1026" s="217"/>
      <c r="M1026" s="217"/>
      <c r="N1026" s="217"/>
      <c r="O1026" s="217"/>
      <c r="P1026" s="217"/>
    </row>
    <row r="1027" spans="3:16" ht="42" customHeight="1">
      <c r="C1027" s="272">
        <v>1025</v>
      </c>
      <c r="D1027" s="275"/>
      <c r="E1027" s="276"/>
      <c r="F1027" s="221"/>
      <c r="G1027" s="275"/>
      <c r="H1027" s="276"/>
      <c r="I1027" s="217"/>
      <c r="J1027" s="217"/>
      <c r="K1027" s="221"/>
      <c r="L1027" s="217"/>
      <c r="M1027" s="217"/>
      <c r="N1027" s="217"/>
      <c r="O1027" s="217"/>
      <c r="P1027" s="217"/>
    </row>
    <row r="1028" spans="3:16" ht="42" customHeight="1">
      <c r="C1028" s="272">
        <v>1026</v>
      </c>
      <c r="D1028" s="275"/>
      <c r="E1028" s="276"/>
      <c r="F1028" s="221"/>
      <c r="G1028" s="275"/>
      <c r="H1028" s="276"/>
      <c r="I1028" s="217"/>
      <c r="J1028" s="217"/>
      <c r="K1028" s="221"/>
      <c r="L1028" s="217"/>
      <c r="M1028" s="217"/>
      <c r="N1028" s="217"/>
      <c r="O1028" s="217"/>
      <c r="P1028" s="217"/>
    </row>
    <row r="1029" spans="3:16" ht="42" customHeight="1">
      <c r="C1029" s="272">
        <v>1027</v>
      </c>
      <c r="D1029" s="275"/>
      <c r="E1029" s="276"/>
      <c r="F1029" s="221"/>
      <c r="G1029" s="275"/>
      <c r="H1029" s="276"/>
      <c r="I1029" s="217"/>
      <c r="J1029" s="217"/>
      <c r="K1029" s="221"/>
      <c r="L1029" s="217"/>
      <c r="M1029" s="217"/>
      <c r="N1029" s="217"/>
      <c r="O1029" s="217"/>
      <c r="P1029" s="217"/>
    </row>
    <row r="1030" spans="3:16" ht="42" customHeight="1">
      <c r="C1030" s="272">
        <v>1028</v>
      </c>
      <c r="D1030" s="275"/>
      <c r="E1030" s="276"/>
      <c r="F1030" s="221"/>
      <c r="G1030" s="275"/>
      <c r="H1030" s="276"/>
      <c r="I1030" s="217"/>
      <c r="J1030" s="217"/>
      <c r="K1030" s="221"/>
      <c r="L1030" s="217"/>
      <c r="M1030" s="217"/>
      <c r="N1030" s="217"/>
      <c r="O1030" s="217"/>
      <c r="P1030" s="217"/>
    </row>
    <row r="1031" spans="3:16" ht="42" customHeight="1">
      <c r="C1031" s="272">
        <v>1029</v>
      </c>
      <c r="D1031" s="275"/>
      <c r="E1031" s="276"/>
      <c r="F1031" s="221"/>
      <c r="G1031" s="275"/>
      <c r="H1031" s="276"/>
      <c r="I1031" s="217"/>
      <c r="J1031" s="217"/>
      <c r="K1031" s="221"/>
      <c r="L1031" s="217"/>
      <c r="M1031" s="217"/>
      <c r="N1031" s="217"/>
      <c r="O1031" s="217"/>
      <c r="P1031" s="217"/>
    </row>
    <row r="1032" spans="3:16" ht="42" customHeight="1">
      <c r="C1032" s="272">
        <v>1030</v>
      </c>
      <c r="D1032" s="275"/>
      <c r="E1032" s="276"/>
      <c r="F1032" s="221"/>
      <c r="G1032" s="275"/>
      <c r="H1032" s="276"/>
      <c r="I1032" s="217"/>
      <c r="J1032" s="217"/>
      <c r="K1032" s="221"/>
      <c r="L1032" s="217"/>
      <c r="M1032" s="217"/>
      <c r="N1032" s="217"/>
      <c r="O1032" s="217"/>
      <c r="P1032" s="217"/>
    </row>
    <row r="1033" spans="3:16" ht="42" customHeight="1">
      <c r="C1033" s="272">
        <v>1031</v>
      </c>
      <c r="D1033" s="275"/>
      <c r="E1033" s="276"/>
      <c r="F1033" s="221"/>
      <c r="G1033" s="275"/>
      <c r="H1033" s="276"/>
      <c r="I1033" s="217"/>
      <c r="J1033" s="217"/>
      <c r="K1033" s="221"/>
      <c r="L1033" s="217"/>
      <c r="M1033" s="217"/>
      <c r="N1033" s="217"/>
      <c r="O1033" s="217"/>
      <c r="P1033" s="217"/>
    </row>
    <row r="1034" spans="3:16" ht="42" customHeight="1">
      <c r="C1034" s="272">
        <v>1032</v>
      </c>
      <c r="D1034" s="275"/>
      <c r="E1034" s="276"/>
      <c r="F1034" s="221"/>
      <c r="G1034" s="275"/>
      <c r="H1034" s="276"/>
      <c r="I1034" s="217"/>
      <c r="J1034" s="217"/>
      <c r="K1034" s="221"/>
      <c r="L1034" s="217"/>
      <c r="M1034" s="217"/>
      <c r="N1034" s="217"/>
      <c r="O1034" s="217"/>
      <c r="P1034" s="217"/>
    </row>
    <row r="1035" spans="3:16" ht="42" customHeight="1">
      <c r="C1035" s="272">
        <v>1033</v>
      </c>
      <c r="D1035" s="275"/>
      <c r="E1035" s="276"/>
      <c r="F1035" s="221"/>
      <c r="G1035" s="275"/>
      <c r="H1035" s="276"/>
      <c r="I1035" s="217"/>
      <c r="J1035" s="217"/>
      <c r="K1035" s="221"/>
      <c r="L1035" s="217"/>
      <c r="M1035" s="217"/>
      <c r="N1035" s="217"/>
      <c r="O1035" s="217"/>
      <c r="P1035" s="217"/>
    </row>
    <row r="1036" spans="3:16" ht="42" customHeight="1">
      <c r="C1036" s="272">
        <v>1034</v>
      </c>
      <c r="D1036" s="275"/>
      <c r="E1036" s="276"/>
      <c r="F1036" s="221"/>
      <c r="G1036" s="275"/>
      <c r="H1036" s="276"/>
      <c r="I1036" s="217"/>
      <c r="J1036" s="217"/>
      <c r="K1036" s="221"/>
      <c r="L1036" s="217"/>
      <c r="M1036" s="217"/>
      <c r="N1036" s="217"/>
      <c r="O1036" s="217"/>
      <c r="P1036" s="217"/>
    </row>
    <row r="1037" spans="3:16" ht="42" customHeight="1">
      <c r="C1037" s="272">
        <v>1035</v>
      </c>
      <c r="D1037" s="275"/>
      <c r="E1037" s="276"/>
      <c r="F1037" s="221"/>
      <c r="G1037" s="275"/>
      <c r="H1037" s="276"/>
      <c r="I1037" s="217"/>
      <c r="J1037" s="217"/>
      <c r="K1037" s="221"/>
      <c r="L1037" s="217"/>
      <c r="M1037" s="217"/>
      <c r="N1037" s="217"/>
      <c r="O1037" s="217"/>
      <c r="P1037" s="217"/>
    </row>
    <row r="1038" spans="3:16" ht="42" customHeight="1">
      <c r="C1038" s="272">
        <v>1036</v>
      </c>
      <c r="D1038" s="275"/>
      <c r="E1038" s="276"/>
      <c r="F1038" s="221"/>
      <c r="G1038" s="275"/>
      <c r="H1038" s="276"/>
      <c r="I1038" s="217"/>
      <c r="J1038" s="217"/>
      <c r="K1038" s="221"/>
      <c r="L1038" s="217"/>
      <c r="M1038" s="217"/>
      <c r="N1038" s="217"/>
      <c r="O1038" s="217"/>
      <c r="P1038" s="217"/>
    </row>
    <row r="1039" spans="3:16" ht="42" customHeight="1">
      <c r="C1039" s="272">
        <v>1037</v>
      </c>
      <c r="D1039" s="275"/>
      <c r="E1039" s="276"/>
      <c r="F1039" s="221"/>
      <c r="G1039" s="275"/>
      <c r="H1039" s="276"/>
      <c r="I1039" s="217"/>
      <c r="J1039" s="217"/>
      <c r="K1039" s="221"/>
      <c r="L1039" s="217"/>
      <c r="M1039" s="217"/>
      <c r="N1039" s="217"/>
      <c r="O1039" s="217"/>
      <c r="P1039" s="217"/>
    </row>
    <row r="1040" spans="3:16" ht="42" customHeight="1">
      <c r="C1040" s="272">
        <v>1038</v>
      </c>
      <c r="D1040" s="275"/>
      <c r="E1040" s="276"/>
      <c r="F1040" s="221"/>
      <c r="G1040" s="275"/>
      <c r="H1040" s="276"/>
      <c r="I1040" s="217"/>
      <c r="J1040" s="217"/>
      <c r="K1040" s="221"/>
      <c r="L1040" s="217"/>
      <c r="M1040" s="217"/>
      <c r="N1040" s="217"/>
      <c r="O1040" s="217"/>
      <c r="P1040" s="217"/>
    </row>
    <row r="1041" spans="3:16" ht="42" customHeight="1">
      <c r="C1041" s="272">
        <v>1039</v>
      </c>
      <c r="D1041" s="275"/>
      <c r="E1041" s="276"/>
      <c r="F1041" s="221"/>
      <c r="G1041" s="275"/>
      <c r="H1041" s="276"/>
      <c r="I1041" s="217"/>
      <c r="J1041" s="217"/>
      <c r="K1041" s="221"/>
      <c r="L1041" s="217"/>
      <c r="M1041" s="217"/>
      <c r="N1041" s="217"/>
      <c r="O1041" s="217"/>
      <c r="P1041" s="217"/>
    </row>
    <row r="1042" spans="3:16" ht="42" customHeight="1">
      <c r="C1042" s="272">
        <v>1040</v>
      </c>
      <c r="D1042" s="275"/>
      <c r="E1042" s="276"/>
      <c r="F1042" s="221"/>
      <c r="G1042" s="275"/>
      <c r="H1042" s="276"/>
      <c r="I1042" s="217"/>
      <c r="J1042" s="217"/>
      <c r="K1042" s="221"/>
      <c r="L1042" s="217"/>
      <c r="M1042" s="217"/>
      <c r="N1042" s="217"/>
      <c r="O1042" s="217"/>
      <c r="P1042" s="217"/>
    </row>
    <row r="1043" spans="3:16" ht="42" customHeight="1">
      <c r="C1043" s="272">
        <v>1041</v>
      </c>
      <c r="D1043" s="275"/>
      <c r="E1043" s="276"/>
      <c r="F1043" s="221"/>
      <c r="G1043" s="275"/>
      <c r="H1043" s="276"/>
      <c r="I1043" s="217"/>
      <c r="J1043" s="217"/>
      <c r="K1043" s="221"/>
      <c r="L1043" s="217"/>
      <c r="M1043" s="217"/>
      <c r="N1043" s="217"/>
      <c r="O1043" s="217"/>
      <c r="P1043" s="217"/>
    </row>
    <row r="1044" spans="3:16" ht="42" customHeight="1">
      <c r="C1044" s="272">
        <v>1042</v>
      </c>
      <c r="D1044" s="275"/>
      <c r="E1044" s="276"/>
      <c r="F1044" s="221"/>
      <c r="G1044" s="275"/>
      <c r="H1044" s="276"/>
      <c r="I1044" s="217"/>
      <c r="J1044" s="217"/>
      <c r="K1044" s="221"/>
      <c r="L1044" s="217"/>
      <c r="M1044" s="217"/>
      <c r="N1044" s="217"/>
      <c r="O1044" s="217"/>
      <c r="P1044" s="217"/>
    </row>
    <row r="1045" spans="3:16" ht="42" customHeight="1">
      <c r="C1045" s="272">
        <v>1043</v>
      </c>
      <c r="D1045" s="275"/>
      <c r="E1045" s="276"/>
      <c r="F1045" s="221"/>
      <c r="G1045" s="275"/>
      <c r="H1045" s="276"/>
      <c r="I1045" s="217"/>
      <c r="J1045" s="217"/>
      <c r="K1045" s="221"/>
      <c r="L1045" s="217"/>
      <c r="M1045" s="217"/>
      <c r="N1045" s="217"/>
      <c r="O1045" s="217"/>
      <c r="P1045" s="217"/>
    </row>
    <row r="1046" spans="3:16" ht="42" customHeight="1">
      <c r="C1046" s="272">
        <v>1044</v>
      </c>
      <c r="D1046" s="275"/>
      <c r="E1046" s="276"/>
      <c r="F1046" s="221"/>
      <c r="G1046" s="275"/>
      <c r="H1046" s="276"/>
      <c r="I1046" s="217"/>
      <c r="J1046" s="217"/>
      <c r="K1046" s="221"/>
      <c r="L1046" s="217"/>
      <c r="M1046" s="217"/>
      <c r="N1046" s="217"/>
      <c r="O1046" s="217"/>
      <c r="P1046" s="217"/>
    </row>
    <row r="1047" spans="3:16" ht="42" customHeight="1">
      <c r="C1047" s="272">
        <v>1045</v>
      </c>
      <c r="D1047" s="275"/>
      <c r="E1047" s="276"/>
      <c r="F1047" s="221"/>
      <c r="G1047" s="275"/>
      <c r="H1047" s="276"/>
      <c r="I1047" s="217"/>
      <c r="J1047" s="217"/>
      <c r="K1047" s="221"/>
      <c r="L1047" s="217"/>
      <c r="M1047" s="217"/>
      <c r="N1047" s="217"/>
      <c r="O1047" s="217"/>
      <c r="P1047" s="217"/>
    </row>
    <row r="1048" spans="3:16" ht="42" customHeight="1">
      <c r="C1048" s="272">
        <v>1046</v>
      </c>
      <c r="D1048" s="275"/>
      <c r="E1048" s="276"/>
      <c r="F1048" s="221"/>
      <c r="G1048" s="275"/>
      <c r="H1048" s="276"/>
      <c r="I1048" s="217"/>
      <c r="J1048" s="217"/>
      <c r="K1048" s="221"/>
      <c r="L1048" s="217"/>
      <c r="M1048" s="217"/>
      <c r="N1048" s="217"/>
      <c r="O1048" s="217"/>
      <c r="P1048" s="217"/>
    </row>
    <row r="1049" spans="3:16" ht="42" customHeight="1">
      <c r="C1049" s="272">
        <v>1047</v>
      </c>
      <c r="D1049" s="275"/>
      <c r="E1049" s="276"/>
      <c r="F1049" s="221"/>
      <c r="G1049" s="275"/>
      <c r="H1049" s="276"/>
      <c r="I1049" s="217"/>
      <c r="J1049" s="217"/>
      <c r="K1049" s="221"/>
      <c r="L1049" s="217"/>
      <c r="M1049" s="217"/>
      <c r="N1049" s="217"/>
      <c r="O1049" s="217"/>
      <c r="P1049" s="217"/>
    </row>
    <row r="1050" spans="3:16" ht="42" customHeight="1">
      <c r="C1050" s="272">
        <v>1048</v>
      </c>
      <c r="D1050" s="275"/>
      <c r="E1050" s="276"/>
      <c r="F1050" s="221"/>
      <c r="G1050" s="275"/>
      <c r="H1050" s="276"/>
      <c r="I1050" s="217"/>
      <c r="J1050" s="217"/>
      <c r="K1050" s="221"/>
      <c r="L1050" s="217"/>
      <c r="M1050" s="217"/>
      <c r="N1050" s="217"/>
      <c r="O1050" s="217"/>
      <c r="P1050" s="217"/>
    </row>
    <row r="1051" spans="3:16" ht="42" customHeight="1">
      <c r="C1051" s="272">
        <v>1049</v>
      </c>
      <c r="D1051" s="275"/>
      <c r="E1051" s="276"/>
      <c r="F1051" s="221"/>
      <c r="G1051" s="275"/>
      <c r="H1051" s="276"/>
      <c r="I1051" s="217"/>
      <c r="J1051" s="217"/>
      <c r="K1051" s="221"/>
      <c r="L1051" s="217"/>
      <c r="M1051" s="217"/>
      <c r="N1051" s="217"/>
      <c r="O1051" s="217"/>
      <c r="P1051" s="217"/>
    </row>
    <row r="1052" spans="3:16" ht="42" customHeight="1">
      <c r="C1052" s="272">
        <v>1050</v>
      </c>
      <c r="D1052" s="275"/>
      <c r="E1052" s="276"/>
      <c r="F1052" s="221"/>
      <c r="G1052" s="275"/>
      <c r="H1052" s="276"/>
      <c r="I1052" s="217"/>
      <c r="J1052" s="217"/>
      <c r="K1052" s="221"/>
      <c r="L1052" s="217"/>
      <c r="M1052" s="217"/>
      <c r="N1052" s="217"/>
      <c r="O1052" s="217"/>
      <c r="P1052" s="217"/>
    </row>
    <row r="1053" spans="3:16" ht="42" customHeight="1">
      <c r="C1053" s="272">
        <v>1051</v>
      </c>
      <c r="D1053" s="275"/>
      <c r="E1053" s="276"/>
      <c r="F1053" s="221"/>
      <c r="G1053" s="275"/>
      <c r="H1053" s="276"/>
      <c r="I1053" s="217"/>
      <c r="J1053" s="217"/>
      <c r="K1053" s="221"/>
      <c r="L1053" s="217"/>
      <c r="M1053" s="217"/>
      <c r="N1053" s="217"/>
      <c r="O1053" s="217"/>
      <c r="P1053" s="217"/>
    </row>
    <row r="1054" spans="3:16" ht="42" customHeight="1">
      <c r="C1054" s="272">
        <v>1052</v>
      </c>
      <c r="D1054" s="275"/>
      <c r="E1054" s="276"/>
      <c r="F1054" s="221"/>
      <c r="G1054" s="275"/>
      <c r="H1054" s="276"/>
      <c r="I1054" s="217"/>
      <c r="J1054" s="217"/>
      <c r="K1054" s="221"/>
      <c r="L1054" s="217"/>
      <c r="M1054" s="217"/>
      <c r="N1054" s="217"/>
      <c r="O1054" s="217"/>
      <c r="P1054" s="217"/>
    </row>
    <row r="1055" spans="3:16" ht="42" customHeight="1">
      <c r="C1055" s="272">
        <v>1053</v>
      </c>
      <c r="D1055" s="275"/>
      <c r="E1055" s="276"/>
      <c r="F1055" s="221"/>
      <c r="G1055" s="275"/>
      <c r="H1055" s="276"/>
      <c r="I1055" s="217"/>
      <c r="J1055" s="217"/>
      <c r="K1055" s="221"/>
      <c r="L1055" s="217"/>
      <c r="M1055" s="217"/>
      <c r="N1055" s="217"/>
      <c r="O1055" s="217"/>
      <c r="P1055" s="217"/>
    </row>
    <row r="1056" spans="3:16" ht="42" customHeight="1">
      <c r="C1056" s="272">
        <v>1054</v>
      </c>
      <c r="D1056" s="275"/>
      <c r="E1056" s="276"/>
      <c r="F1056" s="221"/>
      <c r="G1056" s="275"/>
      <c r="H1056" s="276"/>
      <c r="I1056" s="217"/>
      <c r="J1056" s="217"/>
      <c r="K1056" s="221"/>
      <c r="L1056" s="217"/>
      <c r="M1056" s="217"/>
      <c r="N1056" s="217"/>
      <c r="O1056" s="217"/>
      <c r="P1056" s="217"/>
    </row>
    <row r="1057" spans="3:16" ht="42" customHeight="1">
      <c r="C1057" s="272">
        <v>1055</v>
      </c>
      <c r="D1057" s="275"/>
      <c r="E1057" s="276"/>
      <c r="F1057" s="221"/>
      <c r="G1057" s="275"/>
      <c r="H1057" s="276"/>
      <c r="I1057" s="217"/>
      <c r="J1057" s="217"/>
      <c r="K1057" s="221"/>
      <c r="L1057" s="217"/>
      <c r="M1057" s="217"/>
      <c r="N1057" s="217"/>
      <c r="O1057" s="217"/>
      <c r="P1057" s="217"/>
    </row>
    <row r="1058" spans="3:16" ht="42" customHeight="1">
      <c r="C1058" s="272">
        <v>1056</v>
      </c>
      <c r="D1058" s="275"/>
      <c r="E1058" s="276"/>
      <c r="F1058" s="221"/>
      <c r="G1058" s="275"/>
      <c r="H1058" s="276"/>
      <c r="I1058" s="217"/>
      <c r="J1058" s="217"/>
      <c r="K1058" s="221"/>
      <c r="L1058" s="217"/>
      <c r="M1058" s="217"/>
      <c r="N1058" s="217"/>
      <c r="O1058" s="217"/>
      <c r="P1058" s="217"/>
    </row>
    <row r="1059" spans="3:16" ht="42" customHeight="1">
      <c r="C1059" s="272">
        <v>1057</v>
      </c>
      <c r="D1059" s="275"/>
      <c r="E1059" s="276"/>
      <c r="F1059" s="221"/>
      <c r="G1059" s="275"/>
      <c r="H1059" s="276"/>
      <c r="I1059" s="217"/>
      <c r="J1059" s="217"/>
      <c r="K1059" s="221"/>
      <c r="L1059" s="217"/>
      <c r="M1059" s="217"/>
      <c r="N1059" s="217"/>
      <c r="O1059" s="217"/>
      <c r="P1059" s="217"/>
    </row>
    <row r="1060" spans="3:16" ht="42" customHeight="1">
      <c r="C1060" s="272">
        <v>1058</v>
      </c>
      <c r="D1060" s="275"/>
      <c r="E1060" s="276"/>
      <c r="F1060" s="221"/>
      <c r="G1060" s="275"/>
      <c r="H1060" s="276"/>
      <c r="I1060" s="217"/>
      <c r="J1060" s="217"/>
      <c r="K1060" s="221"/>
      <c r="L1060" s="217"/>
      <c r="M1060" s="217"/>
      <c r="N1060" s="217"/>
      <c r="O1060" s="217"/>
      <c r="P1060" s="217"/>
    </row>
    <row r="1061" spans="3:16" ht="42" customHeight="1">
      <c r="C1061" s="272">
        <v>1059</v>
      </c>
      <c r="D1061" s="275"/>
      <c r="E1061" s="276"/>
      <c r="F1061" s="221"/>
      <c r="G1061" s="275"/>
      <c r="H1061" s="276"/>
      <c r="I1061" s="217"/>
      <c r="J1061" s="217"/>
      <c r="K1061" s="221"/>
      <c r="L1061" s="217"/>
      <c r="M1061" s="217"/>
      <c r="N1061" s="217"/>
      <c r="O1061" s="217"/>
      <c r="P1061" s="217"/>
    </row>
    <row r="1062" spans="3:16" ht="42" customHeight="1">
      <c r="C1062" s="272">
        <v>1060</v>
      </c>
      <c r="D1062" s="275"/>
      <c r="E1062" s="276"/>
      <c r="F1062" s="221"/>
      <c r="G1062" s="275"/>
      <c r="H1062" s="276"/>
      <c r="I1062" s="217"/>
      <c r="J1062" s="217"/>
      <c r="K1062" s="221"/>
      <c r="L1062" s="217"/>
      <c r="M1062" s="217"/>
      <c r="N1062" s="217"/>
      <c r="O1062" s="217"/>
      <c r="P1062" s="217"/>
    </row>
    <row r="1063" spans="3:16" ht="42" customHeight="1">
      <c r="C1063" s="272">
        <v>1061</v>
      </c>
      <c r="D1063" s="275"/>
      <c r="E1063" s="276"/>
      <c r="F1063" s="221"/>
      <c r="G1063" s="275"/>
      <c r="H1063" s="276"/>
      <c r="I1063" s="217"/>
      <c r="J1063" s="217"/>
      <c r="K1063" s="221"/>
      <c r="L1063" s="217"/>
      <c r="M1063" s="217"/>
      <c r="N1063" s="217"/>
      <c r="O1063" s="217"/>
      <c r="P1063" s="217"/>
    </row>
    <row r="1064" spans="3:16" ht="42" customHeight="1">
      <c r="C1064" s="272">
        <v>1062</v>
      </c>
      <c r="D1064" s="275"/>
      <c r="E1064" s="276"/>
      <c r="F1064" s="221"/>
      <c r="G1064" s="275"/>
      <c r="H1064" s="276"/>
      <c r="I1064" s="217"/>
      <c r="J1064" s="217"/>
      <c r="K1064" s="221"/>
      <c r="L1064" s="217"/>
      <c r="M1064" s="217"/>
      <c r="N1064" s="217"/>
      <c r="O1064" s="217"/>
      <c r="P1064" s="217"/>
    </row>
    <row r="1065" spans="3:16" ht="42" customHeight="1">
      <c r="C1065" s="272">
        <v>1063</v>
      </c>
      <c r="D1065" s="275"/>
      <c r="E1065" s="276"/>
      <c r="F1065" s="221"/>
      <c r="G1065" s="275"/>
      <c r="H1065" s="276"/>
      <c r="I1065" s="217"/>
      <c r="J1065" s="217"/>
      <c r="K1065" s="221"/>
      <c r="L1065" s="217"/>
      <c r="M1065" s="217"/>
      <c r="N1065" s="217"/>
      <c r="O1065" s="217"/>
      <c r="P1065" s="217"/>
    </row>
    <row r="1066" spans="3:16" ht="42" customHeight="1">
      <c r="C1066" s="272">
        <v>1064</v>
      </c>
      <c r="D1066" s="275"/>
      <c r="E1066" s="276"/>
      <c r="F1066" s="221"/>
      <c r="G1066" s="275"/>
      <c r="H1066" s="276"/>
      <c r="I1066" s="217"/>
      <c r="J1066" s="217"/>
      <c r="K1066" s="221"/>
      <c r="L1066" s="217"/>
      <c r="M1066" s="217"/>
      <c r="N1066" s="217"/>
      <c r="O1066" s="217"/>
      <c r="P1066" s="217"/>
    </row>
    <row r="1067" spans="3:16" ht="42" customHeight="1">
      <c r="C1067" s="272">
        <v>1065</v>
      </c>
      <c r="D1067" s="275"/>
      <c r="E1067" s="276"/>
      <c r="F1067" s="221"/>
      <c r="G1067" s="275"/>
      <c r="H1067" s="276"/>
      <c r="I1067" s="217"/>
      <c r="J1067" s="217"/>
      <c r="K1067" s="221"/>
      <c r="L1067" s="217"/>
      <c r="M1067" s="217"/>
      <c r="N1067" s="217"/>
      <c r="O1067" s="217"/>
      <c r="P1067" s="217"/>
    </row>
    <row r="1068" spans="3:16" ht="42" customHeight="1">
      <c r="C1068" s="272">
        <v>1066</v>
      </c>
      <c r="D1068" s="275"/>
      <c r="E1068" s="276"/>
      <c r="F1068" s="221"/>
      <c r="G1068" s="275"/>
      <c r="H1068" s="276"/>
      <c r="I1068" s="217"/>
      <c r="J1068" s="217"/>
      <c r="K1068" s="221"/>
      <c r="L1068" s="217"/>
      <c r="M1068" s="217"/>
      <c r="N1068" s="217"/>
      <c r="O1068" s="217"/>
      <c r="P1068" s="217"/>
    </row>
    <row r="1069" spans="3:16" ht="42" customHeight="1">
      <c r="C1069" s="272">
        <v>1067</v>
      </c>
      <c r="D1069" s="275"/>
      <c r="E1069" s="276"/>
      <c r="F1069" s="221"/>
      <c r="G1069" s="275"/>
      <c r="H1069" s="276"/>
      <c r="I1069" s="217"/>
      <c r="J1069" s="217"/>
      <c r="K1069" s="221"/>
      <c r="L1069" s="217"/>
      <c r="M1069" s="217"/>
      <c r="N1069" s="217"/>
      <c r="O1069" s="217"/>
      <c r="P1069" s="217"/>
    </row>
    <row r="1070" spans="3:16" ht="42" customHeight="1">
      <c r="C1070" s="272">
        <v>1068</v>
      </c>
      <c r="D1070" s="275"/>
      <c r="E1070" s="276"/>
      <c r="F1070" s="221"/>
      <c r="G1070" s="275"/>
      <c r="H1070" s="276"/>
      <c r="I1070" s="217"/>
      <c r="J1070" s="217"/>
      <c r="K1070" s="221"/>
      <c r="L1070" s="217"/>
      <c r="M1070" s="217"/>
      <c r="N1070" s="217"/>
      <c r="O1070" s="217"/>
      <c r="P1070" s="217"/>
    </row>
    <row r="1071" spans="3:16" ht="42" customHeight="1">
      <c r="C1071" s="272">
        <v>1069</v>
      </c>
      <c r="D1071" s="275"/>
      <c r="E1071" s="276"/>
      <c r="F1071" s="221"/>
      <c r="G1071" s="275"/>
      <c r="H1071" s="276"/>
      <c r="I1071" s="217"/>
      <c r="J1071" s="217"/>
      <c r="K1071" s="221"/>
      <c r="L1071" s="217"/>
      <c r="M1071" s="217"/>
      <c r="N1071" s="217"/>
      <c r="O1071" s="217"/>
      <c r="P1071" s="217"/>
    </row>
    <row r="1072" spans="3:16" ht="42" customHeight="1">
      <c r="C1072" s="272">
        <v>1070</v>
      </c>
      <c r="D1072" s="275"/>
      <c r="E1072" s="276"/>
      <c r="F1072" s="221"/>
      <c r="G1072" s="275"/>
      <c r="H1072" s="276"/>
      <c r="I1072" s="217"/>
      <c r="J1072" s="217"/>
      <c r="K1072" s="221"/>
      <c r="L1072" s="217"/>
      <c r="M1072" s="217"/>
      <c r="N1072" s="217"/>
      <c r="O1072" s="217"/>
      <c r="P1072" s="217"/>
    </row>
    <row r="1073" spans="3:16" ht="42" customHeight="1">
      <c r="C1073" s="272">
        <v>1071</v>
      </c>
      <c r="D1073" s="275"/>
      <c r="E1073" s="276"/>
      <c r="F1073" s="221"/>
      <c r="G1073" s="275"/>
      <c r="H1073" s="276"/>
      <c r="I1073" s="217"/>
      <c r="J1073" s="217"/>
      <c r="K1073" s="221"/>
      <c r="L1073" s="217"/>
      <c r="M1073" s="217"/>
      <c r="N1073" s="217"/>
      <c r="O1073" s="217"/>
      <c r="P1073" s="217"/>
    </row>
    <row r="1074" spans="3:16" ht="42" customHeight="1">
      <c r="C1074" s="272">
        <v>1072</v>
      </c>
      <c r="D1074" s="275"/>
      <c r="E1074" s="276"/>
      <c r="F1074" s="221"/>
      <c r="G1074" s="275"/>
      <c r="H1074" s="276"/>
      <c r="I1074" s="217"/>
      <c r="J1074" s="217"/>
      <c r="K1074" s="221"/>
      <c r="L1074" s="217"/>
      <c r="M1074" s="217"/>
      <c r="N1074" s="217"/>
      <c r="O1074" s="217"/>
      <c r="P1074" s="217"/>
    </row>
    <row r="1075" spans="3:16" ht="42" customHeight="1">
      <c r="C1075" s="272">
        <v>1073</v>
      </c>
      <c r="D1075" s="275"/>
      <c r="E1075" s="276"/>
      <c r="F1075" s="221"/>
      <c r="G1075" s="275"/>
      <c r="H1075" s="276"/>
      <c r="I1075" s="217"/>
      <c r="J1075" s="217"/>
      <c r="K1075" s="221"/>
      <c r="L1075" s="217"/>
      <c r="M1075" s="217"/>
      <c r="N1075" s="217"/>
      <c r="O1075" s="217"/>
      <c r="P1075" s="217"/>
    </row>
    <row r="1076" spans="3:16" ht="42" customHeight="1">
      <c r="C1076" s="272">
        <v>1074</v>
      </c>
      <c r="D1076" s="275"/>
      <c r="E1076" s="276"/>
      <c r="F1076" s="221"/>
      <c r="G1076" s="275"/>
      <c r="H1076" s="276"/>
      <c r="I1076" s="217"/>
      <c r="J1076" s="217"/>
      <c r="K1076" s="221"/>
      <c r="L1076" s="217"/>
      <c r="M1076" s="217"/>
      <c r="N1076" s="217"/>
      <c r="O1076" s="217"/>
      <c r="P1076" s="217"/>
    </row>
    <row r="1077" spans="3:16" ht="42" customHeight="1">
      <c r="C1077" s="272">
        <v>1075</v>
      </c>
      <c r="D1077" s="275"/>
      <c r="E1077" s="276"/>
      <c r="F1077" s="221"/>
      <c r="G1077" s="275"/>
      <c r="H1077" s="276"/>
      <c r="I1077" s="217"/>
      <c r="J1077" s="217"/>
      <c r="K1077" s="221"/>
      <c r="L1077" s="217"/>
      <c r="M1077" s="217"/>
      <c r="N1077" s="217"/>
      <c r="O1077" s="217"/>
      <c r="P1077" s="217"/>
    </row>
    <row r="1078" spans="3:16" ht="42" customHeight="1">
      <c r="C1078" s="272">
        <v>1076</v>
      </c>
      <c r="D1078" s="275"/>
      <c r="E1078" s="276"/>
      <c r="F1078" s="221"/>
      <c r="G1078" s="275"/>
      <c r="H1078" s="276"/>
      <c r="I1078" s="217"/>
      <c r="J1078" s="217"/>
      <c r="K1078" s="221"/>
      <c r="L1078" s="217"/>
      <c r="M1078" s="217"/>
      <c r="N1078" s="217"/>
      <c r="O1078" s="217"/>
      <c r="P1078" s="217"/>
    </row>
    <row r="1079" spans="3:16" ht="42" customHeight="1">
      <c r="C1079" s="272">
        <v>1077</v>
      </c>
      <c r="D1079" s="275"/>
      <c r="E1079" s="276"/>
      <c r="F1079" s="221"/>
      <c r="G1079" s="275"/>
      <c r="H1079" s="276"/>
      <c r="I1079" s="217"/>
      <c r="J1079" s="217"/>
      <c r="K1079" s="221"/>
      <c r="L1079" s="217"/>
      <c r="M1079" s="217"/>
      <c r="N1079" s="217"/>
      <c r="O1079" s="217"/>
      <c r="P1079" s="217"/>
    </row>
    <row r="1080" spans="3:16" ht="42" customHeight="1">
      <c r="C1080" s="272">
        <v>1078</v>
      </c>
      <c r="D1080" s="275"/>
      <c r="E1080" s="276"/>
      <c r="F1080" s="221"/>
      <c r="G1080" s="275"/>
      <c r="H1080" s="276"/>
      <c r="I1080" s="217"/>
      <c r="J1080" s="217"/>
      <c r="K1080" s="221"/>
      <c r="L1080" s="217"/>
      <c r="M1080" s="217"/>
      <c r="N1080" s="217"/>
      <c r="O1080" s="217"/>
      <c r="P1080" s="217"/>
    </row>
    <row r="1081" spans="3:16" ht="42" customHeight="1">
      <c r="C1081" s="272">
        <v>1079</v>
      </c>
      <c r="D1081" s="275"/>
      <c r="E1081" s="276"/>
      <c r="F1081" s="221"/>
      <c r="G1081" s="275"/>
      <c r="H1081" s="276"/>
      <c r="I1081" s="217"/>
      <c r="J1081" s="217"/>
      <c r="K1081" s="221"/>
      <c r="L1081" s="217"/>
      <c r="M1081" s="217"/>
      <c r="N1081" s="217"/>
      <c r="O1081" s="217"/>
      <c r="P1081" s="217"/>
    </row>
    <row r="1082" spans="3:16" ht="42" customHeight="1">
      <c r="C1082" s="272">
        <v>1080</v>
      </c>
      <c r="D1082" s="275"/>
      <c r="E1082" s="276"/>
      <c r="F1082" s="221"/>
      <c r="G1082" s="275"/>
      <c r="H1082" s="276"/>
      <c r="I1082" s="217"/>
      <c r="J1082" s="217"/>
      <c r="K1082" s="221"/>
      <c r="L1082" s="217"/>
      <c r="M1082" s="217"/>
      <c r="N1082" s="217"/>
      <c r="O1082" s="217"/>
      <c r="P1082" s="217"/>
    </row>
    <row r="1083" spans="3:16" ht="42" customHeight="1">
      <c r="C1083" s="272">
        <v>1081</v>
      </c>
      <c r="D1083" s="275"/>
      <c r="E1083" s="276"/>
      <c r="F1083" s="221"/>
      <c r="G1083" s="275"/>
      <c r="H1083" s="276"/>
      <c r="I1083" s="217"/>
      <c r="J1083" s="217"/>
      <c r="K1083" s="221"/>
      <c r="L1083" s="217"/>
      <c r="M1083" s="217"/>
      <c r="N1083" s="217"/>
      <c r="O1083" s="217"/>
      <c r="P1083" s="217"/>
    </row>
    <row r="1084" spans="3:16" ht="42" customHeight="1">
      <c r="C1084" s="272">
        <v>1082</v>
      </c>
      <c r="D1084" s="275"/>
      <c r="E1084" s="276"/>
      <c r="F1084" s="221"/>
      <c r="G1084" s="275"/>
      <c r="H1084" s="276"/>
      <c r="I1084" s="217"/>
      <c r="J1084" s="217"/>
      <c r="K1084" s="221"/>
      <c r="L1084" s="217"/>
      <c r="M1084" s="217"/>
      <c r="N1084" s="217"/>
      <c r="O1084" s="217"/>
      <c r="P1084" s="217"/>
    </row>
    <row r="1085" spans="3:16" ht="42" customHeight="1">
      <c r="C1085" s="272">
        <v>1083</v>
      </c>
      <c r="D1085" s="275"/>
      <c r="E1085" s="276"/>
      <c r="F1085" s="221"/>
      <c r="G1085" s="275"/>
      <c r="H1085" s="276"/>
      <c r="I1085" s="217"/>
      <c r="J1085" s="217"/>
      <c r="K1085" s="221"/>
      <c r="L1085" s="217"/>
      <c r="M1085" s="217"/>
      <c r="N1085" s="217"/>
      <c r="O1085" s="217"/>
      <c r="P1085" s="217"/>
    </row>
    <row r="1086" spans="3:16" ht="42" customHeight="1">
      <c r="C1086" s="272">
        <v>1084</v>
      </c>
      <c r="D1086" s="275"/>
      <c r="E1086" s="276"/>
      <c r="F1086" s="221"/>
      <c r="G1086" s="275"/>
      <c r="H1086" s="276"/>
      <c r="I1086" s="217"/>
      <c r="J1086" s="217"/>
      <c r="K1086" s="221"/>
      <c r="L1086" s="217"/>
      <c r="M1086" s="217"/>
      <c r="N1086" s="217"/>
      <c r="O1086" s="217"/>
      <c r="P1086" s="217"/>
    </row>
    <row r="1087" spans="3:16" ht="42" customHeight="1">
      <c r="C1087" s="272">
        <v>1085</v>
      </c>
      <c r="D1087" s="275"/>
      <c r="E1087" s="276"/>
      <c r="F1087" s="221"/>
      <c r="G1087" s="275"/>
      <c r="H1087" s="276"/>
      <c r="I1087" s="217"/>
      <c r="J1087" s="217"/>
      <c r="K1087" s="221"/>
      <c r="L1087" s="217"/>
      <c r="M1087" s="217"/>
      <c r="N1087" s="217"/>
      <c r="O1087" s="217"/>
      <c r="P1087" s="217"/>
    </row>
    <row r="1088" spans="3:16" ht="42" customHeight="1">
      <c r="C1088" s="272">
        <v>1086</v>
      </c>
      <c r="D1088" s="275"/>
      <c r="E1088" s="276"/>
      <c r="F1088" s="221"/>
      <c r="G1088" s="275"/>
      <c r="H1088" s="276"/>
      <c r="I1088" s="217"/>
      <c r="J1088" s="217"/>
      <c r="K1088" s="221"/>
      <c r="L1088" s="217"/>
      <c r="M1088" s="217"/>
      <c r="N1088" s="217"/>
      <c r="O1088" s="217"/>
      <c r="P1088" s="217"/>
    </row>
    <row r="1089" spans="3:16" ht="42" customHeight="1">
      <c r="C1089" s="272">
        <v>1087</v>
      </c>
      <c r="D1089" s="275"/>
      <c r="E1089" s="276"/>
      <c r="F1089" s="221"/>
      <c r="G1089" s="275"/>
      <c r="H1089" s="276"/>
      <c r="I1089" s="217"/>
      <c r="J1089" s="217"/>
      <c r="K1089" s="221"/>
      <c r="L1089" s="217"/>
      <c r="M1089" s="217"/>
      <c r="N1089" s="217"/>
      <c r="O1089" s="217"/>
      <c r="P1089" s="217"/>
    </row>
    <row r="1090" spans="3:16" ht="42" customHeight="1">
      <c r="C1090" s="272">
        <v>1088</v>
      </c>
      <c r="D1090" s="275"/>
      <c r="E1090" s="276"/>
      <c r="F1090" s="221"/>
      <c r="G1090" s="275"/>
      <c r="H1090" s="276"/>
      <c r="I1090" s="217"/>
      <c r="J1090" s="217"/>
      <c r="K1090" s="221"/>
      <c r="L1090" s="217"/>
      <c r="M1090" s="217"/>
      <c r="N1090" s="217"/>
      <c r="O1090" s="217"/>
      <c r="P1090" s="217"/>
    </row>
    <row r="1091" spans="3:16" ht="42" customHeight="1">
      <c r="C1091" s="272">
        <v>1089</v>
      </c>
      <c r="D1091" s="275"/>
      <c r="E1091" s="276"/>
      <c r="F1091" s="221"/>
      <c r="G1091" s="275"/>
      <c r="H1091" s="276"/>
      <c r="I1091" s="217"/>
      <c r="J1091" s="217"/>
      <c r="K1091" s="221"/>
      <c r="L1091" s="217"/>
      <c r="M1091" s="217"/>
      <c r="N1091" s="217"/>
      <c r="O1091" s="217"/>
      <c r="P1091" s="217"/>
    </row>
    <row r="1092" spans="3:16" ht="42" customHeight="1">
      <c r="C1092" s="272">
        <v>1090</v>
      </c>
      <c r="D1092" s="275"/>
      <c r="E1092" s="276"/>
      <c r="F1092" s="221"/>
      <c r="G1092" s="275"/>
      <c r="H1092" s="276"/>
      <c r="I1092" s="217"/>
      <c r="J1092" s="217"/>
      <c r="K1092" s="221"/>
      <c r="L1092" s="217"/>
      <c r="M1092" s="217"/>
      <c r="N1092" s="217"/>
      <c r="O1092" s="217"/>
      <c r="P1092" s="217"/>
    </row>
    <row r="1093" spans="3:16" ht="42" customHeight="1">
      <c r="C1093" s="272">
        <v>1091</v>
      </c>
      <c r="D1093" s="275"/>
      <c r="E1093" s="276"/>
      <c r="F1093" s="221"/>
      <c r="G1093" s="275"/>
      <c r="H1093" s="276"/>
      <c r="I1093" s="217"/>
      <c r="J1093" s="217"/>
      <c r="K1093" s="221"/>
      <c r="L1093" s="217"/>
      <c r="M1093" s="217"/>
      <c r="N1093" s="217"/>
      <c r="O1093" s="217"/>
      <c r="P1093" s="217"/>
    </row>
    <row r="1094" spans="3:16" ht="42" customHeight="1">
      <c r="C1094" s="272">
        <v>1092</v>
      </c>
      <c r="D1094" s="275"/>
      <c r="E1094" s="276"/>
      <c r="F1094" s="221"/>
      <c r="G1094" s="275"/>
      <c r="H1094" s="276"/>
      <c r="I1094" s="217"/>
      <c r="J1094" s="217"/>
      <c r="K1094" s="221"/>
      <c r="L1094" s="217"/>
      <c r="M1094" s="217"/>
      <c r="N1094" s="217"/>
      <c r="O1094" s="217"/>
      <c r="P1094" s="217"/>
    </row>
    <row r="1095" spans="3:16" ht="42" customHeight="1">
      <c r="C1095" s="272">
        <v>1093</v>
      </c>
      <c r="D1095" s="275"/>
      <c r="E1095" s="276"/>
      <c r="F1095" s="221"/>
      <c r="G1095" s="275"/>
      <c r="H1095" s="276"/>
      <c r="I1095" s="217"/>
      <c r="J1095" s="217"/>
      <c r="K1095" s="221"/>
      <c r="L1095" s="217"/>
      <c r="M1095" s="217"/>
      <c r="N1095" s="217"/>
      <c r="O1095" s="217"/>
      <c r="P1095" s="217"/>
    </row>
    <row r="1096" spans="3:16" ht="42" customHeight="1">
      <c r="C1096" s="272">
        <v>1094</v>
      </c>
      <c r="D1096" s="275"/>
      <c r="E1096" s="276"/>
      <c r="F1096" s="221"/>
      <c r="G1096" s="275"/>
      <c r="H1096" s="276"/>
      <c r="I1096" s="217"/>
      <c r="J1096" s="217"/>
      <c r="K1096" s="221"/>
      <c r="L1096" s="217"/>
      <c r="M1096" s="217"/>
      <c r="N1096" s="217"/>
      <c r="O1096" s="217"/>
      <c r="P1096" s="217"/>
    </row>
    <row r="1097" spans="3:16" ht="42" customHeight="1">
      <c r="C1097" s="272">
        <v>1095</v>
      </c>
      <c r="D1097" s="275"/>
      <c r="E1097" s="276"/>
      <c r="F1097" s="221"/>
      <c r="G1097" s="275"/>
      <c r="H1097" s="276"/>
      <c r="I1097" s="217"/>
      <c r="J1097" s="217"/>
      <c r="K1097" s="221"/>
      <c r="L1097" s="217"/>
      <c r="M1097" s="217"/>
      <c r="N1097" s="217"/>
      <c r="O1097" s="217"/>
      <c r="P1097" s="217"/>
    </row>
    <row r="1098" spans="3:16" ht="42" customHeight="1">
      <c r="C1098" s="272">
        <v>1096</v>
      </c>
      <c r="D1098" s="275"/>
      <c r="E1098" s="276"/>
      <c r="F1098" s="221"/>
      <c r="G1098" s="275"/>
      <c r="H1098" s="276"/>
      <c r="I1098" s="217"/>
      <c r="J1098" s="217"/>
      <c r="K1098" s="221"/>
      <c r="L1098" s="217"/>
      <c r="M1098" s="217"/>
      <c r="N1098" s="217"/>
      <c r="O1098" s="217"/>
      <c r="P1098" s="217"/>
    </row>
    <row r="1099" spans="3:16" ht="42" customHeight="1">
      <c r="C1099" s="272">
        <v>1097</v>
      </c>
      <c r="D1099" s="275"/>
      <c r="E1099" s="276"/>
      <c r="F1099" s="221"/>
      <c r="G1099" s="275"/>
      <c r="H1099" s="276"/>
      <c r="I1099" s="217"/>
      <c r="J1099" s="217"/>
      <c r="K1099" s="221"/>
      <c r="L1099" s="217"/>
      <c r="M1099" s="217"/>
      <c r="N1099" s="217"/>
      <c r="O1099" s="217"/>
      <c r="P1099" s="217"/>
    </row>
    <row r="1100" spans="3:16" ht="42" customHeight="1">
      <c r="C1100" s="272">
        <v>1098</v>
      </c>
      <c r="D1100" s="275"/>
      <c r="E1100" s="276"/>
      <c r="F1100" s="221"/>
      <c r="G1100" s="275"/>
      <c r="H1100" s="276"/>
      <c r="I1100" s="217"/>
      <c r="J1100" s="217"/>
      <c r="K1100" s="221"/>
      <c r="L1100" s="217"/>
      <c r="M1100" s="217"/>
      <c r="N1100" s="217"/>
      <c r="O1100" s="217"/>
      <c r="P1100" s="217"/>
    </row>
    <row r="1101" spans="3:16" ht="42" customHeight="1">
      <c r="C1101" s="272">
        <v>1099</v>
      </c>
      <c r="D1101" s="275"/>
      <c r="E1101" s="276"/>
      <c r="F1101" s="221"/>
      <c r="G1101" s="275"/>
      <c r="H1101" s="276"/>
      <c r="I1101" s="217"/>
      <c r="J1101" s="217"/>
      <c r="K1101" s="221"/>
      <c r="L1101" s="217"/>
      <c r="M1101" s="217"/>
      <c r="N1101" s="217"/>
      <c r="O1101" s="217"/>
      <c r="P1101" s="217"/>
    </row>
    <row r="1102" spans="3:16" ht="42" customHeight="1">
      <c r="C1102" s="272">
        <v>1100</v>
      </c>
      <c r="D1102" s="275"/>
      <c r="E1102" s="276"/>
      <c r="F1102" s="221"/>
      <c r="G1102" s="275"/>
      <c r="H1102" s="276"/>
      <c r="I1102" s="217"/>
      <c r="J1102" s="217"/>
      <c r="K1102" s="221"/>
      <c r="L1102" s="217"/>
      <c r="M1102" s="217"/>
      <c r="N1102" s="217"/>
      <c r="O1102" s="217"/>
      <c r="P1102" s="217"/>
    </row>
    <row r="1103" spans="3:16" ht="42" customHeight="1">
      <c r="C1103" s="272">
        <v>1101</v>
      </c>
      <c r="D1103" s="275"/>
      <c r="E1103" s="276"/>
      <c r="F1103" s="221"/>
      <c r="G1103" s="275"/>
      <c r="H1103" s="276"/>
      <c r="I1103" s="217"/>
      <c r="J1103" s="217"/>
      <c r="K1103" s="221"/>
      <c r="L1103" s="217"/>
      <c r="M1103" s="217"/>
      <c r="N1103" s="217"/>
      <c r="O1103" s="217"/>
      <c r="P1103" s="217"/>
    </row>
    <row r="1104" spans="3:16" ht="42" customHeight="1">
      <c r="C1104" s="272">
        <v>1102</v>
      </c>
      <c r="D1104" s="275"/>
      <c r="E1104" s="276"/>
      <c r="F1104" s="221"/>
      <c r="G1104" s="275"/>
      <c r="H1104" s="276"/>
      <c r="I1104" s="217"/>
      <c r="J1104" s="217"/>
      <c r="K1104" s="221"/>
      <c r="L1104" s="217"/>
      <c r="M1104" s="217"/>
      <c r="N1104" s="217"/>
      <c r="O1104" s="217"/>
      <c r="P1104" s="217"/>
    </row>
    <row r="1105" spans="3:16" ht="42" customHeight="1">
      <c r="C1105" s="272">
        <v>1103</v>
      </c>
      <c r="D1105" s="275"/>
      <c r="E1105" s="276"/>
      <c r="F1105" s="221"/>
      <c r="G1105" s="275"/>
      <c r="H1105" s="276"/>
      <c r="I1105" s="217"/>
      <c r="J1105" s="217"/>
      <c r="K1105" s="221"/>
      <c r="L1105" s="217"/>
      <c r="M1105" s="217"/>
      <c r="N1105" s="217"/>
      <c r="O1105" s="217"/>
      <c r="P1105" s="217"/>
    </row>
    <row r="1106" spans="3:16" ht="42" customHeight="1">
      <c r="C1106" s="272">
        <v>1104</v>
      </c>
      <c r="D1106" s="275"/>
      <c r="E1106" s="276"/>
      <c r="F1106" s="221"/>
      <c r="G1106" s="275"/>
      <c r="H1106" s="276"/>
      <c r="I1106" s="217"/>
      <c r="J1106" s="217"/>
      <c r="K1106" s="221"/>
      <c r="L1106" s="217"/>
      <c r="M1106" s="217"/>
      <c r="N1106" s="217"/>
      <c r="O1106" s="217"/>
      <c r="P1106" s="217"/>
    </row>
    <row r="1107" spans="3:16" ht="42" customHeight="1">
      <c r="C1107" s="272">
        <v>1105</v>
      </c>
      <c r="D1107" s="275"/>
      <c r="E1107" s="276"/>
      <c r="F1107" s="221"/>
      <c r="G1107" s="275"/>
      <c r="H1107" s="276"/>
      <c r="I1107" s="217"/>
      <c r="J1107" s="217"/>
      <c r="K1107" s="221"/>
      <c r="L1107" s="217"/>
      <c r="M1107" s="217"/>
      <c r="N1107" s="217"/>
      <c r="O1107" s="217"/>
      <c r="P1107" s="217"/>
    </row>
    <row r="1108" spans="3:16" ht="42" customHeight="1">
      <c r="C1108" s="272">
        <v>1106</v>
      </c>
      <c r="D1108" s="275"/>
      <c r="E1108" s="276"/>
      <c r="F1108" s="221"/>
      <c r="G1108" s="275"/>
      <c r="H1108" s="276"/>
      <c r="I1108" s="217"/>
      <c r="J1108" s="217"/>
      <c r="K1108" s="221"/>
      <c r="L1108" s="217"/>
      <c r="M1108" s="217"/>
      <c r="N1108" s="217"/>
      <c r="O1108" s="217"/>
      <c r="P1108" s="217"/>
    </row>
    <row r="1109" spans="3:16" ht="42" customHeight="1">
      <c r="C1109" s="272">
        <v>1107</v>
      </c>
      <c r="D1109" s="275"/>
      <c r="E1109" s="276"/>
      <c r="F1109" s="221"/>
      <c r="G1109" s="275"/>
      <c r="H1109" s="276"/>
      <c r="I1109" s="217"/>
      <c r="J1109" s="217"/>
      <c r="K1109" s="221"/>
      <c r="L1109" s="217"/>
      <c r="M1109" s="217"/>
      <c r="N1109" s="217"/>
      <c r="O1109" s="217"/>
      <c r="P1109" s="217"/>
    </row>
    <row r="1110" spans="3:16" ht="42" customHeight="1">
      <c r="C1110" s="272">
        <v>1108</v>
      </c>
      <c r="D1110" s="275"/>
      <c r="E1110" s="276"/>
      <c r="F1110" s="221"/>
      <c r="G1110" s="275"/>
      <c r="H1110" s="276"/>
      <c r="I1110" s="217"/>
      <c r="J1110" s="217"/>
      <c r="K1110" s="221"/>
      <c r="L1110" s="217"/>
      <c r="M1110" s="217"/>
      <c r="N1110" s="217"/>
      <c r="O1110" s="217"/>
      <c r="P1110" s="217"/>
    </row>
    <row r="1111" spans="3:16" ht="42" customHeight="1">
      <c r="C1111" s="272">
        <v>1109</v>
      </c>
      <c r="D1111" s="275"/>
      <c r="E1111" s="276"/>
      <c r="F1111" s="221"/>
      <c r="G1111" s="275"/>
      <c r="H1111" s="276"/>
      <c r="I1111" s="217"/>
      <c r="J1111" s="217"/>
      <c r="K1111" s="221"/>
      <c r="L1111" s="217"/>
      <c r="M1111" s="217"/>
      <c r="N1111" s="217"/>
      <c r="O1111" s="217"/>
      <c r="P1111" s="217"/>
    </row>
    <row r="1112" spans="3:16" ht="42" customHeight="1">
      <c r="C1112" s="272">
        <v>1110</v>
      </c>
      <c r="D1112" s="275"/>
      <c r="E1112" s="276"/>
      <c r="F1112" s="221"/>
      <c r="G1112" s="275"/>
      <c r="H1112" s="276"/>
      <c r="I1112" s="217"/>
      <c r="J1112" s="217"/>
      <c r="K1112" s="221"/>
      <c r="L1112" s="217"/>
      <c r="M1112" s="217"/>
      <c r="N1112" s="217"/>
      <c r="O1112" s="217"/>
      <c r="P1112" s="217"/>
    </row>
    <row r="1113" spans="3:16" ht="42" customHeight="1">
      <c r="C1113" s="272">
        <v>1111</v>
      </c>
      <c r="D1113" s="275"/>
      <c r="E1113" s="276"/>
      <c r="F1113" s="221"/>
      <c r="G1113" s="275"/>
      <c r="H1113" s="276"/>
      <c r="I1113" s="217"/>
      <c r="J1113" s="217"/>
      <c r="K1113" s="221"/>
      <c r="L1113" s="217"/>
      <c r="M1113" s="217"/>
      <c r="N1113" s="217"/>
      <c r="O1113" s="217"/>
      <c r="P1113" s="217"/>
    </row>
    <row r="1114" spans="3:16" ht="42" customHeight="1">
      <c r="C1114" s="272">
        <v>1112</v>
      </c>
      <c r="D1114" s="275"/>
      <c r="E1114" s="276"/>
      <c r="F1114" s="221"/>
      <c r="G1114" s="275"/>
      <c r="H1114" s="276"/>
      <c r="I1114" s="217"/>
      <c r="J1114" s="217"/>
      <c r="K1114" s="221"/>
      <c r="L1114" s="217"/>
      <c r="M1114" s="217"/>
      <c r="N1114" s="217"/>
      <c r="O1114" s="217"/>
      <c r="P1114" s="217"/>
    </row>
    <row r="1115" spans="3:16" ht="42" customHeight="1">
      <c r="C1115" s="272">
        <v>1113</v>
      </c>
      <c r="D1115" s="275"/>
      <c r="E1115" s="276"/>
      <c r="F1115" s="221"/>
      <c r="G1115" s="275"/>
      <c r="H1115" s="276"/>
      <c r="I1115" s="217"/>
      <c r="J1115" s="217"/>
      <c r="K1115" s="221"/>
      <c r="L1115" s="217"/>
      <c r="M1115" s="217"/>
      <c r="N1115" s="217"/>
      <c r="O1115" s="217"/>
      <c r="P1115" s="217"/>
    </row>
    <row r="1116" spans="3:16" ht="42" customHeight="1">
      <c r="C1116" s="272">
        <v>1114</v>
      </c>
      <c r="D1116" s="275"/>
      <c r="E1116" s="276"/>
      <c r="F1116" s="221"/>
      <c r="G1116" s="275"/>
      <c r="H1116" s="276"/>
      <c r="I1116" s="217"/>
      <c r="J1116" s="217"/>
      <c r="K1116" s="221"/>
      <c r="L1116" s="217"/>
      <c r="M1116" s="217"/>
      <c r="N1116" s="217"/>
      <c r="O1116" s="217"/>
      <c r="P1116" s="217"/>
    </row>
    <row r="1117" spans="3:16" ht="42" customHeight="1">
      <c r="C1117" s="272">
        <v>1115</v>
      </c>
      <c r="D1117" s="275"/>
      <c r="E1117" s="276"/>
      <c r="F1117" s="221"/>
      <c r="G1117" s="275"/>
      <c r="H1117" s="276"/>
      <c r="I1117" s="217"/>
      <c r="J1117" s="217"/>
      <c r="K1117" s="221"/>
      <c r="L1117" s="217"/>
      <c r="M1117" s="217"/>
      <c r="N1117" s="217"/>
      <c r="O1117" s="217"/>
      <c r="P1117" s="217"/>
    </row>
    <row r="1118" spans="3:16" ht="42" customHeight="1">
      <c r="C1118" s="272">
        <v>1116</v>
      </c>
      <c r="D1118" s="275"/>
      <c r="E1118" s="276"/>
      <c r="F1118" s="221"/>
      <c r="G1118" s="275"/>
      <c r="H1118" s="276"/>
      <c r="I1118" s="217"/>
      <c r="J1118" s="217"/>
      <c r="K1118" s="221"/>
      <c r="L1118" s="217"/>
      <c r="M1118" s="217"/>
      <c r="N1118" s="217"/>
      <c r="O1118" s="217"/>
      <c r="P1118" s="217"/>
    </row>
    <row r="1119" spans="3:16" ht="42" customHeight="1">
      <c r="C1119" s="272">
        <v>1117</v>
      </c>
      <c r="D1119" s="275"/>
      <c r="E1119" s="276"/>
      <c r="F1119" s="221"/>
      <c r="G1119" s="275"/>
      <c r="H1119" s="276"/>
      <c r="I1119" s="217"/>
      <c r="J1119" s="217"/>
      <c r="K1119" s="221"/>
      <c r="L1119" s="217"/>
      <c r="M1119" s="217"/>
      <c r="N1119" s="217"/>
      <c r="O1119" s="217"/>
      <c r="P1119" s="217"/>
    </row>
    <row r="1120" spans="3:16" ht="42" customHeight="1">
      <c r="C1120" s="272">
        <v>1118</v>
      </c>
      <c r="D1120" s="275"/>
      <c r="E1120" s="276"/>
      <c r="F1120" s="221"/>
      <c r="G1120" s="275"/>
      <c r="H1120" s="276"/>
      <c r="I1120" s="217"/>
      <c r="J1120" s="217"/>
      <c r="K1120" s="221"/>
      <c r="L1120" s="217"/>
      <c r="M1120" s="217"/>
      <c r="N1120" s="217"/>
      <c r="O1120" s="217"/>
      <c r="P1120" s="217"/>
    </row>
    <row r="1121" spans="3:16" ht="42" customHeight="1">
      <c r="C1121" s="272">
        <v>1119</v>
      </c>
      <c r="D1121" s="275"/>
      <c r="E1121" s="276"/>
      <c r="F1121" s="221"/>
      <c r="G1121" s="275"/>
      <c r="H1121" s="276"/>
      <c r="I1121" s="217"/>
      <c r="J1121" s="217"/>
      <c r="K1121" s="221"/>
      <c r="L1121" s="217"/>
      <c r="M1121" s="217"/>
      <c r="N1121" s="217"/>
      <c r="O1121" s="217"/>
      <c r="P1121" s="217"/>
    </row>
    <row r="1122" spans="3:16" ht="42" customHeight="1">
      <c r="C1122" s="272">
        <v>1120</v>
      </c>
      <c r="D1122" s="275"/>
      <c r="E1122" s="276"/>
      <c r="F1122" s="221"/>
      <c r="G1122" s="275"/>
      <c r="H1122" s="276"/>
      <c r="I1122" s="217"/>
      <c r="J1122" s="217"/>
      <c r="K1122" s="221"/>
      <c r="L1122" s="217"/>
      <c r="M1122" s="217"/>
      <c r="N1122" s="217"/>
      <c r="O1122" s="217"/>
      <c r="P1122" s="217"/>
    </row>
    <row r="1123" spans="3:16" ht="42" customHeight="1">
      <c r="C1123" s="272">
        <v>1121</v>
      </c>
      <c r="D1123" s="275"/>
      <c r="E1123" s="276"/>
      <c r="F1123" s="221"/>
      <c r="G1123" s="275"/>
      <c r="H1123" s="276"/>
      <c r="I1123" s="217"/>
      <c r="J1123" s="217"/>
      <c r="K1123" s="221"/>
      <c r="L1123" s="217"/>
      <c r="M1123" s="217"/>
      <c r="N1123" s="217"/>
      <c r="O1123" s="217"/>
      <c r="P1123" s="217"/>
    </row>
    <row r="1124" spans="3:16" ht="42" customHeight="1">
      <c r="C1124" s="272">
        <v>1122</v>
      </c>
      <c r="D1124" s="275"/>
      <c r="E1124" s="276"/>
      <c r="F1124" s="221"/>
      <c r="G1124" s="275"/>
      <c r="H1124" s="276"/>
      <c r="I1124" s="217"/>
      <c r="J1124" s="217"/>
      <c r="K1124" s="221"/>
      <c r="L1124" s="217"/>
      <c r="M1124" s="217"/>
      <c r="N1124" s="217"/>
      <c r="O1124" s="217"/>
      <c r="P1124" s="217"/>
    </row>
    <row r="1125" spans="3:16" ht="42" customHeight="1">
      <c r="C1125" s="272">
        <v>1123</v>
      </c>
      <c r="D1125" s="275"/>
      <c r="E1125" s="276"/>
      <c r="F1125" s="221"/>
      <c r="G1125" s="275"/>
      <c r="H1125" s="276"/>
      <c r="I1125" s="217"/>
      <c r="J1125" s="217"/>
      <c r="K1125" s="221"/>
      <c r="L1125" s="217"/>
      <c r="M1125" s="217"/>
      <c r="N1125" s="217"/>
      <c r="O1125" s="217"/>
      <c r="P1125" s="217"/>
    </row>
    <row r="1126" spans="3:16" ht="42" customHeight="1">
      <c r="C1126" s="272">
        <v>1124</v>
      </c>
      <c r="D1126" s="275"/>
      <c r="E1126" s="276"/>
      <c r="F1126" s="221"/>
      <c r="G1126" s="275"/>
      <c r="H1126" s="276"/>
      <c r="I1126" s="217"/>
      <c r="J1126" s="217"/>
      <c r="K1126" s="221"/>
      <c r="L1126" s="217"/>
      <c r="M1126" s="217"/>
      <c r="N1126" s="217"/>
      <c r="O1126" s="217"/>
      <c r="P1126" s="217"/>
    </row>
    <row r="1127" spans="3:16" ht="42" customHeight="1">
      <c r="C1127" s="272">
        <v>1125</v>
      </c>
      <c r="D1127" s="275"/>
      <c r="E1127" s="276"/>
      <c r="F1127" s="221"/>
      <c r="G1127" s="275"/>
      <c r="H1127" s="276"/>
      <c r="I1127" s="217"/>
      <c r="J1127" s="217"/>
      <c r="K1127" s="221"/>
      <c r="L1127" s="217"/>
      <c r="M1127" s="217"/>
      <c r="N1127" s="217"/>
      <c r="O1127" s="217"/>
      <c r="P1127" s="217"/>
    </row>
    <row r="1128" spans="3:16" ht="42" customHeight="1">
      <c r="C1128" s="272">
        <v>1126</v>
      </c>
      <c r="D1128" s="275"/>
      <c r="E1128" s="276"/>
      <c r="F1128" s="221"/>
      <c r="G1128" s="275"/>
      <c r="H1128" s="276"/>
      <c r="I1128" s="217"/>
      <c r="J1128" s="217"/>
      <c r="K1128" s="221"/>
      <c r="L1128" s="217"/>
      <c r="M1128" s="217"/>
      <c r="N1128" s="217"/>
      <c r="O1128" s="217"/>
      <c r="P1128" s="217"/>
    </row>
    <row r="1129" spans="3:16" ht="42" customHeight="1">
      <c r="C1129" s="272">
        <v>1127</v>
      </c>
      <c r="D1129" s="275"/>
      <c r="E1129" s="276"/>
      <c r="F1129" s="221"/>
      <c r="G1129" s="275"/>
      <c r="H1129" s="276"/>
      <c r="I1129" s="217"/>
      <c r="J1129" s="217"/>
      <c r="K1129" s="221"/>
      <c r="L1129" s="217"/>
      <c r="M1129" s="217"/>
      <c r="N1129" s="217"/>
      <c r="O1129" s="217"/>
      <c r="P1129" s="217"/>
    </row>
    <row r="1130" spans="3:16" ht="42" customHeight="1">
      <c r="C1130" s="272">
        <v>1128</v>
      </c>
      <c r="D1130" s="275"/>
      <c r="E1130" s="276"/>
      <c r="F1130" s="221"/>
      <c r="G1130" s="275"/>
      <c r="H1130" s="276"/>
      <c r="I1130" s="217"/>
      <c r="J1130" s="217"/>
      <c r="K1130" s="221"/>
      <c r="L1130" s="217"/>
      <c r="M1130" s="217"/>
      <c r="N1130" s="217"/>
      <c r="O1130" s="217"/>
      <c r="P1130" s="217"/>
    </row>
    <row r="1131" spans="3:16" ht="42" customHeight="1">
      <c r="C1131" s="272">
        <v>1129</v>
      </c>
      <c r="D1131" s="275"/>
      <c r="E1131" s="276"/>
      <c r="F1131" s="221"/>
      <c r="G1131" s="275"/>
      <c r="H1131" s="276"/>
      <c r="I1131" s="217"/>
      <c r="J1131" s="217"/>
      <c r="K1131" s="221"/>
      <c r="L1131" s="217"/>
      <c r="M1131" s="217"/>
      <c r="N1131" s="217"/>
      <c r="O1131" s="217"/>
      <c r="P1131" s="217"/>
    </row>
    <row r="1132" spans="3:16" ht="42" customHeight="1">
      <c r="C1132" s="272">
        <v>1130</v>
      </c>
      <c r="D1132" s="275"/>
      <c r="E1132" s="276"/>
      <c r="F1132" s="221"/>
      <c r="G1132" s="275"/>
      <c r="H1132" s="276"/>
      <c r="I1132" s="217"/>
      <c r="J1132" s="217"/>
      <c r="K1132" s="221"/>
      <c r="L1132" s="217"/>
      <c r="M1132" s="217"/>
      <c r="N1132" s="217"/>
      <c r="O1132" s="217"/>
      <c r="P1132" s="217"/>
    </row>
    <row r="1133" spans="3:16" ht="42" customHeight="1">
      <c r="C1133" s="272">
        <v>1131</v>
      </c>
      <c r="D1133" s="275"/>
      <c r="E1133" s="276"/>
      <c r="F1133" s="221"/>
      <c r="G1133" s="275"/>
      <c r="H1133" s="276"/>
      <c r="I1133" s="217"/>
      <c r="J1133" s="217"/>
      <c r="K1133" s="221"/>
      <c r="L1133" s="217"/>
      <c r="M1133" s="217"/>
      <c r="N1133" s="217"/>
      <c r="O1133" s="217"/>
      <c r="P1133" s="217"/>
    </row>
    <row r="1134" spans="3:16" ht="42" customHeight="1">
      <c r="C1134" s="272">
        <v>1132</v>
      </c>
      <c r="D1134" s="275"/>
      <c r="E1134" s="276"/>
      <c r="F1134" s="221"/>
      <c r="G1134" s="275"/>
      <c r="H1134" s="276"/>
      <c r="I1134" s="217"/>
      <c r="J1134" s="217"/>
      <c r="K1134" s="221"/>
      <c r="L1134" s="217"/>
      <c r="M1134" s="217"/>
      <c r="N1134" s="217"/>
      <c r="O1134" s="217"/>
      <c r="P1134" s="217"/>
    </row>
    <row r="1135" spans="3:16" ht="42" customHeight="1">
      <c r="C1135" s="272">
        <v>1133</v>
      </c>
      <c r="D1135" s="275"/>
      <c r="E1135" s="276"/>
      <c r="F1135" s="221"/>
      <c r="G1135" s="275"/>
      <c r="H1135" s="276"/>
      <c r="I1135" s="217"/>
      <c r="J1135" s="217"/>
      <c r="K1135" s="221"/>
      <c r="L1135" s="217"/>
      <c r="M1135" s="217"/>
      <c r="N1135" s="217"/>
      <c r="O1135" s="217"/>
      <c r="P1135" s="217"/>
    </row>
    <row r="1136" spans="3:16" ht="42" customHeight="1">
      <c r="C1136" s="272">
        <v>1134</v>
      </c>
      <c r="D1136" s="275"/>
      <c r="E1136" s="276"/>
      <c r="F1136" s="221"/>
      <c r="G1136" s="275"/>
      <c r="H1136" s="276"/>
      <c r="I1136" s="217"/>
      <c r="J1136" s="217"/>
      <c r="K1136" s="221"/>
      <c r="L1136" s="217"/>
      <c r="M1136" s="217"/>
      <c r="N1136" s="217"/>
      <c r="O1136" s="217"/>
      <c r="P1136" s="217"/>
    </row>
    <row r="1137" spans="3:16" ht="42" customHeight="1">
      <c r="C1137" s="272">
        <v>1135</v>
      </c>
      <c r="D1137" s="275"/>
      <c r="E1137" s="276"/>
      <c r="F1137" s="221"/>
      <c r="G1137" s="275"/>
      <c r="H1137" s="276"/>
      <c r="I1137" s="217"/>
      <c r="J1137" s="217"/>
      <c r="K1137" s="221"/>
      <c r="L1137" s="217"/>
      <c r="M1137" s="217"/>
      <c r="N1137" s="217"/>
      <c r="O1137" s="217"/>
      <c r="P1137" s="217"/>
    </row>
    <row r="1138" spans="3:16" ht="42" customHeight="1">
      <c r="C1138" s="272">
        <v>1136</v>
      </c>
      <c r="D1138" s="275"/>
      <c r="E1138" s="276"/>
      <c r="F1138" s="221"/>
      <c r="G1138" s="275"/>
      <c r="H1138" s="276"/>
      <c r="I1138" s="217"/>
      <c r="J1138" s="217"/>
      <c r="K1138" s="221"/>
      <c r="L1138" s="217"/>
      <c r="M1138" s="217"/>
      <c r="N1138" s="217"/>
      <c r="O1138" s="217"/>
      <c r="P1138" s="217"/>
    </row>
    <row r="1139" spans="3:16" ht="42" customHeight="1">
      <c r="C1139" s="272">
        <v>1137</v>
      </c>
      <c r="D1139" s="275"/>
      <c r="E1139" s="276"/>
      <c r="F1139" s="221"/>
      <c r="G1139" s="275"/>
      <c r="H1139" s="276"/>
      <c r="I1139" s="217"/>
      <c r="J1139" s="217"/>
      <c r="K1139" s="221"/>
      <c r="L1139" s="217"/>
      <c r="M1139" s="217"/>
      <c r="N1139" s="217"/>
      <c r="O1139" s="217"/>
      <c r="P1139" s="217"/>
    </row>
    <row r="1140" spans="3:16" ht="42" customHeight="1">
      <c r="C1140" s="272">
        <v>1138</v>
      </c>
      <c r="D1140" s="275"/>
      <c r="E1140" s="276"/>
      <c r="F1140" s="221"/>
      <c r="G1140" s="275"/>
      <c r="H1140" s="276"/>
      <c r="I1140" s="217"/>
      <c r="J1140" s="217"/>
      <c r="K1140" s="221"/>
      <c r="L1140" s="217"/>
      <c r="M1140" s="217"/>
      <c r="N1140" s="217"/>
      <c r="O1140" s="217"/>
      <c r="P1140" s="217"/>
    </row>
    <row r="1141" spans="3:16" ht="42" customHeight="1">
      <c r="C1141" s="272">
        <v>1139</v>
      </c>
      <c r="D1141" s="275"/>
      <c r="E1141" s="276"/>
      <c r="F1141" s="221"/>
      <c r="G1141" s="275"/>
      <c r="H1141" s="276"/>
      <c r="I1141" s="217"/>
      <c r="J1141" s="217"/>
      <c r="K1141" s="221"/>
      <c r="L1141" s="217"/>
      <c r="M1141" s="217"/>
      <c r="N1141" s="217"/>
      <c r="O1141" s="217"/>
      <c r="P1141" s="217"/>
    </row>
    <row r="1142" spans="3:16" ht="42" customHeight="1">
      <c r="C1142" s="272">
        <v>1140</v>
      </c>
      <c r="D1142" s="275"/>
      <c r="E1142" s="276"/>
      <c r="F1142" s="221"/>
      <c r="G1142" s="275"/>
      <c r="H1142" s="276"/>
      <c r="I1142" s="217"/>
      <c r="J1142" s="217"/>
      <c r="K1142" s="221"/>
      <c r="L1142" s="217"/>
      <c r="M1142" s="217"/>
      <c r="N1142" s="217"/>
      <c r="O1142" s="217"/>
      <c r="P1142" s="217"/>
    </row>
    <row r="1143" spans="3:16" ht="42" customHeight="1">
      <c r="C1143" s="272">
        <v>1141</v>
      </c>
      <c r="D1143" s="275"/>
      <c r="E1143" s="276"/>
      <c r="F1143" s="221"/>
      <c r="G1143" s="275"/>
      <c r="H1143" s="276"/>
      <c r="I1143" s="217"/>
      <c r="J1143" s="217"/>
      <c r="K1143" s="221"/>
      <c r="L1143" s="217"/>
      <c r="M1143" s="217"/>
      <c r="N1143" s="217"/>
      <c r="O1143" s="217"/>
      <c r="P1143" s="217"/>
    </row>
    <row r="1144" spans="3:16" ht="42" customHeight="1">
      <c r="C1144" s="272">
        <v>1142</v>
      </c>
      <c r="D1144" s="275"/>
      <c r="E1144" s="276"/>
      <c r="F1144" s="221"/>
      <c r="G1144" s="275"/>
      <c r="H1144" s="276"/>
      <c r="I1144" s="217"/>
      <c r="J1144" s="217"/>
      <c r="K1144" s="221"/>
      <c r="L1144" s="217"/>
      <c r="M1144" s="217"/>
      <c r="N1144" s="217"/>
      <c r="O1144" s="217"/>
      <c r="P1144" s="217"/>
    </row>
    <row r="1145" spans="3:16" ht="42" customHeight="1">
      <c r="C1145" s="272">
        <v>1143</v>
      </c>
      <c r="D1145" s="275"/>
      <c r="E1145" s="276"/>
      <c r="F1145" s="221"/>
      <c r="G1145" s="275"/>
      <c r="H1145" s="276"/>
      <c r="I1145" s="217"/>
      <c r="J1145" s="217"/>
      <c r="K1145" s="221"/>
      <c r="L1145" s="217"/>
      <c r="M1145" s="217"/>
      <c r="N1145" s="217"/>
      <c r="O1145" s="217"/>
      <c r="P1145" s="217"/>
    </row>
    <row r="1146" spans="3:16" ht="42" customHeight="1">
      <c r="C1146" s="272">
        <v>1144</v>
      </c>
      <c r="D1146" s="275"/>
      <c r="E1146" s="276"/>
      <c r="F1146" s="221"/>
      <c r="G1146" s="275"/>
      <c r="H1146" s="276"/>
      <c r="I1146" s="217"/>
      <c r="J1146" s="217"/>
      <c r="K1146" s="221"/>
      <c r="L1146" s="217"/>
      <c r="M1146" s="217"/>
      <c r="N1146" s="217"/>
      <c r="O1146" s="217"/>
      <c r="P1146" s="217"/>
    </row>
    <row r="1147" spans="3:16" ht="42" customHeight="1">
      <c r="C1147" s="272">
        <v>1145</v>
      </c>
      <c r="D1147" s="275"/>
      <c r="E1147" s="276"/>
      <c r="F1147" s="221"/>
      <c r="G1147" s="275"/>
      <c r="H1147" s="276"/>
      <c r="I1147" s="217"/>
      <c r="J1147" s="217"/>
      <c r="K1147" s="221"/>
      <c r="L1147" s="217"/>
      <c r="M1147" s="217"/>
      <c r="N1147" s="217"/>
      <c r="O1147" s="217"/>
      <c r="P1147" s="217"/>
    </row>
    <row r="1148" spans="3:16" ht="42" customHeight="1">
      <c r="C1148" s="272">
        <v>1146</v>
      </c>
      <c r="D1148" s="275"/>
      <c r="E1148" s="276"/>
      <c r="F1148" s="221"/>
      <c r="G1148" s="275"/>
      <c r="H1148" s="276"/>
      <c r="I1148" s="217"/>
      <c r="J1148" s="217"/>
      <c r="K1148" s="221"/>
      <c r="L1148" s="217"/>
      <c r="M1148" s="217"/>
      <c r="N1148" s="217"/>
      <c r="O1148" s="217"/>
      <c r="P1148" s="217"/>
    </row>
    <row r="1149" spans="3:16" ht="42" customHeight="1">
      <c r="C1149" s="272">
        <v>1147</v>
      </c>
      <c r="D1149" s="275"/>
      <c r="E1149" s="276"/>
      <c r="F1149" s="221"/>
      <c r="G1149" s="275"/>
      <c r="H1149" s="276"/>
      <c r="I1149" s="217"/>
      <c r="J1149" s="217"/>
      <c r="K1149" s="221"/>
      <c r="L1149" s="217"/>
      <c r="M1149" s="217"/>
      <c r="N1149" s="217"/>
      <c r="O1149" s="217"/>
      <c r="P1149" s="217"/>
    </row>
    <row r="1150" spans="3:16" ht="42" customHeight="1">
      <c r="C1150" s="272">
        <v>1148</v>
      </c>
      <c r="D1150" s="275"/>
      <c r="E1150" s="276"/>
      <c r="F1150" s="221"/>
      <c r="G1150" s="275"/>
      <c r="H1150" s="276"/>
      <c r="I1150" s="217"/>
      <c r="J1150" s="217"/>
      <c r="K1150" s="221"/>
      <c r="L1150" s="217"/>
      <c r="M1150" s="217"/>
      <c r="N1150" s="217"/>
      <c r="O1150" s="217"/>
      <c r="P1150" s="217"/>
    </row>
    <row r="1151" spans="3:16" ht="42" customHeight="1">
      <c r="C1151" s="272">
        <v>1149</v>
      </c>
      <c r="D1151" s="275"/>
      <c r="E1151" s="276"/>
      <c r="F1151" s="221"/>
      <c r="G1151" s="275"/>
      <c r="H1151" s="276"/>
      <c r="I1151" s="217"/>
      <c r="J1151" s="217"/>
      <c r="K1151" s="221"/>
      <c r="L1151" s="217"/>
      <c r="M1151" s="217"/>
      <c r="N1151" s="217"/>
      <c r="O1151" s="217"/>
      <c r="P1151" s="217"/>
    </row>
    <row r="1152" spans="3:16" ht="42" customHeight="1">
      <c r="C1152" s="272">
        <v>1150</v>
      </c>
      <c r="D1152" s="275"/>
      <c r="E1152" s="276"/>
      <c r="F1152" s="221"/>
      <c r="G1152" s="275"/>
      <c r="H1152" s="276"/>
      <c r="I1152" s="217"/>
      <c r="J1152" s="217"/>
      <c r="K1152" s="221"/>
      <c r="L1152" s="217"/>
      <c r="M1152" s="217"/>
      <c r="N1152" s="217"/>
      <c r="O1152" s="217"/>
      <c r="P1152" s="217"/>
    </row>
    <row r="1153" spans="3:16" ht="42" customHeight="1">
      <c r="C1153" s="272">
        <v>1151</v>
      </c>
      <c r="D1153" s="275"/>
      <c r="E1153" s="276"/>
      <c r="F1153" s="221"/>
      <c r="G1153" s="275"/>
      <c r="H1153" s="276"/>
      <c r="I1153" s="217"/>
      <c r="J1153" s="217"/>
      <c r="K1153" s="221"/>
      <c r="L1153" s="217"/>
      <c r="M1153" s="217"/>
      <c r="N1153" s="217"/>
      <c r="O1153" s="217"/>
      <c r="P1153" s="217"/>
    </row>
    <row r="1154" spans="3:16" ht="42" customHeight="1">
      <c r="C1154" s="272">
        <v>1152</v>
      </c>
      <c r="D1154" s="275"/>
      <c r="E1154" s="276"/>
      <c r="F1154" s="221"/>
      <c r="G1154" s="275"/>
      <c r="H1154" s="276"/>
      <c r="I1154" s="217"/>
      <c r="J1154" s="217"/>
      <c r="K1154" s="221"/>
      <c r="L1154" s="217"/>
      <c r="M1154" s="217"/>
      <c r="N1154" s="217"/>
      <c r="O1154" s="217"/>
      <c r="P1154" s="217"/>
    </row>
    <row r="1155" spans="3:16" ht="42" customHeight="1">
      <c r="C1155" s="272">
        <v>1153</v>
      </c>
      <c r="D1155" s="275"/>
      <c r="E1155" s="276"/>
      <c r="F1155" s="221"/>
      <c r="G1155" s="275"/>
      <c r="H1155" s="276"/>
      <c r="I1155" s="217"/>
      <c r="J1155" s="217"/>
      <c r="K1155" s="221"/>
      <c r="L1155" s="217"/>
      <c r="M1155" s="217"/>
      <c r="N1155" s="217"/>
      <c r="O1155" s="217"/>
      <c r="P1155" s="217"/>
    </row>
    <row r="1156" spans="3:16" ht="42" customHeight="1">
      <c r="C1156" s="272">
        <v>1154</v>
      </c>
      <c r="D1156" s="275"/>
      <c r="E1156" s="276"/>
      <c r="F1156" s="221"/>
      <c r="G1156" s="275"/>
      <c r="H1156" s="276"/>
      <c r="I1156" s="217"/>
      <c r="J1156" s="217"/>
      <c r="K1156" s="221"/>
      <c r="L1156" s="217"/>
      <c r="M1156" s="217"/>
      <c r="N1156" s="217"/>
      <c r="O1156" s="217"/>
      <c r="P1156" s="217"/>
    </row>
    <row r="1157" spans="3:16" ht="42" customHeight="1">
      <c r="C1157" s="272">
        <v>1155</v>
      </c>
      <c r="D1157" s="275"/>
      <c r="E1157" s="276"/>
      <c r="F1157" s="221"/>
      <c r="G1157" s="275"/>
      <c r="H1157" s="276"/>
      <c r="I1157" s="217"/>
      <c r="J1157" s="217"/>
      <c r="K1157" s="221"/>
      <c r="L1157" s="217"/>
      <c r="M1157" s="217"/>
      <c r="N1157" s="217"/>
      <c r="O1157" s="217"/>
      <c r="P1157" s="217"/>
    </row>
    <row r="1158" spans="3:16" ht="42" customHeight="1">
      <c r="C1158" s="272">
        <v>1156</v>
      </c>
      <c r="D1158" s="275"/>
      <c r="E1158" s="276"/>
      <c r="F1158" s="221"/>
      <c r="G1158" s="275"/>
      <c r="H1158" s="276"/>
      <c r="I1158" s="217"/>
      <c r="J1158" s="217"/>
      <c r="K1158" s="221"/>
      <c r="L1158" s="217"/>
      <c r="M1158" s="217"/>
      <c r="N1158" s="217"/>
      <c r="O1158" s="217"/>
      <c r="P1158" s="217"/>
    </row>
    <row r="1159" spans="3:16" ht="42" customHeight="1">
      <c r="C1159" s="272">
        <v>1157</v>
      </c>
      <c r="D1159" s="275"/>
      <c r="E1159" s="276"/>
      <c r="F1159" s="221"/>
      <c r="G1159" s="275"/>
      <c r="H1159" s="276"/>
      <c r="I1159" s="217"/>
      <c r="J1159" s="217"/>
      <c r="K1159" s="221"/>
      <c r="L1159" s="217"/>
      <c r="M1159" s="217"/>
      <c r="N1159" s="217"/>
      <c r="O1159" s="217"/>
      <c r="P1159" s="217"/>
    </row>
    <row r="1160" spans="3:16" ht="42" customHeight="1">
      <c r="C1160" s="272">
        <v>1158</v>
      </c>
      <c r="D1160" s="275"/>
      <c r="E1160" s="276"/>
      <c r="F1160" s="221"/>
      <c r="G1160" s="275"/>
      <c r="H1160" s="276"/>
      <c r="I1160" s="217"/>
      <c r="J1160" s="217"/>
      <c r="K1160" s="221"/>
      <c r="L1160" s="217"/>
      <c r="M1160" s="217"/>
      <c r="N1160" s="217"/>
      <c r="O1160" s="217"/>
      <c r="P1160" s="217"/>
    </row>
    <row r="1161" spans="3:16" ht="42" customHeight="1">
      <c r="C1161" s="272">
        <v>1159</v>
      </c>
      <c r="D1161" s="275"/>
      <c r="E1161" s="276"/>
      <c r="F1161" s="221"/>
      <c r="G1161" s="275"/>
      <c r="H1161" s="276"/>
      <c r="I1161" s="217"/>
      <c r="J1161" s="217"/>
      <c r="K1161" s="221"/>
      <c r="L1161" s="217"/>
      <c r="M1161" s="217"/>
      <c r="N1161" s="217"/>
      <c r="O1161" s="217"/>
      <c r="P1161" s="217"/>
    </row>
    <row r="1162" spans="3:16" ht="42" customHeight="1">
      <c r="C1162" s="272">
        <v>1160</v>
      </c>
      <c r="D1162" s="275"/>
      <c r="E1162" s="276"/>
      <c r="F1162" s="221"/>
      <c r="G1162" s="275"/>
      <c r="H1162" s="276"/>
      <c r="I1162" s="217"/>
      <c r="J1162" s="217"/>
      <c r="K1162" s="221"/>
      <c r="L1162" s="217"/>
      <c r="M1162" s="217"/>
      <c r="N1162" s="217"/>
      <c r="O1162" s="217"/>
      <c r="P1162" s="217"/>
    </row>
    <row r="1163" spans="3:16" ht="42" customHeight="1">
      <c r="C1163" s="272">
        <v>1161</v>
      </c>
      <c r="D1163" s="275"/>
      <c r="E1163" s="276"/>
      <c r="F1163" s="221"/>
      <c r="G1163" s="275"/>
      <c r="H1163" s="276"/>
      <c r="I1163" s="217"/>
      <c r="J1163" s="217"/>
      <c r="K1163" s="221"/>
      <c r="L1163" s="217"/>
      <c r="M1163" s="217"/>
      <c r="N1163" s="217"/>
      <c r="O1163" s="217"/>
      <c r="P1163" s="217"/>
    </row>
    <row r="1164" spans="3:16" ht="42" customHeight="1">
      <c r="C1164" s="272">
        <v>1162</v>
      </c>
      <c r="D1164" s="275"/>
      <c r="E1164" s="276"/>
      <c r="F1164" s="221"/>
      <c r="G1164" s="275"/>
      <c r="H1164" s="276"/>
      <c r="I1164" s="217"/>
      <c r="J1164" s="217"/>
      <c r="K1164" s="221"/>
      <c r="L1164" s="217"/>
      <c r="M1164" s="217"/>
      <c r="N1164" s="217"/>
      <c r="O1164" s="217"/>
      <c r="P1164" s="217"/>
    </row>
    <row r="1165" spans="3:16" ht="42" customHeight="1">
      <c r="C1165" s="272">
        <v>1163</v>
      </c>
      <c r="D1165" s="275"/>
      <c r="E1165" s="276"/>
      <c r="F1165" s="221"/>
      <c r="G1165" s="275"/>
      <c r="H1165" s="276"/>
      <c r="I1165" s="217"/>
      <c r="J1165" s="217"/>
      <c r="K1165" s="221"/>
      <c r="L1165" s="217"/>
      <c r="M1165" s="217"/>
      <c r="N1165" s="217"/>
      <c r="O1165" s="217"/>
      <c r="P1165" s="217"/>
    </row>
    <row r="1166" spans="3:16" ht="42" customHeight="1">
      <c r="C1166" s="272">
        <v>1164</v>
      </c>
      <c r="D1166" s="275"/>
      <c r="E1166" s="276"/>
      <c r="F1166" s="221"/>
      <c r="G1166" s="275"/>
      <c r="H1166" s="276"/>
      <c r="I1166" s="217"/>
      <c r="J1166" s="217"/>
      <c r="K1166" s="221"/>
      <c r="L1166" s="217"/>
      <c r="M1166" s="217"/>
      <c r="N1166" s="217"/>
      <c r="O1166" s="217"/>
      <c r="P1166" s="217"/>
    </row>
    <row r="1167" spans="3:16" ht="42" customHeight="1">
      <c r="C1167" s="272">
        <v>1165</v>
      </c>
      <c r="D1167" s="275"/>
      <c r="E1167" s="276"/>
      <c r="F1167" s="221"/>
      <c r="G1167" s="275"/>
      <c r="H1167" s="276"/>
      <c r="I1167" s="217"/>
      <c r="J1167" s="217"/>
      <c r="K1167" s="221"/>
      <c r="L1167" s="217"/>
      <c r="M1167" s="217"/>
      <c r="N1167" s="217"/>
      <c r="O1167" s="217"/>
      <c r="P1167" s="217"/>
    </row>
    <row r="1168" spans="3:16" ht="42" customHeight="1">
      <c r="C1168" s="272">
        <v>1166</v>
      </c>
      <c r="D1168" s="275"/>
      <c r="E1168" s="276"/>
      <c r="F1168" s="221"/>
      <c r="G1168" s="275"/>
      <c r="H1168" s="276"/>
      <c r="I1168" s="217"/>
      <c r="J1168" s="217"/>
      <c r="K1168" s="221"/>
      <c r="L1168" s="217"/>
      <c r="M1168" s="217"/>
      <c r="N1168" s="217"/>
      <c r="O1168" s="217"/>
      <c r="P1168" s="217"/>
    </row>
    <row r="1169" spans="3:16" ht="42" customHeight="1">
      <c r="C1169" s="272">
        <v>1167</v>
      </c>
      <c r="D1169" s="275"/>
      <c r="E1169" s="276"/>
      <c r="F1169" s="221"/>
      <c r="G1169" s="275"/>
      <c r="H1169" s="276"/>
      <c r="I1169" s="217"/>
      <c r="J1169" s="217"/>
      <c r="K1169" s="221"/>
      <c r="L1169" s="217"/>
      <c r="M1169" s="217"/>
      <c r="N1169" s="217"/>
      <c r="O1169" s="217"/>
      <c r="P1169" s="217"/>
    </row>
    <row r="1170" spans="3:16" ht="42" customHeight="1">
      <c r="C1170" s="272">
        <v>1168</v>
      </c>
      <c r="D1170" s="275"/>
      <c r="E1170" s="276"/>
      <c r="F1170" s="221"/>
      <c r="G1170" s="275"/>
      <c r="H1170" s="276"/>
      <c r="I1170" s="217"/>
      <c r="J1170" s="217"/>
      <c r="K1170" s="221"/>
      <c r="L1170" s="217"/>
      <c r="M1170" s="217"/>
      <c r="N1170" s="217"/>
      <c r="O1170" s="217"/>
      <c r="P1170" s="217"/>
    </row>
    <row r="1171" spans="3:16" ht="42" customHeight="1">
      <c r="C1171" s="272">
        <v>1169</v>
      </c>
      <c r="D1171" s="275"/>
      <c r="E1171" s="276"/>
      <c r="F1171" s="221"/>
      <c r="G1171" s="275"/>
      <c r="H1171" s="276"/>
      <c r="I1171" s="217"/>
      <c r="J1171" s="217"/>
      <c r="K1171" s="221"/>
      <c r="L1171" s="217"/>
      <c r="M1171" s="217"/>
      <c r="N1171" s="217"/>
      <c r="O1171" s="217"/>
      <c r="P1171" s="217"/>
    </row>
    <row r="1172" spans="3:16" ht="42" customHeight="1">
      <c r="C1172" s="272">
        <v>1170</v>
      </c>
      <c r="D1172" s="275"/>
      <c r="E1172" s="276"/>
      <c r="F1172" s="221"/>
      <c r="G1172" s="275"/>
      <c r="H1172" s="276"/>
      <c r="I1172" s="217"/>
      <c r="J1172" s="217"/>
      <c r="K1172" s="221"/>
      <c r="L1172" s="217"/>
      <c r="M1172" s="217"/>
      <c r="N1172" s="217"/>
      <c r="O1172" s="217"/>
      <c r="P1172" s="217"/>
    </row>
    <row r="1173" spans="3:16" ht="42" customHeight="1">
      <c r="C1173" s="272">
        <v>1171</v>
      </c>
      <c r="D1173" s="275"/>
      <c r="E1173" s="276"/>
      <c r="F1173" s="221"/>
      <c r="G1173" s="275"/>
      <c r="H1173" s="276"/>
      <c r="I1173" s="217"/>
      <c r="J1173" s="217"/>
      <c r="K1173" s="221"/>
      <c r="L1173" s="217"/>
      <c r="M1173" s="217"/>
      <c r="N1173" s="217"/>
      <c r="O1173" s="217"/>
      <c r="P1173" s="217"/>
    </row>
    <row r="1174" spans="3:16" ht="42" customHeight="1">
      <c r="C1174" s="272">
        <v>1172</v>
      </c>
      <c r="D1174" s="275"/>
      <c r="E1174" s="276"/>
      <c r="F1174" s="221"/>
      <c r="G1174" s="275"/>
      <c r="H1174" s="276"/>
      <c r="I1174" s="217"/>
      <c r="J1174" s="217"/>
      <c r="K1174" s="221"/>
      <c r="L1174" s="217"/>
      <c r="M1174" s="217"/>
      <c r="N1174" s="217"/>
      <c r="O1174" s="217"/>
      <c r="P1174" s="217"/>
    </row>
    <row r="1175" spans="3:16" ht="42" customHeight="1">
      <c r="C1175" s="272">
        <v>1173</v>
      </c>
      <c r="D1175" s="275"/>
      <c r="E1175" s="276"/>
      <c r="F1175" s="221"/>
      <c r="G1175" s="275"/>
      <c r="H1175" s="276"/>
      <c r="I1175" s="217"/>
      <c r="J1175" s="217"/>
      <c r="K1175" s="221"/>
      <c r="L1175" s="217"/>
      <c r="M1175" s="217"/>
      <c r="N1175" s="217"/>
      <c r="O1175" s="217"/>
      <c r="P1175" s="217"/>
    </row>
    <row r="1176" spans="3:16" ht="42" customHeight="1">
      <c r="C1176" s="272">
        <v>1174</v>
      </c>
      <c r="D1176" s="275"/>
      <c r="E1176" s="276"/>
      <c r="F1176" s="221"/>
      <c r="G1176" s="275"/>
      <c r="H1176" s="276"/>
      <c r="I1176" s="217"/>
      <c r="J1176" s="217"/>
      <c r="K1176" s="221"/>
      <c r="L1176" s="217"/>
      <c r="M1176" s="217"/>
      <c r="N1176" s="217"/>
      <c r="O1176" s="217"/>
      <c r="P1176" s="217"/>
    </row>
    <row r="1177" spans="3:16" ht="42" customHeight="1">
      <c r="C1177" s="272">
        <v>1175</v>
      </c>
      <c r="D1177" s="275"/>
      <c r="E1177" s="276"/>
      <c r="F1177" s="221"/>
      <c r="G1177" s="275"/>
      <c r="H1177" s="276"/>
      <c r="I1177" s="217"/>
      <c r="J1177" s="217"/>
      <c r="K1177" s="221"/>
      <c r="L1177" s="217"/>
      <c r="M1177" s="217"/>
      <c r="N1177" s="217"/>
      <c r="O1177" s="217"/>
      <c r="P1177" s="217"/>
    </row>
    <row r="1178" spans="3:16" ht="42" customHeight="1">
      <c r="C1178" s="272">
        <v>1176</v>
      </c>
      <c r="D1178" s="275"/>
      <c r="E1178" s="276"/>
      <c r="F1178" s="221"/>
      <c r="G1178" s="275"/>
      <c r="H1178" s="276"/>
      <c r="I1178" s="217"/>
      <c r="J1178" s="217"/>
      <c r="K1178" s="221"/>
      <c r="L1178" s="217"/>
      <c r="M1178" s="217"/>
      <c r="N1178" s="217"/>
      <c r="O1178" s="217"/>
      <c r="P1178" s="217"/>
    </row>
    <row r="1179" spans="3:16" ht="42" customHeight="1">
      <c r="C1179" s="272">
        <v>1177</v>
      </c>
      <c r="D1179" s="275"/>
      <c r="E1179" s="276"/>
      <c r="F1179" s="221"/>
      <c r="G1179" s="275"/>
      <c r="H1179" s="276"/>
      <c r="I1179" s="217"/>
      <c r="J1179" s="217"/>
      <c r="K1179" s="221"/>
      <c r="L1179" s="217"/>
      <c r="M1179" s="217"/>
      <c r="N1179" s="217"/>
      <c r="O1179" s="217"/>
      <c r="P1179" s="217"/>
    </row>
    <row r="1180" spans="3:16" ht="42" customHeight="1">
      <c r="C1180" s="272">
        <v>1178</v>
      </c>
      <c r="D1180" s="275"/>
      <c r="E1180" s="276"/>
      <c r="F1180" s="221"/>
      <c r="G1180" s="275"/>
      <c r="H1180" s="276"/>
      <c r="I1180" s="217"/>
      <c r="J1180" s="217"/>
      <c r="K1180" s="221"/>
      <c r="L1180" s="217"/>
      <c r="M1180" s="217"/>
      <c r="N1180" s="217"/>
      <c r="O1180" s="217"/>
      <c r="P1180" s="217"/>
    </row>
    <row r="1181" spans="3:16" ht="42" customHeight="1">
      <c r="C1181" s="272">
        <v>1179</v>
      </c>
      <c r="D1181" s="275"/>
      <c r="E1181" s="276"/>
      <c r="F1181" s="221"/>
      <c r="G1181" s="275"/>
      <c r="H1181" s="276"/>
      <c r="I1181" s="217"/>
      <c r="J1181" s="217"/>
      <c r="K1181" s="221"/>
      <c r="L1181" s="217"/>
      <c r="M1181" s="217"/>
      <c r="N1181" s="217"/>
      <c r="O1181" s="217"/>
      <c r="P1181" s="217"/>
    </row>
    <row r="1182" spans="3:16" ht="42" customHeight="1">
      <c r="C1182" s="272">
        <v>1180</v>
      </c>
      <c r="D1182" s="275"/>
      <c r="E1182" s="276"/>
      <c r="F1182" s="221"/>
      <c r="G1182" s="275"/>
      <c r="H1182" s="276"/>
      <c r="I1182" s="217"/>
      <c r="J1182" s="217"/>
      <c r="K1182" s="221"/>
      <c r="L1182" s="217"/>
      <c r="M1182" s="217"/>
      <c r="N1182" s="217"/>
      <c r="O1182" s="217"/>
      <c r="P1182" s="217"/>
    </row>
    <row r="1183" spans="3:16" ht="42" customHeight="1">
      <c r="C1183" s="272">
        <v>1181</v>
      </c>
      <c r="D1183" s="275"/>
      <c r="E1183" s="276"/>
      <c r="F1183" s="221"/>
      <c r="G1183" s="275"/>
      <c r="H1183" s="276"/>
      <c r="I1183" s="217"/>
      <c r="J1183" s="217"/>
      <c r="K1183" s="221"/>
      <c r="L1183" s="217"/>
      <c r="M1183" s="217"/>
      <c r="N1183" s="217"/>
      <c r="O1183" s="217"/>
      <c r="P1183" s="217"/>
    </row>
    <row r="1184" spans="3:16" ht="42" customHeight="1">
      <c r="C1184" s="272">
        <v>1182</v>
      </c>
      <c r="D1184" s="275"/>
      <c r="E1184" s="276"/>
      <c r="F1184" s="221"/>
      <c r="G1184" s="275"/>
      <c r="H1184" s="276"/>
      <c r="I1184" s="217"/>
      <c r="J1184" s="217"/>
      <c r="K1184" s="221"/>
      <c r="L1184" s="217"/>
      <c r="M1184" s="217"/>
      <c r="N1184" s="217"/>
      <c r="O1184" s="217"/>
      <c r="P1184" s="217"/>
    </row>
    <row r="1185" spans="3:16" ht="42" customHeight="1">
      <c r="C1185" s="272">
        <v>1183</v>
      </c>
      <c r="D1185" s="275"/>
      <c r="E1185" s="276"/>
      <c r="F1185" s="221"/>
      <c r="G1185" s="275"/>
      <c r="H1185" s="276"/>
      <c r="I1185" s="217"/>
      <c r="J1185" s="217"/>
      <c r="K1185" s="221"/>
      <c r="L1185" s="217"/>
      <c r="M1185" s="217"/>
      <c r="N1185" s="217"/>
      <c r="O1185" s="217"/>
      <c r="P1185" s="217"/>
    </row>
    <row r="1186" spans="3:16" ht="42" customHeight="1">
      <c r="C1186" s="272">
        <v>1184</v>
      </c>
      <c r="D1186" s="275"/>
      <c r="E1186" s="276"/>
      <c r="F1186" s="221"/>
      <c r="G1186" s="275"/>
      <c r="H1186" s="276"/>
      <c r="I1186" s="217"/>
      <c r="J1186" s="217"/>
      <c r="K1186" s="221"/>
      <c r="L1186" s="217"/>
      <c r="M1186" s="217"/>
      <c r="N1186" s="217"/>
      <c r="O1186" s="217"/>
      <c r="P1186" s="217"/>
    </row>
    <row r="1187" spans="3:16" ht="42" customHeight="1">
      <c r="C1187" s="272">
        <v>1185</v>
      </c>
      <c r="D1187" s="275"/>
      <c r="E1187" s="276"/>
      <c r="F1187" s="221"/>
      <c r="G1187" s="275"/>
      <c r="H1187" s="276"/>
      <c r="I1187" s="217"/>
      <c r="J1187" s="217"/>
      <c r="K1187" s="221"/>
      <c r="L1187" s="217"/>
      <c r="M1187" s="217"/>
      <c r="N1187" s="217"/>
      <c r="O1187" s="217"/>
      <c r="P1187" s="217"/>
    </row>
    <row r="1188" spans="3:16" ht="42" customHeight="1">
      <c r="C1188" s="272">
        <v>1186</v>
      </c>
      <c r="D1188" s="275"/>
      <c r="E1188" s="276"/>
      <c r="F1188" s="221"/>
      <c r="G1188" s="275"/>
      <c r="H1188" s="276"/>
      <c r="I1188" s="217"/>
      <c r="J1188" s="217"/>
      <c r="K1188" s="221"/>
      <c r="L1188" s="217"/>
      <c r="M1188" s="217"/>
      <c r="N1188" s="217"/>
      <c r="O1188" s="217"/>
      <c r="P1188" s="217"/>
    </row>
    <row r="1189" spans="3:16" ht="42" customHeight="1">
      <c r="C1189" s="272">
        <v>1187</v>
      </c>
      <c r="D1189" s="275"/>
      <c r="E1189" s="276"/>
      <c r="F1189" s="221"/>
      <c r="G1189" s="275"/>
      <c r="H1189" s="276"/>
      <c r="I1189" s="217"/>
      <c r="J1189" s="217"/>
      <c r="K1189" s="221"/>
      <c r="L1189" s="217"/>
      <c r="M1189" s="217"/>
      <c r="N1189" s="217"/>
      <c r="O1189" s="217"/>
      <c r="P1189" s="217"/>
    </row>
    <row r="1190" spans="3:16" ht="42" customHeight="1">
      <c r="C1190" s="272">
        <v>1188</v>
      </c>
      <c r="D1190" s="275"/>
      <c r="E1190" s="276"/>
      <c r="F1190" s="221"/>
      <c r="G1190" s="275"/>
      <c r="H1190" s="276"/>
      <c r="I1190" s="217"/>
      <c r="J1190" s="217"/>
      <c r="K1190" s="221"/>
      <c r="L1190" s="217"/>
      <c r="M1190" s="217"/>
      <c r="N1190" s="217"/>
      <c r="O1190" s="217"/>
      <c r="P1190" s="217"/>
    </row>
    <row r="1191" spans="3:16" ht="42" customHeight="1">
      <c r="C1191" s="272">
        <v>1189</v>
      </c>
      <c r="D1191" s="275"/>
      <c r="E1191" s="276"/>
      <c r="F1191" s="221"/>
      <c r="G1191" s="275"/>
      <c r="H1191" s="276"/>
      <c r="I1191" s="217"/>
      <c r="J1191" s="217"/>
      <c r="K1191" s="221"/>
      <c r="L1191" s="217"/>
      <c r="M1191" s="217"/>
      <c r="N1191" s="217"/>
      <c r="O1191" s="217"/>
      <c r="P1191" s="217"/>
    </row>
    <row r="1192" spans="3:16" ht="42" customHeight="1">
      <c r="C1192" s="272">
        <v>1190</v>
      </c>
      <c r="D1192" s="275"/>
      <c r="E1192" s="276"/>
      <c r="F1192" s="221"/>
      <c r="G1192" s="275"/>
      <c r="H1192" s="276"/>
      <c r="I1192" s="217"/>
      <c r="J1192" s="217"/>
      <c r="K1192" s="221"/>
      <c r="L1192" s="217"/>
      <c r="M1192" s="217"/>
      <c r="N1192" s="217"/>
      <c r="O1192" s="217"/>
      <c r="P1192" s="217"/>
    </row>
    <row r="1193" spans="3:16" ht="42" customHeight="1">
      <c r="C1193" s="272">
        <v>1191</v>
      </c>
      <c r="D1193" s="275"/>
      <c r="E1193" s="276"/>
      <c r="F1193" s="221"/>
      <c r="G1193" s="275"/>
      <c r="H1193" s="276"/>
      <c r="I1193" s="217"/>
      <c r="J1193" s="217"/>
      <c r="K1193" s="221"/>
      <c r="L1193" s="217"/>
      <c r="M1193" s="217"/>
      <c r="N1193" s="217"/>
      <c r="O1193" s="217"/>
      <c r="P1193" s="217"/>
    </row>
    <row r="1194" spans="3:16" ht="42" customHeight="1">
      <c r="C1194" s="272">
        <v>1192</v>
      </c>
      <c r="D1194" s="275"/>
      <c r="E1194" s="276"/>
      <c r="F1194" s="221"/>
      <c r="G1194" s="275"/>
      <c r="H1194" s="276"/>
      <c r="I1194" s="217"/>
      <c r="J1194" s="217"/>
      <c r="K1194" s="221"/>
      <c r="L1194" s="217"/>
      <c r="M1194" s="217"/>
      <c r="N1194" s="217"/>
      <c r="O1194" s="217"/>
      <c r="P1194" s="217"/>
    </row>
    <row r="1195" spans="3:16" ht="42" customHeight="1">
      <c r="C1195" s="272">
        <v>1193</v>
      </c>
      <c r="D1195" s="275"/>
      <c r="E1195" s="276"/>
      <c r="F1195" s="221"/>
      <c r="G1195" s="275"/>
      <c r="H1195" s="276"/>
      <c r="I1195" s="217"/>
      <c r="J1195" s="217"/>
      <c r="K1195" s="221"/>
      <c r="L1195" s="217"/>
      <c r="M1195" s="217"/>
      <c r="N1195" s="217"/>
      <c r="O1195" s="217"/>
      <c r="P1195" s="217"/>
    </row>
    <row r="1196" spans="3:16" ht="42" customHeight="1">
      <c r="C1196" s="272">
        <v>1194</v>
      </c>
      <c r="D1196" s="275"/>
      <c r="E1196" s="276"/>
      <c r="F1196" s="221"/>
      <c r="G1196" s="275"/>
      <c r="H1196" s="276"/>
      <c r="I1196" s="217"/>
      <c r="J1196" s="217"/>
      <c r="K1196" s="221"/>
      <c r="L1196" s="217"/>
      <c r="M1196" s="217"/>
      <c r="N1196" s="217"/>
      <c r="O1196" s="217"/>
      <c r="P1196" s="217"/>
    </row>
    <row r="1197" spans="3:16" ht="42" customHeight="1">
      <c r="C1197" s="272">
        <v>1195</v>
      </c>
      <c r="D1197" s="275"/>
      <c r="E1197" s="276"/>
      <c r="F1197" s="221"/>
      <c r="G1197" s="275"/>
      <c r="H1197" s="276"/>
      <c r="I1197" s="217"/>
      <c r="J1197" s="217"/>
      <c r="K1197" s="221"/>
      <c r="L1197" s="217"/>
      <c r="M1197" s="217"/>
      <c r="N1197" s="217"/>
      <c r="O1197" s="217"/>
      <c r="P1197" s="217"/>
    </row>
    <row r="1198" spans="3:16" ht="42" customHeight="1">
      <c r="C1198" s="272">
        <v>1196</v>
      </c>
      <c r="D1198" s="275"/>
      <c r="E1198" s="276"/>
      <c r="F1198" s="221"/>
      <c r="G1198" s="275"/>
      <c r="H1198" s="276"/>
      <c r="I1198" s="217"/>
      <c r="J1198" s="217"/>
      <c r="K1198" s="221"/>
      <c r="L1198" s="217"/>
      <c r="M1198" s="217"/>
      <c r="N1198" s="217"/>
      <c r="O1198" s="217"/>
      <c r="P1198" s="217"/>
    </row>
    <row r="1199" spans="3:16" ht="42" customHeight="1">
      <c r="C1199" s="272">
        <v>1197</v>
      </c>
      <c r="D1199" s="275"/>
      <c r="E1199" s="276"/>
      <c r="F1199" s="221"/>
      <c r="G1199" s="275"/>
      <c r="H1199" s="276"/>
      <c r="I1199" s="217"/>
      <c r="J1199" s="217"/>
      <c r="K1199" s="221"/>
      <c r="L1199" s="217"/>
      <c r="M1199" s="217"/>
      <c r="N1199" s="217"/>
      <c r="O1199" s="217"/>
      <c r="P1199" s="217"/>
    </row>
    <row r="1200" spans="3:16" ht="42" customHeight="1">
      <c r="C1200" s="272">
        <v>1198</v>
      </c>
      <c r="D1200" s="275"/>
      <c r="E1200" s="276"/>
      <c r="F1200" s="221"/>
      <c r="G1200" s="275"/>
      <c r="H1200" s="276"/>
      <c r="I1200" s="217"/>
      <c r="J1200" s="217"/>
      <c r="K1200" s="221"/>
      <c r="L1200" s="217"/>
      <c r="M1200" s="217"/>
      <c r="N1200" s="217"/>
      <c r="O1200" s="217"/>
      <c r="P1200" s="217"/>
    </row>
    <row r="1201" spans="3:16" ht="42" customHeight="1">
      <c r="C1201" s="272">
        <v>1199</v>
      </c>
      <c r="D1201" s="275"/>
      <c r="E1201" s="276"/>
      <c r="F1201" s="221"/>
      <c r="G1201" s="275"/>
      <c r="H1201" s="276"/>
      <c r="I1201" s="217"/>
      <c r="J1201" s="217"/>
      <c r="K1201" s="221"/>
      <c r="L1201" s="217"/>
      <c r="M1201" s="217"/>
      <c r="N1201" s="217"/>
      <c r="O1201" s="217"/>
      <c r="P1201" s="217"/>
    </row>
    <row r="1202" spans="3:16" ht="42" customHeight="1">
      <c r="C1202" s="272">
        <v>1200</v>
      </c>
      <c r="D1202" s="275"/>
      <c r="E1202" s="276"/>
      <c r="F1202" s="221"/>
      <c r="G1202" s="275"/>
      <c r="H1202" s="276"/>
      <c r="I1202" s="217"/>
      <c r="J1202" s="217"/>
      <c r="K1202" s="221"/>
      <c r="L1202" s="217"/>
      <c r="M1202" s="217"/>
      <c r="N1202" s="217"/>
      <c r="O1202" s="217"/>
      <c r="P1202" s="217"/>
    </row>
    <row r="1203" spans="3:16" ht="42" customHeight="1">
      <c r="C1203" s="272">
        <v>1201</v>
      </c>
      <c r="D1203" s="275"/>
      <c r="E1203" s="276"/>
      <c r="F1203" s="221"/>
      <c r="G1203" s="275"/>
      <c r="H1203" s="276"/>
      <c r="I1203" s="217"/>
      <c r="J1203" s="217"/>
      <c r="K1203" s="221"/>
      <c r="L1203" s="217"/>
      <c r="M1203" s="217"/>
      <c r="N1203" s="217"/>
      <c r="O1203" s="217"/>
      <c r="P1203" s="217"/>
    </row>
    <row r="1204" spans="3:16" ht="42" customHeight="1">
      <c r="C1204" s="272">
        <v>1202</v>
      </c>
      <c r="D1204" s="275"/>
      <c r="E1204" s="276"/>
      <c r="F1204" s="221"/>
      <c r="G1204" s="275"/>
      <c r="H1204" s="276"/>
      <c r="I1204" s="217"/>
      <c r="J1204" s="217"/>
      <c r="K1204" s="221"/>
      <c r="L1204" s="217"/>
      <c r="M1204" s="217"/>
      <c r="N1204" s="217"/>
      <c r="O1204" s="217"/>
      <c r="P1204" s="217"/>
    </row>
    <row r="1205" spans="3:16" ht="42" customHeight="1">
      <c r="C1205" s="272">
        <v>1203</v>
      </c>
      <c r="D1205" s="275"/>
      <c r="E1205" s="276"/>
      <c r="F1205" s="221"/>
      <c r="G1205" s="275"/>
      <c r="H1205" s="276"/>
      <c r="I1205" s="217"/>
      <c r="J1205" s="217"/>
      <c r="K1205" s="221"/>
      <c r="L1205" s="217"/>
      <c r="M1205" s="217"/>
      <c r="N1205" s="217"/>
      <c r="O1205" s="217"/>
      <c r="P1205" s="217"/>
    </row>
    <row r="1206" spans="3:16" ht="42" customHeight="1">
      <c r="C1206" s="272">
        <v>1204</v>
      </c>
      <c r="D1206" s="275"/>
      <c r="E1206" s="276"/>
      <c r="F1206" s="221"/>
      <c r="G1206" s="275"/>
      <c r="H1206" s="276"/>
      <c r="I1206" s="217"/>
      <c r="J1206" s="217"/>
      <c r="K1206" s="221"/>
      <c r="L1206" s="217"/>
      <c r="M1206" s="217"/>
      <c r="N1206" s="217"/>
      <c r="O1206" s="217"/>
      <c r="P1206" s="217"/>
    </row>
    <row r="1207" spans="3:16" ht="42" customHeight="1">
      <c r="C1207" s="272">
        <v>1205</v>
      </c>
      <c r="D1207" s="275"/>
      <c r="E1207" s="276"/>
      <c r="F1207" s="221"/>
      <c r="G1207" s="275"/>
      <c r="H1207" s="276"/>
      <c r="I1207" s="217"/>
      <c r="J1207" s="217"/>
      <c r="K1207" s="221"/>
      <c r="L1207" s="217"/>
      <c r="M1207" s="217"/>
      <c r="N1207" s="217"/>
      <c r="O1207" s="217"/>
      <c r="P1207" s="217"/>
    </row>
    <row r="1208" spans="3:16" ht="42" customHeight="1">
      <c r="C1208" s="272">
        <v>1206</v>
      </c>
      <c r="D1208" s="275"/>
      <c r="E1208" s="276"/>
      <c r="F1208" s="221"/>
      <c r="G1208" s="275"/>
      <c r="H1208" s="276"/>
      <c r="I1208" s="217"/>
      <c r="J1208" s="217"/>
      <c r="K1208" s="221"/>
      <c r="L1208" s="217"/>
      <c r="M1208" s="217"/>
      <c r="N1208" s="217"/>
      <c r="O1208" s="217"/>
      <c r="P1208" s="217"/>
    </row>
    <row r="1209" spans="3:16" ht="42" customHeight="1">
      <c r="C1209" s="272">
        <v>1207</v>
      </c>
      <c r="D1209" s="275"/>
      <c r="E1209" s="276"/>
      <c r="F1209" s="221"/>
      <c r="G1209" s="275"/>
      <c r="H1209" s="276"/>
      <c r="I1209" s="217"/>
      <c r="J1209" s="217"/>
      <c r="K1209" s="221"/>
      <c r="L1209" s="217"/>
      <c r="M1209" s="217"/>
      <c r="N1209" s="217"/>
      <c r="O1209" s="217"/>
      <c r="P1209" s="217"/>
    </row>
    <row r="1210" spans="3:16" ht="42" customHeight="1">
      <c r="C1210" s="272">
        <v>1208</v>
      </c>
      <c r="D1210" s="275"/>
      <c r="E1210" s="276"/>
      <c r="F1210" s="221"/>
      <c r="G1210" s="275"/>
      <c r="H1210" s="276"/>
      <c r="I1210" s="217"/>
      <c r="J1210" s="217"/>
      <c r="K1210" s="221"/>
      <c r="L1210" s="217"/>
      <c r="M1210" s="217"/>
      <c r="N1210" s="217"/>
      <c r="O1210" s="217"/>
      <c r="P1210" s="217"/>
    </row>
    <row r="1211" spans="3:16" ht="42" customHeight="1">
      <c r="C1211" s="272">
        <v>1209</v>
      </c>
      <c r="D1211" s="275"/>
      <c r="E1211" s="276"/>
      <c r="F1211" s="221"/>
      <c r="G1211" s="275"/>
      <c r="H1211" s="276"/>
      <c r="I1211" s="217"/>
      <c r="J1211" s="217"/>
      <c r="K1211" s="221"/>
      <c r="L1211" s="217"/>
      <c r="M1211" s="217"/>
      <c r="N1211" s="217"/>
      <c r="O1211" s="217"/>
      <c r="P1211" s="217"/>
    </row>
    <row r="1212" spans="3:16" ht="42" customHeight="1">
      <c r="C1212" s="272">
        <v>1210</v>
      </c>
      <c r="D1212" s="275"/>
      <c r="E1212" s="276"/>
      <c r="F1212" s="221"/>
      <c r="G1212" s="275"/>
      <c r="H1212" s="276"/>
      <c r="I1212" s="217"/>
      <c r="J1212" s="217"/>
      <c r="K1212" s="221"/>
      <c r="L1212" s="217"/>
      <c r="M1212" s="217"/>
      <c r="N1212" s="217"/>
      <c r="O1212" s="217"/>
      <c r="P1212" s="217"/>
    </row>
    <row r="1213" spans="3:16" ht="42" customHeight="1">
      <c r="C1213" s="272">
        <v>1211</v>
      </c>
      <c r="D1213" s="275"/>
      <c r="E1213" s="276"/>
      <c r="F1213" s="221"/>
      <c r="G1213" s="275"/>
      <c r="H1213" s="276"/>
      <c r="I1213" s="217"/>
      <c r="J1213" s="217"/>
      <c r="K1213" s="221"/>
      <c r="L1213" s="217"/>
      <c r="M1213" s="217"/>
      <c r="N1213" s="217"/>
      <c r="O1213" s="217"/>
      <c r="P1213" s="217"/>
    </row>
    <row r="1214" spans="3:16" ht="42" customHeight="1">
      <c r="C1214" s="272">
        <v>1212</v>
      </c>
      <c r="D1214" s="275"/>
      <c r="E1214" s="276"/>
      <c r="F1214" s="221"/>
      <c r="G1214" s="275"/>
      <c r="H1214" s="276"/>
      <c r="I1214" s="217"/>
      <c r="J1214" s="217"/>
      <c r="K1214" s="221"/>
      <c r="L1214" s="217"/>
      <c r="M1214" s="217"/>
      <c r="N1214" s="217"/>
      <c r="O1214" s="217"/>
      <c r="P1214" s="217"/>
    </row>
    <row r="1215" spans="3:16" ht="42" customHeight="1">
      <c r="C1215" s="272">
        <v>1213</v>
      </c>
      <c r="D1215" s="275"/>
      <c r="E1215" s="276"/>
      <c r="F1215" s="221"/>
      <c r="G1215" s="275"/>
      <c r="H1215" s="276"/>
      <c r="I1215" s="217"/>
      <c r="J1215" s="217"/>
      <c r="K1215" s="221"/>
      <c r="L1215" s="217"/>
      <c r="M1215" s="217"/>
      <c r="N1215" s="217"/>
      <c r="O1215" s="217"/>
      <c r="P1215" s="217"/>
    </row>
    <row r="1216" spans="3:16" ht="42" customHeight="1">
      <c r="C1216" s="272">
        <v>1214</v>
      </c>
      <c r="D1216" s="275"/>
      <c r="E1216" s="276"/>
      <c r="F1216" s="221"/>
      <c r="G1216" s="275"/>
      <c r="H1216" s="276"/>
      <c r="I1216" s="217"/>
      <c r="J1216" s="217"/>
      <c r="K1216" s="221"/>
      <c r="L1216" s="217"/>
      <c r="M1216" s="217"/>
      <c r="N1216" s="217"/>
      <c r="O1216" s="217"/>
      <c r="P1216" s="217"/>
    </row>
    <row r="1217" spans="3:16" ht="42" customHeight="1">
      <c r="C1217" s="272">
        <v>1215</v>
      </c>
      <c r="D1217" s="275"/>
      <c r="E1217" s="276"/>
      <c r="F1217" s="221"/>
      <c r="G1217" s="275"/>
      <c r="H1217" s="276"/>
      <c r="I1217" s="217"/>
      <c r="J1217" s="217"/>
      <c r="K1217" s="221"/>
      <c r="L1217" s="217"/>
      <c r="M1217" s="217"/>
      <c r="N1217" s="217"/>
      <c r="O1217" s="217"/>
      <c r="P1217" s="217"/>
    </row>
    <row r="1218" spans="3:16" ht="42" customHeight="1">
      <c r="C1218" s="272">
        <v>1216</v>
      </c>
      <c r="D1218" s="275"/>
      <c r="E1218" s="276"/>
      <c r="F1218" s="221"/>
      <c r="G1218" s="275"/>
      <c r="H1218" s="276"/>
      <c r="I1218" s="217"/>
      <c r="J1218" s="217"/>
      <c r="K1218" s="221"/>
      <c r="L1218" s="217"/>
      <c r="M1218" s="217"/>
      <c r="N1218" s="217"/>
      <c r="O1218" s="217"/>
      <c r="P1218" s="217"/>
    </row>
    <row r="1219" spans="3:16" ht="42" customHeight="1">
      <c r="C1219" s="272">
        <v>1217</v>
      </c>
      <c r="D1219" s="275"/>
      <c r="E1219" s="276"/>
      <c r="F1219" s="221"/>
      <c r="G1219" s="275"/>
      <c r="H1219" s="276"/>
      <c r="I1219" s="217"/>
      <c r="J1219" s="217"/>
      <c r="K1219" s="221"/>
      <c r="L1219" s="217"/>
      <c r="M1219" s="217"/>
      <c r="N1219" s="217"/>
      <c r="O1219" s="217"/>
      <c r="P1219" s="217"/>
    </row>
    <row r="1220" spans="3:16" ht="42" customHeight="1">
      <c r="C1220" s="272">
        <v>1218</v>
      </c>
      <c r="D1220" s="275"/>
      <c r="E1220" s="276"/>
      <c r="F1220" s="221"/>
      <c r="G1220" s="275"/>
      <c r="H1220" s="276"/>
      <c r="I1220" s="217"/>
      <c r="J1220" s="217"/>
      <c r="K1220" s="221"/>
      <c r="L1220" s="217"/>
      <c r="M1220" s="217"/>
      <c r="N1220" s="217"/>
      <c r="O1220" s="217"/>
      <c r="P1220" s="217"/>
    </row>
    <row r="1221" spans="3:16" ht="42" customHeight="1">
      <c r="C1221" s="272">
        <v>1219</v>
      </c>
      <c r="D1221" s="275"/>
      <c r="E1221" s="276"/>
      <c r="F1221" s="221"/>
      <c r="G1221" s="275"/>
      <c r="H1221" s="276"/>
      <c r="I1221" s="217"/>
      <c r="J1221" s="217"/>
      <c r="K1221" s="221"/>
      <c r="L1221" s="217"/>
      <c r="M1221" s="217"/>
      <c r="N1221" s="217"/>
      <c r="O1221" s="217"/>
      <c r="P1221" s="217"/>
    </row>
    <row r="1222" spans="3:16" ht="42" customHeight="1">
      <c r="C1222" s="272">
        <v>1220</v>
      </c>
      <c r="D1222" s="275"/>
      <c r="E1222" s="276"/>
      <c r="F1222" s="221"/>
      <c r="G1222" s="275"/>
      <c r="H1222" s="276"/>
      <c r="I1222" s="217"/>
      <c r="J1222" s="217"/>
      <c r="K1222" s="221"/>
      <c r="L1222" s="217"/>
      <c r="M1222" s="217"/>
      <c r="N1222" s="217"/>
      <c r="O1222" s="217"/>
      <c r="P1222" s="217"/>
    </row>
    <row r="1223" spans="3:16" ht="42" customHeight="1">
      <c r="C1223" s="272">
        <v>1221</v>
      </c>
      <c r="D1223" s="275"/>
      <c r="E1223" s="276"/>
      <c r="F1223" s="221"/>
      <c r="G1223" s="275"/>
      <c r="H1223" s="276"/>
      <c r="I1223" s="217"/>
      <c r="J1223" s="217"/>
      <c r="K1223" s="221"/>
      <c r="L1223" s="217"/>
      <c r="M1223" s="217"/>
      <c r="N1223" s="217"/>
      <c r="O1223" s="217"/>
      <c r="P1223" s="217"/>
    </row>
    <row r="1224" spans="3:16" ht="42" customHeight="1">
      <c r="C1224" s="272">
        <v>1222</v>
      </c>
      <c r="D1224" s="275"/>
      <c r="E1224" s="276"/>
      <c r="F1224" s="221"/>
      <c r="G1224" s="275"/>
      <c r="H1224" s="276"/>
      <c r="I1224" s="217"/>
      <c r="J1224" s="217"/>
      <c r="K1224" s="221"/>
      <c r="L1224" s="217"/>
      <c r="M1224" s="217"/>
      <c r="N1224" s="217"/>
      <c r="O1224" s="217"/>
      <c r="P1224" s="217"/>
    </row>
    <row r="1225" spans="3:16" ht="42" customHeight="1">
      <c r="C1225" s="272">
        <v>1223</v>
      </c>
      <c r="D1225" s="275"/>
      <c r="E1225" s="276"/>
      <c r="F1225" s="221"/>
      <c r="G1225" s="275"/>
      <c r="H1225" s="276"/>
      <c r="I1225" s="217"/>
      <c r="J1225" s="217"/>
      <c r="K1225" s="221"/>
      <c r="L1225" s="217"/>
      <c r="M1225" s="217"/>
      <c r="N1225" s="217"/>
      <c r="O1225" s="217"/>
      <c r="P1225" s="217"/>
    </row>
    <row r="1226" spans="3:16" ht="42" customHeight="1">
      <c r="C1226" s="272">
        <v>1224</v>
      </c>
      <c r="D1226" s="275"/>
      <c r="E1226" s="276"/>
      <c r="F1226" s="221"/>
      <c r="G1226" s="275"/>
      <c r="H1226" s="276"/>
      <c r="I1226" s="217"/>
      <c r="J1226" s="217"/>
      <c r="K1226" s="221"/>
      <c r="L1226" s="217"/>
      <c r="M1226" s="217"/>
      <c r="N1226" s="217"/>
      <c r="O1226" s="217"/>
      <c r="P1226" s="217"/>
    </row>
    <row r="1227" spans="3:16" ht="42" customHeight="1">
      <c r="C1227" s="272">
        <v>1225</v>
      </c>
      <c r="D1227" s="275"/>
      <c r="E1227" s="276"/>
      <c r="F1227" s="221"/>
      <c r="G1227" s="275"/>
      <c r="H1227" s="276"/>
      <c r="I1227" s="217"/>
      <c r="J1227" s="217"/>
      <c r="K1227" s="221"/>
      <c r="L1227" s="217"/>
      <c r="M1227" s="217"/>
      <c r="N1227" s="217"/>
      <c r="O1227" s="217"/>
      <c r="P1227" s="217"/>
    </row>
    <row r="1228" spans="3:16" ht="42" customHeight="1">
      <c r="C1228" s="272">
        <v>1226</v>
      </c>
      <c r="D1228" s="275"/>
      <c r="E1228" s="276"/>
      <c r="F1228" s="221"/>
      <c r="G1228" s="275"/>
      <c r="H1228" s="276"/>
      <c r="I1228" s="217"/>
      <c r="J1228" s="217"/>
      <c r="K1228" s="221"/>
      <c r="L1228" s="217"/>
      <c r="M1228" s="217"/>
      <c r="N1228" s="217"/>
      <c r="O1228" s="217"/>
      <c r="P1228" s="217"/>
    </row>
    <row r="1229" spans="3:16" ht="42" customHeight="1">
      <c r="C1229" s="272">
        <v>1227</v>
      </c>
      <c r="D1229" s="275"/>
      <c r="E1229" s="276"/>
      <c r="F1229" s="221"/>
      <c r="G1229" s="275"/>
      <c r="H1229" s="276"/>
      <c r="I1229" s="217"/>
      <c r="J1229" s="217"/>
      <c r="K1229" s="221"/>
      <c r="L1229" s="217"/>
      <c r="M1229" s="217"/>
      <c r="N1229" s="217"/>
      <c r="O1229" s="217"/>
      <c r="P1229" s="217"/>
    </row>
    <row r="1230" spans="3:16" ht="42" customHeight="1">
      <c r="C1230" s="272">
        <v>1228</v>
      </c>
      <c r="D1230" s="275"/>
      <c r="E1230" s="276"/>
      <c r="F1230" s="221"/>
      <c r="G1230" s="275"/>
      <c r="H1230" s="276"/>
      <c r="I1230" s="217"/>
      <c r="J1230" s="217"/>
      <c r="K1230" s="221"/>
      <c r="L1230" s="217"/>
      <c r="M1230" s="217"/>
      <c r="N1230" s="217"/>
      <c r="O1230" s="217"/>
      <c r="P1230" s="217"/>
    </row>
    <row r="1231" spans="3:16" ht="42" customHeight="1">
      <c r="C1231" s="272">
        <v>1229</v>
      </c>
      <c r="D1231" s="275"/>
      <c r="E1231" s="276"/>
      <c r="F1231" s="221"/>
      <c r="G1231" s="275"/>
      <c r="H1231" s="276"/>
      <c r="I1231" s="217"/>
      <c r="J1231" s="217"/>
      <c r="K1231" s="221"/>
      <c r="L1231" s="217"/>
      <c r="M1231" s="217"/>
      <c r="N1231" s="217"/>
      <c r="O1231" s="217"/>
      <c r="P1231" s="217"/>
    </row>
    <row r="1232" spans="3:16" ht="42" customHeight="1">
      <c r="C1232" s="272">
        <v>1230</v>
      </c>
      <c r="D1232" s="275"/>
      <c r="E1232" s="276"/>
      <c r="F1232" s="221"/>
      <c r="G1232" s="275"/>
      <c r="H1232" s="276"/>
      <c r="I1232" s="217"/>
      <c r="J1232" s="217"/>
      <c r="K1232" s="221"/>
      <c r="L1232" s="217"/>
      <c r="M1232" s="217"/>
      <c r="N1232" s="217"/>
      <c r="O1232" s="217"/>
      <c r="P1232" s="217"/>
    </row>
    <row r="1233" spans="3:16" ht="42" customHeight="1">
      <c r="C1233" s="272">
        <v>1231</v>
      </c>
      <c r="D1233" s="275"/>
      <c r="E1233" s="276"/>
      <c r="F1233" s="221"/>
      <c r="G1233" s="275"/>
      <c r="H1233" s="276"/>
      <c r="I1233" s="217"/>
      <c r="J1233" s="217"/>
      <c r="K1233" s="221"/>
      <c r="L1233" s="217"/>
      <c r="M1233" s="217"/>
      <c r="N1233" s="217"/>
      <c r="O1233" s="217"/>
      <c r="P1233" s="217"/>
    </row>
    <row r="1234" spans="3:16" ht="42" customHeight="1">
      <c r="C1234" s="272">
        <v>1232</v>
      </c>
      <c r="D1234" s="275"/>
      <c r="E1234" s="276"/>
      <c r="F1234" s="221"/>
      <c r="G1234" s="275"/>
      <c r="H1234" s="276"/>
      <c r="I1234" s="217"/>
      <c r="J1234" s="217"/>
      <c r="K1234" s="221"/>
      <c r="L1234" s="217"/>
      <c r="M1234" s="217"/>
      <c r="N1234" s="217"/>
      <c r="O1234" s="217"/>
      <c r="P1234" s="217"/>
    </row>
    <row r="1235" spans="3:16" ht="42" customHeight="1">
      <c r="C1235" s="272">
        <v>1233</v>
      </c>
      <c r="D1235" s="275"/>
      <c r="E1235" s="276"/>
      <c r="F1235" s="221"/>
      <c r="G1235" s="275"/>
      <c r="H1235" s="276"/>
      <c r="I1235" s="217"/>
      <c r="J1235" s="217"/>
      <c r="K1235" s="221"/>
      <c r="L1235" s="217"/>
      <c r="M1235" s="217"/>
      <c r="N1235" s="217"/>
      <c r="O1235" s="217"/>
      <c r="P1235" s="217"/>
    </row>
    <row r="1236" spans="3:16" ht="42" customHeight="1">
      <c r="C1236" s="272">
        <v>1234</v>
      </c>
      <c r="D1236" s="275"/>
      <c r="E1236" s="276"/>
      <c r="F1236" s="221"/>
      <c r="G1236" s="275"/>
      <c r="H1236" s="276"/>
      <c r="I1236" s="217"/>
      <c r="J1236" s="217"/>
      <c r="K1236" s="221"/>
      <c r="L1236" s="217"/>
      <c r="M1236" s="217"/>
      <c r="N1236" s="217"/>
      <c r="O1236" s="217"/>
      <c r="P1236" s="217"/>
    </row>
    <row r="1237" spans="3:16" ht="42" customHeight="1">
      <c r="C1237" s="272">
        <v>1235</v>
      </c>
      <c r="D1237" s="275"/>
      <c r="E1237" s="276"/>
      <c r="F1237" s="221"/>
      <c r="G1237" s="275"/>
      <c r="H1237" s="276"/>
      <c r="I1237" s="217"/>
      <c r="J1237" s="217"/>
      <c r="K1237" s="221"/>
      <c r="L1237" s="217"/>
      <c r="M1237" s="217"/>
      <c r="N1237" s="217"/>
      <c r="O1237" s="217"/>
      <c r="P1237" s="217"/>
    </row>
    <row r="1238" spans="3:16" ht="42" customHeight="1">
      <c r="C1238" s="272">
        <v>1236</v>
      </c>
      <c r="D1238" s="275"/>
      <c r="E1238" s="276"/>
      <c r="F1238" s="221"/>
      <c r="G1238" s="275"/>
      <c r="H1238" s="276"/>
      <c r="I1238" s="217"/>
      <c r="J1238" s="217"/>
      <c r="K1238" s="221"/>
      <c r="L1238" s="217"/>
      <c r="M1238" s="217"/>
      <c r="N1238" s="217"/>
      <c r="O1238" s="217"/>
      <c r="P1238" s="217"/>
    </row>
    <row r="1239" spans="3:16" ht="42" customHeight="1">
      <c r="C1239" s="272">
        <v>1237</v>
      </c>
      <c r="D1239" s="275"/>
      <c r="E1239" s="276"/>
      <c r="F1239" s="221"/>
      <c r="G1239" s="275"/>
      <c r="H1239" s="276"/>
      <c r="I1239" s="217"/>
      <c r="J1239" s="217"/>
      <c r="K1239" s="221"/>
      <c r="L1239" s="217"/>
      <c r="M1239" s="217"/>
      <c r="N1239" s="217"/>
      <c r="O1239" s="217"/>
      <c r="P1239" s="217"/>
    </row>
    <row r="1240" spans="3:16" ht="42" customHeight="1">
      <c r="C1240" s="272">
        <v>1238</v>
      </c>
      <c r="D1240" s="275"/>
      <c r="E1240" s="276"/>
      <c r="F1240" s="221"/>
      <c r="G1240" s="275"/>
      <c r="H1240" s="276"/>
      <c r="I1240" s="217"/>
      <c r="J1240" s="217"/>
      <c r="K1240" s="221"/>
      <c r="L1240" s="217"/>
      <c r="M1240" s="217"/>
      <c r="N1240" s="217"/>
      <c r="O1240" s="217"/>
      <c r="P1240" s="217"/>
    </row>
    <row r="1241" spans="3:16" ht="42" customHeight="1">
      <c r="C1241" s="272">
        <v>1239</v>
      </c>
      <c r="D1241" s="275"/>
      <c r="E1241" s="276"/>
      <c r="F1241" s="221"/>
      <c r="G1241" s="275"/>
      <c r="H1241" s="276"/>
      <c r="I1241" s="217"/>
      <c r="J1241" s="217"/>
      <c r="K1241" s="221"/>
      <c r="L1241" s="217"/>
      <c r="M1241" s="217"/>
      <c r="N1241" s="217"/>
      <c r="O1241" s="217"/>
      <c r="P1241" s="217"/>
    </row>
    <row r="1242" spans="3:16" ht="42" customHeight="1">
      <c r="C1242" s="272">
        <v>1240</v>
      </c>
      <c r="D1242" s="275"/>
      <c r="E1242" s="276"/>
      <c r="F1242" s="221"/>
      <c r="G1242" s="275"/>
      <c r="H1242" s="276"/>
      <c r="I1242" s="217"/>
      <c r="J1242" s="217"/>
      <c r="K1242" s="221"/>
      <c r="L1242" s="217"/>
      <c r="M1242" s="217"/>
      <c r="N1242" s="217"/>
      <c r="O1242" s="217"/>
      <c r="P1242" s="217"/>
    </row>
    <row r="1243" spans="3:16" ht="42" customHeight="1">
      <c r="C1243" s="272">
        <v>1241</v>
      </c>
      <c r="D1243" s="275"/>
      <c r="E1243" s="276"/>
      <c r="F1243" s="221"/>
      <c r="G1243" s="275"/>
      <c r="H1243" s="276"/>
      <c r="I1243" s="217"/>
      <c r="J1243" s="217"/>
      <c r="K1243" s="221"/>
      <c r="L1243" s="217"/>
      <c r="M1243" s="217"/>
      <c r="N1243" s="217"/>
      <c r="O1243" s="217"/>
      <c r="P1243" s="217"/>
    </row>
    <row r="1244" spans="3:16" ht="42" customHeight="1">
      <c r="C1244" s="272">
        <v>1242</v>
      </c>
      <c r="D1244" s="275"/>
      <c r="E1244" s="276"/>
      <c r="F1244" s="221"/>
      <c r="G1244" s="275"/>
      <c r="H1244" s="276"/>
      <c r="I1244" s="217"/>
      <c r="J1244" s="217"/>
      <c r="K1244" s="221"/>
      <c r="L1244" s="217"/>
      <c r="M1244" s="217"/>
      <c r="N1244" s="217"/>
      <c r="O1244" s="217"/>
      <c r="P1244" s="217"/>
    </row>
    <row r="1245" spans="3:16" ht="42" customHeight="1">
      <c r="C1245" s="272">
        <v>1243</v>
      </c>
      <c r="D1245" s="275"/>
      <c r="E1245" s="276"/>
      <c r="F1245" s="221"/>
      <c r="G1245" s="275"/>
      <c r="H1245" s="276"/>
      <c r="I1245" s="217"/>
      <c r="J1245" s="217"/>
      <c r="K1245" s="221"/>
      <c r="L1245" s="217"/>
      <c r="M1245" s="217"/>
      <c r="N1245" s="217"/>
      <c r="O1245" s="217"/>
      <c r="P1245" s="217"/>
    </row>
    <row r="1246" spans="3:16" ht="42" customHeight="1">
      <c r="C1246" s="272">
        <v>1244</v>
      </c>
      <c r="D1246" s="275"/>
      <c r="E1246" s="276"/>
      <c r="F1246" s="221"/>
      <c r="G1246" s="275"/>
      <c r="H1246" s="276"/>
      <c r="I1246" s="217"/>
      <c r="J1246" s="217"/>
      <c r="K1246" s="221"/>
      <c r="L1246" s="217"/>
      <c r="M1246" s="217"/>
      <c r="N1246" s="217"/>
      <c r="O1246" s="217"/>
      <c r="P1246" s="217"/>
    </row>
    <row r="1247" spans="3:16" ht="42" customHeight="1">
      <c r="C1247" s="272">
        <v>1245</v>
      </c>
      <c r="D1247" s="275"/>
      <c r="E1247" s="276"/>
      <c r="F1247" s="221"/>
      <c r="G1247" s="275"/>
      <c r="H1247" s="276"/>
      <c r="I1247" s="217"/>
      <c r="J1247" s="217"/>
      <c r="K1247" s="221"/>
      <c r="L1247" s="217"/>
      <c r="M1247" s="217"/>
      <c r="N1247" s="217"/>
      <c r="O1247" s="217"/>
      <c r="P1247" s="217"/>
    </row>
    <row r="1248" spans="3:16" ht="42" customHeight="1">
      <c r="C1248" s="272">
        <v>1246</v>
      </c>
      <c r="D1248" s="275"/>
      <c r="E1248" s="276"/>
      <c r="F1248" s="221"/>
      <c r="G1248" s="275"/>
      <c r="H1248" s="276"/>
      <c r="I1248" s="217"/>
      <c r="J1248" s="217"/>
      <c r="K1248" s="221"/>
      <c r="L1248" s="217"/>
      <c r="M1248" s="217"/>
      <c r="N1248" s="217"/>
      <c r="O1248" s="217"/>
      <c r="P1248" s="217"/>
    </row>
    <row r="1249" spans="3:16" ht="42" customHeight="1">
      <c r="C1249" s="272">
        <v>1247</v>
      </c>
      <c r="D1249" s="275"/>
      <c r="E1249" s="276"/>
      <c r="F1249" s="221"/>
      <c r="G1249" s="275"/>
      <c r="H1249" s="276"/>
      <c r="I1249" s="217"/>
      <c r="J1249" s="217"/>
      <c r="K1249" s="221"/>
      <c r="L1249" s="217"/>
      <c r="M1249" s="217"/>
      <c r="N1249" s="217"/>
      <c r="O1249" s="217"/>
      <c r="P1249" s="217"/>
    </row>
    <row r="1250" spans="3:16" ht="42" customHeight="1">
      <c r="C1250" s="272">
        <v>1248</v>
      </c>
      <c r="D1250" s="275"/>
      <c r="E1250" s="276"/>
      <c r="F1250" s="221"/>
      <c r="G1250" s="275"/>
      <c r="H1250" s="276"/>
      <c r="I1250" s="217"/>
      <c r="J1250" s="217"/>
      <c r="K1250" s="221"/>
      <c r="L1250" s="217"/>
      <c r="M1250" s="217"/>
      <c r="N1250" s="217"/>
      <c r="O1250" s="217"/>
      <c r="P1250" s="217"/>
    </row>
    <row r="1251" spans="3:16" ht="42" customHeight="1">
      <c r="C1251" s="272">
        <v>1249</v>
      </c>
      <c r="D1251" s="275"/>
      <c r="E1251" s="276"/>
      <c r="F1251" s="221"/>
      <c r="G1251" s="275"/>
      <c r="H1251" s="276"/>
      <c r="I1251" s="217"/>
      <c r="J1251" s="217"/>
      <c r="K1251" s="221"/>
      <c r="L1251" s="217"/>
      <c r="M1251" s="217"/>
      <c r="N1251" s="217"/>
      <c r="O1251" s="217"/>
      <c r="P1251" s="217"/>
    </row>
    <row r="1252" spans="3:16" ht="42" customHeight="1">
      <c r="C1252" s="272">
        <v>1250</v>
      </c>
      <c r="D1252" s="275"/>
      <c r="E1252" s="276"/>
      <c r="F1252" s="221"/>
      <c r="G1252" s="275"/>
      <c r="H1252" s="276"/>
      <c r="I1252" s="217"/>
      <c r="J1252" s="217"/>
      <c r="K1252" s="221"/>
      <c r="L1252" s="217"/>
      <c r="M1252" s="217"/>
      <c r="N1252" s="217"/>
      <c r="O1252" s="217"/>
      <c r="P1252" s="217"/>
    </row>
    <row r="1253" spans="3:16" ht="42" customHeight="1">
      <c r="C1253" s="272">
        <v>1251</v>
      </c>
      <c r="D1253" s="275"/>
      <c r="E1253" s="276"/>
      <c r="F1253" s="221"/>
      <c r="G1253" s="275"/>
      <c r="H1253" s="276"/>
      <c r="I1253" s="217"/>
      <c r="J1253" s="217"/>
      <c r="K1253" s="221"/>
      <c r="L1253" s="217"/>
      <c r="M1253" s="217"/>
      <c r="N1253" s="217"/>
      <c r="O1253" s="217"/>
      <c r="P1253" s="217"/>
    </row>
    <row r="1254" spans="3:16" ht="42" customHeight="1">
      <c r="C1254" s="272">
        <v>1252</v>
      </c>
      <c r="D1254" s="275"/>
      <c r="E1254" s="276"/>
      <c r="F1254" s="221"/>
      <c r="G1254" s="275"/>
      <c r="H1254" s="276"/>
      <c r="I1254" s="217"/>
      <c r="J1254" s="217"/>
      <c r="K1254" s="221"/>
      <c r="L1254" s="217"/>
      <c r="M1254" s="217"/>
      <c r="N1254" s="217"/>
      <c r="O1254" s="217"/>
      <c r="P1254" s="217"/>
    </row>
    <row r="1255" spans="3:16" ht="42" customHeight="1">
      <c r="C1255" s="272">
        <v>1253</v>
      </c>
      <c r="D1255" s="275"/>
      <c r="E1255" s="276"/>
      <c r="F1255" s="221"/>
      <c r="G1255" s="275"/>
      <c r="H1255" s="276"/>
      <c r="I1255" s="217"/>
      <c r="J1255" s="217"/>
      <c r="K1255" s="221"/>
      <c r="L1255" s="217"/>
      <c r="M1255" s="217"/>
      <c r="N1255" s="217"/>
      <c r="O1255" s="217"/>
      <c r="P1255" s="217"/>
    </row>
    <row r="1256" spans="3:16" ht="42" customHeight="1">
      <c r="C1256" s="272">
        <v>1254</v>
      </c>
      <c r="D1256" s="275"/>
      <c r="E1256" s="276"/>
      <c r="F1256" s="221"/>
      <c r="G1256" s="275"/>
      <c r="H1256" s="276"/>
      <c r="I1256" s="217"/>
      <c r="J1256" s="217"/>
      <c r="K1256" s="221"/>
      <c r="L1256" s="217"/>
      <c r="M1256" s="217"/>
      <c r="N1256" s="217"/>
      <c r="O1256" s="217"/>
      <c r="P1256" s="217"/>
    </row>
    <row r="1257" spans="3:16" ht="42" customHeight="1">
      <c r="C1257" s="272">
        <v>1255</v>
      </c>
      <c r="D1257" s="275"/>
      <c r="E1257" s="276"/>
      <c r="F1257" s="221"/>
      <c r="G1257" s="275"/>
      <c r="H1257" s="276"/>
      <c r="I1257" s="217"/>
      <c r="J1257" s="217"/>
      <c r="K1257" s="221"/>
      <c r="L1257" s="217"/>
      <c r="M1257" s="217"/>
      <c r="N1257" s="217"/>
      <c r="O1257" s="217"/>
      <c r="P1257" s="217"/>
    </row>
    <row r="1258" spans="3:16" ht="42" customHeight="1">
      <c r="C1258" s="272">
        <v>1256</v>
      </c>
      <c r="D1258" s="275"/>
      <c r="E1258" s="276"/>
      <c r="F1258" s="221"/>
      <c r="G1258" s="275"/>
      <c r="H1258" s="276"/>
      <c r="I1258" s="217"/>
      <c r="J1258" s="217"/>
      <c r="K1258" s="221"/>
      <c r="L1258" s="217"/>
      <c r="M1258" s="217"/>
      <c r="N1258" s="217"/>
      <c r="O1258" s="217"/>
      <c r="P1258" s="217"/>
    </row>
    <row r="1259" spans="3:16" ht="42" customHeight="1">
      <c r="C1259" s="272">
        <v>1257</v>
      </c>
      <c r="D1259" s="275"/>
      <c r="E1259" s="276"/>
      <c r="F1259" s="221"/>
      <c r="G1259" s="275"/>
      <c r="H1259" s="276"/>
      <c r="I1259" s="217"/>
      <c r="J1259" s="217"/>
      <c r="K1259" s="221"/>
      <c r="L1259" s="217"/>
      <c r="M1259" s="217"/>
      <c r="N1259" s="217"/>
      <c r="O1259" s="217"/>
      <c r="P1259" s="217"/>
    </row>
    <row r="1260" spans="3:16" ht="42" customHeight="1">
      <c r="C1260" s="272">
        <v>1258</v>
      </c>
      <c r="D1260" s="275"/>
      <c r="E1260" s="276"/>
      <c r="F1260" s="221"/>
      <c r="G1260" s="275"/>
      <c r="H1260" s="276"/>
      <c r="I1260" s="217"/>
      <c r="J1260" s="217"/>
      <c r="K1260" s="221"/>
      <c r="L1260" s="217"/>
      <c r="M1260" s="217"/>
      <c r="N1260" s="217"/>
      <c r="O1260" s="217"/>
      <c r="P1260" s="217"/>
    </row>
    <row r="1261" spans="3:16" ht="42" customHeight="1">
      <c r="C1261" s="272">
        <v>1259</v>
      </c>
      <c r="D1261" s="275"/>
      <c r="E1261" s="276"/>
      <c r="F1261" s="221"/>
      <c r="G1261" s="275"/>
      <c r="H1261" s="276"/>
      <c r="I1261" s="217"/>
      <c r="J1261" s="217"/>
      <c r="K1261" s="221"/>
      <c r="L1261" s="217"/>
      <c r="M1261" s="217"/>
      <c r="N1261" s="217"/>
      <c r="O1261" s="217"/>
      <c r="P1261" s="217"/>
    </row>
    <row r="1262" spans="3:16" ht="42" customHeight="1">
      <c r="C1262" s="272">
        <v>1260</v>
      </c>
      <c r="D1262" s="275"/>
      <c r="E1262" s="276"/>
      <c r="F1262" s="221"/>
      <c r="G1262" s="275"/>
      <c r="H1262" s="276"/>
      <c r="I1262" s="217"/>
      <c r="J1262" s="217"/>
      <c r="K1262" s="221"/>
      <c r="L1262" s="217"/>
      <c r="M1262" s="217"/>
      <c r="N1262" s="217"/>
      <c r="O1262" s="217"/>
      <c r="P1262" s="217"/>
    </row>
    <row r="1263" spans="3:16" ht="42" customHeight="1">
      <c r="C1263" s="272">
        <v>1261</v>
      </c>
      <c r="D1263" s="275"/>
      <c r="E1263" s="276"/>
      <c r="F1263" s="221"/>
      <c r="G1263" s="275"/>
      <c r="H1263" s="276"/>
      <c r="I1263" s="217"/>
      <c r="J1263" s="217"/>
      <c r="K1263" s="221"/>
      <c r="L1263" s="217"/>
      <c r="M1263" s="217"/>
      <c r="N1263" s="217"/>
      <c r="O1263" s="217"/>
      <c r="P1263" s="217"/>
    </row>
    <row r="1264" spans="3:16" ht="42" customHeight="1">
      <c r="C1264" s="272">
        <v>1262</v>
      </c>
      <c r="D1264" s="275"/>
      <c r="E1264" s="276"/>
      <c r="F1264" s="221"/>
      <c r="G1264" s="275"/>
      <c r="H1264" s="276"/>
      <c r="I1264" s="217"/>
      <c r="J1264" s="217"/>
      <c r="K1264" s="221"/>
      <c r="L1264" s="217"/>
      <c r="M1264" s="217"/>
      <c r="N1264" s="217"/>
      <c r="O1264" s="217"/>
      <c r="P1264" s="217"/>
    </row>
    <row r="1265" spans="3:16" ht="42" customHeight="1">
      <c r="C1265" s="272">
        <v>1263</v>
      </c>
      <c r="D1265" s="275"/>
      <c r="E1265" s="276"/>
      <c r="F1265" s="221"/>
      <c r="G1265" s="275"/>
      <c r="H1265" s="276"/>
      <c r="I1265" s="217"/>
      <c r="J1265" s="217"/>
      <c r="K1265" s="221"/>
      <c r="L1265" s="217"/>
      <c r="M1265" s="217"/>
      <c r="N1265" s="217"/>
      <c r="O1265" s="217"/>
      <c r="P1265" s="217"/>
    </row>
    <row r="1266" spans="3:16" ht="42" customHeight="1">
      <c r="C1266" s="272">
        <v>1264</v>
      </c>
      <c r="D1266" s="275"/>
      <c r="E1266" s="276"/>
      <c r="F1266" s="221"/>
      <c r="G1266" s="275"/>
      <c r="H1266" s="276"/>
      <c r="I1266" s="217"/>
      <c r="J1266" s="217"/>
      <c r="K1266" s="221"/>
      <c r="L1266" s="217"/>
      <c r="M1266" s="217"/>
      <c r="N1266" s="217"/>
      <c r="O1266" s="217"/>
      <c r="P1266" s="217"/>
    </row>
    <row r="1267" spans="3:16" ht="42" customHeight="1">
      <c r="C1267" s="272">
        <v>1265</v>
      </c>
      <c r="D1267" s="275"/>
      <c r="E1267" s="276"/>
      <c r="F1267" s="221"/>
      <c r="G1267" s="275"/>
      <c r="H1267" s="276"/>
      <c r="I1267" s="217"/>
      <c r="J1267" s="217"/>
      <c r="K1267" s="221"/>
      <c r="L1267" s="217"/>
      <c r="M1267" s="217"/>
      <c r="N1267" s="217"/>
      <c r="O1267" s="217"/>
      <c r="P1267" s="217"/>
    </row>
    <row r="1268" spans="3:16" ht="42" customHeight="1">
      <c r="C1268" s="272">
        <v>1266</v>
      </c>
      <c r="D1268" s="275"/>
      <c r="E1268" s="276"/>
      <c r="F1268" s="221"/>
      <c r="G1268" s="275"/>
      <c r="H1268" s="276"/>
      <c r="I1268" s="217"/>
      <c r="J1268" s="217"/>
      <c r="K1268" s="221"/>
      <c r="L1268" s="217"/>
      <c r="M1268" s="217"/>
      <c r="N1268" s="217"/>
      <c r="O1268" s="217"/>
      <c r="P1268" s="217"/>
    </row>
    <row r="1269" spans="3:16" ht="42" customHeight="1">
      <c r="C1269" s="272">
        <v>1267</v>
      </c>
      <c r="D1269" s="275"/>
      <c r="E1269" s="276"/>
      <c r="F1269" s="221"/>
      <c r="G1269" s="275"/>
      <c r="H1269" s="276"/>
      <c r="I1269" s="217"/>
      <c r="J1269" s="217"/>
      <c r="K1269" s="221"/>
      <c r="L1269" s="217"/>
      <c r="M1269" s="217"/>
      <c r="N1269" s="217"/>
      <c r="O1269" s="217"/>
      <c r="P1269" s="217"/>
    </row>
    <row r="1270" spans="3:16" ht="42" customHeight="1">
      <c r="C1270" s="272">
        <v>1268</v>
      </c>
      <c r="D1270" s="275"/>
      <c r="E1270" s="276"/>
      <c r="F1270" s="221"/>
      <c r="G1270" s="275"/>
      <c r="H1270" s="276"/>
      <c r="I1270" s="217"/>
      <c r="J1270" s="217"/>
      <c r="K1270" s="221"/>
      <c r="L1270" s="217"/>
      <c r="M1270" s="217"/>
      <c r="N1270" s="217"/>
      <c r="O1270" s="217"/>
      <c r="P1270" s="217"/>
    </row>
    <row r="1271" spans="3:16" ht="42" customHeight="1">
      <c r="C1271" s="272">
        <v>1269</v>
      </c>
      <c r="D1271" s="275"/>
      <c r="E1271" s="276"/>
      <c r="F1271" s="221"/>
      <c r="G1271" s="275"/>
      <c r="H1271" s="276"/>
      <c r="I1271" s="217"/>
      <c r="J1271" s="217"/>
      <c r="K1271" s="221"/>
      <c r="L1271" s="217"/>
      <c r="M1271" s="217"/>
      <c r="N1271" s="217"/>
      <c r="O1271" s="217"/>
      <c r="P1271" s="217"/>
    </row>
    <row r="1272" spans="3:16" ht="42" customHeight="1">
      <c r="C1272" s="272">
        <v>1270</v>
      </c>
      <c r="D1272" s="275"/>
      <c r="E1272" s="276"/>
      <c r="F1272" s="221"/>
      <c r="G1272" s="275"/>
      <c r="H1272" s="276"/>
      <c r="I1272" s="217"/>
      <c r="J1272" s="217"/>
      <c r="K1272" s="221"/>
      <c r="L1272" s="217"/>
      <c r="M1272" s="217"/>
      <c r="N1272" s="217"/>
      <c r="O1272" s="217"/>
      <c r="P1272" s="217"/>
    </row>
    <row r="1273" spans="3:16" ht="42" customHeight="1">
      <c r="C1273" s="272">
        <v>1271</v>
      </c>
      <c r="D1273" s="275"/>
      <c r="E1273" s="276"/>
      <c r="F1273" s="221"/>
      <c r="G1273" s="275"/>
      <c r="H1273" s="276"/>
      <c r="I1273" s="217"/>
      <c r="J1273" s="217"/>
      <c r="K1273" s="221"/>
      <c r="L1273" s="217"/>
      <c r="M1273" s="217"/>
      <c r="N1273" s="217"/>
      <c r="O1273" s="217"/>
      <c r="P1273" s="217"/>
    </row>
    <row r="1274" spans="3:16" ht="42" customHeight="1">
      <c r="C1274" s="272">
        <v>1272</v>
      </c>
      <c r="D1274" s="275"/>
      <c r="E1274" s="276"/>
      <c r="F1274" s="221"/>
      <c r="G1274" s="275"/>
      <c r="H1274" s="276"/>
      <c r="I1274" s="217"/>
      <c r="J1274" s="217"/>
      <c r="K1274" s="221"/>
      <c r="L1274" s="217"/>
      <c r="M1274" s="217"/>
      <c r="N1274" s="217"/>
      <c r="O1274" s="217"/>
      <c r="P1274" s="217"/>
    </row>
    <row r="1275" spans="3:16" ht="42" customHeight="1">
      <c r="C1275" s="272">
        <v>1273</v>
      </c>
      <c r="D1275" s="275"/>
      <c r="E1275" s="276"/>
      <c r="F1275" s="221"/>
      <c r="G1275" s="275"/>
      <c r="H1275" s="276"/>
      <c r="I1275" s="217"/>
      <c r="J1275" s="217"/>
      <c r="K1275" s="221"/>
      <c r="L1275" s="217"/>
      <c r="M1275" s="217"/>
      <c r="N1275" s="217"/>
      <c r="O1275" s="217"/>
      <c r="P1275" s="217"/>
    </row>
    <row r="1276" spans="3:16" ht="42" customHeight="1">
      <c r="C1276" s="272">
        <v>1274</v>
      </c>
      <c r="D1276" s="275"/>
      <c r="E1276" s="276"/>
      <c r="F1276" s="221"/>
      <c r="G1276" s="275"/>
      <c r="H1276" s="276"/>
      <c r="I1276" s="217"/>
      <c r="J1276" s="217"/>
      <c r="K1276" s="221"/>
      <c r="L1276" s="217"/>
      <c r="M1276" s="217"/>
      <c r="N1276" s="217"/>
      <c r="O1276" s="217"/>
      <c r="P1276" s="217"/>
    </row>
    <row r="1277" spans="3:16" ht="42" customHeight="1">
      <c r="C1277" s="272">
        <v>1275</v>
      </c>
      <c r="D1277" s="275"/>
      <c r="E1277" s="276"/>
      <c r="F1277" s="221"/>
      <c r="G1277" s="275"/>
      <c r="H1277" s="276"/>
      <c r="I1277" s="217"/>
      <c r="J1277" s="217"/>
      <c r="K1277" s="221"/>
      <c r="L1277" s="217"/>
      <c r="M1277" s="217"/>
      <c r="N1277" s="217"/>
      <c r="O1277" s="217"/>
      <c r="P1277" s="217"/>
    </row>
    <row r="1278" spans="3:16" ht="42" customHeight="1">
      <c r="C1278" s="272">
        <v>1276</v>
      </c>
      <c r="D1278" s="275"/>
      <c r="E1278" s="276"/>
      <c r="F1278" s="221"/>
      <c r="G1278" s="275"/>
      <c r="H1278" s="276"/>
      <c r="I1278" s="217"/>
      <c r="J1278" s="217"/>
      <c r="K1278" s="221"/>
      <c r="L1278" s="217"/>
      <c r="M1278" s="217"/>
      <c r="N1278" s="217"/>
      <c r="O1278" s="217"/>
      <c r="P1278" s="217"/>
    </row>
    <row r="1279" spans="3:16" ht="42" customHeight="1">
      <c r="C1279" s="272">
        <v>1277</v>
      </c>
      <c r="D1279" s="275"/>
      <c r="E1279" s="276"/>
      <c r="F1279" s="221"/>
      <c r="G1279" s="275"/>
      <c r="H1279" s="276"/>
      <c r="I1279" s="217"/>
      <c r="J1279" s="217"/>
      <c r="K1279" s="221"/>
      <c r="L1279" s="217"/>
      <c r="M1279" s="217"/>
      <c r="N1279" s="217"/>
      <c r="O1279" s="217"/>
      <c r="P1279" s="217"/>
    </row>
    <row r="1280" spans="3:16" ht="42" customHeight="1">
      <c r="C1280" s="272">
        <v>1278</v>
      </c>
      <c r="D1280" s="275"/>
      <c r="E1280" s="276"/>
      <c r="F1280" s="221"/>
      <c r="G1280" s="275"/>
      <c r="H1280" s="276"/>
      <c r="I1280" s="217"/>
      <c r="J1280" s="217"/>
      <c r="K1280" s="221"/>
      <c r="L1280" s="217"/>
      <c r="M1280" s="217"/>
      <c r="N1280" s="217"/>
      <c r="O1280" s="217"/>
      <c r="P1280" s="217"/>
    </row>
    <row r="1281" spans="3:16" ht="42" customHeight="1">
      <c r="C1281" s="272">
        <v>1279</v>
      </c>
      <c r="D1281" s="275"/>
      <c r="E1281" s="276"/>
      <c r="F1281" s="221"/>
      <c r="G1281" s="275"/>
      <c r="H1281" s="276"/>
      <c r="I1281" s="217"/>
      <c r="J1281" s="217"/>
      <c r="K1281" s="221"/>
      <c r="L1281" s="217"/>
      <c r="M1281" s="217"/>
      <c r="N1281" s="217"/>
      <c r="O1281" s="217"/>
      <c r="P1281" s="217"/>
    </row>
    <row r="1282" spans="3:16" ht="42" customHeight="1">
      <c r="C1282" s="272">
        <v>1280</v>
      </c>
      <c r="D1282" s="275"/>
      <c r="E1282" s="276"/>
      <c r="F1282" s="221"/>
      <c r="G1282" s="275"/>
      <c r="H1282" s="276"/>
      <c r="I1282" s="217"/>
      <c r="J1282" s="217"/>
      <c r="K1282" s="221"/>
      <c r="L1282" s="217"/>
      <c r="M1282" s="217"/>
      <c r="N1282" s="217"/>
      <c r="O1282" s="217"/>
      <c r="P1282" s="217"/>
    </row>
    <row r="1283" spans="3:16" ht="42" customHeight="1">
      <c r="C1283" s="272">
        <v>1281</v>
      </c>
      <c r="D1283" s="275"/>
      <c r="E1283" s="276"/>
      <c r="F1283" s="221"/>
      <c r="G1283" s="275"/>
      <c r="H1283" s="276"/>
      <c r="I1283" s="217"/>
      <c r="J1283" s="217"/>
      <c r="K1283" s="221"/>
      <c r="L1283" s="217"/>
      <c r="M1283" s="217"/>
      <c r="N1283" s="217"/>
      <c r="O1283" s="217"/>
      <c r="P1283" s="217"/>
    </row>
    <row r="1284" spans="3:16" ht="42" customHeight="1">
      <c r="C1284" s="272">
        <v>1282</v>
      </c>
      <c r="D1284" s="275"/>
      <c r="E1284" s="276"/>
      <c r="F1284" s="221"/>
      <c r="G1284" s="275"/>
      <c r="H1284" s="276"/>
      <c r="I1284" s="217"/>
      <c r="J1284" s="217"/>
      <c r="K1284" s="221"/>
      <c r="L1284" s="217"/>
      <c r="M1284" s="217"/>
      <c r="N1284" s="217"/>
      <c r="O1284" s="217"/>
      <c r="P1284" s="217"/>
    </row>
    <row r="1285" spans="3:16" ht="42" customHeight="1">
      <c r="C1285" s="272">
        <v>1283</v>
      </c>
      <c r="D1285" s="275"/>
      <c r="E1285" s="276"/>
      <c r="F1285" s="221"/>
      <c r="G1285" s="275"/>
      <c r="H1285" s="276"/>
      <c r="I1285" s="217"/>
      <c r="J1285" s="217"/>
      <c r="K1285" s="221"/>
      <c r="L1285" s="217"/>
      <c r="M1285" s="217"/>
      <c r="N1285" s="217"/>
      <c r="O1285" s="217"/>
      <c r="P1285" s="217"/>
    </row>
    <row r="1286" spans="3:16" ht="42" customHeight="1">
      <c r="C1286" s="272">
        <v>1284</v>
      </c>
      <c r="D1286" s="275"/>
      <c r="E1286" s="276"/>
      <c r="F1286" s="221"/>
      <c r="G1286" s="275"/>
      <c r="H1286" s="276"/>
      <c r="I1286" s="217"/>
      <c r="J1286" s="217"/>
      <c r="K1286" s="221"/>
      <c r="L1286" s="217"/>
      <c r="M1286" s="217"/>
      <c r="N1286" s="217"/>
      <c r="O1286" s="217"/>
      <c r="P1286" s="217"/>
    </row>
    <row r="1287" spans="3:16" ht="42" customHeight="1">
      <c r="C1287" s="272">
        <v>1285</v>
      </c>
      <c r="D1287" s="275"/>
      <c r="E1287" s="276"/>
      <c r="F1287" s="221"/>
      <c r="G1287" s="275"/>
      <c r="H1287" s="276"/>
      <c r="I1287" s="217"/>
      <c r="J1287" s="217"/>
      <c r="K1287" s="221"/>
      <c r="L1287" s="217"/>
      <c r="M1287" s="217"/>
      <c r="N1287" s="217"/>
      <c r="O1287" s="217"/>
      <c r="P1287" s="217"/>
    </row>
    <row r="1288" spans="3:16" ht="42" customHeight="1">
      <c r="C1288" s="272">
        <v>1286</v>
      </c>
      <c r="D1288" s="275"/>
      <c r="E1288" s="276"/>
      <c r="F1288" s="221"/>
      <c r="G1288" s="275"/>
      <c r="H1288" s="276"/>
      <c r="I1288" s="217"/>
      <c r="J1288" s="217"/>
      <c r="K1288" s="221"/>
      <c r="L1288" s="217"/>
      <c r="M1288" s="217"/>
      <c r="N1288" s="217"/>
      <c r="O1288" s="217"/>
      <c r="P1288" s="217"/>
    </row>
    <row r="1289" spans="3:16" ht="42" customHeight="1">
      <c r="C1289" s="272">
        <v>1287</v>
      </c>
      <c r="D1289" s="275"/>
      <c r="E1289" s="276"/>
      <c r="F1289" s="221"/>
      <c r="G1289" s="275"/>
      <c r="H1289" s="276"/>
      <c r="I1289" s="217"/>
      <c r="J1289" s="217"/>
      <c r="K1289" s="221"/>
      <c r="L1289" s="217"/>
      <c r="M1289" s="217"/>
      <c r="N1289" s="217"/>
      <c r="O1289" s="217"/>
      <c r="P1289" s="217"/>
    </row>
    <row r="1290" spans="3:16" ht="42" customHeight="1">
      <c r="C1290" s="272">
        <v>1288</v>
      </c>
      <c r="D1290" s="275"/>
      <c r="E1290" s="276"/>
      <c r="F1290" s="221"/>
      <c r="G1290" s="275"/>
      <c r="H1290" s="276"/>
      <c r="I1290" s="217"/>
      <c r="J1290" s="217"/>
      <c r="K1290" s="221"/>
      <c r="L1290" s="217"/>
      <c r="M1290" s="217"/>
      <c r="N1290" s="217"/>
      <c r="O1290" s="217"/>
      <c r="P1290" s="217"/>
    </row>
    <row r="1291" spans="3:16" ht="42" customHeight="1">
      <c r="C1291" s="272">
        <v>1289</v>
      </c>
      <c r="D1291" s="275"/>
      <c r="E1291" s="276"/>
      <c r="F1291" s="221"/>
      <c r="G1291" s="275"/>
      <c r="H1291" s="276"/>
      <c r="I1291" s="217"/>
      <c r="J1291" s="217"/>
      <c r="K1291" s="221"/>
      <c r="L1291" s="217"/>
      <c r="M1291" s="217"/>
      <c r="N1291" s="217"/>
      <c r="O1291" s="217"/>
      <c r="P1291" s="217"/>
    </row>
    <row r="1292" spans="3:16" ht="42" customHeight="1">
      <c r="C1292" s="272">
        <v>1290</v>
      </c>
      <c r="D1292" s="275"/>
      <c r="E1292" s="276"/>
      <c r="F1292" s="221"/>
      <c r="G1292" s="275"/>
      <c r="H1292" s="276"/>
      <c r="I1292" s="217"/>
      <c r="J1292" s="217"/>
      <c r="K1292" s="221"/>
      <c r="L1292" s="217"/>
      <c r="M1292" s="217"/>
      <c r="N1292" s="217"/>
      <c r="O1292" s="217"/>
      <c r="P1292" s="217"/>
    </row>
    <row r="1293" spans="3:16" ht="42" customHeight="1">
      <c r="C1293" s="272">
        <v>1291</v>
      </c>
      <c r="D1293" s="275"/>
      <c r="E1293" s="276"/>
      <c r="F1293" s="221"/>
      <c r="G1293" s="275"/>
      <c r="H1293" s="276"/>
      <c r="I1293" s="217"/>
      <c r="J1293" s="217"/>
      <c r="K1293" s="221"/>
      <c r="L1293" s="217"/>
      <c r="M1293" s="217"/>
      <c r="N1293" s="217"/>
      <c r="O1293" s="217"/>
      <c r="P1293" s="217"/>
    </row>
    <row r="1294" spans="3:16" ht="42" customHeight="1">
      <c r="C1294" s="272">
        <v>1292</v>
      </c>
      <c r="D1294" s="275"/>
      <c r="E1294" s="276"/>
      <c r="F1294" s="221"/>
      <c r="G1294" s="275"/>
      <c r="H1294" s="276"/>
      <c r="I1294" s="217"/>
      <c r="J1294" s="217"/>
      <c r="K1294" s="221"/>
      <c r="L1294" s="217"/>
      <c r="M1294" s="217"/>
      <c r="N1294" s="217"/>
      <c r="O1294" s="217"/>
      <c r="P1294" s="217"/>
    </row>
    <row r="1295" spans="3:16" ht="42" customHeight="1">
      <c r="C1295" s="272">
        <v>1293</v>
      </c>
      <c r="D1295" s="275"/>
      <c r="E1295" s="276"/>
      <c r="F1295" s="221"/>
      <c r="G1295" s="275"/>
      <c r="H1295" s="276"/>
      <c r="I1295" s="217"/>
      <c r="J1295" s="217"/>
      <c r="K1295" s="221"/>
      <c r="L1295" s="217"/>
      <c r="M1295" s="217"/>
      <c r="N1295" s="217"/>
      <c r="O1295" s="217"/>
      <c r="P1295" s="217"/>
    </row>
    <row r="1296" spans="3:16" ht="42" customHeight="1">
      <c r="C1296" s="272">
        <v>1294</v>
      </c>
      <c r="D1296" s="275"/>
      <c r="E1296" s="276"/>
      <c r="F1296" s="221"/>
      <c r="G1296" s="275"/>
      <c r="H1296" s="276"/>
      <c r="I1296" s="217"/>
      <c r="J1296" s="217"/>
      <c r="K1296" s="221"/>
      <c r="L1296" s="217"/>
      <c r="M1296" s="217"/>
      <c r="N1296" s="217"/>
      <c r="O1296" s="217"/>
      <c r="P1296" s="217"/>
    </row>
    <row r="1297" spans="3:16" ht="42" customHeight="1">
      <c r="C1297" s="272">
        <v>1295</v>
      </c>
      <c r="D1297" s="275"/>
      <c r="E1297" s="276"/>
      <c r="F1297" s="221"/>
      <c r="G1297" s="275"/>
      <c r="H1297" s="276"/>
      <c r="I1297" s="217"/>
      <c r="J1297" s="217"/>
      <c r="K1297" s="221"/>
      <c r="L1297" s="217"/>
      <c r="M1297" s="217"/>
      <c r="N1297" s="217"/>
      <c r="O1297" s="217"/>
      <c r="P1297" s="217"/>
    </row>
    <row r="1298" spans="3:16" ht="42" customHeight="1">
      <c r="C1298" s="272">
        <v>1296</v>
      </c>
      <c r="D1298" s="275"/>
      <c r="E1298" s="276"/>
      <c r="F1298" s="221"/>
      <c r="G1298" s="275"/>
      <c r="H1298" s="276"/>
      <c r="I1298" s="217"/>
      <c r="J1298" s="217"/>
      <c r="K1298" s="221"/>
      <c r="L1298" s="217"/>
      <c r="M1298" s="217"/>
      <c r="N1298" s="217"/>
      <c r="O1298" s="217"/>
      <c r="P1298" s="217"/>
    </row>
    <row r="1299" spans="3:16" ht="42" customHeight="1">
      <c r="C1299" s="272">
        <v>1297</v>
      </c>
      <c r="D1299" s="275"/>
      <c r="E1299" s="276"/>
      <c r="F1299" s="221"/>
      <c r="G1299" s="275"/>
      <c r="H1299" s="276"/>
      <c r="I1299" s="217"/>
      <c r="J1299" s="217"/>
      <c r="K1299" s="221"/>
      <c r="L1299" s="217"/>
      <c r="M1299" s="217"/>
      <c r="N1299" s="217"/>
      <c r="O1299" s="217"/>
      <c r="P1299" s="217"/>
    </row>
    <row r="1300" spans="3:16" ht="42" customHeight="1">
      <c r="C1300" s="272">
        <v>1298</v>
      </c>
      <c r="D1300" s="275"/>
      <c r="E1300" s="276"/>
      <c r="F1300" s="221"/>
      <c r="G1300" s="275"/>
      <c r="H1300" s="276"/>
      <c r="I1300" s="217"/>
      <c r="J1300" s="217"/>
      <c r="K1300" s="221"/>
      <c r="L1300" s="217"/>
      <c r="M1300" s="217"/>
      <c r="N1300" s="217"/>
      <c r="O1300" s="217"/>
      <c r="P1300" s="217"/>
    </row>
    <row r="1301" spans="3:16" ht="42" customHeight="1">
      <c r="C1301" s="272">
        <v>1299</v>
      </c>
      <c r="D1301" s="275"/>
      <c r="E1301" s="276"/>
      <c r="F1301" s="221"/>
      <c r="G1301" s="275"/>
      <c r="H1301" s="276"/>
      <c r="I1301" s="217"/>
      <c r="J1301" s="217"/>
      <c r="K1301" s="221"/>
      <c r="L1301" s="217"/>
      <c r="M1301" s="217"/>
      <c r="N1301" s="217"/>
      <c r="O1301" s="217"/>
      <c r="P1301" s="217"/>
    </row>
    <row r="1302" spans="3:16" ht="42" customHeight="1">
      <c r="C1302" s="272">
        <v>1300</v>
      </c>
      <c r="D1302" s="275"/>
      <c r="E1302" s="276"/>
      <c r="F1302" s="221"/>
      <c r="G1302" s="275"/>
      <c r="H1302" s="276"/>
      <c r="I1302" s="217"/>
      <c r="J1302" s="217"/>
      <c r="K1302" s="221"/>
      <c r="L1302" s="217"/>
      <c r="M1302" s="217"/>
      <c r="N1302" s="217"/>
      <c r="O1302" s="217"/>
      <c r="P1302" s="217"/>
    </row>
    <row r="1303" spans="3:16" ht="42" customHeight="1">
      <c r="C1303" s="272">
        <v>1301</v>
      </c>
      <c r="D1303" s="275"/>
      <c r="E1303" s="276"/>
      <c r="F1303" s="221"/>
      <c r="G1303" s="275"/>
      <c r="H1303" s="276"/>
      <c r="I1303" s="217"/>
      <c r="J1303" s="217"/>
      <c r="K1303" s="221"/>
      <c r="L1303" s="217"/>
      <c r="M1303" s="217"/>
      <c r="N1303" s="217"/>
      <c r="O1303" s="217"/>
      <c r="P1303" s="217"/>
    </row>
    <row r="1304" spans="3:16" ht="42" customHeight="1">
      <c r="C1304" s="272">
        <v>1302</v>
      </c>
      <c r="D1304" s="275"/>
      <c r="E1304" s="276"/>
      <c r="F1304" s="221"/>
      <c r="G1304" s="275"/>
      <c r="H1304" s="276"/>
      <c r="I1304" s="217"/>
      <c r="J1304" s="217"/>
      <c r="K1304" s="221"/>
      <c r="L1304" s="217"/>
      <c r="M1304" s="217"/>
      <c r="N1304" s="217"/>
      <c r="O1304" s="217"/>
      <c r="P1304" s="217"/>
    </row>
    <row r="1305" spans="3:16" ht="42" customHeight="1">
      <c r="C1305" s="272">
        <v>1303</v>
      </c>
      <c r="D1305" s="275"/>
      <c r="E1305" s="276"/>
      <c r="F1305" s="221"/>
      <c r="G1305" s="275"/>
      <c r="H1305" s="276"/>
      <c r="I1305" s="217"/>
      <c r="J1305" s="217"/>
      <c r="K1305" s="221"/>
      <c r="L1305" s="217"/>
      <c r="M1305" s="217"/>
      <c r="N1305" s="217"/>
      <c r="O1305" s="217"/>
      <c r="P1305" s="217"/>
    </row>
    <row r="1306" spans="3:16" ht="42" customHeight="1">
      <c r="C1306" s="272">
        <v>1304</v>
      </c>
      <c r="D1306" s="275"/>
      <c r="E1306" s="276"/>
      <c r="F1306" s="221"/>
      <c r="G1306" s="275"/>
      <c r="H1306" s="276"/>
      <c r="I1306" s="217"/>
      <c r="J1306" s="217"/>
      <c r="K1306" s="221"/>
      <c r="L1306" s="217"/>
      <c r="M1306" s="217"/>
      <c r="N1306" s="217"/>
      <c r="O1306" s="217"/>
      <c r="P1306" s="217"/>
    </row>
    <row r="1307" spans="3:16" ht="42" customHeight="1">
      <c r="C1307" s="272">
        <v>1305</v>
      </c>
      <c r="D1307" s="275"/>
      <c r="E1307" s="276"/>
      <c r="F1307" s="221"/>
      <c r="G1307" s="275"/>
      <c r="H1307" s="276"/>
      <c r="I1307" s="217"/>
      <c r="J1307" s="217"/>
      <c r="K1307" s="221"/>
      <c r="L1307" s="217"/>
      <c r="M1307" s="217"/>
      <c r="N1307" s="217"/>
      <c r="O1307" s="217"/>
      <c r="P1307" s="217"/>
    </row>
    <row r="1308" spans="3:16" ht="42" customHeight="1">
      <c r="C1308" s="272">
        <v>1306</v>
      </c>
      <c r="D1308" s="275"/>
      <c r="E1308" s="276"/>
      <c r="F1308" s="221"/>
      <c r="G1308" s="275"/>
      <c r="H1308" s="276"/>
      <c r="I1308" s="217"/>
      <c r="J1308" s="217"/>
      <c r="K1308" s="221"/>
      <c r="L1308" s="217"/>
      <c r="M1308" s="217"/>
      <c r="N1308" s="217"/>
      <c r="O1308" s="217"/>
      <c r="P1308" s="217"/>
    </row>
    <row r="1309" spans="3:16" ht="42" customHeight="1">
      <c r="C1309" s="272">
        <v>1307</v>
      </c>
      <c r="D1309" s="275"/>
      <c r="E1309" s="276"/>
      <c r="F1309" s="221"/>
      <c r="G1309" s="275"/>
      <c r="H1309" s="276"/>
      <c r="I1309" s="217"/>
      <c r="J1309" s="217"/>
      <c r="K1309" s="221"/>
      <c r="L1309" s="217"/>
      <c r="M1309" s="217"/>
      <c r="N1309" s="217"/>
      <c r="O1309" s="217"/>
      <c r="P1309" s="217"/>
    </row>
    <row r="1310" spans="3:16" ht="42" customHeight="1">
      <c r="C1310" s="272">
        <v>1308</v>
      </c>
      <c r="D1310" s="275"/>
      <c r="E1310" s="276"/>
      <c r="F1310" s="221"/>
      <c r="G1310" s="275"/>
      <c r="H1310" s="276"/>
      <c r="I1310" s="217"/>
      <c r="J1310" s="217"/>
      <c r="K1310" s="221"/>
      <c r="L1310" s="217"/>
      <c r="M1310" s="217"/>
      <c r="N1310" s="217"/>
      <c r="O1310" s="217"/>
      <c r="P1310" s="217"/>
    </row>
    <row r="1311" spans="3:16" ht="42" customHeight="1">
      <c r="C1311" s="272">
        <v>1309</v>
      </c>
      <c r="D1311" s="275"/>
      <c r="E1311" s="276"/>
      <c r="F1311" s="221"/>
      <c r="G1311" s="275"/>
      <c r="H1311" s="276"/>
      <c r="I1311" s="217"/>
      <c r="J1311" s="217"/>
      <c r="K1311" s="221"/>
      <c r="L1311" s="217"/>
      <c r="M1311" s="217"/>
      <c r="N1311" s="217"/>
      <c r="O1311" s="217"/>
      <c r="P1311" s="217"/>
    </row>
    <row r="1312" spans="3:16" ht="42" customHeight="1">
      <c r="C1312" s="272">
        <v>1310</v>
      </c>
      <c r="D1312" s="275"/>
      <c r="E1312" s="276"/>
      <c r="F1312" s="221"/>
      <c r="G1312" s="275"/>
      <c r="H1312" s="276"/>
      <c r="I1312" s="217"/>
      <c r="J1312" s="217"/>
      <c r="K1312" s="221"/>
      <c r="L1312" s="217"/>
      <c r="M1312" s="217"/>
      <c r="N1312" s="217"/>
      <c r="O1312" s="217"/>
      <c r="P1312" s="217"/>
    </row>
    <row r="1313" spans="3:16" ht="42" customHeight="1">
      <c r="C1313" s="272">
        <v>1311</v>
      </c>
      <c r="D1313" s="275"/>
      <c r="E1313" s="276"/>
      <c r="F1313" s="221"/>
      <c r="G1313" s="275"/>
      <c r="H1313" s="276"/>
      <c r="I1313" s="217"/>
      <c r="J1313" s="217"/>
      <c r="K1313" s="221"/>
      <c r="L1313" s="217"/>
      <c r="M1313" s="217"/>
      <c r="N1313" s="217"/>
      <c r="O1313" s="217"/>
      <c r="P1313" s="217"/>
    </row>
    <row r="1314" spans="3:16" ht="42" customHeight="1">
      <c r="C1314" s="272">
        <v>1312</v>
      </c>
      <c r="D1314" s="275"/>
      <c r="E1314" s="276"/>
      <c r="F1314" s="221"/>
      <c r="G1314" s="275"/>
      <c r="H1314" s="276"/>
      <c r="I1314" s="217"/>
      <c r="J1314" s="217"/>
      <c r="K1314" s="221"/>
      <c r="L1314" s="217"/>
      <c r="M1314" s="217"/>
      <c r="N1314" s="217"/>
      <c r="O1314" s="217"/>
      <c r="P1314" s="217"/>
    </row>
    <row r="1315" spans="3:16" ht="42" customHeight="1">
      <c r="C1315" s="272">
        <v>1313</v>
      </c>
      <c r="D1315" s="275"/>
      <c r="E1315" s="276"/>
      <c r="F1315" s="221"/>
      <c r="G1315" s="275"/>
      <c r="H1315" s="276"/>
      <c r="I1315" s="217"/>
      <c r="J1315" s="217"/>
      <c r="K1315" s="221"/>
      <c r="L1315" s="217"/>
      <c r="M1315" s="217"/>
      <c r="N1315" s="217"/>
      <c r="O1315" s="217"/>
      <c r="P1315" s="217"/>
    </row>
    <row r="1316" spans="3:16" ht="42" customHeight="1">
      <c r="C1316" s="272">
        <v>1314</v>
      </c>
      <c r="D1316" s="275"/>
      <c r="E1316" s="276"/>
      <c r="F1316" s="221"/>
      <c r="G1316" s="275"/>
      <c r="H1316" s="276"/>
      <c r="I1316" s="217"/>
      <c r="J1316" s="217"/>
      <c r="K1316" s="221"/>
      <c r="L1316" s="217"/>
      <c r="M1316" s="217"/>
      <c r="N1316" s="217"/>
      <c r="O1316" s="217"/>
      <c r="P1316" s="217"/>
    </row>
    <row r="1317" spans="3:16" ht="42" customHeight="1">
      <c r="C1317" s="272">
        <v>1315</v>
      </c>
      <c r="D1317" s="275"/>
      <c r="E1317" s="276"/>
      <c r="F1317" s="221"/>
      <c r="G1317" s="275"/>
      <c r="H1317" s="276"/>
      <c r="I1317" s="217"/>
      <c r="J1317" s="217"/>
      <c r="K1317" s="221"/>
      <c r="L1317" s="217"/>
      <c r="M1317" s="217"/>
      <c r="N1317" s="217"/>
      <c r="O1317" s="217"/>
      <c r="P1317" s="217"/>
    </row>
    <row r="1318" spans="3:16" ht="42" customHeight="1">
      <c r="C1318" s="272">
        <v>1316</v>
      </c>
      <c r="D1318" s="275"/>
      <c r="E1318" s="276"/>
      <c r="F1318" s="221"/>
      <c r="G1318" s="275"/>
      <c r="H1318" s="276"/>
      <c r="I1318" s="217"/>
      <c r="J1318" s="217"/>
      <c r="K1318" s="221"/>
      <c r="L1318" s="217"/>
      <c r="M1318" s="217"/>
      <c r="N1318" s="217"/>
      <c r="O1318" s="217"/>
      <c r="P1318" s="217"/>
    </row>
    <row r="1319" spans="3:16" ht="42" customHeight="1">
      <c r="C1319" s="272">
        <v>1317</v>
      </c>
      <c r="D1319" s="275"/>
      <c r="E1319" s="276"/>
      <c r="F1319" s="221"/>
      <c r="G1319" s="275"/>
      <c r="H1319" s="276"/>
      <c r="I1319" s="217"/>
      <c r="J1319" s="217"/>
      <c r="K1319" s="221"/>
      <c r="L1319" s="217"/>
      <c r="M1319" s="217"/>
      <c r="N1319" s="217"/>
      <c r="O1319" s="217"/>
      <c r="P1319" s="217"/>
    </row>
    <row r="1320" spans="3:16" ht="42" customHeight="1">
      <c r="C1320" s="272">
        <v>1318</v>
      </c>
      <c r="D1320" s="275"/>
      <c r="E1320" s="276"/>
      <c r="F1320" s="221"/>
      <c r="G1320" s="275"/>
      <c r="H1320" s="276"/>
      <c r="I1320" s="217"/>
      <c r="J1320" s="217"/>
      <c r="K1320" s="221"/>
      <c r="L1320" s="217"/>
      <c r="M1320" s="217"/>
      <c r="N1320" s="217"/>
      <c r="O1320" s="217"/>
      <c r="P1320" s="217"/>
    </row>
    <row r="1321" spans="3:16" ht="42" customHeight="1">
      <c r="C1321" s="272">
        <v>1319</v>
      </c>
      <c r="D1321" s="275"/>
      <c r="E1321" s="276"/>
      <c r="F1321" s="221"/>
      <c r="G1321" s="275"/>
      <c r="H1321" s="276"/>
      <c r="I1321" s="217"/>
      <c r="J1321" s="217"/>
      <c r="K1321" s="221"/>
      <c r="L1321" s="217"/>
      <c r="M1321" s="217"/>
      <c r="N1321" s="217"/>
      <c r="O1321" s="217"/>
      <c r="P1321" s="217"/>
    </row>
    <row r="1322" spans="3:16" ht="42" customHeight="1">
      <c r="C1322" s="272">
        <v>1320</v>
      </c>
      <c r="D1322" s="275"/>
      <c r="E1322" s="276"/>
      <c r="F1322" s="221"/>
      <c r="G1322" s="275"/>
      <c r="H1322" s="276"/>
      <c r="I1322" s="217"/>
      <c r="J1322" s="217"/>
      <c r="K1322" s="221"/>
      <c r="L1322" s="217"/>
      <c r="M1322" s="217"/>
      <c r="N1322" s="217"/>
      <c r="O1322" s="217"/>
      <c r="P1322" s="217"/>
    </row>
    <row r="1323" spans="3:16" ht="42" customHeight="1">
      <c r="C1323" s="272">
        <v>1321</v>
      </c>
      <c r="D1323" s="275"/>
      <c r="E1323" s="276"/>
      <c r="F1323" s="221"/>
      <c r="G1323" s="275"/>
      <c r="H1323" s="276"/>
      <c r="I1323" s="217"/>
      <c r="J1323" s="217"/>
      <c r="K1323" s="221"/>
      <c r="L1323" s="217"/>
      <c r="M1323" s="217"/>
      <c r="N1323" s="217"/>
      <c r="O1323" s="217"/>
      <c r="P1323" s="217"/>
    </row>
    <row r="1324" spans="3:16" ht="42" customHeight="1">
      <c r="C1324" s="272">
        <v>1322</v>
      </c>
      <c r="D1324" s="275"/>
      <c r="E1324" s="276"/>
      <c r="F1324" s="221"/>
      <c r="G1324" s="275"/>
      <c r="H1324" s="276"/>
      <c r="I1324" s="217"/>
      <c r="J1324" s="217"/>
      <c r="K1324" s="221"/>
      <c r="L1324" s="217"/>
      <c r="M1324" s="217"/>
      <c r="N1324" s="217"/>
      <c r="O1324" s="217"/>
      <c r="P1324" s="217"/>
    </row>
    <row r="1325" spans="3:16" ht="42" customHeight="1">
      <c r="C1325" s="272">
        <v>1323</v>
      </c>
      <c r="D1325" s="275"/>
      <c r="E1325" s="276"/>
      <c r="F1325" s="221"/>
      <c r="G1325" s="275"/>
      <c r="H1325" s="276"/>
      <c r="I1325" s="217"/>
      <c r="J1325" s="217"/>
      <c r="K1325" s="221"/>
      <c r="L1325" s="217"/>
      <c r="M1325" s="217"/>
      <c r="N1325" s="217"/>
      <c r="O1325" s="217"/>
      <c r="P1325" s="217"/>
    </row>
    <row r="1326" spans="3:16" ht="42" customHeight="1">
      <c r="C1326" s="272">
        <v>1324</v>
      </c>
      <c r="D1326" s="275"/>
      <c r="E1326" s="276"/>
      <c r="F1326" s="221"/>
      <c r="G1326" s="275"/>
      <c r="H1326" s="276"/>
      <c r="I1326" s="217"/>
      <c r="J1326" s="217"/>
      <c r="K1326" s="221"/>
      <c r="L1326" s="217"/>
      <c r="M1326" s="217"/>
      <c r="N1326" s="217"/>
      <c r="O1326" s="217"/>
      <c r="P1326" s="217"/>
    </row>
    <row r="1327" spans="3:16" ht="42" customHeight="1">
      <c r="C1327" s="272">
        <v>1325</v>
      </c>
      <c r="D1327" s="275"/>
      <c r="E1327" s="276"/>
      <c r="F1327" s="221"/>
      <c r="G1327" s="275"/>
      <c r="H1327" s="276"/>
      <c r="I1327" s="217"/>
      <c r="J1327" s="217"/>
      <c r="K1327" s="221"/>
      <c r="L1327" s="217"/>
      <c r="M1327" s="217"/>
      <c r="N1327" s="217"/>
      <c r="O1327" s="217"/>
      <c r="P1327" s="217"/>
    </row>
    <row r="1328" spans="3:16" ht="42" customHeight="1">
      <c r="C1328" s="272">
        <v>1326</v>
      </c>
      <c r="D1328" s="275"/>
      <c r="E1328" s="276"/>
      <c r="F1328" s="221"/>
      <c r="G1328" s="275"/>
      <c r="H1328" s="276"/>
      <c r="I1328" s="217"/>
      <c r="J1328" s="217"/>
      <c r="K1328" s="221"/>
      <c r="L1328" s="217"/>
      <c r="M1328" s="217"/>
      <c r="N1328" s="217"/>
      <c r="O1328" s="217"/>
      <c r="P1328" s="217"/>
    </row>
    <row r="1329" spans="3:16" ht="42" customHeight="1">
      <c r="C1329" s="272">
        <v>1327</v>
      </c>
      <c r="D1329" s="275"/>
      <c r="E1329" s="276"/>
      <c r="F1329" s="221"/>
      <c r="G1329" s="275"/>
      <c r="H1329" s="276"/>
      <c r="I1329" s="217"/>
      <c r="J1329" s="217"/>
      <c r="K1329" s="221"/>
      <c r="L1329" s="217"/>
      <c r="M1329" s="217"/>
      <c r="N1329" s="217"/>
      <c r="O1329" s="217"/>
      <c r="P1329" s="217"/>
    </row>
    <row r="1330" spans="3:16" ht="42" customHeight="1">
      <c r="C1330" s="272">
        <v>1328</v>
      </c>
      <c r="D1330" s="275"/>
      <c r="E1330" s="276"/>
      <c r="F1330" s="221"/>
      <c r="G1330" s="275"/>
      <c r="H1330" s="276"/>
      <c r="I1330" s="217"/>
      <c r="J1330" s="217"/>
      <c r="K1330" s="221"/>
      <c r="L1330" s="217"/>
      <c r="M1330" s="217"/>
      <c r="N1330" s="217"/>
      <c r="O1330" s="217"/>
      <c r="P1330" s="217"/>
    </row>
    <row r="1331" spans="3:16" ht="42" customHeight="1">
      <c r="C1331" s="272">
        <v>1329</v>
      </c>
      <c r="D1331" s="275"/>
      <c r="E1331" s="276"/>
      <c r="F1331" s="221"/>
      <c r="G1331" s="275"/>
      <c r="H1331" s="276"/>
      <c r="I1331" s="217"/>
      <c r="J1331" s="217"/>
      <c r="K1331" s="221"/>
      <c r="L1331" s="217"/>
      <c r="M1331" s="217"/>
      <c r="N1331" s="217"/>
      <c r="O1331" s="217"/>
      <c r="P1331" s="217"/>
    </row>
    <row r="1332" spans="3:16" ht="42" customHeight="1">
      <c r="C1332" s="272">
        <v>1330</v>
      </c>
      <c r="D1332" s="275"/>
      <c r="E1332" s="276"/>
      <c r="F1332" s="221"/>
      <c r="G1332" s="275"/>
      <c r="H1332" s="276"/>
      <c r="I1332" s="217"/>
      <c r="J1332" s="217"/>
      <c r="K1332" s="221"/>
      <c r="L1332" s="217"/>
      <c r="M1332" s="217"/>
      <c r="N1332" s="217"/>
      <c r="O1332" s="217"/>
      <c r="P1332" s="217"/>
    </row>
    <row r="1333" spans="3:16" ht="42" customHeight="1">
      <c r="C1333" s="272">
        <v>1331</v>
      </c>
      <c r="D1333" s="275"/>
      <c r="E1333" s="276"/>
      <c r="F1333" s="221"/>
      <c r="G1333" s="275"/>
      <c r="H1333" s="276"/>
      <c r="I1333" s="217"/>
      <c r="J1333" s="217"/>
      <c r="K1333" s="221"/>
      <c r="L1333" s="217"/>
      <c r="M1333" s="217"/>
      <c r="N1333" s="217"/>
      <c r="O1333" s="217"/>
      <c r="P1333" s="217"/>
    </row>
    <row r="1334" spans="3:16" ht="42" customHeight="1">
      <c r="C1334" s="272">
        <v>1332</v>
      </c>
      <c r="D1334" s="275"/>
      <c r="E1334" s="276"/>
      <c r="F1334" s="221"/>
      <c r="G1334" s="275"/>
      <c r="H1334" s="276"/>
      <c r="I1334" s="217"/>
      <c r="J1334" s="217"/>
      <c r="K1334" s="221"/>
      <c r="L1334" s="217"/>
      <c r="M1334" s="217"/>
      <c r="N1334" s="217"/>
      <c r="O1334" s="217"/>
      <c r="P1334" s="217"/>
    </row>
    <row r="1335" spans="3:16" ht="42" customHeight="1">
      <c r="C1335" s="272">
        <v>1333</v>
      </c>
      <c r="D1335" s="275"/>
      <c r="E1335" s="276"/>
      <c r="F1335" s="221"/>
      <c r="G1335" s="275"/>
      <c r="H1335" s="276"/>
      <c r="I1335" s="217"/>
      <c r="J1335" s="217"/>
      <c r="K1335" s="221"/>
      <c r="L1335" s="217"/>
      <c r="M1335" s="217"/>
      <c r="N1335" s="217"/>
      <c r="O1335" s="217"/>
      <c r="P1335" s="217"/>
    </row>
    <row r="1336" spans="3:16" ht="42" customHeight="1">
      <c r="C1336" s="272">
        <v>1334</v>
      </c>
      <c r="D1336" s="275"/>
      <c r="E1336" s="276"/>
      <c r="F1336" s="221"/>
      <c r="G1336" s="275"/>
      <c r="H1336" s="276"/>
      <c r="I1336" s="217"/>
      <c r="J1336" s="217"/>
      <c r="K1336" s="221"/>
      <c r="L1336" s="217"/>
      <c r="M1336" s="217"/>
      <c r="N1336" s="217"/>
      <c r="O1336" s="217"/>
      <c r="P1336" s="217"/>
    </row>
    <row r="1337" spans="3:16" ht="42" customHeight="1">
      <c r="C1337" s="272">
        <v>1335</v>
      </c>
      <c r="D1337" s="275"/>
      <c r="E1337" s="276"/>
      <c r="F1337" s="221"/>
      <c r="G1337" s="275"/>
      <c r="H1337" s="276"/>
      <c r="I1337" s="217"/>
      <c r="J1337" s="217"/>
      <c r="K1337" s="221"/>
      <c r="L1337" s="217"/>
      <c r="M1337" s="217"/>
      <c r="N1337" s="217"/>
      <c r="O1337" s="217"/>
      <c r="P1337" s="217"/>
    </row>
    <row r="1338" spans="3:16" ht="42" customHeight="1">
      <c r="C1338" s="272">
        <v>1336</v>
      </c>
      <c r="D1338" s="275"/>
      <c r="E1338" s="276"/>
      <c r="F1338" s="221"/>
      <c r="G1338" s="275"/>
      <c r="H1338" s="276"/>
      <c r="I1338" s="217"/>
      <c r="J1338" s="217"/>
      <c r="K1338" s="221"/>
      <c r="L1338" s="217"/>
      <c r="M1338" s="217"/>
      <c r="N1338" s="217"/>
      <c r="O1338" s="217"/>
      <c r="P1338" s="217"/>
    </row>
    <row r="1339" spans="3:16" ht="42" customHeight="1">
      <c r="C1339" s="272">
        <v>1337</v>
      </c>
      <c r="D1339" s="275"/>
      <c r="E1339" s="276"/>
      <c r="F1339" s="221"/>
      <c r="G1339" s="275"/>
      <c r="H1339" s="276"/>
      <c r="I1339" s="217"/>
      <c r="J1339" s="217"/>
      <c r="K1339" s="221"/>
      <c r="L1339" s="217"/>
      <c r="M1339" s="217"/>
      <c r="N1339" s="217"/>
      <c r="O1339" s="217"/>
      <c r="P1339" s="217"/>
    </row>
    <row r="1340" spans="3:16" ht="42" customHeight="1">
      <c r="C1340" s="272">
        <v>1338</v>
      </c>
      <c r="D1340" s="275"/>
      <c r="E1340" s="276"/>
      <c r="F1340" s="221"/>
      <c r="G1340" s="275"/>
      <c r="H1340" s="276"/>
      <c r="I1340" s="217"/>
      <c r="J1340" s="217"/>
      <c r="K1340" s="221"/>
      <c r="L1340" s="217"/>
      <c r="M1340" s="217"/>
      <c r="N1340" s="217"/>
      <c r="O1340" s="217"/>
      <c r="P1340" s="217"/>
    </row>
    <row r="1341" spans="3:16" ht="42" customHeight="1">
      <c r="C1341" s="272">
        <v>1339</v>
      </c>
      <c r="D1341" s="275"/>
      <c r="E1341" s="276"/>
      <c r="F1341" s="221"/>
      <c r="G1341" s="275"/>
      <c r="H1341" s="276"/>
      <c r="I1341" s="217"/>
      <c r="J1341" s="217"/>
      <c r="K1341" s="221"/>
      <c r="L1341" s="217"/>
      <c r="M1341" s="217"/>
      <c r="N1341" s="217"/>
      <c r="O1341" s="217"/>
      <c r="P1341" s="217"/>
    </row>
    <row r="1342" spans="3:16" ht="42" customHeight="1">
      <c r="C1342" s="272">
        <v>1340</v>
      </c>
      <c r="D1342" s="275"/>
      <c r="E1342" s="276"/>
      <c r="F1342" s="221"/>
      <c r="G1342" s="275"/>
      <c r="H1342" s="276"/>
      <c r="I1342" s="217"/>
      <c r="J1342" s="217"/>
      <c r="K1342" s="221"/>
      <c r="L1342" s="217"/>
      <c r="M1342" s="217"/>
      <c r="N1342" s="217"/>
      <c r="O1342" s="217"/>
      <c r="P1342" s="217"/>
    </row>
    <row r="1343" spans="3:16" ht="42" customHeight="1">
      <c r="C1343" s="272">
        <v>1341</v>
      </c>
      <c r="D1343" s="275"/>
      <c r="E1343" s="276"/>
      <c r="F1343" s="221"/>
      <c r="G1343" s="275"/>
      <c r="H1343" s="276"/>
      <c r="I1343" s="217"/>
      <c r="J1343" s="217"/>
      <c r="K1343" s="221"/>
      <c r="L1343" s="217"/>
      <c r="M1343" s="217"/>
      <c r="N1343" s="217"/>
      <c r="O1343" s="217"/>
      <c r="P1343" s="217"/>
    </row>
    <row r="1344" spans="3:16" ht="42" customHeight="1">
      <c r="C1344" s="272">
        <v>1342</v>
      </c>
      <c r="D1344" s="275"/>
      <c r="E1344" s="276"/>
      <c r="F1344" s="221"/>
      <c r="G1344" s="275"/>
      <c r="H1344" s="276"/>
      <c r="I1344" s="217"/>
      <c r="J1344" s="217"/>
      <c r="K1344" s="221"/>
      <c r="L1344" s="217"/>
      <c r="M1344" s="217"/>
      <c r="N1344" s="217"/>
      <c r="O1344" s="217"/>
      <c r="P1344" s="217"/>
    </row>
    <row r="1345" spans="3:16" ht="42" customHeight="1">
      <c r="C1345" s="272">
        <v>1343</v>
      </c>
      <c r="D1345" s="275"/>
      <c r="E1345" s="276"/>
      <c r="F1345" s="221"/>
      <c r="G1345" s="275"/>
      <c r="H1345" s="276"/>
      <c r="I1345" s="217"/>
      <c r="J1345" s="217"/>
      <c r="K1345" s="221"/>
      <c r="L1345" s="217"/>
      <c r="M1345" s="217"/>
      <c r="N1345" s="217"/>
      <c r="O1345" s="217"/>
      <c r="P1345" s="217"/>
    </row>
    <row r="1346" spans="3:16" ht="42" customHeight="1">
      <c r="C1346" s="272">
        <v>1344</v>
      </c>
      <c r="D1346" s="275"/>
      <c r="E1346" s="276"/>
      <c r="F1346" s="221"/>
      <c r="G1346" s="275"/>
      <c r="H1346" s="276"/>
      <c r="I1346" s="217"/>
      <c r="J1346" s="217"/>
      <c r="K1346" s="221"/>
      <c r="L1346" s="217"/>
      <c r="M1346" s="217"/>
      <c r="N1346" s="217"/>
      <c r="O1346" s="217"/>
      <c r="P1346" s="217"/>
    </row>
    <row r="1347" spans="3:16" ht="42" customHeight="1">
      <c r="C1347" s="272">
        <v>1345</v>
      </c>
      <c r="D1347" s="275"/>
      <c r="E1347" s="276"/>
      <c r="F1347" s="221"/>
      <c r="G1347" s="275"/>
      <c r="H1347" s="276"/>
      <c r="I1347" s="217"/>
      <c r="J1347" s="217"/>
      <c r="K1347" s="221"/>
      <c r="L1347" s="217"/>
      <c r="M1347" s="217"/>
      <c r="N1347" s="217"/>
      <c r="O1347" s="217"/>
      <c r="P1347" s="217"/>
    </row>
    <row r="1348" spans="3:16" ht="42" customHeight="1">
      <c r="C1348" s="272">
        <v>1346</v>
      </c>
      <c r="D1348" s="275"/>
      <c r="E1348" s="276"/>
      <c r="F1348" s="221"/>
      <c r="G1348" s="275"/>
      <c r="H1348" s="276"/>
      <c r="I1348" s="217"/>
      <c r="J1348" s="217"/>
      <c r="K1348" s="221"/>
      <c r="L1348" s="217"/>
      <c r="M1348" s="217"/>
      <c r="N1348" s="217"/>
      <c r="O1348" s="217"/>
      <c r="P1348" s="217"/>
    </row>
    <row r="1349" spans="3:16" ht="42" customHeight="1">
      <c r="C1349" s="272">
        <v>1347</v>
      </c>
      <c r="D1349" s="275"/>
      <c r="E1349" s="276"/>
      <c r="F1349" s="221"/>
      <c r="G1349" s="275"/>
      <c r="H1349" s="276"/>
      <c r="I1349" s="217"/>
      <c r="J1349" s="217"/>
      <c r="K1349" s="221"/>
      <c r="L1349" s="217"/>
      <c r="M1349" s="217"/>
      <c r="N1349" s="217"/>
      <c r="O1349" s="217"/>
      <c r="P1349" s="217"/>
    </row>
    <row r="1350" spans="3:16" ht="42" customHeight="1">
      <c r="C1350" s="272">
        <v>1348</v>
      </c>
      <c r="D1350" s="275"/>
      <c r="E1350" s="276"/>
      <c r="F1350" s="221"/>
      <c r="G1350" s="275"/>
      <c r="H1350" s="276"/>
      <c r="I1350" s="217"/>
      <c r="J1350" s="217"/>
      <c r="K1350" s="221"/>
      <c r="L1350" s="217"/>
      <c r="M1350" s="217"/>
      <c r="N1350" s="217"/>
      <c r="O1350" s="217"/>
      <c r="P1350" s="217"/>
    </row>
    <row r="1351" spans="3:16" ht="42" customHeight="1">
      <c r="C1351" s="272">
        <v>1349</v>
      </c>
      <c r="D1351" s="275"/>
      <c r="E1351" s="276"/>
      <c r="F1351" s="221"/>
      <c r="G1351" s="275"/>
      <c r="H1351" s="276"/>
      <c r="I1351" s="217"/>
      <c r="J1351" s="217"/>
      <c r="K1351" s="221"/>
      <c r="L1351" s="217"/>
      <c r="M1351" s="217"/>
      <c r="N1351" s="217"/>
      <c r="O1351" s="217"/>
      <c r="P1351" s="217"/>
    </row>
    <row r="1352" spans="3:16" ht="42" customHeight="1">
      <c r="C1352" s="272">
        <v>1350</v>
      </c>
      <c r="D1352" s="275"/>
      <c r="E1352" s="276"/>
      <c r="F1352" s="221"/>
      <c r="G1352" s="275"/>
      <c r="H1352" s="276"/>
      <c r="I1352" s="217"/>
      <c r="J1352" s="217"/>
      <c r="K1352" s="221"/>
      <c r="L1352" s="217"/>
      <c r="M1352" s="217"/>
      <c r="N1352" s="217"/>
      <c r="O1352" s="217"/>
      <c r="P1352" s="217"/>
    </row>
    <row r="1353" spans="3:16" ht="42" customHeight="1">
      <c r="C1353" s="272">
        <v>1351</v>
      </c>
      <c r="D1353" s="275"/>
      <c r="E1353" s="276"/>
      <c r="F1353" s="221"/>
      <c r="G1353" s="275"/>
      <c r="H1353" s="276"/>
      <c r="I1353" s="217"/>
      <c r="J1353" s="217"/>
      <c r="K1353" s="221"/>
      <c r="L1353" s="217"/>
      <c r="M1353" s="217"/>
      <c r="N1353" s="217"/>
      <c r="O1353" s="217"/>
      <c r="P1353" s="217"/>
    </row>
    <row r="1354" spans="3:16" ht="42" customHeight="1">
      <c r="C1354" s="272">
        <v>1352</v>
      </c>
      <c r="D1354" s="275"/>
      <c r="E1354" s="276"/>
      <c r="F1354" s="221"/>
      <c r="G1354" s="275"/>
      <c r="H1354" s="276"/>
      <c r="I1354" s="217"/>
      <c r="J1354" s="217"/>
      <c r="K1354" s="221"/>
      <c r="L1354" s="217"/>
      <c r="M1354" s="217"/>
      <c r="N1354" s="217"/>
      <c r="O1354" s="217"/>
      <c r="P1354" s="217"/>
    </row>
    <row r="1355" spans="3:16" ht="42" customHeight="1">
      <c r="C1355" s="272">
        <v>1353</v>
      </c>
      <c r="D1355" s="275"/>
      <c r="E1355" s="276"/>
      <c r="F1355" s="221"/>
      <c r="G1355" s="275"/>
      <c r="H1355" s="276"/>
      <c r="I1355" s="217"/>
      <c r="J1355" s="217"/>
      <c r="K1355" s="221"/>
      <c r="L1355" s="217"/>
      <c r="M1355" s="217"/>
      <c r="N1355" s="217"/>
      <c r="O1355" s="217"/>
      <c r="P1355" s="217"/>
    </row>
    <row r="1356" spans="3:16" ht="42" customHeight="1">
      <c r="C1356" s="272">
        <v>1354</v>
      </c>
      <c r="D1356" s="275"/>
      <c r="E1356" s="276"/>
      <c r="F1356" s="221"/>
      <c r="G1356" s="275"/>
      <c r="H1356" s="276"/>
      <c r="I1356" s="217"/>
      <c r="J1356" s="217"/>
      <c r="K1356" s="221"/>
      <c r="L1356" s="217"/>
      <c r="M1356" s="217"/>
      <c r="N1356" s="217"/>
      <c r="O1356" s="217"/>
      <c r="P1356" s="217"/>
    </row>
    <row r="1357" spans="3:16" ht="42" customHeight="1">
      <c r="C1357" s="272">
        <v>1355</v>
      </c>
      <c r="D1357" s="275"/>
      <c r="E1357" s="276"/>
      <c r="F1357" s="221"/>
      <c r="G1357" s="275"/>
      <c r="H1357" s="276"/>
      <c r="I1357" s="217"/>
      <c r="J1357" s="217"/>
      <c r="K1357" s="221"/>
      <c r="L1357" s="217"/>
      <c r="M1357" s="217"/>
      <c r="N1357" s="217"/>
      <c r="O1357" s="217"/>
      <c r="P1357" s="217"/>
    </row>
    <row r="1358" spans="3:16" ht="42" customHeight="1">
      <c r="C1358" s="272">
        <v>1356</v>
      </c>
      <c r="D1358" s="275"/>
      <c r="E1358" s="276"/>
      <c r="F1358" s="221"/>
      <c r="G1358" s="275"/>
      <c r="H1358" s="276"/>
      <c r="I1358" s="217"/>
      <c r="J1358" s="217"/>
      <c r="K1358" s="221"/>
      <c r="L1358" s="217"/>
      <c r="M1358" s="217"/>
      <c r="N1358" s="217"/>
      <c r="O1358" s="217"/>
      <c r="P1358" s="217"/>
    </row>
    <row r="1359" spans="3:16" ht="42" customHeight="1">
      <c r="C1359" s="272">
        <v>1357</v>
      </c>
      <c r="D1359" s="275"/>
      <c r="E1359" s="276"/>
      <c r="F1359" s="221"/>
      <c r="G1359" s="275"/>
      <c r="H1359" s="276"/>
      <c r="I1359" s="217"/>
      <c r="J1359" s="217"/>
      <c r="K1359" s="221"/>
      <c r="L1359" s="217"/>
      <c r="M1359" s="217"/>
      <c r="N1359" s="217"/>
      <c r="O1359" s="217"/>
      <c r="P1359" s="217"/>
    </row>
    <row r="1360" spans="3:16" ht="42" customHeight="1">
      <c r="C1360" s="272">
        <v>1358</v>
      </c>
      <c r="D1360" s="275"/>
      <c r="E1360" s="276"/>
      <c r="F1360" s="221"/>
      <c r="G1360" s="275"/>
      <c r="H1360" s="276"/>
      <c r="I1360" s="217"/>
      <c r="J1360" s="217"/>
      <c r="K1360" s="221"/>
      <c r="L1360" s="217"/>
      <c r="M1360" s="217"/>
      <c r="N1360" s="217"/>
      <c r="O1360" s="217"/>
      <c r="P1360" s="217"/>
    </row>
    <row r="1361" spans="3:16" ht="42" customHeight="1">
      <c r="C1361" s="272">
        <v>1359</v>
      </c>
      <c r="D1361" s="275"/>
      <c r="E1361" s="276"/>
      <c r="F1361" s="221"/>
      <c r="G1361" s="275"/>
      <c r="H1361" s="276"/>
      <c r="I1361" s="217"/>
      <c r="J1361" s="217"/>
      <c r="K1361" s="221"/>
      <c r="L1361" s="217"/>
      <c r="M1361" s="217"/>
      <c r="N1361" s="217"/>
      <c r="O1361" s="217"/>
      <c r="P1361" s="217"/>
    </row>
    <row r="1362" spans="3:16" ht="42" customHeight="1">
      <c r="C1362" s="272">
        <v>1360</v>
      </c>
      <c r="D1362" s="275"/>
      <c r="E1362" s="276"/>
      <c r="F1362" s="221"/>
      <c r="G1362" s="275"/>
      <c r="H1362" s="276"/>
      <c r="I1362" s="217"/>
      <c r="J1362" s="217"/>
      <c r="K1362" s="221"/>
      <c r="L1362" s="217"/>
      <c r="M1362" s="217"/>
      <c r="N1362" s="217"/>
      <c r="O1362" s="217"/>
      <c r="P1362" s="217"/>
    </row>
    <row r="1363" spans="3:16" ht="42" customHeight="1">
      <c r="C1363" s="272">
        <v>1361</v>
      </c>
      <c r="D1363" s="275"/>
      <c r="E1363" s="276"/>
      <c r="F1363" s="221"/>
      <c r="G1363" s="275"/>
      <c r="H1363" s="276"/>
      <c r="I1363" s="217"/>
      <c r="J1363" s="217"/>
      <c r="K1363" s="221"/>
      <c r="L1363" s="217"/>
      <c r="M1363" s="217"/>
      <c r="N1363" s="217"/>
      <c r="O1363" s="217"/>
      <c r="P1363" s="217"/>
    </row>
    <row r="1364" spans="3:16" ht="42" customHeight="1">
      <c r="C1364" s="272">
        <v>1362</v>
      </c>
      <c r="D1364" s="275"/>
      <c r="E1364" s="276"/>
      <c r="F1364" s="221"/>
      <c r="G1364" s="275"/>
      <c r="H1364" s="276"/>
      <c r="I1364" s="217"/>
      <c r="J1364" s="217"/>
      <c r="K1364" s="221"/>
      <c r="L1364" s="217"/>
      <c r="M1364" s="217"/>
      <c r="N1364" s="217"/>
      <c r="O1364" s="217"/>
      <c r="P1364" s="217"/>
    </row>
    <row r="1365" spans="3:16" ht="42" customHeight="1">
      <c r="C1365" s="272">
        <v>1363</v>
      </c>
      <c r="D1365" s="275"/>
      <c r="E1365" s="276"/>
      <c r="F1365" s="221"/>
      <c r="G1365" s="275"/>
      <c r="H1365" s="276"/>
      <c r="I1365" s="217"/>
      <c r="J1365" s="217"/>
      <c r="K1365" s="221"/>
      <c r="L1365" s="217"/>
      <c r="M1365" s="217"/>
      <c r="N1365" s="217"/>
      <c r="O1365" s="217"/>
      <c r="P1365" s="217"/>
    </row>
    <row r="1366" spans="3:16" ht="42" customHeight="1">
      <c r="C1366" s="272">
        <v>1364</v>
      </c>
      <c r="D1366" s="275"/>
      <c r="E1366" s="276"/>
      <c r="F1366" s="221"/>
      <c r="G1366" s="275"/>
      <c r="H1366" s="276"/>
      <c r="I1366" s="217"/>
      <c r="J1366" s="217"/>
      <c r="K1366" s="221"/>
      <c r="L1366" s="217"/>
      <c r="M1366" s="217"/>
      <c r="N1366" s="217"/>
      <c r="O1366" s="217"/>
      <c r="P1366" s="217"/>
    </row>
    <row r="1367" spans="3:16" ht="42" customHeight="1">
      <c r="C1367" s="272">
        <v>1365</v>
      </c>
      <c r="D1367" s="275"/>
      <c r="E1367" s="276"/>
      <c r="F1367" s="221"/>
      <c r="G1367" s="275"/>
      <c r="H1367" s="276"/>
      <c r="I1367" s="217"/>
      <c r="J1367" s="217"/>
      <c r="K1367" s="221"/>
      <c r="L1367" s="217"/>
      <c r="M1367" s="217"/>
      <c r="N1367" s="217"/>
      <c r="O1367" s="217"/>
      <c r="P1367" s="217"/>
    </row>
    <row r="1368" spans="3:16" ht="42" customHeight="1">
      <c r="C1368" s="272">
        <v>1366</v>
      </c>
      <c r="D1368" s="275"/>
      <c r="E1368" s="276"/>
      <c r="F1368" s="221"/>
      <c r="G1368" s="275"/>
      <c r="H1368" s="276"/>
      <c r="I1368" s="217"/>
      <c r="J1368" s="217"/>
      <c r="K1368" s="221"/>
      <c r="L1368" s="217"/>
      <c r="M1368" s="217"/>
      <c r="N1368" s="217"/>
      <c r="O1368" s="217"/>
      <c r="P1368" s="217"/>
    </row>
    <row r="1369" spans="3:16" ht="42" customHeight="1">
      <c r="C1369" s="272">
        <v>1367</v>
      </c>
      <c r="D1369" s="275"/>
      <c r="E1369" s="276"/>
      <c r="F1369" s="221"/>
      <c r="G1369" s="275"/>
      <c r="H1369" s="276"/>
      <c r="I1369" s="217"/>
      <c r="J1369" s="217"/>
      <c r="K1369" s="221"/>
      <c r="L1369" s="217"/>
      <c r="M1369" s="217"/>
      <c r="N1369" s="217"/>
      <c r="O1369" s="217"/>
      <c r="P1369" s="217"/>
    </row>
    <row r="1370" spans="3:16" ht="42" customHeight="1">
      <c r="C1370" s="272">
        <v>1368</v>
      </c>
      <c r="D1370" s="275"/>
      <c r="E1370" s="276"/>
      <c r="F1370" s="221"/>
      <c r="G1370" s="275"/>
      <c r="H1370" s="276"/>
      <c r="I1370" s="217"/>
      <c r="J1370" s="217"/>
      <c r="K1370" s="221"/>
      <c r="L1370" s="217"/>
      <c r="M1370" s="217"/>
      <c r="N1370" s="217"/>
      <c r="O1370" s="217"/>
      <c r="P1370" s="217"/>
    </row>
    <row r="1371" spans="3:16" ht="42" customHeight="1">
      <c r="C1371" s="272">
        <v>1369</v>
      </c>
      <c r="D1371" s="275"/>
      <c r="E1371" s="276"/>
      <c r="F1371" s="221"/>
      <c r="G1371" s="275"/>
      <c r="H1371" s="276"/>
      <c r="I1371" s="217"/>
      <c r="J1371" s="217"/>
      <c r="K1371" s="221"/>
      <c r="L1371" s="217"/>
      <c r="M1371" s="217"/>
      <c r="N1371" s="217"/>
      <c r="O1371" s="217"/>
      <c r="P1371" s="217"/>
    </row>
    <row r="1372" spans="3:16" ht="42" customHeight="1">
      <c r="C1372" s="272">
        <v>1370</v>
      </c>
      <c r="D1372" s="275"/>
      <c r="E1372" s="276"/>
      <c r="F1372" s="221"/>
      <c r="G1372" s="275"/>
      <c r="H1372" s="276"/>
      <c r="I1372" s="217"/>
      <c r="J1372" s="217"/>
      <c r="K1372" s="221"/>
      <c r="L1372" s="217"/>
      <c r="M1372" s="217"/>
      <c r="N1372" s="217"/>
      <c r="O1372" s="217"/>
      <c r="P1372" s="217"/>
    </row>
    <row r="1373" spans="3:16" ht="42" customHeight="1">
      <c r="C1373" s="272">
        <v>1371</v>
      </c>
      <c r="D1373" s="275"/>
      <c r="E1373" s="276"/>
      <c r="F1373" s="221"/>
      <c r="G1373" s="275"/>
      <c r="H1373" s="276"/>
      <c r="I1373" s="217"/>
      <c r="J1373" s="217"/>
      <c r="K1373" s="221"/>
      <c r="L1373" s="217"/>
      <c r="M1373" s="217"/>
      <c r="N1373" s="217"/>
      <c r="O1373" s="217"/>
      <c r="P1373" s="217"/>
    </row>
    <row r="1374" spans="3:16" ht="42" customHeight="1">
      <c r="C1374" s="272">
        <v>1372</v>
      </c>
      <c r="D1374" s="275"/>
      <c r="E1374" s="276"/>
      <c r="F1374" s="221"/>
      <c r="G1374" s="275"/>
      <c r="H1374" s="276"/>
      <c r="I1374" s="217"/>
      <c r="J1374" s="217"/>
      <c r="K1374" s="221"/>
      <c r="L1374" s="217"/>
      <c r="M1374" s="217"/>
      <c r="N1374" s="217"/>
      <c r="O1374" s="217"/>
      <c r="P1374" s="217"/>
    </row>
    <row r="1375" spans="3:16" ht="42" customHeight="1">
      <c r="C1375" s="272">
        <v>1373</v>
      </c>
      <c r="D1375" s="275"/>
      <c r="E1375" s="276"/>
      <c r="F1375" s="221"/>
      <c r="G1375" s="275"/>
      <c r="H1375" s="276"/>
      <c r="I1375" s="217"/>
      <c r="J1375" s="217"/>
      <c r="K1375" s="221"/>
      <c r="L1375" s="217"/>
      <c r="M1375" s="217"/>
      <c r="N1375" s="217"/>
      <c r="O1375" s="217"/>
      <c r="P1375" s="217"/>
    </row>
    <row r="1376" spans="3:16" ht="42" customHeight="1">
      <c r="C1376" s="272">
        <v>1374</v>
      </c>
      <c r="D1376" s="275"/>
      <c r="E1376" s="276"/>
      <c r="F1376" s="221"/>
      <c r="G1376" s="275"/>
      <c r="H1376" s="276"/>
      <c r="I1376" s="217"/>
      <c r="J1376" s="217"/>
      <c r="K1376" s="221"/>
      <c r="L1376" s="217"/>
      <c r="M1376" s="217"/>
      <c r="N1376" s="217"/>
      <c r="O1376" s="217"/>
      <c r="P1376" s="217"/>
    </row>
    <row r="1377" spans="3:16" ht="42" customHeight="1">
      <c r="C1377" s="272">
        <v>1375</v>
      </c>
      <c r="D1377" s="275"/>
      <c r="E1377" s="276"/>
      <c r="F1377" s="221"/>
      <c r="G1377" s="275"/>
      <c r="H1377" s="276"/>
      <c r="I1377" s="217"/>
      <c r="J1377" s="217"/>
      <c r="K1377" s="221"/>
      <c r="L1377" s="217"/>
      <c r="M1377" s="217"/>
      <c r="N1377" s="217"/>
      <c r="O1377" s="217"/>
      <c r="P1377" s="217"/>
    </row>
    <row r="1378" spans="3:16" ht="42" customHeight="1">
      <c r="C1378" s="272">
        <v>1376</v>
      </c>
      <c r="D1378" s="275"/>
      <c r="E1378" s="276"/>
      <c r="F1378" s="221"/>
      <c r="G1378" s="275"/>
      <c r="H1378" s="276"/>
      <c r="I1378" s="217"/>
      <c r="J1378" s="217"/>
      <c r="K1378" s="221"/>
      <c r="L1378" s="217"/>
      <c r="M1378" s="217"/>
      <c r="N1378" s="217"/>
      <c r="O1378" s="217"/>
      <c r="P1378" s="217"/>
    </row>
    <row r="1379" spans="3:16" ht="42" customHeight="1">
      <c r="C1379" s="272">
        <v>1377</v>
      </c>
      <c r="D1379" s="275"/>
      <c r="E1379" s="276"/>
      <c r="F1379" s="221"/>
      <c r="G1379" s="275"/>
      <c r="H1379" s="276"/>
      <c r="I1379" s="217"/>
      <c r="J1379" s="217"/>
      <c r="K1379" s="221"/>
      <c r="L1379" s="217"/>
      <c r="M1379" s="217"/>
      <c r="N1379" s="217"/>
      <c r="O1379" s="217"/>
      <c r="P1379" s="217"/>
    </row>
    <row r="1380" spans="3:16" ht="42" customHeight="1">
      <c r="C1380" s="272">
        <v>1378</v>
      </c>
      <c r="D1380" s="275"/>
      <c r="E1380" s="276"/>
      <c r="F1380" s="221"/>
      <c r="G1380" s="275"/>
      <c r="H1380" s="276"/>
      <c r="I1380" s="217"/>
      <c r="J1380" s="217"/>
      <c r="K1380" s="221"/>
      <c r="L1380" s="217"/>
      <c r="M1380" s="217"/>
      <c r="N1380" s="217"/>
      <c r="O1380" s="217"/>
      <c r="P1380" s="217"/>
    </row>
    <row r="1381" spans="3:16" ht="42" customHeight="1">
      <c r="C1381" s="272">
        <v>1379</v>
      </c>
      <c r="D1381" s="275"/>
      <c r="E1381" s="276"/>
      <c r="F1381" s="221"/>
      <c r="G1381" s="275"/>
      <c r="H1381" s="276"/>
      <c r="I1381" s="217"/>
      <c r="J1381" s="217"/>
      <c r="K1381" s="221"/>
      <c r="L1381" s="217"/>
      <c r="M1381" s="217"/>
      <c r="N1381" s="217"/>
      <c r="O1381" s="217"/>
      <c r="P1381" s="217"/>
    </row>
    <row r="1382" spans="3:16" ht="42" customHeight="1">
      <c r="C1382" s="272">
        <v>1380</v>
      </c>
      <c r="D1382" s="275"/>
      <c r="E1382" s="276"/>
      <c r="F1382" s="221"/>
      <c r="G1382" s="275"/>
      <c r="H1382" s="276"/>
      <c r="I1382" s="217"/>
      <c r="J1382" s="217"/>
      <c r="K1382" s="221"/>
      <c r="L1382" s="217"/>
      <c r="M1382" s="217"/>
      <c r="N1382" s="217"/>
      <c r="O1382" s="217"/>
      <c r="P1382" s="217"/>
    </row>
    <row r="1383" spans="3:16" ht="42" customHeight="1">
      <c r="C1383" s="272">
        <v>1381</v>
      </c>
      <c r="D1383" s="275"/>
      <c r="E1383" s="276"/>
      <c r="F1383" s="221"/>
      <c r="G1383" s="275"/>
      <c r="H1383" s="276"/>
      <c r="I1383" s="217"/>
      <c r="J1383" s="217"/>
      <c r="K1383" s="221"/>
      <c r="L1383" s="217"/>
      <c r="M1383" s="217"/>
      <c r="N1383" s="217"/>
      <c r="O1383" s="217"/>
      <c r="P1383" s="217"/>
    </row>
    <row r="1384" spans="3:16" ht="42" customHeight="1">
      <c r="C1384" s="272">
        <v>1382</v>
      </c>
      <c r="D1384" s="275"/>
      <c r="E1384" s="276"/>
      <c r="F1384" s="221"/>
      <c r="G1384" s="275"/>
      <c r="H1384" s="276"/>
      <c r="I1384" s="217"/>
      <c r="J1384" s="217"/>
      <c r="K1384" s="221"/>
      <c r="L1384" s="217"/>
      <c r="M1384" s="217"/>
      <c r="N1384" s="217"/>
      <c r="O1384" s="217"/>
      <c r="P1384" s="217"/>
    </row>
    <row r="1385" spans="3:16" ht="42" customHeight="1">
      <c r="C1385" s="272">
        <v>1383</v>
      </c>
      <c r="D1385" s="275"/>
      <c r="E1385" s="276"/>
      <c r="F1385" s="221"/>
      <c r="G1385" s="275"/>
      <c r="H1385" s="276"/>
      <c r="I1385" s="217"/>
      <c r="J1385" s="217"/>
      <c r="K1385" s="221"/>
      <c r="L1385" s="217"/>
      <c r="M1385" s="217"/>
      <c r="N1385" s="217"/>
      <c r="O1385" s="217"/>
      <c r="P1385" s="217"/>
    </row>
    <row r="1386" spans="3:16" ht="42" customHeight="1">
      <c r="C1386" s="272">
        <v>1384</v>
      </c>
      <c r="D1386" s="275"/>
      <c r="E1386" s="276"/>
      <c r="F1386" s="221"/>
      <c r="G1386" s="275"/>
      <c r="H1386" s="276"/>
      <c r="I1386" s="217"/>
      <c r="J1386" s="217"/>
      <c r="K1386" s="221"/>
      <c r="L1386" s="217"/>
      <c r="M1386" s="217"/>
      <c r="N1386" s="217"/>
      <c r="O1386" s="217"/>
      <c r="P1386" s="217"/>
    </row>
    <row r="1387" spans="3:16" ht="42" customHeight="1">
      <c r="C1387" s="272">
        <v>1385</v>
      </c>
      <c r="D1387" s="275"/>
      <c r="E1387" s="276"/>
      <c r="F1387" s="221"/>
      <c r="G1387" s="275"/>
      <c r="H1387" s="276"/>
      <c r="I1387" s="217"/>
      <c r="J1387" s="217"/>
      <c r="K1387" s="221"/>
      <c r="L1387" s="217"/>
      <c r="M1387" s="217"/>
      <c r="N1387" s="217"/>
      <c r="O1387" s="217"/>
      <c r="P1387" s="217"/>
    </row>
    <row r="1388" spans="3:16" ht="42" customHeight="1">
      <c r="C1388" s="272">
        <v>1386</v>
      </c>
      <c r="D1388" s="275"/>
      <c r="E1388" s="276"/>
      <c r="F1388" s="221"/>
      <c r="G1388" s="275"/>
      <c r="H1388" s="276"/>
      <c r="I1388" s="217"/>
      <c r="J1388" s="217"/>
      <c r="K1388" s="221"/>
      <c r="L1388" s="217"/>
      <c r="M1388" s="217"/>
      <c r="N1388" s="217"/>
      <c r="O1388" s="217"/>
      <c r="P1388" s="217"/>
    </row>
    <row r="1389" spans="3:16" ht="42" customHeight="1">
      <c r="C1389" s="272">
        <v>1387</v>
      </c>
      <c r="D1389" s="275"/>
      <c r="E1389" s="276"/>
      <c r="F1389" s="221"/>
      <c r="G1389" s="275"/>
      <c r="H1389" s="276"/>
      <c r="I1389" s="217"/>
      <c r="J1389" s="217"/>
      <c r="K1389" s="221"/>
      <c r="L1389" s="217"/>
      <c r="M1389" s="217"/>
      <c r="N1389" s="217"/>
      <c r="O1389" s="217"/>
      <c r="P1389" s="217"/>
    </row>
    <row r="1390" spans="3:16" ht="42" customHeight="1">
      <c r="C1390" s="272">
        <v>1388</v>
      </c>
      <c r="D1390" s="275"/>
      <c r="E1390" s="276"/>
      <c r="F1390" s="221"/>
      <c r="G1390" s="275"/>
      <c r="H1390" s="276"/>
      <c r="I1390" s="217"/>
      <c r="J1390" s="217"/>
      <c r="K1390" s="221"/>
      <c r="L1390" s="217"/>
      <c r="M1390" s="217"/>
      <c r="N1390" s="217"/>
      <c r="O1390" s="217"/>
      <c r="P1390" s="217"/>
    </row>
    <row r="1391" spans="3:16" ht="42" customHeight="1">
      <c r="C1391" s="272">
        <v>1389</v>
      </c>
      <c r="D1391" s="275"/>
      <c r="E1391" s="276"/>
      <c r="F1391" s="221"/>
      <c r="G1391" s="275"/>
      <c r="H1391" s="276"/>
      <c r="I1391" s="217"/>
      <c r="J1391" s="217"/>
      <c r="K1391" s="221"/>
      <c r="L1391" s="217"/>
      <c r="M1391" s="217"/>
      <c r="N1391" s="217"/>
      <c r="O1391" s="217"/>
      <c r="P1391" s="217"/>
    </row>
    <row r="1392" spans="3:16" ht="42" customHeight="1">
      <c r="C1392" s="272">
        <v>1390</v>
      </c>
      <c r="D1392" s="275"/>
      <c r="E1392" s="276"/>
      <c r="F1392" s="221"/>
      <c r="G1392" s="275"/>
      <c r="H1392" s="276"/>
      <c r="I1392" s="217"/>
      <c r="J1392" s="217"/>
      <c r="K1392" s="221"/>
      <c r="L1392" s="217"/>
      <c r="M1392" s="217"/>
      <c r="N1392" s="217"/>
      <c r="O1392" s="217"/>
      <c r="P1392" s="217"/>
    </row>
    <row r="1393" spans="3:16" ht="42" customHeight="1">
      <c r="C1393" s="272">
        <v>1391</v>
      </c>
      <c r="D1393" s="275"/>
      <c r="E1393" s="276"/>
      <c r="F1393" s="221"/>
      <c r="G1393" s="275"/>
      <c r="H1393" s="276"/>
      <c r="I1393" s="217"/>
      <c r="J1393" s="217"/>
      <c r="K1393" s="221"/>
      <c r="L1393" s="217"/>
      <c r="M1393" s="217"/>
      <c r="N1393" s="217"/>
      <c r="O1393" s="217"/>
      <c r="P1393" s="217"/>
    </row>
    <row r="1394" spans="3:16" ht="42" customHeight="1">
      <c r="C1394" s="272">
        <v>1392</v>
      </c>
      <c r="D1394" s="275"/>
      <c r="E1394" s="276"/>
      <c r="F1394" s="221"/>
      <c r="G1394" s="275"/>
      <c r="H1394" s="276"/>
      <c r="I1394" s="217"/>
      <c r="J1394" s="217"/>
      <c r="K1394" s="221"/>
      <c r="L1394" s="217"/>
      <c r="M1394" s="217"/>
      <c r="N1394" s="217"/>
      <c r="O1394" s="217"/>
      <c r="P1394" s="217"/>
    </row>
    <row r="1395" spans="3:16" ht="42" customHeight="1">
      <c r="C1395" s="272">
        <v>1393</v>
      </c>
      <c r="D1395" s="275"/>
      <c r="E1395" s="276"/>
      <c r="F1395" s="221"/>
      <c r="G1395" s="275"/>
      <c r="H1395" s="276"/>
      <c r="I1395" s="217"/>
      <c r="J1395" s="217"/>
      <c r="K1395" s="221"/>
      <c r="L1395" s="217"/>
      <c r="M1395" s="217"/>
      <c r="N1395" s="217"/>
      <c r="O1395" s="217"/>
      <c r="P1395" s="217"/>
    </row>
    <row r="1396" spans="3:16" ht="42" customHeight="1">
      <c r="C1396" s="272">
        <v>1394</v>
      </c>
      <c r="D1396" s="275"/>
      <c r="E1396" s="276"/>
      <c r="F1396" s="221"/>
      <c r="G1396" s="275"/>
      <c r="H1396" s="276"/>
      <c r="I1396" s="217"/>
      <c r="J1396" s="217"/>
      <c r="K1396" s="221"/>
      <c r="L1396" s="217"/>
      <c r="M1396" s="217"/>
      <c r="N1396" s="217"/>
      <c r="O1396" s="217"/>
      <c r="P1396" s="217"/>
    </row>
    <row r="1397" spans="3:16" ht="42" customHeight="1">
      <c r="C1397" s="272">
        <v>1395</v>
      </c>
      <c r="D1397" s="275"/>
      <c r="E1397" s="276"/>
      <c r="F1397" s="221"/>
      <c r="G1397" s="275"/>
      <c r="H1397" s="276"/>
      <c r="I1397" s="217"/>
      <c r="J1397" s="217"/>
      <c r="K1397" s="221"/>
      <c r="L1397" s="217"/>
      <c r="M1397" s="217"/>
      <c r="N1397" s="217"/>
      <c r="O1397" s="217"/>
      <c r="P1397" s="217"/>
    </row>
    <row r="1398" spans="3:16" ht="42" customHeight="1">
      <c r="C1398" s="272">
        <v>1396</v>
      </c>
      <c r="D1398" s="275"/>
      <c r="E1398" s="276"/>
      <c r="F1398" s="221"/>
      <c r="G1398" s="275"/>
      <c r="H1398" s="276"/>
      <c r="I1398" s="217"/>
      <c r="J1398" s="217"/>
      <c r="K1398" s="221"/>
      <c r="L1398" s="217"/>
      <c r="M1398" s="217"/>
      <c r="N1398" s="217"/>
      <c r="O1398" s="217"/>
      <c r="P1398" s="217"/>
    </row>
    <row r="1399" spans="3:16" ht="42" customHeight="1">
      <c r="C1399" s="272">
        <v>1397</v>
      </c>
      <c r="D1399" s="275"/>
      <c r="E1399" s="276"/>
      <c r="F1399" s="221"/>
      <c r="G1399" s="275"/>
      <c r="H1399" s="276"/>
      <c r="I1399" s="217"/>
      <c r="J1399" s="217"/>
      <c r="K1399" s="221"/>
      <c r="L1399" s="217"/>
      <c r="M1399" s="217"/>
      <c r="N1399" s="217"/>
      <c r="O1399" s="217"/>
      <c r="P1399" s="217"/>
    </row>
    <row r="1400" spans="3:16" ht="42" customHeight="1">
      <c r="C1400" s="272">
        <v>1398</v>
      </c>
      <c r="D1400" s="275"/>
      <c r="E1400" s="276"/>
      <c r="F1400" s="221"/>
      <c r="G1400" s="275"/>
      <c r="H1400" s="276"/>
      <c r="I1400" s="217"/>
      <c r="J1400" s="217"/>
      <c r="K1400" s="221"/>
      <c r="L1400" s="217"/>
      <c r="M1400" s="217"/>
      <c r="N1400" s="217"/>
      <c r="O1400" s="217"/>
      <c r="P1400" s="217"/>
    </row>
    <row r="1401" spans="3:16" ht="42" customHeight="1">
      <c r="C1401" s="272">
        <v>1399</v>
      </c>
      <c r="D1401" s="275"/>
      <c r="E1401" s="276"/>
      <c r="F1401" s="221"/>
      <c r="G1401" s="275"/>
      <c r="H1401" s="276"/>
      <c r="I1401" s="217"/>
      <c r="J1401" s="217"/>
      <c r="K1401" s="221"/>
      <c r="L1401" s="217"/>
      <c r="M1401" s="217"/>
      <c r="N1401" s="217"/>
      <c r="O1401" s="217"/>
      <c r="P1401" s="217"/>
    </row>
    <row r="1402" spans="3:16" ht="42" customHeight="1">
      <c r="C1402" s="272">
        <v>1400</v>
      </c>
      <c r="D1402" s="275"/>
      <c r="E1402" s="276"/>
      <c r="F1402" s="221"/>
      <c r="G1402" s="275"/>
      <c r="H1402" s="276"/>
      <c r="I1402" s="217"/>
      <c r="J1402" s="217"/>
      <c r="K1402" s="221"/>
      <c r="L1402" s="217"/>
      <c r="M1402" s="217"/>
      <c r="N1402" s="217"/>
      <c r="O1402" s="217"/>
      <c r="P1402" s="217"/>
    </row>
    <row r="1403" spans="3:16" ht="42" customHeight="1">
      <c r="C1403" s="272">
        <v>1401</v>
      </c>
      <c r="D1403" s="275"/>
      <c r="E1403" s="276"/>
      <c r="F1403" s="221"/>
      <c r="G1403" s="275"/>
      <c r="H1403" s="276"/>
      <c r="I1403" s="217"/>
      <c r="J1403" s="217"/>
      <c r="K1403" s="221"/>
      <c r="L1403" s="217"/>
      <c r="M1403" s="217"/>
      <c r="N1403" s="217"/>
      <c r="O1403" s="217"/>
      <c r="P1403" s="217"/>
    </row>
    <row r="1404" spans="3:16" ht="42" customHeight="1">
      <c r="C1404" s="272">
        <v>1402</v>
      </c>
      <c r="D1404" s="275"/>
      <c r="E1404" s="276"/>
      <c r="F1404" s="221"/>
      <c r="G1404" s="275"/>
      <c r="H1404" s="276"/>
      <c r="I1404" s="217"/>
      <c r="J1404" s="217"/>
      <c r="K1404" s="221"/>
      <c r="L1404" s="217"/>
      <c r="M1404" s="217"/>
      <c r="N1404" s="217"/>
      <c r="O1404" s="217"/>
      <c r="P1404" s="217"/>
    </row>
    <row r="1405" spans="3:16" ht="42" customHeight="1">
      <c r="C1405" s="272">
        <v>1403</v>
      </c>
      <c r="D1405" s="275"/>
      <c r="E1405" s="276"/>
      <c r="F1405" s="221"/>
      <c r="G1405" s="275"/>
      <c r="H1405" s="276"/>
      <c r="I1405" s="217"/>
      <c r="J1405" s="217"/>
      <c r="K1405" s="221"/>
      <c r="L1405" s="217"/>
      <c r="M1405" s="217"/>
      <c r="N1405" s="217"/>
      <c r="O1405" s="217"/>
      <c r="P1405" s="217"/>
    </row>
    <row r="1406" spans="3:16" ht="42" customHeight="1">
      <c r="C1406" s="272">
        <v>1404</v>
      </c>
      <c r="D1406" s="275"/>
      <c r="E1406" s="276"/>
      <c r="F1406" s="221"/>
      <c r="G1406" s="275"/>
      <c r="H1406" s="276"/>
      <c r="I1406" s="217"/>
      <c r="J1406" s="217"/>
      <c r="K1406" s="221"/>
      <c r="L1406" s="217"/>
      <c r="M1406" s="217"/>
      <c r="N1406" s="217"/>
      <c r="O1406" s="217"/>
      <c r="P1406" s="217"/>
    </row>
    <row r="1407" spans="3:16" ht="42" customHeight="1">
      <c r="C1407" s="272">
        <v>1405</v>
      </c>
      <c r="D1407" s="275"/>
      <c r="E1407" s="276"/>
      <c r="F1407" s="221"/>
      <c r="G1407" s="275"/>
      <c r="H1407" s="276"/>
      <c r="I1407" s="217"/>
      <c r="J1407" s="217"/>
      <c r="K1407" s="221"/>
      <c r="L1407" s="217"/>
      <c r="M1407" s="217"/>
      <c r="N1407" s="217"/>
      <c r="O1407" s="217"/>
      <c r="P1407" s="217"/>
    </row>
    <row r="1408" spans="3:16" ht="42" customHeight="1">
      <c r="C1408" s="272">
        <v>1406</v>
      </c>
      <c r="D1408" s="275"/>
      <c r="E1408" s="276"/>
      <c r="F1408" s="221"/>
      <c r="G1408" s="275"/>
      <c r="H1408" s="276"/>
      <c r="I1408" s="217"/>
      <c r="J1408" s="217"/>
      <c r="K1408" s="221"/>
      <c r="L1408" s="217"/>
      <c r="M1408" s="217"/>
      <c r="N1408" s="217"/>
      <c r="O1408" s="217"/>
      <c r="P1408" s="217"/>
    </row>
    <row r="1409" spans="3:16" ht="42" customHeight="1">
      <c r="C1409" s="272">
        <v>1407</v>
      </c>
      <c r="D1409" s="275"/>
      <c r="E1409" s="276"/>
      <c r="F1409" s="221"/>
      <c r="G1409" s="275"/>
      <c r="H1409" s="276"/>
      <c r="I1409" s="217"/>
      <c r="J1409" s="217"/>
      <c r="K1409" s="221"/>
      <c r="L1409" s="217"/>
      <c r="M1409" s="217"/>
      <c r="N1409" s="217"/>
      <c r="O1409" s="217"/>
      <c r="P1409" s="217"/>
    </row>
    <row r="1410" spans="3:16" ht="42" customHeight="1">
      <c r="C1410" s="272">
        <v>1408</v>
      </c>
      <c r="D1410" s="275"/>
      <c r="E1410" s="276"/>
      <c r="F1410" s="221"/>
      <c r="G1410" s="275"/>
      <c r="H1410" s="276"/>
      <c r="I1410" s="217"/>
      <c r="J1410" s="217"/>
      <c r="K1410" s="221"/>
      <c r="L1410" s="217"/>
      <c r="M1410" s="217"/>
      <c r="N1410" s="217"/>
      <c r="O1410" s="217"/>
      <c r="P1410" s="217"/>
    </row>
    <row r="1411" spans="3:16" ht="42" customHeight="1">
      <c r="C1411" s="272">
        <v>1409</v>
      </c>
      <c r="D1411" s="275"/>
      <c r="E1411" s="276"/>
      <c r="F1411" s="221"/>
      <c r="G1411" s="275"/>
      <c r="H1411" s="276"/>
      <c r="I1411" s="217"/>
      <c r="J1411" s="217"/>
      <c r="K1411" s="221"/>
      <c r="L1411" s="217"/>
      <c r="M1411" s="217"/>
      <c r="N1411" s="217"/>
      <c r="O1411" s="217"/>
      <c r="P1411" s="217"/>
    </row>
    <row r="1412" spans="3:16" ht="42" customHeight="1">
      <c r="C1412" s="272">
        <v>1410</v>
      </c>
      <c r="D1412" s="275"/>
      <c r="E1412" s="276"/>
      <c r="F1412" s="221"/>
      <c r="G1412" s="275"/>
      <c r="H1412" s="276"/>
      <c r="I1412" s="217"/>
      <c r="J1412" s="217"/>
      <c r="K1412" s="221"/>
      <c r="L1412" s="217"/>
      <c r="M1412" s="217"/>
      <c r="N1412" s="217"/>
      <c r="O1412" s="217"/>
      <c r="P1412" s="217"/>
    </row>
    <row r="1413" spans="3:16" ht="42" customHeight="1">
      <c r="C1413" s="272">
        <v>1411</v>
      </c>
      <c r="D1413" s="275"/>
      <c r="E1413" s="276"/>
      <c r="F1413" s="221"/>
      <c r="G1413" s="275"/>
      <c r="H1413" s="276"/>
      <c r="I1413" s="217"/>
      <c r="J1413" s="217"/>
      <c r="K1413" s="221"/>
      <c r="L1413" s="217"/>
      <c r="M1413" s="217"/>
      <c r="N1413" s="217"/>
      <c r="O1413" s="217"/>
      <c r="P1413" s="217"/>
    </row>
    <row r="1414" spans="3:16" ht="42" customHeight="1">
      <c r="C1414" s="272">
        <v>1412</v>
      </c>
      <c r="D1414" s="275"/>
      <c r="E1414" s="276"/>
      <c r="F1414" s="221"/>
      <c r="G1414" s="275"/>
      <c r="H1414" s="276"/>
      <c r="I1414" s="217"/>
      <c r="J1414" s="217"/>
      <c r="K1414" s="221"/>
      <c r="L1414" s="217"/>
      <c r="M1414" s="217"/>
      <c r="N1414" s="217"/>
      <c r="O1414" s="217"/>
      <c r="P1414" s="217"/>
    </row>
    <row r="1415" spans="3:16" ht="42" customHeight="1">
      <c r="C1415" s="272">
        <v>1413</v>
      </c>
      <c r="D1415" s="275"/>
      <c r="E1415" s="276"/>
      <c r="F1415" s="221"/>
      <c r="G1415" s="275"/>
      <c r="H1415" s="276"/>
      <c r="I1415" s="217"/>
      <c r="J1415" s="217"/>
      <c r="K1415" s="221"/>
      <c r="L1415" s="217"/>
      <c r="M1415" s="217"/>
      <c r="N1415" s="217"/>
      <c r="O1415" s="217"/>
      <c r="P1415" s="217"/>
    </row>
    <row r="1416" spans="3:16" ht="42" customHeight="1">
      <c r="C1416" s="272">
        <v>1414</v>
      </c>
      <c r="D1416" s="275"/>
      <c r="E1416" s="276"/>
      <c r="F1416" s="221"/>
      <c r="G1416" s="275"/>
      <c r="H1416" s="276"/>
      <c r="I1416" s="217"/>
      <c r="J1416" s="217"/>
      <c r="K1416" s="221"/>
      <c r="L1416" s="217"/>
      <c r="M1416" s="217"/>
      <c r="N1416" s="217"/>
      <c r="O1416" s="217"/>
      <c r="P1416" s="217"/>
    </row>
    <row r="1417" spans="3:16" ht="42" customHeight="1">
      <c r="C1417" s="272">
        <v>1415</v>
      </c>
      <c r="D1417" s="275"/>
      <c r="E1417" s="276"/>
      <c r="F1417" s="221"/>
      <c r="G1417" s="275"/>
      <c r="H1417" s="276"/>
      <c r="I1417" s="217"/>
      <c r="J1417" s="217"/>
      <c r="K1417" s="221"/>
      <c r="L1417" s="217"/>
      <c r="M1417" s="217"/>
      <c r="N1417" s="217"/>
      <c r="O1417" s="217"/>
      <c r="P1417" s="217"/>
    </row>
    <row r="1418" spans="3:16" ht="42" customHeight="1">
      <c r="C1418" s="272">
        <v>1416</v>
      </c>
      <c r="D1418" s="275"/>
      <c r="E1418" s="276"/>
      <c r="F1418" s="221"/>
      <c r="G1418" s="275"/>
      <c r="H1418" s="276"/>
      <c r="I1418" s="217"/>
      <c r="J1418" s="217"/>
      <c r="K1418" s="221"/>
      <c r="L1418" s="217"/>
      <c r="M1418" s="217"/>
      <c r="N1418" s="217"/>
      <c r="O1418" s="217"/>
      <c r="P1418" s="217"/>
    </row>
    <row r="1419" spans="3:16" ht="42" customHeight="1">
      <c r="C1419" s="272">
        <v>1417</v>
      </c>
      <c r="D1419" s="275"/>
      <c r="E1419" s="276"/>
      <c r="F1419" s="221"/>
      <c r="G1419" s="275"/>
      <c r="H1419" s="276"/>
      <c r="I1419" s="217"/>
      <c r="J1419" s="217"/>
      <c r="K1419" s="221"/>
      <c r="L1419" s="217"/>
      <c r="M1419" s="217"/>
      <c r="N1419" s="217"/>
      <c r="O1419" s="217"/>
      <c r="P1419" s="217"/>
    </row>
    <row r="1420" spans="3:16" ht="42" customHeight="1">
      <c r="C1420" s="272">
        <v>1418</v>
      </c>
      <c r="D1420" s="275"/>
      <c r="E1420" s="276"/>
      <c r="F1420" s="221"/>
      <c r="G1420" s="275"/>
      <c r="H1420" s="276"/>
      <c r="I1420" s="217"/>
      <c r="J1420" s="217"/>
      <c r="K1420" s="221"/>
      <c r="L1420" s="217"/>
      <c r="M1420" s="217"/>
      <c r="N1420" s="217"/>
      <c r="O1420" s="217"/>
      <c r="P1420" s="217"/>
    </row>
    <row r="1421" spans="3:16" ht="42" customHeight="1">
      <c r="C1421" s="272">
        <v>1419</v>
      </c>
      <c r="D1421" s="275"/>
      <c r="E1421" s="276"/>
      <c r="F1421" s="221"/>
      <c r="G1421" s="275"/>
      <c r="H1421" s="276"/>
      <c r="I1421" s="217"/>
      <c r="J1421" s="217"/>
      <c r="K1421" s="221"/>
      <c r="L1421" s="217"/>
      <c r="M1421" s="217"/>
      <c r="N1421" s="217"/>
      <c r="O1421" s="217"/>
      <c r="P1421" s="217"/>
    </row>
    <row r="1422" spans="3:16" ht="42" customHeight="1">
      <c r="C1422" s="272">
        <v>1420</v>
      </c>
      <c r="D1422" s="275"/>
      <c r="E1422" s="276"/>
      <c r="F1422" s="221"/>
      <c r="G1422" s="275"/>
      <c r="H1422" s="276"/>
      <c r="I1422" s="217"/>
      <c r="J1422" s="217"/>
      <c r="K1422" s="221"/>
      <c r="L1422" s="217"/>
      <c r="M1422" s="217"/>
      <c r="N1422" s="217"/>
      <c r="O1422" s="217"/>
      <c r="P1422" s="217"/>
    </row>
    <row r="1423" spans="3:16" ht="42" customHeight="1">
      <c r="C1423" s="272">
        <v>1421</v>
      </c>
      <c r="D1423" s="275"/>
      <c r="E1423" s="276"/>
      <c r="F1423" s="221"/>
      <c r="G1423" s="275"/>
      <c r="H1423" s="276"/>
      <c r="I1423" s="217"/>
      <c r="J1423" s="217"/>
      <c r="K1423" s="221"/>
      <c r="L1423" s="217"/>
      <c r="M1423" s="217"/>
      <c r="N1423" s="217"/>
      <c r="O1423" s="217"/>
      <c r="P1423" s="217"/>
    </row>
    <row r="1424" spans="3:16" ht="42" customHeight="1">
      <c r="C1424" s="272">
        <v>1422</v>
      </c>
      <c r="D1424" s="275"/>
      <c r="E1424" s="276"/>
      <c r="F1424" s="221"/>
      <c r="G1424" s="275"/>
      <c r="H1424" s="276"/>
      <c r="I1424" s="217"/>
      <c r="J1424" s="217"/>
      <c r="K1424" s="221"/>
      <c r="L1424" s="217"/>
      <c r="M1424" s="217"/>
      <c r="N1424" s="217"/>
      <c r="O1424" s="217"/>
      <c r="P1424" s="217"/>
    </row>
    <row r="1425" spans="3:16" ht="42" customHeight="1">
      <c r="C1425" s="272">
        <v>1423</v>
      </c>
      <c r="D1425" s="275"/>
      <c r="E1425" s="276"/>
      <c r="F1425" s="221"/>
      <c r="G1425" s="275"/>
      <c r="H1425" s="276"/>
      <c r="I1425" s="217"/>
      <c r="J1425" s="217"/>
      <c r="K1425" s="221"/>
      <c r="L1425" s="217"/>
      <c r="M1425" s="217"/>
      <c r="N1425" s="217"/>
      <c r="O1425" s="217"/>
      <c r="P1425" s="217"/>
    </row>
    <row r="1426" spans="3:16" ht="42" customHeight="1">
      <c r="C1426" s="272">
        <v>1424</v>
      </c>
      <c r="D1426" s="275"/>
      <c r="E1426" s="276"/>
      <c r="F1426" s="221"/>
      <c r="G1426" s="275"/>
      <c r="H1426" s="276"/>
      <c r="I1426" s="217"/>
      <c r="J1426" s="217"/>
      <c r="K1426" s="221"/>
      <c r="L1426" s="217"/>
      <c r="M1426" s="217"/>
      <c r="N1426" s="217"/>
      <c r="O1426" s="217"/>
      <c r="P1426" s="217"/>
    </row>
    <row r="1427" spans="3:16" ht="42" customHeight="1">
      <c r="C1427" s="272">
        <v>1425</v>
      </c>
      <c r="D1427" s="275"/>
      <c r="E1427" s="276"/>
      <c r="F1427" s="221"/>
      <c r="G1427" s="275"/>
      <c r="H1427" s="276"/>
      <c r="I1427" s="217"/>
      <c r="J1427" s="217"/>
      <c r="K1427" s="221"/>
      <c r="L1427" s="217"/>
      <c r="M1427" s="217"/>
      <c r="N1427" s="217"/>
      <c r="O1427" s="217"/>
      <c r="P1427" s="217"/>
    </row>
    <row r="1428" spans="3:16" ht="42" customHeight="1">
      <c r="C1428" s="272">
        <v>1426</v>
      </c>
      <c r="D1428" s="275"/>
      <c r="E1428" s="276"/>
      <c r="F1428" s="221"/>
      <c r="G1428" s="275"/>
      <c r="H1428" s="276"/>
      <c r="I1428" s="217"/>
      <c r="J1428" s="217"/>
      <c r="K1428" s="221"/>
      <c r="L1428" s="217"/>
      <c r="M1428" s="217"/>
      <c r="N1428" s="217"/>
      <c r="O1428" s="217"/>
      <c r="P1428" s="217"/>
    </row>
    <row r="1429" spans="3:16" ht="42" customHeight="1">
      <c r="C1429" s="272">
        <v>1427</v>
      </c>
      <c r="D1429" s="275"/>
      <c r="E1429" s="276"/>
      <c r="F1429" s="221"/>
      <c r="G1429" s="275"/>
      <c r="H1429" s="276"/>
      <c r="I1429" s="217"/>
      <c r="J1429" s="217"/>
      <c r="K1429" s="221"/>
      <c r="L1429" s="217"/>
      <c r="M1429" s="217"/>
      <c r="N1429" s="217"/>
      <c r="O1429" s="217"/>
      <c r="P1429" s="217"/>
    </row>
    <row r="1430" spans="3:16" ht="42" customHeight="1">
      <c r="C1430" s="272">
        <v>1428</v>
      </c>
      <c r="D1430" s="275"/>
      <c r="E1430" s="276"/>
      <c r="F1430" s="221"/>
      <c r="G1430" s="275"/>
      <c r="H1430" s="276"/>
      <c r="I1430" s="217"/>
      <c r="J1430" s="217"/>
      <c r="K1430" s="221"/>
      <c r="L1430" s="217"/>
      <c r="M1430" s="217"/>
      <c r="N1430" s="217"/>
      <c r="O1430" s="217"/>
      <c r="P1430" s="217"/>
    </row>
    <row r="1431" spans="3:16" ht="42" customHeight="1">
      <c r="C1431" s="272">
        <v>1429</v>
      </c>
      <c r="D1431" s="275"/>
      <c r="E1431" s="276"/>
      <c r="F1431" s="221"/>
      <c r="G1431" s="275"/>
      <c r="H1431" s="276"/>
      <c r="I1431" s="217"/>
      <c r="J1431" s="217"/>
      <c r="K1431" s="221"/>
      <c r="L1431" s="217"/>
      <c r="M1431" s="217"/>
      <c r="N1431" s="217"/>
      <c r="O1431" s="217"/>
      <c r="P1431" s="217"/>
    </row>
    <row r="1432" spans="3:16" ht="42" customHeight="1">
      <c r="C1432" s="272">
        <v>1430</v>
      </c>
      <c r="D1432" s="275"/>
      <c r="E1432" s="276"/>
      <c r="F1432" s="221"/>
      <c r="G1432" s="275"/>
      <c r="H1432" s="276"/>
      <c r="I1432" s="217"/>
      <c r="J1432" s="217"/>
      <c r="K1432" s="221"/>
      <c r="L1432" s="217"/>
      <c r="M1432" s="217"/>
      <c r="N1432" s="217"/>
      <c r="O1432" s="217"/>
      <c r="P1432" s="217"/>
    </row>
    <row r="1433" spans="3:16" ht="42" customHeight="1">
      <c r="C1433" s="272">
        <v>1431</v>
      </c>
      <c r="D1433" s="275"/>
      <c r="E1433" s="276"/>
      <c r="F1433" s="221"/>
      <c r="G1433" s="275"/>
      <c r="H1433" s="276"/>
      <c r="I1433" s="217"/>
      <c r="J1433" s="217"/>
      <c r="K1433" s="221"/>
      <c r="L1433" s="217"/>
      <c r="M1433" s="217"/>
      <c r="N1433" s="217"/>
      <c r="O1433" s="217"/>
      <c r="P1433" s="217"/>
    </row>
    <row r="1434" spans="3:16" ht="42" customHeight="1">
      <c r="C1434" s="272">
        <v>1432</v>
      </c>
      <c r="D1434" s="275"/>
      <c r="E1434" s="276"/>
      <c r="F1434" s="221"/>
      <c r="G1434" s="275"/>
      <c r="H1434" s="276"/>
      <c r="I1434" s="217"/>
      <c r="J1434" s="217"/>
      <c r="K1434" s="221"/>
      <c r="L1434" s="217"/>
      <c r="M1434" s="217"/>
      <c r="N1434" s="217"/>
      <c r="O1434" s="217"/>
      <c r="P1434" s="217"/>
    </row>
    <row r="1435" spans="3:16" ht="42" customHeight="1">
      <c r="C1435" s="272">
        <v>1433</v>
      </c>
      <c r="D1435" s="275"/>
      <c r="E1435" s="276"/>
      <c r="F1435" s="221"/>
      <c r="G1435" s="275"/>
      <c r="H1435" s="276"/>
      <c r="I1435" s="217"/>
      <c r="J1435" s="217"/>
      <c r="K1435" s="221"/>
      <c r="L1435" s="217"/>
      <c r="M1435" s="217"/>
      <c r="N1435" s="217"/>
      <c r="O1435" s="217"/>
      <c r="P1435" s="217"/>
    </row>
    <row r="1436" spans="3:16" ht="42" customHeight="1">
      <c r="C1436" s="272">
        <v>1434</v>
      </c>
      <c r="D1436" s="275"/>
      <c r="E1436" s="276"/>
      <c r="F1436" s="221"/>
      <c r="G1436" s="275"/>
      <c r="H1436" s="276"/>
      <c r="I1436" s="217"/>
      <c r="J1436" s="217"/>
      <c r="K1436" s="221"/>
      <c r="L1436" s="217"/>
      <c r="M1436" s="217"/>
      <c r="N1436" s="217"/>
      <c r="O1436" s="217"/>
      <c r="P1436" s="217"/>
    </row>
    <row r="1437" spans="3:16" ht="42" customHeight="1">
      <c r="C1437" s="272">
        <v>1435</v>
      </c>
      <c r="D1437" s="275"/>
      <c r="E1437" s="276"/>
      <c r="F1437" s="221"/>
      <c r="G1437" s="275"/>
      <c r="H1437" s="276"/>
      <c r="I1437" s="217"/>
      <c r="J1437" s="217"/>
      <c r="K1437" s="221"/>
      <c r="L1437" s="217"/>
      <c r="M1437" s="217"/>
      <c r="N1437" s="217"/>
      <c r="O1437" s="217"/>
      <c r="P1437" s="217"/>
    </row>
    <row r="1438" spans="3:16" ht="42" customHeight="1">
      <c r="C1438" s="272">
        <v>1436</v>
      </c>
      <c r="D1438" s="275"/>
      <c r="E1438" s="276"/>
      <c r="F1438" s="221"/>
      <c r="G1438" s="275"/>
      <c r="H1438" s="276"/>
      <c r="I1438" s="217"/>
      <c r="J1438" s="217"/>
      <c r="K1438" s="221"/>
      <c r="L1438" s="217"/>
      <c r="M1438" s="217"/>
      <c r="N1438" s="217"/>
      <c r="O1438" s="217"/>
      <c r="P1438" s="217"/>
    </row>
    <row r="1439" spans="3:16" ht="42" customHeight="1">
      <c r="C1439" s="272">
        <v>1437</v>
      </c>
      <c r="D1439" s="275"/>
      <c r="E1439" s="276"/>
      <c r="F1439" s="221"/>
      <c r="G1439" s="275"/>
      <c r="H1439" s="276"/>
      <c r="I1439" s="217"/>
      <c r="J1439" s="217"/>
      <c r="K1439" s="221"/>
      <c r="L1439" s="217"/>
      <c r="M1439" s="217"/>
      <c r="N1439" s="217"/>
      <c r="O1439" s="217"/>
      <c r="P1439" s="217"/>
    </row>
    <row r="1440" spans="3:16" ht="42" customHeight="1">
      <c r="C1440" s="272">
        <v>1438</v>
      </c>
      <c r="D1440" s="275"/>
      <c r="E1440" s="276"/>
      <c r="F1440" s="221"/>
      <c r="G1440" s="275"/>
      <c r="H1440" s="276"/>
      <c r="I1440" s="217"/>
      <c r="J1440" s="217"/>
      <c r="K1440" s="221"/>
      <c r="L1440" s="217"/>
      <c r="M1440" s="217"/>
      <c r="N1440" s="217"/>
      <c r="O1440" s="217"/>
      <c r="P1440" s="217"/>
    </row>
    <row r="1441" spans="3:16" ht="42" customHeight="1">
      <c r="C1441" s="272">
        <v>1439</v>
      </c>
      <c r="D1441" s="275"/>
      <c r="E1441" s="276"/>
      <c r="F1441" s="221"/>
      <c r="G1441" s="275"/>
      <c r="H1441" s="276"/>
      <c r="I1441" s="217"/>
      <c r="J1441" s="217"/>
      <c r="K1441" s="221"/>
      <c r="L1441" s="217"/>
      <c r="M1441" s="217"/>
      <c r="N1441" s="217"/>
      <c r="O1441" s="217"/>
      <c r="P1441" s="217"/>
    </row>
    <row r="1442" spans="3:16" ht="42" customHeight="1">
      <c r="C1442" s="272">
        <v>1440</v>
      </c>
      <c r="D1442" s="275"/>
      <c r="E1442" s="276"/>
      <c r="F1442" s="221"/>
      <c r="G1442" s="275"/>
      <c r="H1442" s="276"/>
      <c r="I1442" s="217"/>
      <c r="J1442" s="217"/>
      <c r="K1442" s="221"/>
      <c r="L1442" s="217"/>
      <c r="M1442" s="217"/>
      <c r="N1442" s="217"/>
      <c r="O1442" s="217"/>
      <c r="P1442" s="217"/>
    </row>
    <row r="1443" spans="3:16" ht="42" customHeight="1">
      <c r="C1443" s="272">
        <v>1441</v>
      </c>
      <c r="D1443" s="275"/>
      <c r="E1443" s="276"/>
      <c r="F1443" s="221"/>
      <c r="G1443" s="275"/>
      <c r="H1443" s="276"/>
      <c r="I1443" s="217"/>
      <c r="J1443" s="217"/>
      <c r="K1443" s="221"/>
      <c r="L1443" s="217"/>
      <c r="M1443" s="217"/>
      <c r="N1443" s="217"/>
      <c r="O1443" s="217"/>
      <c r="P1443" s="217"/>
    </row>
    <row r="1444" spans="3:16" ht="42" customHeight="1">
      <c r="C1444" s="272">
        <v>1442</v>
      </c>
      <c r="D1444" s="275"/>
      <c r="E1444" s="276"/>
      <c r="F1444" s="221"/>
      <c r="G1444" s="275"/>
      <c r="H1444" s="276"/>
      <c r="I1444" s="217"/>
      <c r="J1444" s="217"/>
      <c r="K1444" s="221"/>
      <c r="L1444" s="217"/>
      <c r="M1444" s="217"/>
      <c r="N1444" s="217"/>
      <c r="O1444" s="217"/>
      <c r="P1444" s="217"/>
    </row>
    <row r="1445" spans="3:16" ht="42" customHeight="1">
      <c r="C1445" s="272">
        <v>1443</v>
      </c>
      <c r="D1445" s="275"/>
      <c r="E1445" s="276"/>
      <c r="F1445" s="221"/>
      <c r="G1445" s="275"/>
      <c r="H1445" s="276"/>
      <c r="I1445" s="217"/>
      <c r="J1445" s="217"/>
      <c r="K1445" s="221"/>
      <c r="L1445" s="217"/>
      <c r="M1445" s="217"/>
      <c r="N1445" s="217"/>
      <c r="O1445" s="217"/>
      <c r="P1445" s="217"/>
    </row>
    <row r="1446" spans="3:16" ht="42" customHeight="1">
      <c r="C1446" s="272">
        <v>1444</v>
      </c>
      <c r="D1446" s="275"/>
      <c r="E1446" s="276"/>
      <c r="F1446" s="221"/>
      <c r="G1446" s="275"/>
      <c r="H1446" s="276"/>
      <c r="I1446" s="217"/>
      <c r="J1446" s="217"/>
      <c r="K1446" s="221"/>
      <c r="L1446" s="217"/>
      <c r="M1446" s="217"/>
      <c r="N1446" s="217"/>
      <c r="O1446" s="217"/>
      <c r="P1446" s="217"/>
    </row>
    <row r="1447" spans="3:16" ht="42" customHeight="1">
      <c r="C1447" s="272">
        <v>1445</v>
      </c>
      <c r="D1447" s="275"/>
      <c r="E1447" s="276"/>
      <c r="F1447" s="221"/>
      <c r="G1447" s="275"/>
      <c r="H1447" s="276"/>
      <c r="I1447" s="217"/>
      <c r="J1447" s="217"/>
      <c r="K1447" s="221"/>
      <c r="L1447" s="217"/>
      <c r="M1447" s="217"/>
      <c r="N1447" s="217"/>
      <c r="O1447" s="217"/>
      <c r="P1447" s="217"/>
    </row>
    <row r="1448" spans="3:16" ht="42" customHeight="1">
      <c r="C1448" s="272">
        <v>1446</v>
      </c>
      <c r="D1448" s="275"/>
      <c r="E1448" s="276"/>
      <c r="F1448" s="221"/>
      <c r="G1448" s="275"/>
      <c r="H1448" s="276"/>
      <c r="I1448" s="217"/>
      <c r="J1448" s="217"/>
      <c r="K1448" s="221"/>
      <c r="L1448" s="217"/>
      <c r="M1448" s="217"/>
      <c r="N1448" s="217"/>
      <c r="O1448" s="217"/>
      <c r="P1448" s="217"/>
    </row>
    <row r="1449" spans="3:16" ht="42" customHeight="1">
      <c r="C1449" s="272">
        <v>1447</v>
      </c>
      <c r="D1449" s="275"/>
      <c r="E1449" s="276"/>
      <c r="F1449" s="221"/>
      <c r="G1449" s="275"/>
      <c r="H1449" s="276"/>
      <c r="I1449" s="217"/>
      <c r="J1449" s="217"/>
      <c r="K1449" s="221"/>
      <c r="L1449" s="217"/>
      <c r="M1449" s="217"/>
      <c r="N1449" s="217"/>
      <c r="O1449" s="217"/>
      <c r="P1449" s="217"/>
    </row>
    <row r="1450" spans="3:16" ht="42" customHeight="1">
      <c r="C1450" s="272">
        <v>1448</v>
      </c>
      <c r="D1450" s="275"/>
      <c r="E1450" s="276"/>
      <c r="F1450" s="221"/>
      <c r="G1450" s="275"/>
      <c r="H1450" s="276"/>
      <c r="I1450" s="217"/>
      <c r="J1450" s="217"/>
      <c r="K1450" s="221"/>
      <c r="L1450" s="217"/>
      <c r="M1450" s="217"/>
      <c r="N1450" s="217"/>
      <c r="O1450" s="217"/>
      <c r="P1450" s="217"/>
    </row>
    <row r="1451" spans="3:16" ht="42" customHeight="1">
      <c r="C1451" s="272">
        <v>1449</v>
      </c>
      <c r="D1451" s="275"/>
      <c r="E1451" s="276"/>
      <c r="F1451" s="221"/>
      <c r="G1451" s="275"/>
      <c r="H1451" s="276"/>
      <c r="I1451" s="217"/>
      <c r="J1451" s="217"/>
      <c r="K1451" s="221"/>
      <c r="L1451" s="217"/>
      <c r="M1451" s="217"/>
      <c r="N1451" s="217"/>
      <c r="O1451" s="217"/>
      <c r="P1451" s="217"/>
    </row>
    <row r="1452" spans="3:16" ht="42" customHeight="1">
      <c r="C1452" s="272">
        <v>1450</v>
      </c>
      <c r="D1452" s="275"/>
      <c r="E1452" s="276"/>
      <c r="F1452" s="221"/>
      <c r="G1452" s="275"/>
      <c r="H1452" s="276"/>
      <c r="I1452" s="217"/>
      <c r="J1452" s="217"/>
      <c r="K1452" s="221"/>
      <c r="L1452" s="217"/>
      <c r="M1452" s="217"/>
      <c r="N1452" s="217"/>
      <c r="O1452" s="217"/>
      <c r="P1452" s="217"/>
    </row>
    <row r="1453" spans="3:16" ht="42" customHeight="1">
      <c r="C1453" s="272">
        <v>1451</v>
      </c>
      <c r="D1453" s="275"/>
      <c r="E1453" s="276"/>
      <c r="F1453" s="221"/>
      <c r="G1453" s="275"/>
      <c r="H1453" s="276"/>
      <c r="I1453" s="217"/>
      <c r="J1453" s="217"/>
      <c r="K1453" s="221"/>
      <c r="L1453" s="217"/>
      <c r="M1453" s="217"/>
      <c r="N1453" s="217"/>
      <c r="O1453" s="217"/>
      <c r="P1453" s="217"/>
    </row>
    <row r="1454" spans="3:16" ht="42" customHeight="1">
      <c r="C1454" s="272">
        <v>1452</v>
      </c>
      <c r="D1454" s="275"/>
      <c r="E1454" s="276"/>
      <c r="F1454" s="221"/>
      <c r="G1454" s="275"/>
      <c r="H1454" s="276"/>
      <c r="I1454" s="217"/>
      <c r="J1454" s="217"/>
      <c r="K1454" s="221"/>
      <c r="L1454" s="217"/>
      <c r="M1454" s="217"/>
      <c r="N1454" s="217"/>
      <c r="O1454" s="217"/>
      <c r="P1454" s="217"/>
    </row>
    <row r="1455" spans="3:16" ht="42" customHeight="1">
      <c r="C1455" s="272">
        <v>1453</v>
      </c>
      <c r="D1455" s="275"/>
      <c r="E1455" s="276"/>
      <c r="F1455" s="221"/>
      <c r="G1455" s="275"/>
      <c r="H1455" s="276"/>
      <c r="I1455" s="217"/>
      <c r="J1455" s="217"/>
      <c r="K1455" s="221"/>
      <c r="L1455" s="217"/>
      <c r="M1455" s="217"/>
      <c r="N1455" s="217"/>
      <c r="O1455" s="217"/>
      <c r="P1455" s="217"/>
    </row>
    <row r="1456" spans="3:16" ht="42" customHeight="1">
      <c r="C1456" s="272">
        <v>1454</v>
      </c>
      <c r="D1456" s="275"/>
      <c r="E1456" s="276"/>
      <c r="F1456" s="221"/>
      <c r="G1456" s="275"/>
      <c r="H1456" s="276"/>
      <c r="I1456" s="217"/>
      <c r="J1456" s="217"/>
      <c r="K1456" s="221"/>
      <c r="L1456" s="217"/>
      <c r="M1456" s="217"/>
      <c r="N1456" s="217"/>
      <c r="O1456" s="217"/>
      <c r="P1456" s="217"/>
    </row>
    <row r="1457" spans="3:16" ht="42" customHeight="1">
      <c r="C1457" s="272">
        <v>1455</v>
      </c>
      <c r="D1457" s="275"/>
      <c r="E1457" s="276"/>
      <c r="F1457" s="221"/>
      <c r="G1457" s="275"/>
      <c r="H1457" s="276"/>
      <c r="I1457" s="217"/>
      <c r="J1457" s="217"/>
      <c r="K1457" s="221"/>
      <c r="L1457" s="217"/>
      <c r="M1457" s="217"/>
      <c r="N1457" s="217"/>
      <c r="O1457" s="217"/>
      <c r="P1457" s="217"/>
    </row>
    <row r="1458" spans="3:16" ht="42" customHeight="1">
      <c r="C1458" s="272">
        <v>1456</v>
      </c>
      <c r="D1458" s="275"/>
      <c r="E1458" s="276"/>
      <c r="F1458" s="221"/>
      <c r="G1458" s="275"/>
      <c r="H1458" s="276"/>
      <c r="I1458" s="217"/>
      <c r="J1458" s="217"/>
      <c r="K1458" s="221"/>
      <c r="L1458" s="217"/>
      <c r="M1458" s="217"/>
      <c r="N1458" s="217"/>
      <c r="O1458" s="217"/>
      <c r="P1458" s="217"/>
    </row>
    <row r="1459" spans="3:16" ht="42" customHeight="1">
      <c r="C1459" s="272">
        <v>1457</v>
      </c>
      <c r="D1459" s="275"/>
      <c r="E1459" s="276"/>
      <c r="F1459" s="221"/>
      <c r="G1459" s="275"/>
      <c r="H1459" s="276"/>
      <c r="I1459" s="217"/>
      <c r="J1459" s="217"/>
      <c r="K1459" s="221"/>
      <c r="L1459" s="217"/>
      <c r="M1459" s="217"/>
      <c r="N1459" s="217"/>
      <c r="O1459" s="217"/>
      <c r="P1459" s="217"/>
    </row>
    <row r="1460" spans="3:16" ht="42" customHeight="1">
      <c r="C1460" s="272">
        <v>1458</v>
      </c>
      <c r="D1460" s="275"/>
      <c r="E1460" s="276"/>
      <c r="F1460" s="221"/>
      <c r="G1460" s="275"/>
      <c r="H1460" s="276"/>
      <c r="I1460" s="217"/>
      <c r="J1460" s="217"/>
      <c r="K1460" s="221"/>
      <c r="L1460" s="217"/>
      <c r="M1460" s="217"/>
      <c r="N1460" s="217"/>
      <c r="O1460" s="217"/>
      <c r="P1460" s="217"/>
    </row>
    <row r="1461" spans="3:16" ht="42" customHeight="1">
      <c r="C1461" s="272">
        <v>1459</v>
      </c>
      <c r="D1461" s="275"/>
      <c r="E1461" s="276"/>
      <c r="F1461" s="221"/>
      <c r="G1461" s="275"/>
      <c r="H1461" s="276"/>
      <c r="I1461" s="217"/>
      <c r="J1461" s="217"/>
      <c r="K1461" s="221"/>
      <c r="L1461" s="217"/>
      <c r="M1461" s="217"/>
      <c r="N1461" s="217"/>
      <c r="O1461" s="217"/>
      <c r="P1461" s="217"/>
    </row>
    <row r="1462" spans="3:16" ht="42" customHeight="1">
      <c r="C1462" s="272">
        <v>1460</v>
      </c>
      <c r="D1462" s="275"/>
      <c r="E1462" s="276"/>
      <c r="F1462" s="221"/>
      <c r="G1462" s="275"/>
      <c r="H1462" s="276"/>
      <c r="I1462" s="217"/>
      <c r="J1462" s="217"/>
      <c r="K1462" s="221"/>
      <c r="L1462" s="217"/>
      <c r="M1462" s="217"/>
      <c r="N1462" s="217"/>
      <c r="O1462" s="217"/>
      <c r="P1462" s="217"/>
    </row>
    <row r="1463" spans="3:16" ht="42" customHeight="1">
      <c r="C1463" s="272">
        <v>1461</v>
      </c>
      <c r="D1463" s="275"/>
      <c r="E1463" s="276"/>
      <c r="F1463" s="221"/>
      <c r="G1463" s="275"/>
      <c r="H1463" s="276"/>
      <c r="I1463" s="217"/>
      <c r="J1463" s="217"/>
      <c r="K1463" s="221"/>
      <c r="L1463" s="217"/>
      <c r="M1463" s="217"/>
      <c r="N1463" s="217"/>
      <c r="O1463" s="217"/>
      <c r="P1463" s="217"/>
    </row>
    <row r="1464" spans="3:16" ht="42" customHeight="1">
      <c r="C1464" s="272">
        <v>1462</v>
      </c>
      <c r="D1464" s="275"/>
      <c r="E1464" s="276"/>
      <c r="F1464" s="221"/>
      <c r="G1464" s="275"/>
      <c r="H1464" s="276"/>
      <c r="I1464" s="217"/>
      <c r="J1464" s="217"/>
      <c r="K1464" s="221"/>
      <c r="L1464" s="217"/>
      <c r="M1464" s="217"/>
      <c r="N1464" s="217"/>
      <c r="O1464" s="217"/>
      <c r="P1464" s="217"/>
    </row>
    <row r="1465" spans="3:16" ht="42" customHeight="1">
      <c r="C1465" s="272">
        <v>1463</v>
      </c>
      <c r="D1465" s="275"/>
      <c r="E1465" s="276"/>
      <c r="F1465" s="221"/>
      <c r="G1465" s="275"/>
      <c r="H1465" s="276"/>
      <c r="I1465" s="217"/>
      <c r="J1465" s="217"/>
      <c r="K1465" s="221"/>
      <c r="L1465" s="217"/>
      <c r="M1465" s="217"/>
      <c r="N1465" s="217"/>
      <c r="O1465" s="217"/>
      <c r="P1465" s="217"/>
    </row>
    <row r="1466" spans="3:16" ht="42" customHeight="1">
      <c r="C1466" s="272">
        <v>1464</v>
      </c>
      <c r="D1466" s="275"/>
      <c r="E1466" s="276"/>
      <c r="F1466" s="221"/>
      <c r="G1466" s="275"/>
      <c r="H1466" s="276"/>
      <c r="I1466" s="217"/>
      <c r="J1466" s="217"/>
      <c r="K1466" s="221"/>
      <c r="L1466" s="217"/>
      <c r="M1466" s="217"/>
      <c r="N1466" s="217"/>
      <c r="O1466" s="217"/>
      <c r="P1466" s="217"/>
    </row>
    <row r="1467" spans="3:16" ht="42" customHeight="1">
      <c r="C1467" s="272">
        <v>1465</v>
      </c>
      <c r="D1467" s="275"/>
      <c r="E1467" s="276"/>
      <c r="F1467" s="221"/>
      <c r="G1467" s="275"/>
      <c r="H1467" s="276"/>
      <c r="I1467" s="217"/>
      <c r="J1467" s="217"/>
      <c r="K1467" s="221"/>
      <c r="L1467" s="217"/>
      <c r="M1467" s="217"/>
      <c r="N1467" s="217"/>
      <c r="O1467" s="217"/>
      <c r="P1467" s="217"/>
    </row>
    <row r="1468" spans="3:16" ht="42" customHeight="1">
      <c r="C1468" s="272">
        <v>1466</v>
      </c>
      <c r="D1468" s="275"/>
      <c r="E1468" s="276"/>
      <c r="F1468" s="221"/>
      <c r="G1468" s="275"/>
      <c r="H1468" s="276"/>
      <c r="I1468" s="217"/>
      <c r="J1468" s="217"/>
      <c r="K1468" s="221"/>
      <c r="L1468" s="217"/>
      <c r="M1468" s="217"/>
      <c r="N1468" s="217"/>
      <c r="O1468" s="217"/>
      <c r="P1468" s="217"/>
    </row>
    <row r="1469" spans="3:16" ht="42" customHeight="1">
      <c r="C1469" s="272">
        <v>1467</v>
      </c>
      <c r="D1469" s="275"/>
      <c r="E1469" s="276"/>
      <c r="F1469" s="221"/>
      <c r="G1469" s="275"/>
      <c r="H1469" s="276"/>
      <c r="I1469" s="217"/>
      <c r="J1469" s="217"/>
      <c r="K1469" s="221"/>
      <c r="L1469" s="217"/>
      <c r="M1469" s="217"/>
      <c r="N1469" s="217"/>
      <c r="O1469" s="217"/>
      <c r="P1469" s="217"/>
    </row>
    <row r="1470" spans="3:16" ht="42" customHeight="1">
      <c r="C1470" s="272">
        <v>1468</v>
      </c>
      <c r="D1470" s="275"/>
      <c r="E1470" s="276"/>
      <c r="F1470" s="221"/>
      <c r="G1470" s="275"/>
      <c r="H1470" s="276"/>
      <c r="I1470" s="217"/>
      <c r="J1470" s="217"/>
      <c r="K1470" s="221"/>
      <c r="L1470" s="217"/>
      <c r="M1470" s="217"/>
      <c r="N1470" s="217"/>
      <c r="O1470" s="217"/>
      <c r="P1470" s="217"/>
    </row>
    <row r="1471" spans="3:16" ht="42" customHeight="1">
      <c r="C1471" s="272">
        <v>1469</v>
      </c>
      <c r="D1471" s="275"/>
      <c r="E1471" s="276"/>
      <c r="F1471" s="221"/>
      <c r="G1471" s="275"/>
      <c r="H1471" s="276"/>
      <c r="I1471" s="217"/>
      <c r="J1471" s="217"/>
      <c r="K1471" s="221"/>
      <c r="L1471" s="217"/>
      <c r="M1471" s="217"/>
      <c r="N1471" s="217"/>
      <c r="O1471" s="217"/>
      <c r="P1471" s="217"/>
    </row>
    <row r="1472" spans="3:16" ht="42" customHeight="1">
      <c r="C1472" s="272">
        <v>1470</v>
      </c>
      <c r="D1472" s="275"/>
      <c r="E1472" s="276"/>
      <c r="F1472" s="221"/>
      <c r="G1472" s="275"/>
      <c r="H1472" s="276"/>
      <c r="I1472" s="217"/>
      <c r="J1472" s="217"/>
      <c r="K1472" s="221"/>
      <c r="L1472" s="217"/>
      <c r="M1472" s="217"/>
      <c r="N1472" s="217"/>
      <c r="O1472" s="217"/>
      <c r="P1472" s="217"/>
    </row>
    <row r="1473" spans="3:16" ht="42" customHeight="1">
      <c r="C1473" s="272">
        <v>1471</v>
      </c>
      <c r="D1473" s="275"/>
      <c r="E1473" s="276"/>
      <c r="F1473" s="221"/>
      <c r="G1473" s="275"/>
      <c r="H1473" s="276"/>
      <c r="I1473" s="217"/>
      <c r="J1473" s="217"/>
      <c r="K1473" s="221"/>
      <c r="L1473" s="217"/>
      <c r="M1473" s="217"/>
      <c r="N1473" s="217"/>
      <c r="O1473" s="217"/>
      <c r="P1473" s="217"/>
    </row>
    <row r="1474" spans="3:16" ht="42" customHeight="1">
      <c r="C1474" s="272">
        <v>1472</v>
      </c>
      <c r="D1474" s="275"/>
      <c r="E1474" s="276"/>
      <c r="F1474" s="221"/>
      <c r="G1474" s="275"/>
      <c r="H1474" s="276"/>
      <c r="I1474" s="217"/>
      <c r="J1474" s="217"/>
      <c r="K1474" s="221"/>
      <c r="L1474" s="217"/>
      <c r="M1474" s="217"/>
      <c r="N1474" s="217"/>
      <c r="O1474" s="217"/>
      <c r="P1474" s="217"/>
    </row>
    <row r="1475" spans="3:16" ht="42" customHeight="1">
      <c r="C1475" s="272">
        <v>1473</v>
      </c>
      <c r="D1475" s="275"/>
      <c r="E1475" s="276"/>
      <c r="F1475" s="221"/>
      <c r="G1475" s="275"/>
      <c r="H1475" s="276"/>
      <c r="I1475" s="217"/>
      <c r="J1475" s="217"/>
      <c r="K1475" s="221"/>
      <c r="L1475" s="217"/>
      <c r="M1475" s="217"/>
      <c r="N1475" s="217"/>
      <c r="O1475" s="217"/>
      <c r="P1475" s="217"/>
    </row>
    <row r="1476" spans="3:16" ht="42" customHeight="1">
      <c r="C1476" s="272">
        <v>1474</v>
      </c>
      <c r="D1476" s="275"/>
      <c r="E1476" s="276"/>
      <c r="F1476" s="221"/>
      <c r="G1476" s="275"/>
      <c r="H1476" s="276"/>
      <c r="I1476" s="217"/>
      <c r="J1476" s="217"/>
      <c r="K1476" s="221"/>
      <c r="L1476" s="217"/>
      <c r="M1476" s="217"/>
      <c r="N1476" s="217"/>
      <c r="O1476" s="217"/>
      <c r="P1476" s="217"/>
    </row>
    <row r="1477" spans="3:16" ht="42" customHeight="1">
      <c r="C1477" s="272">
        <v>1475</v>
      </c>
      <c r="D1477" s="275"/>
      <c r="E1477" s="276"/>
      <c r="F1477" s="221"/>
      <c r="G1477" s="275"/>
      <c r="H1477" s="276"/>
      <c r="I1477" s="217"/>
      <c r="J1477" s="217"/>
      <c r="K1477" s="221"/>
      <c r="L1477" s="217"/>
      <c r="M1477" s="217"/>
      <c r="N1477" s="217"/>
      <c r="O1477" s="217"/>
      <c r="P1477" s="217"/>
    </row>
    <row r="1478" spans="3:16" ht="42" customHeight="1">
      <c r="C1478" s="272">
        <v>1476</v>
      </c>
      <c r="D1478" s="275"/>
      <c r="E1478" s="276"/>
      <c r="F1478" s="221"/>
      <c r="G1478" s="275"/>
      <c r="H1478" s="276"/>
      <c r="I1478" s="217"/>
      <c r="J1478" s="217"/>
      <c r="K1478" s="221"/>
      <c r="L1478" s="217"/>
      <c r="M1478" s="217"/>
      <c r="N1478" s="217"/>
      <c r="O1478" s="217"/>
      <c r="P1478" s="217"/>
    </row>
    <row r="1479" spans="3:16" ht="42" customHeight="1">
      <c r="C1479" s="272">
        <v>1477</v>
      </c>
      <c r="D1479" s="275"/>
      <c r="E1479" s="276"/>
      <c r="F1479" s="221"/>
      <c r="G1479" s="275"/>
      <c r="H1479" s="276"/>
      <c r="I1479" s="217"/>
      <c r="J1479" s="217"/>
      <c r="K1479" s="221"/>
      <c r="L1479" s="217"/>
      <c r="M1479" s="217"/>
      <c r="N1479" s="217"/>
      <c r="O1479" s="217"/>
      <c r="P1479" s="217"/>
    </row>
    <row r="1480" spans="3:16" ht="42" customHeight="1">
      <c r="C1480" s="272">
        <v>1478</v>
      </c>
      <c r="D1480" s="275"/>
      <c r="E1480" s="276"/>
      <c r="F1480" s="221"/>
      <c r="G1480" s="275"/>
      <c r="H1480" s="276"/>
      <c r="I1480" s="217"/>
      <c r="J1480" s="217"/>
      <c r="K1480" s="221"/>
      <c r="L1480" s="217"/>
      <c r="M1480" s="217"/>
      <c r="N1480" s="217"/>
      <c r="O1480" s="217"/>
      <c r="P1480" s="217"/>
    </row>
    <row r="1481" spans="3:16" ht="42" customHeight="1">
      <c r="C1481" s="272">
        <v>1479</v>
      </c>
      <c r="D1481" s="275"/>
      <c r="E1481" s="276"/>
      <c r="F1481" s="221"/>
      <c r="G1481" s="275"/>
      <c r="H1481" s="276"/>
      <c r="I1481" s="217"/>
      <c r="J1481" s="217"/>
      <c r="K1481" s="221"/>
      <c r="L1481" s="217"/>
      <c r="M1481" s="217"/>
      <c r="N1481" s="217"/>
      <c r="O1481" s="217"/>
      <c r="P1481" s="217"/>
    </row>
    <row r="1482" spans="3:16" ht="42" customHeight="1">
      <c r="C1482" s="272">
        <v>1480</v>
      </c>
      <c r="D1482" s="275"/>
      <c r="E1482" s="276"/>
      <c r="F1482" s="221"/>
      <c r="G1482" s="275"/>
      <c r="H1482" s="276"/>
      <c r="I1482" s="217"/>
      <c r="J1482" s="217"/>
      <c r="K1482" s="221"/>
      <c r="L1482" s="217"/>
      <c r="M1482" s="217"/>
      <c r="N1482" s="217"/>
      <c r="O1482" s="217"/>
      <c r="P1482" s="217"/>
    </row>
    <row r="1483" spans="3:16" ht="42" customHeight="1">
      <c r="C1483" s="272">
        <v>1481</v>
      </c>
      <c r="D1483" s="275"/>
      <c r="E1483" s="276"/>
      <c r="F1483" s="221"/>
      <c r="G1483" s="275"/>
      <c r="H1483" s="276"/>
      <c r="I1483" s="217"/>
      <c r="J1483" s="217"/>
      <c r="K1483" s="221"/>
      <c r="L1483" s="217"/>
      <c r="M1483" s="217"/>
      <c r="N1483" s="217"/>
      <c r="O1483" s="217"/>
      <c r="P1483" s="217"/>
    </row>
    <row r="1484" spans="3:16" ht="42" customHeight="1">
      <c r="C1484" s="272">
        <v>1482</v>
      </c>
      <c r="D1484" s="275"/>
      <c r="E1484" s="276"/>
      <c r="F1484" s="221"/>
      <c r="G1484" s="275"/>
      <c r="H1484" s="276"/>
      <c r="I1484" s="217"/>
      <c r="J1484" s="217"/>
      <c r="K1484" s="221"/>
      <c r="L1484" s="217"/>
      <c r="M1484" s="217"/>
      <c r="N1484" s="217"/>
      <c r="O1484" s="217"/>
      <c r="P1484" s="217"/>
    </row>
    <row r="1485" spans="3:16" ht="42" customHeight="1">
      <c r="C1485" s="272">
        <v>1483</v>
      </c>
      <c r="D1485" s="275"/>
      <c r="E1485" s="276"/>
      <c r="F1485" s="221"/>
      <c r="G1485" s="275"/>
      <c r="H1485" s="276"/>
      <c r="I1485" s="217"/>
      <c r="J1485" s="217"/>
      <c r="K1485" s="221"/>
      <c r="L1485" s="217"/>
      <c r="M1485" s="217"/>
      <c r="N1485" s="217"/>
      <c r="O1485" s="217"/>
      <c r="P1485" s="217"/>
    </row>
    <row r="1486" spans="3:16" ht="42" customHeight="1">
      <c r="C1486" s="272">
        <v>1484</v>
      </c>
      <c r="D1486" s="275"/>
      <c r="E1486" s="276"/>
      <c r="F1486" s="221"/>
      <c r="G1486" s="275"/>
      <c r="H1486" s="276"/>
      <c r="I1486" s="217"/>
      <c r="J1486" s="217"/>
      <c r="K1486" s="221"/>
      <c r="L1486" s="217"/>
      <c r="M1486" s="217"/>
      <c r="N1486" s="217"/>
      <c r="O1486" s="217"/>
      <c r="P1486" s="217"/>
    </row>
    <row r="1487" spans="3:16" ht="42" customHeight="1">
      <c r="C1487" s="272">
        <v>1485</v>
      </c>
      <c r="D1487" s="275"/>
      <c r="E1487" s="276"/>
      <c r="F1487" s="221"/>
      <c r="G1487" s="275"/>
      <c r="H1487" s="276"/>
      <c r="I1487" s="217"/>
      <c r="J1487" s="217"/>
      <c r="K1487" s="221"/>
      <c r="L1487" s="217"/>
      <c r="M1487" s="217"/>
      <c r="N1487" s="217"/>
      <c r="O1487" s="217"/>
      <c r="P1487" s="217"/>
    </row>
    <row r="1488" spans="3:16" ht="42" customHeight="1">
      <c r="C1488" s="272">
        <v>1486</v>
      </c>
      <c r="D1488" s="275"/>
      <c r="E1488" s="276"/>
      <c r="F1488" s="221"/>
      <c r="G1488" s="275"/>
      <c r="H1488" s="276"/>
      <c r="I1488" s="217"/>
      <c r="J1488" s="217"/>
      <c r="K1488" s="221"/>
      <c r="L1488" s="217"/>
      <c r="M1488" s="217"/>
      <c r="N1488" s="217"/>
      <c r="O1488" s="217"/>
      <c r="P1488" s="217"/>
    </row>
    <row r="1489" spans="3:16" ht="42" customHeight="1">
      <c r="C1489" s="272">
        <v>1487</v>
      </c>
      <c r="D1489" s="275"/>
      <c r="E1489" s="276"/>
      <c r="F1489" s="221"/>
      <c r="G1489" s="275"/>
      <c r="H1489" s="276"/>
      <c r="I1489" s="217"/>
      <c r="J1489" s="217"/>
      <c r="K1489" s="221"/>
      <c r="L1489" s="217"/>
      <c r="M1489" s="217"/>
      <c r="N1489" s="217"/>
      <c r="O1489" s="217"/>
      <c r="P1489" s="217"/>
    </row>
    <row r="1490" spans="3:16" ht="42" customHeight="1">
      <c r="C1490" s="272">
        <v>1488</v>
      </c>
      <c r="D1490" s="275"/>
      <c r="E1490" s="276"/>
      <c r="F1490" s="221"/>
      <c r="G1490" s="275"/>
      <c r="H1490" s="276"/>
      <c r="I1490" s="217"/>
      <c r="J1490" s="217"/>
      <c r="K1490" s="221"/>
      <c r="L1490" s="217"/>
      <c r="M1490" s="217"/>
      <c r="N1490" s="217"/>
      <c r="O1490" s="217"/>
      <c r="P1490" s="217"/>
    </row>
    <row r="1491" spans="3:16" ht="42" customHeight="1">
      <c r="C1491" s="272">
        <v>1489</v>
      </c>
      <c r="D1491" s="275"/>
      <c r="E1491" s="276"/>
      <c r="F1491" s="221"/>
      <c r="G1491" s="275"/>
      <c r="H1491" s="276"/>
      <c r="I1491" s="217"/>
      <c r="J1491" s="217"/>
      <c r="K1491" s="221"/>
      <c r="L1491" s="217"/>
      <c r="M1491" s="217"/>
      <c r="N1491" s="217"/>
      <c r="O1491" s="217"/>
      <c r="P1491" s="217"/>
    </row>
    <row r="1492" spans="3:16" ht="42" customHeight="1">
      <c r="C1492" s="272">
        <v>1490</v>
      </c>
      <c r="D1492" s="275"/>
      <c r="E1492" s="276"/>
      <c r="F1492" s="221"/>
      <c r="G1492" s="275"/>
      <c r="H1492" s="276"/>
      <c r="I1492" s="217"/>
      <c r="J1492" s="217"/>
      <c r="K1492" s="221"/>
      <c r="L1492" s="217"/>
      <c r="M1492" s="217"/>
      <c r="N1492" s="217"/>
      <c r="O1492" s="217"/>
      <c r="P1492" s="217"/>
    </row>
    <row r="1493" spans="3:16" ht="42" customHeight="1">
      <c r="C1493" s="272">
        <v>1491</v>
      </c>
      <c r="D1493" s="275"/>
      <c r="E1493" s="276"/>
      <c r="F1493" s="221"/>
      <c r="G1493" s="275"/>
      <c r="H1493" s="276"/>
      <c r="I1493" s="217"/>
      <c r="J1493" s="217"/>
      <c r="K1493" s="221"/>
      <c r="L1493" s="217"/>
      <c r="M1493" s="217"/>
      <c r="N1493" s="217"/>
      <c r="O1493" s="217"/>
      <c r="P1493" s="217"/>
    </row>
    <row r="1494" spans="3:16" ht="42" customHeight="1">
      <c r="C1494" s="272">
        <v>1492</v>
      </c>
      <c r="D1494" s="275"/>
      <c r="E1494" s="276"/>
      <c r="F1494" s="221"/>
      <c r="G1494" s="275"/>
      <c r="H1494" s="276"/>
      <c r="I1494" s="217"/>
      <c r="J1494" s="217"/>
      <c r="K1494" s="221"/>
      <c r="L1494" s="217"/>
      <c r="M1494" s="217"/>
      <c r="N1494" s="217"/>
      <c r="O1494" s="217"/>
      <c r="P1494" s="217"/>
    </row>
    <row r="1495" spans="3:16" ht="42" customHeight="1">
      <c r="C1495" s="272">
        <v>1493</v>
      </c>
      <c r="D1495" s="275"/>
      <c r="E1495" s="276"/>
      <c r="F1495" s="221"/>
      <c r="G1495" s="275"/>
      <c r="H1495" s="276"/>
      <c r="I1495" s="217"/>
      <c r="J1495" s="217"/>
      <c r="K1495" s="221"/>
      <c r="L1495" s="217"/>
      <c r="M1495" s="217"/>
      <c r="N1495" s="217"/>
      <c r="O1495" s="217"/>
      <c r="P1495" s="217"/>
    </row>
    <row r="1496" spans="3:16" ht="42" customHeight="1">
      <c r="C1496" s="272">
        <v>1494</v>
      </c>
      <c r="D1496" s="275"/>
      <c r="E1496" s="276"/>
      <c r="F1496" s="221"/>
      <c r="G1496" s="275"/>
      <c r="H1496" s="276"/>
      <c r="I1496" s="217"/>
      <c r="J1496" s="217"/>
      <c r="K1496" s="221"/>
      <c r="L1496" s="217"/>
      <c r="M1496" s="217"/>
      <c r="N1496" s="217"/>
      <c r="O1496" s="217"/>
      <c r="P1496" s="217"/>
    </row>
    <row r="1497" spans="3:16" ht="42" customHeight="1">
      <c r="C1497" s="272">
        <v>1495</v>
      </c>
      <c r="D1497" s="275"/>
      <c r="E1497" s="276"/>
      <c r="F1497" s="221"/>
      <c r="G1497" s="275"/>
      <c r="H1497" s="276"/>
      <c r="I1497" s="217"/>
      <c r="J1497" s="217"/>
      <c r="K1497" s="221"/>
      <c r="L1497" s="217"/>
      <c r="M1497" s="217"/>
      <c r="N1497" s="217"/>
      <c r="O1497" s="217"/>
      <c r="P1497" s="217"/>
    </row>
    <row r="1498" spans="3:16" ht="42" customHeight="1">
      <c r="C1498" s="272">
        <v>1496</v>
      </c>
      <c r="D1498" s="275"/>
      <c r="E1498" s="276"/>
      <c r="F1498" s="221"/>
      <c r="G1498" s="275"/>
      <c r="H1498" s="276"/>
      <c r="I1498" s="217"/>
      <c r="J1498" s="217"/>
      <c r="K1498" s="221"/>
      <c r="L1498" s="217"/>
      <c r="M1498" s="217"/>
      <c r="N1498" s="217"/>
      <c r="O1498" s="217"/>
      <c r="P1498" s="217"/>
    </row>
    <row r="1499" spans="3:16" ht="42" customHeight="1">
      <c r="C1499" s="272">
        <v>1497</v>
      </c>
      <c r="D1499" s="275"/>
      <c r="E1499" s="276"/>
      <c r="F1499" s="221"/>
      <c r="G1499" s="275"/>
      <c r="H1499" s="276"/>
      <c r="I1499" s="217"/>
      <c r="J1499" s="217"/>
      <c r="K1499" s="221"/>
      <c r="L1499" s="217"/>
      <c r="M1499" s="217"/>
      <c r="N1499" s="217"/>
      <c r="O1499" s="217"/>
      <c r="P1499" s="217"/>
    </row>
    <row r="1500" spans="3:16" ht="42" customHeight="1">
      <c r="C1500" s="272">
        <v>1498</v>
      </c>
      <c r="D1500" s="275"/>
      <c r="E1500" s="276"/>
      <c r="F1500" s="221"/>
      <c r="G1500" s="275"/>
      <c r="H1500" s="276"/>
      <c r="I1500" s="217"/>
      <c r="J1500" s="217"/>
      <c r="K1500" s="221"/>
      <c r="L1500" s="217"/>
      <c r="M1500" s="217"/>
      <c r="N1500" s="217"/>
      <c r="O1500" s="217"/>
      <c r="P1500" s="217"/>
    </row>
    <row r="1501" spans="3:16" ht="42" customHeight="1">
      <c r="C1501" s="272">
        <v>1499</v>
      </c>
      <c r="D1501" s="275"/>
      <c r="E1501" s="276"/>
      <c r="F1501" s="221"/>
      <c r="G1501" s="275"/>
      <c r="H1501" s="276"/>
      <c r="I1501" s="217"/>
      <c r="J1501" s="217"/>
      <c r="K1501" s="221"/>
      <c r="L1501" s="217"/>
      <c r="M1501" s="217"/>
      <c r="N1501" s="217"/>
      <c r="O1501" s="217"/>
      <c r="P1501" s="217"/>
    </row>
    <row r="1502" spans="3:16" ht="42" customHeight="1">
      <c r="C1502" s="272">
        <v>1500</v>
      </c>
      <c r="D1502" s="275"/>
      <c r="E1502" s="276"/>
      <c r="F1502" s="221"/>
      <c r="G1502" s="275"/>
      <c r="H1502" s="276"/>
      <c r="I1502" s="217"/>
      <c r="J1502" s="217"/>
      <c r="K1502" s="221"/>
      <c r="L1502" s="217"/>
      <c r="M1502" s="217"/>
      <c r="N1502" s="217"/>
      <c r="O1502" s="217"/>
      <c r="P1502" s="217"/>
    </row>
    <row r="1503" spans="3:16" ht="42" customHeight="1">
      <c r="C1503" s="272">
        <v>1501</v>
      </c>
      <c r="D1503" s="275"/>
      <c r="E1503" s="276"/>
      <c r="F1503" s="221"/>
      <c r="G1503" s="275"/>
      <c r="H1503" s="276"/>
      <c r="I1503" s="217"/>
      <c r="J1503" s="217"/>
      <c r="K1503" s="221"/>
      <c r="L1503" s="217"/>
      <c r="M1503" s="217"/>
      <c r="N1503" s="217"/>
      <c r="O1503" s="217"/>
      <c r="P1503" s="217"/>
    </row>
    <row r="1504" spans="3:16" ht="42" customHeight="1">
      <c r="C1504" s="272">
        <v>1502</v>
      </c>
      <c r="D1504" s="275"/>
      <c r="E1504" s="276"/>
      <c r="F1504" s="221"/>
      <c r="G1504" s="275"/>
      <c r="H1504" s="276"/>
      <c r="I1504" s="217"/>
      <c r="J1504" s="217"/>
      <c r="K1504" s="221"/>
      <c r="L1504" s="217"/>
      <c r="M1504" s="217"/>
      <c r="N1504" s="217"/>
      <c r="O1504" s="217"/>
      <c r="P1504" s="217"/>
    </row>
    <row r="1505" spans="3:16" ht="42" customHeight="1">
      <c r="C1505" s="272">
        <v>1503</v>
      </c>
      <c r="D1505" s="275"/>
      <c r="E1505" s="276"/>
      <c r="F1505" s="221"/>
      <c r="G1505" s="275"/>
      <c r="H1505" s="276"/>
      <c r="I1505" s="217"/>
      <c r="J1505" s="217"/>
      <c r="K1505" s="221"/>
      <c r="L1505" s="217"/>
      <c r="M1505" s="217"/>
      <c r="N1505" s="217"/>
      <c r="O1505" s="217"/>
      <c r="P1505" s="217"/>
    </row>
    <row r="1506" spans="3:16" ht="42" customHeight="1">
      <c r="C1506" s="272">
        <v>1504</v>
      </c>
      <c r="D1506" s="275"/>
      <c r="E1506" s="276"/>
      <c r="F1506" s="221"/>
      <c r="G1506" s="275"/>
      <c r="H1506" s="276"/>
      <c r="I1506" s="217"/>
      <c r="J1506" s="217"/>
      <c r="K1506" s="221"/>
      <c r="L1506" s="217"/>
      <c r="M1506" s="217"/>
      <c r="N1506" s="217"/>
      <c r="O1506" s="217"/>
      <c r="P1506" s="217"/>
    </row>
    <row r="1507" spans="3:16" ht="42" customHeight="1">
      <c r="C1507" s="272">
        <v>1505</v>
      </c>
      <c r="D1507" s="275"/>
      <c r="E1507" s="276"/>
      <c r="F1507" s="221"/>
      <c r="G1507" s="275"/>
      <c r="H1507" s="276"/>
      <c r="I1507" s="217"/>
      <c r="J1507" s="217"/>
      <c r="K1507" s="221"/>
      <c r="L1507" s="217"/>
      <c r="M1507" s="217"/>
      <c r="N1507" s="217"/>
      <c r="O1507" s="217"/>
      <c r="P1507" s="217"/>
    </row>
    <row r="1508" spans="3:16" ht="42" customHeight="1">
      <c r="C1508" s="272">
        <v>1506</v>
      </c>
      <c r="D1508" s="275"/>
      <c r="E1508" s="276"/>
      <c r="F1508" s="221"/>
      <c r="G1508" s="275"/>
      <c r="H1508" s="276"/>
      <c r="I1508" s="217"/>
      <c r="J1508" s="217"/>
      <c r="K1508" s="221"/>
      <c r="L1508" s="217"/>
      <c r="M1508" s="217"/>
      <c r="N1508" s="217"/>
      <c r="O1508" s="217"/>
      <c r="P1508" s="217"/>
    </row>
    <row r="1509" spans="3:16" ht="42" customHeight="1">
      <c r="C1509" s="272">
        <v>1507</v>
      </c>
      <c r="D1509" s="275"/>
      <c r="E1509" s="276"/>
      <c r="F1509" s="221"/>
      <c r="G1509" s="275"/>
      <c r="H1509" s="276"/>
      <c r="I1509" s="217"/>
      <c r="J1509" s="217"/>
      <c r="K1509" s="221"/>
      <c r="L1509" s="217"/>
      <c r="M1509" s="217"/>
      <c r="N1509" s="217"/>
      <c r="O1509" s="217"/>
      <c r="P1509" s="217"/>
    </row>
    <row r="1510" spans="3:16" ht="42" customHeight="1">
      <c r="C1510" s="272">
        <v>1508</v>
      </c>
      <c r="D1510" s="275"/>
      <c r="E1510" s="276"/>
      <c r="F1510" s="221"/>
      <c r="G1510" s="275"/>
      <c r="H1510" s="276"/>
      <c r="I1510" s="217"/>
      <c r="J1510" s="217"/>
      <c r="K1510" s="221"/>
      <c r="L1510" s="217"/>
      <c r="M1510" s="217"/>
      <c r="N1510" s="217"/>
      <c r="O1510" s="217"/>
      <c r="P1510" s="217"/>
    </row>
    <row r="1511" spans="3:16" ht="42" customHeight="1">
      <c r="C1511" s="272">
        <v>1509</v>
      </c>
      <c r="D1511" s="275"/>
      <c r="E1511" s="276"/>
      <c r="F1511" s="221"/>
      <c r="G1511" s="275"/>
      <c r="H1511" s="276"/>
      <c r="I1511" s="217"/>
      <c r="J1511" s="217"/>
      <c r="K1511" s="221"/>
      <c r="L1511" s="217"/>
      <c r="M1511" s="217"/>
      <c r="N1511" s="217"/>
      <c r="O1511" s="217"/>
      <c r="P1511" s="217"/>
    </row>
    <row r="1512" spans="3:16" ht="42" customHeight="1">
      <c r="C1512" s="272">
        <v>1510</v>
      </c>
      <c r="D1512" s="275"/>
      <c r="E1512" s="276"/>
      <c r="F1512" s="221"/>
      <c r="G1512" s="275"/>
      <c r="H1512" s="276"/>
      <c r="I1512" s="217"/>
      <c r="J1512" s="217"/>
      <c r="K1512" s="221"/>
      <c r="L1512" s="217"/>
      <c r="M1512" s="217"/>
      <c r="N1512" s="217"/>
      <c r="O1512" s="217"/>
      <c r="P1512" s="217"/>
    </row>
    <row r="1513" spans="3:16" ht="42" customHeight="1">
      <c r="C1513" s="272">
        <v>1511</v>
      </c>
      <c r="D1513" s="275"/>
      <c r="E1513" s="276"/>
      <c r="F1513" s="221"/>
      <c r="G1513" s="275"/>
      <c r="H1513" s="276"/>
      <c r="I1513" s="217"/>
      <c r="J1513" s="217"/>
      <c r="K1513" s="221"/>
      <c r="L1513" s="217"/>
      <c r="M1513" s="217"/>
      <c r="N1513" s="217"/>
      <c r="O1513" s="217"/>
      <c r="P1513" s="217"/>
    </row>
    <row r="1514" spans="3:16" ht="42" customHeight="1">
      <c r="C1514" s="272">
        <v>1512</v>
      </c>
      <c r="D1514" s="275"/>
      <c r="E1514" s="276"/>
      <c r="F1514" s="221"/>
      <c r="G1514" s="275"/>
      <c r="H1514" s="276"/>
      <c r="I1514" s="217"/>
      <c r="J1514" s="217"/>
      <c r="K1514" s="221"/>
      <c r="L1514" s="217"/>
      <c r="M1514" s="217"/>
      <c r="N1514" s="217"/>
      <c r="O1514" s="217"/>
      <c r="P1514" s="217"/>
    </row>
    <row r="1515" spans="3:16" ht="42" customHeight="1">
      <c r="C1515" s="272">
        <v>1513</v>
      </c>
      <c r="D1515" s="275"/>
      <c r="E1515" s="276"/>
      <c r="F1515" s="221"/>
      <c r="G1515" s="275"/>
      <c r="H1515" s="276"/>
      <c r="I1515" s="217"/>
      <c r="J1515" s="217"/>
      <c r="K1515" s="221"/>
      <c r="L1515" s="217"/>
      <c r="M1515" s="217"/>
      <c r="N1515" s="217"/>
      <c r="O1515" s="217"/>
      <c r="P1515" s="217"/>
    </row>
    <row r="1516" spans="3:16" ht="42" customHeight="1">
      <c r="C1516" s="272">
        <v>1514</v>
      </c>
      <c r="D1516" s="275"/>
      <c r="E1516" s="276"/>
      <c r="F1516" s="221"/>
      <c r="G1516" s="275"/>
      <c r="H1516" s="276"/>
      <c r="I1516" s="217"/>
      <c r="J1516" s="217"/>
      <c r="K1516" s="221"/>
      <c r="L1516" s="217"/>
      <c r="M1516" s="217"/>
      <c r="N1516" s="217"/>
      <c r="O1516" s="217"/>
      <c r="P1516" s="217"/>
    </row>
    <row r="1517" spans="3:16" ht="42" customHeight="1">
      <c r="C1517" s="272">
        <v>1515</v>
      </c>
      <c r="D1517" s="275"/>
      <c r="E1517" s="276"/>
      <c r="F1517" s="221"/>
      <c r="G1517" s="275"/>
      <c r="H1517" s="276"/>
      <c r="I1517" s="217"/>
      <c r="J1517" s="217"/>
      <c r="K1517" s="221"/>
      <c r="L1517" s="217"/>
      <c r="M1517" s="217"/>
      <c r="N1517" s="217"/>
      <c r="O1517" s="217"/>
      <c r="P1517" s="217"/>
    </row>
    <row r="1518" spans="3:16" ht="42" customHeight="1">
      <c r="C1518" s="272">
        <v>1516</v>
      </c>
      <c r="D1518" s="275"/>
      <c r="E1518" s="276"/>
      <c r="F1518" s="221"/>
      <c r="G1518" s="275"/>
      <c r="H1518" s="276"/>
      <c r="I1518" s="217"/>
      <c r="J1518" s="217"/>
      <c r="K1518" s="221"/>
      <c r="L1518" s="217"/>
      <c r="M1518" s="217"/>
      <c r="N1518" s="217"/>
      <c r="O1518" s="217"/>
      <c r="P1518" s="217"/>
    </row>
    <row r="1519" spans="3:16" ht="42" customHeight="1">
      <c r="C1519" s="272">
        <v>1517</v>
      </c>
      <c r="D1519" s="275"/>
      <c r="E1519" s="276"/>
      <c r="F1519" s="221"/>
      <c r="G1519" s="275"/>
      <c r="H1519" s="276"/>
      <c r="I1519" s="217"/>
      <c r="J1519" s="217"/>
      <c r="K1519" s="221"/>
      <c r="L1519" s="217"/>
      <c r="M1519" s="217"/>
      <c r="N1519" s="217"/>
      <c r="O1519" s="217"/>
      <c r="P1519" s="217"/>
    </row>
    <row r="1520" spans="3:16" ht="42" customHeight="1">
      <c r="C1520" s="272">
        <v>1518</v>
      </c>
      <c r="D1520" s="275"/>
      <c r="E1520" s="276"/>
      <c r="F1520" s="221"/>
      <c r="G1520" s="275"/>
      <c r="H1520" s="276"/>
      <c r="I1520" s="217"/>
      <c r="J1520" s="217"/>
      <c r="K1520" s="221"/>
      <c r="L1520" s="217"/>
      <c r="M1520" s="217"/>
      <c r="N1520" s="217"/>
      <c r="O1520" s="217"/>
      <c r="P1520" s="217"/>
    </row>
    <row r="1521" spans="3:16" ht="42" customHeight="1">
      <c r="C1521" s="272">
        <v>1519</v>
      </c>
      <c r="D1521" s="275"/>
      <c r="E1521" s="276"/>
      <c r="F1521" s="221"/>
      <c r="G1521" s="275"/>
      <c r="H1521" s="276"/>
      <c r="I1521" s="217"/>
      <c r="J1521" s="217"/>
      <c r="K1521" s="221"/>
      <c r="L1521" s="217"/>
      <c r="M1521" s="217"/>
      <c r="N1521" s="217"/>
      <c r="O1521" s="217"/>
      <c r="P1521" s="217"/>
    </row>
    <row r="1522" spans="3:16" ht="42" customHeight="1">
      <c r="C1522" s="272">
        <v>1520</v>
      </c>
      <c r="D1522" s="275"/>
      <c r="E1522" s="276"/>
      <c r="F1522" s="221"/>
      <c r="G1522" s="275"/>
      <c r="H1522" s="276"/>
      <c r="I1522" s="217"/>
      <c r="J1522" s="217"/>
      <c r="K1522" s="221"/>
      <c r="L1522" s="217"/>
      <c r="M1522" s="217"/>
      <c r="N1522" s="217"/>
      <c r="O1522" s="217"/>
      <c r="P1522" s="217"/>
    </row>
    <row r="1523" spans="3:16" ht="42" customHeight="1">
      <c r="C1523" s="272">
        <v>1521</v>
      </c>
      <c r="D1523" s="275"/>
      <c r="E1523" s="276"/>
      <c r="F1523" s="221"/>
      <c r="G1523" s="275"/>
      <c r="H1523" s="276"/>
      <c r="I1523" s="217"/>
      <c r="J1523" s="217"/>
      <c r="K1523" s="221"/>
      <c r="L1523" s="217"/>
      <c r="M1523" s="217"/>
      <c r="N1523" s="217"/>
      <c r="O1523" s="217"/>
      <c r="P1523" s="217"/>
    </row>
    <row r="1524" spans="3:16" ht="42" customHeight="1">
      <c r="C1524" s="272">
        <v>1522</v>
      </c>
      <c r="D1524" s="275"/>
      <c r="E1524" s="276"/>
      <c r="F1524" s="221"/>
      <c r="G1524" s="275"/>
      <c r="H1524" s="276"/>
      <c r="I1524" s="217"/>
      <c r="J1524" s="217"/>
      <c r="K1524" s="221"/>
      <c r="L1524" s="217"/>
      <c r="M1524" s="217"/>
      <c r="N1524" s="217"/>
      <c r="O1524" s="217"/>
      <c r="P1524" s="217"/>
    </row>
    <row r="1525" spans="3:16" ht="42" customHeight="1">
      <c r="C1525" s="272">
        <v>1523</v>
      </c>
      <c r="D1525" s="275"/>
      <c r="E1525" s="276"/>
      <c r="F1525" s="221"/>
      <c r="G1525" s="275"/>
      <c r="H1525" s="276"/>
      <c r="I1525" s="217"/>
      <c r="J1525" s="217"/>
      <c r="K1525" s="221"/>
      <c r="L1525" s="217"/>
      <c r="M1525" s="217"/>
      <c r="N1525" s="217"/>
      <c r="O1525" s="217"/>
      <c r="P1525" s="217"/>
    </row>
    <row r="1526" spans="3:16" ht="42" customHeight="1">
      <c r="C1526" s="272">
        <v>1524</v>
      </c>
      <c r="D1526" s="275"/>
      <c r="E1526" s="276"/>
      <c r="F1526" s="221"/>
      <c r="G1526" s="275"/>
      <c r="H1526" s="276"/>
      <c r="I1526" s="217"/>
      <c r="J1526" s="217"/>
      <c r="K1526" s="221"/>
      <c r="L1526" s="217"/>
      <c r="M1526" s="217"/>
      <c r="N1526" s="217"/>
      <c r="O1526" s="217"/>
      <c r="P1526" s="217"/>
    </row>
    <row r="1527" spans="3:16" ht="42" customHeight="1">
      <c r="C1527" s="272">
        <v>1525</v>
      </c>
      <c r="D1527" s="275"/>
      <c r="E1527" s="276"/>
      <c r="F1527" s="221"/>
      <c r="G1527" s="275"/>
      <c r="H1527" s="276"/>
      <c r="I1527" s="217"/>
      <c r="J1527" s="217"/>
      <c r="K1527" s="221"/>
      <c r="L1527" s="217"/>
      <c r="M1527" s="217"/>
      <c r="N1527" s="217"/>
      <c r="O1527" s="217"/>
      <c r="P1527" s="217"/>
    </row>
    <row r="1528" spans="3:16" ht="42" customHeight="1">
      <c r="C1528" s="272">
        <v>1526</v>
      </c>
      <c r="D1528" s="275"/>
      <c r="E1528" s="276"/>
      <c r="F1528" s="221"/>
      <c r="G1528" s="275"/>
      <c r="H1528" s="276"/>
      <c r="I1528" s="217"/>
      <c r="J1528" s="217"/>
      <c r="K1528" s="221"/>
      <c r="L1528" s="217"/>
      <c r="M1528" s="217"/>
      <c r="N1528" s="217"/>
      <c r="O1528" s="217"/>
      <c r="P1528" s="217"/>
    </row>
    <row r="1529" spans="3:16" ht="42" customHeight="1">
      <c r="C1529" s="272">
        <v>1527</v>
      </c>
      <c r="D1529" s="275"/>
      <c r="E1529" s="276"/>
      <c r="F1529" s="221"/>
      <c r="G1529" s="275"/>
      <c r="H1529" s="276"/>
      <c r="I1529" s="217"/>
      <c r="J1529" s="217"/>
      <c r="K1529" s="221"/>
      <c r="L1529" s="217"/>
      <c r="M1529" s="217"/>
      <c r="N1529" s="217"/>
      <c r="O1529" s="217"/>
      <c r="P1529" s="217"/>
    </row>
    <row r="1530" spans="3:16" ht="42" customHeight="1">
      <c r="C1530" s="272">
        <v>1528</v>
      </c>
      <c r="D1530" s="275"/>
      <c r="E1530" s="276"/>
      <c r="F1530" s="221"/>
      <c r="G1530" s="275"/>
      <c r="H1530" s="276"/>
      <c r="I1530" s="217"/>
      <c r="J1530" s="217"/>
      <c r="K1530" s="221"/>
      <c r="L1530" s="217"/>
      <c r="M1530" s="217"/>
      <c r="N1530" s="217"/>
      <c r="O1530" s="217"/>
      <c r="P1530" s="217"/>
    </row>
    <row r="1531" spans="3:16" ht="42" customHeight="1">
      <c r="C1531" s="272">
        <v>1529</v>
      </c>
      <c r="D1531" s="275"/>
      <c r="E1531" s="276"/>
      <c r="F1531" s="221"/>
      <c r="G1531" s="275"/>
      <c r="H1531" s="276"/>
      <c r="I1531" s="217"/>
      <c r="J1531" s="217"/>
      <c r="K1531" s="221"/>
      <c r="L1531" s="217"/>
      <c r="M1531" s="217"/>
      <c r="N1531" s="217"/>
      <c r="O1531" s="217"/>
      <c r="P1531" s="217"/>
    </row>
    <row r="1532" spans="3:16" ht="42" customHeight="1">
      <c r="C1532" s="272">
        <v>1530</v>
      </c>
      <c r="D1532" s="275"/>
      <c r="E1532" s="276"/>
      <c r="F1532" s="221"/>
      <c r="G1532" s="275"/>
      <c r="H1532" s="276"/>
      <c r="I1532" s="217"/>
      <c r="J1532" s="217"/>
      <c r="K1532" s="221"/>
      <c r="L1532" s="217"/>
      <c r="M1532" s="217"/>
      <c r="N1532" s="217"/>
      <c r="O1532" s="217"/>
      <c r="P1532" s="217"/>
    </row>
    <row r="1533" spans="3:16" ht="42" customHeight="1">
      <c r="C1533" s="272">
        <v>1531</v>
      </c>
      <c r="D1533" s="275"/>
      <c r="E1533" s="276"/>
      <c r="F1533" s="221"/>
      <c r="G1533" s="275"/>
      <c r="H1533" s="276"/>
      <c r="I1533" s="217"/>
      <c r="J1533" s="217"/>
      <c r="K1533" s="221"/>
      <c r="L1533" s="217"/>
      <c r="M1533" s="217"/>
      <c r="N1533" s="217"/>
      <c r="O1533" s="217"/>
      <c r="P1533" s="217"/>
    </row>
    <row r="1534" spans="3:16" ht="42" customHeight="1">
      <c r="C1534" s="272">
        <v>1532</v>
      </c>
      <c r="D1534" s="275"/>
      <c r="E1534" s="276"/>
      <c r="F1534" s="221"/>
      <c r="G1534" s="275"/>
      <c r="H1534" s="276"/>
      <c r="I1534" s="217"/>
      <c r="J1534" s="217"/>
      <c r="K1534" s="221"/>
      <c r="L1534" s="217"/>
      <c r="M1534" s="217"/>
      <c r="N1534" s="217"/>
      <c r="O1534" s="217"/>
      <c r="P1534" s="217"/>
    </row>
    <row r="1535" spans="3:16" ht="42" customHeight="1">
      <c r="C1535" s="272">
        <v>1533</v>
      </c>
      <c r="D1535" s="275"/>
      <c r="E1535" s="276"/>
      <c r="F1535" s="221"/>
      <c r="G1535" s="275"/>
      <c r="H1535" s="276"/>
      <c r="I1535" s="217"/>
      <c r="J1535" s="217"/>
      <c r="K1535" s="221"/>
      <c r="L1535" s="217"/>
      <c r="M1535" s="217"/>
      <c r="N1535" s="217"/>
      <c r="O1535" s="217"/>
      <c r="P1535" s="217"/>
    </row>
    <row r="1536" spans="3:16" ht="42" customHeight="1">
      <c r="C1536" s="272">
        <v>1534</v>
      </c>
      <c r="D1536" s="275"/>
      <c r="E1536" s="276"/>
      <c r="F1536" s="221"/>
      <c r="G1536" s="275"/>
      <c r="H1536" s="276"/>
      <c r="I1536" s="217"/>
      <c r="J1536" s="217"/>
      <c r="K1536" s="221"/>
      <c r="L1536" s="217"/>
      <c r="M1536" s="217"/>
      <c r="N1536" s="217"/>
      <c r="O1536" s="217"/>
      <c r="P1536" s="217"/>
    </row>
    <row r="1537" spans="3:16" ht="42" customHeight="1">
      <c r="C1537" s="272">
        <v>1535</v>
      </c>
      <c r="D1537" s="275"/>
      <c r="E1537" s="276"/>
      <c r="F1537" s="221"/>
      <c r="G1537" s="275"/>
      <c r="H1537" s="276"/>
      <c r="I1537" s="217"/>
      <c r="J1537" s="217"/>
      <c r="K1537" s="221"/>
      <c r="L1537" s="217"/>
      <c r="M1537" s="217"/>
      <c r="N1537" s="217"/>
      <c r="O1537" s="217"/>
      <c r="P1537" s="217"/>
    </row>
    <row r="1538" spans="3:16" ht="42" customHeight="1">
      <c r="C1538" s="272">
        <v>1536</v>
      </c>
      <c r="D1538" s="275"/>
      <c r="E1538" s="276"/>
      <c r="F1538" s="221"/>
      <c r="G1538" s="275"/>
      <c r="H1538" s="276"/>
      <c r="I1538" s="217"/>
      <c r="J1538" s="217"/>
      <c r="K1538" s="221"/>
      <c r="L1538" s="217"/>
      <c r="M1538" s="217"/>
      <c r="N1538" s="217"/>
      <c r="O1538" s="217"/>
      <c r="P1538" s="217"/>
    </row>
    <row r="1539" spans="3:16" ht="42" customHeight="1">
      <c r="C1539" s="272">
        <v>1537</v>
      </c>
      <c r="D1539" s="275"/>
      <c r="E1539" s="276"/>
      <c r="F1539" s="221"/>
      <c r="G1539" s="275"/>
      <c r="H1539" s="276"/>
      <c r="I1539" s="217"/>
      <c r="J1539" s="217"/>
      <c r="K1539" s="221"/>
      <c r="L1539" s="217"/>
      <c r="M1539" s="217"/>
      <c r="N1539" s="217"/>
      <c r="O1539" s="217"/>
      <c r="P1539" s="217"/>
    </row>
    <row r="1540" spans="3:16" ht="42" customHeight="1">
      <c r="C1540" s="272">
        <v>1538</v>
      </c>
      <c r="D1540" s="275"/>
      <c r="E1540" s="276"/>
      <c r="F1540" s="221"/>
      <c r="G1540" s="275"/>
      <c r="H1540" s="276"/>
      <c r="I1540" s="217"/>
      <c r="J1540" s="217"/>
      <c r="K1540" s="221"/>
      <c r="L1540" s="217"/>
      <c r="M1540" s="217"/>
      <c r="N1540" s="217"/>
      <c r="O1540" s="217"/>
      <c r="P1540" s="217"/>
    </row>
    <row r="1541" spans="3:16" ht="42" customHeight="1">
      <c r="C1541" s="272">
        <v>1539</v>
      </c>
      <c r="D1541" s="275"/>
      <c r="E1541" s="276"/>
      <c r="F1541" s="221"/>
      <c r="G1541" s="275"/>
      <c r="H1541" s="276"/>
      <c r="I1541" s="217"/>
      <c r="J1541" s="217"/>
      <c r="K1541" s="221"/>
      <c r="L1541" s="217"/>
      <c r="M1541" s="217"/>
      <c r="N1541" s="217"/>
      <c r="O1541" s="217"/>
      <c r="P1541" s="217"/>
    </row>
    <row r="1542" spans="3:16" ht="42" customHeight="1">
      <c r="C1542" s="272">
        <v>1540</v>
      </c>
      <c r="D1542" s="275"/>
      <c r="E1542" s="276"/>
      <c r="F1542" s="221"/>
      <c r="G1542" s="275"/>
      <c r="H1542" s="276"/>
      <c r="I1542" s="217"/>
      <c r="J1542" s="217"/>
      <c r="K1542" s="221"/>
      <c r="L1542" s="217"/>
      <c r="M1542" s="217"/>
      <c r="N1542" s="217"/>
      <c r="O1542" s="217"/>
      <c r="P1542" s="217"/>
    </row>
    <row r="1543" spans="3:16" ht="42" customHeight="1">
      <c r="C1543" s="272">
        <v>1541</v>
      </c>
      <c r="D1543" s="275"/>
      <c r="E1543" s="276"/>
      <c r="F1543" s="221"/>
      <c r="G1543" s="275"/>
      <c r="H1543" s="276"/>
      <c r="I1543" s="217"/>
      <c r="J1543" s="217"/>
      <c r="K1543" s="221"/>
      <c r="L1543" s="217"/>
      <c r="M1543" s="217"/>
      <c r="N1543" s="217"/>
      <c r="O1543" s="217"/>
      <c r="P1543" s="217"/>
    </row>
    <row r="1544" spans="3:16" ht="42" customHeight="1">
      <c r="C1544" s="272">
        <v>1542</v>
      </c>
      <c r="D1544" s="275"/>
      <c r="E1544" s="276"/>
      <c r="F1544" s="221"/>
      <c r="G1544" s="275"/>
      <c r="H1544" s="276"/>
      <c r="I1544" s="217"/>
      <c r="J1544" s="217"/>
      <c r="K1544" s="221"/>
      <c r="L1544" s="217"/>
      <c r="M1544" s="217"/>
      <c r="N1544" s="217"/>
      <c r="O1544" s="217"/>
      <c r="P1544" s="217"/>
    </row>
    <row r="1545" spans="3:16" ht="42" customHeight="1">
      <c r="C1545" s="272">
        <v>1543</v>
      </c>
      <c r="D1545" s="275"/>
      <c r="E1545" s="276"/>
      <c r="F1545" s="221"/>
      <c r="G1545" s="275"/>
      <c r="H1545" s="276"/>
      <c r="I1545" s="217"/>
      <c r="J1545" s="217"/>
      <c r="K1545" s="221"/>
      <c r="L1545" s="217"/>
      <c r="M1545" s="217"/>
      <c r="N1545" s="217"/>
      <c r="O1545" s="217"/>
      <c r="P1545" s="217"/>
    </row>
    <row r="1546" spans="3:16" ht="42" customHeight="1">
      <c r="C1546" s="272">
        <v>1544</v>
      </c>
      <c r="D1546" s="275"/>
      <c r="E1546" s="276"/>
      <c r="F1546" s="221"/>
      <c r="G1546" s="275"/>
      <c r="H1546" s="276"/>
      <c r="I1546" s="217"/>
      <c r="J1546" s="217"/>
      <c r="K1546" s="221"/>
      <c r="L1546" s="217"/>
      <c r="M1546" s="217"/>
      <c r="N1546" s="217"/>
      <c r="O1546" s="217"/>
      <c r="P1546" s="217"/>
    </row>
    <row r="1547" spans="3:16" ht="42" customHeight="1">
      <c r="C1547" s="272">
        <v>1545</v>
      </c>
      <c r="D1547" s="275"/>
      <c r="E1547" s="276"/>
      <c r="F1547" s="221"/>
      <c r="G1547" s="275"/>
      <c r="H1547" s="276"/>
      <c r="I1547" s="217"/>
      <c r="J1547" s="217"/>
      <c r="K1547" s="221"/>
      <c r="L1547" s="217"/>
      <c r="M1547" s="217"/>
      <c r="N1547" s="217"/>
      <c r="O1547" s="217"/>
      <c r="P1547" s="217"/>
    </row>
    <row r="1548" spans="3:16" ht="42" customHeight="1">
      <c r="C1548" s="272">
        <v>1546</v>
      </c>
      <c r="D1548" s="275"/>
      <c r="E1548" s="276"/>
      <c r="F1548" s="221"/>
      <c r="G1548" s="275"/>
      <c r="H1548" s="276"/>
      <c r="I1548" s="217"/>
      <c r="J1548" s="217"/>
      <c r="K1548" s="221"/>
      <c r="L1548" s="217"/>
      <c r="M1548" s="217"/>
      <c r="N1548" s="217"/>
      <c r="O1548" s="217"/>
      <c r="P1548" s="217"/>
    </row>
    <row r="1549" spans="3:16" ht="42" customHeight="1">
      <c r="C1549" s="272">
        <v>1547</v>
      </c>
      <c r="D1549" s="275"/>
      <c r="E1549" s="276"/>
      <c r="F1549" s="221"/>
      <c r="G1549" s="275"/>
      <c r="H1549" s="276"/>
      <c r="I1549" s="217"/>
      <c r="J1549" s="217"/>
      <c r="K1549" s="221"/>
      <c r="L1549" s="217"/>
      <c r="M1549" s="217"/>
      <c r="N1549" s="217"/>
      <c r="O1549" s="217"/>
      <c r="P1549" s="217"/>
    </row>
    <row r="1550" spans="3:16" ht="42" customHeight="1">
      <c r="C1550" s="272">
        <v>1548</v>
      </c>
      <c r="D1550" s="275"/>
      <c r="E1550" s="276"/>
      <c r="F1550" s="221"/>
      <c r="G1550" s="275"/>
      <c r="H1550" s="276"/>
      <c r="I1550" s="217"/>
      <c r="J1550" s="217"/>
      <c r="K1550" s="221"/>
      <c r="L1550" s="217"/>
      <c r="M1550" s="217"/>
      <c r="N1550" s="217"/>
      <c r="O1550" s="217"/>
      <c r="P1550" s="217"/>
    </row>
    <row r="1551" spans="3:16" ht="42" customHeight="1">
      <c r="C1551" s="272">
        <v>1549</v>
      </c>
      <c r="D1551" s="275"/>
      <c r="E1551" s="276"/>
      <c r="F1551" s="221"/>
      <c r="G1551" s="275"/>
      <c r="H1551" s="276"/>
      <c r="I1551" s="217"/>
      <c r="J1551" s="217"/>
      <c r="K1551" s="221"/>
      <c r="L1551" s="217"/>
      <c r="M1551" s="217"/>
      <c r="N1551" s="217"/>
      <c r="O1551" s="217"/>
      <c r="P1551" s="217"/>
    </row>
    <row r="1552" spans="3:16" ht="42" customHeight="1">
      <c r="C1552" s="272">
        <v>1550</v>
      </c>
      <c r="D1552" s="275"/>
      <c r="E1552" s="276"/>
      <c r="F1552" s="221"/>
      <c r="G1552" s="275"/>
      <c r="H1552" s="276"/>
      <c r="I1552" s="217"/>
      <c r="J1552" s="217"/>
      <c r="K1552" s="221"/>
      <c r="L1552" s="217"/>
      <c r="M1552" s="217"/>
      <c r="N1552" s="217"/>
      <c r="O1552" s="217"/>
      <c r="P1552" s="217"/>
    </row>
    <row r="1553" spans="3:16" ht="42" customHeight="1">
      <c r="C1553" s="272">
        <v>1551</v>
      </c>
      <c r="D1553" s="275"/>
      <c r="E1553" s="276"/>
      <c r="F1553" s="221"/>
      <c r="G1553" s="275"/>
      <c r="H1553" s="276"/>
      <c r="I1553" s="217"/>
      <c r="J1553" s="217"/>
      <c r="K1553" s="221"/>
      <c r="L1553" s="217"/>
      <c r="M1553" s="217"/>
      <c r="N1553" s="217"/>
      <c r="O1553" s="217"/>
      <c r="P1553" s="217"/>
    </row>
    <row r="1554" spans="3:16" ht="42" customHeight="1">
      <c r="C1554" s="272">
        <v>1552</v>
      </c>
      <c r="D1554" s="275"/>
      <c r="E1554" s="276"/>
      <c r="F1554" s="221"/>
      <c r="G1554" s="275"/>
      <c r="H1554" s="276"/>
      <c r="I1554" s="217"/>
      <c r="J1554" s="217"/>
      <c r="K1554" s="221"/>
      <c r="L1554" s="217"/>
      <c r="M1554" s="217"/>
      <c r="N1554" s="217"/>
      <c r="O1554" s="217"/>
      <c r="P1554" s="217"/>
    </row>
    <row r="1555" spans="3:16" ht="42" customHeight="1">
      <c r="C1555" s="272">
        <v>1553</v>
      </c>
      <c r="D1555" s="275"/>
      <c r="E1555" s="276"/>
      <c r="F1555" s="221"/>
      <c r="G1555" s="275"/>
      <c r="H1555" s="276"/>
      <c r="I1555" s="217"/>
      <c r="J1555" s="217"/>
      <c r="K1555" s="221"/>
      <c r="L1555" s="217"/>
      <c r="M1555" s="217"/>
      <c r="N1555" s="217"/>
      <c r="O1555" s="217"/>
      <c r="P1555" s="217"/>
    </row>
    <row r="1556" spans="3:16" ht="42" customHeight="1">
      <c r="C1556" s="272">
        <v>1554</v>
      </c>
      <c r="D1556" s="275"/>
      <c r="E1556" s="276"/>
      <c r="F1556" s="221"/>
      <c r="G1556" s="275"/>
      <c r="H1556" s="276"/>
      <c r="I1556" s="217"/>
      <c r="J1556" s="217"/>
      <c r="K1556" s="221"/>
      <c r="L1556" s="217"/>
      <c r="M1556" s="217"/>
      <c r="N1556" s="217"/>
      <c r="O1556" s="217"/>
      <c r="P1556" s="217"/>
    </row>
    <row r="1557" spans="3:16" ht="42" customHeight="1">
      <c r="C1557" s="272">
        <v>1555</v>
      </c>
      <c r="D1557" s="275"/>
      <c r="E1557" s="276"/>
      <c r="F1557" s="221"/>
      <c r="G1557" s="275"/>
      <c r="H1557" s="276"/>
      <c r="I1557" s="217"/>
      <c r="J1557" s="217"/>
      <c r="K1557" s="221"/>
      <c r="L1557" s="217"/>
      <c r="M1557" s="217"/>
      <c r="N1557" s="217"/>
      <c r="O1557" s="217"/>
      <c r="P1557" s="217"/>
    </row>
    <row r="1558" spans="3:16" ht="42" customHeight="1">
      <c r="C1558" s="272">
        <v>1556</v>
      </c>
      <c r="D1558" s="275"/>
      <c r="E1558" s="276"/>
      <c r="F1558" s="221"/>
      <c r="G1558" s="275"/>
      <c r="H1558" s="276"/>
      <c r="I1558" s="217"/>
      <c r="J1558" s="217"/>
      <c r="K1558" s="221"/>
      <c r="L1558" s="217"/>
      <c r="M1558" s="217"/>
      <c r="N1558" s="217"/>
      <c r="O1558" s="217"/>
      <c r="P1558" s="217"/>
    </row>
    <row r="1559" spans="3:16" ht="42" customHeight="1">
      <c r="C1559" s="272">
        <v>1557</v>
      </c>
      <c r="D1559" s="275"/>
      <c r="E1559" s="276"/>
      <c r="F1559" s="221"/>
      <c r="G1559" s="275"/>
      <c r="H1559" s="276"/>
      <c r="I1559" s="217"/>
      <c r="J1559" s="217"/>
      <c r="K1559" s="221"/>
      <c r="L1559" s="217"/>
      <c r="M1559" s="217"/>
      <c r="N1559" s="217"/>
      <c r="O1559" s="217"/>
      <c r="P1559" s="217"/>
    </row>
    <row r="1560" spans="3:16" ht="42" customHeight="1">
      <c r="C1560" s="272">
        <v>1558</v>
      </c>
      <c r="D1560" s="275"/>
      <c r="E1560" s="276"/>
      <c r="F1560" s="221"/>
      <c r="G1560" s="275"/>
      <c r="H1560" s="276"/>
      <c r="I1560" s="217"/>
      <c r="J1560" s="217"/>
      <c r="K1560" s="221"/>
      <c r="L1560" s="217"/>
      <c r="M1560" s="217"/>
      <c r="N1560" s="217"/>
      <c r="O1560" s="217"/>
      <c r="P1560" s="217"/>
    </row>
    <row r="1561" spans="3:16" ht="42" customHeight="1">
      <c r="C1561" s="272">
        <v>1559</v>
      </c>
      <c r="D1561" s="275"/>
      <c r="E1561" s="276"/>
      <c r="F1561" s="221"/>
      <c r="G1561" s="275"/>
      <c r="H1561" s="276"/>
      <c r="I1561" s="217"/>
      <c r="J1561" s="217"/>
      <c r="K1561" s="221"/>
      <c r="L1561" s="217"/>
      <c r="M1561" s="217"/>
      <c r="N1561" s="217"/>
      <c r="O1561" s="217"/>
      <c r="P1561" s="217"/>
    </row>
    <row r="1562" spans="3:16" ht="42" customHeight="1">
      <c r="C1562" s="272">
        <v>1560</v>
      </c>
      <c r="D1562" s="275"/>
      <c r="E1562" s="276"/>
      <c r="F1562" s="221"/>
      <c r="G1562" s="275"/>
      <c r="H1562" s="276"/>
      <c r="I1562" s="217"/>
      <c r="J1562" s="217"/>
      <c r="K1562" s="221"/>
      <c r="L1562" s="217"/>
      <c r="M1562" s="217"/>
      <c r="N1562" s="217"/>
      <c r="O1562" s="217"/>
      <c r="P1562" s="217"/>
    </row>
    <row r="1563" spans="3:16" ht="42" customHeight="1">
      <c r="C1563" s="272">
        <v>1561</v>
      </c>
      <c r="D1563" s="275"/>
      <c r="E1563" s="276"/>
      <c r="F1563" s="221"/>
      <c r="G1563" s="275"/>
      <c r="H1563" s="276"/>
      <c r="I1563" s="217"/>
      <c r="J1563" s="217"/>
      <c r="K1563" s="221"/>
      <c r="L1563" s="217"/>
      <c r="M1563" s="217"/>
      <c r="N1563" s="217"/>
      <c r="O1563" s="217"/>
      <c r="P1563" s="217"/>
    </row>
    <row r="1564" spans="3:16" ht="42" customHeight="1">
      <c r="C1564" s="272">
        <v>1562</v>
      </c>
      <c r="D1564" s="275"/>
      <c r="E1564" s="276"/>
      <c r="F1564" s="221"/>
      <c r="G1564" s="275"/>
      <c r="H1564" s="276"/>
      <c r="I1564" s="217"/>
      <c r="J1564" s="217"/>
      <c r="K1564" s="221"/>
      <c r="L1564" s="217"/>
      <c r="M1564" s="217"/>
      <c r="N1564" s="217"/>
      <c r="O1564" s="217"/>
      <c r="P1564" s="217"/>
    </row>
    <row r="1565" spans="3:16" ht="42" customHeight="1">
      <c r="C1565" s="272">
        <v>1563</v>
      </c>
      <c r="D1565" s="275"/>
      <c r="E1565" s="276"/>
      <c r="F1565" s="221"/>
      <c r="G1565" s="275"/>
      <c r="H1565" s="276"/>
      <c r="I1565" s="217"/>
      <c r="J1565" s="217"/>
      <c r="K1565" s="221"/>
      <c r="L1565" s="217"/>
      <c r="M1565" s="217"/>
      <c r="N1565" s="217"/>
      <c r="O1565" s="217"/>
      <c r="P1565" s="217"/>
    </row>
    <row r="1566" spans="3:16" ht="42" customHeight="1">
      <c r="C1566" s="272">
        <v>1564</v>
      </c>
      <c r="D1566" s="275"/>
      <c r="E1566" s="276"/>
      <c r="F1566" s="221"/>
      <c r="G1566" s="275"/>
      <c r="H1566" s="276"/>
      <c r="I1566" s="217"/>
      <c r="J1566" s="217"/>
      <c r="K1566" s="221"/>
      <c r="L1566" s="217"/>
      <c r="M1566" s="217"/>
      <c r="N1566" s="217"/>
      <c r="O1566" s="217"/>
      <c r="P1566" s="217"/>
    </row>
    <row r="1567" spans="3:16" ht="42" customHeight="1">
      <c r="C1567" s="272">
        <v>1565</v>
      </c>
      <c r="D1567" s="275"/>
      <c r="E1567" s="276"/>
      <c r="F1567" s="221"/>
      <c r="G1567" s="275"/>
      <c r="H1567" s="276"/>
      <c r="I1567" s="217"/>
      <c r="J1567" s="217"/>
      <c r="K1567" s="221"/>
      <c r="L1567" s="217"/>
      <c r="M1567" s="217"/>
      <c r="N1567" s="217"/>
      <c r="O1567" s="217"/>
      <c r="P1567" s="217"/>
    </row>
    <row r="1568" spans="3:16" ht="42" customHeight="1">
      <c r="C1568" s="272">
        <v>1566</v>
      </c>
      <c r="D1568" s="275"/>
      <c r="E1568" s="276"/>
      <c r="F1568" s="221"/>
      <c r="G1568" s="275"/>
      <c r="H1568" s="276"/>
      <c r="I1568" s="217"/>
      <c r="J1568" s="217"/>
      <c r="K1568" s="221"/>
      <c r="L1568" s="217"/>
      <c r="M1568" s="217"/>
      <c r="N1568" s="217"/>
      <c r="O1568" s="217"/>
      <c r="P1568" s="217"/>
    </row>
    <row r="1569" spans="3:16" ht="42" customHeight="1">
      <c r="C1569" s="272">
        <v>1567</v>
      </c>
      <c r="D1569" s="275"/>
      <c r="E1569" s="276"/>
      <c r="F1569" s="221"/>
      <c r="G1569" s="275"/>
      <c r="H1569" s="276"/>
      <c r="I1569" s="217"/>
      <c r="J1569" s="217"/>
      <c r="K1569" s="221"/>
      <c r="L1569" s="217"/>
      <c r="M1569" s="217"/>
      <c r="N1569" s="217"/>
      <c r="O1569" s="217"/>
      <c r="P1569" s="217"/>
    </row>
    <row r="1570" spans="3:16" ht="42" customHeight="1">
      <c r="C1570" s="272">
        <v>1568</v>
      </c>
      <c r="D1570" s="275"/>
      <c r="E1570" s="276"/>
      <c r="F1570" s="221"/>
      <c r="G1570" s="275"/>
      <c r="H1570" s="276"/>
      <c r="I1570" s="217"/>
      <c r="J1570" s="217"/>
      <c r="K1570" s="221"/>
      <c r="L1570" s="217"/>
      <c r="M1570" s="217"/>
      <c r="N1570" s="217"/>
      <c r="O1570" s="217"/>
      <c r="P1570" s="217"/>
    </row>
    <row r="1571" spans="3:16" ht="42" customHeight="1">
      <c r="C1571" s="272">
        <v>1569</v>
      </c>
      <c r="D1571" s="275"/>
      <c r="E1571" s="276"/>
      <c r="F1571" s="221"/>
      <c r="G1571" s="275"/>
      <c r="H1571" s="276"/>
      <c r="I1571" s="217"/>
      <c r="J1571" s="217"/>
      <c r="K1571" s="221"/>
      <c r="L1571" s="217"/>
      <c r="M1571" s="217"/>
      <c r="N1571" s="217"/>
      <c r="O1571" s="217"/>
      <c r="P1571" s="217"/>
    </row>
    <row r="1572" spans="3:16" ht="42" customHeight="1">
      <c r="C1572" s="272">
        <v>1570</v>
      </c>
      <c r="D1572" s="275"/>
      <c r="E1572" s="276"/>
      <c r="F1572" s="221"/>
      <c r="G1572" s="275"/>
      <c r="H1572" s="276"/>
      <c r="I1572" s="217"/>
      <c r="J1572" s="217"/>
      <c r="K1572" s="221"/>
      <c r="L1572" s="217"/>
      <c r="M1572" s="217"/>
      <c r="N1572" s="217"/>
      <c r="O1572" s="217"/>
      <c r="P1572" s="217"/>
    </row>
    <row r="1573" spans="3:16" ht="42" customHeight="1">
      <c r="C1573" s="272">
        <v>1571</v>
      </c>
      <c r="D1573" s="275"/>
      <c r="E1573" s="276"/>
      <c r="F1573" s="221"/>
      <c r="G1573" s="275"/>
      <c r="H1573" s="276"/>
      <c r="I1573" s="217"/>
      <c r="J1573" s="217"/>
      <c r="K1573" s="221"/>
      <c r="L1573" s="217"/>
      <c r="M1573" s="217"/>
      <c r="N1573" s="217"/>
      <c r="O1573" s="217"/>
      <c r="P1573" s="217"/>
    </row>
    <row r="1574" spans="3:16" ht="42" customHeight="1">
      <c r="C1574" s="272">
        <v>1572</v>
      </c>
      <c r="D1574" s="275"/>
      <c r="E1574" s="276"/>
      <c r="F1574" s="221"/>
      <c r="G1574" s="275"/>
      <c r="H1574" s="276"/>
      <c r="I1574" s="217"/>
      <c r="J1574" s="217"/>
      <c r="K1574" s="221"/>
      <c r="L1574" s="217"/>
      <c r="M1574" s="217"/>
      <c r="N1574" s="217"/>
      <c r="O1574" s="217"/>
      <c r="P1574" s="217"/>
    </row>
    <row r="1575" spans="3:16" ht="42" customHeight="1">
      <c r="C1575" s="272">
        <v>1573</v>
      </c>
      <c r="D1575" s="275"/>
      <c r="E1575" s="276"/>
      <c r="F1575" s="221"/>
      <c r="G1575" s="275"/>
      <c r="H1575" s="276"/>
      <c r="I1575" s="217"/>
      <c r="J1575" s="217"/>
      <c r="K1575" s="221"/>
      <c r="L1575" s="217"/>
      <c r="M1575" s="217"/>
      <c r="N1575" s="217"/>
      <c r="O1575" s="217"/>
      <c r="P1575" s="217"/>
    </row>
    <row r="1576" spans="3:16" ht="42" customHeight="1">
      <c r="C1576" s="272">
        <v>1574</v>
      </c>
      <c r="D1576" s="275"/>
      <c r="E1576" s="276"/>
      <c r="F1576" s="221"/>
      <c r="G1576" s="275"/>
      <c r="H1576" s="276"/>
      <c r="I1576" s="217"/>
      <c r="J1576" s="217"/>
      <c r="K1576" s="221"/>
      <c r="L1576" s="217"/>
      <c r="M1576" s="217"/>
      <c r="N1576" s="217"/>
      <c r="O1576" s="217"/>
      <c r="P1576" s="217"/>
    </row>
    <row r="1577" spans="3:16" ht="42" customHeight="1">
      <c r="C1577" s="272">
        <v>1575</v>
      </c>
      <c r="D1577" s="275"/>
      <c r="E1577" s="276"/>
      <c r="F1577" s="221"/>
      <c r="G1577" s="275"/>
      <c r="H1577" s="276"/>
      <c r="I1577" s="217"/>
      <c r="J1577" s="217"/>
      <c r="K1577" s="221"/>
      <c r="L1577" s="217"/>
      <c r="M1577" s="217"/>
      <c r="N1577" s="217"/>
      <c r="O1577" s="217"/>
      <c r="P1577" s="217"/>
    </row>
    <row r="1578" spans="3:16" ht="42" customHeight="1">
      <c r="C1578" s="272">
        <v>1576</v>
      </c>
      <c r="D1578" s="275"/>
      <c r="E1578" s="276"/>
      <c r="F1578" s="221"/>
      <c r="G1578" s="275"/>
      <c r="H1578" s="276"/>
      <c r="I1578" s="217"/>
      <c r="J1578" s="217"/>
      <c r="K1578" s="221"/>
      <c r="L1578" s="217"/>
      <c r="M1578" s="217"/>
      <c r="N1578" s="217"/>
      <c r="O1578" s="217"/>
      <c r="P1578" s="217"/>
    </row>
    <row r="1579" spans="3:16" ht="42" customHeight="1">
      <c r="C1579" s="272">
        <v>1577</v>
      </c>
      <c r="D1579" s="275"/>
      <c r="E1579" s="276"/>
      <c r="F1579" s="221"/>
      <c r="G1579" s="275"/>
      <c r="H1579" s="276"/>
      <c r="I1579" s="217"/>
      <c r="J1579" s="217"/>
      <c r="K1579" s="221"/>
      <c r="L1579" s="217"/>
      <c r="M1579" s="217"/>
      <c r="N1579" s="217"/>
      <c r="O1579" s="217"/>
      <c r="P1579" s="217"/>
    </row>
    <row r="1580" spans="3:16" ht="42" customHeight="1">
      <c r="C1580" s="272">
        <v>1578</v>
      </c>
      <c r="D1580" s="275"/>
      <c r="E1580" s="276"/>
      <c r="F1580" s="221"/>
      <c r="G1580" s="275"/>
      <c r="H1580" s="276"/>
      <c r="I1580" s="217"/>
      <c r="J1580" s="217"/>
      <c r="K1580" s="221"/>
      <c r="L1580" s="217"/>
      <c r="M1580" s="217"/>
      <c r="N1580" s="217"/>
      <c r="O1580" s="217"/>
      <c r="P1580" s="217"/>
    </row>
    <row r="1581" spans="3:16" ht="42" customHeight="1">
      <c r="C1581" s="272">
        <v>1579</v>
      </c>
      <c r="D1581" s="275"/>
      <c r="E1581" s="276"/>
      <c r="F1581" s="221"/>
      <c r="G1581" s="275"/>
      <c r="H1581" s="276"/>
      <c r="I1581" s="217"/>
      <c r="J1581" s="217"/>
      <c r="K1581" s="221"/>
      <c r="L1581" s="217"/>
      <c r="M1581" s="217"/>
      <c r="N1581" s="217"/>
      <c r="O1581" s="217"/>
      <c r="P1581" s="217"/>
    </row>
    <row r="1582" spans="3:16" ht="42" customHeight="1">
      <c r="C1582" s="272">
        <v>1580</v>
      </c>
      <c r="D1582" s="275"/>
      <c r="E1582" s="276"/>
      <c r="F1582" s="221"/>
      <c r="G1582" s="275"/>
      <c r="H1582" s="276"/>
      <c r="I1582" s="217"/>
      <c r="J1582" s="217"/>
      <c r="K1582" s="221"/>
      <c r="L1582" s="217"/>
      <c r="M1582" s="217"/>
      <c r="N1582" s="217"/>
      <c r="O1582" s="217"/>
      <c r="P1582" s="217"/>
    </row>
    <row r="1583" spans="3:16" ht="42" customHeight="1">
      <c r="C1583" s="272">
        <v>1581</v>
      </c>
      <c r="D1583" s="275"/>
      <c r="E1583" s="276"/>
      <c r="F1583" s="221"/>
      <c r="G1583" s="275"/>
      <c r="H1583" s="276"/>
      <c r="I1583" s="217"/>
      <c r="J1583" s="217"/>
      <c r="K1583" s="221"/>
      <c r="L1583" s="217"/>
      <c r="M1583" s="217"/>
      <c r="N1583" s="217"/>
      <c r="O1583" s="217"/>
      <c r="P1583" s="217"/>
    </row>
    <row r="1584" spans="3:16" ht="42" customHeight="1">
      <c r="C1584" s="272">
        <v>1582</v>
      </c>
      <c r="D1584" s="275"/>
      <c r="E1584" s="276"/>
      <c r="F1584" s="221"/>
      <c r="G1584" s="275"/>
      <c r="H1584" s="276"/>
      <c r="I1584" s="217"/>
      <c r="J1584" s="217"/>
      <c r="K1584" s="221"/>
      <c r="L1584" s="217"/>
      <c r="M1584" s="217"/>
      <c r="N1584" s="217"/>
      <c r="O1584" s="217"/>
      <c r="P1584" s="217"/>
    </row>
    <row r="1585" spans="3:16" ht="42" customHeight="1">
      <c r="C1585" s="272">
        <v>1583</v>
      </c>
      <c r="D1585" s="275"/>
      <c r="E1585" s="276"/>
      <c r="F1585" s="221"/>
      <c r="G1585" s="275"/>
      <c r="H1585" s="276"/>
      <c r="I1585" s="217"/>
      <c r="J1585" s="217"/>
      <c r="K1585" s="221"/>
      <c r="L1585" s="217"/>
      <c r="M1585" s="217"/>
      <c r="N1585" s="217"/>
      <c r="O1585" s="217"/>
      <c r="P1585" s="217"/>
    </row>
    <row r="1586" spans="3:16" ht="42" customHeight="1">
      <c r="C1586" s="272">
        <v>1584</v>
      </c>
      <c r="D1586" s="275"/>
      <c r="E1586" s="276"/>
      <c r="F1586" s="221"/>
      <c r="G1586" s="275"/>
      <c r="H1586" s="276"/>
      <c r="I1586" s="217"/>
      <c r="J1586" s="217"/>
      <c r="K1586" s="221"/>
      <c r="L1586" s="217"/>
      <c r="M1586" s="217"/>
      <c r="N1586" s="217"/>
      <c r="O1586" s="217"/>
      <c r="P1586" s="217"/>
    </row>
    <row r="1587" spans="3:16" ht="42" customHeight="1">
      <c r="C1587" s="272">
        <v>1585</v>
      </c>
      <c r="D1587" s="275"/>
      <c r="E1587" s="276"/>
      <c r="F1587" s="221"/>
      <c r="G1587" s="275"/>
      <c r="H1587" s="276"/>
      <c r="I1587" s="217"/>
      <c r="J1587" s="217"/>
      <c r="K1587" s="221"/>
      <c r="L1587" s="217"/>
      <c r="M1587" s="217"/>
      <c r="N1587" s="217"/>
      <c r="O1587" s="217"/>
      <c r="P1587" s="217"/>
    </row>
    <row r="1588" spans="3:16" ht="42" customHeight="1">
      <c r="C1588" s="272">
        <v>1586</v>
      </c>
      <c r="D1588" s="275"/>
      <c r="E1588" s="276"/>
      <c r="F1588" s="221"/>
      <c r="G1588" s="275"/>
      <c r="H1588" s="276"/>
      <c r="I1588" s="217"/>
      <c r="J1588" s="217"/>
      <c r="K1588" s="221"/>
      <c r="L1588" s="217"/>
      <c r="M1588" s="217"/>
      <c r="N1588" s="217"/>
      <c r="O1588" s="217"/>
      <c r="P1588" s="217"/>
    </row>
    <row r="1589" spans="3:16" ht="42" customHeight="1">
      <c r="C1589" s="272">
        <v>1587</v>
      </c>
      <c r="D1589" s="275"/>
      <c r="E1589" s="276"/>
      <c r="F1589" s="221"/>
      <c r="G1589" s="275"/>
      <c r="H1589" s="276"/>
      <c r="I1589" s="217"/>
      <c r="J1589" s="217"/>
      <c r="K1589" s="221"/>
      <c r="L1589" s="217"/>
      <c r="M1589" s="217"/>
      <c r="N1589" s="217"/>
      <c r="O1589" s="217"/>
      <c r="P1589" s="217"/>
    </row>
    <row r="1590" spans="3:16" ht="42" customHeight="1">
      <c r="C1590" s="272">
        <v>1588</v>
      </c>
      <c r="D1590" s="275"/>
      <c r="E1590" s="276"/>
      <c r="F1590" s="221"/>
      <c r="G1590" s="275"/>
      <c r="H1590" s="276"/>
      <c r="I1590" s="217"/>
      <c r="J1590" s="217"/>
      <c r="K1590" s="221"/>
      <c r="L1590" s="217"/>
      <c r="M1590" s="217"/>
      <c r="N1590" s="217"/>
      <c r="O1590" s="217"/>
      <c r="P1590" s="217"/>
    </row>
    <row r="1591" spans="3:16" ht="42" customHeight="1">
      <c r="C1591" s="272">
        <v>1589</v>
      </c>
      <c r="D1591" s="275"/>
      <c r="E1591" s="276"/>
      <c r="F1591" s="221"/>
      <c r="G1591" s="275"/>
      <c r="H1591" s="276"/>
      <c r="I1591" s="217"/>
      <c r="J1591" s="217"/>
      <c r="K1591" s="221"/>
      <c r="L1591" s="217"/>
      <c r="M1591" s="217"/>
      <c r="N1591" s="217"/>
      <c r="O1591" s="217"/>
      <c r="P1591" s="217"/>
    </row>
    <row r="1592" spans="3:16" ht="42" customHeight="1">
      <c r="C1592" s="272">
        <v>1590</v>
      </c>
      <c r="D1592" s="275"/>
      <c r="E1592" s="276"/>
      <c r="F1592" s="221"/>
      <c r="G1592" s="275"/>
      <c r="H1592" s="276"/>
      <c r="I1592" s="217"/>
      <c r="J1592" s="217"/>
      <c r="K1592" s="221"/>
      <c r="L1592" s="217"/>
      <c r="M1592" s="217"/>
      <c r="N1592" s="217"/>
      <c r="O1592" s="217"/>
      <c r="P1592" s="217"/>
    </row>
    <row r="1593" spans="3:16" ht="42" customHeight="1">
      <c r="C1593" s="272">
        <v>1591</v>
      </c>
      <c r="D1593" s="275"/>
      <c r="E1593" s="276"/>
      <c r="F1593" s="221"/>
      <c r="G1593" s="275"/>
      <c r="H1593" s="276"/>
      <c r="I1593" s="217"/>
      <c r="J1593" s="217"/>
      <c r="K1593" s="221"/>
      <c r="L1593" s="217"/>
      <c r="M1593" s="217"/>
      <c r="N1593" s="217"/>
      <c r="O1593" s="217"/>
      <c r="P1593" s="217"/>
    </row>
    <row r="1594" spans="3:16" ht="42" customHeight="1">
      <c r="C1594" s="272">
        <v>1592</v>
      </c>
      <c r="D1594" s="275"/>
      <c r="E1594" s="276"/>
      <c r="F1594" s="221"/>
      <c r="G1594" s="275"/>
      <c r="H1594" s="276"/>
      <c r="I1594" s="217"/>
      <c r="J1594" s="217"/>
      <c r="K1594" s="221"/>
      <c r="L1594" s="217"/>
      <c r="M1594" s="217"/>
      <c r="N1594" s="217"/>
      <c r="O1594" s="217"/>
      <c r="P1594" s="217"/>
    </row>
    <row r="1595" spans="3:16" ht="42" customHeight="1">
      <c r="C1595" s="272">
        <v>1593</v>
      </c>
      <c r="D1595" s="275"/>
      <c r="E1595" s="276"/>
      <c r="F1595" s="221"/>
      <c r="G1595" s="275"/>
      <c r="H1595" s="276"/>
      <c r="I1595" s="217"/>
      <c r="J1595" s="217"/>
      <c r="K1595" s="221"/>
      <c r="L1595" s="217"/>
      <c r="M1595" s="217"/>
      <c r="N1595" s="217"/>
      <c r="O1595" s="217"/>
      <c r="P1595" s="217"/>
    </row>
    <row r="1596" spans="3:16" ht="42" customHeight="1">
      <c r="C1596" s="272">
        <v>1594</v>
      </c>
      <c r="D1596" s="275"/>
      <c r="E1596" s="276"/>
      <c r="F1596" s="221"/>
      <c r="G1596" s="275"/>
      <c r="H1596" s="276"/>
      <c r="I1596" s="217"/>
      <c r="J1596" s="217"/>
      <c r="K1596" s="221"/>
      <c r="L1596" s="217"/>
      <c r="M1596" s="217"/>
      <c r="N1596" s="217"/>
      <c r="O1596" s="217"/>
      <c r="P1596" s="217"/>
    </row>
    <row r="1597" spans="3:16" ht="42" customHeight="1">
      <c r="C1597" s="272">
        <v>1595</v>
      </c>
      <c r="D1597" s="275"/>
      <c r="E1597" s="276"/>
      <c r="F1597" s="221"/>
      <c r="G1597" s="275"/>
      <c r="H1597" s="276"/>
      <c r="I1597" s="217"/>
      <c r="J1597" s="217"/>
      <c r="K1597" s="221"/>
      <c r="L1597" s="217"/>
      <c r="M1597" s="217"/>
      <c r="N1597" s="217"/>
      <c r="O1597" s="217"/>
      <c r="P1597" s="217"/>
    </row>
    <row r="1598" spans="3:16" ht="42" customHeight="1">
      <c r="C1598" s="272">
        <v>1596</v>
      </c>
      <c r="D1598" s="275"/>
      <c r="E1598" s="276"/>
      <c r="F1598" s="221"/>
      <c r="G1598" s="275"/>
      <c r="H1598" s="276"/>
      <c r="I1598" s="217"/>
      <c r="J1598" s="217"/>
      <c r="K1598" s="221"/>
      <c r="L1598" s="217"/>
      <c r="M1598" s="217"/>
      <c r="N1598" s="217"/>
      <c r="O1598" s="217"/>
      <c r="P1598" s="217"/>
    </row>
    <row r="1599" spans="3:16" ht="42" customHeight="1">
      <c r="C1599" s="272">
        <v>1597</v>
      </c>
      <c r="D1599" s="275"/>
      <c r="E1599" s="276"/>
      <c r="F1599" s="221"/>
      <c r="G1599" s="275"/>
      <c r="H1599" s="276"/>
      <c r="I1599" s="217"/>
      <c r="J1599" s="217"/>
      <c r="K1599" s="221"/>
      <c r="L1599" s="217"/>
      <c r="M1599" s="217"/>
      <c r="N1599" s="217"/>
      <c r="O1599" s="217"/>
      <c r="P1599" s="217"/>
    </row>
    <row r="1600" spans="3:16" ht="42" customHeight="1">
      <c r="C1600" s="272">
        <v>1598</v>
      </c>
      <c r="D1600" s="275"/>
      <c r="E1600" s="276"/>
      <c r="F1600" s="221"/>
      <c r="G1600" s="275"/>
      <c r="H1600" s="276"/>
      <c r="I1600" s="217"/>
      <c r="J1600" s="217"/>
      <c r="K1600" s="221"/>
      <c r="L1600" s="217"/>
      <c r="M1600" s="217"/>
      <c r="N1600" s="217"/>
      <c r="O1600" s="217"/>
      <c r="P1600" s="217"/>
    </row>
    <row r="1601" spans="3:16" ht="42" customHeight="1">
      <c r="C1601" s="272">
        <v>1599</v>
      </c>
      <c r="D1601" s="275"/>
      <c r="E1601" s="276"/>
      <c r="F1601" s="221"/>
      <c r="G1601" s="275"/>
      <c r="H1601" s="276"/>
      <c r="I1601" s="217"/>
      <c r="J1601" s="217"/>
      <c r="K1601" s="221"/>
      <c r="L1601" s="217"/>
      <c r="M1601" s="217"/>
      <c r="N1601" s="217"/>
      <c r="O1601" s="217"/>
      <c r="P1601" s="217"/>
    </row>
    <row r="1602" spans="3:16" ht="42" customHeight="1">
      <c r="C1602" s="272">
        <v>1600</v>
      </c>
      <c r="D1602" s="275"/>
      <c r="E1602" s="276"/>
      <c r="F1602" s="221"/>
      <c r="G1602" s="275"/>
      <c r="H1602" s="276"/>
      <c r="I1602" s="217"/>
      <c r="J1602" s="217"/>
      <c r="K1602" s="221"/>
      <c r="L1602" s="217"/>
      <c r="M1602" s="217"/>
      <c r="N1602" s="217"/>
      <c r="O1602" s="217"/>
      <c r="P1602" s="217"/>
    </row>
    <row r="1603" spans="3:16" ht="42" customHeight="1">
      <c r="C1603" s="272">
        <v>1601</v>
      </c>
      <c r="D1603" s="275"/>
      <c r="E1603" s="276"/>
      <c r="F1603" s="221"/>
      <c r="G1603" s="275"/>
      <c r="H1603" s="276"/>
      <c r="I1603" s="217"/>
      <c r="J1603" s="217"/>
      <c r="K1603" s="221"/>
      <c r="L1603" s="217"/>
      <c r="M1603" s="217"/>
      <c r="N1603" s="217"/>
      <c r="O1603" s="217"/>
      <c r="P1603" s="217"/>
    </row>
    <row r="1604" spans="3:16" ht="42" customHeight="1">
      <c r="C1604" s="272">
        <v>1602</v>
      </c>
      <c r="D1604" s="275"/>
      <c r="E1604" s="276"/>
      <c r="F1604" s="221"/>
      <c r="G1604" s="275"/>
      <c r="H1604" s="276"/>
      <c r="I1604" s="217"/>
      <c r="J1604" s="217"/>
      <c r="K1604" s="221"/>
      <c r="L1604" s="217"/>
      <c r="M1604" s="217"/>
      <c r="N1604" s="217"/>
      <c r="O1604" s="217"/>
      <c r="P1604" s="217"/>
    </row>
    <row r="1605" spans="3:16" ht="42" customHeight="1">
      <c r="C1605" s="272">
        <v>1603</v>
      </c>
      <c r="D1605" s="275"/>
      <c r="E1605" s="276"/>
      <c r="F1605" s="221"/>
      <c r="G1605" s="275"/>
      <c r="H1605" s="276"/>
      <c r="I1605" s="217"/>
      <c r="J1605" s="217"/>
      <c r="K1605" s="221"/>
      <c r="L1605" s="217"/>
      <c r="M1605" s="217"/>
      <c r="N1605" s="217"/>
      <c r="O1605" s="217"/>
      <c r="P1605" s="217"/>
    </row>
    <row r="1606" spans="3:16" ht="42" customHeight="1">
      <c r="C1606" s="272">
        <v>1604</v>
      </c>
      <c r="D1606" s="275"/>
      <c r="E1606" s="276"/>
      <c r="F1606" s="221"/>
      <c r="G1606" s="275"/>
      <c r="H1606" s="276"/>
      <c r="I1606" s="217"/>
      <c r="J1606" s="217"/>
      <c r="K1606" s="221"/>
      <c r="L1606" s="217"/>
      <c r="M1606" s="217"/>
      <c r="N1606" s="217"/>
      <c r="O1606" s="217"/>
      <c r="P1606" s="217"/>
    </row>
    <row r="1607" spans="3:16" ht="42" customHeight="1">
      <c r="C1607" s="272">
        <v>1605</v>
      </c>
      <c r="D1607" s="275"/>
      <c r="E1607" s="276"/>
      <c r="F1607" s="221"/>
      <c r="G1607" s="275"/>
      <c r="H1607" s="276"/>
      <c r="I1607" s="217"/>
      <c r="J1607" s="217"/>
      <c r="K1607" s="221"/>
      <c r="L1607" s="217"/>
      <c r="M1607" s="217"/>
      <c r="N1607" s="217"/>
      <c r="O1607" s="217"/>
      <c r="P1607" s="217"/>
    </row>
    <row r="1608" spans="3:16" ht="42" customHeight="1">
      <c r="C1608" s="272">
        <v>1606</v>
      </c>
      <c r="D1608" s="275"/>
      <c r="E1608" s="276"/>
      <c r="F1608" s="221"/>
      <c r="G1608" s="275"/>
      <c r="H1608" s="276"/>
      <c r="I1608" s="217"/>
      <c r="J1608" s="217"/>
      <c r="K1608" s="221"/>
      <c r="L1608" s="217"/>
      <c r="M1608" s="217"/>
      <c r="N1608" s="217"/>
      <c r="O1608" s="217"/>
      <c r="P1608" s="217"/>
    </row>
    <row r="1609" spans="3:16" ht="42" customHeight="1">
      <c r="C1609" s="272">
        <v>1607</v>
      </c>
      <c r="D1609" s="275"/>
      <c r="E1609" s="276"/>
      <c r="F1609" s="221"/>
      <c r="G1609" s="275"/>
      <c r="H1609" s="276"/>
      <c r="I1609" s="217"/>
      <c r="J1609" s="217"/>
      <c r="K1609" s="221"/>
      <c r="L1609" s="217"/>
      <c r="M1609" s="217"/>
      <c r="N1609" s="217"/>
      <c r="O1609" s="217"/>
      <c r="P1609" s="217"/>
    </row>
    <row r="1610" spans="3:16" ht="42" customHeight="1">
      <c r="C1610" s="272">
        <v>1608</v>
      </c>
      <c r="D1610" s="275"/>
      <c r="E1610" s="276"/>
      <c r="F1610" s="221"/>
      <c r="G1610" s="275"/>
      <c r="H1610" s="276"/>
      <c r="I1610" s="217"/>
      <c r="J1610" s="217"/>
      <c r="K1610" s="221"/>
      <c r="L1610" s="217"/>
      <c r="M1610" s="217"/>
      <c r="N1610" s="217"/>
      <c r="O1610" s="217"/>
      <c r="P1610" s="217"/>
    </row>
    <row r="1611" spans="3:16" ht="42" customHeight="1">
      <c r="C1611" s="272">
        <v>1609</v>
      </c>
      <c r="D1611" s="275"/>
      <c r="E1611" s="276"/>
      <c r="F1611" s="221"/>
      <c r="G1611" s="275"/>
      <c r="H1611" s="276"/>
      <c r="I1611" s="217"/>
      <c r="J1611" s="217"/>
      <c r="K1611" s="221"/>
      <c r="L1611" s="217"/>
      <c r="M1611" s="217"/>
      <c r="N1611" s="217"/>
      <c r="O1611" s="217"/>
      <c r="P1611" s="217"/>
    </row>
    <row r="1612" spans="3:16" ht="42" customHeight="1">
      <c r="C1612" s="272">
        <v>1610</v>
      </c>
      <c r="D1612" s="275"/>
      <c r="E1612" s="276"/>
      <c r="F1612" s="221"/>
      <c r="G1612" s="275"/>
      <c r="H1612" s="276"/>
      <c r="I1612" s="217"/>
      <c r="J1612" s="217"/>
      <c r="K1612" s="221"/>
      <c r="L1612" s="217"/>
      <c r="M1612" s="217"/>
      <c r="N1612" s="217"/>
      <c r="O1612" s="217"/>
      <c r="P1612" s="217"/>
    </row>
    <row r="1613" spans="3:16" ht="42" customHeight="1">
      <c r="C1613" s="272">
        <v>1611</v>
      </c>
      <c r="D1613" s="275"/>
      <c r="E1613" s="276"/>
      <c r="F1613" s="221"/>
      <c r="G1613" s="275"/>
      <c r="H1613" s="276"/>
      <c r="I1613" s="217"/>
      <c r="J1613" s="217"/>
      <c r="K1613" s="221"/>
      <c r="L1613" s="217"/>
      <c r="M1613" s="217"/>
      <c r="N1613" s="217"/>
      <c r="O1613" s="217"/>
      <c r="P1613" s="217"/>
    </row>
    <row r="1614" spans="3:16" ht="42" customHeight="1">
      <c r="C1614" s="272">
        <v>1612</v>
      </c>
      <c r="D1614" s="275"/>
      <c r="E1614" s="276"/>
      <c r="F1614" s="221"/>
      <c r="G1614" s="275"/>
      <c r="H1614" s="276"/>
      <c r="I1614" s="217"/>
      <c r="J1614" s="217"/>
      <c r="K1614" s="221"/>
      <c r="L1614" s="217"/>
      <c r="M1614" s="217"/>
      <c r="N1614" s="217"/>
      <c r="O1614" s="217"/>
      <c r="P1614" s="217"/>
    </row>
    <row r="1615" spans="3:16" ht="42" customHeight="1">
      <c r="C1615" s="272">
        <v>1613</v>
      </c>
      <c r="D1615" s="275"/>
      <c r="E1615" s="276"/>
      <c r="F1615" s="221"/>
      <c r="G1615" s="275"/>
      <c r="H1615" s="276"/>
      <c r="I1615" s="217"/>
      <c r="J1615" s="217"/>
      <c r="K1615" s="221"/>
      <c r="L1615" s="217"/>
      <c r="M1615" s="217"/>
      <c r="N1615" s="217"/>
      <c r="O1615" s="217"/>
      <c r="P1615" s="217"/>
    </row>
    <row r="1616" spans="3:16" ht="42" customHeight="1">
      <c r="C1616" s="272">
        <v>1614</v>
      </c>
      <c r="D1616" s="275"/>
      <c r="E1616" s="276"/>
      <c r="F1616" s="221"/>
      <c r="G1616" s="275"/>
      <c r="H1616" s="276"/>
      <c r="I1616" s="217"/>
      <c r="J1616" s="217"/>
      <c r="K1616" s="221"/>
      <c r="L1616" s="217"/>
      <c r="M1616" s="217"/>
      <c r="N1616" s="217"/>
      <c r="O1616" s="217"/>
      <c r="P1616" s="217"/>
    </row>
    <row r="1617" spans="3:16" ht="42" customHeight="1">
      <c r="C1617" s="272">
        <v>1615</v>
      </c>
      <c r="D1617" s="275"/>
      <c r="E1617" s="276"/>
      <c r="F1617" s="221"/>
      <c r="G1617" s="275"/>
      <c r="H1617" s="276"/>
      <c r="I1617" s="217"/>
      <c r="J1617" s="217"/>
      <c r="K1617" s="221"/>
      <c r="L1617" s="217"/>
      <c r="M1617" s="217"/>
      <c r="N1617" s="217"/>
      <c r="O1617" s="217"/>
      <c r="P1617" s="217"/>
    </row>
    <row r="1618" spans="3:16" ht="42" customHeight="1">
      <c r="C1618" s="272">
        <v>1616</v>
      </c>
      <c r="D1618" s="275"/>
      <c r="E1618" s="276"/>
      <c r="F1618" s="221"/>
      <c r="G1618" s="275"/>
      <c r="H1618" s="276"/>
      <c r="I1618" s="217"/>
      <c r="J1618" s="217"/>
      <c r="K1618" s="221"/>
      <c r="L1618" s="217"/>
      <c r="M1618" s="217"/>
      <c r="N1618" s="217"/>
      <c r="O1618" s="217"/>
      <c r="P1618" s="217"/>
    </row>
    <row r="1619" spans="3:16" ht="42" customHeight="1">
      <c r="C1619" s="272">
        <v>1617</v>
      </c>
      <c r="D1619" s="275"/>
      <c r="E1619" s="276"/>
      <c r="F1619" s="221"/>
      <c r="G1619" s="275"/>
      <c r="H1619" s="276"/>
      <c r="I1619" s="217"/>
      <c r="J1619" s="217"/>
      <c r="K1619" s="221"/>
      <c r="L1619" s="217"/>
      <c r="M1619" s="217"/>
      <c r="N1619" s="217"/>
      <c r="O1619" s="217"/>
      <c r="P1619" s="217"/>
    </row>
    <row r="1620" spans="3:16" ht="42" customHeight="1">
      <c r="C1620" s="272">
        <v>1618</v>
      </c>
      <c r="D1620" s="275"/>
      <c r="E1620" s="276"/>
      <c r="F1620" s="221"/>
      <c r="G1620" s="275"/>
      <c r="H1620" s="276"/>
      <c r="I1620" s="217"/>
      <c r="J1620" s="217"/>
      <c r="K1620" s="221"/>
      <c r="L1620" s="217"/>
      <c r="M1620" s="217"/>
      <c r="N1620" s="217"/>
      <c r="O1620" s="217"/>
      <c r="P1620" s="217"/>
    </row>
    <row r="1621" spans="3:16" ht="42" customHeight="1">
      <c r="C1621" s="272">
        <v>1619</v>
      </c>
      <c r="D1621" s="275"/>
      <c r="E1621" s="276"/>
      <c r="F1621" s="221"/>
      <c r="G1621" s="275"/>
      <c r="H1621" s="276"/>
      <c r="I1621" s="217"/>
      <c r="J1621" s="217"/>
      <c r="K1621" s="221"/>
      <c r="L1621" s="217"/>
      <c r="M1621" s="217"/>
      <c r="N1621" s="217"/>
      <c r="O1621" s="217"/>
      <c r="P1621" s="217"/>
    </row>
    <row r="1622" spans="3:16" ht="42" customHeight="1">
      <c r="C1622" s="272">
        <v>1620</v>
      </c>
      <c r="D1622" s="275"/>
      <c r="E1622" s="276"/>
      <c r="F1622" s="221"/>
      <c r="G1622" s="275"/>
      <c r="H1622" s="276"/>
      <c r="I1622" s="217"/>
      <c r="J1622" s="217"/>
      <c r="K1622" s="221"/>
      <c r="L1622" s="217"/>
      <c r="M1622" s="217"/>
      <c r="N1622" s="217"/>
      <c r="O1622" s="217"/>
      <c r="P1622" s="217"/>
    </row>
    <row r="1623" spans="3:16" ht="42" customHeight="1">
      <c r="C1623" s="272">
        <v>1621</v>
      </c>
      <c r="D1623" s="275"/>
      <c r="E1623" s="276"/>
      <c r="F1623" s="221"/>
      <c r="G1623" s="275"/>
      <c r="H1623" s="276"/>
      <c r="I1623" s="217"/>
      <c r="J1623" s="217"/>
      <c r="K1623" s="221"/>
      <c r="L1623" s="217"/>
      <c r="M1623" s="217"/>
      <c r="N1623" s="217"/>
      <c r="O1623" s="217"/>
      <c r="P1623" s="217"/>
    </row>
    <row r="1624" spans="3:16" ht="42" customHeight="1">
      <c r="C1624" s="272">
        <v>1622</v>
      </c>
      <c r="D1624" s="275"/>
      <c r="E1624" s="276"/>
      <c r="F1624" s="221"/>
      <c r="G1624" s="275"/>
      <c r="H1624" s="276"/>
      <c r="I1624" s="217"/>
      <c r="J1624" s="217"/>
      <c r="K1624" s="221"/>
      <c r="L1624" s="217"/>
      <c r="M1624" s="217"/>
      <c r="N1624" s="217"/>
      <c r="O1624" s="217"/>
      <c r="P1624" s="217"/>
    </row>
    <row r="1625" spans="3:16" ht="42" customHeight="1">
      <c r="C1625" s="272">
        <v>1623</v>
      </c>
      <c r="D1625" s="275"/>
      <c r="E1625" s="276"/>
      <c r="F1625" s="221"/>
      <c r="G1625" s="275"/>
      <c r="H1625" s="276"/>
      <c r="I1625" s="217"/>
      <c r="J1625" s="217"/>
      <c r="K1625" s="221"/>
      <c r="L1625" s="217"/>
      <c r="M1625" s="217"/>
      <c r="N1625" s="217"/>
      <c r="O1625" s="217"/>
      <c r="P1625" s="217"/>
    </row>
    <row r="1626" spans="3:16" ht="42" customHeight="1">
      <c r="C1626" s="272">
        <v>1624</v>
      </c>
      <c r="D1626" s="275"/>
      <c r="E1626" s="276"/>
      <c r="F1626" s="221"/>
      <c r="G1626" s="275"/>
      <c r="H1626" s="276"/>
      <c r="I1626" s="217"/>
      <c r="J1626" s="217"/>
      <c r="K1626" s="221"/>
      <c r="L1626" s="217"/>
      <c r="M1626" s="217"/>
      <c r="N1626" s="217"/>
      <c r="O1626" s="217"/>
      <c r="P1626" s="217"/>
    </row>
    <row r="1627" spans="3:16" ht="42" customHeight="1">
      <c r="C1627" s="272">
        <v>1625</v>
      </c>
      <c r="D1627" s="275"/>
      <c r="E1627" s="276"/>
      <c r="F1627" s="221"/>
      <c r="G1627" s="275"/>
      <c r="H1627" s="276"/>
      <c r="I1627" s="217"/>
      <c r="J1627" s="217"/>
      <c r="K1627" s="221"/>
      <c r="L1627" s="217"/>
      <c r="M1627" s="217"/>
      <c r="N1627" s="217"/>
      <c r="O1627" s="217"/>
      <c r="P1627" s="217"/>
    </row>
    <row r="1628" spans="3:16" ht="42" customHeight="1">
      <c r="C1628" s="272">
        <v>1626</v>
      </c>
      <c r="D1628" s="275"/>
      <c r="E1628" s="276"/>
      <c r="F1628" s="221"/>
      <c r="G1628" s="275"/>
      <c r="H1628" s="276"/>
      <c r="I1628" s="217"/>
      <c r="J1628" s="217"/>
      <c r="K1628" s="221"/>
      <c r="L1628" s="217"/>
      <c r="M1628" s="217"/>
      <c r="N1628" s="217"/>
      <c r="O1628" s="217"/>
      <c r="P1628" s="217"/>
    </row>
    <row r="1629" spans="3:16" ht="42" customHeight="1">
      <c r="C1629" s="272">
        <v>1627</v>
      </c>
      <c r="D1629" s="275"/>
      <c r="E1629" s="276"/>
      <c r="F1629" s="221"/>
      <c r="G1629" s="275"/>
      <c r="H1629" s="276"/>
      <c r="I1629" s="217"/>
      <c r="J1629" s="217"/>
      <c r="K1629" s="221"/>
      <c r="L1629" s="217"/>
      <c r="M1629" s="217"/>
      <c r="N1629" s="217"/>
      <c r="O1629" s="217"/>
      <c r="P1629" s="217"/>
    </row>
    <row r="1630" spans="3:16" ht="42" customHeight="1">
      <c r="C1630" s="272">
        <v>1628</v>
      </c>
      <c r="D1630" s="275"/>
      <c r="E1630" s="276"/>
      <c r="F1630" s="221"/>
      <c r="G1630" s="275"/>
      <c r="H1630" s="276"/>
      <c r="I1630" s="217"/>
      <c r="J1630" s="217"/>
      <c r="K1630" s="221"/>
      <c r="L1630" s="217"/>
      <c r="M1630" s="217"/>
      <c r="N1630" s="217"/>
      <c r="O1630" s="217"/>
      <c r="P1630" s="217"/>
    </row>
    <row r="1631" spans="3:16" ht="42" customHeight="1">
      <c r="C1631" s="272">
        <v>1629</v>
      </c>
      <c r="D1631" s="275"/>
      <c r="E1631" s="276"/>
      <c r="F1631" s="221"/>
      <c r="G1631" s="275"/>
      <c r="H1631" s="276"/>
      <c r="I1631" s="217"/>
      <c r="J1631" s="217"/>
      <c r="K1631" s="221"/>
      <c r="L1631" s="217"/>
      <c r="M1631" s="217"/>
      <c r="N1631" s="217"/>
      <c r="O1631" s="217"/>
      <c r="P1631" s="217"/>
    </row>
    <row r="1632" spans="3:16" ht="42" customHeight="1">
      <c r="C1632" s="272">
        <v>1630</v>
      </c>
      <c r="D1632" s="275"/>
      <c r="E1632" s="276"/>
      <c r="F1632" s="221"/>
      <c r="G1632" s="275"/>
      <c r="H1632" s="276"/>
      <c r="I1632" s="217"/>
      <c r="J1632" s="217"/>
      <c r="K1632" s="221"/>
      <c r="L1632" s="217"/>
      <c r="M1632" s="217"/>
      <c r="N1632" s="217"/>
      <c r="O1632" s="217"/>
      <c r="P1632" s="217"/>
    </row>
    <row r="1633" spans="3:16" ht="42" customHeight="1">
      <c r="C1633" s="272">
        <v>1631</v>
      </c>
      <c r="D1633" s="275"/>
      <c r="E1633" s="276"/>
      <c r="F1633" s="221"/>
      <c r="G1633" s="275"/>
      <c r="H1633" s="276"/>
      <c r="I1633" s="217"/>
      <c r="J1633" s="217"/>
      <c r="K1633" s="221"/>
      <c r="L1633" s="217"/>
      <c r="M1633" s="217"/>
      <c r="N1633" s="217"/>
      <c r="O1633" s="217"/>
      <c r="P1633" s="217"/>
    </row>
    <row r="1634" spans="3:16" ht="42" customHeight="1">
      <c r="C1634" s="272">
        <v>1632</v>
      </c>
      <c r="D1634" s="275"/>
      <c r="E1634" s="276"/>
      <c r="F1634" s="221"/>
      <c r="G1634" s="275"/>
      <c r="H1634" s="276"/>
      <c r="I1634" s="217"/>
      <c r="J1634" s="217"/>
      <c r="K1634" s="221"/>
      <c r="L1634" s="217"/>
      <c r="M1634" s="217"/>
      <c r="N1634" s="217"/>
      <c r="O1634" s="217"/>
      <c r="P1634" s="217"/>
    </row>
    <row r="1635" spans="3:16" ht="42" customHeight="1">
      <c r="C1635" s="272">
        <v>1633</v>
      </c>
      <c r="D1635" s="275"/>
      <c r="E1635" s="276"/>
      <c r="F1635" s="221"/>
      <c r="G1635" s="275"/>
      <c r="H1635" s="276"/>
      <c r="I1635" s="217"/>
      <c r="J1635" s="217"/>
      <c r="K1635" s="221"/>
      <c r="L1635" s="217"/>
      <c r="M1635" s="217"/>
      <c r="N1635" s="217"/>
      <c r="O1635" s="217"/>
      <c r="P1635" s="217"/>
    </row>
    <row r="1636" spans="3:16" ht="42" customHeight="1">
      <c r="C1636" s="272">
        <v>1634</v>
      </c>
      <c r="D1636" s="275"/>
      <c r="E1636" s="276"/>
      <c r="F1636" s="221"/>
      <c r="G1636" s="275"/>
      <c r="H1636" s="276"/>
      <c r="I1636" s="217"/>
      <c r="J1636" s="217"/>
      <c r="K1636" s="221"/>
      <c r="L1636" s="217"/>
      <c r="M1636" s="217"/>
      <c r="N1636" s="217"/>
      <c r="O1636" s="217"/>
      <c r="P1636" s="217"/>
    </row>
    <row r="1637" spans="3:16" ht="42" customHeight="1">
      <c r="C1637" s="272">
        <v>1635</v>
      </c>
      <c r="D1637" s="275"/>
      <c r="E1637" s="276"/>
      <c r="F1637" s="221"/>
      <c r="G1637" s="275"/>
      <c r="H1637" s="276"/>
      <c r="I1637" s="217"/>
      <c r="J1637" s="217"/>
      <c r="K1637" s="221"/>
      <c r="L1637" s="217"/>
      <c r="M1637" s="217"/>
      <c r="N1637" s="217"/>
      <c r="O1637" s="217"/>
      <c r="P1637" s="217"/>
    </row>
    <row r="1638" spans="3:16" ht="42" customHeight="1">
      <c r="C1638" s="272">
        <v>1636</v>
      </c>
      <c r="D1638" s="275"/>
      <c r="E1638" s="276"/>
      <c r="F1638" s="221"/>
      <c r="G1638" s="275"/>
      <c r="H1638" s="276"/>
      <c r="I1638" s="217"/>
      <c r="J1638" s="217"/>
      <c r="K1638" s="221"/>
      <c r="L1638" s="217"/>
      <c r="M1638" s="217"/>
      <c r="N1638" s="217"/>
      <c r="O1638" s="217"/>
      <c r="P1638" s="217"/>
    </row>
    <row r="1639" spans="3:16" ht="42" customHeight="1">
      <c r="C1639" s="272">
        <v>1637</v>
      </c>
      <c r="D1639" s="275"/>
      <c r="E1639" s="276"/>
      <c r="F1639" s="221"/>
      <c r="G1639" s="275"/>
      <c r="H1639" s="276"/>
      <c r="I1639" s="217"/>
      <c r="J1639" s="217"/>
      <c r="K1639" s="221"/>
      <c r="L1639" s="217"/>
      <c r="M1639" s="217"/>
      <c r="N1639" s="217"/>
      <c r="O1639" s="217"/>
      <c r="P1639" s="217"/>
    </row>
    <row r="1640" spans="3:16" ht="42" customHeight="1">
      <c r="C1640" s="272">
        <v>1638</v>
      </c>
      <c r="D1640" s="275"/>
      <c r="E1640" s="276"/>
      <c r="F1640" s="221"/>
      <c r="G1640" s="275"/>
      <c r="H1640" s="276"/>
      <c r="I1640" s="217"/>
      <c r="J1640" s="217"/>
      <c r="K1640" s="221"/>
      <c r="L1640" s="217"/>
      <c r="M1640" s="217"/>
      <c r="N1640" s="217"/>
      <c r="O1640" s="217"/>
      <c r="P1640" s="217"/>
    </row>
    <row r="1641" spans="3:16" ht="42" customHeight="1">
      <c r="C1641" s="272">
        <v>1639</v>
      </c>
      <c r="D1641" s="275"/>
      <c r="E1641" s="276"/>
      <c r="F1641" s="221"/>
      <c r="G1641" s="275"/>
      <c r="H1641" s="276"/>
      <c r="I1641" s="217"/>
      <c r="J1641" s="217"/>
      <c r="K1641" s="221"/>
      <c r="L1641" s="217"/>
      <c r="M1641" s="217"/>
      <c r="N1641" s="217"/>
      <c r="O1641" s="217"/>
      <c r="P1641" s="217"/>
    </row>
    <row r="1642" spans="3:16" ht="42" customHeight="1">
      <c r="C1642" s="272">
        <v>1640</v>
      </c>
      <c r="D1642" s="275"/>
      <c r="E1642" s="276"/>
      <c r="F1642" s="221"/>
      <c r="G1642" s="275"/>
      <c r="H1642" s="276"/>
      <c r="I1642" s="217"/>
      <c r="J1642" s="217"/>
      <c r="K1642" s="221"/>
      <c r="L1642" s="217"/>
      <c r="M1642" s="217"/>
      <c r="N1642" s="217"/>
      <c r="O1642" s="217"/>
      <c r="P1642" s="217"/>
    </row>
    <row r="1643" spans="3:16" ht="42" customHeight="1">
      <c r="C1643" s="272">
        <v>1641</v>
      </c>
      <c r="D1643" s="275"/>
      <c r="E1643" s="276"/>
      <c r="F1643" s="221"/>
      <c r="G1643" s="275"/>
      <c r="H1643" s="276"/>
      <c r="I1643" s="217"/>
      <c r="J1643" s="217"/>
      <c r="K1643" s="221"/>
      <c r="L1643" s="217"/>
      <c r="M1643" s="217"/>
      <c r="N1643" s="217"/>
      <c r="O1643" s="217"/>
      <c r="P1643" s="217"/>
    </row>
    <row r="1644" spans="3:16" ht="42" customHeight="1">
      <c r="C1644" s="272">
        <v>1642</v>
      </c>
      <c r="D1644" s="275"/>
      <c r="E1644" s="276"/>
      <c r="F1644" s="221"/>
      <c r="G1644" s="275"/>
      <c r="H1644" s="276"/>
      <c r="I1644" s="217"/>
      <c r="J1644" s="217"/>
      <c r="K1644" s="221"/>
      <c r="L1644" s="217"/>
      <c r="M1644" s="217"/>
      <c r="N1644" s="217"/>
      <c r="O1644" s="217"/>
      <c r="P1644" s="217"/>
    </row>
    <row r="1645" spans="3:16" ht="42" customHeight="1">
      <c r="C1645" s="272">
        <v>1643</v>
      </c>
      <c r="D1645" s="275"/>
      <c r="E1645" s="276"/>
      <c r="F1645" s="221"/>
      <c r="G1645" s="275"/>
      <c r="H1645" s="276"/>
      <c r="I1645" s="217"/>
      <c r="J1645" s="217"/>
      <c r="K1645" s="221"/>
      <c r="L1645" s="217"/>
      <c r="M1645" s="217"/>
      <c r="N1645" s="217"/>
      <c r="O1645" s="217"/>
      <c r="P1645" s="217"/>
    </row>
    <row r="1646" spans="3:16" ht="42" customHeight="1">
      <c r="C1646" s="272">
        <v>1644</v>
      </c>
      <c r="D1646" s="275"/>
      <c r="E1646" s="276"/>
      <c r="F1646" s="221"/>
      <c r="G1646" s="275"/>
      <c r="H1646" s="276"/>
      <c r="I1646" s="217"/>
      <c r="J1646" s="217"/>
      <c r="K1646" s="221"/>
      <c r="L1646" s="217"/>
      <c r="M1646" s="217"/>
      <c r="N1646" s="217"/>
      <c r="O1646" s="217"/>
      <c r="P1646" s="217"/>
    </row>
    <row r="1647" spans="3:16" ht="42" customHeight="1">
      <c r="C1647" s="272">
        <v>1645</v>
      </c>
      <c r="D1647" s="275"/>
      <c r="E1647" s="276"/>
      <c r="F1647" s="221"/>
      <c r="G1647" s="275"/>
      <c r="H1647" s="276"/>
      <c r="I1647" s="217"/>
      <c r="J1647" s="217"/>
      <c r="K1647" s="221"/>
      <c r="L1647" s="217"/>
      <c r="M1647" s="217"/>
      <c r="N1647" s="217"/>
      <c r="O1647" s="217"/>
      <c r="P1647" s="217"/>
    </row>
    <row r="1648" spans="3:16" ht="42" customHeight="1">
      <c r="C1648" s="272">
        <v>1646</v>
      </c>
      <c r="D1648" s="275"/>
      <c r="E1648" s="276"/>
      <c r="F1648" s="221"/>
      <c r="G1648" s="275"/>
      <c r="H1648" s="276"/>
      <c r="I1648" s="217"/>
      <c r="J1648" s="217"/>
      <c r="K1648" s="221"/>
      <c r="L1648" s="217"/>
      <c r="M1648" s="217"/>
      <c r="N1648" s="217"/>
      <c r="O1648" s="217"/>
      <c r="P1648" s="217"/>
    </row>
    <row r="1649" spans="3:16" ht="42" customHeight="1">
      <c r="C1649" s="272">
        <v>1647</v>
      </c>
      <c r="D1649" s="275"/>
      <c r="E1649" s="276"/>
      <c r="F1649" s="221"/>
      <c r="G1649" s="275"/>
      <c r="H1649" s="276"/>
      <c r="I1649" s="217"/>
      <c r="J1649" s="217"/>
      <c r="K1649" s="221"/>
      <c r="L1649" s="217"/>
      <c r="M1649" s="217"/>
      <c r="N1649" s="217"/>
      <c r="O1649" s="217"/>
      <c r="P1649" s="217"/>
    </row>
    <row r="1650" spans="3:16" ht="42" customHeight="1">
      <c r="C1650" s="272">
        <v>1648</v>
      </c>
      <c r="D1650" s="275"/>
      <c r="E1650" s="276"/>
      <c r="F1650" s="221"/>
      <c r="G1650" s="275"/>
      <c r="H1650" s="276"/>
      <c r="I1650" s="217"/>
      <c r="J1650" s="217"/>
      <c r="K1650" s="221"/>
      <c r="L1650" s="217"/>
      <c r="M1650" s="217"/>
      <c r="N1650" s="217"/>
      <c r="O1650" s="217"/>
      <c r="P1650" s="217"/>
    </row>
    <row r="1651" spans="3:16" ht="42" customHeight="1">
      <c r="C1651" s="272">
        <v>1649</v>
      </c>
      <c r="D1651" s="275"/>
      <c r="E1651" s="276"/>
      <c r="F1651" s="221"/>
      <c r="G1651" s="275"/>
      <c r="H1651" s="276"/>
      <c r="I1651" s="217"/>
      <c r="J1651" s="217"/>
      <c r="K1651" s="221"/>
      <c r="L1651" s="217"/>
      <c r="M1651" s="217"/>
      <c r="N1651" s="217"/>
      <c r="O1651" s="217"/>
      <c r="P1651" s="217"/>
    </row>
    <row r="1652" spans="3:16" ht="42" customHeight="1">
      <c r="C1652" s="272">
        <v>1650</v>
      </c>
      <c r="D1652" s="275"/>
      <c r="E1652" s="276"/>
      <c r="F1652" s="221"/>
      <c r="G1652" s="275"/>
      <c r="H1652" s="276"/>
      <c r="I1652" s="217"/>
      <c r="J1652" s="217"/>
      <c r="K1652" s="221"/>
      <c r="L1652" s="217"/>
      <c r="M1652" s="217"/>
      <c r="N1652" s="217"/>
      <c r="O1652" s="217"/>
      <c r="P1652" s="217"/>
    </row>
    <row r="1653" spans="3:16" ht="42" customHeight="1">
      <c r="C1653" s="272">
        <v>1651</v>
      </c>
      <c r="D1653" s="275"/>
      <c r="E1653" s="276"/>
      <c r="F1653" s="221"/>
      <c r="G1653" s="275"/>
      <c r="H1653" s="276"/>
      <c r="I1653" s="217"/>
      <c r="J1653" s="217"/>
      <c r="K1653" s="221"/>
      <c r="L1653" s="217"/>
      <c r="M1653" s="217"/>
      <c r="N1653" s="217"/>
      <c r="O1653" s="217"/>
      <c r="P1653" s="217"/>
    </row>
    <row r="1654" spans="3:16" ht="42" customHeight="1">
      <c r="C1654" s="272">
        <v>1652</v>
      </c>
      <c r="D1654" s="275"/>
      <c r="E1654" s="276"/>
      <c r="F1654" s="221"/>
      <c r="G1654" s="275"/>
      <c r="H1654" s="276"/>
      <c r="I1654" s="217"/>
      <c r="J1654" s="217"/>
      <c r="K1654" s="221"/>
      <c r="L1654" s="217"/>
      <c r="M1654" s="217"/>
      <c r="N1654" s="217"/>
      <c r="O1654" s="217"/>
      <c r="P1654" s="217"/>
    </row>
    <row r="1655" spans="3:16" ht="42" customHeight="1">
      <c r="C1655" s="272">
        <v>1653</v>
      </c>
      <c r="D1655" s="275"/>
      <c r="E1655" s="276"/>
      <c r="F1655" s="221"/>
      <c r="G1655" s="275"/>
      <c r="H1655" s="276"/>
      <c r="I1655" s="217"/>
      <c r="J1655" s="217"/>
      <c r="K1655" s="221"/>
      <c r="L1655" s="217"/>
      <c r="M1655" s="217"/>
      <c r="N1655" s="217"/>
      <c r="O1655" s="217"/>
      <c r="P1655" s="217"/>
    </row>
    <row r="1656" spans="3:16" ht="42" customHeight="1">
      <c r="C1656" s="272">
        <v>1654</v>
      </c>
      <c r="D1656" s="275"/>
      <c r="E1656" s="276"/>
      <c r="F1656" s="221"/>
      <c r="G1656" s="275"/>
      <c r="H1656" s="276"/>
      <c r="I1656" s="217"/>
      <c r="J1656" s="217"/>
      <c r="K1656" s="221"/>
      <c r="L1656" s="217"/>
      <c r="M1656" s="217"/>
      <c r="N1656" s="217"/>
      <c r="O1656" s="217"/>
      <c r="P1656" s="217"/>
    </row>
    <row r="1657" spans="3:16" ht="42" customHeight="1">
      <c r="C1657" s="272">
        <v>1655</v>
      </c>
      <c r="D1657" s="275"/>
      <c r="E1657" s="276"/>
      <c r="F1657" s="221"/>
      <c r="G1657" s="275"/>
      <c r="H1657" s="276"/>
      <c r="I1657" s="217"/>
      <c r="J1657" s="217"/>
      <c r="K1657" s="221"/>
      <c r="L1657" s="217"/>
      <c r="M1657" s="217"/>
      <c r="N1657" s="217"/>
      <c r="O1657" s="217"/>
      <c r="P1657" s="217"/>
    </row>
    <row r="1658" spans="3:16" ht="42" customHeight="1">
      <c r="C1658" s="272">
        <v>1656</v>
      </c>
      <c r="D1658" s="275"/>
      <c r="E1658" s="276"/>
      <c r="F1658" s="221"/>
      <c r="G1658" s="275"/>
      <c r="H1658" s="276"/>
      <c r="I1658" s="217"/>
      <c r="J1658" s="217"/>
      <c r="K1658" s="221"/>
      <c r="L1658" s="217"/>
      <c r="M1658" s="217"/>
      <c r="N1658" s="217"/>
      <c r="O1658" s="217"/>
      <c r="P1658" s="217"/>
    </row>
    <row r="1659" spans="3:16" ht="42" customHeight="1">
      <c r="C1659" s="272">
        <v>1657</v>
      </c>
      <c r="D1659" s="275"/>
      <c r="E1659" s="276"/>
      <c r="F1659" s="221"/>
      <c r="G1659" s="275"/>
      <c r="H1659" s="276"/>
      <c r="I1659" s="217"/>
      <c r="J1659" s="217"/>
      <c r="K1659" s="221"/>
      <c r="L1659" s="217"/>
      <c r="M1659" s="217"/>
      <c r="N1659" s="217"/>
      <c r="O1659" s="217"/>
      <c r="P1659" s="217"/>
    </row>
    <row r="1660" spans="3:16" ht="42" customHeight="1">
      <c r="C1660" s="272">
        <v>1658</v>
      </c>
      <c r="D1660" s="275"/>
      <c r="E1660" s="276"/>
      <c r="F1660" s="221"/>
      <c r="G1660" s="275"/>
      <c r="H1660" s="276"/>
      <c r="I1660" s="217"/>
      <c r="J1660" s="217"/>
      <c r="K1660" s="221"/>
      <c r="L1660" s="217"/>
      <c r="M1660" s="217"/>
      <c r="N1660" s="217"/>
      <c r="O1660" s="217"/>
      <c r="P1660" s="217"/>
    </row>
    <row r="1661" spans="3:16" ht="42" customHeight="1">
      <c r="C1661" s="272">
        <v>1659</v>
      </c>
      <c r="D1661" s="275"/>
      <c r="E1661" s="276"/>
      <c r="F1661" s="221"/>
      <c r="G1661" s="275"/>
      <c r="H1661" s="276"/>
      <c r="I1661" s="217"/>
      <c r="J1661" s="217"/>
      <c r="K1661" s="221"/>
      <c r="L1661" s="217"/>
      <c r="M1661" s="217"/>
      <c r="N1661" s="217"/>
      <c r="O1661" s="217"/>
      <c r="P1661" s="217"/>
    </row>
    <row r="1662" spans="3:16" ht="42" customHeight="1">
      <c r="C1662" s="272">
        <v>1660</v>
      </c>
      <c r="D1662" s="275"/>
      <c r="E1662" s="276"/>
      <c r="F1662" s="221"/>
      <c r="G1662" s="275"/>
      <c r="H1662" s="276"/>
      <c r="I1662" s="217"/>
      <c r="J1662" s="217"/>
      <c r="K1662" s="221"/>
      <c r="L1662" s="217"/>
      <c r="M1662" s="217"/>
      <c r="N1662" s="217"/>
      <c r="O1662" s="217"/>
      <c r="P1662" s="217"/>
    </row>
    <row r="1663" spans="3:16" ht="42" customHeight="1">
      <c r="C1663" s="272">
        <v>1661</v>
      </c>
      <c r="D1663" s="275"/>
      <c r="E1663" s="276"/>
      <c r="F1663" s="221"/>
      <c r="G1663" s="275"/>
      <c r="H1663" s="276"/>
      <c r="I1663" s="217"/>
      <c r="J1663" s="217"/>
      <c r="K1663" s="221"/>
      <c r="L1663" s="217"/>
      <c r="M1663" s="217"/>
      <c r="N1663" s="217"/>
      <c r="O1663" s="217"/>
      <c r="P1663" s="217"/>
    </row>
    <row r="1664" spans="3:16" ht="42" customHeight="1">
      <c r="C1664" s="272">
        <v>1662</v>
      </c>
      <c r="D1664" s="275"/>
      <c r="E1664" s="276"/>
      <c r="F1664" s="221"/>
      <c r="G1664" s="275"/>
      <c r="H1664" s="276"/>
      <c r="I1664" s="217"/>
      <c r="J1664" s="217"/>
      <c r="K1664" s="221"/>
      <c r="L1664" s="217"/>
      <c r="M1664" s="217"/>
      <c r="N1664" s="217"/>
      <c r="O1664" s="217"/>
      <c r="P1664" s="217"/>
    </row>
    <row r="1665" spans="3:16" ht="42" customHeight="1">
      <c r="C1665" s="272">
        <v>1663</v>
      </c>
      <c r="D1665" s="275"/>
      <c r="E1665" s="276"/>
      <c r="F1665" s="221"/>
      <c r="G1665" s="275"/>
      <c r="H1665" s="276"/>
      <c r="I1665" s="217"/>
      <c r="J1665" s="217"/>
      <c r="K1665" s="221"/>
      <c r="L1665" s="217"/>
      <c r="M1665" s="217"/>
      <c r="N1665" s="217"/>
      <c r="O1665" s="217"/>
      <c r="P1665" s="217"/>
    </row>
    <row r="1666" spans="3:16" ht="42" customHeight="1">
      <c r="C1666" s="272">
        <v>1664</v>
      </c>
      <c r="D1666" s="275"/>
      <c r="E1666" s="276"/>
      <c r="F1666" s="221"/>
      <c r="G1666" s="275"/>
      <c r="H1666" s="276"/>
      <c r="I1666" s="217"/>
      <c r="J1666" s="217"/>
      <c r="K1666" s="221"/>
      <c r="L1666" s="217"/>
      <c r="M1666" s="217"/>
      <c r="N1666" s="217"/>
      <c r="O1666" s="217"/>
      <c r="P1666" s="217"/>
    </row>
    <row r="1667" spans="3:16" ht="42" customHeight="1">
      <c r="C1667" s="272">
        <v>1665</v>
      </c>
      <c r="D1667" s="275"/>
      <c r="E1667" s="276"/>
      <c r="F1667" s="221"/>
      <c r="G1667" s="275"/>
      <c r="H1667" s="276"/>
      <c r="I1667" s="217"/>
      <c r="J1667" s="217"/>
      <c r="K1667" s="221"/>
      <c r="L1667" s="217"/>
      <c r="M1667" s="217"/>
      <c r="N1667" s="217"/>
      <c r="O1667" s="217"/>
      <c r="P1667" s="217"/>
    </row>
    <row r="1668" spans="3:16" ht="42" customHeight="1">
      <c r="C1668" s="272">
        <v>1666</v>
      </c>
      <c r="D1668" s="275"/>
      <c r="E1668" s="276"/>
      <c r="F1668" s="221"/>
      <c r="G1668" s="275"/>
      <c r="H1668" s="276"/>
      <c r="I1668" s="217"/>
      <c r="J1668" s="217"/>
      <c r="K1668" s="221"/>
      <c r="L1668" s="217"/>
      <c r="M1668" s="217"/>
      <c r="N1668" s="217"/>
      <c r="O1668" s="217"/>
      <c r="P1668" s="217"/>
    </row>
    <row r="1669" spans="3:16" ht="42" customHeight="1">
      <c r="C1669" s="272">
        <v>1667</v>
      </c>
      <c r="D1669" s="275"/>
      <c r="E1669" s="276"/>
      <c r="F1669" s="221"/>
      <c r="G1669" s="275"/>
      <c r="H1669" s="276"/>
      <c r="I1669" s="217"/>
      <c r="J1669" s="217"/>
      <c r="K1669" s="221"/>
      <c r="L1669" s="217"/>
      <c r="M1669" s="217"/>
      <c r="N1669" s="217"/>
      <c r="O1669" s="217"/>
      <c r="P1669" s="217"/>
    </row>
    <row r="1670" spans="3:16" ht="42" customHeight="1">
      <c r="C1670" s="272">
        <v>1668</v>
      </c>
      <c r="D1670" s="275"/>
      <c r="E1670" s="276"/>
      <c r="F1670" s="221"/>
      <c r="G1670" s="275"/>
      <c r="H1670" s="276"/>
      <c r="I1670" s="217"/>
      <c r="J1670" s="217"/>
      <c r="K1670" s="221"/>
      <c r="L1670" s="217"/>
      <c r="M1670" s="217"/>
      <c r="N1670" s="217"/>
      <c r="O1670" s="217"/>
      <c r="P1670" s="217"/>
    </row>
    <row r="1671" spans="3:16" ht="42" customHeight="1">
      <c r="C1671" s="272">
        <v>1669</v>
      </c>
      <c r="D1671" s="275"/>
      <c r="E1671" s="276"/>
      <c r="F1671" s="221"/>
      <c r="G1671" s="275"/>
      <c r="H1671" s="276"/>
      <c r="I1671" s="217"/>
      <c r="J1671" s="217"/>
      <c r="K1671" s="221"/>
      <c r="L1671" s="217"/>
      <c r="M1671" s="217"/>
      <c r="N1671" s="217"/>
      <c r="O1671" s="217"/>
      <c r="P1671" s="217"/>
    </row>
    <row r="1672" spans="3:16" ht="42" customHeight="1">
      <c r="C1672" s="272">
        <v>1670</v>
      </c>
      <c r="D1672" s="275"/>
      <c r="E1672" s="276"/>
      <c r="F1672" s="221"/>
      <c r="G1672" s="275"/>
      <c r="H1672" s="276"/>
      <c r="I1672" s="217"/>
      <c r="J1672" s="217"/>
      <c r="K1672" s="221"/>
      <c r="L1672" s="217"/>
      <c r="M1672" s="217"/>
      <c r="N1672" s="217"/>
      <c r="O1672" s="217"/>
      <c r="P1672" s="217"/>
    </row>
    <row r="1673" spans="3:16" ht="42" customHeight="1">
      <c r="C1673" s="272">
        <v>1671</v>
      </c>
      <c r="D1673" s="275"/>
      <c r="E1673" s="276"/>
      <c r="F1673" s="221"/>
      <c r="G1673" s="275"/>
      <c r="H1673" s="276"/>
      <c r="I1673" s="217"/>
      <c r="J1673" s="217"/>
      <c r="K1673" s="221"/>
      <c r="L1673" s="217"/>
      <c r="M1673" s="217"/>
      <c r="N1673" s="217"/>
      <c r="O1673" s="217"/>
      <c r="P1673" s="217"/>
    </row>
    <row r="1674" spans="3:16" ht="42" customHeight="1">
      <c r="C1674" s="272">
        <v>1672</v>
      </c>
      <c r="D1674" s="275"/>
      <c r="E1674" s="276"/>
      <c r="F1674" s="221"/>
      <c r="G1674" s="275"/>
      <c r="H1674" s="276"/>
      <c r="I1674" s="217"/>
      <c r="J1674" s="217"/>
      <c r="K1674" s="221"/>
      <c r="L1674" s="217"/>
      <c r="M1674" s="217"/>
      <c r="N1674" s="217"/>
      <c r="O1674" s="217"/>
      <c r="P1674" s="217"/>
    </row>
    <row r="1675" spans="3:16" ht="42" customHeight="1">
      <c r="C1675" s="272">
        <v>1673</v>
      </c>
      <c r="D1675" s="275"/>
      <c r="E1675" s="276"/>
      <c r="F1675" s="221"/>
      <c r="G1675" s="275"/>
      <c r="H1675" s="276"/>
      <c r="I1675" s="217"/>
      <c r="J1675" s="217"/>
      <c r="K1675" s="221"/>
      <c r="L1675" s="217"/>
      <c r="M1675" s="217"/>
      <c r="N1675" s="217"/>
      <c r="O1675" s="217"/>
      <c r="P1675" s="217"/>
    </row>
    <row r="1676" spans="3:16" ht="42" customHeight="1">
      <c r="C1676" s="272">
        <v>1674</v>
      </c>
      <c r="D1676" s="275"/>
      <c r="E1676" s="276"/>
      <c r="F1676" s="221"/>
      <c r="G1676" s="275"/>
      <c r="H1676" s="276"/>
      <c r="I1676" s="217"/>
      <c r="J1676" s="217"/>
      <c r="K1676" s="221"/>
      <c r="L1676" s="217"/>
      <c r="M1676" s="217"/>
      <c r="N1676" s="217"/>
      <c r="O1676" s="217"/>
      <c r="P1676" s="217"/>
    </row>
    <row r="1677" spans="3:16" ht="42" customHeight="1">
      <c r="C1677" s="272">
        <v>1675</v>
      </c>
      <c r="D1677" s="275"/>
      <c r="E1677" s="276"/>
      <c r="F1677" s="221"/>
      <c r="G1677" s="275"/>
      <c r="H1677" s="276"/>
      <c r="I1677" s="217"/>
      <c r="J1677" s="217"/>
      <c r="K1677" s="221"/>
      <c r="L1677" s="217"/>
      <c r="M1677" s="217"/>
      <c r="N1677" s="217"/>
      <c r="O1677" s="217"/>
      <c r="P1677" s="217"/>
    </row>
    <row r="1678" spans="3:16" ht="42" customHeight="1">
      <c r="C1678" s="272">
        <v>1676</v>
      </c>
      <c r="D1678" s="275"/>
      <c r="E1678" s="276"/>
      <c r="F1678" s="221"/>
      <c r="G1678" s="275"/>
      <c r="H1678" s="276"/>
      <c r="I1678" s="217"/>
      <c r="J1678" s="217"/>
      <c r="K1678" s="221"/>
      <c r="L1678" s="217"/>
      <c r="M1678" s="217"/>
      <c r="N1678" s="217"/>
      <c r="O1678" s="217"/>
      <c r="P1678" s="217"/>
    </row>
    <row r="1679" spans="3:16" ht="42" customHeight="1">
      <c r="C1679" s="272">
        <v>1677</v>
      </c>
      <c r="D1679" s="275"/>
      <c r="E1679" s="276"/>
      <c r="F1679" s="221"/>
      <c r="G1679" s="275"/>
      <c r="H1679" s="276"/>
      <c r="I1679" s="217"/>
      <c r="J1679" s="217"/>
      <c r="K1679" s="221"/>
      <c r="L1679" s="217"/>
      <c r="M1679" s="217"/>
      <c r="N1679" s="217"/>
      <c r="O1679" s="217"/>
      <c r="P1679" s="217"/>
    </row>
    <row r="1680" spans="3:16" ht="42" customHeight="1">
      <c r="C1680" s="272">
        <v>1678</v>
      </c>
      <c r="D1680" s="275"/>
      <c r="E1680" s="276"/>
      <c r="F1680" s="221"/>
      <c r="G1680" s="275"/>
      <c r="H1680" s="276"/>
      <c r="I1680" s="217"/>
      <c r="J1680" s="217"/>
      <c r="K1680" s="221"/>
      <c r="L1680" s="217"/>
      <c r="M1680" s="217"/>
      <c r="N1680" s="217"/>
      <c r="O1680" s="217"/>
      <c r="P1680" s="217"/>
    </row>
    <row r="1681" spans="3:16" ht="42" customHeight="1">
      <c r="C1681" s="272">
        <v>1679</v>
      </c>
      <c r="D1681" s="275"/>
      <c r="E1681" s="276"/>
      <c r="F1681" s="221"/>
      <c r="G1681" s="275"/>
      <c r="H1681" s="276"/>
      <c r="I1681" s="217"/>
      <c r="J1681" s="217"/>
      <c r="K1681" s="221"/>
      <c r="L1681" s="217"/>
      <c r="M1681" s="217"/>
      <c r="N1681" s="217"/>
      <c r="O1681" s="217"/>
      <c r="P1681" s="217"/>
    </row>
    <row r="1682" spans="3:16" ht="42" customHeight="1">
      <c r="C1682" s="272">
        <v>1680</v>
      </c>
      <c r="D1682" s="275"/>
      <c r="E1682" s="276"/>
      <c r="F1682" s="221"/>
      <c r="G1682" s="275"/>
      <c r="H1682" s="276"/>
      <c r="I1682" s="217"/>
      <c r="J1682" s="217"/>
      <c r="K1682" s="221"/>
      <c r="L1682" s="217"/>
      <c r="M1682" s="217"/>
      <c r="N1682" s="217"/>
      <c r="O1682" s="217"/>
      <c r="P1682" s="217"/>
    </row>
    <row r="1683" spans="3:16" ht="42" customHeight="1">
      <c r="C1683" s="272">
        <v>1681</v>
      </c>
      <c r="D1683" s="275"/>
      <c r="E1683" s="276"/>
      <c r="F1683" s="221"/>
      <c r="G1683" s="275"/>
      <c r="H1683" s="276"/>
      <c r="I1683" s="217"/>
      <c r="J1683" s="217"/>
      <c r="K1683" s="221"/>
      <c r="L1683" s="217"/>
      <c r="M1683" s="217"/>
      <c r="N1683" s="217"/>
      <c r="O1683" s="217"/>
      <c r="P1683" s="217"/>
    </row>
    <row r="1684" spans="3:16" ht="42" customHeight="1">
      <c r="C1684" s="272">
        <v>1682</v>
      </c>
      <c r="D1684" s="275"/>
      <c r="E1684" s="276"/>
      <c r="F1684" s="221"/>
      <c r="G1684" s="275"/>
      <c r="H1684" s="276"/>
      <c r="I1684" s="217"/>
      <c r="J1684" s="217"/>
      <c r="K1684" s="221"/>
      <c r="L1684" s="217"/>
      <c r="M1684" s="217"/>
      <c r="N1684" s="217"/>
      <c r="O1684" s="217"/>
      <c r="P1684" s="217"/>
    </row>
    <row r="1685" spans="3:16" ht="42" customHeight="1">
      <c r="C1685" s="272">
        <v>1683</v>
      </c>
      <c r="D1685" s="275"/>
      <c r="E1685" s="276"/>
      <c r="F1685" s="221"/>
      <c r="G1685" s="275"/>
      <c r="H1685" s="276"/>
      <c r="I1685" s="217"/>
      <c r="J1685" s="217"/>
      <c r="K1685" s="221"/>
      <c r="L1685" s="217"/>
      <c r="M1685" s="217"/>
      <c r="N1685" s="217"/>
      <c r="O1685" s="217"/>
      <c r="P1685" s="217"/>
    </row>
    <row r="1686" spans="3:16" ht="42" customHeight="1">
      <c r="C1686" s="272">
        <v>1684</v>
      </c>
      <c r="D1686" s="275"/>
      <c r="E1686" s="276"/>
      <c r="F1686" s="221"/>
      <c r="G1686" s="275"/>
      <c r="H1686" s="276"/>
      <c r="I1686" s="217"/>
      <c r="J1686" s="217"/>
      <c r="K1686" s="221"/>
      <c r="L1686" s="217"/>
      <c r="M1686" s="217"/>
      <c r="N1686" s="217"/>
      <c r="O1686" s="217"/>
      <c r="P1686" s="217"/>
    </row>
    <row r="1687" spans="3:16" ht="42" customHeight="1">
      <c r="C1687" s="272">
        <v>1685</v>
      </c>
      <c r="D1687" s="275"/>
      <c r="E1687" s="276"/>
      <c r="F1687" s="221"/>
      <c r="G1687" s="275"/>
      <c r="H1687" s="276"/>
      <c r="I1687" s="217"/>
      <c r="J1687" s="217"/>
      <c r="K1687" s="221"/>
      <c r="L1687" s="217"/>
      <c r="M1687" s="217"/>
      <c r="N1687" s="217"/>
      <c r="O1687" s="217"/>
      <c r="P1687" s="217"/>
    </row>
    <row r="1688" spans="3:16" ht="42" customHeight="1">
      <c r="C1688" s="272">
        <v>1686</v>
      </c>
      <c r="D1688" s="275"/>
      <c r="E1688" s="276"/>
      <c r="F1688" s="221"/>
      <c r="G1688" s="275"/>
      <c r="H1688" s="276"/>
      <c r="I1688" s="217"/>
      <c r="J1688" s="217"/>
      <c r="K1688" s="221"/>
      <c r="L1688" s="217"/>
      <c r="M1688" s="217"/>
      <c r="N1688" s="217"/>
      <c r="O1688" s="217"/>
      <c r="P1688" s="217"/>
    </row>
    <row r="1689" spans="3:16" ht="42" customHeight="1">
      <c r="C1689" s="272">
        <v>1687</v>
      </c>
      <c r="D1689" s="275"/>
      <c r="E1689" s="276"/>
      <c r="F1689" s="221"/>
      <c r="G1689" s="275"/>
      <c r="H1689" s="276"/>
      <c r="I1689" s="217"/>
      <c r="J1689" s="217"/>
      <c r="K1689" s="221"/>
      <c r="L1689" s="217"/>
      <c r="M1689" s="217"/>
      <c r="N1689" s="217"/>
      <c r="O1689" s="217"/>
      <c r="P1689" s="217"/>
    </row>
    <row r="1690" spans="3:16" ht="42" customHeight="1">
      <c r="C1690" s="272">
        <v>1688</v>
      </c>
      <c r="D1690" s="275"/>
      <c r="E1690" s="276"/>
      <c r="F1690" s="221"/>
      <c r="G1690" s="275"/>
      <c r="H1690" s="276"/>
      <c r="I1690" s="217"/>
      <c r="J1690" s="217"/>
      <c r="K1690" s="221"/>
      <c r="L1690" s="217"/>
      <c r="M1690" s="217"/>
      <c r="N1690" s="217"/>
      <c r="O1690" s="217"/>
      <c r="P1690" s="217"/>
    </row>
    <row r="1691" spans="3:16" ht="42" customHeight="1">
      <c r="C1691" s="272">
        <v>1689</v>
      </c>
      <c r="D1691" s="275"/>
      <c r="E1691" s="276"/>
      <c r="F1691" s="221"/>
      <c r="G1691" s="275"/>
      <c r="H1691" s="276"/>
      <c r="I1691" s="217"/>
      <c r="J1691" s="217"/>
      <c r="K1691" s="221"/>
      <c r="L1691" s="217"/>
      <c r="M1691" s="217"/>
      <c r="N1691" s="217"/>
      <c r="O1691" s="217"/>
      <c r="P1691" s="217"/>
    </row>
    <row r="1692" spans="3:16" ht="42" customHeight="1">
      <c r="C1692" s="272">
        <v>1690</v>
      </c>
      <c r="D1692" s="275"/>
      <c r="E1692" s="276"/>
      <c r="F1692" s="221"/>
      <c r="G1692" s="275"/>
      <c r="H1692" s="276"/>
      <c r="I1692" s="217"/>
      <c r="J1692" s="217"/>
      <c r="K1692" s="221"/>
      <c r="L1692" s="217"/>
      <c r="M1692" s="217"/>
      <c r="N1692" s="217"/>
      <c r="O1692" s="217"/>
      <c r="P1692" s="217"/>
    </row>
    <row r="1693" spans="3:16" ht="42" customHeight="1">
      <c r="C1693" s="272">
        <v>1691</v>
      </c>
      <c r="D1693" s="275"/>
      <c r="E1693" s="276"/>
      <c r="F1693" s="221"/>
      <c r="G1693" s="275"/>
      <c r="H1693" s="276"/>
      <c r="I1693" s="217"/>
      <c r="J1693" s="217"/>
      <c r="K1693" s="221"/>
      <c r="L1693" s="217"/>
      <c r="M1693" s="217"/>
      <c r="N1693" s="217"/>
      <c r="O1693" s="217"/>
      <c r="P1693" s="217"/>
    </row>
    <row r="1694" spans="3:16" ht="42" customHeight="1">
      <c r="C1694" s="272">
        <v>1692</v>
      </c>
      <c r="D1694" s="275"/>
      <c r="E1694" s="276"/>
      <c r="F1694" s="221"/>
      <c r="G1694" s="275"/>
      <c r="H1694" s="276"/>
      <c r="I1694" s="217"/>
      <c r="J1694" s="217"/>
      <c r="K1694" s="221"/>
      <c r="L1694" s="217"/>
      <c r="M1694" s="217"/>
      <c r="N1694" s="217"/>
      <c r="O1694" s="217"/>
      <c r="P1694" s="217"/>
    </row>
    <row r="1695" spans="3:16" ht="42" customHeight="1">
      <c r="C1695" s="272">
        <v>1693</v>
      </c>
      <c r="D1695" s="275"/>
      <c r="E1695" s="276"/>
      <c r="F1695" s="221"/>
      <c r="G1695" s="275"/>
      <c r="H1695" s="276"/>
      <c r="I1695" s="217"/>
      <c r="J1695" s="217"/>
      <c r="K1695" s="221"/>
      <c r="L1695" s="217"/>
      <c r="M1695" s="217"/>
      <c r="N1695" s="217"/>
      <c r="O1695" s="217"/>
      <c r="P1695" s="217"/>
    </row>
    <row r="1696" spans="3:16" ht="42" customHeight="1">
      <c r="C1696" s="272">
        <v>1694</v>
      </c>
      <c r="D1696" s="275"/>
      <c r="E1696" s="276"/>
      <c r="F1696" s="221"/>
      <c r="G1696" s="275"/>
      <c r="H1696" s="276"/>
      <c r="I1696" s="217"/>
      <c r="J1696" s="217"/>
      <c r="K1696" s="221"/>
      <c r="L1696" s="217"/>
      <c r="M1696" s="217"/>
      <c r="N1696" s="217"/>
      <c r="O1696" s="217"/>
      <c r="P1696" s="217"/>
    </row>
    <row r="1697" spans="3:16" ht="42" customHeight="1">
      <c r="C1697" s="272">
        <v>1695</v>
      </c>
      <c r="D1697" s="275"/>
      <c r="E1697" s="276"/>
      <c r="F1697" s="221"/>
      <c r="G1697" s="275"/>
      <c r="H1697" s="276"/>
      <c r="I1697" s="217"/>
      <c r="J1697" s="217"/>
      <c r="K1697" s="221"/>
      <c r="L1697" s="217"/>
      <c r="M1697" s="217"/>
      <c r="N1697" s="217"/>
      <c r="O1697" s="217"/>
      <c r="P1697" s="217"/>
    </row>
    <row r="1698" spans="3:16" ht="42" customHeight="1">
      <c r="C1698" s="272">
        <v>1696</v>
      </c>
      <c r="D1698" s="275"/>
      <c r="E1698" s="276"/>
      <c r="F1698" s="221"/>
      <c r="G1698" s="275"/>
      <c r="H1698" s="276"/>
      <c r="I1698" s="217"/>
      <c r="J1698" s="217"/>
      <c r="K1698" s="221"/>
      <c r="L1698" s="217"/>
      <c r="M1698" s="217"/>
      <c r="N1698" s="217"/>
      <c r="O1698" s="217"/>
      <c r="P1698" s="217"/>
    </row>
    <row r="1699" spans="3:16" ht="42" customHeight="1">
      <c r="C1699" s="272">
        <v>1697</v>
      </c>
      <c r="D1699" s="275"/>
      <c r="E1699" s="276"/>
      <c r="F1699" s="221"/>
      <c r="G1699" s="275"/>
      <c r="H1699" s="276"/>
      <c r="I1699" s="217"/>
      <c r="J1699" s="217"/>
      <c r="K1699" s="221"/>
      <c r="L1699" s="217"/>
      <c r="M1699" s="217"/>
      <c r="N1699" s="217"/>
      <c r="O1699" s="217"/>
      <c r="P1699" s="217"/>
    </row>
    <row r="1700" spans="3:16" ht="42" customHeight="1">
      <c r="C1700" s="272">
        <v>1698</v>
      </c>
      <c r="D1700" s="275"/>
      <c r="E1700" s="276"/>
      <c r="F1700" s="221"/>
      <c r="G1700" s="275"/>
      <c r="H1700" s="276"/>
      <c r="I1700" s="217"/>
      <c r="J1700" s="217"/>
      <c r="K1700" s="221"/>
      <c r="L1700" s="217"/>
      <c r="M1700" s="217"/>
      <c r="N1700" s="217"/>
      <c r="O1700" s="217"/>
      <c r="P1700" s="217"/>
    </row>
    <row r="1701" spans="3:16" ht="42" customHeight="1">
      <c r="C1701" s="272">
        <v>1699</v>
      </c>
      <c r="D1701" s="275"/>
      <c r="E1701" s="276"/>
      <c r="F1701" s="221"/>
      <c r="G1701" s="275"/>
      <c r="H1701" s="276"/>
      <c r="I1701" s="217"/>
      <c r="J1701" s="217"/>
      <c r="K1701" s="221"/>
      <c r="L1701" s="217"/>
      <c r="M1701" s="217"/>
      <c r="N1701" s="217"/>
      <c r="O1701" s="217"/>
      <c r="P1701" s="217"/>
    </row>
    <row r="1702" spans="3:16" ht="42" customHeight="1">
      <c r="C1702" s="272">
        <v>1700</v>
      </c>
      <c r="D1702" s="275"/>
      <c r="E1702" s="276"/>
      <c r="F1702" s="221"/>
      <c r="G1702" s="275"/>
      <c r="H1702" s="276"/>
      <c r="I1702" s="217"/>
      <c r="J1702" s="217"/>
      <c r="K1702" s="221"/>
      <c r="L1702" s="217"/>
      <c r="M1702" s="217"/>
      <c r="N1702" s="217"/>
      <c r="O1702" s="217"/>
      <c r="P1702" s="217"/>
    </row>
    <row r="1703" spans="3:16" ht="42" customHeight="1">
      <c r="C1703" s="272">
        <v>1701</v>
      </c>
      <c r="D1703" s="275"/>
      <c r="E1703" s="276"/>
      <c r="F1703" s="221"/>
      <c r="G1703" s="275"/>
      <c r="H1703" s="276"/>
      <c r="I1703" s="217"/>
      <c r="J1703" s="217"/>
      <c r="K1703" s="221"/>
      <c r="L1703" s="217"/>
      <c r="M1703" s="217"/>
      <c r="N1703" s="217"/>
      <c r="O1703" s="217"/>
      <c r="P1703" s="217"/>
    </row>
    <row r="1704" spans="3:16" ht="42" customHeight="1">
      <c r="C1704" s="272">
        <v>1702</v>
      </c>
      <c r="D1704" s="275"/>
      <c r="E1704" s="276"/>
      <c r="F1704" s="221"/>
      <c r="G1704" s="275"/>
      <c r="H1704" s="276"/>
      <c r="I1704" s="217"/>
      <c r="J1704" s="217"/>
      <c r="K1704" s="221"/>
      <c r="L1704" s="217"/>
      <c r="M1704" s="217"/>
      <c r="N1704" s="217"/>
      <c r="O1704" s="217"/>
      <c r="P1704" s="217"/>
    </row>
    <row r="1705" spans="3:16" ht="42" customHeight="1">
      <c r="C1705" s="272">
        <v>1703</v>
      </c>
      <c r="D1705" s="275"/>
      <c r="E1705" s="276"/>
      <c r="F1705" s="221"/>
      <c r="G1705" s="275"/>
      <c r="H1705" s="276"/>
      <c r="I1705" s="217"/>
      <c r="J1705" s="217"/>
      <c r="K1705" s="221"/>
      <c r="L1705" s="217"/>
      <c r="M1705" s="217"/>
      <c r="N1705" s="217"/>
      <c r="O1705" s="217"/>
      <c r="P1705" s="217"/>
    </row>
    <row r="1706" spans="3:16" ht="42" customHeight="1">
      <c r="C1706" s="272">
        <v>1704</v>
      </c>
      <c r="D1706" s="275"/>
      <c r="E1706" s="276"/>
      <c r="F1706" s="221"/>
      <c r="G1706" s="275"/>
      <c r="H1706" s="276"/>
      <c r="I1706" s="217"/>
      <c r="J1706" s="217"/>
      <c r="K1706" s="221"/>
      <c r="L1706" s="217"/>
      <c r="M1706" s="217"/>
      <c r="N1706" s="217"/>
      <c r="O1706" s="217"/>
      <c r="P1706" s="217"/>
    </row>
    <row r="1707" spans="3:16" ht="42" customHeight="1">
      <c r="C1707" s="272">
        <v>1705</v>
      </c>
      <c r="D1707" s="275"/>
      <c r="E1707" s="276"/>
      <c r="F1707" s="221"/>
      <c r="G1707" s="275"/>
      <c r="H1707" s="276"/>
      <c r="I1707" s="217"/>
      <c r="J1707" s="217"/>
      <c r="K1707" s="221"/>
      <c r="L1707" s="217"/>
      <c r="M1707" s="217"/>
      <c r="N1707" s="217"/>
      <c r="O1707" s="217"/>
      <c r="P1707" s="217"/>
    </row>
    <row r="1708" spans="3:16" ht="42" customHeight="1">
      <c r="C1708" s="272">
        <v>1706</v>
      </c>
      <c r="D1708" s="275"/>
      <c r="E1708" s="276"/>
      <c r="F1708" s="221"/>
      <c r="G1708" s="275"/>
      <c r="H1708" s="276"/>
      <c r="I1708" s="217"/>
      <c r="J1708" s="217"/>
      <c r="K1708" s="221"/>
      <c r="L1708" s="217"/>
      <c r="M1708" s="217"/>
      <c r="N1708" s="217"/>
      <c r="O1708" s="217"/>
      <c r="P1708" s="217"/>
    </row>
    <row r="1709" spans="3:16" ht="42" customHeight="1">
      <c r="C1709" s="272">
        <v>1707</v>
      </c>
      <c r="D1709" s="275"/>
      <c r="E1709" s="276"/>
      <c r="F1709" s="221"/>
      <c r="G1709" s="275"/>
      <c r="H1709" s="276"/>
      <c r="I1709" s="217"/>
      <c r="J1709" s="217"/>
      <c r="K1709" s="221"/>
      <c r="L1709" s="217"/>
      <c r="M1709" s="217"/>
      <c r="N1709" s="217"/>
      <c r="O1709" s="217"/>
      <c r="P1709" s="217"/>
    </row>
    <row r="1710" spans="3:16" ht="42" customHeight="1">
      <c r="C1710" s="272">
        <v>1708</v>
      </c>
      <c r="D1710" s="275"/>
      <c r="E1710" s="276"/>
      <c r="F1710" s="221"/>
      <c r="G1710" s="275"/>
      <c r="H1710" s="276"/>
      <c r="I1710" s="217"/>
      <c r="J1710" s="217"/>
      <c r="K1710" s="221"/>
      <c r="L1710" s="217"/>
      <c r="M1710" s="217"/>
      <c r="N1710" s="217"/>
      <c r="O1710" s="217"/>
      <c r="P1710" s="217"/>
    </row>
    <row r="1711" spans="3:16" ht="42" customHeight="1">
      <c r="C1711" s="272">
        <v>1709</v>
      </c>
      <c r="D1711" s="275"/>
      <c r="E1711" s="276"/>
      <c r="F1711" s="221"/>
      <c r="G1711" s="275"/>
      <c r="H1711" s="276"/>
      <c r="I1711" s="217"/>
      <c r="J1711" s="217"/>
      <c r="K1711" s="221"/>
      <c r="L1711" s="217"/>
      <c r="M1711" s="217"/>
      <c r="N1711" s="217"/>
      <c r="O1711" s="217"/>
      <c r="P1711" s="217"/>
    </row>
    <row r="1712" spans="3:16" ht="42" customHeight="1">
      <c r="C1712" s="272">
        <v>1710</v>
      </c>
      <c r="D1712" s="275"/>
      <c r="E1712" s="276"/>
      <c r="F1712" s="221"/>
      <c r="G1712" s="275"/>
      <c r="H1712" s="276"/>
      <c r="I1712" s="217"/>
      <c r="J1712" s="217"/>
      <c r="K1712" s="221"/>
      <c r="L1712" s="217"/>
      <c r="M1712" s="217"/>
      <c r="N1712" s="217"/>
      <c r="O1712" s="217"/>
      <c r="P1712" s="217"/>
    </row>
    <row r="1713" spans="3:16" ht="42" customHeight="1">
      <c r="C1713" s="272">
        <v>1711</v>
      </c>
      <c r="D1713" s="275"/>
      <c r="E1713" s="276"/>
      <c r="F1713" s="221"/>
      <c r="G1713" s="275"/>
      <c r="H1713" s="276"/>
      <c r="I1713" s="217"/>
      <c r="J1713" s="217"/>
      <c r="K1713" s="221"/>
      <c r="L1713" s="217"/>
      <c r="M1713" s="217"/>
      <c r="N1713" s="217"/>
      <c r="O1713" s="217"/>
      <c r="P1713" s="217"/>
    </row>
    <row r="1714" spans="3:16" ht="42" customHeight="1">
      <c r="C1714" s="272">
        <v>1712</v>
      </c>
      <c r="D1714" s="275"/>
      <c r="E1714" s="276"/>
      <c r="F1714" s="221"/>
      <c r="G1714" s="275"/>
      <c r="H1714" s="276"/>
      <c r="I1714" s="217"/>
      <c r="J1714" s="217"/>
      <c r="K1714" s="221"/>
      <c r="L1714" s="217"/>
      <c r="M1714" s="217"/>
      <c r="N1714" s="217"/>
      <c r="O1714" s="217"/>
      <c r="P1714" s="217"/>
    </row>
    <row r="1715" spans="3:16" ht="42" customHeight="1">
      <c r="C1715" s="272">
        <v>1713</v>
      </c>
      <c r="D1715" s="275"/>
      <c r="E1715" s="276"/>
      <c r="F1715" s="221"/>
      <c r="G1715" s="275"/>
      <c r="H1715" s="276"/>
      <c r="I1715" s="217"/>
      <c r="J1715" s="217"/>
      <c r="K1715" s="221"/>
      <c r="L1715" s="217"/>
      <c r="M1715" s="217"/>
      <c r="N1715" s="217"/>
      <c r="O1715" s="217"/>
      <c r="P1715" s="217"/>
    </row>
    <row r="1716" spans="3:16" ht="42" customHeight="1">
      <c r="C1716" s="272">
        <v>1714</v>
      </c>
      <c r="D1716" s="275"/>
      <c r="E1716" s="276"/>
      <c r="F1716" s="221"/>
      <c r="G1716" s="275"/>
      <c r="H1716" s="276"/>
      <c r="I1716" s="217"/>
      <c r="J1716" s="217"/>
      <c r="K1716" s="221"/>
      <c r="L1716" s="217"/>
      <c r="M1716" s="217"/>
      <c r="N1716" s="217"/>
      <c r="O1716" s="217"/>
      <c r="P1716" s="217"/>
    </row>
    <row r="1717" spans="3:16" ht="42" customHeight="1">
      <c r="C1717" s="272">
        <v>1715</v>
      </c>
      <c r="D1717" s="275"/>
      <c r="E1717" s="276"/>
      <c r="F1717" s="221"/>
      <c r="G1717" s="275"/>
      <c r="H1717" s="276"/>
      <c r="I1717" s="217"/>
      <c r="J1717" s="217"/>
      <c r="K1717" s="221"/>
      <c r="L1717" s="217"/>
      <c r="M1717" s="217"/>
      <c r="N1717" s="217"/>
      <c r="O1717" s="217"/>
      <c r="P1717" s="217"/>
    </row>
    <row r="1718" spans="3:16" ht="42" customHeight="1">
      <c r="C1718" s="272">
        <v>1716</v>
      </c>
      <c r="D1718" s="275"/>
      <c r="E1718" s="276"/>
      <c r="F1718" s="221"/>
      <c r="G1718" s="275"/>
      <c r="H1718" s="276"/>
      <c r="I1718" s="217"/>
      <c r="J1718" s="217"/>
      <c r="K1718" s="221"/>
      <c r="L1718" s="217"/>
      <c r="M1718" s="217"/>
      <c r="N1718" s="217"/>
      <c r="O1718" s="217"/>
      <c r="P1718" s="217"/>
    </row>
    <row r="1719" spans="3:16" ht="42" customHeight="1">
      <c r="C1719" s="272">
        <v>1717</v>
      </c>
      <c r="D1719" s="275"/>
      <c r="E1719" s="276"/>
      <c r="F1719" s="221"/>
      <c r="G1719" s="275"/>
      <c r="H1719" s="276"/>
      <c r="I1719" s="217"/>
      <c r="J1719" s="217"/>
      <c r="K1719" s="221"/>
      <c r="L1719" s="217"/>
      <c r="M1719" s="217"/>
      <c r="N1719" s="217"/>
      <c r="O1719" s="217"/>
      <c r="P1719" s="217"/>
    </row>
    <row r="1720" spans="3:16" ht="42" customHeight="1">
      <c r="C1720" s="272">
        <v>1718</v>
      </c>
      <c r="D1720" s="275"/>
      <c r="E1720" s="276"/>
      <c r="F1720" s="221"/>
      <c r="G1720" s="275"/>
      <c r="H1720" s="276"/>
      <c r="I1720" s="217"/>
      <c r="J1720" s="217"/>
      <c r="K1720" s="221"/>
      <c r="L1720" s="217"/>
      <c r="M1720" s="217"/>
      <c r="N1720" s="217"/>
      <c r="O1720" s="217"/>
      <c r="P1720" s="217"/>
    </row>
    <row r="1721" spans="3:16" ht="42" customHeight="1">
      <c r="C1721" s="272">
        <v>1719</v>
      </c>
      <c r="D1721" s="275"/>
      <c r="E1721" s="276"/>
      <c r="F1721" s="221"/>
      <c r="G1721" s="275"/>
      <c r="H1721" s="276"/>
      <c r="I1721" s="217"/>
      <c r="J1721" s="217"/>
      <c r="K1721" s="221"/>
      <c r="L1721" s="217"/>
      <c r="M1721" s="217"/>
      <c r="N1721" s="217"/>
      <c r="O1721" s="217"/>
      <c r="P1721" s="217"/>
    </row>
    <row r="1722" spans="3:16" ht="42" customHeight="1">
      <c r="C1722" s="272">
        <v>1720</v>
      </c>
      <c r="D1722" s="275"/>
      <c r="E1722" s="276"/>
      <c r="F1722" s="221"/>
      <c r="G1722" s="275"/>
      <c r="H1722" s="276"/>
      <c r="I1722" s="217"/>
      <c r="J1722" s="217"/>
      <c r="K1722" s="221"/>
      <c r="L1722" s="217"/>
      <c r="M1722" s="217"/>
      <c r="N1722" s="217"/>
      <c r="O1722" s="217"/>
      <c r="P1722" s="217"/>
    </row>
    <row r="1723" spans="3:16" ht="42" customHeight="1">
      <c r="C1723" s="272">
        <v>1721</v>
      </c>
      <c r="D1723" s="275"/>
      <c r="E1723" s="276"/>
      <c r="F1723" s="221"/>
      <c r="G1723" s="275"/>
      <c r="H1723" s="276"/>
      <c r="I1723" s="217"/>
      <c r="J1723" s="217"/>
      <c r="K1723" s="221"/>
      <c r="L1723" s="217"/>
      <c r="M1723" s="217"/>
      <c r="N1723" s="217"/>
      <c r="O1723" s="217"/>
      <c r="P1723" s="217"/>
    </row>
    <row r="1724" spans="3:16" ht="42" customHeight="1">
      <c r="C1724" s="272">
        <v>1722</v>
      </c>
      <c r="D1724" s="275"/>
      <c r="E1724" s="276"/>
      <c r="F1724" s="221"/>
      <c r="G1724" s="275"/>
      <c r="H1724" s="276"/>
      <c r="I1724" s="217"/>
      <c r="J1724" s="217"/>
      <c r="K1724" s="221"/>
      <c r="L1724" s="217"/>
      <c r="M1724" s="217"/>
      <c r="N1724" s="217"/>
      <c r="O1724" s="217"/>
      <c r="P1724" s="217"/>
    </row>
    <row r="1725" spans="3:16" ht="42" customHeight="1">
      <c r="C1725" s="272">
        <v>1723</v>
      </c>
      <c r="D1725" s="275"/>
      <c r="E1725" s="276"/>
      <c r="F1725" s="221"/>
      <c r="G1725" s="275"/>
      <c r="H1725" s="276"/>
      <c r="I1725" s="217"/>
      <c r="J1725" s="217"/>
      <c r="K1725" s="221"/>
      <c r="L1725" s="217"/>
      <c r="M1725" s="217"/>
      <c r="N1725" s="217"/>
      <c r="O1725" s="217"/>
      <c r="P1725" s="217"/>
    </row>
    <row r="1726" spans="3:16" ht="42" customHeight="1">
      <c r="C1726" s="272">
        <v>1724</v>
      </c>
      <c r="D1726" s="275"/>
      <c r="E1726" s="276"/>
      <c r="F1726" s="221"/>
      <c r="G1726" s="275"/>
      <c r="H1726" s="276"/>
      <c r="I1726" s="217"/>
      <c r="J1726" s="217"/>
      <c r="K1726" s="221"/>
      <c r="L1726" s="217"/>
      <c r="M1726" s="217"/>
      <c r="N1726" s="217"/>
      <c r="O1726" s="217"/>
      <c r="P1726" s="217"/>
    </row>
    <row r="1727" spans="3:16" ht="42" customHeight="1">
      <c r="C1727" s="272">
        <v>1725</v>
      </c>
      <c r="D1727" s="275"/>
      <c r="E1727" s="276"/>
      <c r="F1727" s="221"/>
      <c r="G1727" s="275"/>
      <c r="H1727" s="276"/>
      <c r="I1727" s="217"/>
      <c r="J1727" s="217"/>
      <c r="K1727" s="221"/>
      <c r="L1727" s="217"/>
      <c r="M1727" s="217"/>
      <c r="N1727" s="217"/>
      <c r="O1727" s="217"/>
      <c r="P1727" s="217"/>
    </row>
    <row r="1728" spans="3:16" ht="42" customHeight="1">
      <c r="C1728" s="272">
        <v>1726</v>
      </c>
      <c r="D1728" s="275"/>
      <c r="E1728" s="276"/>
      <c r="F1728" s="221"/>
      <c r="G1728" s="275"/>
      <c r="H1728" s="276"/>
      <c r="I1728" s="217"/>
      <c r="J1728" s="217"/>
      <c r="K1728" s="221"/>
      <c r="L1728" s="217"/>
      <c r="M1728" s="217"/>
      <c r="N1728" s="217"/>
      <c r="O1728" s="217"/>
      <c r="P1728" s="217"/>
    </row>
    <row r="1729" spans="3:16" ht="42" customHeight="1">
      <c r="C1729" s="272">
        <v>1727</v>
      </c>
      <c r="D1729" s="275"/>
      <c r="E1729" s="276"/>
      <c r="F1729" s="221"/>
      <c r="G1729" s="275"/>
      <c r="H1729" s="276"/>
      <c r="I1729" s="217"/>
      <c r="J1729" s="217"/>
      <c r="K1729" s="221"/>
      <c r="L1729" s="217"/>
      <c r="M1729" s="217"/>
      <c r="N1729" s="217"/>
      <c r="O1729" s="217"/>
      <c r="P1729" s="217"/>
    </row>
    <row r="1730" spans="3:16" ht="42" customHeight="1">
      <c r="C1730" s="272">
        <v>1728</v>
      </c>
      <c r="D1730" s="275"/>
      <c r="E1730" s="276"/>
      <c r="F1730" s="221"/>
      <c r="G1730" s="275"/>
      <c r="H1730" s="276"/>
      <c r="I1730" s="217"/>
      <c r="J1730" s="217"/>
      <c r="K1730" s="221"/>
      <c r="L1730" s="217"/>
      <c r="M1730" s="217"/>
      <c r="N1730" s="217"/>
      <c r="O1730" s="217"/>
      <c r="P1730" s="217"/>
    </row>
    <row r="1731" spans="3:16" ht="42" customHeight="1">
      <c r="C1731" s="272">
        <v>1729</v>
      </c>
      <c r="D1731" s="275"/>
      <c r="E1731" s="276"/>
      <c r="F1731" s="221"/>
      <c r="G1731" s="275"/>
      <c r="H1731" s="276"/>
      <c r="I1731" s="217"/>
      <c r="J1731" s="217"/>
      <c r="K1731" s="221"/>
      <c r="L1731" s="217"/>
      <c r="M1731" s="217"/>
      <c r="N1731" s="217"/>
      <c r="O1731" s="217"/>
      <c r="P1731" s="217"/>
    </row>
    <row r="1732" spans="3:16" ht="42" customHeight="1">
      <c r="C1732" s="272">
        <v>1730</v>
      </c>
      <c r="D1732" s="275"/>
      <c r="E1732" s="276"/>
      <c r="F1732" s="221"/>
      <c r="G1732" s="275"/>
      <c r="H1732" s="276"/>
      <c r="I1732" s="217"/>
      <c r="J1732" s="217"/>
      <c r="K1732" s="221"/>
      <c r="L1732" s="217"/>
      <c r="M1732" s="217"/>
      <c r="N1732" s="217"/>
      <c r="O1732" s="217"/>
      <c r="P1732" s="217"/>
    </row>
    <row r="1733" spans="3:16" ht="42" customHeight="1">
      <c r="C1733" s="272">
        <v>1731</v>
      </c>
      <c r="D1733" s="275"/>
      <c r="E1733" s="276"/>
      <c r="F1733" s="221"/>
      <c r="G1733" s="275"/>
      <c r="H1733" s="276"/>
      <c r="I1733" s="217"/>
      <c r="J1733" s="217"/>
      <c r="K1733" s="221"/>
      <c r="L1733" s="217"/>
      <c r="M1733" s="217"/>
      <c r="N1733" s="217"/>
      <c r="O1733" s="217"/>
      <c r="P1733" s="217"/>
    </row>
    <row r="1734" spans="3:16" ht="42" customHeight="1">
      <c r="C1734" s="272">
        <v>1732</v>
      </c>
      <c r="D1734" s="275"/>
      <c r="E1734" s="276"/>
      <c r="F1734" s="221"/>
      <c r="G1734" s="275"/>
      <c r="H1734" s="276"/>
      <c r="I1734" s="217"/>
      <c r="J1734" s="217"/>
      <c r="K1734" s="221"/>
      <c r="L1734" s="217"/>
      <c r="M1734" s="217"/>
      <c r="N1734" s="217"/>
      <c r="O1734" s="217"/>
      <c r="P1734" s="217"/>
    </row>
    <row r="1735" spans="3:16" ht="42" customHeight="1">
      <c r="C1735" s="272">
        <v>1733</v>
      </c>
      <c r="D1735" s="275"/>
      <c r="E1735" s="276"/>
      <c r="F1735" s="221"/>
      <c r="G1735" s="275"/>
      <c r="H1735" s="276"/>
      <c r="I1735" s="217"/>
      <c r="J1735" s="217"/>
      <c r="K1735" s="221"/>
      <c r="L1735" s="217"/>
      <c r="M1735" s="217"/>
      <c r="N1735" s="217"/>
      <c r="O1735" s="217"/>
      <c r="P1735" s="217"/>
    </row>
    <row r="1736" spans="3:16" ht="42" customHeight="1">
      <c r="C1736" s="272">
        <v>1734</v>
      </c>
      <c r="D1736" s="275"/>
      <c r="E1736" s="276"/>
      <c r="F1736" s="221"/>
      <c r="G1736" s="275"/>
      <c r="H1736" s="276"/>
      <c r="I1736" s="217"/>
      <c r="J1736" s="217"/>
      <c r="K1736" s="221"/>
      <c r="L1736" s="217"/>
      <c r="M1736" s="217"/>
      <c r="N1736" s="217"/>
      <c r="O1736" s="217"/>
      <c r="P1736" s="217"/>
    </row>
    <row r="1737" spans="3:16" ht="42" customHeight="1">
      <c r="C1737" s="272">
        <v>1735</v>
      </c>
      <c r="D1737" s="275"/>
      <c r="E1737" s="276"/>
      <c r="F1737" s="221"/>
      <c r="G1737" s="275"/>
      <c r="H1737" s="276"/>
      <c r="I1737" s="217"/>
      <c r="J1737" s="217"/>
      <c r="K1737" s="221"/>
      <c r="L1737" s="217"/>
      <c r="M1737" s="217"/>
      <c r="N1737" s="217"/>
      <c r="O1737" s="217"/>
      <c r="P1737" s="217"/>
    </row>
    <row r="1738" spans="3:16" ht="42" customHeight="1">
      <c r="C1738" s="272">
        <v>1736</v>
      </c>
      <c r="D1738" s="275"/>
      <c r="E1738" s="276"/>
      <c r="F1738" s="221"/>
      <c r="G1738" s="275"/>
      <c r="H1738" s="276"/>
      <c r="I1738" s="217"/>
      <c r="J1738" s="217"/>
      <c r="K1738" s="221"/>
      <c r="L1738" s="217"/>
      <c r="M1738" s="217"/>
      <c r="N1738" s="217"/>
      <c r="O1738" s="217"/>
      <c r="P1738" s="217"/>
    </row>
    <row r="1739" spans="3:16" ht="42" customHeight="1">
      <c r="C1739" s="272">
        <v>1737</v>
      </c>
      <c r="D1739" s="275"/>
      <c r="E1739" s="276"/>
      <c r="F1739" s="221"/>
      <c r="G1739" s="275"/>
      <c r="H1739" s="276"/>
      <c r="I1739" s="217"/>
      <c r="J1739" s="217"/>
      <c r="K1739" s="221"/>
      <c r="L1739" s="217"/>
      <c r="M1739" s="217"/>
      <c r="N1739" s="217"/>
      <c r="O1739" s="217"/>
      <c r="P1739" s="217"/>
    </row>
    <row r="1740" spans="3:16" ht="42" customHeight="1">
      <c r="C1740" s="272">
        <v>1738</v>
      </c>
      <c r="D1740" s="275"/>
      <c r="E1740" s="276"/>
      <c r="F1740" s="221"/>
      <c r="G1740" s="275"/>
      <c r="H1740" s="276"/>
      <c r="I1740" s="217"/>
      <c r="J1740" s="217"/>
      <c r="K1740" s="221"/>
      <c r="L1740" s="217"/>
      <c r="M1740" s="217"/>
      <c r="N1740" s="217"/>
      <c r="O1740" s="217"/>
      <c r="P1740" s="217"/>
    </row>
    <row r="1741" spans="3:16" ht="42" customHeight="1">
      <c r="C1741" s="272">
        <v>1739</v>
      </c>
      <c r="D1741" s="275"/>
      <c r="E1741" s="276"/>
      <c r="F1741" s="221"/>
      <c r="G1741" s="275"/>
      <c r="H1741" s="276"/>
      <c r="I1741" s="217"/>
      <c r="J1741" s="217"/>
      <c r="K1741" s="221"/>
      <c r="L1741" s="217"/>
      <c r="M1741" s="217"/>
      <c r="N1741" s="217"/>
      <c r="O1741" s="217"/>
      <c r="P1741" s="217"/>
    </row>
    <row r="1742" spans="3:16" ht="42" customHeight="1">
      <c r="C1742" s="272">
        <v>1740</v>
      </c>
      <c r="D1742" s="275"/>
      <c r="E1742" s="276"/>
      <c r="F1742" s="221"/>
      <c r="G1742" s="275"/>
      <c r="H1742" s="276"/>
      <c r="I1742" s="217"/>
      <c r="J1742" s="217"/>
      <c r="K1742" s="221"/>
      <c r="L1742" s="217"/>
      <c r="M1742" s="217"/>
      <c r="N1742" s="217"/>
      <c r="O1742" s="217"/>
      <c r="P1742" s="217"/>
    </row>
    <row r="1743" spans="3:16" ht="42" customHeight="1">
      <c r="C1743" s="272">
        <v>1741</v>
      </c>
      <c r="D1743" s="275"/>
      <c r="E1743" s="276"/>
      <c r="F1743" s="221"/>
      <c r="G1743" s="275"/>
      <c r="H1743" s="276"/>
      <c r="I1743" s="217"/>
      <c r="J1743" s="217"/>
      <c r="K1743" s="221"/>
      <c r="L1743" s="217"/>
      <c r="M1743" s="217"/>
      <c r="N1743" s="217"/>
      <c r="O1743" s="217"/>
      <c r="P1743" s="217"/>
    </row>
    <row r="1744" spans="3:16" ht="42" customHeight="1">
      <c r="C1744" s="272">
        <v>1742</v>
      </c>
      <c r="D1744" s="275"/>
      <c r="E1744" s="276"/>
      <c r="F1744" s="221"/>
      <c r="G1744" s="275"/>
      <c r="H1744" s="276"/>
      <c r="I1744" s="217"/>
      <c r="J1744" s="217"/>
      <c r="K1744" s="221"/>
      <c r="L1744" s="217"/>
      <c r="M1744" s="217"/>
      <c r="N1744" s="217"/>
      <c r="O1744" s="217"/>
      <c r="P1744" s="217"/>
    </row>
    <row r="1745" spans="3:16" ht="42" customHeight="1">
      <c r="C1745" s="272">
        <v>1743</v>
      </c>
      <c r="D1745" s="275"/>
      <c r="E1745" s="276"/>
      <c r="F1745" s="221"/>
      <c r="G1745" s="275"/>
      <c r="H1745" s="276"/>
      <c r="I1745" s="217"/>
      <c r="J1745" s="217"/>
      <c r="K1745" s="221"/>
      <c r="L1745" s="217"/>
      <c r="M1745" s="217"/>
      <c r="N1745" s="217"/>
      <c r="O1745" s="217"/>
      <c r="P1745" s="217"/>
    </row>
    <row r="1746" spans="3:16" ht="42" customHeight="1">
      <c r="C1746" s="272">
        <v>1744</v>
      </c>
      <c r="D1746" s="275"/>
      <c r="E1746" s="276"/>
      <c r="F1746" s="221"/>
      <c r="G1746" s="275"/>
      <c r="H1746" s="276"/>
      <c r="I1746" s="217"/>
      <c r="J1746" s="217"/>
      <c r="K1746" s="221"/>
      <c r="L1746" s="217"/>
      <c r="M1746" s="217"/>
      <c r="N1746" s="217"/>
      <c r="O1746" s="217"/>
      <c r="P1746" s="217"/>
    </row>
    <row r="1747" spans="3:16" ht="42" customHeight="1">
      <c r="C1747" s="272">
        <v>1745</v>
      </c>
      <c r="D1747" s="275"/>
      <c r="E1747" s="276"/>
      <c r="F1747" s="221"/>
      <c r="G1747" s="275"/>
      <c r="H1747" s="276"/>
      <c r="I1747" s="217"/>
      <c r="J1747" s="217"/>
      <c r="K1747" s="221"/>
      <c r="L1747" s="217"/>
      <c r="M1747" s="217"/>
      <c r="N1747" s="217"/>
      <c r="O1747" s="217"/>
      <c r="P1747" s="217"/>
    </row>
    <row r="1748" spans="3:16" ht="42" customHeight="1">
      <c r="C1748" s="272">
        <v>1746</v>
      </c>
      <c r="D1748" s="275"/>
      <c r="E1748" s="276"/>
      <c r="F1748" s="221"/>
      <c r="G1748" s="275"/>
      <c r="H1748" s="276"/>
      <c r="I1748" s="217"/>
      <c r="J1748" s="217"/>
      <c r="K1748" s="221"/>
      <c r="L1748" s="217"/>
      <c r="M1748" s="217"/>
      <c r="N1748" s="217"/>
      <c r="O1748" s="217"/>
      <c r="P1748" s="217"/>
    </row>
    <row r="1749" spans="3:16" ht="42" customHeight="1">
      <c r="C1749" s="272">
        <v>1747</v>
      </c>
      <c r="D1749" s="275"/>
      <c r="E1749" s="276"/>
      <c r="F1749" s="221"/>
      <c r="G1749" s="275"/>
      <c r="H1749" s="276"/>
      <c r="I1749" s="217"/>
      <c r="J1749" s="217"/>
      <c r="K1749" s="221"/>
      <c r="L1749" s="217"/>
      <c r="M1749" s="217"/>
      <c r="N1749" s="217"/>
      <c r="O1749" s="217"/>
      <c r="P1749" s="217"/>
    </row>
    <row r="1750" spans="3:16" ht="42" customHeight="1">
      <c r="C1750" s="272">
        <v>1748</v>
      </c>
      <c r="D1750" s="275"/>
      <c r="E1750" s="276"/>
      <c r="F1750" s="221"/>
      <c r="G1750" s="275"/>
      <c r="H1750" s="276"/>
      <c r="I1750" s="217"/>
      <c r="J1750" s="217"/>
      <c r="K1750" s="221"/>
      <c r="L1750" s="217"/>
      <c r="M1750" s="217"/>
      <c r="N1750" s="217"/>
      <c r="O1750" s="217"/>
      <c r="P1750" s="217"/>
    </row>
    <row r="1751" spans="3:16" ht="42" customHeight="1">
      <c r="C1751" s="272">
        <v>1749</v>
      </c>
      <c r="D1751" s="275"/>
      <c r="E1751" s="276"/>
      <c r="F1751" s="221"/>
      <c r="G1751" s="275"/>
      <c r="H1751" s="276"/>
      <c r="I1751" s="217"/>
      <c r="J1751" s="217"/>
      <c r="K1751" s="221"/>
      <c r="L1751" s="217"/>
      <c r="M1751" s="217"/>
      <c r="N1751" s="217"/>
      <c r="O1751" s="217"/>
      <c r="P1751" s="217"/>
    </row>
    <row r="1752" spans="3:16" ht="42" customHeight="1">
      <c r="C1752" s="272">
        <v>1750</v>
      </c>
      <c r="D1752" s="275"/>
      <c r="E1752" s="276"/>
      <c r="F1752" s="221"/>
      <c r="G1752" s="275"/>
      <c r="H1752" s="276"/>
      <c r="I1752" s="217"/>
      <c r="J1752" s="217"/>
      <c r="K1752" s="221"/>
      <c r="L1752" s="217"/>
      <c r="M1752" s="217"/>
      <c r="N1752" s="217"/>
      <c r="O1752" s="217"/>
      <c r="P1752" s="217"/>
    </row>
    <row r="1753" spans="3:16" ht="42" customHeight="1">
      <c r="C1753" s="272">
        <v>1751</v>
      </c>
      <c r="D1753" s="275"/>
      <c r="E1753" s="276"/>
      <c r="F1753" s="221"/>
      <c r="G1753" s="275"/>
      <c r="H1753" s="276"/>
      <c r="I1753" s="217"/>
      <c r="J1753" s="217"/>
      <c r="K1753" s="221"/>
      <c r="L1753" s="217"/>
      <c r="M1753" s="217"/>
      <c r="N1753" s="217"/>
      <c r="O1753" s="217"/>
      <c r="P1753" s="217"/>
    </row>
    <row r="1754" spans="3:16" ht="42" customHeight="1">
      <c r="C1754" s="272">
        <v>1752</v>
      </c>
      <c r="D1754" s="275"/>
      <c r="E1754" s="276"/>
      <c r="F1754" s="221"/>
      <c r="G1754" s="275"/>
      <c r="H1754" s="276"/>
      <c r="I1754" s="217"/>
      <c r="J1754" s="217"/>
      <c r="K1754" s="221"/>
      <c r="L1754" s="217"/>
      <c r="M1754" s="217"/>
      <c r="N1754" s="217"/>
      <c r="O1754" s="217"/>
      <c r="P1754" s="217"/>
    </row>
    <row r="1755" spans="3:16" ht="42" customHeight="1">
      <c r="C1755" s="272">
        <v>1753</v>
      </c>
      <c r="D1755" s="275"/>
      <c r="E1755" s="276"/>
      <c r="F1755" s="221"/>
      <c r="G1755" s="275"/>
      <c r="H1755" s="276"/>
      <c r="I1755" s="217"/>
      <c r="J1755" s="217"/>
      <c r="K1755" s="221"/>
      <c r="L1755" s="217"/>
      <c r="M1755" s="217"/>
      <c r="N1755" s="217"/>
      <c r="O1755" s="217"/>
      <c r="P1755" s="217"/>
    </row>
    <row r="1756" spans="3:16" ht="42" customHeight="1">
      <c r="C1756" s="272">
        <v>1754</v>
      </c>
      <c r="D1756" s="275"/>
      <c r="E1756" s="276"/>
      <c r="F1756" s="221"/>
      <c r="G1756" s="275"/>
      <c r="H1756" s="276"/>
      <c r="I1756" s="217"/>
      <c r="J1756" s="217"/>
      <c r="K1756" s="221"/>
      <c r="L1756" s="217"/>
      <c r="M1756" s="217"/>
      <c r="N1756" s="217"/>
      <c r="O1756" s="217"/>
      <c r="P1756" s="217"/>
    </row>
    <row r="1757" spans="3:16" ht="42" customHeight="1">
      <c r="C1757" s="272">
        <v>1755</v>
      </c>
      <c r="D1757" s="275"/>
      <c r="E1757" s="276"/>
      <c r="F1757" s="221"/>
      <c r="G1757" s="275"/>
      <c r="H1757" s="276"/>
      <c r="I1757" s="217"/>
      <c r="J1757" s="217"/>
      <c r="K1757" s="221"/>
      <c r="L1757" s="217"/>
      <c r="M1757" s="217"/>
      <c r="N1757" s="217"/>
      <c r="O1757" s="217"/>
      <c r="P1757" s="217"/>
    </row>
    <row r="1758" spans="3:16" ht="42" customHeight="1">
      <c r="C1758" s="272">
        <v>1756</v>
      </c>
      <c r="D1758" s="275"/>
      <c r="E1758" s="276"/>
      <c r="F1758" s="221"/>
      <c r="G1758" s="275"/>
      <c r="H1758" s="276"/>
      <c r="I1758" s="217"/>
      <c r="J1758" s="217"/>
      <c r="K1758" s="221"/>
      <c r="L1758" s="217"/>
      <c r="M1758" s="217"/>
      <c r="N1758" s="217"/>
      <c r="O1758" s="217"/>
      <c r="P1758" s="217"/>
    </row>
    <row r="1759" spans="3:16" ht="42" customHeight="1">
      <c r="C1759" s="272">
        <v>1757</v>
      </c>
      <c r="D1759" s="275"/>
      <c r="E1759" s="276"/>
      <c r="F1759" s="221"/>
      <c r="G1759" s="275"/>
      <c r="H1759" s="276"/>
      <c r="I1759" s="217"/>
      <c r="J1759" s="217"/>
      <c r="K1759" s="221"/>
      <c r="L1759" s="217"/>
      <c r="M1759" s="217"/>
      <c r="N1759" s="217"/>
      <c r="O1759" s="217"/>
      <c r="P1759" s="217"/>
    </row>
    <row r="1760" spans="3:16" ht="42" customHeight="1">
      <c r="C1760" s="272">
        <v>1758</v>
      </c>
      <c r="D1760" s="275"/>
      <c r="E1760" s="276"/>
      <c r="F1760" s="221"/>
      <c r="G1760" s="275"/>
      <c r="H1760" s="276"/>
      <c r="I1760" s="217"/>
      <c r="J1760" s="217"/>
      <c r="K1760" s="221"/>
      <c r="L1760" s="217"/>
      <c r="M1760" s="217"/>
      <c r="N1760" s="217"/>
      <c r="O1760" s="217"/>
      <c r="P1760" s="217"/>
    </row>
    <row r="1761" spans="3:16" ht="42" customHeight="1">
      <c r="C1761" s="272">
        <v>1759</v>
      </c>
      <c r="D1761" s="275"/>
      <c r="E1761" s="276"/>
      <c r="F1761" s="221"/>
      <c r="G1761" s="275"/>
      <c r="H1761" s="276"/>
      <c r="I1761" s="217"/>
      <c r="J1761" s="217"/>
      <c r="K1761" s="221"/>
      <c r="L1761" s="217"/>
      <c r="M1761" s="217"/>
      <c r="N1761" s="217"/>
      <c r="O1761" s="217"/>
      <c r="P1761" s="217"/>
    </row>
    <row r="1762" spans="3:16" ht="42" customHeight="1">
      <c r="C1762" s="272">
        <v>1760</v>
      </c>
      <c r="D1762" s="275"/>
      <c r="E1762" s="276"/>
      <c r="F1762" s="221"/>
      <c r="G1762" s="275"/>
      <c r="H1762" s="276"/>
      <c r="I1762" s="217"/>
      <c r="J1762" s="217"/>
      <c r="K1762" s="221"/>
      <c r="L1762" s="217"/>
      <c r="M1762" s="217"/>
      <c r="N1762" s="217"/>
      <c r="O1762" s="217"/>
      <c r="P1762" s="217"/>
    </row>
    <row r="1763" spans="3:16" ht="42" customHeight="1">
      <c r="C1763" s="272">
        <v>1761</v>
      </c>
      <c r="D1763" s="275"/>
      <c r="E1763" s="276"/>
      <c r="F1763" s="221"/>
      <c r="G1763" s="275"/>
      <c r="H1763" s="276"/>
      <c r="I1763" s="217"/>
      <c r="J1763" s="217"/>
      <c r="K1763" s="221"/>
      <c r="L1763" s="217"/>
      <c r="M1763" s="217"/>
      <c r="N1763" s="217"/>
      <c r="O1763" s="217"/>
      <c r="P1763" s="217"/>
    </row>
    <row r="1764" spans="3:16" ht="42" customHeight="1">
      <c r="C1764" s="272">
        <v>1762</v>
      </c>
      <c r="D1764" s="275"/>
      <c r="E1764" s="276"/>
      <c r="F1764" s="221"/>
      <c r="G1764" s="275"/>
      <c r="H1764" s="276"/>
      <c r="I1764" s="217"/>
      <c r="J1764" s="217"/>
      <c r="K1764" s="221"/>
      <c r="L1764" s="217"/>
      <c r="M1764" s="217"/>
      <c r="N1764" s="217"/>
      <c r="O1764" s="217"/>
      <c r="P1764" s="217"/>
    </row>
    <row r="1765" spans="3:16" ht="42" customHeight="1">
      <c r="C1765" s="272">
        <v>1763</v>
      </c>
      <c r="D1765" s="275"/>
      <c r="E1765" s="276"/>
      <c r="F1765" s="221"/>
      <c r="G1765" s="275"/>
      <c r="H1765" s="276"/>
      <c r="I1765" s="217"/>
      <c r="J1765" s="217"/>
      <c r="K1765" s="221"/>
      <c r="L1765" s="217"/>
      <c r="M1765" s="217"/>
      <c r="N1765" s="217"/>
      <c r="O1765" s="217"/>
      <c r="P1765" s="217"/>
    </row>
    <row r="1766" spans="3:16" ht="42" customHeight="1">
      <c r="C1766" s="272">
        <v>1764</v>
      </c>
      <c r="D1766" s="275"/>
      <c r="E1766" s="276"/>
      <c r="F1766" s="221"/>
      <c r="G1766" s="275"/>
      <c r="H1766" s="276"/>
      <c r="I1766" s="217"/>
      <c r="J1766" s="217"/>
      <c r="K1766" s="221"/>
      <c r="L1766" s="217"/>
      <c r="M1766" s="217"/>
      <c r="N1766" s="217"/>
      <c r="O1766" s="217"/>
      <c r="P1766" s="217"/>
    </row>
    <row r="1767" spans="3:16" ht="42" customHeight="1">
      <c r="C1767" s="272">
        <v>1765</v>
      </c>
      <c r="D1767" s="275"/>
      <c r="E1767" s="276"/>
      <c r="F1767" s="221"/>
      <c r="G1767" s="275"/>
      <c r="H1767" s="276"/>
      <c r="I1767" s="217"/>
      <c r="J1767" s="217"/>
      <c r="K1767" s="221"/>
      <c r="L1767" s="217"/>
      <c r="M1767" s="217"/>
      <c r="N1767" s="217"/>
      <c r="O1767" s="217"/>
      <c r="P1767" s="217"/>
    </row>
    <row r="1768" spans="3:16" ht="42" customHeight="1">
      <c r="C1768" s="272">
        <v>1766</v>
      </c>
      <c r="D1768" s="275"/>
      <c r="E1768" s="276"/>
      <c r="F1768" s="221"/>
      <c r="G1768" s="275"/>
      <c r="H1768" s="276"/>
      <c r="I1768" s="217"/>
      <c r="J1768" s="217"/>
      <c r="K1768" s="221"/>
      <c r="L1768" s="217"/>
      <c r="M1768" s="217"/>
      <c r="N1768" s="217"/>
      <c r="O1768" s="217"/>
      <c r="P1768" s="217"/>
    </row>
    <row r="1769" spans="3:16" ht="42" customHeight="1">
      <c r="C1769" s="272">
        <v>1767</v>
      </c>
      <c r="D1769" s="275"/>
      <c r="E1769" s="276"/>
      <c r="F1769" s="221"/>
      <c r="G1769" s="275"/>
      <c r="H1769" s="276"/>
      <c r="I1769" s="217"/>
      <c r="J1769" s="217"/>
      <c r="K1769" s="221"/>
      <c r="L1769" s="217"/>
      <c r="M1769" s="217"/>
      <c r="N1769" s="217"/>
      <c r="O1769" s="217"/>
      <c r="P1769" s="217"/>
    </row>
    <row r="1770" spans="3:16" ht="42" customHeight="1">
      <c r="C1770" s="272">
        <v>1768</v>
      </c>
      <c r="D1770" s="275"/>
      <c r="E1770" s="276"/>
      <c r="F1770" s="221"/>
      <c r="G1770" s="275"/>
      <c r="H1770" s="276"/>
      <c r="I1770" s="217"/>
      <c r="J1770" s="217"/>
      <c r="K1770" s="221"/>
      <c r="L1770" s="217"/>
      <c r="M1770" s="217"/>
      <c r="N1770" s="217"/>
      <c r="O1770" s="217"/>
      <c r="P1770" s="217"/>
    </row>
    <row r="1771" spans="3:16" ht="42" customHeight="1">
      <c r="C1771" s="272">
        <v>1769</v>
      </c>
      <c r="D1771" s="275"/>
      <c r="E1771" s="276"/>
      <c r="F1771" s="221"/>
      <c r="G1771" s="275"/>
      <c r="H1771" s="276"/>
      <c r="I1771" s="217"/>
      <c r="J1771" s="217"/>
      <c r="K1771" s="221"/>
      <c r="L1771" s="217"/>
      <c r="M1771" s="217"/>
      <c r="N1771" s="217"/>
      <c r="O1771" s="217"/>
      <c r="P1771" s="217"/>
    </row>
    <row r="1772" spans="3:16" ht="42" customHeight="1">
      <c r="C1772" s="272">
        <v>1770</v>
      </c>
      <c r="D1772" s="275"/>
      <c r="E1772" s="276"/>
      <c r="F1772" s="221"/>
      <c r="G1772" s="275"/>
      <c r="H1772" s="276"/>
      <c r="I1772" s="217"/>
      <c r="J1772" s="217"/>
      <c r="K1772" s="221"/>
      <c r="L1772" s="217"/>
      <c r="M1772" s="217"/>
      <c r="N1772" s="217"/>
      <c r="O1772" s="217"/>
      <c r="P1772" s="217"/>
    </row>
    <row r="1773" spans="3:16" ht="42" customHeight="1">
      <c r="C1773" s="272">
        <v>1771</v>
      </c>
      <c r="D1773" s="275"/>
      <c r="E1773" s="276"/>
      <c r="F1773" s="221"/>
      <c r="G1773" s="275"/>
      <c r="H1773" s="276"/>
      <c r="I1773" s="217"/>
      <c r="J1773" s="217"/>
      <c r="K1773" s="221"/>
      <c r="L1773" s="217"/>
      <c r="M1773" s="217"/>
      <c r="N1773" s="217"/>
      <c r="O1773" s="217"/>
      <c r="P1773" s="217"/>
    </row>
    <row r="1774" spans="3:16" ht="42" customHeight="1">
      <c r="C1774" s="272">
        <v>1772</v>
      </c>
      <c r="D1774" s="275"/>
      <c r="E1774" s="276"/>
      <c r="F1774" s="221"/>
      <c r="G1774" s="275"/>
      <c r="H1774" s="276"/>
      <c r="I1774" s="217"/>
      <c r="J1774" s="217"/>
      <c r="K1774" s="221"/>
      <c r="L1774" s="217"/>
      <c r="M1774" s="217"/>
      <c r="N1774" s="217"/>
      <c r="O1774" s="217"/>
      <c r="P1774" s="217"/>
    </row>
    <row r="1775" spans="3:16" ht="42" customHeight="1">
      <c r="C1775" s="272">
        <v>1773</v>
      </c>
      <c r="D1775" s="275"/>
      <c r="E1775" s="276"/>
      <c r="F1775" s="221"/>
      <c r="G1775" s="275"/>
      <c r="H1775" s="276"/>
      <c r="I1775" s="217"/>
      <c r="J1775" s="217"/>
      <c r="K1775" s="221"/>
      <c r="L1775" s="217"/>
      <c r="M1775" s="217"/>
      <c r="N1775" s="217"/>
      <c r="O1775" s="217"/>
      <c r="P1775" s="217"/>
    </row>
    <row r="1776" spans="3:16" ht="42" customHeight="1">
      <c r="C1776" s="272">
        <v>1774</v>
      </c>
      <c r="D1776" s="275"/>
      <c r="E1776" s="276"/>
      <c r="F1776" s="221"/>
      <c r="G1776" s="275"/>
      <c r="H1776" s="276"/>
      <c r="I1776" s="217"/>
      <c r="J1776" s="217"/>
      <c r="K1776" s="221"/>
      <c r="L1776" s="217"/>
      <c r="M1776" s="217"/>
      <c r="N1776" s="217"/>
      <c r="O1776" s="217"/>
      <c r="P1776" s="217"/>
    </row>
    <row r="1777" spans="3:16" ht="42" customHeight="1">
      <c r="C1777" s="272">
        <v>1775</v>
      </c>
      <c r="D1777" s="275"/>
      <c r="E1777" s="276"/>
      <c r="F1777" s="221"/>
      <c r="G1777" s="275"/>
      <c r="H1777" s="276"/>
      <c r="I1777" s="217"/>
      <c r="J1777" s="217"/>
      <c r="K1777" s="221"/>
      <c r="L1777" s="217"/>
      <c r="M1777" s="217"/>
      <c r="N1777" s="217"/>
      <c r="O1777" s="217"/>
      <c r="P1777" s="217"/>
    </row>
    <row r="1778" spans="3:16" ht="42" customHeight="1">
      <c r="C1778" s="272">
        <v>1776</v>
      </c>
      <c r="D1778" s="275"/>
      <c r="E1778" s="276"/>
      <c r="F1778" s="221"/>
      <c r="G1778" s="275"/>
      <c r="H1778" s="276"/>
      <c r="I1778" s="217"/>
      <c r="J1778" s="217"/>
      <c r="K1778" s="221"/>
      <c r="L1778" s="217"/>
      <c r="M1778" s="217"/>
      <c r="N1778" s="217"/>
      <c r="O1778" s="217"/>
      <c r="P1778" s="217"/>
    </row>
    <row r="1779" spans="3:16" ht="42" customHeight="1">
      <c r="C1779" s="272">
        <v>1777</v>
      </c>
      <c r="D1779" s="275"/>
      <c r="E1779" s="276"/>
      <c r="F1779" s="221"/>
      <c r="G1779" s="275"/>
      <c r="H1779" s="276"/>
      <c r="I1779" s="217"/>
      <c r="J1779" s="217"/>
      <c r="K1779" s="221"/>
      <c r="L1779" s="217"/>
      <c r="M1779" s="217"/>
      <c r="N1779" s="217"/>
      <c r="O1779" s="217"/>
      <c r="P1779" s="217"/>
    </row>
    <row r="1780" spans="3:16" ht="42" customHeight="1">
      <c r="C1780" s="272">
        <v>1778</v>
      </c>
      <c r="D1780" s="275"/>
      <c r="E1780" s="276"/>
      <c r="F1780" s="221"/>
      <c r="G1780" s="275"/>
      <c r="H1780" s="276"/>
      <c r="I1780" s="217"/>
      <c r="J1780" s="217"/>
      <c r="K1780" s="221"/>
      <c r="L1780" s="217"/>
      <c r="M1780" s="217"/>
      <c r="N1780" s="217"/>
      <c r="O1780" s="217"/>
      <c r="P1780" s="217"/>
    </row>
    <row r="1781" spans="3:16" ht="42" customHeight="1">
      <c r="C1781" s="272">
        <v>1779</v>
      </c>
      <c r="D1781" s="275"/>
      <c r="E1781" s="276"/>
      <c r="F1781" s="221"/>
      <c r="G1781" s="275"/>
      <c r="H1781" s="276"/>
      <c r="I1781" s="217"/>
      <c r="J1781" s="217"/>
      <c r="K1781" s="221"/>
      <c r="L1781" s="217"/>
      <c r="M1781" s="217"/>
      <c r="N1781" s="217"/>
      <c r="O1781" s="217"/>
      <c r="P1781" s="217"/>
    </row>
    <row r="1782" spans="3:16" ht="42" customHeight="1">
      <c r="C1782" s="272">
        <v>1780</v>
      </c>
      <c r="D1782" s="275"/>
      <c r="E1782" s="276"/>
      <c r="F1782" s="221"/>
      <c r="G1782" s="275"/>
      <c r="H1782" s="276"/>
      <c r="I1782" s="217"/>
      <c r="J1782" s="217"/>
      <c r="K1782" s="221"/>
      <c r="L1782" s="217"/>
      <c r="M1782" s="217"/>
      <c r="N1782" s="217"/>
      <c r="O1782" s="217"/>
      <c r="P1782" s="217"/>
    </row>
    <row r="1783" spans="3:16" ht="42" customHeight="1">
      <c r="C1783" s="272">
        <v>1781</v>
      </c>
      <c r="D1783" s="275"/>
      <c r="E1783" s="276"/>
      <c r="F1783" s="221"/>
      <c r="G1783" s="275"/>
      <c r="H1783" s="276"/>
      <c r="I1783" s="217"/>
      <c r="J1783" s="217"/>
      <c r="K1783" s="221"/>
      <c r="L1783" s="217"/>
      <c r="M1783" s="217"/>
      <c r="N1783" s="217"/>
      <c r="O1783" s="217"/>
      <c r="P1783" s="217"/>
    </row>
    <row r="1784" spans="3:16" ht="42" customHeight="1">
      <c r="C1784" s="272">
        <v>1782</v>
      </c>
      <c r="D1784" s="275"/>
      <c r="E1784" s="276"/>
      <c r="F1784" s="221"/>
      <c r="G1784" s="275"/>
      <c r="H1784" s="276"/>
      <c r="I1784" s="217"/>
      <c r="J1784" s="217"/>
      <c r="K1784" s="221"/>
      <c r="L1784" s="217"/>
      <c r="M1784" s="217"/>
      <c r="N1784" s="217"/>
      <c r="O1784" s="217"/>
      <c r="P1784" s="217"/>
    </row>
    <row r="1785" spans="3:16" ht="42" customHeight="1">
      <c r="C1785" s="272">
        <v>1783</v>
      </c>
      <c r="D1785" s="275"/>
      <c r="E1785" s="276"/>
      <c r="F1785" s="221"/>
      <c r="G1785" s="275"/>
      <c r="H1785" s="276"/>
      <c r="I1785" s="217"/>
      <c r="J1785" s="217"/>
      <c r="K1785" s="221"/>
      <c r="L1785" s="217"/>
      <c r="M1785" s="217"/>
      <c r="N1785" s="217"/>
      <c r="O1785" s="217"/>
      <c r="P1785" s="217"/>
    </row>
    <row r="1786" spans="3:16" ht="42" customHeight="1">
      <c r="C1786" s="272">
        <v>1784</v>
      </c>
      <c r="D1786" s="275"/>
      <c r="E1786" s="276"/>
      <c r="F1786" s="221"/>
      <c r="G1786" s="275"/>
      <c r="H1786" s="276"/>
      <c r="I1786" s="217"/>
      <c r="J1786" s="217"/>
      <c r="K1786" s="221"/>
      <c r="L1786" s="217"/>
      <c r="M1786" s="217"/>
      <c r="N1786" s="217"/>
      <c r="O1786" s="217"/>
      <c r="P1786" s="217"/>
    </row>
    <row r="1787" spans="3:16" ht="42" customHeight="1">
      <c r="C1787" s="272">
        <v>1785</v>
      </c>
      <c r="D1787" s="275"/>
      <c r="E1787" s="276"/>
      <c r="F1787" s="221"/>
      <c r="G1787" s="275"/>
      <c r="H1787" s="276"/>
      <c r="I1787" s="217"/>
      <c r="J1787" s="217"/>
      <c r="K1787" s="221"/>
      <c r="L1787" s="217"/>
      <c r="M1787" s="217"/>
      <c r="N1787" s="217"/>
      <c r="O1787" s="217"/>
      <c r="P1787" s="217"/>
    </row>
    <row r="1788" spans="3:16" ht="42" customHeight="1">
      <c r="C1788" s="272">
        <v>1786</v>
      </c>
      <c r="D1788" s="275"/>
      <c r="E1788" s="276"/>
      <c r="F1788" s="221"/>
      <c r="G1788" s="275"/>
      <c r="H1788" s="276"/>
      <c r="I1788" s="217"/>
      <c r="J1788" s="217"/>
      <c r="K1788" s="221"/>
      <c r="L1788" s="217"/>
      <c r="M1788" s="217"/>
      <c r="N1788" s="217"/>
      <c r="O1788" s="217"/>
      <c r="P1788" s="217"/>
    </row>
    <row r="1789" spans="3:16" ht="42" customHeight="1">
      <c r="C1789" s="272">
        <v>1787</v>
      </c>
      <c r="D1789" s="275"/>
      <c r="E1789" s="276"/>
      <c r="F1789" s="221"/>
      <c r="G1789" s="275"/>
      <c r="H1789" s="276"/>
      <c r="I1789" s="217"/>
      <c r="J1789" s="217"/>
      <c r="K1789" s="221"/>
      <c r="L1789" s="217"/>
      <c r="M1789" s="217"/>
      <c r="N1789" s="217"/>
      <c r="O1789" s="217"/>
      <c r="P1789" s="217"/>
    </row>
    <row r="1790" spans="3:16" ht="42" customHeight="1">
      <c r="C1790" s="272">
        <v>1788</v>
      </c>
      <c r="D1790" s="275"/>
      <c r="E1790" s="276"/>
      <c r="F1790" s="221"/>
      <c r="G1790" s="275"/>
      <c r="H1790" s="276"/>
      <c r="I1790" s="217"/>
      <c r="J1790" s="217"/>
      <c r="K1790" s="221"/>
      <c r="L1790" s="217"/>
      <c r="M1790" s="217"/>
      <c r="N1790" s="217"/>
      <c r="O1790" s="217"/>
      <c r="P1790" s="217"/>
    </row>
    <row r="1791" spans="3:16" ht="42" customHeight="1">
      <c r="C1791" s="272">
        <v>1789</v>
      </c>
      <c r="D1791" s="275"/>
      <c r="E1791" s="276"/>
      <c r="F1791" s="221"/>
      <c r="G1791" s="275"/>
      <c r="H1791" s="276"/>
      <c r="I1791" s="217"/>
      <c r="J1791" s="217"/>
      <c r="K1791" s="221"/>
      <c r="L1791" s="217"/>
      <c r="M1791" s="217"/>
      <c r="N1791" s="217"/>
      <c r="O1791" s="217"/>
      <c r="P1791" s="217"/>
    </row>
    <row r="1792" spans="3:16" ht="42" customHeight="1">
      <c r="C1792" s="272">
        <v>1790</v>
      </c>
      <c r="D1792" s="275"/>
      <c r="E1792" s="276"/>
      <c r="F1792" s="221"/>
      <c r="G1792" s="275"/>
      <c r="H1792" s="276"/>
      <c r="I1792" s="217"/>
      <c r="J1792" s="217"/>
      <c r="K1792" s="221"/>
      <c r="L1792" s="217"/>
      <c r="M1792" s="217"/>
      <c r="N1792" s="217"/>
      <c r="O1792" s="217"/>
      <c r="P1792" s="217"/>
    </row>
    <row r="1793" spans="3:16" ht="42" customHeight="1">
      <c r="C1793" s="272">
        <v>1791</v>
      </c>
      <c r="D1793" s="275"/>
      <c r="E1793" s="276"/>
      <c r="F1793" s="221"/>
      <c r="G1793" s="275"/>
      <c r="H1793" s="276"/>
      <c r="I1793" s="217"/>
      <c r="J1793" s="217"/>
      <c r="K1793" s="221"/>
      <c r="L1793" s="217"/>
      <c r="M1793" s="217"/>
      <c r="N1793" s="217"/>
      <c r="O1793" s="217"/>
      <c r="P1793" s="217"/>
    </row>
    <row r="1794" spans="3:16" ht="42" customHeight="1">
      <c r="C1794" s="272">
        <v>1792</v>
      </c>
      <c r="D1794" s="275"/>
      <c r="E1794" s="276"/>
      <c r="F1794" s="221"/>
      <c r="G1794" s="275"/>
      <c r="H1794" s="276"/>
      <c r="I1794" s="217"/>
      <c r="J1794" s="217"/>
      <c r="K1794" s="221"/>
      <c r="L1794" s="217"/>
      <c r="M1794" s="217"/>
      <c r="N1794" s="217"/>
      <c r="O1794" s="217"/>
      <c r="P1794" s="217"/>
    </row>
    <row r="1795" spans="3:16" ht="42" customHeight="1">
      <c r="C1795" s="272">
        <v>1793</v>
      </c>
      <c r="D1795" s="275"/>
      <c r="E1795" s="276"/>
      <c r="F1795" s="221"/>
      <c r="G1795" s="275"/>
      <c r="H1795" s="276"/>
      <c r="I1795" s="217"/>
      <c r="J1795" s="217"/>
      <c r="K1795" s="221"/>
      <c r="L1795" s="217"/>
      <c r="M1795" s="217"/>
      <c r="N1795" s="217"/>
      <c r="O1795" s="217"/>
      <c r="P1795" s="217"/>
    </row>
    <row r="1796" spans="3:16" ht="42" customHeight="1">
      <c r="C1796" s="272">
        <v>1794</v>
      </c>
      <c r="D1796" s="275"/>
      <c r="E1796" s="276"/>
      <c r="F1796" s="221"/>
      <c r="G1796" s="275"/>
      <c r="H1796" s="276"/>
      <c r="I1796" s="217"/>
      <c r="J1796" s="217"/>
      <c r="K1796" s="221"/>
      <c r="L1796" s="217"/>
      <c r="M1796" s="217"/>
      <c r="N1796" s="217"/>
      <c r="O1796" s="217"/>
      <c r="P1796" s="217"/>
    </row>
    <row r="1797" spans="3:16" ht="42" customHeight="1">
      <c r="C1797" s="272">
        <v>1795</v>
      </c>
      <c r="D1797" s="275"/>
      <c r="E1797" s="276"/>
      <c r="F1797" s="221"/>
      <c r="G1797" s="275"/>
      <c r="H1797" s="276"/>
      <c r="I1797" s="217"/>
      <c r="J1797" s="217"/>
      <c r="K1797" s="221"/>
      <c r="L1797" s="217"/>
      <c r="M1797" s="217"/>
      <c r="N1797" s="217"/>
      <c r="O1797" s="217"/>
      <c r="P1797" s="217"/>
    </row>
    <row r="1798" spans="3:16" ht="42" customHeight="1">
      <c r="C1798" s="272">
        <v>1796</v>
      </c>
      <c r="D1798" s="275"/>
      <c r="E1798" s="276"/>
      <c r="F1798" s="221"/>
      <c r="G1798" s="275"/>
      <c r="H1798" s="276"/>
      <c r="I1798" s="217"/>
      <c r="J1798" s="217"/>
      <c r="K1798" s="221"/>
      <c r="L1798" s="217"/>
      <c r="M1798" s="217"/>
      <c r="N1798" s="217"/>
      <c r="O1798" s="217"/>
      <c r="P1798" s="217"/>
    </row>
    <row r="1799" spans="3:16" ht="42" customHeight="1">
      <c r="C1799" s="272">
        <v>1797</v>
      </c>
      <c r="D1799" s="275"/>
      <c r="E1799" s="276"/>
      <c r="F1799" s="221"/>
      <c r="G1799" s="275"/>
      <c r="H1799" s="276"/>
      <c r="I1799" s="217"/>
      <c r="J1799" s="217"/>
      <c r="K1799" s="221"/>
      <c r="L1799" s="217"/>
      <c r="M1799" s="217"/>
      <c r="N1799" s="217"/>
      <c r="O1799" s="217"/>
      <c r="P1799" s="217"/>
    </row>
    <row r="1800" spans="3:16" ht="42" customHeight="1">
      <c r="C1800" s="272">
        <v>1798</v>
      </c>
      <c r="D1800" s="275"/>
      <c r="E1800" s="276"/>
      <c r="F1800" s="221"/>
      <c r="G1800" s="275"/>
      <c r="H1800" s="276"/>
      <c r="I1800" s="217"/>
      <c r="J1800" s="217"/>
      <c r="K1800" s="221"/>
      <c r="L1800" s="217"/>
      <c r="M1800" s="217"/>
      <c r="N1800" s="217"/>
      <c r="O1800" s="217"/>
      <c r="P1800" s="217"/>
    </row>
    <row r="1801" spans="3:16" ht="42" customHeight="1">
      <c r="C1801" s="272">
        <v>1799</v>
      </c>
      <c r="D1801" s="275"/>
      <c r="E1801" s="276"/>
      <c r="F1801" s="221"/>
      <c r="G1801" s="275"/>
      <c r="H1801" s="276"/>
      <c r="I1801" s="217"/>
      <c r="J1801" s="217"/>
      <c r="K1801" s="221"/>
      <c r="L1801" s="217"/>
      <c r="M1801" s="217"/>
      <c r="N1801" s="217"/>
      <c r="O1801" s="217"/>
      <c r="P1801" s="217"/>
    </row>
    <row r="1802" spans="3:16" ht="42" customHeight="1">
      <c r="C1802" s="272">
        <v>1800</v>
      </c>
      <c r="D1802" s="275"/>
      <c r="E1802" s="276"/>
      <c r="F1802" s="221"/>
      <c r="G1802" s="275"/>
      <c r="H1802" s="276"/>
      <c r="I1802" s="217"/>
      <c r="J1802" s="217"/>
      <c r="K1802" s="221"/>
      <c r="L1802" s="217"/>
      <c r="M1802" s="217"/>
      <c r="N1802" s="217"/>
      <c r="O1802" s="217"/>
      <c r="P1802" s="217"/>
    </row>
    <row r="1803" spans="3:16" ht="42" customHeight="1">
      <c r="C1803" s="272">
        <v>1801</v>
      </c>
      <c r="D1803" s="275"/>
      <c r="E1803" s="276"/>
      <c r="F1803" s="221"/>
      <c r="G1803" s="275"/>
      <c r="H1803" s="276"/>
      <c r="I1803" s="217"/>
      <c r="J1803" s="217"/>
      <c r="K1803" s="221"/>
      <c r="L1803" s="217"/>
      <c r="M1803" s="217"/>
      <c r="N1803" s="217"/>
      <c r="O1803" s="217"/>
      <c r="P1803" s="217"/>
    </row>
    <row r="1804" spans="3:16" ht="42" customHeight="1">
      <c r="C1804" s="272">
        <v>1802</v>
      </c>
      <c r="D1804" s="275"/>
      <c r="E1804" s="276"/>
      <c r="F1804" s="221"/>
      <c r="G1804" s="275"/>
      <c r="H1804" s="276"/>
      <c r="I1804" s="217"/>
      <c r="J1804" s="217"/>
      <c r="K1804" s="221"/>
      <c r="L1804" s="217"/>
      <c r="M1804" s="217"/>
      <c r="N1804" s="217"/>
      <c r="O1804" s="217"/>
      <c r="P1804" s="217"/>
    </row>
    <row r="1805" spans="3:16" ht="42" customHeight="1">
      <c r="C1805" s="272">
        <v>1803</v>
      </c>
      <c r="D1805" s="275"/>
      <c r="E1805" s="276"/>
      <c r="F1805" s="221"/>
      <c r="G1805" s="275"/>
      <c r="H1805" s="276"/>
      <c r="I1805" s="217"/>
      <c r="J1805" s="217"/>
      <c r="K1805" s="221"/>
      <c r="L1805" s="217"/>
      <c r="M1805" s="217"/>
      <c r="N1805" s="217"/>
      <c r="O1805" s="217"/>
      <c r="P1805" s="217"/>
    </row>
    <row r="1806" spans="3:16" ht="42" customHeight="1">
      <c r="C1806" s="272">
        <v>1804</v>
      </c>
      <c r="D1806" s="275"/>
      <c r="E1806" s="276"/>
      <c r="F1806" s="221"/>
      <c r="G1806" s="275"/>
      <c r="H1806" s="276"/>
      <c r="I1806" s="217"/>
      <c r="J1806" s="217"/>
      <c r="K1806" s="221"/>
      <c r="L1806" s="217"/>
      <c r="M1806" s="217"/>
      <c r="N1806" s="217"/>
      <c r="O1806" s="217"/>
      <c r="P1806" s="217"/>
    </row>
    <row r="1807" spans="3:16" ht="42" customHeight="1">
      <c r="C1807" s="272">
        <v>1805</v>
      </c>
      <c r="D1807" s="275"/>
      <c r="E1807" s="276"/>
      <c r="F1807" s="221"/>
      <c r="G1807" s="275"/>
      <c r="H1807" s="276"/>
      <c r="I1807" s="217"/>
      <c r="J1807" s="217"/>
      <c r="K1807" s="221"/>
      <c r="L1807" s="217"/>
      <c r="M1807" s="217"/>
      <c r="N1807" s="217"/>
      <c r="O1807" s="217"/>
      <c r="P1807" s="217"/>
    </row>
    <row r="1808" spans="3:16" ht="42" customHeight="1">
      <c r="C1808" s="272">
        <v>1806</v>
      </c>
      <c r="D1808" s="275"/>
      <c r="E1808" s="276"/>
      <c r="F1808" s="221"/>
      <c r="G1808" s="275"/>
      <c r="H1808" s="276"/>
      <c r="I1808" s="217"/>
      <c r="J1808" s="217"/>
      <c r="K1808" s="221"/>
      <c r="L1808" s="217"/>
      <c r="M1808" s="217"/>
      <c r="N1808" s="217"/>
      <c r="O1808" s="217"/>
      <c r="P1808" s="217"/>
    </row>
    <row r="1809" spans="3:16" ht="42" customHeight="1">
      <c r="C1809" s="272">
        <v>1807</v>
      </c>
      <c r="D1809" s="275"/>
      <c r="E1809" s="276"/>
      <c r="F1809" s="221"/>
      <c r="G1809" s="275"/>
      <c r="H1809" s="276"/>
      <c r="I1809" s="217"/>
      <c r="J1809" s="217"/>
      <c r="K1809" s="221"/>
      <c r="L1809" s="217"/>
      <c r="M1809" s="217"/>
      <c r="N1809" s="217"/>
      <c r="O1809" s="217"/>
      <c r="P1809" s="217"/>
    </row>
    <row r="1810" spans="3:16" ht="42" customHeight="1">
      <c r="C1810" s="272">
        <v>1808</v>
      </c>
      <c r="D1810" s="275"/>
      <c r="E1810" s="276"/>
      <c r="F1810" s="221"/>
      <c r="G1810" s="275"/>
      <c r="H1810" s="276"/>
      <c r="I1810" s="217"/>
      <c r="J1810" s="217"/>
      <c r="K1810" s="221"/>
      <c r="L1810" s="217"/>
      <c r="M1810" s="217"/>
      <c r="N1810" s="217"/>
      <c r="O1810" s="217"/>
      <c r="P1810" s="217"/>
    </row>
    <row r="1811" spans="3:16" ht="42" customHeight="1">
      <c r="C1811" s="272">
        <v>1809</v>
      </c>
      <c r="D1811" s="275"/>
      <c r="E1811" s="276"/>
      <c r="F1811" s="221"/>
      <c r="G1811" s="275"/>
      <c r="H1811" s="276"/>
      <c r="I1811" s="217"/>
      <c r="J1811" s="217"/>
      <c r="K1811" s="221"/>
      <c r="L1811" s="217"/>
      <c r="M1811" s="217"/>
      <c r="N1811" s="217"/>
      <c r="O1811" s="217"/>
      <c r="P1811" s="217"/>
    </row>
    <row r="1812" spans="3:16" ht="42" customHeight="1">
      <c r="C1812" s="272">
        <v>1810</v>
      </c>
      <c r="D1812" s="275"/>
      <c r="E1812" s="276"/>
      <c r="F1812" s="221"/>
      <c r="G1812" s="275"/>
      <c r="H1812" s="276"/>
      <c r="I1812" s="217"/>
      <c r="J1812" s="217"/>
      <c r="K1812" s="221"/>
      <c r="L1812" s="217"/>
      <c r="M1812" s="217"/>
      <c r="N1812" s="217"/>
      <c r="O1812" s="217"/>
      <c r="P1812" s="217"/>
    </row>
    <row r="1813" spans="3:16" ht="42" customHeight="1">
      <c r="C1813" s="272">
        <v>1811</v>
      </c>
      <c r="D1813" s="275"/>
      <c r="E1813" s="276"/>
      <c r="F1813" s="221"/>
      <c r="G1813" s="275"/>
      <c r="H1813" s="276"/>
      <c r="I1813" s="217"/>
      <c r="J1813" s="217"/>
      <c r="K1813" s="221"/>
      <c r="L1813" s="217"/>
      <c r="M1813" s="217"/>
      <c r="N1813" s="217"/>
      <c r="O1813" s="217"/>
      <c r="P1813" s="217"/>
    </row>
    <row r="1814" spans="3:16" ht="42" customHeight="1">
      <c r="C1814" s="272">
        <v>1812</v>
      </c>
      <c r="D1814" s="275"/>
      <c r="E1814" s="276"/>
      <c r="F1814" s="221"/>
      <c r="G1814" s="275"/>
      <c r="H1814" s="276"/>
      <c r="I1814" s="217"/>
      <c r="J1814" s="217"/>
      <c r="K1814" s="221"/>
      <c r="L1814" s="217"/>
      <c r="M1814" s="217"/>
      <c r="N1814" s="217"/>
      <c r="O1814" s="217"/>
      <c r="P1814" s="217"/>
    </row>
    <row r="1815" spans="3:16" ht="42" customHeight="1">
      <c r="C1815" s="272">
        <v>1813</v>
      </c>
      <c r="D1815" s="275"/>
      <c r="E1815" s="276"/>
      <c r="F1815" s="221"/>
      <c r="G1815" s="275"/>
      <c r="H1815" s="276"/>
      <c r="I1815" s="217"/>
      <c r="J1815" s="217"/>
      <c r="K1815" s="221"/>
      <c r="L1815" s="217"/>
      <c r="M1815" s="217"/>
      <c r="N1815" s="217"/>
      <c r="O1815" s="217"/>
      <c r="P1815" s="217"/>
    </row>
    <row r="1816" spans="3:16" ht="42" customHeight="1">
      <c r="C1816" s="272">
        <v>1814</v>
      </c>
      <c r="D1816" s="275"/>
      <c r="E1816" s="276"/>
      <c r="F1816" s="221"/>
      <c r="G1816" s="275"/>
      <c r="H1816" s="276"/>
      <c r="I1816" s="217"/>
      <c r="J1816" s="217"/>
      <c r="K1816" s="221"/>
      <c r="L1816" s="217"/>
      <c r="M1816" s="217"/>
      <c r="N1816" s="217"/>
      <c r="O1816" s="217"/>
      <c r="P1816" s="217"/>
    </row>
    <row r="1817" spans="3:16" ht="42" customHeight="1">
      <c r="C1817" s="272">
        <v>1815</v>
      </c>
      <c r="D1817" s="275"/>
      <c r="E1817" s="276"/>
      <c r="F1817" s="221"/>
      <c r="G1817" s="275"/>
      <c r="H1817" s="276"/>
      <c r="I1817" s="217"/>
      <c r="J1817" s="217"/>
      <c r="K1817" s="221"/>
      <c r="L1817" s="217"/>
      <c r="M1817" s="217"/>
      <c r="N1817" s="217"/>
      <c r="O1817" s="217"/>
      <c r="P1817" s="217"/>
    </row>
    <row r="1818" spans="3:16" ht="42" customHeight="1">
      <c r="C1818" s="272">
        <v>1816</v>
      </c>
      <c r="D1818" s="275"/>
      <c r="E1818" s="276"/>
      <c r="F1818" s="221"/>
      <c r="G1818" s="275"/>
      <c r="H1818" s="276"/>
      <c r="I1818" s="217"/>
      <c r="J1818" s="217"/>
      <c r="K1818" s="221"/>
      <c r="L1818" s="217"/>
      <c r="M1818" s="217"/>
      <c r="N1818" s="217"/>
      <c r="O1818" s="217"/>
      <c r="P1818" s="217"/>
    </row>
    <row r="1819" spans="3:16" ht="42" customHeight="1">
      <c r="C1819" s="272">
        <v>1817</v>
      </c>
      <c r="D1819" s="275"/>
      <c r="E1819" s="276"/>
      <c r="F1819" s="221"/>
      <c r="G1819" s="275"/>
      <c r="H1819" s="276"/>
      <c r="I1819" s="217"/>
      <c r="J1819" s="217"/>
      <c r="K1819" s="221"/>
      <c r="L1819" s="217"/>
      <c r="M1819" s="217"/>
      <c r="N1819" s="217"/>
      <c r="O1819" s="217"/>
      <c r="P1819" s="217"/>
    </row>
    <row r="1820" spans="3:16" ht="42" customHeight="1">
      <c r="C1820" s="272">
        <v>1818</v>
      </c>
      <c r="D1820" s="275"/>
      <c r="E1820" s="276"/>
      <c r="F1820" s="221"/>
      <c r="G1820" s="275"/>
      <c r="H1820" s="276"/>
      <c r="I1820" s="217"/>
      <c r="J1820" s="217"/>
      <c r="K1820" s="221"/>
      <c r="L1820" s="217"/>
      <c r="M1820" s="217"/>
      <c r="N1820" s="217"/>
      <c r="O1820" s="217"/>
      <c r="P1820" s="217"/>
    </row>
    <row r="1821" spans="3:16" ht="42" customHeight="1">
      <c r="C1821" s="272">
        <v>1819</v>
      </c>
      <c r="D1821" s="275"/>
      <c r="E1821" s="276"/>
      <c r="F1821" s="221"/>
      <c r="G1821" s="275"/>
      <c r="H1821" s="276"/>
      <c r="I1821" s="217"/>
      <c r="J1821" s="217"/>
      <c r="K1821" s="221"/>
      <c r="L1821" s="217"/>
      <c r="M1821" s="217"/>
      <c r="N1821" s="217"/>
      <c r="O1821" s="217"/>
      <c r="P1821" s="217"/>
    </row>
    <row r="1822" spans="3:16" ht="42" customHeight="1">
      <c r="C1822" s="272">
        <v>1820</v>
      </c>
      <c r="D1822" s="275"/>
      <c r="E1822" s="276"/>
      <c r="F1822" s="221"/>
      <c r="G1822" s="275"/>
      <c r="H1822" s="276"/>
      <c r="I1822" s="217"/>
      <c r="J1822" s="217"/>
      <c r="K1822" s="221"/>
      <c r="L1822" s="217"/>
      <c r="M1822" s="217"/>
      <c r="N1822" s="217"/>
      <c r="O1822" s="217"/>
      <c r="P1822" s="217"/>
    </row>
    <row r="1823" spans="3:16" ht="42" customHeight="1">
      <c r="C1823" s="272">
        <v>1821</v>
      </c>
      <c r="D1823" s="275"/>
      <c r="E1823" s="276"/>
      <c r="F1823" s="221"/>
      <c r="G1823" s="275"/>
      <c r="H1823" s="276"/>
      <c r="I1823" s="217"/>
      <c r="J1823" s="217"/>
      <c r="K1823" s="221"/>
      <c r="L1823" s="217"/>
      <c r="M1823" s="217"/>
      <c r="N1823" s="217"/>
      <c r="O1823" s="217"/>
      <c r="P1823" s="217"/>
    </row>
    <row r="1824" spans="3:16" ht="42" customHeight="1">
      <c r="C1824" s="272">
        <v>1822</v>
      </c>
      <c r="D1824" s="275"/>
      <c r="E1824" s="276"/>
      <c r="F1824" s="221"/>
      <c r="G1824" s="275"/>
      <c r="H1824" s="276"/>
      <c r="I1824" s="217"/>
      <c r="J1824" s="217"/>
      <c r="K1824" s="221"/>
      <c r="L1824" s="217"/>
      <c r="M1824" s="217"/>
      <c r="N1824" s="217"/>
      <c r="O1824" s="217"/>
      <c r="P1824" s="217"/>
    </row>
    <row r="1825" spans="3:16" ht="42" customHeight="1">
      <c r="C1825" s="272">
        <v>1823</v>
      </c>
      <c r="D1825" s="275"/>
      <c r="E1825" s="276"/>
      <c r="F1825" s="221"/>
      <c r="G1825" s="275"/>
      <c r="H1825" s="276"/>
      <c r="I1825" s="217"/>
      <c r="J1825" s="217"/>
      <c r="K1825" s="221"/>
      <c r="L1825" s="217"/>
      <c r="M1825" s="217"/>
      <c r="N1825" s="217"/>
      <c r="O1825" s="217"/>
      <c r="P1825" s="217"/>
    </row>
    <row r="1826" spans="3:16" ht="42" customHeight="1">
      <c r="C1826" s="272">
        <v>1824</v>
      </c>
      <c r="D1826" s="275"/>
      <c r="E1826" s="276"/>
      <c r="F1826" s="221"/>
      <c r="G1826" s="275"/>
      <c r="H1826" s="276"/>
      <c r="I1826" s="217"/>
      <c r="J1826" s="217"/>
      <c r="K1826" s="221"/>
      <c r="L1826" s="217"/>
      <c r="M1826" s="217"/>
      <c r="N1826" s="217"/>
      <c r="O1826" s="217"/>
      <c r="P1826" s="217"/>
    </row>
    <row r="1827" spans="3:16" ht="42" customHeight="1">
      <c r="C1827" s="272">
        <v>1825</v>
      </c>
      <c r="D1827" s="275"/>
      <c r="E1827" s="276"/>
      <c r="F1827" s="221"/>
      <c r="G1827" s="275"/>
      <c r="H1827" s="276"/>
      <c r="I1827" s="217"/>
      <c r="J1827" s="217"/>
      <c r="K1827" s="221"/>
      <c r="L1827" s="217"/>
      <c r="M1827" s="217"/>
      <c r="N1827" s="217"/>
      <c r="O1827" s="217"/>
      <c r="P1827" s="217"/>
    </row>
    <row r="1828" spans="3:16" ht="42" customHeight="1">
      <c r="C1828" s="272">
        <v>1826</v>
      </c>
      <c r="D1828" s="275"/>
      <c r="E1828" s="276"/>
      <c r="F1828" s="221"/>
      <c r="G1828" s="275"/>
      <c r="H1828" s="276"/>
      <c r="I1828" s="217"/>
      <c r="J1828" s="217"/>
      <c r="K1828" s="221"/>
      <c r="L1828" s="217"/>
      <c r="M1828" s="217"/>
      <c r="N1828" s="217"/>
      <c r="O1828" s="217"/>
      <c r="P1828" s="217"/>
    </row>
    <row r="1829" spans="3:16" ht="42" customHeight="1">
      <c r="C1829" s="272">
        <v>1827</v>
      </c>
      <c r="D1829" s="275"/>
      <c r="E1829" s="276"/>
      <c r="F1829" s="221"/>
      <c r="G1829" s="275"/>
      <c r="H1829" s="276"/>
      <c r="I1829" s="217"/>
      <c r="J1829" s="217"/>
      <c r="K1829" s="221"/>
      <c r="L1829" s="217"/>
      <c r="M1829" s="217"/>
      <c r="N1829" s="217"/>
      <c r="O1829" s="217"/>
      <c r="P1829" s="217"/>
    </row>
    <row r="1830" spans="3:16" ht="42" customHeight="1">
      <c r="C1830" s="272">
        <v>1828</v>
      </c>
      <c r="D1830" s="275"/>
      <c r="E1830" s="276"/>
      <c r="F1830" s="221"/>
      <c r="G1830" s="275"/>
      <c r="H1830" s="276"/>
      <c r="I1830" s="217"/>
      <c r="J1830" s="217"/>
      <c r="K1830" s="221"/>
      <c r="L1830" s="217"/>
      <c r="M1830" s="217"/>
      <c r="N1830" s="217"/>
      <c r="O1830" s="217"/>
      <c r="P1830" s="217"/>
    </row>
    <row r="1831" spans="3:16" ht="42" customHeight="1">
      <c r="C1831" s="272">
        <v>1829</v>
      </c>
      <c r="D1831" s="275"/>
      <c r="E1831" s="276"/>
      <c r="F1831" s="221"/>
      <c r="G1831" s="275"/>
      <c r="H1831" s="276"/>
      <c r="I1831" s="217"/>
      <c r="J1831" s="217"/>
      <c r="K1831" s="221"/>
      <c r="L1831" s="217"/>
      <c r="M1831" s="217"/>
      <c r="N1831" s="217"/>
      <c r="O1831" s="217"/>
      <c r="P1831" s="217"/>
    </row>
    <row r="1832" spans="3:16" ht="42" customHeight="1">
      <c r="C1832" s="272">
        <v>1830</v>
      </c>
      <c r="D1832" s="275"/>
      <c r="E1832" s="276"/>
      <c r="F1832" s="221"/>
      <c r="G1832" s="275"/>
      <c r="H1832" s="276"/>
      <c r="I1832" s="217"/>
      <c r="J1832" s="217"/>
      <c r="K1832" s="221"/>
      <c r="L1832" s="217"/>
      <c r="M1832" s="217"/>
      <c r="N1832" s="217"/>
      <c r="O1832" s="217"/>
      <c r="P1832" s="217"/>
    </row>
    <row r="1833" spans="3:16" ht="42" customHeight="1">
      <c r="C1833" s="272">
        <v>1831</v>
      </c>
      <c r="D1833" s="275"/>
      <c r="E1833" s="276"/>
      <c r="F1833" s="221"/>
      <c r="G1833" s="275"/>
      <c r="H1833" s="276"/>
      <c r="I1833" s="217"/>
      <c r="J1833" s="217"/>
      <c r="K1833" s="221"/>
      <c r="L1833" s="217"/>
      <c r="M1833" s="217"/>
      <c r="N1833" s="217"/>
      <c r="O1833" s="217"/>
      <c r="P1833" s="217"/>
    </row>
    <row r="1834" spans="3:16" ht="42" customHeight="1">
      <c r="C1834" s="272">
        <v>1832</v>
      </c>
      <c r="D1834" s="275"/>
      <c r="E1834" s="276"/>
      <c r="F1834" s="221"/>
      <c r="G1834" s="275"/>
      <c r="H1834" s="276"/>
      <c r="I1834" s="217"/>
      <c r="J1834" s="217"/>
      <c r="K1834" s="221"/>
      <c r="L1834" s="217"/>
      <c r="M1834" s="217"/>
      <c r="N1834" s="217"/>
      <c r="O1834" s="217"/>
      <c r="P1834" s="217"/>
    </row>
    <row r="1835" spans="3:16" ht="42" customHeight="1">
      <c r="C1835" s="272">
        <v>1833</v>
      </c>
      <c r="D1835" s="275"/>
      <c r="E1835" s="276"/>
      <c r="F1835" s="221"/>
      <c r="G1835" s="275"/>
      <c r="H1835" s="276"/>
      <c r="I1835" s="217"/>
      <c r="J1835" s="217"/>
      <c r="K1835" s="221"/>
      <c r="L1835" s="217"/>
      <c r="M1835" s="217"/>
      <c r="N1835" s="217"/>
      <c r="O1835" s="217"/>
      <c r="P1835" s="217"/>
    </row>
    <row r="1836" spans="3:16" ht="42" customHeight="1">
      <c r="C1836" s="272">
        <v>1834</v>
      </c>
      <c r="D1836" s="275"/>
      <c r="E1836" s="276"/>
      <c r="F1836" s="221"/>
      <c r="G1836" s="275"/>
      <c r="H1836" s="276"/>
      <c r="I1836" s="217"/>
      <c r="J1836" s="217"/>
      <c r="K1836" s="221"/>
      <c r="L1836" s="217"/>
      <c r="M1836" s="217"/>
      <c r="N1836" s="217"/>
      <c r="O1836" s="217"/>
      <c r="P1836" s="217"/>
    </row>
    <row r="1837" spans="3:16" ht="42" customHeight="1">
      <c r="C1837" s="272">
        <v>1835</v>
      </c>
      <c r="D1837" s="275"/>
      <c r="E1837" s="276"/>
      <c r="F1837" s="221"/>
      <c r="G1837" s="275"/>
      <c r="H1837" s="276"/>
      <c r="I1837" s="217"/>
      <c r="J1837" s="217"/>
      <c r="K1837" s="221"/>
      <c r="L1837" s="217"/>
      <c r="M1837" s="217"/>
      <c r="N1837" s="217"/>
      <c r="O1837" s="217"/>
      <c r="P1837" s="217"/>
    </row>
    <row r="1838" spans="3:16" ht="42" customHeight="1">
      <c r="C1838" s="272">
        <v>1836</v>
      </c>
      <c r="D1838" s="275"/>
      <c r="E1838" s="276"/>
      <c r="F1838" s="221"/>
      <c r="G1838" s="275"/>
      <c r="H1838" s="276"/>
      <c r="I1838" s="217"/>
      <c r="J1838" s="217"/>
      <c r="K1838" s="221"/>
      <c r="L1838" s="217"/>
      <c r="M1838" s="217"/>
      <c r="N1838" s="217"/>
      <c r="O1838" s="217"/>
      <c r="P1838" s="217"/>
    </row>
    <row r="1839" spans="3:16" ht="42" customHeight="1">
      <c r="C1839" s="272">
        <v>1837</v>
      </c>
      <c r="D1839" s="275"/>
      <c r="E1839" s="276"/>
      <c r="F1839" s="221"/>
      <c r="G1839" s="275"/>
      <c r="H1839" s="276"/>
      <c r="I1839" s="217"/>
      <c r="J1839" s="217"/>
      <c r="K1839" s="221"/>
      <c r="L1839" s="217"/>
      <c r="M1839" s="217"/>
      <c r="N1839" s="217"/>
      <c r="O1839" s="217"/>
      <c r="P1839" s="217"/>
    </row>
    <row r="1840" spans="3:16" ht="42" customHeight="1">
      <c r="C1840" s="272">
        <v>1838</v>
      </c>
      <c r="D1840" s="275"/>
      <c r="E1840" s="276"/>
      <c r="F1840" s="221"/>
      <c r="G1840" s="275"/>
      <c r="H1840" s="276"/>
      <c r="I1840" s="217"/>
      <c r="J1840" s="217"/>
      <c r="K1840" s="221"/>
      <c r="L1840" s="217"/>
      <c r="M1840" s="217"/>
      <c r="N1840" s="217"/>
      <c r="O1840" s="217"/>
      <c r="P1840" s="217"/>
    </row>
    <row r="1841" spans="3:16" ht="42" customHeight="1">
      <c r="C1841" s="272">
        <v>1839</v>
      </c>
      <c r="D1841" s="275"/>
      <c r="E1841" s="276"/>
      <c r="F1841" s="221"/>
      <c r="G1841" s="275"/>
      <c r="H1841" s="276"/>
      <c r="I1841" s="217"/>
      <c r="J1841" s="217"/>
      <c r="K1841" s="221"/>
      <c r="L1841" s="217"/>
      <c r="M1841" s="217"/>
      <c r="N1841" s="217"/>
      <c r="O1841" s="217"/>
      <c r="P1841" s="217"/>
    </row>
    <row r="1842" spans="3:16" ht="42" customHeight="1">
      <c r="C1842" s="272">
        <v>1840</v>
      </c>
      <c r="D1842" s="275"/>
      <c r="E1842" s="276"/>
      <c r="F1842" s="221"/>
      <c r="G1842" s="275"/>
      <c r="H1842" s="276"/>
      <c r="I1842" s="217"/>
      <c r="J1842" s="217"/>
      <c r="K1842" s="221"/>
      <c r="L1842" s="217"/>
      <c r="M1842" s="217"/>
      <c r="N1842" s="217"/>
      <c r="O1842" s="217"/>
      <c r="P1842" s="217"/>
    </row>
    <row r="1843" spans="3:16" ht="42" customHeight="1">
      <c r="C1843" s="272">
        <v>1841</v>
      </c>
      <c r="D1843" s="275"/>
      <c r="E1843" s="276"/>
      <c r="F1843" s="221"/>
      <c r="G1843" s="275"/>
      <c r="H1843" s="276"/>
      <c r="I1843" s="217"/>
      <c r="J1843" s="217"/>
      <c r="K1843" s="221"/>
      <c r="L1843" s="217"/>
      <c r="M1843" s="217"/>
      <c r="N1843" s="217"/>
      <c r="O1843" s="217"/>
      <c r="P1843" s="217"/>
    </row>
    <row r="1844" spans="3:16" ht="42" customHeight="1">
      <c r="C1844" s="272">
        <v>1842</v>
      </c>
      <c r="D1844" s="275"/>
      <c r="E1844" s="276"/>
      <c r="F1844" s="221"/>
      <c r="G1844" s="275"/>
      <c r="H1844" s="276"/>
      <c r="I1844" s="217"/>
      <c r="J1844" s="217"/>
      <c r="K1844" s="221"/>
      <c r="L1844" s="217"/>
      <c r="M1844" s="217"/>
      <c r="N1844" s="217"/>
      <c r="O1844" s="217"/>
      <c r="P1844" s="217"/>
    </row>
    <row r="1845" spans="3:16" ht="42" customHeight="1">
      <c r="C1845" s="272">
        <v>1843</v>
      </c>
      <c r="D1845" s="275"/>
      <c r="E1845" s="276"/>
      <c r="F1845" s="221"/>
      <c r="G1845" s="275"/>
      <c r="H1845" s="276"/>
      <c r="I1845" s="217"/>
      <c r="J1845" s="217"/>
      <c r="K1845" s="221"/>
      <c r="L1845" s="217"/>
      <c r="M1845" s="217"/>
      <c r="N1845" s="217"/>
      <c r="O1845" s="217"/>
      <c r="P1845" s="217"/>
    </row>
    <row r="1846" spans="3:16" ht="42" customHeight="1">
      <c r="C1846" s="272">
        <v>1844</v>
      </c>
      <c r="D1846" s="275"/>
      <c r="E1846" s="276"/>
      <c r="F1846" s="221"/>
      <c r="G1846" s="275"/>
      <c r="H1846" s="276"/>
      <c r="I1846" s="217"/>
      <c r="J1846" s="217"/>
      <c r="K1846" s="221"/>
      <c r="L1846" s="217"/>
      <c r="M1846" s="217"/>
      <c r="N1846" s="217"/>
      <c r="O1846" s="217"/>
      <c r="P1846" s="217"/>
    </row>
    <row r="1847" spans="3:16" ht="42" customHeight="1">
      <c r="C1847" s="272">
        <v>1845</v>
      </c>
      <c r="D1847" s="275"/>
      <c r="E1847" s="276"/>
      <c r="F1847" s="221"/>
      <c r="G1847" s="275"/>
      <c r="H1847" s="276"/>
      <c r="I1847" s="217"/>
      <c r="J1847" s="217"/>
      <c r="K1847" s="221"/>
      <c r="L1847" s="217"/>
      <c r="M1847" s="217"/>
      <c r="N1847" s="217"/>
      <c r="O1847" s="217"/>
      <c r="P1847" s="217"/>
    </row>
    <row r="1848" spans="3:16" ht="42" customHeight="1">
      <c r="C1848" s="272">
        <v>1846</v>
      </c>
      <c r="D1848" s="275"/>
      <c r="E1848" s="276"/>
      <c r="F1848" s="221"/>
      <c r="G1848" s="275"/>
      <c r="H1848" s="276"/>
      <c r="I1848" s="217"/>
      <c r="J1848" s="217"/>
      <c r="K1848" s="221"/>
      <c r="L1848" s="217"/>
      <c r="M1848" s="217"/>
      <c r="N1848" s="217"/>
      <c r="O1848" s="217"/>
      <c r="P1848" s="217"/>
    </row>
    <row r="1849" spans="3:16" ht="42" customHeight="1">
      <c r="C1849" s="272">
        <v>1847</v>
      </c>
      <c r="D1849" s="275"/>
      <c r="E1849" s="276"/>
      <c r="F1849" s="221"/>
      <c r="G1849" s="275"/>
      <c r="H1849" s="276"/>
      <c r="I1849" s="217"/>
      <c r="J1849" s="217"/>
      <c r="K1849" s="221"/>
      <c r="L1849" s="217"/>
      <c r="M1849" s="217"/>
      <c r="N1849" s="217"/>
      <c r="O1849" s="217"/>
      <c r="P1849" s="217"/>
    </row>
    <row r="1850" spans="3:16" ht="42" customHeight="1">
      <c r="C1850" s="272">
        <v>1848</v>
      </c>
      <c r="D1850" s="275"/>
      <c r="E1850" s="276"/>
      <c r="F1850" s="221"/>
      <c r="G1850" s="275"/>
      <c r="H1850" s="276"/>
      <c r="I1850" s="217"/>
      <c r="J1850" s="217"/>
      <c r="K1850" s="221"/>
      <c r="L1850" s="217"/>
      <c r="M1850" s="217"/>
      <c r="N1850" s="217"/>
      <c r="O1850" s="217"/>
      <c r="P1850" s="217"/>
    </row>
    <row r="1851" spans="3:16" ht="42" customHeight="1">
      <c r="C1851" s="272">
        <v>1849</v>
      </c>
      <c r="D1851" s="275"/>
      <c r="E1851" s="276"/>
      <c r="F1851" s="221"/>
      <c r="G1851" s="275"/>
      <c r="H1851" s="276"/>
      <c r="I1851" s="217"/>
      <c r="J1851" s="217"/>
      <c r="K1851" s="221"/>
      <c r="L1851" s="217"/>
      <c r="M1851" s="217"/>
      <c r="N1851" s="217"/>
      <c r="O1851" s="217"/>
      <c r="P1851" s="217"/>
    </row>
    <row r="1852" spans="3:16" ht="42" customHeight="1">
      <c r="C1852" s="272">
        <v>1850</v>
      </c>
      <c r="D1852" s="275"/>
      <c r="E1852" s="276"/>
      <c r="F1852" s="221"/>
      <c r="G1852" s="275"/>
      <c r="H1852" s="276"/>
      <c r="I1852" s="217"/>
      <c r="J1852" s="217"/>
      <c r="K1852" s="221"/>
      <c r="L1852" s="217"/>
      <c r="M1852" s="217"/>
      <c r="N1852" s="217"/>
      <c r="O1852" s="217"/>
      <c r="P1852" s="217"/>
    </row>
    <row r="1853" spans="3:16" ht="42" customHeight="1">
      <c r="C1853" s="272">
        <v>1851</v>
      </c>
      <c r="D1853" s="275"/>
      <c r="E1853" s="276"/>
      <c r="F1853" s="221"/>
      <c r="G1853" s="275"/>
      <c r="H1853" s="276"/>
      <c r="I1853" s="217"/>
      <c r="J1853" s="217"/>
      <c r="K1853" s="221"/>
      <c r="L1853" s="217"/>
      <c r="M1853" s="217"/>
      <c r="N1853" s="217"/>
      <c r="O1853" s="217"/>
      <c r="P1853" s="217"/>
    </row>
    <row r="1854" spans="3:16" ht="42" customHeight="1">
      <c r="C1854" s="272">
        <v>1852</v>
      </c>
      <c r="D1854" s="275"/>
      <c r="E1854" s="276"/>
      <c r="F1854" s="221"/>
      <c r="G1854" s="275"/>
      <c r="H1854" s="276"/>
      <c r="I1854" s="217"/>
      <c r="J1854" s="217"/>
      <c r="K1854" s="221"/>
      <c r="L1854" s="217"/>
      <c r="M1854" s="217"/>
      <c r="N1854" s="217"/>
      <c r="O1854" s="217"/>
      <c r="P1854" s="217"/>
    </row>
    <row r="1855" spans="3:16" ht="42" customHeight="1">
      <c r="C1855" s="272">
        <v>1853</v>
      </c>
      <c r="D1855" s="275"/>
      <c r="E1855" s="276"/>
      <c r="F1855" s="221"/>
      <c r="G1855" s="275"/>
      <c r="H1855" s="276"/>
      <c r="I1855" s="217"/>
      <c r="J1855" s="217"/>
      <c r="K1855" s="221"/>
      <c r="L1855" s="217"/>
      <c r="M1855" s="217"/>
      <c r="N1855" s="217"/>
      <c r="O1855" s="217"/>
      <c r="P1855" s="217"/>
    </row>
    <row r="1856" spans="3:16" ht="42" customHeight="1">
      <c r="C1856" s="272">
        <v>1854</v>
      </c>
      <c r="D1856" s="275"/>
      <c r="E1856" s="276"/>
      <c r="F1856" s="221"/>
      <c r="G1856" s="275"/>
      <c r="H1856" s="276"/>
      <c r="I1856" s="217"/>
      <c r="J1856" s="217"/>
      <c r="K1856" s="221"/>
      <c r="L1856" s="217"/>
      <c r="M1856" s="217"/>
      <c r="N1856" s="217"/>
      <c r="O1856" s="217"/>
      <c r="P1856" s="217"/>
    </row>
    <row r="1857" spans="3:16" ht="42" customHeight="1">
      <c r="C1857" s="272">
        <v>1855</v>
      </c>
      <c r="D1857" s="275"/>
      <c r="E1857" s="276"/>
      <c r="F1857" s="221"/>
      <c r="G1857" s="275"/>
      <c r="H1857" s="276"/>
      <c r="I1857" s="217"/>
      <c r="J1857" s="217"/>
      <c r="K1857" s="221"/>
      <c r="L1857" s="217"/>
      <c r="M1857" s="217"/>
      <c r="N1857" s="217"/>
      <c r="O1857" s="217"/>
      <c r="P1857" s="217"/>
    </row>
    <row r="1858" spans="3:16" ht="42" customHeight="1">
      <c r="C1858" s="272">
        <v>1856</v>
      </c>
      <c r="D1858" s="275"/>
      <c r="E1858" s="276"/>
      <c r="F1858" s="221"/>
      <c r="G1858" s="275"/>
      <c r="H1858" s="276"/>
      <c r="I1858" s="217"/>
      <c r="J1858" s="217"/>
      <c r="K1858" s="221"/>
      <c r="L1858" s="217"/>
      <c r="M1858" s="217"/>
      <c r="N1858" s="217"/>
      <c r="O1858" s="217"/>
      <c r="P1858" s="217"/>
    </row>
    <row r="1859" spans="3:16" ht="42" customHeight="1">
      <c r="C1859" s="272">
        <v>1857</v>
      </c>
      <c r="D1859" s="275"/>
      <c r="E1859" s="276"/>
      <c r="F1859" s="221"/>
      <c r="G1859" s="275"/>
      <c r="H1859" s="276"/>
      <c r="I1859" s="217"/>
      <c r="J1859" s="217"/>
      <c r="K1859" s="221"/>
      <c r="L1859" s="217"/>
      <c r="M1859" s="217"/>
      <c r="N1859" s="217"/>
      <c r="O1859" s="217"/>
      <c r="P1859" s="217"/>
    </row>
    <row r="1860" spans="3:16" ht="42" customHeight="1">
      <c r="C1860" s="272">
        <v>1858</v>
      </c>
      <c r="D1860" s="275"/>
      <c r="E1860" s="276"/>
      <c r="F1860" s="221"/>
      <c r="G1860" s="275"/>
      <c r="H1860" s="276"/>
      <c r="I1860" s="217"/>
      <c r="J1860" s="217"/>
      <c r="K1860" s="221"/>
      <c r="L1860" s="217"/>
      <c r="M1860" s="217"/>
      <c r="N1860" s="217"/>
      <c r="O1860" s="217"/>
      <c r="P1860" s="217"/>
    </row>
    <row r="1861" spans="3:16" ht="42" customHeight="1">
      <c r="C1861" s="272">
        <v>1859</v>
      </c>
      <c r="D1861" s="275"/>
      <c r="E1861" s="276"/>
      <c r="F1861" s="221"/>
      <c r="G1861" s="275"/>
      <c r="H1861" s="276"/>
      <c r="I1861" s="217"/>
      <c r="J1861" s="217"/>
      <c r="K1861" s="221"/>
      <c r="L1861" s="217"/>
      <c r="M1861" s="217"/>
      <c r="N1861" s="217"/>
      <c r="O1861" s="217"/>
      <c r="P1861" s="217"/>
    </row>
    <row r="1862" spans="3:16" ht="42" customHeight="1">
      <c r="C1862" s="272">
        <v>1860</v>
      </c>
      <c r="D1862" s="275"/>
      <c r="E1862" s="276"/>
      <c r="F1862" s="221"/>
      <c r="G1862" s="275"/>
      <c r="H1862" s="276"/>
      <c r="I1862" s="217"/>
      <c r="J1862" s="217"/>
      <c r="K1862" s="221"/>
      <c r="L1862" s="217"/>
      <c r="M1862" s="217"/>
      <c r="N1862" s="217"/>
      <c r="O1862" s="217"/>
      <c r="P1862" s="217"/>
    </row>
    <row r="1863" spans="3:16" ht="42" customHeight="1">
      <c r="C1863" s="272">
        <v>1861</v>
      </c>
      <c r="D1863" s="275"/>
      <c r="E1863" s="276"/>
      <c r="F1863" s="221"/>
      <c r="G1863" s="275"/>
      <c r="H1863" s="276"/>
      <c r="I1863" s="217"/>
      <c r="J1863" s="217"/>
      <c r="K1863" s="221"/>
      <c r="L1863" s="217"/>
      <c r="M1863" s="217"/>
      <c r="N1863" s="217"/>
      <c r="O1863" s="217"/>
      <c r="P1863" s="217"/>
    </row>
    <row r="1864" spans="3:16" ht="42" customHeight="1">
      <c r="C1864" s="272">
        <v>1862</v>
      </c>
      <c r="D1864" s="275"/>
      <c r="E1864" s="276"/>
      <c r="F1864" s="221"/>
      <c r="G1864" s="275"/>
      <c r="H1864" s="276"/>
      <c r="I1864" s="217"/>
      <c r="J1864" s="217"/>
      <c r="K1864" s="221"/>
      <c r="L1864" s="217"/>
      <c r="M1864" s="217"/>
      <c r="N1864" s="217"/>
      <c r="O1864" s="217"/>
      <c r="P1864" s="217"/>
    </row>
    <row r="1865" spans="3:16" ht="42" customHeight="1">
      <c r="C1865" s="272">
        <v>1863</v>
      </c>
      <c r="D1865" s="275"/>
      <c r="E1865" s="276"/>
      <c r="F1865" s="221"/>
      <c r="G1865" s="275"/>
      <c r="H1865" s="276"/>
      <c r="I1865" s="217"/>
      <c r="J1865" s="217"/>
      <c r="K1865" s="221"/>
      <c r="L1865" s="217"/>
      <c r="M1865" s="217"/>
      <c r="N1865" s="217"/>
      <c r="O1865" s="217"/>
      <c r="P1865" s="217"/>
    </row>
    <row r="1866" spans="3:16" ht="42" customHeight="1">
      <c r="C1866" s="272">
        <v>1864</v>
      </c>
      <c r="D1866" s="275"/>
      <c r="E1866" s="276"/>
      <c r="F1866" s="221"/>
      <c r="G1866" s="275"/>
      <c r="H1866" s="276"/>
      <c r="I1866" s="217"/>
      <c r="J1866" s="217"/>
      <c r="K1866" s="221"/>
      <c r="L1866" s="217"/>
      <c r="M1866" s="217"/>
      <c r="N1866" s="217"/>
      <c r="O1866" s="217"/>
      <c r="P1866" s="217"/>
    </row>
    <row r="1867" spans="3:16" ht="42" customHeight="1">
      <c r="C1867" s="272">
        <v>1865</v>
      </c>
      <c r="D1867" s="275"/>
      <c r="E1867" s="276"/>
      <c r="F1867" s="221"/>
      <c r="G1867" s="275"/>
      <c r="H1867" s="276"/>
      <c r="I1867" s="217"/>
      <c r="J1867" s="217"/>
      <c r="K1867" s="221"/>
      <c r="L1867" s="217"/>
      <c r="M1867" s="217"/>
      <c r="N1867" s="217"/>
      <c r="O1867" s="217"/>
      <c r="P1867" s="217"/>
    </row>
    <row r="1868" spans="3:16" ht="42" customHeight="1">
      <c r="C1868" s="272">
        <v>1866</v>
      </c>
      <c r="D1868" s="275"/>
      <c r="E1868" s="276"/>
      <c r="F1868" s="221"/>
      <c r="G1868" s="275"/>
      <c r="H1868" s="276"/>
      <c r="I1868" s="217"/>
      <c r="J1868" s="217"/>
      <c r="K1868" s="221"/>
      <c r="L1868" s="217"/>
      <c r="M1868" s="217"/>
      <c r="N1868" s="217"/>
      <c r="O1868" s="217"/>
      <c r="P1868" s="217"/>
    </row>
    <row r="1869" spans="3:16" ht="42" customHeight="1">
      <c r="C1869" s="272">
        <v>1867</v>
      </c>
      <c r="D1869" s="275"/>
      <c r="E1869" s="276"/>
      <c r="F1869" s="221"/>
      <c r="G1869" s="275"/>
      <c r="H1869" s="276"/>
      <c r="I1869" s="217"/>
      <c r="J1869" s="217"/>
      <c r="K1869" s="221"/>
      <c r="L1869" s="217"/>
      <c r="M1869" s="217"/>
      <c r="N1869" s="217"/>
      <c r="O1869" s="217"/>
      <c r="P1869" s="217"/>
    </row>
    <row r="1870" spans="3:16" ht="42" customHeight="1">
      <c r="C1870" s="272">
        <v>1868</v>
      </c>
      <c r="D1870" s="275"/>
      <c r="E1870" s="276"/>
      <c r="F1870" s="221"/>
      <c r="G1870" s="275"/>
      <c r="H1870" s="276"/>
      <c r="I1870" s="217"/>
      <c r="J1870" s="217"/>
      <c r="K1870" s="221"/>
      <c r="L1870" s="217"/>
      <c r="M1870" s="217"/>
      <c r="N1870" s="217"/>
      <c r="O1870" s="217"/>
      <c r="P1870" s="217"/>
    </row>
    <row r="1871" spans="3:16" ht="42" customHeight="1">
      <c r="C1871" s="272">
        <v>1869</v>
      </c>
      <c r="D1871" s="275"/>
      <c r="E1871" s="276"/>
      <c r="F1871" s="221"/>
      <c r="G1871" s="275"/>
      <c r="H1871" s="276"/>
      <c r="I1871" s="217"/>
      <c r="J1871" s="217"/>
      <c r="K1871" s="221"/>
      <c r="L1871" s="217"/>
      <c r="M1871" s="217"/>
      <c r="N1871" s="217"/>
      <c r="O1871" s="217"/>
      <c r="P1871" s="217"/>
    </row>
    <row r="1872" spans="3:16" ht="42" customHeight="1">
      <c r="C1872" s="272">
        <v>1870</v>
      </c>
      <c r="D1872" s="275"/>
      <c r="E1872" s="276"/>
      <c r="F1872" s="221"/>
      <c r="G1872" s="275"/>
      <c r="H1872" s="276"/>
      <c r="I1872" s="217"/>
      <c r="J1872" s="217"/>
      <c r="K1872" s="221"/>
      <c r="L1872" s="217"/>
      <c r="M1872" s="217"/>
      <c r="N1872" s="217"/>
      <c r="O1872" s="217"/>
      <c r="P1872" s="217"/>
    </row>
    <row r="1873" spans="3:16" ht="42" customHeight="1">
      <c r="C1873" s="272">
        <v>1871</v>
      </c>
      <c r="D1873" s="275"/>
      <c r="E1873" s="276"/>
      <c r="F1873" s="221"/>
      <c r="G1873" s="275"/>
      <c r="H1873" s="276"/>
      <c r="I1873" s="217"/>
      <c r="J1873" s="217"/>
      <c r="K1873" s="221"/>
      <c r="L1873" s="217"/>
      <c r="M1873" s="217"/>
      <c r="N1873" s="217"/>
      <c r="O1873" s="217"/>
      <c r="P1873" s="217"/>
    </row>
    <row r="1874" spans="3:16" ht="42" customHeight="1">
      <c r="C1874" s="272">
        <v>1872</v>
      </c>
      <c r="D1874" s="275"/>
      <c r="E1874" s="276"/>
      <c r="F1874" s="221"/>
      <c r="G1874" s="275"/>
      <c r="H1874" s="276"/>
      <c r="I1874" s="217"/>
      <c r="J1874" s="217"/>
      <c r="K1874" s="221"/>
      <c r="L1874" s="217"/>
      <c r="M1874" s="217"/>
      <c r="N1874" s="217"/>
      <c r="O1874" s="217"/>
      <c r="P1874" s="217"/>
    </row>
    <row r="1875" spans="3:16" ht="42" customHeight="1">
      <c r="C1875" s="272">
        <v>1873</v>
      </c>
      <c r="D1875" s="275"/>
      <c r="E1875" s="276"/>
      <c r="F1875" s="221"/>
      <c r="G1875" s="275"/>
      <c r="H1875" s="276"/>
      <c r="I1875" s="217"/>
      <c r="J1875" s="217"/>
      <c r="K1875" s="221"/>
      <c r="L1875" s="217"/>
      <c r="M1875" s="217"/>
      <c r="N1875" s="217"/>
      <c r="O1875" s="217"/>
      <c r="P1875" s="217"/>
    </row>
    <row r="1876" spans="3:16" ht="42" customHeight="1">
      <c r="C1876" s="272">
        <v>1874</v>
      </c>
      <c r="D1876" s="275"/>
      <c r="E1876" s="276"/>
      <c r="F1876" s="221"/>
      <c r="G1876" s="275"/>
      <c r="H1876" s="276"/>
      <c r="I1876" s="217"/>
      <c r="J1876" s="217"/>
      <c r="K1876" s="221"/>
      <c r="L1876" s="217"/>
      <c r="M1876" s="217"/>
      <c r="N1876" s="217"/>
      <c r="O1876" s="217"/>
      <c r="P1876" s="217"/>
    </row>
    <row r="1877" spans="3:16" ht="42" customHeight="1">
      <c r="C1877" s="272">
        <v>1875</v>
      </c>
      <c r="D1877" s="275"/>
      <c r="E1877" s="276"/>
      <c r="F1877" s="221"/>
      <c r="G1877" s="275"/>
      <c r="H1877" s="276"/>
      <c r="I1877" s="217"/>
      <c r="J1877" s="217"/>
      <c r="K1877" s="221"/>
      <c r="L1877" s="217"/>
      <c r="M1877" s="217"/>
      <c r="N1877" s="217"/>
      <c r="O1877" s="217"/>
      <c r="P1877" s="217"/>
    </row>
    <row r="1878" spans="3:16" ht="42" customHeight="1">
      <c r="C1878" s="272">
        <v>1876</v>
      </c>
      <c r="D1878" s="275"/>
      <c r="E1878" s="276"/>
      <c r="F1878" s="221"/>
      <c r="G1878" s="275"/>
      <c r="H1878" s="276"/>
      <c r="I1878" s="217"/>
      <c r="J1878" s="217"/>
      <c r="K1878" s="221"/>
      <c r="L1878" s="217"/>
      <c r="M1878" s="217"/>
      <c r="N1878" s="217"/>
      <c r="O1878" s="217"/>
      <c r="P1878" s="217"/>
    </row>
    <row r="1879" spans="3:16" ht="42" customHeight="1">
      <c r="C1879" s="272">
        <v>1877</v>
      </c>
      <c r="D1879" s="275"/>
      <c r="E1879" s="276"/>
      <c r="F1879" s="221"/>
      <c r="G1879" s="275"/>
      <c r="H1879" s="276"/>
      <c r="I1879" s="217"/>
      <c r="J1879" s="217"/>
      <c r="K1879" s="221"/>
      <c r="L1879" s="217"/>
      <c r="M1879" s="217"/>
      <c r="N1879" s="217"/>
      <c r="O1879" s="217"/>
      <c r="P1879" s="217"/>
    </row>
    <row r="1880" spans="3:16" ht="42" customHeight="1">
      <c r="C1880" s="272">
        <v>1878</v>
      </c>
      <c r="D1880" s="275"/>
      <c r="E1880" s="276"/>
      <c r="F1880" s="221"/>
      <c r="G1880" s="275"/>
      <c r="H1880" s="276"/>
      <c r="I1880" s="217"/>
      <c r="J1880" s="217"/>
      <c r="K1880" s="221"/>
      <c r="L1880" s="217"/>
      <c r="M1880" s="217"/>
      <c r="N1880" s="217"/>
      <c r="O1880" s="217"/>
      <c r="P1880" s="217"/>
    </row>
    <row r="1881" spans="3:16" ht="42" customHeight="1">
      <c r="C1881" s="272">
        <v>1879</v>
      </c>
      <c r="D1881" s="275"/>
      <c r="E1881" s="276"/>
      <c r="F1881" s="221"/>
      <c r="G1881" s="275"/>
      <c r="H1881" s="276"/>
      <c r="I1881" s="217"/>
      <c r="J1881" s="217"/>
      <c r="K1881" s="221"/>
      <c r="L1881" s="217"/>
      <c r="M1881" s="217"/>
      <c r="N1881" s="217"/>
      <c r="O1881" s="217"/>
      <c r="P1881" s="217"/>
    </row>
    <row r="1882" spans="3:16" ht="42" customHeight="1">
      <c r="C1882" s="272">
        <v>1880</v>
      </c>
      <c r="D1882" s="275"/>
      <c r="E1882" s="276"/>
      <c r="F1882" s="221"/>
      <c r="G1882" s="275"/>
      <c r="H1882" s="276"/>
      <c r="I1882" s="217"/>
      <c r="J1882" s="217"/>
      <c r="K1882" s="221"/>
      <c r="L1882" s="217"/>
      <c r="M1882" s="217"/>
      <c r="N1882" s="217"/>
      <c r="O1882" s="217"/>
      <c r="P1882" s="217"/>
    </row>
    <row r="1883" spans="3:16" ht="42" customHeight="1">
      <c r="C1883" s="272">
        <v>1881</v>
      </c>
      <c r="D1883" s="275"/>
      <c r="E1883" s="276"/>
      <c r="F1883" s="221"/>
      <c r="G1883" s="275"/>
      <c r="H1883" s="276"/>
      <c r="I1883" s="217"/>
      <c r="J1883" s="217"/>
      <c r="K1883" s="221"/>
      <c r="L1883" s="217"/>
      <c r="M1883" s="217"/>
      <c r="N1883" s="217"/>
      <c r="O1883" s="217"/>
      <c r="P1883" s="217"/>
    </row>
    <row r="1884" spans="3:16" ht="42" customHeight="1">
      <c r="C1884" s="272">
        <v>1882</v>
      </c>
      <c r="D1884" s="275"/>
      <c r="E1884" s="276"/>
      <c r="F1884" s="221"/>
      <c r="G1884" s="275"/>
      <c r="H1884" s="276"/>
      <c r="I1884" s="217"/>
      <c r="J1884" s="217"/>
      <c r="K1884" s="221"/>
      <c r="L1884" s="217"/>
      <c r="M1884" s="217"/>
      <c r="N1884" s="217"/>
      <c r="O1884" s="217"/>
      <c r="P1884" s="217"/>
    </row>
    <row r="1885" spans="3:16" ht="42" customHeight="1">
      <c r="C1885" s="272">
        <v>1883</v>
      </c>
      <c r="D1885" s="275"/>
      <c r="E1885" s="276"/>
      <c r="F1885" s="221"/>
      <c r="G1885" s="275"/>
      <c r="H1885" s="276"/>
      <c r="I1885" s="217"/>
      <c r="J1885" s="217"/>
      <c r="K1885" s="221"/>
      <c r="L1885" s="217"/>
      <c r="M1885" s="217"/>
      <c r="N1885" s="217"/>
      <c r="O1885" s="217"/>
      <c r="P1885" s="217"/>
    </row>
    <row r="1886" spans="3:16" ht="42" customHeight="1">
      <c r="C1886" s="272">
        <v>1884</v>
      </c>
      <c r="D1886" s="275"/>
      <c r="E1886" s="276"/>
      <c r="F1886" s="221"/>
      <c r="G1886" s="275"/>
      <c r="H1886" s="276"/>
      <c r="I1886" s="217"/>
      <c r="J1886" s="217"/>
      <c r="K1886" s="221"/>
      <c r="L1886" s="217"/>
      <c r="M1886" s="217"/>
      <c r="N1886" s="217"/>
      <c r="O1886" s="217"/>
      <c r="P1886" s="217"/>
    </row>
    <row r="1887" spans="3:16" ht="42" customHeight="1">
      <c r="C1887" s="272">
        <v>1885</v>
      </c>
      <c r="D1887" s="275"/>
      <c r="E1887" s="276"/>
      <c r="F1887" s="221"/>
      <c r="G1887" s="275"/>
      <c r="H1887" s="276"/>
      <c r="I1887" s="217"/>
      <c r="J1887" s="217"/>
      <c r="K1887" s="221"/>
      <c r="L1887" s="217"/>
      <c r="M1887" s="217"/>
      <c r="N1887" s="217"/>
      <c r="O1887" s="217"/>
      <c r="P1887" s="217"/>
    </row>
    <row r="1888" spans="3:16" ht="42" customHeight="1">
      <c r="C1888" s="272">
        <v>1886</v>
      </c>
      <c r="D1888" s="275"/>
      <c r="E1888" s="276"/>
      <c r="F1888" s="221"/>
      <c r="G1888" s="275"/>
      <c r="H1888" s="276"/>
      <c r="I1888" s="217"/>
      <c r="J1888" s="217"/>
      <c r="K1888" s="221"/>
      <c r="L1888" s="217"/>
      <c r="M1888" s="217"/>
      <c r="N1888" s="217"/>
      <c r="O1888" s="217"/>
      <c r="P1888" s="217"/>
    </row>
    <row r="1889" spans="3:16" ht="42" customHeight="1">
      <c r="C1889" s="272">
        <v>1887</v>
      </c>
      <c r="D1889" s="275"/>
      <c r="E1889" s="276"/>
      <c r="F1889" s="221"/>
      <c r="G1889" s="275"/>
      <c r="H1889" s="276"/>
      <c r="I1889" s="217"/>
      <c r="J1889" s="217"/>
      <c r="K1889" s="221"/>
      <c r="L1889" s="217"/>
      <c r="M1889" s="217"/>
      <c r="N1889" s="217"/>
      <c r="O1889" s="217"/>
      <c r="P1889" s="217"/>
    </row>
    <row r="1890" spans="3:16" ht="42" customHeight="1">
      <c r="C1890" s="272">
        <v>1888</v>
      </c>
      <c r="D1890" s="275"/>
      <c r="E1890" s="276"/>
      <c r="F1890" s="221"/>
      <c r="G1890" s="275"/>
      <c r="H1890" s="276"/>
      <c r="I1890" s="217"/>
      <c r="J1890" s="217"/>
      <c r="K1890" s="221"/>
      <c r="L1890" s="217"/>
      <c r="M1890" s="217"/>
      <c r="N1890" s="217"/>
      <c r="O1890" s="217"/>
      <c r="P1890" s="217"/>
    </row>
    <row r="1891" spans="3:16" ht="42" customHeight="1">
      <c r="C1891" s="272">
        <v>1889</v>
      </c>
      <c r="D1891" s="275"/>
      <c r="E1891" s="276"/>
      <c r="F1891" s="221"/>
      <c r="G1891" s="275"/>
      <c r="H1891" s="276"/>
      <c r="I1891" s="217"/>
      <c r="J1891" s="217"/>
      <c r="K1891" s="221"/>
      <c r="L1891" s="217"/>
      <c r="M1891" s="217"/>
      <c r="N1891" s="217"/>
      <c r="O1891" s="217"/>
      <c r="P1891" s="217"/>
    </row>
    <row r="1892" spans="3:16" ht="42" customHeight="1">
      <c r="C1892" s="272">
        <v>1890</v>
      </c>
      <c r="D1892" s="275"/>
      <c r="E1892" s="276"/>
      <c r="F1892" s="221"/>
      <c r="G1892" s="275"/>
      <c r="H1892" s="276"/>
      <c r="I1892" s="217"/>
      <c r="J1892" s="217"/>
      <c r="K1892" s="221"/>
      <c r="L1892" s="217"/>
      <c r="M1892" s="217"/>
      <c r="N1892" s="217"/>
      <c r="O1892" s="217"/>
      <c r="P1892" s="217"/>
    </row>
    <row r="1893" spans="3:16" ht="42" customHeight="1">
      <c r="C1893" s="272">
        <v>1891</v>
      </c>
      <c r="D1893" s="275"/>
      <c r="E1893" s="276"/>
      <c r="F1893" s="221"/>
      <c r="G1893" s="275"/>
      <c r="H1893" s="276"/>
      <c r="I1893" s="217"/>
      <c r="J1893" s="217"/>
      <c r="K1893" s="221"/>
      <c r="L1893" s="217"/>
      <c r="M1893" s="217"/>
      <c r="N1893" s="217"/>
      <c r="O1893" s="217"/>
      <c r="P1893" s="217"/>
    </row>
    <row r="1894" spans="3:16" ht="42" customHeight="1">
      <c r="C1894" s="272">
        <v>1892</v>
      </c>
      <c r="D1894" s="275"/>
      <c r="E1894" s="276"/>
      <c r="F1894" s="221"/>
      <c r="G1894" s="275"/>
      <c r="H1894" s="276"/>
      <c r="I1894" s="217"/>
      <c r="J1894" s="217"/>
      <c r="K1894" s="221"/>
      <c r="L1894" s="217"/>
      <c r="M1894" s="217"/>
      <c r="N1894" s="217"/>
      <c r="O1894" s="217"/>
      <c r="P1894" s="217"/>
    </row>
    <row r="1895" spans="3:16" ht="42" customHeight="1">
      <c r="C1895" s="272">
        <v>1893</v>
      </c>
      <c r="D1895" s="275"/>
      <c r="E1895" s="276"/>
      <c r="F1895" s="221"/>
      <c r="G1895" s="275"/>
      <c r="H1895" s="276"/>
      <c r="I1895" s="217"/>
      <c r="J1895" s="217"/>
      <c r="K1895" s="221"/>
      <c r="L1895" s="217"/>
      <c r="M1895" s="217"/>
      <c r="N1895" s="217"/>
      <c r="O1895" s="217"/>
      <c r="P1895" s="217"/>
    </row>
    <row r="1896" spans="3:16" ht="42" customHeight="1">
      <c r="C1896" s="272">
        <v>1894</v>
      </c>
      <c r="D1896" s="275"/>
      <c r="E1896" s="276"/>
      <c r="F1896" s="221"/>
      <c r="G1896" s="275"/>
      <c r="H1896" s="276"/>
      <c r="I1896" s="217"/>
      <c r="J1896" s="217"/>
      <c r="K1896" s="221"/>
      <c r="L1896" s="217"/>
      <c r="M1896" s="217"/>
      <c r="N1896" s="217"/>
      <c r="O1896" s="217"/>
      <c r="P1896" s="217"/>
    </row>
    <row r="1897" spans="3:16" ht="42" customHeight="1">
      <c r="C1897" s="272">
        <v>1895</v>
      </c>
      <c r="D1897" s="275"/>
      <c r="E1897" s="276"/>
      <c r="F1897" s="221"/>
      <c r="G1897" s="275"/>
      <c r="H1897" s="276"/>
      <c r="I1897" s="217"/>
      <c r="J1897" s="217"/>
      <c r="K1897" s="221"/>
      <c r="L1897" s="217"/>
      <c r="M1897" s="217"/>
      <c r="N1897" s="217"/>
      <c r="O1897" s="217"/>
      <c r="P1897" s="217"/>
    </row>
    <row r="1898" spans="3:16" ht="42" customHeight="1">
      <c r="C1898" s="272">
        <v>1896</v>
      </c>
      <c r="D1898" s="275"/>
      <c r="E1898" s="276"/>
      <c r="F1898" s="221"/>
      <c r="G1898" s="275"/>
      <c r="H1898" s="276"/>
      <c r="I1898" s="217"/>
      <c r="J1898" s="217"/>
      <c r="K1898" s="221"/>
      <c r="L1898" s="217"/>
      <c r="M1898" s="217"/>
      <c r="N1898" s="217"/>
      <c r="O1898" s="217"/>
      <c r="P1898" s="217"/>
    </row>
    <row r="1899" spans="3:16" ht="42" customHeight="1">
      <c r="C1899" s="272">
        <v>1897</v>
      </c>
      <c r="D1899" s="275"/>
      <c r="E1899" s="276"/>
      <c r="F1899" s="221"/>
      <c r="G1899" s="275"/>
      <c r="H1899" s="276"/>
      <c r="I1899" s="217"/>
      <c r="J1899" s="217"/>
      <c r="K1899" s="221"/>
      <c r="L1899" s="217"/>
      <c r="M1899" s="217"/>
      <c r="N1899" s="217"/>
      <c r="O1899" s="217"/>
      <c r="P1899" s="217"/>
    </row>
    <row r="1900" spans="3:16" ht="42" customHeight="1">
      <c r="C1900" s="272">
        <v>1898</v>
      </c>
      <c r="D1900" s="275"/>
      <c r="E1900" s="276"/>
      <c r="F1900" s="221"/>
      <c r="G1900" s="275"/>
      <c r="H1900" s="276"/>
      <c r="I1900" s="217"/>
      <c r="J1900" s="217"/>
      <c r="K1900" s="221"/>
      <c r="L1900" s="217"/>
      <c r="M1900" s="217"/>
      <c r="N1900" s="217"/>
      <c r="O1900" s="217"/>
      <c r="P1900" s="217"/>
    </row>
    <row r="1901" spans="3:16" ht="42" customHeight="1">
      <c r="C1901" s="272">
        <v>1899</v>
      </c>
      <c r="D1901" s="275"/>
      <c r="E1901" s="276"/>
      <c r="F1901" s="221"/>
      <c r="G1901" s="275"/>
      <c r="H1901" s="276"/>
      <c r="I1901" s="217"/>
      <c r="J1901" s="217"/>
      <c r="K1901" s="221"/>
      <c r="L1901" s="217"/>
      <c r="M1901" s="217"/>
      <c r="N1901" s="217"/>
      <c r="O1901" s="217"/>
      <c r="P1901" s="217"/>
    </row>
    <row r="1902" spans="3:16" ht="42" customHeight="1">
      <c r="C1902" s="272">
        <v>1900</v>
      </c>
      <c r="D1902" s="275"/>
      <c r="E1902" s="276"/>
      <c r="F1902" s="221"/>
      <c r="G1902" s="275"/>
      <c r="H1902" s="276"/>
      <c r="I1902" s="217"/>
      <c r="J1902" s="217"/>
      <c r="K1902" s="221"/>
      <c r="L1902" s="217"/>
      <c r="M1902" s="217"/>
      <c r="N1902" s="217"/>
      <c r="O1902" s="217"/>
      <c r="P1902" s="217"/>
    </row>
    <row r="1903" spans="3:16" ht="42" customHeight="1">
      <c r="C1903" s="272">
        <v>1901</v>
      </c>
      <c r="D1903" s="275"/>
      <c r="E1903" s="276"/>
      <c r="F1903" s="221"/>
      <c r="G1903" s="275"/>
      <c r="H1903" s="276"/>
      <c r="I1903" s="217"/>
      <c r="J1903" s="217"/>
      <c r="K1903" s="221"/>
      <c r="L1903" s="217"/>
      <c r="M1903" s="217"/>
      <c r="N1903" s="217"/>
      <c r="O1903" s="217"/>
      <c r="P1903" s="217"/>
    </row>
    <row r="1904" spans="3:16" ht="42" customHeight="1">
      <c r="C1904" s="272">
        <v>1902</v>
      </c>
      <c r="D1904" s="275"/>
      <c r="E1904" s="276"/>
      <c r="F1904" s="221"/>
      <c r="G1904" s="275"/>
      <c r="H1904" s="276"/>
      <c r="I1904" s="217"/>
      <c r="J1904" s="217"/>
      <c r="K1904" s="221"/>
      <c r="L1904" s="217"/>
      <c r="M1904" s="217"/>
      <c r="N1904" s="217"/>
      <c r="O1904" s="217"/>
      <c r="P1904" s="217"/>
    </row>
    <row r="1905" spans="3:16" ht="42" customHeight="1">
      <c r="C1905" s="272">
        <v>1903</v>
      </c>
      <c r="D1905" s="275"/>
      <c r="E1905" s="276"/>
      <c r="F1905" s="221"/>
      <c r="G1905" s="275"/>
      <c r="H1905" s="276"/>
      <c r="I1905" s="217"/>
      <c r="J1905" s="217"/>
      <c r="K1905" s="221"/>
      <c r="L1905" s="217"/>
      <c r="M1905" s="217"/>
      <c r="N1905" s="217"/>
      <c r="O1905" s="217"/>
      <c r="P1905" s="217"/>
    </row>
    <row r="1906" spans="3:16" ht="42" customHeight="1">
      <c r="C1906" s="272">
        <v>1904</v>
      </c>
      <c r="D1906" s="275"/>
      <c r="E1906" s="276"/>
      <c r="F1906" s="221"/>
      <c r="G1906" s="275"/>
      <c r="H1906" s="276"/>
      <c r="I1906" s="217"/>
      <c r="J1906" s="217"/>
      <c r="K1906" s="221"/>
      <c r="L1906" s="217"/>
      <c r="M1906" s="217"/>
      <c r="N1906" s="217"/>
      <c r="O1906" s="217"/>
      <c r="P1906" s="217"/>
    </row>
    <row r="1907" spans="3:16" ht="42" customHeight="1">
      <c r="C1907" s="272">
        <v>1905</v>
      </c>
      <c r="D1907" s="275"/>
      <c r="E1907" s="276"/>
      <c r="F1907" s="221"/>
      <c r="G1907" s="275"/>
      <c r="H1907" s="276"/>
      <c r="I1907" s="217"/>
      <c r="J1907" s="217"/>
      <c r="K1907" s="221"/>
      <c r="L1907" s="217"/>
      <c r="M1907" s="217"/>
      <c r="N1907" s="217"/>
      <c r="O1907" s="217"/>
      <c r="P1907" s="217"/>
    </row>
    <row r="1908" spans="3:16" ht="42" customHeight="1">
      <c r="C1908" s="272">
        <v>1906</v>
      </c>
      <c r="D1908" s="275"/>
      <c r="E1908" s="276"/>
      <c r="F1908" s="221"/>
      <c r="G1908" s="275"/>
      <c r="H1908" s="276"/>
      <c r="I1908" s="217"/>
      <c r="J1908" s="217"/>
      <c r="K1908" s="221"/>
      <c r="L1908" s="217"/>
      <c r="M1908" s="217"/>
      <c r="N1908" s="217"/>
      <c r="O1908" s="217"/>
      <c r="P1908" s="217"/>
    </row>
    <row r="1909" spans="3:16" ht="42" customHeight="1">
      <c r="C1909" s="272">
        <v>1907</v>
      </c>
      <c r="D1909" s="275"/>
      <c r="E1909" s="276"/>
      <c r="F1909" s="221"/>
      <c r="G1909" s="275"/>
      <c r="H1909" s="276"/>
      <c r="I1909" s="217"/>
      <c r="J1909" s="217"/>
      <c r="K1909" s="221"/>
      <c r="L1909" s="217"/>
      <c r="M1909" s="217"/>
      <c r="N1909" s="217"/>
      <c r="O1909" s="217"/>
      <c r="P1909" s="217"/>
    </row>
    <row r="1910" spans="3:16" ht="42" customHeight="1">
      <c r="C1910" s="272">
        <v>1908</v>
      </c>
      <c r="D1910" s="275"/>
      <c r="E1910" s="276"/>
      <c r="F1910" s="221"/>
      <c r="G1910" s="275"/>
      <c r="H1910" s="276"/>
      <c r="I1910" s="217"/>
      <c r="J1910" s="217"/>
      <c r="K1910" s="221"/>
      <c r="L1910" s="217"/>
      <c r="M1910" s="217"/>
      <c r="N1910" s="217"/>
      <c r="O1910" s="217"/>
      <c r="P1910" s="217"/>
    </row>
    <row r="1911" spans="3:16" ht="42" customHeight="1">
      <c r="C1911" s="272">
        <v>1909</v>
      </c>
      <c r="D1911" s="275"/>
      <c r="E1911" s="276"/>
      <c r="F1911" s="221"/>
      <c r="G1911" s="275"/>
      <c r="H1911" s="276"/>
      <c r="I1911" s="217"/>
      <c r="J1911" s="217"/>
      <c r="K1911" s="221"/>
      <c r="L1911" s="217"/>
      <c r="M1911" s="217"/>
      <c r="N1911" s="217"/>
      <c r="O1911" s="217"/>
      <c r="P1911" s="217"/>
    </row>
    <row r="1912" spans="3:16" ht="42" customHeight="1">
      <c r="C1912" s="272">
        <v>1910</v>
      </c>
      <c r="D1912" s="275"/>
      <c r="E1912" s="276"/>
      <c r="F1912" s="221"/>
      <c r="G1912" s="275"/>
      <c r="H1912" s="276"/>
      <c r="I1912" s="217"/>
      <c r="J1912" s="217"/>
      <c r="K1912" s="221"/>
      <c r="L1912" s="217"/>
      <c r="M1912" s="217"/>
      <c r="N1912" s="217"/>
      <c r="O1912" s="217"/>
      <c r="P1912" s="217"/>
    </row>
    <row r="1913" spans="3:16" ht="42" customHeight="1">
      <c r="C1913" s="272">
        <v>1911</v>
      </c>
      <c r="D1913" s="275"/>
      <c r="E1913" s="276"/>
      <c r="F1913" s="221"/>
      <c r="G1913" s="275"/>
      <c r="H1913" s="276"/>
      <c r="I1913" s="217"/>
      <c r="J1913" s="217"/>
      <c r="K1913" s="221"/>
      <c r="L1913" s="217"/>
      <c r="M1913" s="217"/>
      <c r="N1913" s="217"/>
      <c r="O1913" s="217"/>
      <c r="P1913" s="217"/>
    </row>
    <row r="1914" spans="3:16" ht="42" customHeight="1">
      <c r="C1914" s="272">
        <v>1912</v>
      </c>
      <c r="D1914" s="275"/>
      <c r="E1914" s="276"/>
      <c r="F1914" s="221"/>
      <c r="G1914" s="275"/>
      <c r="H1914" s="276"/>
      <c r="I1914" s="217"/>
      <c r="J1914" s="217"/>
      <c r="K1914" s="221"/>
      <c r="L1914" s="217"/>
      <c r="M1914" s="217"/>
      <c r="N1914" s="217"/>
      <c r="O1914" s="217"/>
      <c r="P1914" s="217"/>
    </row>
    <row r="1915" spans="3:16" ht="42" customHeight="1">
      <c r="C1915" s="272">
        <v>1913</v>
      </c>
      <c r="D1915" s="275"/>
      <c r="E1915" s="276"/>
      <c r="F1915" s="221"/>
      <c r="G1915" s="275"/>
      <c r="H1915" s="276"/>
      <c r="I1915" s="217"/>
      <c r="J1915" s="217"/>
      <c r="K1915" s="221"/>
      <c r="L1915" s="217"/>
      <c r="M1915" s="217"/>
      <c r="N1915" s="217"/>
      <c r="O1915" s="217"/>
      <c r="P1915" s="217"/>
    </row>
    <row r="1916" spans="3:16" ht="42" customHeight="1">
      <c r="C1916" s="272">
        <v>1914</v>
      </c>
      <c r="D1916" s="275"/>
      <c r="E1916" s="276"/>
      <c r="F1916" s="221"/>
      <c r="G1916" s="275"/>
      <c r="H1916" s="276"/>
      <c r="I1916" s="217"/>
      <c r="J1916" s="217"/>
      <c r="K1916" s="221"/>
      <c r="L1916" s="217"/>
      <c r="M1916" s="217"/>
      <c r="N1916" s="217"/>
      <c r="O1916" s="217"/>
      <c r="P1916" s="217"/>
    </row>
    <row r="1917" spans="3:16" ht="42" customHeight="1">
      <c r="C1917" s="272">
        <v>1915</v>
      </c>
      <c r="D1917" s="275"/>
      <c r="E1917" s="276"/>
      <c r="F1917" s="221"/>
      <c r="G1917" s="275"/>
      <c r="H1917" s="276"/>
      <c r="I1917" s="217"/>
      <c r="J1917" s="217"/>
      <c r="K1917" s="221"/>
      <c r="L1917" s="217"/>
      <c r="M1917" s="217"/>
      <c r="N1917" s="217"/>
      <c r="O1917" s="217"/>
      <c r="P1917" s="217"/>
    </row>
    <row r="1918" spans="3:16" ht="42" customHeight="1">
      <c r="C1918" s="272">
        <v>1916</v>
      </c>
      <c r="D1918" s="275"/>
      <c r="E1918" s="276"/>
      <c r="F1918" s="221"/>
      <c r="G1918" s="275"/>
      <c r="H1918" s="276"/>
      <c r="I1918" s="217"/>
      <c r="J1918" s="217"/>
      <c r="K1918" s="221"/>
      <c r="L1918" s="217"/>
      <c r="M1918" s="217"/>
      <c r="N1918" s="217"/>
      <c r="O1918" s="217"/>
      <c r="P1918" s="217"/>
    </row>
    <row r="1919" spans="3:16" ht="42" customHeight="1">
      <c r="C1919" s="272">
        <v>1917</v>
      </c>
      <c r="D1919" s="275"/>
      <c r="E1919" s="276"/>
      <c r="F1919" s="221"/>
      <c r="G1919" s="275"/>
      <c r="H1919" s="276"/>
      <c r="I1919" s="217"/>
      <c r="J1919" s="217"/>
      <c r="K1919" s="221"/>
      <c r="L1919" s="217"/>
      <c r="M1919" s="217"/>
      <c r="N1919" s="217"/>
      <c r="O1919" s="217"/>
      <c r="P1919" s="217"/>
    </row>
    <row r="1920" spans="3:16" ht="42" customHeight="1">
      <c r="C1920" s="272">
        <v>1918</v>
      </c>
      <c r="D1920" s="275"/>
      <c r="E1920" s="276"/>
      <c r="F1920" s="221"/>
      <c r="G1920" s="275"/>
      <c r="H1920" s="276"/>
      <c r="I1920" s="217"/>
      <c r="J1920" s="217"/>
      <c r="K1920" s="221"/>
      <c r="L1920" s="217"/>
      <c r="M1920" s="217"/>
      <c r="N1920" s="217"/>
      <c r="O1920" s="217"/>
      <c r="P1920" s="217"/>
    </row>
    <row r="1921" spans="3:16" ht="42" customHeight="1">
      <c r="C1921" s="272">
        <v>1919</v>
      </c>
      <c r="D1921" s="275"/>
      <c r="E1921" s="276"/>
      <c r="F1921" s="221"/>
      <c r="G1921" s="275"/>
      <c r="H1921" s="276"/>
      <c r="I1921" s="217"/>
      <c r="J1921" s="217"/>
      <c r="K1921" s="221"/>
      <c r="L1921" s="217"/>
      <c r="M1921" s="217"/>
      <c r="N1921" s="217"/>
      <c r="O1921" s="217"/>
      <c r="P1921" s="217"/>
    </row>
    <row r="1922" spans="3:16" ht="42" customHeight="1">
      <c r="C1922" s="272">
        <v>1920</v>
      </c>
      <c r="D1922" s="275"/>
      <c r="E1922" s="276"/>
      <c r="F1922" s="221"/>
      <c r="G1922" s="275"/>
      <c r="H1922" s="276"/>
      <c r="I1922" s="217"/>
      <c r="J1922" s="217"/>
      <c r="K1922" s="221"/>
      <c r="L1922" s="217"/>
      <c r="M1922" s="217"/>
      <c r="N1922" s="217"/>
      <c r="O1922" s="217"/>
      <c r="P1922" s="217"/>
    </row>
    <row r="1923" spans="3:16" ht="42" customHeight="1">
      <c r="C1923" s="272">
        <v>1921</v>
      </c>
      <c r="D1923" s="275"/>
      <c r="E1923" s="276"/>
      <c r="F1923" s="221"/>
      <c r="G1923" s="275"/>
      <c r="H1923" s="276"/>
      <c r="I1923" s="217"/>
      <c r="J1923" s="217"/>
      <c r="K1923" s="221"/>
      <c r="L1923" s="217"/>
      <c r="M1923" s="217"/>
      <c r="N1923" s="217"/>
      <c r="O1923" s="217"/>
      <c r="P1923" s="217"/>
    </row>
    <row r="1924" spans="3:16" ht="42" customHeight="1">
      <c r="C1924" s="272">
        <v>1922</v>
      </c>
      <c r="D1924" s="275"/>
      <c r="E1924" s="276"/>
      <c r="F1924" s="221"/>
      <c r="G1924" s="275"/>
      <c r="H1924" s="276"/>
      <c r="I1924" s="217"/>
      <c r="J1924" s="217"/>
      <c r="K1924" s="221"/>
      <c r="L1924" s="217"/>
      <c r="M1924" s="217"/>
      <c r="N1924" s="217"/>
      <c r="O1924" s="217"/>
      <c r="P1924" s="217"/>
    </row>
    <row r="1925" spans="3:16" ht="42" customHeight="1">
      <c r="C1925" s="272">
        <v>1923</v>
      </c>
      <c r="D1925" s="275"/>
      <c r="E1925" s="276"/>
      <c r="F1925" s="221"/>
      <c r="G1925" s="275"/>
      <c r="H1925" s="276"/>
      <c r="I1925" s="217"/>
      <c r="J1925" s="217"/>
      <c r="K1925" s="221"/>
      <c r="L1925" s="217"/>
      <c r="M1925" s="217"/>
      <c r="N1925" s="217"/>
      <c r="O1925" s="217"/>
      <c r="P1925" s="217"/>
    </row>
    <row r="1926" spans="3:16" ht="42" customHeight="1">
      <c r="C1926" s="272">
        <v>1924</v>
      </c>
      <c r="D1926" s="275"/>
      <c r="E1926" s="276"/>
      <c r="F1926" s="221"/>
      <c r="G1926" s="275"/>
      <c r="H1926" s="276"/>
      <c r="I1926" s="217"/>
      <c r="J1926" s="217"/>
      <c r="K1926" s="221"/>
      <c r="L1926" s="217"/>
      <c r="M1926" s="217"/>
      <c r="N1926" s="217"/>
      <c r="O1926" s="217"/>
      <c r="P1926" s="217"/>
    </row>
    <row r="1927" spans="3:16" ht="42" customHeight="1">
      <c r="C1927" s="272">
        <v>1925</v>
      </c>
      <c r="D1927" s="275"/>
      <c r="E1927" s="276"/>
      <c r="F1927" s="221"/>
      <c r="G1927" s="275"/>
      <c r="H1927" s="276"/>
      <c r="I1927" s="217"/>
      <c r="J1927" s="217"/>
      <c r="K1927" s="221"/>
      <c r="L1927" s="217"/>
      <c r="M1927" s="217"/>
      <c r="N1927" s="217"/>
      <c r="O1927" s="217"/>
      <c r="P1927" s="217"/>
    </row>
    <row r="1928" spans="3:16" ht="42" customHeight="1">
      <c r="C1928" s="272">
        <v>1926</v>
      </c>
      <c r="D1928" s="275"/>
      <c r="E1928" s="276"/>
      <c r="F1928" s="221"/>
      <c r="G1928" s="275"/>
      <c r="H1928" s="276"/>
      <c r="I1928" s="217"/>
      <c r="J1928" s="217"/>
      <c r="K1928" s="221"/>
      <c r="L1928" s="217"/>
      <c r="M1928" s="217"/>
      <c r="N1928" s="217"/>
      <c r="O1928" s="217"/>
      <c r="P1928" s="217"/>
    </row>
    <row r="1929" spans="3:16" ht="42" customHeight="1">
      <c r="C1929" s="272">
        <v>1927</v>
      </c>
      <c r="D1929" s="275"/>
      <c r="E1929" s="276"/>
      <c r="F1929" s="221"/>
      <c r="G1929" s="275"/>
      <c r="H1929" s="276"/>
      <c r="I1929" s="217"/>
      <c r="J1929" s="217"/>
      <c r="K1929" s="221"/>
      <c r="L1929" s="217"/>
      <c r="M1929" s="217"/>
      <c r="N1929" s="217"/>
      <c r="O1929" s="217"/>
      <c r="P1929" s="217"/>
    </row>
    <row r="1930" spans="3:16" ht="42" customHeight="1">
      <c r="C1930" s="272">
        <v>1928</v>
      </c>
      <c r="D1930" s="275"/>
      <c r="E1930" s="276"/>
      <c r="F1930" s="221"/>
      <c r="G1930" s="275"/>
      <c r="H1930" s="276"/>
      <c r="I1930" s="217"/>
      <c r="J1930" s="217"/>
      <c r="K1930" s="221"/>
      <c r="L1930" s="217"/>
      <c r="M1930" s="217"/>
      <c r="N1930" s="217"/>
      <c r="O1930" s="217"/>
      <c r="P1930" s="217"/>
    </row>
    <row r="1931" spans="3:16" ht="42" customHeight="1">
      <c r="C1931" s="272">
        <v>1929</v>
      </c>
      <c r="D1931" s="275"/>
      <c r="E1931" s="276"/>
      <c r="F1931" s="221"/>
      <c r="G1931" s="275"/>
      <c r="H1931" s="276"/>
      <c r="I1931" s="217"/>
      <c r="J1931" s="217"/>
      <c r="K1931" s="221"/>
      <c r="L1931" s="217"/>
      <c r="M1931" s="217"/>
      <c r="N1931" s="217"/>
      <c r="O1931" s="217"/>
      <c r="P1931" s="217"/>
    </row>
    <row r="1932" spans="3:16" ht="42" customHeight="1">
      <c r="C1932" s="272">
        <v>1930</v>
      </c>
      <c r="D1932" s="275"/>
      <c r="E1932" s="276"/>
      <c r="F1932" s="221"/>
      <c r="G1932" s="275"/>
      <c r="H1932" s="276"/>
      <c r="I1932" s="217"/>
      <c r="J1932" s="217"/>
      <c r="K1932" s="221"/>
      <c r="L1932" s="217"/>
      <c r="M1932" s="217"/>
      <c r="N1932" s="217"/>
      <c r="O1932" s="217"/>
      <c r="P1932" s="217"/>
    </row>
    <row r="1933" spans="3:16" ht="42" customHeight="1">
      <c r="C1933" s="272">
        <v>1931</v>
      </c>
      <c r="D1933" s="275"/>
      <c r="E1933" s="276"/>
      <c r="F1933" s="221"/>
      <c r="G1933" s="275"/>
      <c r="H1933" s="276"/>
      <c r="I1933" s="217"/>
      <c r="J1933" s="217"/>
      <c r="K1933" s="221"/>
      <c r="L1933" s="217"/>
      <c r="M1933" s="217"/>
      <c r="N1933" s="217"/>
      <c r="O1933" s="217"/>
      <c r="P1933" s="217"/>
    </row>
    <row r="1934" spans="3:16" ht="42" customHeight="1">
      <c r="C1934" s="272">
        <v>1932</v>
      </c>
      <c r="D1934" s="275"/>
      <c r="E1934" s="276"/>
      <c r="F1934" s="221"/>
      <c r="G1934" s="275"/>
      <c r="H1934" s="276"/>
      <c r="I1934" s="217"/>
      <c r="J1934" s="217"/>
      <c r="K1934" s="221"/>
      <c r="L1934" s="217"/>
      <c r="M1934" s="217"/>
      <c r="N1934" s="217"/>
      <c r="O1934" s="217"/>
      <c r="P1934" s="217"/>
    </row>
    <row r="1935" spans="3:16" ht="42" customHeight="1">
      <c r="C1935" s="272">
        <v>1933</v>
      </c>
      <c r="D1935" s="275"/>
      <c r="E1935" s="276"/>
      <c r="F1935" s="221"/>
      <c r="G1935" s="275"/>
      <c r="H1935" s="276"/>
      <c r="I1935" s="217"/>
      <c r="J1935" s="217"/>
      <c r="K1935" s="221"/>
      <c r="L1935" s="217"/>
      <c r="M1935" s="217"/>
      <c r="N1935" s="217"/>
      <c r="O1935" s="217"/>
      <c r="P1935" s="217"/>
    </row>
    <row r="1936" spans="3:16" ht="42" customHeight="1">
      <c r="C1936" s="272">
        <v>1934</v>
      </c>
      <c r="D1936" s="275"/>
      <c r="E1936" s="276"/>
      <c r="F1936" s="221"/>
      <c r="G1936" s="275"/>
      <c r="H1936" s="276"/>
      <c r="I1936" s="217"/>
      <c r="J1936" s="217"/>
      <c r="K1936" s="221"/>
      <c r="L1936" s="217"/>
      <c r="M1936" s="217"/>
      <c r="N1936" s="217"/>
      <c r="O1936" s="217"/>
      <c r="P1936" s="217"/>
    </row>
    <row r="1937" spans="3:16" ht="42" customHeight="1">
      <c r="C1937" s="272">
        <v>1935</v>
      </c>
      <c r="D1937" s="275"/>
      <c r="E1937" s="276"/>
      <c r="F1937" s="221"/>
      <c r="G1937" s="275"/>
      <c r="H1937" s="276"/>
      <c r="I1937" s="217"/>
      <c r="J1937" s="217"/>
      <c r="K1937" s="221"/>
      <c r="L1937" s="217"/>
      <c r="M1937" s="217"/>
      <c r="N1937" s="217"/>
      <c r="O1937" s="217"/>
      <c r="P1937" s="217"/>
    </row>
    <row r="1938" spans="3:16" ht="42" customHeight="1">
      <c r="C1938" s="272">
        <v>1936</v>
      </c>
      <c r="D1938" s="275"/>
      <c r="E1938" s="276"/>
      <c r="F1938" s="221"/>
      <c r="G1938" s="275"/>
      <c r="H1938" s="276"/>
      <c r="I1938" s="217"/>
      <c r="J1938" s="217"/>
      <c r="K1938" s="221"/>
      <c r="L1938" s="217"/>
      <c r="M1938" s="217"/>
      <c r="N1938" s="217"/>
      <c r="O1938" s="217"/>
      <c r="P1938" s="217"/>
    </row>
    <row r="1939" spans="3:16" ht="42" customHeight="1">
      <c r="C1939" s="272">
        <v>1937</v>
      </c>
      <c r="D1939" s="275"/>
      <c r="E1939" s="276"/>
      <c r="F1939" s="221"/>
      <c r="G1939" s="275"/>
      <c r="H1939" s="276"/>
      <c r="I1939" s="217"/>
      <c r="J1939" s="217"/>
      <c r="K1939" s="221"/>
      <c r="L1939" s="217"/>
      <c r="M1939" s="217"/>
      <c r="N1939" s="217"/>
      <c r="O1939" s="217"/>
      <c r="P1939" s="217"/>
    </row>
    <row r="1940" spans="3:16" ht="42" customHeight="1">
      <c r="C1940" s="272">
        <v>1938</v>
      </c>
      <c r="D1940" s="275"/>
      <c r="E1940" s="276"/>
      <c r="F1940" s="221"/>
      <c r="G1940" s="275"/>
      <c r="H1940" s="276"/>
      <c r="I1940" s="217"/>
      <c r="J1940" s="217"/>
      <c r="K1940" s="221"/>
      <c r="L1940" s="217"/>
      <c r="M1940" s="217"/>
      <c r="N1940" s="217"/>
      <c r="O1940" s="217"/>
      <c r="P1940" s="217"/>
    </row>
    <row r="1941" spans="3:16" ht="42" customHeight="1">
      <c r="C1941" s="272">
        <v>1939</v>
      </c>
      <c r="D1941" s="275"/>
      <c r="E1941" s="276"/>
      <c r="F1941" s="221"/>
      <c r="G1941" s="275"/>
      <c r="H1941" s="276"/>
      <c r="I1941" s="217"/>
      <c r="J1941" s="217"/>
      <c r="K1941" s="221"/>
      <c r="L1941" s="217"/>
      <c r="M1941" s="217"/>
      <c r="N1941" s="217"/>
      <c r="O1941" s="217"/>
      <c r="P1941" s="217"/>
    </row>
    <row r="1942" spans="3:16" ht="42" customHeight="1">
      <c r="C1942" s="272">
        <v>1940</v>
      </c>
      <c r="D1942" s="275"/>
      <c r="E1942" s="276"/>
      <c r="F1942" s="221"/>
      <c r="G1942" s="275"/>
      <c r="H1942" s="276"/>
      <c r="I1942" s="217"/>
      <c r="J1942" s="217"/>
      <c r="K1942" s="221"/>
      <c r="L1942" s="217"/>
      <c r="M1942" s="217"/>
      <c r="N1942" s="217"/>
      <c r="O1942" s="217"/>
      <c r="P1942" s="217"/>
    </row>
    <row r="1943" spans="3:16" ht="42" customHeight="1">
      <c r="C1943" s="272">
        <v>1941</v>
      </c>
      <c r="D1943" s="275"/>
      <c r="E1943" s="276"/>
      <c r="F1943" s="221"/>
      <c r="G1943" s="275"/>
      <c r="H1943" s="276"/>
      <c r="I1943" s="217"/>
      <c r="J1943" s="217"/>
      <c r="K1943" s="221"/>
      <c r="L1943" s="217"/>
      <c r="M1943" s="217"/>
      <c r="N1943" s="217"/>
      <c r="O1943" s="217"/>
      <c r="P1943" s="217"/>
    </row>
    <row r="1944" spans="3:16" ht="42" customHeight="1">
      <c r="C1944" s="272">
        <v>1942</v>
      </c>
      <c r="D1944" s="275"/>
      <c r="E1944" s="276"/>
      <c r="F1944" s="221"/>
      <c r="G1944" s="275"/>
      <c r="H1944" s="276"/>
      <c r="I1944" s="217"/>
      <c r="J1944" s="217"/>
      <c r="K1944" s="221"/>
      <c r="L1944" s="217"/>
      <c r="M1944" s="217"/>
      <c r="N1944" s="217"/>
      <c r="O1944" s="217"/>
      <c r="P1944" s="217"/>
    </row>
    <row r="1945" spans="3:16" ht="42" customHeight="1">
      <c r="C1945" s="272">
        <v>1943</v>
      </c>
      <c r="D1945" s="275"/>
      <c r="E1945" s="276"/>
      <c r="F1945" s="221"/>
      <c r="G1945" s="275"/>
      <c r="H1945" s="276"/>
      <c r="I1945" s="217"/>
      <c r="J1945" s="217"/>
      <c r="K1945" s="221"/>
      <c r="L1945" s="217"/>
      <c r="M1945" s="217"/>
      <c r="N1945" s="217"/>
      <c r="O1945" s="217"/>
      <c r="P1945" s="217"/>
    </row>
    <row r="1946" spans="3:16" ht="42" customHeight="1">
      <c r="C1946" s="272">
        <v>1944</v>
      </c>
      <c r="D1946" s="275"/>
      <c r="E1946" s="276"/>
      <c r="F1946" s="221"/>
      <c r="G1946" s="275"/>
      <c r="H1946" s="276"/>
      <c r="I1946" s="217"/>
      <c r="J1946" s="217"/>
      <c r="K1946" s="221"/>
      <c r="L1946" s="217"/>
      <c r="M1946" s="217"/>
      <c r="N1946" s="217"/>
      <c r="O1946" s="217"/>
      <c r="P1946" s="217"/>
    </row>
    <row r="1947" spans="3:16" ht="42" customHeight="1">
      <c r="C1947" s="272">
        <v>1945</v>
      </c>
      <c r="D1947" s="275"/>
      <c r="E1947" s="276"/>
      <c r="F1947" s="221"/>
      <c r="G1947" s="275"/>
      <c r="H1947" s="276"/>
      <c r="I1947" s="217"/>
      <c r="J1947" s="217"/>
      <c r="K1947" s="221"/>
      <c r="L1947" s="217"/>
      <c r="M1947" s="217"/>
      <c r="N1947" s="217"/>
      <c r="O1947" s="217"/>
      <c r="P1947" s="217"/>
    </row>
    <row r="1948" spans="3:16" ht="42" customHeight="1">
      <c r="C1948" s="272">
        <v>1946</v>
      </c>
      <c r="D1948" s="275"/>
      <c r="E1948" s="276"/>
      <c r="F1948" s="221"/>
      <c r="G1948" s="275"/>
      <c r="H1948" s="276"/>
      <c r="I1948" s="217"/>
      <c r="J1948" s="217"/>
      <c r="K1948" s="221"/>
      <c r="L1948" s="217"/>
      <c r="M1948" s="217"/>
      <c r="N1948" s="217"/>
      <c r="O1948" s="217"/>
      <c r="P1948" s="217"/>
    </row>
    <row r="1949" spans="3:16" ht="42" customHeight="1">
      <c r="C1949" s="272">
        <v>1947</v>
      </c>
      <c r="D1949" s="275"/>
      <c r="E1949" s="276"/>
      <c r="F1949" s="221"/>
      <c r="G1949" s="275"/>
      <c r="H1949" s="276"/>
      <c r="I1949" s="217"/>
      <c r="J1949" s="217"/>
      <c r="K1949" s="221"/>
      <c r="L1949" s="217"/>
      <c r="M1949" s="217"/>
      <c r="N1949" s="217"/>
      <c r="O1949" s="217"/>
      <c r="P1949" s="217"/>
    </row>
    <row r="1950" spans="3:16" ht="42" customHeight="1">
      <c r="C1950" s="272">
        <v>1948</v>
      </c>
      <c r="D1950" s="275"/>
      <c r="E1950" s="276"/>
      <c r="F1950" s="221"/>
      <c r="G1950" s="275"/>
      <c r="H1950" s="276"/>
      <c r="I1950" s="217"/>
      <c r="J1950" s="217"/>
      <c r="K1950" s="221"/>
      <c r="L1950" s="217"/>
      <c r="M1950" s="217"/>
      <c r="N1950" s="217"/>
      <c r="O1950" s="217"/>
      <c r="P1950" s="217"/>
    </row>
    <row r="1951" spans="3:16" ht="42" customHeight="1">
      <c r="C1951" s="272">
        <v>1949</v>
      </c>
      <c r="D1951" s="275"/>
      <c r="E1951" s="276"/>
      <c r="F1951" s="221"/>
      <c r="G1951" s="275"/>
      <c r="H1951" s="276"/>
      <c r="I1951" s="217"/>
      <c r="J1951" s="217"/>
      <c r="K1951" s="221"/>
      <c r="L1951" s="217"/>
      <c r="M1951" s="217"/>
      <c r="N1951" s="217"/>
      <c r="O1951" s="217"/>
      <c r="P1951" s="217"/>
    </row>
    <row r="1952" spans="3:16" ht="42" customHeight="1">
      <c r="C1952" s="272">
        <v>1950</v>
      </c>
      <c r="D1952" s="275"/>
      <c r="E1952" s="276"/>
      <c r="F1952" s="221"/>
      <c r="G1952" s="275"/>
      <c r="H1952" s="276"/>
      <c r="I1952" s="217"/>
      <c r="J1952" s="217"/>
      <c r="K1952" s="221"/>
      <c r="L1952" s="217"/>
      <c r="M1952" s="217"/>
      <c r="N1952" s="217"/>
      <c r="O1952" s="217"/>
      <c r="P1952" s="217"/>
    </row>
    <row r="1953" spans="3:16" ht="42" customHeight="1">
      <c r="C1953" s="272">
        <v>1951</v>
      </c>
      <c r="D1953" s="275"/>
      <c r="E1953" s="276"/>
      <c r="F1953" s="221"/>
      <c r="G1953" s="275"/>
      <c r="H1953" s="276"/>
      <c r="I1953" s="217"/>
      <c r="J1953" s="217"/>
      <c r="K1953" s="221"/>
      <c r="L1953" s="217"/>
      <c r="M1953" s="217"/>
      <c r="N1953" s="217"/>
      <c r="O1953" s="217"/>
      <c r="P1953" s="217"/>
    </row>
    <row r="1954" spans="3:16" ht="42" customHeight="1">
      <c r="C1954" s="272">
        <v>1952</v>
      </c>
      <c r="D1954" s="275"/>
      <c r="E1954" s="276"/>
      <c r="F1954" s="221"/>
      <c r="G1954" s="275"/>
      <c r="H1954" s="276"/>
      <c r="I1954" s="217"/>
      <c r="J1954" s="217"/>
      <c r="K1954" s="221"/>
      <c r="L1954" s="217"/>
      <c r="M1954" s="217"/>
      <c r="N1954" s="217"/>
      <c r="O1954" s="217"/>
      <c r="P1954" s="217"/>
    </row>
    <row r="1955" spans="3:16" ht="42" customHeight="1">
      <c r="C1955" s="272">
        <v>1953</v>
      </c>
      <c r="D1955" s="275"/>
      <c r="E1955" s="276"/>
      <c r="F1955" s="221"/>
      <c r="G1955" s="275"/>
      <c r="H1955" s="276"/>
      <c r="I1955" s="217"/>
      <c r="J1955" s="217"/>
      <c r="K1955" s="221"/>
      <c r="L1955" s="217"/>
      <c r="M1955" s="217"/>
      <c r="N1955" s="217"/>
      <c r="O1955" s="217"/>
      <c r="P1955" s="217"/>
    </row>
    <row r="1956" spans="3:16" ht="42" customHeight="1">
      <c r="C1956" s="272">
        <v>1954</v>
      </c>
      <c r="D1956" s="275"/>
      <c r="E1956" s="276"/>
      <c r="F1956" s="221"/>
      <c r="G1956" s="275"/>
      <c r="H1956" s="276"/>
      <c r="I1956" s="217"/>
      <c r="J1956" s="217"/>
      <c r="K1956" s="221"/>
      <c r="L1956" s="217"/>
      <c r="M1956" s="217"/>
      <c r="N1956" s="217"/>
      <c r="O1956" s="217"/>
      <c r="P1956" s="217"/>
    </row>
    <row r="1957" spans="3:16" ht="42" customHeight="1">
      <c r="C1957" s="272">
        <v>1955</v>
      </c>
      <c r="D1957" s="275"/>
      <c r="E1957" s="276"/>
      <c r="F1957" s="221"/>
      <c r="G1957" s="275"/>
      <c r="H1957" s="276"/>
      <c r="I1957" s="217"/>
      <c r="J1957" s="217"/>
      <c r="K1957" s="221"/>
      <c r="L1957" s="217"/>
      <c r="M1957" s="217"/>
      <c r="N1957" s="217"/>
      <c r="O1957" s="217"/>
      <c r="P1957" s="217"/>
    </row>
    <row r="1958" spans="3:16" ht="42" customHeight="1">
      <c r="C1958" s="272">
        <v>1956</v>
      </c>
      <c r="D1958" s="275"/>
      <c r="E1958" s="276"/>
      <c r="F1958" s="221"/>
      <c r="G1958" s="275"/>
      <c r="H1958" s="276"/>
      <c r="I1958" s="217"/>
      <c r="J1958" s="217"/>
      <c r="K1958" s="221"/>
      <c r="L1958" s="217"/>
      <c r="M1958" s="217"/>
      <c r="N1958" s="217"/>
      <c r="O1958" s="217"/>
      <c r="P1958" s="217"/>
    </row>
    <row r="1959" spans="3:16" ht="42" customHeight="1">
      <c r="C1959" s="272">
        <v>1957</v>
      </c>
      <c r="D1959" s="275"/>
      <c r="E1959" s="276"/>
      <c r="F1959" s="221"/>
      <c r="G1959" s="275"/>
      <c r="H1959" s="276"/>
      <c r="I1959" s="217"/>
      <c r="J1959" s="217"/>
      <c r="K1959" s="221"/>
      <c r="L1959" s="217"/>
      <c r="M1959" s="217"/>
      <c r="N1959" s="217"/>
      <c r="O1959" s="217"/>
      <c r="P1959" s="217"/>
    </row>
    <row r="1960" spans="3:16" ht="42" customHeight="1">
      <c r="C1960" s="272">
        <v>1958</v>
      </c>
      <c r="D1960" s="275"/>
      <c r="E1960" s="276"/>
      <c r="F1960" s="221"/>
      <c r="G1960" s="275"/>
      <c r="H1960" s="276"/>
      <c r="I1960" s="217"/>
      <c r="J1960" s="217"/>
      <c r="K1960" s="221"/>
      <c r="L1960" s="217"/>
      <c r="M1960" s="217"/>
      <c r="N1960" s="217"/>
      <c r="O1960" s="217"/>
      <c r="P1960" s="217"/>
    </row>
    <row r="1961" spans="3:16" ht="42" customHeight="1">
      <c r="C1961" s="272">
        <v>1959</v>
      </c>
      <c r="D1961" s="275"/>
      <c r="E1961" s="276"/>
      <c r="F1961" s="221"/>
      <c r="G1961" s="275"/>
      <c r="H1961" s="276"/>
      <c r="I1961" s="217"/>
      <c r="J1961" s="217"/>
      <c r="K1961" s="221"/>
      <c r="L1961" s="217"/>
      <c r="M1961" s="217"/>
      <c r="N1961" s="217"/>
      <c r="O1961" s="217"/>
      <c r="P1961" s="217"/>
    </row>
    <row r="1962" spans="3:16" ht="42" customHeight="1">
      <c r="C1962" s="272">
        <v>1960</v>
      </c>
      <c r="D1962" s="275"/>
      <c r="E1962" s="276"/>
      <c r="F1962" s="221"/>
      <c r="G1962" s="275"/>
      <c r="H1962" s="276"/>
      <c r="I1962" s="217"/>
      <c r="J1962" s="217"/>
      <c r="K1962" s="221"/>
      <c r="L1962" s="217"/>
      <c r="M1962" s="217"/>
      <c r="N1962" s="217"/>
      <c r="O1962" s="217"/>
      <c r="P1962" s="217"/>
    </row>
    <row r="1963" spans="3:16" ht="42" customHeight="1">
      <c r="C1963" s="272">
        <v>1961</v>
      </c>
      <c r="D1963" s="275"/>
      <c r="E1963" s="276"/>
      <c r="F1963" s="221"/>
      <c r="G1963" s="275"/>
      <c r="H1963" s="276"/>
      <c r="I1963" s="217"/>
      <c r="J1963" s="217"/>
      <c r="K1963" s="221"/>
      <c r="L1963" s="217"/>
      <c r="M1963" s="217"/>
      <c r="N1963" s="217"/>
      <c r="O1963" s="217"/>
      <c r="P1963" s="217"/>
    </row>
    <row r="1964" spans="3:16" ht="42" customHeight="1">
      <c r="C1964" s="272">
        <v>1962</v>
      </c>
      <c r="D1964" s="275"/>
      <c r="E1964" s="276"/>
      <c r="F1964" s="221"/>
      <c r="G1964" s="275"/>
      <c r="H1964" s="276"/>
      <c r="I1964" s="217"/>
      <c r="J1964" s="217"/>
      <c r="K1964" s="221"/>
      <c r="L1964" s="217"/>
      <c r="M1964" s="217"/>
      <c r="N1964" s="217"/>
      <c r="O1964" s="217"/>
      <c r="P1964" s="217"/>
    </row>
    <row r="1965" spans="3:16" ht="42" customHeight="1">
      <c r="C1965" s="272">
        <v>1963</v>
      </c>
      <c r="D1965" s="275"/>
      <c r="E1965" s="276"/>
      <c r="F1965" s="221"/>
      <c r="G1965" s="275"/>
      <c r="H1965" s="276"/>
      <c r="I1965" s="217"/>
      <c r="J1965" s="217"/>
      <c r="K1965" s="221"/>
      <c r="L1965" s="217"/>
      <c r="M1965" s="217"/>
      <c r="N1965" s="217"/>
      <c r="O1965" s="217"/>
      <c r="P1965" s="217"/>
    </row>
    <row r="1966" spans="3:16" ht="42" customHeight="1">
      <c r="C1966" s="272">
        <v>1964</v>
      </c>
      <c r="D1966" s="275"/>
      <c r="E1966" s="276"/>
      <c r="F1966" s="221"/>
      <c r="G1966" s="275"/>
      <c r="H1966" s="276"/>
      <c r="I1966" s="217"/>
      <c r="J1966" s="217"/>
      <c r="K1966" s="221"/>
      <c r="L1966" s="217"/>
      <c r="M1966" s="217"/>
      <c r="N1966" s="217"/>
      <c r="O1966" s="217"/>
      <c r="P1966" s="217"/>
    </row>
    <row r="1967" spans="3:16" ht="42" customHeight="1">
      <c r="C1967" s="272">
        <v>1965</v>
      </c>
      <c r="D1967" s="275"/>
      <c r="E1967" s="276"/>
      <c r="F1967" s="221"/>
      <c r="G1967" s="275"/>
      <c r="H1967" s="276"/>
      <c r="I1967" s="217"/>
      <c r="J1967" s="217"/>
      <c r="K1967" s="221"/>
      <c r="L1967" s="217"/>
      <c r="M1967" s="217"/>
      <c r="N1967" s="217"/>
      <c r="O1967" s="217"/>
      <c r="P1967" s="217"/>
    </row>
    <row r="1968" spans="3:16" ht="42" customHeight="1">
      <c r="C1968" s="272">
        <v>1966</v>
      </c>
      <c r="D1968" s="275"/>
      <c r="E1968" s="276"/>
      <c r="F1968" s="221"/>
      <c r="G1968" s="275"/>
      <c r="H1968" s="276"/>
      <c r="I1968" s="217"/>
      <c r="J1968" s="217"/>
      <c r="K1968" s="221"/>
      <c r="L1968" s="217"/>
      <c r="M1968" s="217"/>
      <c r="N1968" s="217"/>
      <c r="O1968" s="217"/>
      <c r="P1968" s="217"/>
    </row>
    <row r="1969" spans="3:16" ht="42" customHeight="1">
      <c r="C1969" s="272">
        <v>1967</v>
      </c>
      <c r="D1969" s="275"/>
      <c r="E1969" s="276"/>
      <c r="F1969" s="221"/>
      <c r="G1969" s="275"/>
      <c r="H1969" s="276"/>
      <c r="I1969" s="217"/>
      <c r="J1969" s="217"/>
      <c r="K1969" s="221"/>
      <c r="L1969" s="217"/>
      <c r="M1969" s="217"/>
      <c r="N1969" s="217"/>
      <c r="O1969" s="217"/>
      <c r="P1969" s="217"/>
    </row>
    <row r="1970" spans="3:16" ht="42" customHeight="1">
      <c r="C1970" s="272">
        <v>1968</v>
      </c>
      <c r="D1970" s="275"/>
      <c r="E1970" s="276"/>
      <c r="F1970" s="221"/>
      <c r="G1970" s="275"/>
      <c r="H1970" s="276"/>
      <c r="I1970" s="217"/>
      <c r="J1970" s="217"/>
      <c r="K1970" s="221"/>
      <c r="L1970" s="217"/>
      <c r="M1970" s="217"/>
      <c r="N1970" s="217"/>
      <c r="O1970" s="217"/>
      <c r="P1970" s="217"/>
    </row>
    <row r="1971" spans="3:16" ht="42" customHeight="1">
      <c r="C1971" s="272">
        <v>1969</v>
      </c>
      <c r="D1971" s="275"/>
      <c r="E1971" s="276"/>
      <c r="F1971" s="221"/>
      <c r="G1971" s="275"/>
      <c r="H1971" s="276"/>
      <c r="I1971" s="217"/>
      <c r="J1971" s="217"/>
      <c r="K1971" s="221"/>
      <c r="L1971" s="217"/>
      <c r="M1971" s="217"/>
      <c r="N1971" s="217"/>
      <c r="O1971" s="217"/>
      <c r="P1971" s="217"/>
    </row>
    <row r="1972" spans="3:16" ht="42" customHeight="1">
      <c r="C1972" s="272">
        <v>1970</v>
      </c>
      <c r="D1972" s="275"/>
      <c r="E1972" s="276"/>
      <c r="F1972" s="221"/>
      <c r="G1972" s="275"/>
      <c r="H1972" s="276"/>
      <c r="I1972" s="217"/>
      <c r="J1972" s="217"/>
      <c r="K1972" s="221"/>
      <c r="L1972" s="217"/>
      <c r="M1972" s="217"/>
      <c r="N1972" s="217"/>
      <c r="O1972" s="217"/>
      <c r="P1972" s="217"/>
    </row>
    <row r="1973" spans="3:16" ht="42" customHeight="1">
      <c r="C1973" s="272">
        <v>1971</v>
      </c>
      <c r="D1973" s="275"/>
      <c r="E1973" s="276"/>
      <c r="F1973" s="221"/>
      <c r="G1973" s="275"/>
      <c r="H1973" s="276"/>
      <c r="I1973" s="217"/>
      <c r="J1973" s="217"/>
      <c r="K1973" s="221"/>
      <c r="L1973" s="217"/>
      <c r="M1973" s="217"/>
      <c r="N1973" s="217"/>
      <c r="O1973" s="217"/>
      <c r="P1973" s="217"/>
    </row>
    <row r="1974" spans="3:16" ht="42" customHeight="1">
      <c r="C1974" s="272">
        <v>1972</v>
      </c>
      <c r="D1974" s="275"/>
      <c r="E1974" s="276"/>
      <c r="F1974" s="221"/>
      <c r="G1974" s="275"/>
      <c r="H1974" s="276"/>
      <c r="I1974" s="217"/>
      <c r="J1974" s="217"/>
      <c r="K1974" s="221"/>
      <c r="L1974" s="217"/>
      <c r="M1974" s="217"/>
      <c r="N1974" s="217"/>
      <c r="O1974" s="217"/>
      <c r="P1974" s="217"/>
    </row>
    <row r="1975" spans="3:16" ht="42" customHeight="1">
      <c r="C1975" s="272">
        <v>1973</v>
      </c>
      <c r="D1975" s="275"/>
      <c r="E1975" s="276"/>
      <c r="F1975" s="221"/>
      <c r="G1975" s="275"/>
      <c r="H1975" s="276"/>
      <c r="I1975" s="217"/>
      <c r="J1975" s="217"/>
      <c r="K1975" s="221"/>
      <c r="L1975" s="217"/>
      <c r="M1975" s="217"/>
      <c r="N1975" s="217"/>
      <c r="O1975" s="217"/>
      <c r="P1975" s="217"/>
    </row>
    <row r="1976" spans="3:16" ht="42" customHeight="1">
      <c r="C1976" s="272">
        <v>1974</v>
      </c>
      <c r="D1976" s="275"/>
      <c r="E1976" s="276"/>
      <c r="F1976" s="221"/>
      <c r="G1976" s="275"/>
      <c r="H1976" s="276"/>
      <c r="I1976" s="217"/>
      <c r="J1976" s="217"/>
      <c r="K1976" s="221"/>
      <c r="L1976" s="217"/>
      <c r="M1976" s="217"/>
      <c r="N1976" s="217"/>
      <c r="O1976" s="217"/>
      <c r="P1976" s="217"/>
    </row>
    <row r="1977" spans="3:16" ht="42" customHeight="1">
      <c r="C1977" s="272">
        <v>1975</v>
      </c>
      <c r="D1977" s="275"/>
      <c r="E1977" s="276"/>
      <c r="F1977" s="221"/>
      <c r="G1977" s="275"/>
      <c r="H1977" s="276"/>
      <c r="I1977" s="217"/>
      <c r="J1977" s="217"/>
      <c r="K1977" s="221"/>
      <c r="L1977" s="217"/>
      <c r="M1977" s="217"/>
      <c r="N1977" s="217"/>
      <c r="O1977" s="217"/>
      <c r="P1977" s="217"/>
    </row>
    <row r="1978" spans="3:16" ht="42" customHeight="1">
      <c r="C1978" s="272">
        <v>1976</v>
      </c>
      <c r="D1978" s="275"/>
      <c r="E1978" s="276"/>
      <c r="F1978" s="221"/>
      <c r="G1978" s="275"/>
      <c r="H1978" s="276"/>
      <c r="I1978" s="217"/>
      <c r="J1978" s="217"/>
      <c r="K1978" s="221"/>
      <c r="L1978" s="217"/>
      <c r="M1978" s="217"/>
      <c r="N1978" s="217"/>
      <c r="O1978" s="217"/>
      <c r="P1978" s="217"/>
    </row>
    <row r="1979" spans="3:16" ht="42" customHeight="1">
      <c r="C1979" s="272">
        <v>1977</v>
      </c>
      <c r="D1979" s="275"/>
      <c r="E1979" s="276"/>
      <c r="F1979" s="221"/>
      <c r="G1979" s="275"/>
      <c r="H1979" s="276"/>
      <c r="I1979" s="217"/>
      <c r="J1979" s="217"/>
      <c r="K1979" s="221"/>
      <c r="L1979" s="217"/>
      <c r="M1979" s="217"/>
      <c r="N1979" s="217"/>
      <c r="O1979" s="217"/>
      <c r="P1979" s="217"/>
    </row>
    <row r="1980" spans="3:16" ht="42" customHeight="1">
      <c r="C1980" s="272">
        <v>1978</v>
      </c>
      <c r="D1980" s="275"/>
      <c r="E1980" s="276"/>
      <c r="F1980" s="221"/>
      <c r="G1980" s="275"/>
      <c r="H1980" s="276"/>
      <c r="I1980" s="217"/>
      <c r="J1980" s="217"/>
      <c r="K1980" s="221"/>
      <c r="L1980" s="217"/>
      <c r="M1980" s="217"/>
      <c r="N1980" s="217"/>
      <c r="O1980" s="217"/>
      <c r="P1980" s="217"/>
    </row>
    <row r="1981" spans="3:16" ht="42" customHeight="1">
      <c r="C1981" s="272">
        <v>1979</v>
      </c>
      <c r="D1981" s="275"/>
      <c r="E1981" s="276"/>
      <c r="F1981" s="221"/>
      <c r="G1981" s="275"/>
      <c r="H1981" s="276"/>
      <c r="I1981" s="217"/>
      <c r="J1981" s="217"/>
      <c r="K1981" s="221"/>
      <c r="L1981" s="217"/>
      <c r="M1981" s="217"/>
      <c r="N1981" s="217"/>
      <c r="O1981" s="217"/>
      <c r="P1981" s="217"/>
    </row>
    <row r="1982" spans="3:16" ht="42" customHeight="1">
      <c r="C1982" s="272">
        <v>1980</v>
      </c>
      <c r="D1982" s="275"/>
      <c r="E1982" s="276"/>
      <c r="F1982" s="221"/>
      <c r="G1982" s="275"/>
      <c r="H1982" s="276"/>
      <c r="I1982" s="217"/>
      <c r="J1982" s="217"/>
      <c r="K1982" s="221"/>
      <c r="L1982" s="217"/>
      <c r="M1982" s="217"/>
      <c r="N1982" s="217"/>
      <c r="O1982" s="217"/>
      <c r="P1982" s="217"/>
    </row>
    <row r="1983" spans="3:16" ht="42" customHeight="1">
      <c r="C1983" s="272">
        <v>1981</v>
      </c>
      <c r="D1983" s="275"/>
      <c r="E1983" s="276"/>
      <c r="F1983" s="221"/>
      <c r="G1983" s="275"/>
      <c r="H1983" s="276"/>
      <c r="I1983" s="217"/>
      <c r="J1983" s="217"/>
      <c r="K1983" s="221"/>
      <c r="L1983" s="217"/>
      <c r="M1983" s="217"/>
      <c r="N1983" s="217"/>
      <c r="O1983" s="217"/>
      <c r="P1983" s="217"/>
    </row>
    <row r="1984" spans="3:16" ht="42" customHeight="1">
      <c r="C1984" s="272">
        <v>1982</v>
      </c>
      <c r="D1984" s="275"/>
      <c r="E1984" s="276"/>
      <c r="F1984" s="221"/>
      <c r="G1984" s="275"/>
      <c r="H1984" s="276"/>
      <c r="I1984" s="217"/>
      <c r="J1984" s="217"/>
      <c r="K1984" s="221"/>
      <c r="L1984" s="217"/>
      <c r="M1984" s="217"/>
      <c r="N1984" s="217"/>
      <c r="O1984" s="217"/>
      <c r="P1984" s="217"/>
    </row>
    <row r="1985" spans="3:16" ht="42" customHeight="1">
      <c r="C1985" s="272">
        <v>1983</v>
      </c>
      <c r="D1985" s="275"/>
      <c r="E1985" s="276"/>
      <c r="F1985" s="221"/>
      <c r="G1985" s="275"/>
      <c r="H1985" s="276"/>
      <c r="I1985" s="217"/>
      <c r="J1985" s="217"/>
      <c r="K1985" s="221"/>
      <c r="L1985" s="217"/>
      <c r="M1985" s="217"/>
      <c r="N1985" s="217"/>
      <c r="O1985" s="217"/>
      <c r="P1985" s="217"/>
    </row>
    <row r="1986" spans="3:16" ht="42" customHeight="1">
      <c r="C1986" s="272">
        <v>1984</v>
      </c>
      <c r="D1986" s="275"/>
      <c r="E1986" s="276"/>
      <c r="F1986" s="221"/>
      <c r="G1986" s="275"/>
      <c r="H1986" s="276"/>
      <c r="I1986" s="217"/>
      <c r="J1986" s="217"/>
      <c r="K1986" s="221"/>
      <c r="L1986" s="217"/>
      <c r="M1986" s="217"/>
      <c r="N1986" s="217"/>
      <c r="O1986" s="217"/>
      <c r="P1986" s="217"/>
    </row>
    <row r="1987" spans="3:16" ht="42" customHeight="1">
      <c r="C1987" s="272">
        <v>1985</v>
      </c>
      <c r="D1987" s="275"/>
      <c r="E1987" s="276"/>
      <c r="F1987" s="221"/>
      <c r="G1987" s="275"/>
      <c r="H1987" s="276"/>
      <c r="I1987" s="217"/>
      <c r="J1987" s="217"/>
      <c r="K1987" s="221"/>
      <c r="L1987" s="217"/>
      <c r="M1987" s="217"/>
      <c r="N1987" s="217"/>
      <c r="O1987" s="217"/>
      <c r="P1987" s="217"/>
    </row>
    <row r="1988" spans="3:16" ht="42" customHeight="1">
      <c r="C1988" s="272">
        <v>1986</v>
      </c>
      <c r="D1988" s="275"/>
      <c r="E1988" s="276"/>
      <c r="F1988" s="221"/>
      <c r="G1988" s="275"/>
      <c r="H1988" s="276"/>
      <c r="I1988" s="217"/>
      <c r="J1988" s="217"/>
      <c r="K1988" s="221"/>
      <c r="L1988" s="217"/>
      <c r="M1988" s="217"/>
      <c r="N1988" s="217"/>
      <c r="O1988" s="217"/>
      <c r="P1988" s="217"/>
    </row>
    <row r="1989" spans="3:16" ht="42" customHeight="1">
      <c r="C1989" s="272">
        <v>1987</v>
      </c>
      <c r="D1989" s="275"/>
      <c r="E1989" s="276"/>
      <c r="F1989" s="221"/>
      <c r="G1989" s="275"/>
      <c r="H1989" s="276"/>
      <c r="I1989" s="217"/>
      <c r="J1989" s="217"/>
      <c r="K1989" s="221"/>
      <c r="L1989" s="217"/>
      <c r="M1989" s="217"/>
      <c r="N1989" s="217"/>
      <c r="O1989" s="217"/>
      <c r="P1989" s="217"/>
    </row>
    <row r="1990" spans="3:16" ht="42" customHeight="1">
      <c r="C1990" s="272">
        <v>1988</v>
      </c>
      <c r="D1990" s="275"/>
      <c r="E1990" s="276"/>
      <c r="F1990" s="221"/>
      <c r="G1990" s="275"/>
      <c r="H1990" s="276"/>
      <c r="I1990" s="217"/>
      <c r="J1990" s="217"/>
      <c r="K1990" s="221"/>
      <c r="L1990" s="217"/>
      <c r="M1990" s="217"/>
      <c r="N1990" s="217"/>
      <c r="O1990" s="217"/>
      <c r="P1990" s="217"/>
    </row>
    <row r="1991" spans="3:16" ht="42" customHeight="1">
      <c r="C1991" s="272">
        <v>1989</v>
      </c>
      <c r="D1991" s="275"/>
      <c r="E1991" s="276"/>
      <c r="F1991" s="221"/>
      <c r="G1991" s="275"/>
      <c r="H1991" s="276"/>
      <c r="I1991" s="217"/>
      <c r="J1991" s="217"/>
      <c r="K1991" s="221"/>
      <c r="L1991" s="217"/>
      <c r="M1991" s="217"/>
      <c r="N1991" s="217"/>
      <c r="O1991" s="217"/>
      <c r="P1991" s="217"/>
    </row>
    <row r="1992" spans="3:16" ht="42" customHeight="1">
      <c r="C1992" s="272">
        <v>1990</v>
      </c>
      <c r="D1992" s="275"/>
      <c r="E1992" s="276"/>
      <c r="F1992" s="221"/>
      <c r="G1992" s="275"/>
      <c r="H1992" s="276"/>
      <c r="I1992" s="217"/>
      <c r="J1992" s="217"/>
      <c r="K1992" s="221"/>
      <c r="L1992" s="217"/>
      <c r="M1992" s="217"/>
      <c r="N1992" s="217"/>
      <c r="O1992" s="217"/>
      <c r="P1992" s="217"/>
    </row>
    <row r="1993" spans="3:16" ht="42" customHeight="1">
      <c r="C1993" s="272">
        <v>1991</v>
      </c>
      <c r="D1993" s="275"/>
      <c r="E1993" s="276"/>
      <c r="F1993" s="221"/>
      <c r="G1993" s="275"/>
      <c r="H1993" s="276"/>
      <c r="I1993" s="217"/>
      <c r="J1993" s="217"/>
      <c r="K1993" s="221"/>
      <c r="L1993" s="217"/>
      <c r="M1993" s="217"/>
      <c r="N1993" s="217"/>
      <c r="O1993" s="217"/>
      <c r="P1993" s="217"/>
    </row>
    <row r="1994" spans="3:16" ht="42" customHeight="1">
      <c r="C1994" s="272">
        <v>1992</v>
      </c>
      <c r="D1994" s="275"/>
      <c r="E1994" s="276"/>
      <c r="F1994" s="221"/>
      <c r="G1994" s="275"/>
      <c r="H1994" s="276"/>
      <c r="I1994" s="217"/>
      <c r="J1994" s="217"/>
      <c r="K1994" s="221"/>
      <c r="L1994" s="217"/>
      <c r="M1994" s="217"/>
      <c r="N1994" s="217"/>
      <c r="O1994" s="217"/>
      <c r="P1994" s="217"/>
    </row>
    <row r="1995" spans="3:16" ht="42" customHeight="1">
      <c r="C1995" s="272">
        <v>1993</v>
      </c>
      <c r="D1995" s="275"/>
      <c r="E1995" s="276"/>
      <c r="F1995" s="221"/>
      <c r="G1995" s="275"/>
      <c r="H1995" s="276"/>
      <c r="I1995" s="217"/>
      <c r="J1995" s="217"/>
      <c r="K1995" s="221"/>
      <c r="L1995" s="217"/>
      <c r="M1995" s="217"/>
      <c r="N1995" s="217"/>
      <c r="O1995" s="217"/>
      <c r="P1995" s="217"/>
    </row>
    <row r="1996" spans="3:16" ht="42" customHeight="1">
      <c r="C1996" s="272">
        <v>1994</v>
      </c>
      <c r="D1996" s="275"/>
      <c r="E1996" s="276"/>
      <c r="F1996" s="221"/>
      <c r="G1996" s="275"/>
      <c r="H1996" s="276"/>
      <c r="I1996" s="217"/>
      <c r="J1996" s="217"/>
      <c r="K1996" s="221"/>
      <c r="L1996" s="217"/>
      <c r="M1996" s="217"/>
      <c r="N1996" s="217"/>
      <c r="O1996" s="217"/>
      <c r="P1996" s="217"/>
    </row>
    <row r="1997" spans="3:16" ht="42" customHeight="1">
      <c r="C1997" s="272">
        <v>1995</v>
      </c>
      <c r="D1997" s="275"/>
      <c r="E1997" s="276"/>
      <c r="F1997" s="221"/>
      <c r="G1997" s="275"/>
      <c r="H1997" s="276"/>
      <c r="I1997" s="217"/>
      <c r="J1997" s="217"/>
      <c r="K1997" s="221"/>
      <c r="L1997" s="217"/>
      <c r="M1997" s="217"/>
      <c r="N1997" s="217"/>
      <c r="O1997" s="217"/>
      <c r="P1997" s="217"/>
    </row>
    <row r="1998" spans="3:16" ht="42" customHeight="1">
      <c r="C1998" s="272">
        <v>1996</v>
      </c>
      <c r="D1998" s="275"/>
      <c r="E1998" s="276"/>
      <c r="F1998" s="221"/>
      <c r="G1998" s="275"/>
      <c r="H1998" s="276"/>
      <c r="I1998" s="217"/>
      <c r="J1998" s="217"/>
      <c r="K1998" s="221"/>
      <c r="L1998" s="217"/>
      <c r="M1998" s="217"/>
      <c r="N1998" s="217"/>
      <c r="O1998" s="217"/>
      <c r="P1998" s="217"/>
    </row>
    <row r="1999" spans="3:16" ht="42" customHeight="1">
      <c r="C1999" s="272">
        <v>1997</v>
      </c>
      <c r="D1999" s="275"/>
      <c r="E1999" s="276"/>
      <c r="F1999" s="221"/>
      <c r="G1999" s="275"/>
      <c r="H1999" s="276"/>
      <c r="I1999" s="217"/>
      <c r="J1999" s="217"/>
      <c r="K1999" s="221"/>
      <c r="L1999" s="217"/>
      <c r="M1999" s="217"/>
      <c r="N1999" s="217"/>
      <c r="O1999" s="217"/>
      <c r="P1999" s="217"/>
    </row>
    <row r="2000" spans="3:16" ht="42" customHeight="1">
      <c r="C2000" s="272">
        <v>1998</v>
      </c>
      <c r="D2000" s="275"/>
      <c r="E2000" s="276"/>
      <c r="F2000" s="221"/>
      <c r="G2000" s="275"/>
      <c r="H2000" s="276"/>
      <c r="I2000" s="217"/>
      <c r="J2000" s="217"/>
      <c r="K2000" s="221"/>
      <c r="L2000" s="217"/>
      <c r="M2000" s="217"/>
      <c r="N2000" s="217"/>
      <c r="O2000" s="217"/>
      <c r="P2000" s="217"/>
    </row>
    <row r="2001" spans="3:16" ht="42" customHeight="1">
      <c r="C2001" s="272">
        <v>1999</v>
      </c>
      <c r="D2001" s="275"/>
      <c r="E2001" s="276"/>
      <c r="F2001" s="221"/>
      <c r="G2001" s="275"/>
      <c r="H2001" s="276"/>
      <c r="I2001" s="217"/>
      <c r="J2001" s="217"/>
      <c r="K2001" s="221"/>
      <c r="L2001" s="217"/>
      <c r="M2001" s="217"/>
      <c r="N2001" s="217"/>
      <c r="O2001" s="217"/>
      <c r="P2001" s="217"/>
    </row>
    <row r="2002" spans="3:16" ht="42" customHeight="1">
      <c r="C2002" s="272">
        <v>2000</v>
      </c>
      <c r="D2002" s="275"/>
      <c r="E2002" s="276"/>
      <c r="F2002" s="221"/>
      <c r="G2002" s="275"/>
      <c r="H2002" s="276"/>
      <c r="I2002" s="217"/>
      <c r="J2002" s="217"/>
      <c r="K2002" s="221"/>
      <c r="L2002" s="217"/>
      <c r="M2002" s="217"/>
      <c r="N2002" s="217"/>
      <c r="O2002" s="217"/>
      <c r="P2002" s="217"/>
    </row>
    <row r="2003" spans="3:16">
      <c r="C2003" s="218"/>
      <c r="D2003" s="277"/>
      <c r="E2003" s="278"/>
      <c r="F2003" s="222"/>
      <c r="G2003" s="277"/>
      <c r="H2003" s="277"/>
      <c r="I2003" s="218"/>
      <c r="J2003" s="218"/>
      <c r="K2003" s="222"/>
      <c r="L2003" s="218"/>
      <c r="M2003" s="218"/>
      <c r="N2003" s="218"/>
      <c r="O2003" s="218"/>
      <c r="P2003" s="218"/>
    </row>
  </sheetData>
  <mergeCells count="7">
    <mergeCell ref="C1:P1"/>
    <mergeCell ref="C2:C3"/>
    <mergeCell ref="M2:N2"/>
    <mergeCell ref="O2:P2"/>
    <mergeCell ref="D2:D3"/>
    <mergeCell ref="E2:E3"/>
    <mergeCell ref="F2:L2"/>
  </mergeCells>
  <pageMargins left="0.5" right="0.2" top="0.7" bottom="0.5" header="0.3" footer="0.3"/>
  <pageSetup paperSize="8" scale="93" fitToHeight="0" orientation="landscape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F0"/>
  </sheetPr>
  <dimension ref="A1:H18"/>
  <sheetViews>
    <sheetView showGridLines="0" workbookViewId="0">
      <selection activeCell="F3" sqref="F3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300" t="s">
        <v>110</v>
      </c>
      <c r="B1" s="301"/>
      <c r="C1" s="301"/>
      <c r="D1" s="301"/>
      <c r="E1" s="301"/>
      <c r="F1" s="301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118">
        <f>COUNTA(BK_CV_Di!D5:D2002)+1</f>
        <v>36</v>
      </c>
      <c r="C3" s="17" t="s">
        <v>18</v>
      </c>
      <c r="D3" s="118" t="str">
        <f>IF($B$5="","","O-"&amp;VLOOKUP($B$5,Setting!$B$3:$C$47,2,0)&amp;"-"&amp;TEXT(COUNTIF(BK_CV_Di!$F$5:$F$2002,$B$5)+1,"00#"))</f>
        <v/>
      </c>
      <c r="E3" s="107" t="s">
        <v>111</v>
      </c>
      <c r="F3" s="52"/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/>
      <c r="C5" s="107" t="s">
        <v>114</v>
      </c>
      <c r="D5" s="55"/>
      <c r="E5" s="107" t="s">
        <v>112</v>
      </c>
      <c r="F5" s="53"/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5">
      <c r="A7" s="18" t="s">
        <v>45</v>
      </c>
      <c r="B7" s="302"/>
      <c r="C7" s="303"/>
      <c r="D7" s="303"/>
      <c r="E7" s="303"/>
      <c r="F7" s="304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305"/>
      <c r="C9" s="306"/>
      <c r="D9" s="307"/>
      <c r="E9" s="107" t="s">
        <v>117</v>
      </c>
      <c r="F9" s="55"/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305"/>
      <c r="C11" s="306"/>
      <c r="D11" s="307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308" t="s">
        <v>79</v>
      </c>
      <c r="B13" s="80" t="s">
        <v>108</v>
      </c>
      <c r="C13" s="94"/>
      <c r="D13" s="82" t="s">
        <v>82</v>
      </c>
      <c r="E13" s="309"/>
      <c r="F13" s="310"/>
      <c r="G13" s="23"/>
      <c r="H13" s="33"/>
    </row>
    <row r="14" spans="1:8" ht="22.5" customHeight="1">
      <c r="A14" s="308"/>
      <c r="B14" s="81" t="s">
        <v>109</v>
      </c>
      <c r="C14" s="95"/>
      <c r="D14" s="83" t="s">
        <v>82</v>
      </c>
      <c r="E14" s="311"/>
      <c r="F14" s="312"/>
      <c r="G14" s="23"/>
      <c r="H14" s="33"/>
    </row>
    <row r="15" spans="1:8">
      <c r="A15" s="26"/>
      <c r="B15" s="27"/>
      <c r="C15" s="27"/>
      <c r="D15" s="27"/>
      <c r="E15" s="27"/>
      <c r="F15" s="27"/>
      <c r="G15" s="23"/>
      <c r="H15" s="33"/>
    </row>
    <row r="16" spans="1:8">
      <c r="A16" s="28"/>
      <c r="B16" s="27"/>
      <c r="C16" s="27"/>
      <c r="D16" s="27"/>
      <c r="E16" s="27"/>
      <c r="F16" s="27"/>
      <c r="G16" s="23"/>
      <c r="H16" s="33"/>
    </row>
    <row r="17" spans="1:8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 selectLockedCells="1"/>
  <mergeCells count="7">
    <mergeCell ref="A1:F1"/>
    <mergeCell ref="B7:F7"/>
    <mergeCell ref="B9:D9"/>
    <mergeCell ref="A13:A14"/>
    <mergeCell ref="E13:F13"/>
    <mergeCell ref="E14:F14"/>
    <mergeCell ref="B11:D11"/>
  </mergeCells>
  <dataValidations count="3">
    <dataValidation allowBlank="1" showInputMessage="1" showErrorMessage="1" sqref="C10 B10 F10"/>
    <dataValidation type="date" operator="greaterThanOrEqual" allowBlank="1" showInputMessage="1" showErrorMessage="1" errorTitle="Lỗi nhập dữ liệu" error="Chỉ nhập dữ liệu ngày tháng" sqref="F5 F3">
      <formula1>1</formula1>
    </dataValidation>
    <dataValidation type="list" allowBlank="1" showInputMessage="1" showErrorMessage="1" sqref="B9:C9">
      <formula1>OFFSET($F$3,0,0,COUNTA($F$3:$F$33))</formula1>
    </dataValidation>
  </dataValidations>
  <pageMargins left="0.70866141732283472" right="0.70866141732283472" top="0.74803149606299213" bottom="0.74803149606299213" header="0.31496062992125984" footer="0.31496062992125984"/>
  <pageSetup paperSize="2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D9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F0"/>
  </sheetPr>
  <dimension ref="A1:H18"/>
  <sheetViews>
    <sheetView showGridLines="0" workbookViewId="0">
      <selection activeCell="B9" sqref="B9:D9"/>
    </sheetView>
  </sheetViews>
  <sheetFormatPr defaultRowHeight="15.75"/>
  <cols>
    <col min="1" max="1" width="15.75" customWidth="1"/>
    <col min="2" max="2" width="17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4" customHeight="1">
      <c r="A1" s="300" t="s">
        <v>118</v>
      </c>
      <c r="B1" s="301"/>
      <c r="C1" s="301"/>
      <c r="D1" s="301"/>
      <c r="E1" s="301"/>
      <c r="F1" s="301"/>
      <c r="G1" s="313"/>
      <c r="H1" s="32"/>
    </row>
    <row r="2" spans="1:8" ht="18.75">
      <c r="A2" s="105"/>
      <c r="B2" s="106"/>
      <c r="C2" s="106"/>
      <c r="D2" s="106"/>
      <c r="E2" s="106"/>
      <c r="F2" s="106"/>
      <c r="G2" s="22"/>
      <c r="H2" s="32"/>
    </row>
    <row r="3" spans="1:8" ht="22.5" customHeight="1">
      <c r="A3" s="17" t="s">
        <v>47</v>
      </c>
      <c r="B3" s="109">
        <v>1</v>
      </c>
      <c r="C3" s="17" t="s">
        <v>18</v>
      </c>
      <c r="D3" s="108" t="s">
        <v>123</v>
      </c>
      <c r="E3" s="107" t="s">
        <v>111</v>
      </c>
      <c r="F3" s="52">
        <v>44197</v>
      </c>
      <c r="G3" s="23"/>
      <c r="H3" s="33"/>
    </row>
    <row r="4" spans="1:8" ht="9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113</v>
      </c>
      <c r="B5" s="35" t="s">
        <v>5</v>
      </c>
      <c r="C5" s="107" t="s">
        <v>114</v>
      </c>
      <c r="D5" s="53" t="s">
        <v>165</v>
      </c>
      <c r="E5" s="107" t="s">
        <v>112</v>
      </c>
      <c r="F5" s="53">
        <v>44197</v>
      </c>
      <c r="G5" s="23"/>
      <c r="H5" s="33"/>
    </row>
    <row r="6" spans="1:8" ht="9" customHeight="1">
      <c r="A6" s="24"/>
      <c r="B6" s="12"/>
      <c r="C6" s="16"/>
      <c r="D6" s="12"/>
      <c r="E6" s="16"/>
      <c r="F6" s="12"/>
      <c r="G6" s="23"/>
      <c r="H6" s="33"/>
    </row>
    <row r="7" spans="1:8" ht="31.15" customHeight="1">
      <c r="A7" s="18" t="s">
        <v>45</v>
      </c>
      <c r="B7" s="314" t="s">
        <v>166</v>
      </c>
      <c r="C7" s="315"/>
      <c r="D7" s="315"/>
      <c r="E7" s="315"/>
      <c r="F7" s="316"/>
      <c r="G7" s="23"/>
      <c r="H7" s="33"/>
    </row>
    <row r="8" spans="1:8" ht="9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07" t="s">
        <v>115</v>
      </c>
      <c r="B9" s="317">
        <v>44197</v>
      </c>
      <c r="C9" s="318"/>
      <c r="D9" s="319"/>
      <c r="E9" s="107" t="s">
        <v>117</v>
      </c>
      <c r="F9" s="35" t="s">
        <v>161</v>
      </c>
      <c r="G9" s="23"/>
      <c r="H9" s="33"/>
    </row>
    <row r="10" spans="1:8" ht="9" customHeight="1">
      <c r="A10" s="24"/>
      <c r="B10" s="102"/>
      <c r="C10" s="102"/>
      <c r="D10" s="102"/>
      <c r="E10" s="103"/>
      <c r="F10" s="102"/>
      <c r="G10" s="23"/>
      <c r="H10" s="33"/>
    </row>
    <row r="11" spans="1:8" ht="22.5" customHeight="1">
      <c r="A11" s="24" t="s">
        <v>116</v>
      </c>
      <c r="B11" s="317" t="s">
        <v>167</v>
      </c>
      <c r="C11" s="318"/>
      <c r="D11" s="319"/>
      <c r="E11" s="103"/>
      <c r="F11" s="102"/>
      <c r="G11" s="23"/>
      <c r="H11" s="33"/>
    </row>
    <row r="12" spans="1:8" ht="9" customHeight="1">
      <c r="A12" s="26"/>
      <c r="B12" s="27"/>
      <c r="C12" s="27"/>
      <c r="D12" s="27"/>
      <c r="E12" s="27"/>
      <c r="F12" s="27"/>
      <c r="G12" s="23"/>
      <c r="H12" s="33"/>
    </row>
    <row r="13" spans="1:8" ht="22.5" customHeight="1">
      <c r="A13" s="308" t="s">
        <v>79</v>
      </c>
      <c r="B13" s="80" t="s">
        <v>108</v>
      </c>
      <c r="C13" s="94">
        <v>1</v>
      </c>
      <c r="D13" s="82" t="s">
        <v>82</v>
      </c>
      <c r="E13" s="309" t="s">
        <v>90</v>
      </c>
      <c r="F13" s="310"/>
      <c r="G13" s="23"/>
      <c r="H13" s="33"/>
    </row>
    <row r="14" spans="1:8" ht="22.5" customHeight="1">
      <c r="A14" s="308"/>
      <c r="B14" s="81" t="s">
        <v>109</v>
      </c>
      <c r="C14" s="95">
        <v>1</v>
      </c>
      <c r="D14" s="83" t="s">
        <v>82</v>
      </c>
      <c r="E14" s="311" t="s">
        <v>127</v>
      </c>
      <c r="F14" s="312"/>
      <c r="G14" s="23"/>
      <c r="H14" s="33"/>
    </row>
    <row r="15" spans="1:8" ht="9" customHeight="1">
      <c r="A15" s="26"/>
      <c r="B15" s="27"/>
      <c r="C15" s="27"/>
      <c r="D15" s="27"/>
      <c r="E15" s="27"/>
      <c r="F15" s="27"/>
      <c r="G15" s="23"/>
      <c r="H15" s="33"/>
    </row>
    <row r="16" spans="1:8" ht="18" customHeight="1">
      <c r="A16" s="28"/>
      <c r="B16" s="27"/>
      <c r="C16" s="27"/>
      <c r="D16" s="27"/>
      <c r="E16" s="27"/>
      <c r="F16" s="27"/>
      <c r="G16" s="23"/>
      <c r="H16" s="33"/>
    </row>
    <row r="17" spans="1:8" ht="18" customHeight="1">
      <c r="A17" s="29"/>
      <c r="B17" s="30"/>
      <c r="C17" s="30"/>
      <c r="D17" s="30"/>
      <c r="E17" s="30"/>
      <c r="F17" s="30"/>
      <c r="G17" s="31"/>
      <c r="H17" s="33"/>
    </row>
    <row r="18" spans="1:8">
      <c r="A18" s="33"/>
      <c r="B18" s="33"/>
      <c r="C18" s="33"/>
      <c r="D18" s="33"/>
      <c r="E18" s="33"/>
      <c r="F18" s="33"/>
      <c r="G18" s="33"/>
      <c r="H18" s="33"/>
    </row>
  </sheetData>
  <sheetProtection sheet="1" objects="1" scenarios="1"/>
  <mergeCells count="7">
    <mergeCell ref="A1:G1"/>
    <mergeCell ref="B7:F7"/>
    <mergeCell ref="B9:D9"/>
    <mergeCell ref="B11:D11"/>
    <mergeCell ref="A13:A14"/>
    <mergeCell ref="E13:F13"/>
    <mergeCell ref="E14:F14"/>
  </mergeCells>
  <dataValidations count="1">
    <dataValidation allowBlank="1" showInputMessage="1" showErrorMessage="1" sqref="B10:C10 F10"/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Setting!$B$3:$B$16</xm:f>
          </x14:formula1>
          <xm:sqref>B5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B11:D11</xm:sqref>
        </x14:dataValidation>
        <x14:dataValidation type="list" allowBlank="1" showInputMessage="1" showErrorMessage="1">
          <x14:formula1>
            <xm:f>OFFSET(Setting!$I$3,0,0,COUNTA(Setting!$I$3:$I$47))</xm:f>
          </x14:formula1>
          <xm:sqref>E13:F14</xm:sqref>
        </x14:dataValidation>
        <x14:dataValidation type="list" allowBlank="1" showInputMessage="1" showErrorMessage="1">
          <x14:formula1>
            <xm:f>OFFSET(Setting!$E$3,0,0,COUNTA(Setting!$E$3:$E$47))</xm:f>
          </x14:formula1>
          <xm:sqref>F9</xm:sqref>
        </x14:dataValidation>
        <x14:dataValidation type="list" allowBlank="1" showInputMessage="1" showErrorMessage="1">
          <x14:formula1>
            <xm:f>OFFSET(Setting!$F$3,0,0,COUNTA(Setting!$F$3:$F$47))</xm:f>
          </x14:formula1>
          <xm:sqref>B9:D9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filterMode="1">
    <tabColor rgb="FF00B0F0"/>
  </sheetPr>
  <dimension ref="A1:F35"/>
  <sheetViews>
    <sheetView showGridLines="0" workbookViewId="0">
      <selection activeCell="J9" sqref="J9"/>
    </sheetView>
  </sheetViews>
  <sheetFormatPr defaultRowHeight="15.75"/>
  <cols>
    <col min="2" max="2" width="10.625" customWidth="1"/>
    <col min="3" max="3" width="8.25" customWidth="1"/>
    <col min="4" max="4" width="21.25" customWidth="1"/>
    <col min="5" max="5" width="14.625" customWidth="1"/>
    <col min="6" max="6" width="8.75" hidden="1" customWidth="1"/>
  </cols>
  <sheetData>
    <row r="1" spans="1:6" ht="24" customHeight="1">
      <c r="C1" s="320" t="s">
        <v>121</v>
      </c>
      <c r="D1" s="320"/>
      <c r="E1" s="320"/>
    </row>
    <row r="2" spans="1:6">
      <c r="A2" s="2" t="s">
        <v>39</v>
      </c>
      <c r="B2" s="119">
        <v>43466</v>
      </c>
      <c r="C2" s="321" t="str">
        <f>A2&amp;TEXT(B2,"dd/mm/yyyy")&amp;"  -  "&amp;A3&amp;TEXT(B3,"dd/mm/yyyy")</f>
        <v>Từ ngày 01/01/2019  -  Đến ngày 31/05/2021</v>
      </c>
      <c r="D2" s="321"/>
      <c r="E2" s="321"/>
    </row>
    <row r="3" spans="1:6">
      <c r="A3" s="2" t="s">
        <v>38</v>
      </c>
      <c r="B3" s="120">
        <v>44347</v>
      </c>
      <c r="C3" s="5" t="s">
        <v>0</v>
      </c>
      <c r="D3" s="5" t="s">
        <v>17</v>
      </c>
      <c r="E3" s="5" t="s">
        <v>40</v>
      </c>
      <c r="F3" s="101" t="s">
        <v>34</v>
      </c>
    </row>
    <row r="4" spans="1:6">
      <c r="C4" s="77">
        <v>1</v>
      </c>
      <c r="D4" s="8" t="str">
        <f>Setting!B3</f>
        <v>Công văn</v>
      </c>
      <c r="E4" s="9">
        <f>COUNTIFS(BK_CV_Di!$F$5:$F$2002,$D4,BK_CV_Di!$H$5:$H$2002,"&gt;="&amp;$B$2,BK_CV_Di!$H$5:$H$2002,"&lt;="&amp;$B$3)</f>
        <v>0</v>
      </c>
      <c r="F4" t="str">
        <f>IF(D4=0,"","x")</f>
        <v>x</v>
      </c>
    </row>
    <row r="5" spans="1:6">
      <c r="C5" s="77">
        <v>2</v>
      </c>
      <c r="D5" s="8" t="str">
        <f>Setting!B4</f>
        <v>Quyết định</v>
      </c>
      <c r="E5" s="9">
        <f>COUNTIFS(BK_CV_Di!$F$5:$F$2002,$D5,BK_CV_Di!$H$5:$H$2002,"&gt;="&amp;$B$2,BK_CV_Di!$H$5:$H$2002,"&lt;="&amp;$B$3)</f>
        <v>0</v>
      </c>
      <c r="F5" t="str">
        <f t="shared" ref="F5:F33" si="0">IF(D5=0,"","x")</f>
        <v>x</v>
      </c>
    </row>
    <row r="6" spans="1:6">
      <c r="C6" s="77">
        <v>3</v>
      </c>
      <c r="D6" s="8" t="str">
        <f>Setting!B5</f>
        <v>Tờ trình</v>
      </c>
      <c r="E6" s="9">
        <f>COUNTIFS(BK_CV_Di!$F$5:$F$2002,$D6,BK_CV_Di!$H$5:$H$2002,"&gt;="&amp;$B$2,BK_CV_Di!$H$5:$H$2002,"&lt;="&amp;$B$3)</f>
        <v>0</v>
      </c>
      <c r="F6" t="str">
        <f t="shared" si="0"/>
        <v>x</v>
      </c>
    </row>
    <row r="7" spans="1:6">
      <c r="C7" s="77">
        <v>4</v>
      </c>
      <c r="D7" s="8" t="str">
        <f>Setting!B6</f>
        <v>Nghị quyết</v>
      </c>
      <c r="E7" s="9">
        <f>COUNTIFS(BK_CV_Di!$F$5:$F$2002,$D7,BK_CV_Di!$H$5:$H$2002,"&gt;="&amp;$B$2,BK_CV_Di!$H$5:$H$2002,"&lt;="&amp;$B$3)</f>
        <v>0</v>
      </c>
      <c r="F7" t="str">
        <f t="shared" si="0"/>
        <v>x</v>
      </c>
    </row>
    <row r="8" spans="1:6">
      <c r="C8" s="77">
        <v>5</v>
      </c>
      <c r="D8" s="8" t="str">
        <f>Setting!B7</f>
        <v>Thông báo</v>
      </c>
      <c r="E8" s="9">
        <f>COUNTIFS(BK_CV_Di!$F$5:$F$2002,$D8,BK_CV_Di!$H$5:$H$2002,"&gt;="&amp;$B$2,BK_CV_Di!$H$5:$H$2002,"&lt;="&amp;$B$3)</f>
        <v>0</v>
      </c>
      <c r="F8" t="str">
        <f t="shared" si="0"/>
        <v>x</v>
      </c>
    </row>
    <row r="9" spans="1:6">
      <c r="C9" s="77">
        <v>6</v>
      </c>
      <c r="D9" s="8" t="str">
        <f>Setting!B8</f>
        <v>Báo cáo</v>
      </c>
      <c r="E9" s="9">
        <f>COUNTIFS(BK_CV_Di!$F$5:$F$2002,$D9,BK_CV_Di!$H$5:$H$2002,"&gt;="&amp;$B$2,BK_CV_Di!$H$5:$H$2002,"&lt;="&amp;$B$3)</f>
        <v>0</v>
      </c>
      <c r="F9" t="str">
        <f t="shared" si="0"/>
        <v>x</v>
      </c>
    </row>
    <row r="10" spans="1:6">
      <c r="C10" s="77">
        <v>7</v>
      </c>
      <c r="D10" s="8" t="str">
        <f>Setting!B9</f>
        <v>Kế hoạch</v>
      </c>
      <c r="E10" s="9">
        <f>COUNTIFS(BK_CV_Di!$F$5:$F$2002,$D10,BK_CV_Di!$H$5:$H$2002,"&gt;="&amp;$B$2,BK_CV_Di!$H$5:$H$2002,"&lt;="&amp;$B$3)</f>
        <v>35</v>
      </c>
      <c r="F10" t="str">
        <f t="shared" si="0"/>
        <v>x</v>
      </c>
    </row>
    <row r="11" spans="1:6">
      <c r="C11" s="77">
        <v>8</v>
      </c>
      <c r="D11" s="8" t="str">
        <f>Setting!B10</f>
        <v>Giấy mời</v>
      </c>
      <c r="E11" s="9">
        <f>COUNTIFS(BK_CV_Di!$F$5:$F$2002,$D11,BK_CV_Di!$H$5:$H$2002,"&gt;="&amp;$B$2,BK_CV_Di!$H$5:$H$2002,"&lt;="&amp;$B$3)</f>
        <v>0</v>
      </c>
      <c r="F11" t="str">
        <f t="shared" si="0"/>
        <v>x</v>
      </c>
    </row>
    <row r="12" spans="1:6">
      <c r="C12" s="77">
        <v>9</v>
      </c>
      <c r="D12" s="8" t="str">
        <f>Setting!B11</f>
        <v>Biên bản</v>
      </c>
      <c r="E12" s="9">
        <f>COUNTIFS(BK_CV_Di!$F$5:$F$2002,$D12,BK_CV_Di!$H$5:$H$2002,"&gt;="&amp;$B$2,BK_CV_Di!$H$5:$H$2002,"&lt;="&amp;$B$3)</f>
        <v>0</v>
      </c>
      <c r="F12" t="str">
        <f t="shared" si="0"/>
        <v>x</v>
      </c>
    </row>
    <row r="13" spans="1:6">
      <c r="C13" s="77">
        <v>10</v>
      </c>
      <c r="D13" s="8" t="str">
        <f>Setting!B12</f>
        <v>Hướng dẫn</v>
      </c>
      <c r="E13" s="9">
        <f>COUNTIFS(BK_CV_Di!$F$5:$F$2002,$D13,BK_CV_Di!$H$5:$H$2002,"&gt;="&amp;$B$2,BK_CV_Di!$H$5:$H$2002,"&lt;="&amp;$B$3)</f>
        <v>0</v>
      </c>
      <c r="F13" t="str">
        <f t="shared" si="0"/>
        <v>x</v>
      </c>
    </row>
    <row r="14" spans="1:6">
      <c r="C14" s="77">
        <v>11</v>
      </c>
      <c r="D14" s="8" t="str">
        <f>Setting!B13</f>
        <v>Nghị định</v>
      </c>
      <c r="E14" s="9">
        <f>COUNTIFS(BK_CV_Di!$F$5:$F$2002,$D14,BK_CV_Di!$H$5:$H$2002,"&gt;="&amp;$B$2,BK_CV_Di!$H$5:$H$2002,"&lt;="&amp;$B$3)</f>
        <v>0</v>
      </c>
      <c r="F14" t="str">
        <f t="shared" si="0"/>
        <v>x</v>
      </c>
    </row>
    <row r="15" spans="1:6">
      <c r="C15" s="77">
        <v>12</v>
      </c>
      <c r="D15" s="8" t="str">
        <f>Setting!B14</f>
        <v>Chỉ thị</v>
      </c>
      <c r="E15" s="9">
        <f>COUNTIFS(BK_CV_Di!$F$5:$F$2002,$D15,BK_CV_Di!$H$5:$H$2002,"&gt;="&amp;$B$2,BK_CV_Di!$H$5:$H$2002,"&lt;="&amp;$B$3)</f>
        <v>0</v>
      </c>
      <c r="F15" t="str">
        <f t="shared" si="0"/>
        <v>x</v>
      </c>
    </row>
    <row r="16" spans="1:6">
      <c r="C16" s="77">
        <v>13</v>
      </c>
      <c r="D16" s="8" t="str">
        <f>Setting!B15</f>
        <v>Đơn</v>
      </c>
      <c r="E16" s="9">
        <f>COUNTIFS(BK_CV_Di!$F$5:$F$2002,$D16,BK_CV_Di!$H$5:$H$2002,"&gt;="&amp;$B$2,BK_CV_Di!$H$5:$H$2002,"&lt;="&amp;$B$3)</f>
        <v>0</v>
      </c>
      <c r="F16" t="str">
        <f t="shared" si="0"/>
        <v>x</v>
      </c>
    </row>
    <row r="17" spans="3:6">
      <c r="C17" s="77">
        <v>14</v>
      </c>
      <c r="D17" s="8" t="str">
        <f>Setting!B16</f>
        <v>Thư</v>
      </c>
      <c r="E17" s="9">
        <f>COUNTIFS(BK_CV_Di!$F$5:$F$2002,$D17,BK_CV_Di!$H$5:$H$2002,"&gt;="&amp;$B$2,BK_CV_Di!$H$5:$H$2002,"&lt;="&amp;$B$3)</f>
        <v>0</v>
      </c>
      <c r="F17" t="str">
        <f t="shared" si="0"/>
        <v>x</v>
      </c>
    </row>
    <row r="18" spans="3:6">
      <c r="C18" s="77">
        <v>15</v>
      </c>
      <c r="D18" s="8" t="e">
        <f>Setting!#REF!</f>
        <v>#REF!</v>
      </c>
      <c r="E18" s="9">
        <f>COUNTIFS(BK_CV_Di!$F$5:$F$2002,$D18,BK_CV_Di!$H$5:$H$2002,"&gt;="&amp;$B$2,BK_CV_Di!$H$5:$H$2002,"&lt;="&amp;$B$3)</f>
        <v>0</v>
      </c>
      <c r="F18" t="e">
        <f t="shared" si="0"/>
        <v>#REF!</v>
      </c>
    </row>
    <row r="19" spans="3:6" hidden="1">
      <c r="C19" s="77">
        <v>16</v>
      </c>
      <c r="D19" s="8">
        <f>Setting!B33</f>
        <v>0</v>
      </c>
      <c r="E19" s="9">
        <f>COUNTIFS(BK_CV_Di!$F$5:$F$2002,$D19,BK_CV_Di!$H$5:$H$2002,"&gt;="&amp;$B$2,BK_CV_Di!$H$5:$H$2002,"&lt;="&amp;$B$3)</f>
        <v>0</v>
      </c>
      <c r="F19" t="str">
        <f t="shared" si="0"/>
        <v/>
      </c>
    </row>
    <row r="20" spans="3:6" hidden="1">
      <c r="C20" s="77">
        <v>17</v>
      </c>
      <c r="D20" s="8">
        <f>Setting!B34</f>
        <v>0</v>
      </c>
      <c r="E20" s="9">
        <f>COUNTIFS(BK_CV_Di!$F$5:$F$2002,$D20,BK_CV_Di!$H$5:$H$2002,"&gt;="&amp;$B$2,BK_CV_Di!$H$5:$H$2002,"&lt;="&amp;$B$3)</f>
        <v>0</v>
      </c>
      <c r="F20" t="str">
        <f t="shared" si="0"/>
        <v/>
      </c>
    </row>
    <row r="21" spans="3:6" hidden="1">
      <c r="C21" s="77">
        <v>18</v>
      </c>
      <c r="D21" s="8">
        <f>Setting!B35</f>
        <v>0</v>
      </c>
      <c r="E21" s="9">
        <f>COUNTIFS(BK_CV_Di!$F$5:$F$2002,$D21,BK_CV_Di!$H$5:$H$2002,"&gt;="&amp;$B$2,BK_CV_Di!$H$5:$H$2002,"&lt;="&amp;$B$3)</f>
        <v>0</v>
      </c>
      <c r="F21" t="str">
        <f t="shared" si="0"/>
        <v/>
      </c>
    </row>
    <row r="22" spans="3:6" hidden="1">
      <c r="C22" s="77">
        <v>19</v>
      </c>
      <c r="D22" s="8">
        <f>Setting!B36</f>
        <v>0</v>
      </c>
      <c r="E22" s="9">
        <f>COUNTIFS(BK_CV_Di!$F$5:$F$2002,$D22,BK_CV_Di!$H$5:$H$2002,"&gt;="&amp;$B$2,BK_CV_Di!$H$5:$H$2002,"&lt;="&amp;$B$3)</f>
        <v>0</v>
      </c>
      <c r="F22" t="str">
        <f t="shared" si="0"/>
        <v/>
      </c>
    </row>
    <row r="23" spans="3:6" ht="15.75" hidden="1" customHeight="1">
      <c r="C23" s="77">
        <v>20</v>
      </c>
      <c r="D23" s="8">
        <f>Setting!B37</f>
        <v>0</v>
      </c>
      <c r="E23" s="9">
        <f>COUNTIFS(BK_CV_Di!$F$5:$F$2002,$D23,BK_CV_Di!$H$5:$H$2002,"&gt;="&amp;$B$2,BK_CV_Di!$H$5:$H$2002,"&lt;="&amp;$B$3)</f>
        <v>0</v>
      </c>
      <c r="F23" t="str">
        <f t="shared" si="0"/>
        <v/>
      </c>
    </row>
    <row r="24" spans="3:6" ht="18.75" hidden="1" customHeight="1">
      <c r="C24" s="77">
        <v>21</v>
      </c>
      <c r="D24" s="8">
        <f>Setting!B38</f>
        <v>0</v>
      </c>
      <c r="E24" s="9">
        <f>COUNTIFS(BK_CV_Di!$F$5:$F$2002,$D24,BK_CV_Di!$H$5:$H$2002,"&gt;="&amp;$B$2,BK_CV_Di!$H$5:$H$2002,"&lt;="&amp;$B$3)</f>
        <v>0</v>
      </c>
      <c r="F24" t="str">
        <f t="shared" si="0"/>
        <v/>
      </c>
    </row>
    <row r="25" spans="3:6" ht="22.5" hidden="1" customHeight="1">
      <c r="C25" s="77">
        <v>22</v>
      </c>
      <c r="D25" s="8">
        <f>Setting!B39</f>
        <v>0</v>
      </c>
      <c r="E25" s="9">
        <f>COUNTIFS(BK_CV_Di!$F$5:$F$2002,$D25,BK_CV_Di!$H$5:$H$2002,"&gt;="&amp;$B$2,BK_CV_Di!$H$5:$H$2002,"&lt;="&amp;$B$3)</f>
        <v>0</v>
      </c>
      <c r="F25" t="str">
        <f t="shared" si="0"/>
        <v/>
      </c>
    </row>
    <row r="26" spans="3:6" ht="24" hidden="1" customHeight="1">
      <c r="C26" s="77">
        <v>23</v>
      </c>
      <c r="D26" s="8">
        <f>Setting!B40</f>
        <v>0</v>
      </c>
      <c r="E26" s="9">
        <f>COUNTIFS(BK_CV_Di!$F$5:$F$2002,$D26,BK_CV_Di!$H$5:$H$2002,"&gt;="&amp;$B$2,BK_CV_Di!$H$5:$H$2002,"&lt;="&amp;$B$3)</f>
        <v>0</v>
      </c>
      <c r="F26" t="str">
        <f t="shared" si="0"/>
        <v/>
      </c>
    </row>
    <row r="27" spans="3:6" ht="21" hidden="1" customHeight="1">
      <c r="C27" s="77">
        <v>24</v>
      </c>
      <c r="D27" s="8">
        <f>Setting!B41</f>
        <v>0</v>
      </c>
      <c r="E27" s="9">
        <f>COUNTIFS(BK_CV_Di!$F$5:$F$2002,$D27,BK_CV_Di!$H$5:$H$2002,"&gt;="&amp;$B$2,BK_CV_Di!$H$5:$H$2002,"&lt;="&amp;$B$3)</f>
        <v>0</v>
      </c>
      <c r="F27" t="str">
        <f t="shared" si="0"/>
        <v/>
      </c>
    </row>
    <row r="28" spans="3:6" ht="15" hidden="1" customHeight="1">
      <c r="C28" s="77">
        <v>25</v>
      </c>
      <c r="D28" s="8">
        <f>Setting!B42</f>
        <v>0</v>
      </c>
      <c r="E28" s="9">
        <f>COUNTIFS(BK_CV_Di!$F$5:$F$2002,$D28,BK_CV_Di!$H$5:$H$2002,"&gt;="&amp;$B$2,BK_CV_Di!$H$5:$H$2002,"&lt;="&amp;$B$3)</f>
        <v>0</v>
      </c>
      <c r="F28" t="str">
        <f t="shared" si="0"/>
        <v/>
      </c>
    </row>
    <row r="29" spans="3:6" ht="16.5" hidden="1" customHeight="1">
      <c r="C29" s="77">
        <v>26</v>
      </c>
      <c r="D29" s="8">
        <f>Setting!B43</f>
        <v>0</v>
      </c>
      <c r="E29" s="9">
        <f>COUNTIFS(BK_CV_Di!$F$5:$F$2002,$D29,BK_CV_Di!$H$5:$H$2002,"&gt;="&amp;$B$2,BK_CV_Di!$H$5:$H$2002,"&lt;="&amp;$B$3)</f>
        <v>0</v>
      </c>
      <c r="F29" t="str">
        <f t="shared" si="0"/>
        <v/>
      </c>
    </row>
    <row r="30" spans="3:6" ht="18" hidden="1" customHeight="1">
      <c r="C30" s="77">
        <v>27</v>
      </c>
      <c r="D30" s="8">
        <f>Setting!B44</f>
        <v>0</v>
      </c>
      <c r="E30" s="9">
        <f>COUNTIFS(BK_CV_Di!$F$5:$F$2002,$D30,BK_CV_Di!$H$5:$H$2002,"&gt;="&amp;$B$2,BK_CV_Di!$H$5:$H$2002,"&lt;="&amp;$B$3)</f>
        <v>0</v>
      </c>
      <c r="F30" t="str">
        <f t="shared" si="0"/>
        <v/>
      </c>
    </row>
    <row r="31" spans="3:6" ht="14.25" hidden="1" customHeight="1">
      <c r="C31" s="77">
        <v>28</v>
      </c>
      <c r="D31" s="8">
        <f>Setting!B45</f>
        <v>0</v>
      </c>
      <c r="E31" s="9">
        <f>COUNTIFS(BK_CV_Di!$F$5:$F$2002,$D31,BK_CV_Di!$H$5:$H$2002,"&gt;="&amp;$B$2,BK_CV_Di!$H$5:$H$2002,"&lt;="&amp;$B$3)</f>
        <v>0</v>
      </c>
      <c r="F31" t="str">
        <f t="shared" si="0"/>
        <v/>
      </c>
    </row>
    <row r="32" spans="3:6" ht="18" hidden="1" customHeight="1">
      <c r="C32" s="77">
        <v>29</v>
      </c>
      <c r="D32" s="8">
        <f>Setting!B46</f>
        <v>0</v>
      </c>
      <c r="E32" s="9">
        <f>COUNTIFS(BK_CV_Di!$F$5:$F$2002,$D32,BK_CV_Di!$H$5:$H$2002,"&gt;="&amp;$B$2,BK_CV_Di!$H$5:$H$2002,"&lt;="&amp;$B$3)</f>
        <v>0</v>
      </c>
      <c r="F32" t="str">
        <f t="shared" si="0"/>
        <v/>
      </c>
    </row>
    <row r="33" spans="3:6" ht="25.5" hidden="1" customHeight="1">
      <c r="C33" s="77">
        <v>30</v>
      </c>
      <c r="D33" s="8">
        <f>Setting!B47</f>
        <v>0</v>
      </c>
      <c r="E33" s="9">
        <f>COUNTIFS(BK_CV_Di!$F$5:$F$2002,$D33,BK_CV_Di!$H$5:$H$2002,"&gt;="&amp;$B$2,BK_CV_Di!$H$5:$H$2002,"&lt;="&amp;$B$3)</f>
        <v>0</v>
      </c>
      <c r="F33" t="str">
        <f t="shared" si="0"/>
        <v/>
      </c>
    </row>
    <row r="34" spans="3:6" ht="18.600000000000001" customHeight="1">
      <c r="C34" s="10"/>
      <c r="D34" s="5" t="s">
        <v>41</v>
      </c>
      <c r="E34" s="11">
        <f>SUM(E4:E33)</f>
        <v>35</v>
      </c>
      <c r="F34" t="s">
        <v>102</v>
      </c>
    </row>
    <row r="35" spans="3:6" ht="18.75" customHeight="1"/>
  </sheetData>
  <autoFilter ref="F3:F34">
    <filterColumn colId="0">
      <customFilters>
        <customFilter operator="notEqual" val=" "/>
      </customFilters>
    </filterColumn>
  </autoFilter>
  <mergeCells count="2">
    <mergeCell ref="C1:E1"/>
    <mergeCell ref="C2:E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tabColor rgb="FF00B0F0"/>
  </sheetPr>
  <dimension ref="A1:Q2005"/>
  <sheetViews>
    <sheetView showGridLines="0" topLeftCell="C1" zoomScale="90" zoomScaleNormal="90" workbookViewId="0">
      <selection activeCell="G2009" sqref="G2009"/>
    </sheetView>
  </sheetViews>
  <sheetFormatPr defaultRowHeight="15.75"/>
  <cols>
    <col min="1" max="2" width="10.125" customWidth="1"/>
    <col min="3" max="3" width="5.375" style="104" customWidth="1"/>
    <col min="4" max="4" width="8.625" style="266" customWidth="1"/>
    <col min="5" max="5" width="9.75" style="263" customWidth="1"/>
    <col min="6" max="6" width="10.75" customWidth="1"/>
    <col min="7" max="7" width="11.125" style="266" customWidth="1"/>
    <col min="8" max="8" width="9.75" style="263" customWidth="1"/>
    <col min="9" max="9" width="34.125" style="219" customWidth="1"/>
    <col min="10" max="10" width="12.75" customWidth="1"/>
    <col min="11" max="11" width="13.125" customWidth="1"/>
    <col min="12" max="12" width="19.5" style="245" customWidth="1"/>
    <col min="13" max="13" width="5" customWidth="1"/>
    <col min="14" max="14" width="10.75" customWidth="1"/>
    <col min="15" max="15" width="5.375" customWidth="1"/>
    <col min="16" max="16" width="13.625" customWidth="1"/>
    <col min="17" max="17" width="6.5" customWidth="1"/>
  </cols>
  <sheetData>
    <row r="1" spans="1:17" ht="25.15" customHeight="1">
      <c r="C1" s="291" t="s">
        <v>93</v>
      </c>
      <c r="D1" s="326"/>
      <c r="E1" s="326"/>
      <c r="F1" s="291"/>
      <c r="G1" s="326"/>
      <c r="H1" s="326"/>
      <c r="I1" s="291"/>
      <c r="J1" s="291"/>
      <c r="K1" s="291"/>
      <c r="L1" s="291"/>
      <c r="M1" s="291"/>
      <c r="N1" s="291"/>
      <c r="O1" s="291"/>
      <c r="P1" s="291"/>
    </row>
    <row r="2" spans="1:17" ht="16.149999999999999" customHeight="1">
      <c r="A2" s="8" t="s">
        <v>31</v>
      </c>
      <c r="B2" s="122">
        <v>43466</v>
      </c>
      <c r="C2" s="327" t="s">
        <v>33</v>
      </c>
      <c r="D2" s="328"/>
      <c r="E2" s="330"/>
      <c r="F2" s="331"/>
      <c r="G2" s="253"/>
      <c r="H2" s="264"/>
    </row>
    <row r="3" spans="1:17" ht="16.149999999999999" customHeight="1">
      <c r="A3" s="8" t="s">
        <v>32</v>
      </c>
      <c r="B3" s="122">
        <v>44286</v>
      </c>
      <c r="C3" s="329" t="s">
        <v>64</v>
      </c>
      <c r="D3" s="328"/>
      <c r="E3" s="332"/>
      <c r="F3" s="333"/>
      <c r="G3" s="253"/>
      <c r="H3" s="264"/>
    </row>
    <row r="4" spans="1:17" ht="16.149999999999999" customHeight="1">
      <c r="C4" s="327" t="s">
        <v>104</v>
      </c>
      <c r="D4" s="328"/>
      <c r="E4" s="334"/>
      <c r="F4" s="335"/>
      <c r="G4" s="253"/>
      <c r="H4" s="264"/>
    </row>
    <row r="5" spans="1:17" ht="23.25" customHeight="1">
      <c r="C5" s="322" t="s">
        <v>0</v>
      </c>
      <c r="D5" s="323" t="s">
        <v>66</v>
      </c>
      <c r="E5" s="324" t="s">
        <v>62</v>
      </c>
      <c r="F5" s="325" t="s">
        <v>87</v>
      </c>
      <c r="G5" s="324"/>
      <c r="H5" s="324"/>
      <c r="I5" s="325"/>
      <c r="J5" s="325"/>
      <c r="K5" s="325"/>
      <c r="L5" s="325"/>
      <c r="M5" s="322" t="s">
        <v>83</v>
      </c>
      <c r="N5" s="322"/>
      <c r="O5" s="322" t="s">
        <v>85</v>
      </c>
      <c r="P5" s="322"/>
    </row>
    <row r="6" spans="1:17" s="219" customFormat="1" ht="38.25" customHeight="1">
      <c r="C6" s="322"/>
      <c r="D6" s="323"/>
      <c r="E6" s="324"/>
      <c r="F6" s="254" t="s">
        <v>17</v>
      </c>
      <c r="G6" s="192" t="s">
        <v>19</v>
      </c>
      <c r="H6" s="255" t="s">
        <v>28</v>
      </c>
      <c r="I6" s="256" t="s">
        <v>20</v>
      </c>
      <c r="J6" s="256" t="s">
        <v>22</v>
      </c>
      <c r="K6" s="256" t="s">
        <v>21</v>
      </c>
      <c r="L6" s="256" t="s">
        <v>104</v>
      </c>
      <c r="M6" s="256" t="s">
        <v>106</v>
      </c>
      <c r="N6" s="256" t="s">
        <v>84</v>
      </c>
      <c r="O6" s="256" t="s">
        <v>106</v>
      </c>
      <c r="P6" s="256" t="s">
        <v>84</v>
      </c>
    </row>
    <row r="7" spans="1:17" ht="18.75" customHeight="1">
      <c r="C7" s="252">
        <v>1</v>
      </c>
      <c r="D7" s="192">
        <v>2</v>
      </c>
      <c r="E7" s="192">
        <v>3</v>
      </c>
      <c r="F7" s="143">
        <v>4</v>
      </c>
      <c r="G7" s="192">
        <v>5</v>
      </c>
      <c r="H7" s="192">
        <v>6</v>
      </c>
      <c r="I7" s="229">
        <v>7</v>
      </c>
      <c r="J7" s="110">
        <v>8</v>
      </c>
      <c r="K7" s="110">
        <v>9</v>
      </c>
      <c r="L7" s="227">
        <v>10</v>
      </c>
      <c r="M7" s="110">
        <v>11</v>
      </c>
      <c r="N7" s="110">
        <v>12</v>
      </c>
      <c r="O7" s="110">
        <v>13</v>
      </c>
      <c r="P7" s="110">
        <v>14</v>
      </c>
      <c r="Q7" t="s">
        <v>34</v>
      </c>
    </row>
    <row r="8" spans="1:17" s="2" customFormat="1" ht="36" customHeight="1">
      <c r="C8" s="77">
        <v>3</v>
      </c>
      <c r="D8" s="271" t="s">
        <v>160</v>
      </c>
      <c r="E8" s="270">
        <v>44208</v>
      </c>
      <c r="F8" s="269" t="s">
        <v>158</v>
      </c>
      <c r="G8" s="271" t="s">
        <v>168</v>
      </c>
      <c r="H8" s="270">
        <v>44208</v>
      </c>
      <c r="I8" s="268" t="s">
        <v>186</v>
      </c>
      <c r="J8" s="269" t="s">
        <v>133</v>
      </c>
      <c r="K8" s="269">
        <v>44208</v>
      </c>
      <c r="L8" s="267" t="s">
        <v>138</v>
      </c>
      <c r="M8" s="269">
        <v>1</v>
      </c>
      <c r="N8" s="269" t="s">
        <v>90</v>
      </c>
      <c r="O8" s="269">
        <v>20</v>
      </c>
      <c r="P8" s="269" t="s">
        <v>148</v>
      </c>
      <c r="Q8" s="2" t="str">
        <f t="shared" ref="Q8:Q70" si="0">IF(D8="","","x")</f>
        <v>x</v>
      </c>
    </row>
    <row r="9" spans="1:17" ht="14.45" hidden="1" customHeight="1">
      <c r="C9" s="123"/>
      <c r="D9" s="239"/>
      <c r="E9" s="240"/>
      <c r="F9" s="239"/>
      <c r="G9" s="241"/>
      <c r="H9" s="240"/>
      <c r="I9" s="242"/>
      <c r="J9" s="239"/>
      <c r="K9" s="239"/>
      <c r="L9" s="238"/>
      <c r="M9" s="239"/>
      <c r="N9" s="239"/>
      <c r="O9" s="239"/>
      <c r="P9" s="239"/>
      <c r="Q9" t="str">
        <f t="shared" si="0"/>
        <v/>
      </c>
    </row>
    <row r="10" spans="1:17" ht="14.45" hidden="1" customHeight="1">
      <c r="C10" s="123"/>
      <c r="D10" s="239"/>
      <c r="E10" s="240"/>
      <c r="F10" s="239"/>
      <c r="G10" s="241"/>
      <c r="H10" s="240"/>
      <c r="I10" s="242"/>
      <c r="J10" s="239"/>
      <c r="K10" s="239"/>
      <c r="L10" s="238"/>
      <c r="M10" s="239"/>
      <c r="N10" s="239"/>
      <c r="O10" s="239"/>
      <c r="P10" s="239"/>
      <c r="Q10" t="str">
        <f t="shared" si="0"/>
        <v/>
      </c>
    </row>
    <row r="11" spans="1:17" ht="14.45" hidden="1" customHeight="1">
      <c r="C11" s="123"/>
      <c r="D11" s="239"/>
      <c r="E11" s="240"/>
      <c r="F11" s="240"/>
      <c r="G11" s="241"/>
      <c r="H11" s="240"/>
      <c r="I11" s="242"/>
      <c r="J11" s="239"/>
      <c r="K11" s="239"/>
      <c r="L11" s="238"/>
      <c r="M11" s="239"/>
      <c r="N11" s="239"/>
      <c r="O11" s="239"/>
      <c r="P11" s="239"/>
      <c r="Q11" t="str">
        <f t="shared" si="0"/>
        <v/>
      </c>
    </row>
    <row r="12" spans="1:17" ht="14.45" hidden="1" customHeight="1">
      <c r="C12" s="123"/>
      <c r="D12" s="239"/>
      <c r="E12" s="240"/>
      <c r="F12" s="240"/>
      <c r="G12" s="241"/>
      <c r="H12" s="240"/>
      <c r="I12" s="242"/>
      <c r="J12" s="239"/>
      <c r="K12" s="239"/>
      <c r="L12" s="238"/>
      <c r="M12" s="239"/>
      <c r="N12" s="239"/>
      <c r="O12" s="239"/>
      <c r="P12" s="239"/>
      <c r="Q12" t="str">
        <f t="shared" si="0"/>
        <v/>
      </c>
    </row>
    <row r="13" spans="1:17" ht="14.45" hidden="1" customHeight="1">
      <c r="C13" s="123"/>
      <c r="D13" s="239"/>
      <c r="E13" s="240"/>
      <c r="F13" s="240"/>
      <c r="G13" s="241"/>
      <c r="H13" s="240"/>
      <c r="I13" s="242"/>
      <c r="J13" s="239"/>
      <c r="K13" s="239"/>
      <c r="L13" s="238"/>
      <c r="M13" s="239"/>
      <c r="N13" s="239"/>
      <c r="O13" s="239"/>
      <c r="P13" s="239"/>
      <c r="Q13" t="str">
        <f t="shared" si="0"/>
        <v/>
      </c>
    </row>
    <row r="14" spans="1:17" hidden="1">
      <c r="C14" s="123"/>
      <c r="D14" s="239"/>
      <c r="E14" s="240"/>
      <c r="F14" s="239"/>
      <c r="G14" s="241"/>
      <c r="H14" s="240"/>
      <c r="I14" s="242"/>
      <c r="J14" s="239"/>
      <c r="K14" s="239"/>
      <c r="L14" s="238"/>
      <c r="M14" s="239"/>
      <c r="N14" s="239"/>
      <c r="O14" s="239"/>
      <c r="P14" s="239"/>
      <c r="Q14" t="str">
        <f t="shared" si="0"/>
        <v/>
      </c>
    </row>
    <row r="15" spans="1:17" hidden="1">
      <c r="C15" s="123"/>
      <c r="D15" s="239"/>
      <c r="E15" s="240"/>
      <c r="F15" s="239"/>
      <c r="G15" s="241"/>
      <c r="H15" s="240"/>
      <c r="I15" s="242"/>
      <c r="J15" s="239"/>
      <c r="K15" s="239"/>
      <c r="L15" s="238"/>
      <c r="M15" s="239"/>
      <c r="N15" s="239"/>
      <c r="O15" s="239"/>
      <c r="P15" s="239"/>
      <c r="Q15" t="str">
        <f t="shared" si="0"/>
        <v/>
      </c>
    </row>
    <row r="16" spans="1:17" hidden="1">
      <c r="C16" s="123"/>
      <c r="D16" s="123"/>
      <c r="E16" s="124"/>
      <c r="F16" s="123"/>
      <c r="G16" s="130"/>
      <c r="H16" s="124"/>
      <c r="I16" s="243"/>
      <c r="J16" s="123"/>
      <c r="K16" s="123"/>
      <c r="L16" s="246"/>
      <c r="M16" s="123"/>
      <c r="N16" s="123"/>
      <c r="O16" s="123"/>
      <c r="P16" s="123"/>
      <c r="Q16" t="str">
        <f t="shared" si="0"/>
        <v/>
      </c>
    </row>
    <row r="17" spans="3:17" hidden="1">
      <c r="C17" s="123"/>
      <c r="D17" s="123"/>
      <c r="E17" s="124"/>
      <c r="F17" s="123"/>
      <c r="G17" s="130"/>
      <c r="H17" s="124"/>
      <c r="I17" s="243"/>
      <c r="J17" s="123"/>
      <c r="K17" s="123"/>
      <c r="L17" s="246"/>
      <c r="M17" s="123"/>
      <c r="N17" s="123"/>
      <c r="O17" s="123"/>
      <c r="P17" s="123"/>
      <c r="Q17" t="str">
        <f t="shared" si="0"/>
        <v/>
      </c>
    </row>
    <row r="18" spans="3:17" hidden="1">
      <c r="C18" s="123"/>
      <c r="D18" s="123"/>
      <c r="E18" s="124"/>
      <c r="F18" s="123"/>
      <c r="G18" s="130"/>
      <c r="H18" s="124"/>
      <c r="I18" s="243"/>
      <c r="J18" s="123"/>
      <c r="K18" s="123"/>
      <c r="L18" s="246"/>
      <c r="M18" s="123"/>
      <c r="N18" s="123"/>
      <c r="O18" s="123"/>
      <c r="P18" s="123"/>
      <c r="Q18" t="str">
        <f t="shared" si="0"/>
        <v/>
      </c>
    </row>
    <row r="19" spans="3:17" hidden="1">
      <c r="C19" s="123"/>
      <c r="D19" s="123"/>
      <c r="E19" s="124"/>
      <c r="F19" s="124"/>
      <c r="G19" s="130"/>
      <c r="H19" s="124"/>
      <c r="I19" s="243"/>
      <c r="J19" s="123"/>
      <c r="K19" s="123"/>
      <c r="L19" s="246"/>
      <c r="M19" s="123"/>
      <c r="N19" s="123"/>
      <c r="O19" s="123"/>
      <c r="P19" s="123"/>
      <c r="Q19" t="str">
        <f t="shared" si="0"/>
        <v/>
      </c>
    </row>
    <row r="20" spans="3:17" hidden="1">
      <c r="C20" s="123"/>
      <c r="D20" s="123"/>
      <c r="E20" s="124"/>
      <c r="F20" s="124"/>
      <c r="G20" s="130"/>
      <c r="H20" s="124"/>
      <c r="I20" s="243"/>
      <c r="J20" s="123"/>
      <c r="K20" s="123"/>
      <c r="L20" s="246"/>
      <c r="M20" s="123"/>
      <c r="N20" s="123"/>
      <c r="O20" s="123"/>
      <c r="P20" s="123"/>
      <c r="Q20" t="str">
        <f t="shared" si="0"/>
        <v/>
      </c>
    </row>
    <row r="21" spans="3:17" hidden="1">
      <c r="C21" s="123"/>
      <c r="D21" s="123"/>
      <c r="E21" s="124"/>
      <c r="F21" s="124"/>
      <c r="G21" s="130"/>
      <c r="H21" s="124"/>
      <c r="I21" s="243"/>
      <c r="J21" s="123"/>
      <c r="K21" s="123"/>
      <c r="L21" s="246"/>
      <c r="M21" s="123"/>
      <c r="N21" s="123"/>
      <c r="O21" s="123"/>
      <c r="P21" s="123"/>
      <c r="Q21" t="str">
        <f t="shared" si="0"/>
        <v/>
      </c>
    </row>
    <row r="22" spans="3:17" hidden="1">
      <c r="C22" s="123"/>
      <c r="D22" s="123"/>
      <c r="E22" s="124"/>
      <c r="F22" s="124"/>
      <c r="G22" s="130"/>
      <c r="H22" s="124"/>
      <c r="I22" s="243"/>
      <c r="J22" s="123"/>
      <c r="K22" s="123"/>
      <c r="L22" s="246"/>
      <c r="M22" s="123"/>
      <c r="N22" s="123"/>
      <c r="O22" s="123"/>
      <c r="P22" s="123"/>
      <c r="Q22" t="str">
        <f t="shared" si="0"/>
        <v/>
      </c>
    </row>
    <row r="23" spans="3:17" hidden="1">
      <c r="C23" s="123"/>
      <c r="D23" s="123"/>
      <c r="E23" s="124"/>
      <c r="F23" s="124"/>
      <c r="G23" s="130"/>
      <c r="H23" s="124"/>
      <c r="I23" s="243"/>
      <c r="J23" s="123"/>
      <c r="K23" s="123"/>
      <c r="L23" s="246"/>
      <c r="M23" s="123"/>
      <c r="N23" s="123"/>
      <c r="O23" s="123"/>
      <c r="P23" s="123"/>
      <c r="Q23" t="str">
        <f t="shared" si="0"/>
        <v/>
      </c>
    </row>
    <row r="24" spans="3:17" hidden="1">
      <c r="C24" s="123"/>
      <c r="D24" s="123"/>
      <c r="E24" s="124"/>
      <c r="F24" s="124"/>
      <c r="G24" s="130"/>
      <c r="H24" s="124"/>
      <c r="I24" s="243"/>
      <c r="J24" s="123"/>
      <c r="K24" s="123"/>
      <c r="L24" s="246"/>
      <c r="M24" s="123"/>
      <c r="N24" s="123"/>
      <c r="O24" s="123"/>
      <c r="P24" s="123"/>
      <c r="Q24" t="str">
        <f t="shared" si="0"/>
        <v/>
      </c>
    </row>
    <row r="25" spans="3:17" hidden="1">
      <c r="C25" s="123"/>
      <c r="D25" s="123"/>
      <c r="E25" s="124"/>
      <c r="F25" s="124"/>
      <c r="G25" s="130"/>
      <c r="H25" s="124"/>
      <c r="I25" s="243"/>
      <c r="J25" s="123"/>
      <c r="K25" s="123"/>
      <c r="L25" s="246"/>
      <c r="M25" s="123"/>
      <c r="N25" s="123"/>
      <c r="O25" s="123"/>
      <c r="P25" s="123"/>
      <c r="Q25" t="str">
        <f t="shared" si="0"/>
        <v/>
      </c>
    </row>
    <row r="26" spans="3:17" hidden="1">
      <c r="C26" s="123"/>
      <c r="D26" s="123"/>
      <c r="E26" s="124"/>
      <c r="F26" s="124"/>
      <c r="G26" s="130"/>
      <c r="H26" s="124"/>
      <c r="I26" s="243"/>
      <c r="J26" s="123"/>
      <c r="K26" s="123"/>
      <c r="L26" s="246"/>
      <c r="M26" s="123"/>
      <c r="N26" s="123"/>
      <c r="O26" s="123"/>
      <c r="P26" s="123"/>
      <c r="Q26" t="str">
        <f t="shared" si="0"/>
        <v/>
      </c>
    </row>
    <row r="27" spans="3:17" hidden="1">
      <c r="C27" s="123"/>
      <c r="D27" s="123"/>
      <c r="E27" s="124"/>
      <c r="F27" s="124"/>
      <c r="G27" s="130"/>
      <c r="H27" s="124"/>
      <c r="I27" s="243"/>
      <c r="J27" s="123"/>
      <c r="K27" s="123"/>
      <c r="L27" s="246"/>
      <c r="M27" s="123"/>
      <c r="N27" s="123"/>
      <c r="O27" s="123"/>
      <c r="P27" s="123"/>
      <c r="Q27" t="str">
        <f t="shared" si="0"/>
        <v/>
      </c>
    </row>
    <row r="28" spans="3:17" hidden="1">
      <c r="C28" s="123"/>
      <c r="D28" s="123"/>
      <c r="E28" s="124"/>
      <c r="F28" s="124"/>
      <c r="G28" s="130"/>
      <c r="H28" s="124"/>
      <c r="I28" s="243"/>
      <c r="J28" s="123"/>
      <c r="K28" s="123"/>
      <c r="L28" s="246"/>
      <c r="M28" s="123"/>
      <c r="N28" s="123"/>
      <c r="O28" s="123"/>
      <c r="P28" s="123"/>
      <c r="Q28" t="str">
        <f t="shared" si="0"/>
        <v/>
      </c>
    </row>
    <row r="29" spans="3:17" hidden="1">
      <c r="C29" s="123"/>
      <c r="D29" s="123"/>
      <c r="E29" s="124"/>
      <c r="F29" s="124"/>
      <c r="G29" s="130"/>
      <c r="H29" s="124"/>
      <c r="I29" s="243"/>
      <c r="J29" s="123"/>
      <c r="K29" s="123"/>
      <c r="L29" s="246"/>
      <c r="M29" s="123"/>
      <c r="N29" s="123"/>
      <c r="O29" s="123"/>
      <c r="P29" s="123"/>
      <c r="Q29" t="str">
        <f t="shared" si="0"/>
        <v/>
      </c>
    </row>
    <row r="30" spans="3:17" hidden="1">
      <c r="C30" s="123"/>
      <c r="D30" s="123"/>
      <c r="E30" s="124"/>
      <c r="F30" s="124"/>
      <c r="G30" s="130"/>
      <c r="H30" s="124"/>
      <c r="I30" s="243"/>
      <c r="J30" s="123"/>
      <c r="K30" s="123"/>
      <c r="L30" s="246"/>
      <c r="M30" s="123"/>
      <c r="N30" s="123"/>
      <c r="O30" s="123"/>
      <c r="P30" s="123"/>
      <c r="Q30" t="str">
        <f t="shared" si="0"/>
        <v/>
      </c>
    </row>
    <row r="31" spans="3:17" hidden="1">
      <c r="C31" s="123"/>
      <c r="D31" s="123"/>
      <c r="E31" s="124"/>
      <c r="F31" s="124"/>
      <c r="G31" s="130"/>
      <c r="H31" s="124"/>
      <c r="I31" s="243"/>
      <c r="J31" s="123"/>
      <c r="K31" s="123"/>
      <c r="L31" s="246"/>
      <c r="M31" s="123"/>
      <c r="N31" s="123"/>
      <c r="O31" s="123"/>
      <c r="P31" s="123"/>
      <c r="Q31" t="str">
        <f t="shared" si="0"/>
        <v/>
      </c>
    </row>
    <row r="32" spans="3:17" hidden="1">
      <c r="C32" s="123"/>
      <c r="D32" s="123"/>
      <c r="E32" s="124"/>
      <c r="F32" s="124"/>
      <c r="G32" s="130"/>
      <c r="H32" s="124"/>
      <c r="I32" s="243"/>
      <c r="J32" s="123"/>
      <c r="K32" s="123"/>
      <c r="L32" s="246"/>
      <c r="M32" s="123"/>
      <c r="N32" s="123"/>
      <c r="O32" s="123"/>
      <c r="P32" s="123"/>
      <c r="Q32" t="str">
        <f t="shared" si="0"/>
        <v/>
      </c>
    </row>
    <row r="33" spans="3:17" hidden="1">
      <c r="C33" s="123"/>
      <c r="D33" s="123"/>
      <c r="E33" s="124"/>
      <c r="F33" s="124"/>
      <c r="G33" s="130"/>
      <c r="H33" s="124"/>
      <c r="I33" s="243"/>
      <c r="J33" s="123"/>
      <c r="K33" s="123"/>
      <c r="L33" s="246"/>
      <c r="M33" s="123"/>
      <c r="N33" s="123"/>
      <c r="O33" s="123"/>
      <c r="P33" s="123"/>
      <c r="Q33" t="str">
        <f t="shared" si="0"/>
        <v/>
      </c>
    </row>
    <row r="34" spans="3:17" hidden="1">
      <c r="C34" s="123"/>
      <c r="D34" s="123"/>
      <c r="E34" s="124"/>
      <c r="F34" s="124"/>
      <c r="G34" s="130"/>
      <c r="H34" s="124"/>
      <c r="I34" s="243"/>
      <c r="J34" s="123"/>
      <c r="K34" s="123"/>
      <c r="L34" s="246"/>
      <c r="M34" s="123"/>
      <c r="N34" s="123"/>
      <c r="O34" s="123"/>
      <c r="P34" s="123"/>
      <c r="Q34" t="str">
        <f t="shared" si="0"/>
        <v/>
      </c>
    </row>
    <row r="35" spans="3:17" hidden="1">
      <c r="C35" s="123"/>
      <c r="D35" s="123"/>
      <c r="E35" s="124"/>
      <c r="F35" s="124"/>
      <c r="G35" s="130"/>
      <c r="H35" s="124"/>
      <c r="I35" s="243"/>
      <c r="J35" s="123"/>
      <c r="K35" s="123"/>
      <c r="L35" s="246"/>
      <c r="M35" s="123"/>
      <c r="N35" s="123"/>
      <c r="O35" s="123"/>
      <c r="P35" s="123"/>
      <c r="Q35" t="str">
        <f t="shared" si="0"/>
        <v/>
      </c>
    </row>
    <row r="36" spans="3:17" hidden="1">
      <c r="C36" s="123"/>
      <c r="D36" s="123"/>
      <c r="E36" s="124"/>
      <c r="F36" s="124"/>
      <c r="G36" s="130"/>
      <c r="H36" s="124"/>
      <c r="I36" s="243"/>
      <c r="J36" s="123"/>
      <c r="K36" s="123"/>
      <c r="L36" s="246"/>
      <c r="M36" s="123"/>
      <c r="N36" s="123"/>
      <c r="O36" s="123"/>
      <c r="P36" s="123"/>
      <c r="Q36" t="str">
        <f t="shared" si="0"/>
        <v/>
      </c>
    </row>
    <row r="37" spans="3:17" hidden="1">
      <c r="C37" s="123"/>
      <c r="D37" s="123"/>
      <c r="E37" s="124"/>
      <c r="F37" s="124"/>
      <c r="G37" s="130"/>
      <c r="H37" s="124"/>
      <c r="I37" s="243"/>
      <c r="J37" s="123"/>
      <c r="K37" s="123"/>
      <c r="L37" s="246"/>
      <c r="M37" s="123"/>
      <c r="N37" s="123"/>
      <c r="O37" s="123"/>
      <c r="P37" s="123"/>
      <c r="Q37" t="str">
        <f t="shared" si="0"/>
        <v/>
      </c>
    </row>
    <row r="38" spans="3:17" hidden="1">
      <c r="C38" s="123"/>
      <c r="D38" s="123"/>
      <c r="E38" s="124"/>
      <c r="F38" s="124"/>
      <c r="G38" s="130"/>
      <c r="H38" s="124"/>
      <c r="I38" s="243"/>
      <c r="J38" s="123"/>
      <c r="K38" s="123"/>
      <c r="L38" s="246"/>
      <c r="M38" s="123"/>
      <c r="N38" s="123"/>
      <c r="O38" s="123"/>
      <c r="P38" s="123"/>
      <c r="Q38" t="str">
        <f t="shared" si="0"/>
        <v/>
      </c>
    </row>
    <row r="39" spans="3:17" hidden="1">
      <c r="C39" s="123"/>
      <c r="D39" s="123"/>
      <c r="E39" s="124"/>
      <c r="F39" s="124"/>
      <c r="G39" s="130"/>
      <c r="H39" s="124"/>
      <c r="I39" s="243"/>
      <c r="J39" s="123"/>
      <c r="K39" s="123"/>
      <c r="L39" s="246"/>
      <c r="M39" s="123"/>
      <c r="N39" s="123"/>
      <c r="O39" s="123"/>
      <c r="P39" s="123"/>
      <c r="Q39" t="str">
        <f t="shared" si="0"/>
        <v/>
      </c>
    </row>
    <row r="40" spans="3:17" hidden="1">
      <c r="C40" s="123"/>
      <c r="D40" s="123"/>
      <c r="E40" s="124"/>
      <c r="F40" s="124"/>
      <c r="G40" s="130"/>
      <c r="H40" s="124"/>
      <c r="I40" s="243"/>
      <c r="J40" s="123"/>
      <c r="K40" s="123"/>
      <c r="L40" s="246"/>
      <c r="M40" s="123"/>
      <c r="N40" s="123"/>
      <c r="O40" s="123"/>
      <c r="P40" s="123"/>
      <c r="Q40" t="str">
        <f t="shared" si="0"/>
        <v/>
      </c>
    </row>
    <row r="41" spans="3:17" hidden="1">
      <c r="C41" s="123"/>
      <c r="D41" s="123"/>
      <c r="E41" s="124"/>
      <c r="F41" s="124"/>
      <c r="G41" s="130"/>
      <c r="H41" s="124"/>
      <c r="I41" s="243"/>
      <c r="J41" s="123"/>
      <c r="K41" s="123"/>
      <c r="L41" s="246"/>
      <c r="M41" s="123"/>
      <c r="N41" s="123"/>
      <c r="O41" s="123"/>
      <c r="P41" s="123"/>
      <c r="Q41" t="str">
        <f t="shared" si="0"/>
        <v/>
      </c>
    </row>
    <row r="42" spans="3:17" hidden="1">
      <c r="C42" s="123"/>
      <c r="D42" s="123"/>
      <c r="E42" s="124"/>
      <c r="F42" s="124"/>
      <c r="G42" s="130"/>
      <c r="H42" s="124"/>
      <c r="I42" s="243"/>
      <c r="J42" s="123"/>
      <c r="K42" s="123"/>
      <c r="L42" s="246"/>
      <c r="M42" s="123"/>
      <c r="N42" s="123"/>
      <c r="O42" s="123"/>
      <c r="P42" s="123"/>
      <c r="Q42" t="str">
        <f t="shared" si="0"/>
        <v/>
      </c>
    </row>
    <row r="43" spans="3:17" hidden="1">
      <c r="C43" s="123"/>
      <c r="D43" s="123"/>
      <c r="E43" s="124"/>
      <c r="F43" s="124"/>
      <c r="G43" s="130"/>
      <c r="H43" s="124"/>
      <c r="I43" s="243"/>
      <c r="J43" s="123"/>
      <c r="K43" s="123"/>
      <c r="L43" s="246"/>
      <c r="M43" s="123"/>
      <c r="N43" s="123"/>
      <c r="O43" s="123"/>
      <c r="P43" s="123"/>
      <c r="Q43" t="str">
        <f t="shared" si="0"/>
        <v/>
      </c>
    </row>
    <row r="44" spans="3:17" hidden="1">
      <c r="C44" s="123"/>
      <c r="D44" s="123"/>
      <c r="E44" s="124"/>
      <c r="F44" s="124"/>
      <c r="G44" s="130"/>
      <c r="H44" s="124"/>
      <c r="I44" s="243"/>
      <c r="J44" s="123"/>
      <c r="K44" s="123"/>
      <c r="L44" s="246"/>
      <c r="M44" s="123"/>
      <c r="N44" s="123"/>
      <c r="O44" s="123"/>
      <c r="P44" s="123"/>
      <c r="Q44" t="str">
        <f t="shared" si="0"/>
        <v/>
      </c>
    </row>
    <row r="45" spans="3:17" hidden="1">
      <c r="C45" s="123"/>
      <c r="D45" s="123"/>
      <c r="E45" s="124"/>
      <c r="F45" s="124"/>
      <c r="G45" s="130"/>
      <c r="H45" s="124"/>
      <c r="I45" s="243"/>
      <c r="J45" s="123"/>
      <c r="K45" s="123"/>
      <c r="L45" s="246"/>
      <c r="M45" s="123"/>
      <c r="N45" s="123"/>
      <c r="O45" s="123"/>
      <c r="P45" s="123"/>
      <c r="Q45" t="str">
        <f t="shared" si="0"/>
        <v/>
      </c>
    </row>
    <row r="46" spans="3:17" hidden="1">
      <c r="C46" s="123"/>
      <c r="D46" s="123"/>
      <c r="E46" s="124"/>
      <c r="F46" s="124"/>
      <c r="G46" s="130"/>
      <c r="H46" s="124"/>
      <c r="I46" s="243"/>
      <c r="J46" s="123"/>
      <c r="K46" s="123"/>
      <c r="L46" s="246"/>
      <c r="M46" s="123"/>
      <c r="N46" s="123"/>
      <c r="O46" s="123"/>
      <c r="P46" s="123"/>
      <c r="Q46" t="str">
        <f t="shared" si="0"/>
        <v/>
      </c>
    </row>
    <row r="47" spans="3:17" hidden="1">
      <c r="C47" s="123"/>
      <c r="D47" s="123"/>
      <c r="E47" s="124"/>
      <c r="F47" s="124"/>
      <c r="G47" s="130"/>
      <c r="H47" s="124"/>
      <c r="I47" s="243"/>
      <c r="J47" s="123"/>
      <c r="K47" s="123"/>
      <c r="L47" s="246"/>
      <c r="M47" s="123"/>
      <c r="N47" s="123"/>
      <c r="O47" s="123"/>
      <c r="P47" s="123"/>
      <c r="Q47" t="str">
        <f t="shared" si="0"/>
        <v/>
      </c>
    </row>
    <row r="48" spans="3:17" hidden="1">
      <c r="C48" s="123"/>
      <c r="D48" s="123"/>
      <c r="E48" s="124"/>
      <c r="F48" s="124"/>
      <c r="G48" s="130"/>
      <c r="H48" s="124"/>
      <c r="I48" s="243"/>
      <c r="J48" s="123"/>
      <c r="K48" s="123"/>
      <c r="L48" s="246"/>
      <c r="M48" s="123"/>
      <c r="N48" s="123"/>
      <c r="O48" s="123"/>
      <c r="P48" s="123"/>
      <c r="Q48" t="str">
        <f t="shared" si="0"/>
        <v/>
      </c>
    </row>
    <row r="49" spans="3:17" hidden="1">
      <c r="C49" s="123"/>
      <c r="D49" s="123"/>
      <c r="E49" s="124"/>
      <c r="F49" s="124"/>
      <c r="G49" s="130"/>
      <c r="H49" s="124"/>
      <c r="I49" s="243"/>
      <c r="J49" s="123"/>
      <c r="K49" s="123"/>
      <c r="L49" s="246"/>
      <c r="M49" s="123"/>
      <c r="N49" s="123"/>
      <c r="O49" s="123"/>
      <c r="P49" s="123"/>
      <c r="Q49" t="str">
        <f t="shared" si="0"/>
        <v/>
      </c>
    </row>
    <row r="50" spans="3:17" hidden="1">
      <c r="C50" s="123"/>
      <c r="D50" s="123"/>
      <c r="E50" s="124"/>
      <c r="F50" s="124"/>
      <c r="G50" s="130"/>
      <c r="H50" s="124"/>
      <c r="I50" s="243"/>
      <c r="J50" s="123"/>
      <c r="K50" s="123"/>
      <c r="L50" s="246"/>
      <c r="M50" s="123"/>
      <c r="N50" s="123"/>
      <c r="O50" s="123"/>
      <c r="P50" s="123"/>
      <c r="Q50" t="str">
        <f t="shared" si="0"/>
        <v/>
      </c>
    </row>
    <row r="51" spans="3:17" hidden="1">
      <c r="C51" s="123"/>
      <c r="D51" s="123"/>
      <c r="E51" s="124"/>
      <c r="F51" s="124"/>
      <c r="G51" s="130"/>
      <c r="H51" s="124"/>
      <c r="I51" s="243"/>
      <c r="J51" s="123"/>
      <c r="K51" s="123"/>
      <c r="L51" s="246"/>
      <c r="M51" s="123"/>
      <c r="N51" s="123"/>
      <c r="O51" s="123"/>
      <c r="P51" s="123"/>
      <c r="Q51" t="str">
        <f t="shared" si="0"/>
        <v/>
      </c>
    </row>
    <row r="52" spans="3:17" hidden="1">
      <c r="C52" s="123"/>
      <c r="D52" s="123"/>
      <c r="E52" s="124"/>
      <c r="F52" s="124"/>
      <c r="G52" s="130"/>
      <c r="H52" s="124"/>
      <c r="I52" s="243"/>
      <c r="J52" s="123"/>
      <c r="K52" s="123"/>
      <c r="L52" s="246"/>
      <c r="M52" s="123"/>
      <c r="N52" s="123"/>
      <c r="O52" s="123"/>
      <c r="P52" s="123"/>
      <c r="Q52" t="str">
        <f t="shared" si="0"/>
        <v/>
      </c>
    </row>
    <row r="53" spans="3:17" hidden="1">
      <c r="C53" s="123"/>
      <c r="D53" s="123"/>
      <c r="E53" s="124"/>
      <c r="F53" s="124"/>
      <c r="G53" s="130"/>
      <c r="H53" s="124"/>
      <c r="I53" s="243"/>
      <c r="J53" s="123"/>
      <c r="K53" s="123"/>
      <c r="L53" s="246"/>
      <c r="M53" s="123"/>
      <c r="N53" s="123"/>
      <c r="O53" s="123"/>
      <c r="P53" s="123"/>
      <c r="Q53" t="str">
        <f t="shared" si="0"/>
        <v/>
      </c>
    </row>
    <row r="54" spans="3:17" hidden="1">
      <c r="C54" s="123"/>
      <c r="D54" s="123"/>
      <c r="E54" s="124"/>
      <c r="F54" s="124"/>
      <c r="G54" s="130"/>
      <c r="H54" s="124"/>
      <c r="I54" s="243"/>
      <c r="J54" s="123"/>
      <c r="K54" s="123"/>
      <c r="L54" s="246"/>
      <c r="M54" s="123"/>
      <c r="N54" s="123"/>
      <c r="O54" s="123"/>
      <c r="P54" s="123"/>
      <c r="Q54" t="str">
        <f t="shared" si="0"/>
        <v/>
      </c>
    </row>
    <row r="55" spans="3:17" hidden="1">
      <c r="C55" s="123"/>
      <c r="D55" s="123"/>
      <c r="E55" s="124"/>
      <c r="F55" s="124"/>
      <c r="G55" s="130"/>
      <c r="H55" s="124"/>
      <c r="I55" s="243"/>
      <c r="J55" s="123"/>
      <c r="K55" s="123"/>
      <c r="L55" s="246"/>
      <c r="M55" s="123"/>
      <c r="N55" s="123"/>
      <c r="O55" s="123"/>
      <c r="P55" s="123"/>
      <c r="Q55" t="str">
        <f t="shared" si="0"/>
        <v/>
      </c>
    </row>
    <row r="56" spans="3:17" hidden="1">
      <c r="C56" s="123"/>
      <c r="D56" s="123"/>
      <c r="E56" s="124"/>
      <c r="F56" s="124"/>
      <c r="G56" s="130"/>
      <c r="H56" s="124"/>
      <c r="I56" s="243"/>
      <c r="J56" s="123"/>
      <c r="K56" s="123"/>
      <c r="L56" s="246"/>
      <c r="M56" s="123"/>
      <c r="N56" s="123"/>
      <c r="O56" s="123"/>
      <c r="P56" s="123"/>
      <c r="Q56" t="str">
        <f t="shared" si="0"/>
        <v/>
      </c>
    </row>
    <row r="57" spans="3:17" hidden="1">
      <c r="C57" s="123"/>
      <c r="D57" s="123"/>
      <c r="E57" s="124"/>
      <c r="F57" s="124"/>
      <c r="G57" s="130"/>
      <c r="H57" s="124"/>
      <c r="I57" s="243"/>
      <c r="J57" s="123"/>
      <c r="K57" s="123"/>
      <c r="L57" s="246"/>
      <c r="M57" s="123"/>
      <c r="N57" s="123"/>
      <c r="O57" s="123"/>
      <c r="P57" s="123"/>
      <c r="Q57" t="str">
        <f t="shared" si="0"/>
        <v/>
      </c>
    </row>
    <row r="58" spans="3:17" hidden="1">
      <c r="C58" s="123"/>
      <c r="D58" s="123"/>
      <c r="E58" s="124"/>
      <c r="F58" s="124"/>
      <c r="G58" s="130"/>
      <c r="H58" s="124"/>
      <c r="I58" s="243"/>
      <c r="J58" s="123"/>
      <c r="K58" s="123"/>
      <c r="L58" s="246"/>
      <c r="M58" s="123"/>
      <c r="N58" s="123"/>
      <c r="O58" s="123"/>
      <c r="P58" s="123"/>
      <c r="Q58" t="str">
        <f t="shared" si="0"/>
        <v/>
      </c>
    </row>
    <row r="59" spans="3:17" hidden="1">
      <c r="C59" s="123"/>
      <c r="D59" s="123"/>
      <c r="E59" s="124"/>
      <c r="F59" s="124"/>
      <c r="G59" s="130"/>
      <c r="H59" s="124"/>
      <c r="I59" s="243"/>
      <c r="J59" s="123"/>
      <c r="K59" s="123"/>
      <c r="L59" s="246"/>
      <c r="M59" s="123"/>
      <c r="N59" s="123"/>
      <c r="O59" s="123"/>
      <c r="P59" s="123"/>
      <c r="Q59" t="str">
        <f t="shared" si="0"/>
        <v/>
      </c>
    </row>
    <row r="60" spans="3:17" hidden="1">
      <c r="C60" s="123"/>
      <c r="D60" s="123"/>
      <c r="E60" s="124"/>
      <c r="F60" s="124"/>
      <c r="G60" s="130"/>
      <c r="H60" s="124"/>
      <c r="I60" s="243"/>
      <c r="J60" s="123"/>
      <c r="K60" s="123"/>
      <c r="L60" s="246"/>
      <c r="M60" s="123"/>
      <c r="N60" s="123"/>
      <c r="O60" s="123"/>
      <c r="P60" s="123"/>
      <c r="Q60" t="str">
        <f t="shared" si="0"/>
        <v/>
      </c>
    </row>
    <row r="61" spans="3:17" hidden="1">
      <c r="C61" s="123"/>
      <c r="D61" s="123"/>
      <c r="E61" s="124"/>
      <c r="F61" s="124"/>
      <c r="G61" s="130"/>
      <c r="H61" s="124"/>
      <c r="I61" s="243"/>
      <c r="J61" s="123"/>
      <c r="K61" s="123"/>
      <c r="L61" s="246"/>
      <c r="M61" s="123"/>
      <c r="N61" s="123"/>
      <c r="O61" s="123"/>
      <c r="P61" s="123"/>
      <c r="Q61" t="str">
        <f t="shared" si="0"/>
        <v/>
      </c>
    </row>
    <row r="62" spans="3:17" hidden="1">
      <c r="C62" s="123"/>
      <c r="D62" s="123"/>
      <c r="E62" s="124"/>
      <c r="F62" s="124"/>
      <c r="G62" s="130"/>
      <c r="H62" s="124"/>
      <c r="I62" s="243"/>
      <c r="J62" s="123"/>
      <c r="K62" s="123"/>
      <c r="L62" s="246"/>
      <c r="M62" s="123"/>
      <c r="N62" s="123"/>
      <c r="O62" s="123"/>
      <c r="P62" s="123"/>
      <c r="Q62" t="str">
        <f t="shared" si="0"/>
        <v/>
      </c>
    </row>
    <row r="63" spans="3:17" hidden="1">
      <c r="C63" s="123"/>
      <c r="D63" s="123"/>
      <c r="E63" s="124"/>
      <c r="F63" s="124"/>
      <c r="G63" s="130"/>
      <c r="H63" s="124"/>
      <c r="I63" s="243"/>
      <c r="J63" s="123"/>
      <c r="K63" s="123"/>
      <c r="L63" s="246"/>
      <c r="M63" s="123"/>
      <c r="N63" s="123"/>
      <c r="O63" s="123"/>
      <c r="P63" s="123"/>
      <c r="Q63" t="str">
        <f t="shared" si="0"/>
        <v/>
      </c>
    </row>
    <row r="64" spans="3:17" hidden="1">
      <c r="C64" s="123"/>
      <c r="D64" s="123"/>
      <c r="E64" s="124"/>
      <c r="F64" s="124"/>
      <c r="G64" s="130"/>
      <c r="H64" s="124"/>
      <c r="I64" s="243"/>
      <c r="J64" s="123"/>
      <c r="K64" s="123"/>
      <c r="L64" s="246"/>
      <c r="M64" s="123"/>
      <c r="N64" s="123"/>
      <c r="O64" s="123"/>
      <c r="P64" s="123"/>
      <c r="Q64" t="str">
        <f t="shared" si="0"/>
        <v/>
      </c>
    </row>
    <row r="65" spans="3:17" hidden="1">
      <c r="C65" s="123"/>
      <c r="D65" s="123"/>
      <c r="E65" s="124"/>
      <c r="F65" s="124"/>
      <c r="G65" s="130"/>
      <c r="H65" s="124"/>
      <c r="I65" s="243"/>
      <c r="J65" s="123"/>
      <c r="K65" s="123"/>
      <c r="L65" s="246"/>
      <c r="M65" s="123"/>
      <c r="N65" s="123"/>
      <c r="O65" s="123"/>
      <c r="P65" s="123"/>
      <c r="Q65" t="str">
        <f t="shared" si="0"/>
        <v/>
      </c>
    </row>
    <row r="66" spans="3:17" hidden="1">
      <c r="C66" s="123"/>
      <c r="D66" s="123"/>
      <c r="E66" s="124"/>
      <c r="F66" s="124"/>
      <c r="G66" s="130"/>
      <c r="H66" s="124"/>
      <c r="I66" s="243"/>
      <c r="J66" s="123"/>
      <c r="K66" s="123"/>
      <c r="L66" s="246"/>
      <c r="M66" s="123"/>
      <c r="N66" s="123"/>
      <c r="O66" s="123"/>
      <c r="P66" s="123"/>
      <c r="Q66" t="str">
        <f t="shared" si="0"/>
        <v/>
      </c>
    </row>
    <row r="67" spans="3:17" hidden="1">
      <c r="C67" s="123"/>
      <c r="D67" s="123"/>
      <c r="E67" s="124"/>
      <c r="F67" s="124"/>
      <c r="G67" s="130"/>
      <c r="H67" s="124"/>
      <c r="I67" s="243"/>
      <c r="J67" s="123"/>
      <c r="K67" s="123"/>
      <c r="L67" s="246"/>
      <c r="M67" s="123"/>
      <c r="N67" s="123"/>
      <c r="O67" s="123"/>
      <c r="P67" s="123"/>
      <c r="Q67" t="str">
        <f t="shared" si="0"/>
        <v/>
      </c>
    </row>
    <row r="68" spans="3:17" hidden="1">
      <c r="C68" s="123"/>
      <c r="D68" s="123"/>
      <c r="E68" s="124"/>
      <c r="F68" s="124"/>
      <c r="G68" s="130"/>
      <c r="H68" s="124"/>
      <c r="I68" s="243"/>
      <c r="J68" s="123"/>
      <c r="K68" s="123"/>
      <c r="L68" s="246"/>
      <c r="M68" s="123"/>
      <c r="N68" s="123"/>
      <c r="O68" s="123"/>
      <c r="P68" s="123"/>
      <c r="Q68" t="str">
        <f t="shared" si="0"/>
        <v/>
      </c>
    </row>
    <row r="69" spans="3:17" hidden="1">
      <c r="C69" s="123"/>
      <c r="D69" s="123"/>
      <c r="E69" s="124"/>
      <c r="F69" s="124"/>
      <c r="G69" s="130"/>
      <c r="H69" s="124"/>
      <c r="I69" s="243"/>
      <c r="J69" s="123"/>
      <c r="K69" s="123"/>
      <c r="L69" s="246"/>
      <c r="M69" s="123"/>
      <c r="N69" s="123"/>
      <c r="O69" s="123"/>
      <c r="P69" s="123"/>
      <c r="Q69" t="str">
        <f t="shared" si="0"/>
        <v/>
      </c>
    </row>
    <row r="70" spans="3:17" hidden="1">
      <c r="C70" s="123"/>
      <c r="D70" s="123"/>
      <c r="E70" s="124"/>
      <c r="F70" s="124"/>
      <c r="G70" s="130"/>
      <c r="H70" s="124"/>
      <c r="I70" s="243"/>
      <c r="J70" s="123"/>
      <c r="K70" s="123"/>
      <c r="L70" s="246"/>
      <c r="M70" s="123"/>
      <c r="N70" s="123"/>
      <c r="O70" s="123"/>
      <c r="P70" s="123"/>
      <c r="Q70" t="str">
        <f t="shared" si="0"/>
        <v/>
      </c>
    </row>
    <row r="71" spans="3:17" hidden="1">
      <c r="C71" s="123"/>
      <c r="D71" s="123"/>
      <c r="E71" s="124"/>
      <c r="F71" s="124"/>
      <c r="G71" s="130"/>
      <c r="H71" s="124"/>
      <c r="I71" s="243"/>
      <c r="J71" s="123"/>
      <c r="K71" s="123"/>
      <c r="L71" s="246"/>
      <c r="M71" s="123"/>
      <c r="N71" s="123"/>
      <c r="O71" s="123"/>
      <c r="P71" s="123"/>
      <c r="Q71" t="str">
        <f t="shared" ref="Q71:Q134" si="1">IF(D71="","","x")</f>
        <v/>
      </c>
    </row>
    <row r="72" spans="3:17" hidden="1">
      <c r="C72" s="123"/>
      <c r="D72" s="123"/>
      <c r="E72" s="124"/>
      <c r="F72" s="124"/>
      <c r="G72" s="130"/>
      <c r="H72" s="124"/>
      <c r="I72" s="243"/>
      <c r="J72" s="123"/>
      <c r="K72" s="123"/>
      <c r="L72" s="246"/>
      <c r="M72" s="123"/>
      <c r="N72" s="123"/>
      <c r="O72" s="123"/>
      <c r="P72" s="123"/>
      <c r="Q72" t="str">
        <f t="shared" si="1"/>
        <v/>
      </c>
    </row>
    <row r="73" spans="3:17" hidden="1">
      <c r="C73" s="123"/>
      <c r="D73" s="123"/>
      <c r="E73" s="124"/>
      <c r="F73" s="124"/>
      <c r="G73" s="130"/>
      <c r="H73" s="124"/>
      <c r="I73" s="243"/>
      <c r="J73" s="123"/>
      <c r="K73" s="123"/>
      <c r="L73" s="246"/>
      <c r="M73" s="123"/>
      <c r="N73" s="123"/>
      <c r="O73" s="123"/>
      <c r="P73" s="123"/>
      <c r="Q73" t="str">
        <f t="shared" si="1"/>
        <v/>
      </c>
    </row>
    <row r="74" spans="3:17" hidden="1">
      <c r="C74" s="123"/>
      <c r="D74" s="123"/>
      <c r="E74" s="124"/>
      <c r="F74" s="124"/>
      <c r="G74" s="130"/>
      <c r="H74" s="124"/>
      <c r="I74" s="243"/>
      <c r="J74" s="123"/>
      <c r="K74" s="123"/>
      <c r="L74" s="246"/>
      <c r="M74" s="123"/>
      <c r="N74" s="123"/>
      <c r="O74" s="123"/>
      <c r="P74" s="123"/>
      <c r="Q74" t="str">
        <f t="shared" si="1"/>
        <v/>
      </c>
    </row>
    <row r="75" spans="3:17" hidden="1">
      <c r="C75" s="123"/>
      <c r="D75" s="123"/>
      <c r="E75" s="124"/>
      <c r="F75" s="124"/>
      <c r="G75" s="130"/>
      <c r="H75" s="124"/>
      <c r="I75" s="243"/>
      <c r="J75" s="123"/>
      <c r="K75" s="123"/>
      <c r="L75" s="246"/>
      <c r="M75" s="123"/>
      <c r="N75" s="123"/>
      <c r="O75" s="123"/>
      <c r="P75" s="123"/>
      <c r="Q75" t="str">
        <f t="shared" si="1"/>
        <v/>
      </c>
    </row>
    <row r="76" spans="3:17" hidden="1">
      <c r="C76" s="123"/>
      <c r="D76" s="123"/>
      <c r="E76" s="124"/>
      <c r="F76" s="124"/>
      <c r="G76" s="130"/>
      <c r="H76" s="124"/>
      <c r="I76" s="243"/>
      <c r="J76" s="123"/>
      <c r="K76" s="123"/>
      <c r="L76" s="246"/>
      <c r="M76" s="123"/>
      <c r="N76" s="123"/>
      <c r="O76" s="123"/>
      <c r="P76" s="123"/>
      <c r="Q76" t="str">
        <f t="shared" si="1"/>
        <v/>
      </c>
    </row>
    <row r="77" spans="3:17" hidden="1">
      <c r="C77" s="123"/>
      <c r="D77" s="123"/>
      <c r="E77" s="124"/>
      <c r="F77" s="124"/>
      <c r="G77" s="130"/>
      <c r="H77" s="124"/>
      <c r="I77" s="243"/>
      <c r="J77" s="123"/>
      <c r="K77" s="123"/>
      <c r="L77" s="246"/>
      <c r="M77" s="123"/>
      <c r="N77" s="123"/>
      <c r="O77" s="123"/>
      <c r="P77" s="123"/>
      <c r="Q77" t="str">
        <f t="shared" si="1"/>
        <v/>
      </c>
    </row>
    <row r="78" spans="3:17" hidden="1">
      <c r="C78" s="123"/>
      <c r="D78" s="123"/>
      <c r="E78" s="124"/>
      <c r="F78" s="124"/>
      <c r="G78" s="130"/>
      <c r="H78" s="124"/>
      <c r="I78" s="243"/>
      <c r="J78" s="123"/>
      <c r="K78" s="123"/>
      <c r="L78" s="246"/>
      <c r="M78" s="123"/>
      <c r="N78" s="123"/>
      <c r="O78" s="123"/>
      <c r="P78" s="123"/>
      <c r="Q78" t="str">
        <f t="shared" si="1"/>
        <v/>
      </c>
    </row>
    <row r="79" spans="3:17" hidden="1">
      <c r="C79" s="123"/>
      <c r="D79" s="123"/>
      <c r="E79" s="124"/>
      <c r="F79" s="124"/>
      <c r="G79" s="130"/>
      <c r="H79" s="124"/>
      <c r="I79" s="243"/>
      <c r="J79" s="123"/>
      <c r="K79" s="123"/>
      <c r="L79" s="246"/>
      <c r="M79" s="123"/>
      <c r="N79" s="123"/>
      <c r="O79" s="123"/>
      <c r="P79" s="123"/>
      <c r="Q79" t="str">
        <f t="shared" si="1"/>
        <v/>
      </c>
    </row>
    <row r="80" spans="3:17" hidden="1">
      <c r="C80" s="123"/>
      <c r="D80" s="123"/>
      <c r="E80" s="124"/>
      <c r="F80" s="124"/>
      <c r="G80" s="130"/>
      <c r="H80" s="124"/>
      <c r="I80" s="243"/>
      <c r="J80" s="123"/>
      <c r="K80" s="123"/>
      <c r="L80" s="246"/>
      <c r="M80" s="123"/>
      <c r="N80" s="123"/>
      <c r="O80" s="123"/>
      <c r="P80" s="123"/>
      <c r="Q80" t="str">
        <f t="shared" si="1"/>
        <v/>
      </c>
    </row>
    <row r="81" spans="3:17" hidden="1">
      <c r="C81" s="123"/>
      <c r="D81" s="123"/>
      <c r="E81" s="124"/>
      <c r="F81" s="124"/>
      <c r="G81" s="130"/>
      <c r="H81" s="124"/>
      <c r="I81" s="243"/>
      <c r="J81" s="123"/>
      <c r="K81" s="123"/>
      <c r="L81" s="246"/>
      <c r="M81" s="123"/>
      <c r="N81" s="123"/>
      <c r="O81" s="123"/>
      <c r="P81" s="123"/>
      <c r="Q81" t="str">
        <f t="shared" si="1"/>
        <v/>
      </c>
    </row>
    <row r="82" spans="3:17" hidden="1">
      <c r="C82" s="123"/>
      <c r="D82" s="123"/>
      <c r="E82" s="124"/>
      <c r="F82" s="124"/>
      <c r="G82" s="130"/>
      <c r="H82" s="124"/>
      <c r="I82" s="243"/>
      <c r="J82" s="123"/>
      <c r="K82" s="123"/>
      <c r="L82" s="246"/>
      <c r="M82" s="123"/>
      <c r="N82" s="123"/>
      <c r="O82" s="123"/>
      <c r="P82" s="123"/>
      <c r="Q82" t="str">
        <f t="shared" si="1"/>
        <v/>
      </c>
    </row>
    <row r="83" spans="3:17" hidden="1">
      <c r="C83" s="123"/>
      <c r="D83" s="123"/>
      <c r="E83" s="124"/>
      <c r="F83" s="124"/>
      <c r="G83" s="130"/>
      <c r="H83" s="124"/>
      <c r="I83" s="243"/>
      <c r="J83" s="123"/>
      <c r="K83" s="123"/>
      <c r="L83" s="246"/>
      <c r="M83" s="123"/>
      <c r="N83" s="123"/>
      <c r="O83" s="123"/>
      <c r="P83" s="123"/>
      <c r="Q83" t="str">
        <f t="shared" si="1"/>
        <v/>
      </c>
    </row>
    <row r="84" spans="3:17" hidden="1">
      <c r="C84" s="123"/>
      <c r="D84" s="123"/>
      <c r="E84" s="124"/>
      <c r="F84" s="124"/>
      <c r="G84" s="130"/>
      <c r="H84" s="124"/>
      <c r="I84" s="243"/>
      <c r="J84" s="123"/>
      <c r="K84" s="123"/>
      <c r="L84" s="246"/>
      <c r="M84" s="123"/>
      <c r="N84" s="123"/>
      <c r="O84" s="123"/>
      <c r="P84" s="123"/>
      <c r="Q84" t="str">
        <f t="shared" si="1"/>
        <v/>
      </c>
    </row>
    <row r="85" spans="3:17" hidden="1">
      <c r="C85" s="123"/>
      <c r="D85" s="123"/>
      <c r="E85" s="124"/>
      <c r="F85" s="124"/>
      <c r="G85" s="130"/>
      <c r="H85" s="124"/>
      <c r="I85" s="243"/>
      <c r="J85" s="123"/>
      <c r="K85" s="123"/>
      <c r="L85" s="246"/>
      <c r="M85" s="123"/>
      <c r="N85" s="123"/>
      <c r="O85" s="123"/>
      <c r="P85" s="123"/>
      <c r="Q85" t="str">
        <f t="shared" si="1"/>
        <v/>
      </c>
    </row>
    <row r="86" spans="3:17" hidden="1">
      <c r="C86" s="123"/>
      <c r="D86" s="123"/>
      <c r="E86" s="124"/>
      <c r="F86" s="124"/>
      <c r="G86" s="130"/>
      <c r="H86" s="124"/>
      <c r="I86" s="243"/>
      <c r="J86" s="123"/>
      <c r="K86" s="123"/>
      <c r="L86" s="246"/>
      <c r="M86" s="123"/>
      <c r="N86" s="123"/>
      <c r="O86" s="123"/>
      <c r="P86" s="123"/>
      <c r="Q86" t="str">
        <f t="shared" si="1"/>
        <v/>
      </c>
    </row>
    <row r="87" spans="3:17" hidden="1">
      <c r="C87" s="123"/>
      <c r="D87" s="123"/>
      <c r="E87" s="124"/>
      <c r="F87" s="124"/>
      <c r="G87" s="130"/>
      <c r="H87" s="124"/>
      <c r="I87" s="243"/>
      <c r="J87" s="123"/>
      <c r="K87" s="123"/>
      <c r="L87" s="246"/>
      <c r="M87" s="123"/>
      <c r="N87" s="123"/>
      <c r="O87" s="123"/>
      <c r="P87" s="123"/>
      <c r="Q87" t="str">
        <f t="shared" si="1"/>
        <v/>
      </c>
    </row>
    <row r="88" spans="3:17" hidden="1">
      <c r="C88" s="123"/>
      <c r="D88" s="123"/>
      <c r="E88" s="124"/>
      <c r="F88" s="124"/>
      <c r="G88" s="130"/>
      <c r="H88" s="124"/>
      <c r="I88" s="243"/>
      <c r="J88" s="123"/>
      <c r="K88" s="123"/>
      <c r="L88" s="246"/>
      <c r="M88" s="123"/>
      <c r="N88" s="123"/>
      <c r="O88" s="123"/>
      <c r="P88" s="123"/>
      <c r="Q88" t="str">
        <f t="shared" si="1"/>
        <v/>
      </c>
    </row>
    <row r="89" spans="3:17" hidden="1">
      <c r="C89" s="123"/>
      <c r="D89" s="123"/>
      <c r="E89" s="124"/>
      <c r="F89" s="124"/>
      <c r="G89" s="130"/>
      <c r="H89" s="124"/>
      <c r="I89" s="243"/>
      <c r="J89" s="123"/>
      <c r="K89" s="123"/>
      <c r="L89" s="246"/>
      <c r="M89" s="123"/>
      <c r="N89" s="123"/>
      <c r="O89" s="123"/>
      <c r="P89" s="123"/>
      <c r="Q89" t="str">
        <f t="shared" si="1"/>
        <v/>
      </c>
    </row>
    <row r="90" spans="3:17" hidden="1">
      <c r="C90" s="123"/>
      <c r="D90" s="123"/>
      <c r="E90" s="124"/>
      <c r="F90" s="124"/>
      <c r="G90" s="130"/>
      <c r="H90" s="124"/>
      <c r="I90" s="243"/>
      <c r="J90" s="123"/>
      <c r="K90" s="123"/>
      <c r="L90" s="246"/>
      <c r="M90" s="123"/>
      <c r="N90" s="123"/>
      <c r="O90" s="123"/>
      <c r="P90" s="123"/>
      <c r="Q90" t="str">
        <f t="shared" si="1"/>
        <v/>
      </c>
    </row>
    <row r="91" spans="3:17" hidden="1">
      <c r="C91" s="123"/>
      <c r="D91" s="123"/>
      <c r="E91" s="124"/>
      <c r="F91" s="124"/>
      <c r="G91" s="130"/>
      <c r="H91" s="124"/>
      <c r="I91" s="243"/>
      <c r="J91" s="123"/>
      <c r="K91" s="123"/>
      <c r="L91" s="246"/>
      <c r="M91" s="123"/>
      <c r="N91" s="123"/>
      <c r="O91" s="123"/>
      <c r="P91" s="123"/>
      <c r="Q91" t="str">
        <f t="shared" si="1"/>
        <v/>
      </c>
    </row>
    <row r="92" spans="3:17" hidden="1">
      <c r="C92" s="123"/>
      <c r="D92" s="123"/>
      <c r="E92" s="124"/>
      <c r="F92" s="124"/>
      <c r="G92" s="130"/>
      <c r="H92" s="124"/>
      <c r="I92" s="243"/>
      <c r="J92" s="123"/>
      <c r="K92" s="123"/>
      <c r="L92" s="246"/>
      <c r="M92" s="123"/>
      <c r="N92" s="123"/>
      <c r="O92" s="123"/>
      <c r="P92" s="123"/>
      <c r="Q92" t="str">
        <f t="shared" si="1"/>
        <v/>
      </c>
    </row>
    <row r="93" spans="3:17" hidden="1">
      <c r="C93" s="123"/>
      <c r="D93" s="123"/>
      <c r="E93" s="124"/>
      <c r="F93" s="124"/>
      <c r="G93" s="130"/>
      <c r="H93" s="124"/>
      <c r="I93" s="243"/>
      <c r="J93" s="123"/>
      <c r="K93" s="123"/>
      <c r="L93" s="246"/>
      <c r="M93" s="123"/>
      <c r="N93" s="123"/>
      <c r="O93" s="123"/>
      <c r="P93" s="123"/>
      <c r="Q93" t="str">
        <f t="shared" si="1"/>
        <v/>
      </c>
    </row>
    <row r="94" spans="3:17" hidden="1">
      <c r="C94" s="123"/>
      <c r="D94" s="123"/>
      <c r="E94" s="124"/>
      <c r="F94" s="124"/>
      <c r="G94" s="130"/>
      <c r="H94" s="124"/>
      <c r="I94" s="243"/>
      <c r="J94" s="123"/>
      <c r="K94" s="123"/>
      <c r="L94" s="246"/>
      <c r="M94" s="123"/>
      <c r="N94" s="123"/>
      <c r="O94" s="123"/>
      <c r="P94" s="123"/>
      <c r="Q94" t="str">
        <f t="shared" si="1"/>
        <v/>
      </c>
    </row>
    <row r="95" spans="3:17" hidden="1">
      <c r="C95" s="123"/>
      <c r="D95" s="123"/>
      <c r="E95" s="124"/>
      <c r="F95" s="124"/>
      <c r="G95" s="130"/>
      <c r="H95" s="124"/>
      <c r="I95" s="243"/>
      <c r="J95" s="123"/>
      <c r="K95" s="123"/>
      <c r="L95" s="246"/>
      <c r="M95" s="123"/>
      <c r="N95" s="123"/>
      <c r="O95" s="123"/>
      <c r="P95" s="123"/>
      <c r="Q95" t="str">
        <f t="shared" si="1"/>
        <v/>
      </c>
    </row>
    <row r="96" spans="3:17" hidden="1">
      <c r="C96" s="123"/>
      <c r="D96" s="123"/>
      <c r="E96" s="124"/>
      <c r="F96" s="124"/>
      <c r="G96" s="130"/>
      <c r="H96" s="124"/>
      <c r="I96" s="243"/>
      <c r="J96" s="123"/>
      <c r="K96" s="123"/>
      <c r="L96" s="246"/>
      <c r="M96" s="123"/>
      <c r="N96" s="123"/>
      <c r="O96" s="123"/>
      <c r="P96" s="123"/>
      <c r="Q96" t="str">
        <f t="shared" si="1"/>
        <v/>
      </c>
    </row>
    <row r="97" spans="3:17" hidden="1">
      <c r="C97" s="123"/>
      <c r="D97" s="123"/>
      <c r="E97" s="124"/>
      <c r="F97" s="124"/>
      <c r="G97" s="130"/>
      <c r="H97" s="124"/>
      <c r="I97" s="243"/>
      <c r="J97" s="123"/>
      <c r="K97" s="123"/>
      <c r="L97" s="246"/>
      <c r="M97" s="123"/>
      <c r="N97" s="123"/>
      <c r="O97" s="123"/>
      <c r="P97" s="123"/>
      <c r="Q97" t="str">
        <f t="shared" si="1"/>
        <v/>
      </c>
    </row>
    <row r="98" spans="3:17" hidden="1">
      <c r="C98" s="123"/>
      <c r="D98" s="123"/>
      <c r="E98" s="124"/>
      <c r="F98" s="124"/>
      <c r="G98" s="130"/>
      <c r="H98" s="124"/>
      <c r="I98" s="243"/>
      <c r="J98" s="123"/>
      <c r="K98" s="123"/>
      <c r="L98" s="246"/>
      <c r="M98" s="123"/>
      <c r="N98" s="123"/>
      <c r="O98" s="123"/>
      <c r="P98" s="123"/>
      <c r="Q98" t="str">
        <f t="shared" si="1"/>
        <v/>
      </c>
    </row>
    <row r="99" spans="3:17" hidden="1">
      <c r="C99" s="123"/>
      <c r="D99" s="123"/>
      <c r="E99" s="124"/>
      <c r="F99" s="124"/>
      <c r="G99" s="130"/>
      <c r="H99" s="124"/>
      <c r="I99" s="243"/>
      <c r="J99" s="123"/>
      <c r="K99" s="123"/>
      <c r="L99" s="246"/>
      <c r="M99" s="123"/>
      <c r="N99" s="123"/>
      <c r="O99" s="123"/>
      <c r="P99" s="123"/>
      <c r="Q99" t="str">
        <f t="shared" si="1"/>
        <v/>
      </c>
    </row>
    <row r="100" spans="3:17" hidden="1">
      <c r="C100" s="123"/>
      <c r="D100" s="123"/>
      <c r="E100" s="124"/>
      <c r="F100" s="124"/>
      <c r="G100" s="130"/>
      <c r="H100" s="124"/>
      <c r="I100" s="243"/>
      <c r="J100" s="123"/>
      <c r="K100" s="123"/>
      <c r="L100" s="246"/>
      <c r="M100" s="123"/>
      <c r="N100" s="123"/>
      <c r="O100" s="123"/>
      <c r="P100" s="123"/>
      <c r="Q100" t="str">
        <f t="shared" si="1"/>
        <v/>
      </c>
    </row>
    <row r="101" spans="3:17" hidden="1">
      <c r="C101" s="123"/>
      <c r="D101" s="123"/>
      <c r="E101" s="124"/>
      <c r="F101" s="124"/>
      <c r="G101" s="130"/>
      <c r="H101" s="124"/>
      <c r="I101" s="243"/>
      <c r="J101" s="123"/>
      <c r="K101" s="123"/>
      <c r="L101" s="246"/>
      <c r="M101" s="123"/>
      <c r="N101" s="123"/>
      <c r="O101" s="123"/>
      <c r="P101" s="123"/>
      <c r="Q101" t="str">
        <f t="shared" si="1"/>
        <v/>
      </c>
    </row>
    <row r="102" spans="3:17" hidden="1">
      <c r="C102" s="123"/>
      <c r="D102" s="123"/>
      <c r="E102" s="124"/>
      <c r="F102" s="124"/>
      <c r="G102" s="130"/>
      <c r="H102" s="124"/>
      <c r="I102" s="243"/>
      <c r="J102" s="123"/>
      <c r="K102" s="123"/>
      <c r="L102" s="246"/>
      <c r="M102" s="123"/>
      <c r="N102" s="123"/>
      <c r="O102" s="123"/>
      <c r="P102" s="123"/>
      <c r="Q102" t="str">
        <f t="shared" si="1"/>
        <v/>
      </c>
    </row>
    <row r="103" spans="3:17" hidden="1">
      <c r="C103" s="123"/>
      <c r="D103" s="123"/>
      <c r="E103" s="124"/>
      <c r="F103" s="124"/>
      <c r="G103" s="130"/>
      <c r="H103" s="124"/>
      <c r="I103" s="243"/>
      <c r="J103" s="123"/>
      <c r="K103" s="123"/>
      <c r="L103" s="246"/>
      <c r="M103" s="123"/>
      <c r="N103" s="123"/>
      <c r="O103" s="123"/>
      <c r="P103" s="123"/>
      <c r="Q103" t="str">
        <f t="shared" si="1"/>
        <v/>
      </c>
    </row>
    <row r="104" spans="3:17" hidden="1">
      <c r="C104" s="123"/>
      <c r="D104" s="123"/>
      <c r="E104" s="124"/>
      <c r="F104" s="124"/>
      <c r="G104" s="130"/>
      <c r="H104" s="124"/>
      <c r="I104" s="243"/>
      <c r="J104" s="123"/>
      <c r="K104" s="123"/>
      <c r="L104" s="246"/>
      <c r="M104" s="123"/>
      <c r="N104" s="123"/>
      <c r="O104" s="123"/>
      <c r="P104" s="123"/>
      <c r="Q104" t="str">
        <f t="shared" si="1"/>
        <v/>
      </c>
    </row>
    <row r="105" spans="3:17" hidden="1">
      <c r="C105" s="123"/>
      <c r="D105" s="123"/>
      <c r="E105" s="124"/>
      <c r="F105" s="124"/>
      <c r="G105" s="130"/>
      <c r="H105" s="124"/>
      <c r="I105" s="243"/>
      <c r="J105" s="123"/>
      <c r="K105" s="123"/>
      <c r="L105" s="246"/>
      <c r="M105" s="123"/>
      <c r="N105" s="123"/>
      <c r="O105" s="123"/>
      <c r="P105" s="123"/>
      <c r="Q105" t="str">
        <f t="shared" si="1"/>
        <v/>
      </c>
    </row>
    <row r="106" spans="3:17" hidden="1">
      <c r="C106" s="123"/>
      <c r="D106" s="123"/>
      <c r="E106" s="124"/>
      <c r="F106" s="124"/>
      <c r="G106" s="130"/>
      <c r="H106" s="124"/>
      <c r="I106" s="243"/>
      <c r="J106" s="123"/>
      <c r="K106" s="123"/>
      <c r="L106" s="246"/>
      <c r="M106" s="123"/>
      <c r="N106" s="123"/>
      <c r="O106" s="123"/>
      <c r="P106" s="123"/>
      <c r="Q106" t="str">
        <f t="shared" si="1"/>
        <v/>
      </c>
    </row>
    <row r="107" spans="3:17" hidden="1">
      <c r="C107" s="123"/>
      <c r="D107" s="123"/>
      <c r="E107" s="124"/>
      <c r="F107" s="124"/>
      <c r="G107" s="130"/>
      <c r="H107" s="124"/>
      <c r="I107" s="243"/>
      <c r="J107" s="123"/>
      <c r="K107" s="123"/>
      <c r="L107" s="246"/>
      <c r="M107" s="123"/>
      <c r="N107" s="123"/>
      <c r="O107" s="123"/>
      <c r="P107" s="123"/>
      <c r="Q107" t="str">
        <f t="shared" si="1"/>
        <v/>
      </c>
    </row>
    <row r="108" spans="3:17" hidden="1">
      <c r="C108" s="123"/>
      <c r="D108" s="123"/>
      <c r="E108" s="124"/>
      <c r="F108" s="124"/>
      <c r="G108" s="130"/>
      <c r="H108" s="124"/>
      <c r="I108" s="243"/>
      <c r="J108" s="123"/>
      <c r="K108" s="123"/>
      <c r="L108" s="246"/>
      <c r="M108" s="123"/>
      <c r="N108" s="123"/>
      <c r="O108" s="123"/>
      <c r="P108" s="123"/>
      <c r="Q108" t="str">
        <f t="shared" si="1"/>
        <v/>
      </c>
    </row>
    <row r="109" spans="3:17" hidden="1">
      <c r="C109" s="123"/>
      <c r="D109" s="123"/>
      <c r="E109" s="124"/>
      <c r="F109" s="124"/>
      <c r="G109" s="130"/>
      <c r="H109" s="124"/>
      <c r="I109" s="243"/>
      <c r="J109" s="123"/>
      <c r="K109" s="123"/>
      <c r="L109" s="246"/>
      <c r="M109" s="123"/>
      <c r="N109" s="123"/>
      <c r="O109" s="123"/>
      <c r="P109" s="123"/>
      <c r="Q109" t="str">
        <f t="shared" si="1"/>
        <v/>
      </c>
    </row>
    <row r="110" spans="3:17" hidden="1">
      <c r="C110" s="123"/>
      <c r="D110" s="123"/>
      <c r="E110" s="124"/>
      <c r="F110" s="124"/>
      <c r="G110" s="130"/>
      <c r="H110" s="124"/>
      <c r="I110" s="243"/>
      <c r="J110" s="123"/>
      <c r="K110" s="123"/>
      <c r="L110" s="246"/>
      <c r="M110" s="123"/>
      <c r="N110" s="123"/>
      <c r="O110" s="123"/>
      <c r="P110" s="123"/>
      <c r="Q110" t="str">
        <f t="shared" si="1"/>
        <v/>
      </c>
    </row>
    <row r="111" spans="3:17" hidden="1">
      <c r="C111" s="123"/>
      <c r="D111" s="123"/>
      <c r="E111" s="124"/>
      <c r="F111" s="124"/>
      <c r="G111" s="130"/>
      <c r="H111" s="124"/>
      <c r="I111" s="243"/>
      <c r="J111" s="123"/>
      <c r="K111" s="123"/>
      <c r="L111" s="246"/>
      <c r="M111" s="123"/>
      <c r="N111" s="123"/>
      <c r="O111" s="123"/>
      <c r="P111" s="123"/>
      <c r="Q111" t="str">
        <f t="shared" si="1"/>
        <v/>
      </c>
    </row>
    <row r="112" spans="3:17" hidden="1">
      <c r="C112" s="123"/>
      <c r="D112" s="123"/>
      <c r="E112" s="124"/>
      <c r="F112" s="124"/>
      <c r="G112" s="130"/>
      <c r="H112" s="124"/>
      <c r="I112" s="243"/>
      <c r="J112" s="123"/>
      <c r="K112" s="123"/>
      <c r="L112" s="246"/>
      <c r="M112" s="123"/>
      <c r="N112" s="123"/>
      <c r="O112" s="123"/>
      <c r="P112" s="123"/>
      <c r="Q112" t="str">
        <f t="shared" si="1"/>
        <v/>
      </c>
    </row>
    <row r="113" spans="3:17" hidden="1">
      <c r="C113" s="123"/>
      <c r="D113" s="123"/>
      <c r="E113" s="124"/>
      <c r="F113" s="124"/>
      <c r="G113" s="130"/>
      <c r="H113" s="124"/>
      <c r="I113" s="243"/>
      <c r="J113" s="123"/>
      <c r="K113" s="123"/>
      <c r="L113" s="246"/>
      <c r="M113" s="123"/>
      <c r="N113" s="123"/>
      <c r="O113" s="123"/>
      <c r="P113" s="123"/>
      <c r="Q113" t="str">
        <f t="shared" si="1"/>
        <v/>
      </c>
    </row>
    <row r="114" spans="3:17" hidden="1">
      <c r="C114" s="123"/>
      <c r="D114" s="123"/>
      <c r="E114" s="124"/>
      <c r="F114" s="124"/>
      <c r="G114" s="130"/>
      <c r="H114" s="124"/>
      <c r="I114" s="243"/>
      <c r="J114" s="123"/>
      <c r="K114" s="123"/>
      <c r="L114" s="246"/>
      <c r="M114" s="123"/>
      <c r="N114" s="123"/>
      <c r="O114" s="123"/>
      <c r="P114" s="123"/>
      <c r="Q114" t="str">
        <f t="shared" si="1"/>
        <v/>
      </c>
    </row>
    <row r="115" spans="3:17" hidden="1">
      <c r="C115" s="123"/>
      <c r="D115" s="123"/>
      <c r="E115" s="124"/>
      <c r="F115" s="124"/>
      <c r="G115" s="130"/>
      <c r="H115" s="124"/>
      <c r="I115" s="243"/>
      <c r="J115" s="123"/>
      <c r="K115" s="123"/>
      <c r="L115" s="246"/>
      <c r="M115" s="123"/>
      <c r="N115" s="123"/>
      <c r="O115" s="123"/>
      <c r="P115" s="123"/>
      <c r="Q115" t="str">
        <f t="shared" si="1"/>
        <v/>
      </c>
    </row>
    <row r="116" spans="3:17" hidden="1">
      <c r="C116" s="123"/>
      <c r="D116" s="123"/>
      <c r="E116" s="124"/>
      <c r="F116" s="124"/>
      <c r="G116" s="130"/>
      <c r="H116" s="124"/>
      <c r="I116" s="243"/>
      <c r="J116" s="123"/>
      <c r="K116" s="123"/>
      <c r="L116" s="246"/>
      <c r="M116" s="123"/>
      <c r="N116" s="123"/>
      <c r="O116" s="123"/>
      <c r="P116" s="123"/>
      <c r="Q116" t="str">
        <f t="shared" si="1"/>
        <v/>
      </c>
    </row>
    <row r="117" spans="3:17" hidden="1">
      <c r="C117" s="123"/>
      <c r="D117" s="123"/>
      <c r="E117" s="124"/>
      <c r="F117" s="124"/>
      <c r="G117" s="130"/>
      <c r="H117" s="124"/>
      <c r="I117" s="243"/>
      <c r="J117" s="123"/>
      <c r="K117" s="123"/>
      <c r="L117" s="246"/>
      <c r="M117" s="123"/>
      <c r="N117" s="123"/>
      <c r="O117" s="123"/>
      <c r="P117" s="123"/>
      <c r="Q117" t="str">
        <f t="shared" si="1"/>
        <v/>
      </c>
    </row>
    <row r="118" spans="3:17" hidden="1">
      <c r="C118" s="123"/>
      <c r="D118" s="123"/>
      <c r="E118" s="124"/>
      <c r="F118" s="124"/>
      <c r="G118" s="130"/>
      <c r="H118" s="124"/>
      <c r="I118" s="243"/>
      <c r="J118" s="123"/>
      <c r="K118" s="123"/>
      <c r="L118" s="246"/>
      <c r="M118" s="123"/>
      <c r="N118" s="123"/>
      <c r="O118" s="123"/>
      <c r="P118" s="123"/>
      <c r="Q118" t="str">
        <f t="shared" si="1"/>
        <v/>
      </c>
    </row>
    <row r="119" spans="3:17" hidden="1">
      <c r="C119" s="123"/>
      <c r="D119" s="123"/>
      <c r="E119" s="124"/>
      <c r="F119" s="124"/>
      <c r="G119" s="130"/>
      <c r="H119" s="124"/>
      <c r="I119" s="243"/>
      <c r="J119" s="123"/>
      <c r="K119" s="123"/>
      <c r="L119" s="246"/>
      <c r="M119" s="123"/>
      <c r="N119" s="123"/>
      <c r="O119" s="123"/>
      <c r="P119" s="123"/>
      <c r="Q119" t="str">
        <f t="shared" si="1"/>
        <v/>
      </c>
    </row>
    <row r="120" spans="3:17" hidden="1">
      <c r="C120" s="123"/>
      <c r="D120" s="123"/>
      <c r="E120" s="124"/>
      <c r="F120" s="124"/>
      <c r="G120" s="130"/>
      <c r="H120" s="124"/>
      <c r="I120" s="243"/>
      <c r="J120" s="123"/>
      <c r="K120" s="123"/>
      <c r="L120" s="246"/>
      <c r="M120" s="123"/>
      <c r="N120" s="123"/>
      <c r="O120" s="123"/>
      <c r="P120" s="123"/>
      <c r="Q120" t="str">
        <f t="shared" si="1"/>
        <v/>
      </c>
    </row>
    <row r="121" spans="3:17" hidden="1">
      <c r="C121" s="123"/>
      <c r="D121" s="123"/>
      <c r="E121" s="124"/>
      <c r="F121" s="124"/>
      <c r="G121" s="130"/>
      <c r="H121" s="124"/>
      <c r="I121" s="243"/>
      <c r="J121" s="123"/>
      <c r="K121" s="123"/>
      <c r="L121" s="246"/>
      <c r="M121" s="123"/>
      <c r="N121" s="123"/>
      <c r="O121" s="123"/>
      <c r="P121" s="123"/>
      <c r="Q121" t="str">
        <f t="shared" si="1"/>
        <v/>
      </c>
    </row>
    <row r="122" spans="3:17" hidden="1">
      <c r="C122" s="123"/>
      <c r="D122" s="123"/>
      <c r="E122" s="124"/>
      <c r="F122" s="124"/>
      <c r="G122" s="130"/>
      <c r="H122" s="124"/>
      <c r="I122" s="243"/>
      <c r="J122" s="123"/>
      <c r="K122" s="123"/>
      <c r="L122" s="246"/>
      <c r="M122" s="123"/>
      <c r="N122" s="123"/>
      <c r="O122" s="123"/>
      <c r="P122" s="123"/>
      <c r="Q122" t="str">
        <f t="shared" si="1"/>
        <v/>
      </c>
    </row>
    <row r="123" spans="3:17" hidden="1">
      <c r="C123" s="123"/>
      <c r="D123" s="123"/>
      <c r="E123" s="124"/>
      <c r="F123" s="124"/>
      <c r="G123" s="130"/>
      <c r="H123" s="124"/>
      <c r="I123" s="243"/>
      <c r="J123" s="123"/>
      <c r="K123" s="123"/>
      <c r="L123" s="246"/>
      <c r="M123" s="123"/>
      <c r="N123" s="123"/>
      <c r="O123" s="123"/>
      <c r="P123" s="123"/>
      <c r="Q123" t="str">
        <f t="shared" si="1"/>
        <v/>
      </c>
    </row>
    <row r="124" spans="3:17" hidden="1">
      <c r="C124" s="123"/>
      <c r="D124" s="123"/>
      <c r="E124" s="124"/>
      <c r="F124" s="124"/>
      <c r="G124" s="130"/>
      <c r="H124" s="124"/>
      <c r="I124" s="243"/>
      <c r="J124" s="123"/>
      <c r="K124" s="123"/>
      <c r="L124" s="246"/>
      <c r="M124" s="123"/>
      <c r="N124" s="123"/>
      <c r="O124" s="123"/>
      <c r="P124" s="123"/>
      <c r="Q124" t="str">
        <f t="shared" si="1"/>
        <v/>
      </c>
    </row>
    <row r="125" spans="3:17" hidden="1">
      <c r="C125" s="123"/>
      <c r="D125" s="123"/>
      <c r="E125" s="124"/>
      <c r="F125" s="124"/>
      <c r="G125" s="130"/>
      <c r="H125" s="124"/>
      <c r="I125" s="243"/>
      <c r="J125" s="123"/>
      <c r="K125" s="123"/>
      <c r="L125" s="246"/>
      <c r="M125" s="123"/>
      <c r="N125" s="123"/>
      <c r="O125" s="123"/>
      <c r="P125" s="123"/>
      <c r="Q125" t="str">
        <f t="shared" si="1"/>
        <v/>
      </c>
    </row>
    <row r="126" spans="3:17" hidden="1">
      <c r="C126" s="123"/>
      <c r="D126" s="123"/>
      <c r="E126" s="124"/>
      <c r="F126" s="124"/>
      <c r="G126" s="130"/>
      <c r="H126" s="124"/>
      <c r="I126" s="243"/>
      <c r="J126" s="123"/>
      <c r="K126" s="123"/>
      <c r="L126" s="246"/>
      <c r="M126" s="123"/>
      <c r="N126" s="123"/>
      <c r="O126" s="123"/>
      <c r="P126" s="123"/>
      <c r="Q126" t="str">
        <f t="shared" si="1"/>
        <v/>
      </c>
    </row>
    <row r="127" spans="3:17" hidden="1">
      <c r="C127" s="123"/>
      <c r="D127" s="123"/>
      <c r="E127" s="124"/>
      <c r="F127" s="124"/>
      <c r="G127" s="130"/>
      <c r="H127" s="124"/>
      <c r="I127" s="243"/>
      <c r="J127" s="123"/>
      <c r="K127" s="123"/>
      <c r="L127" s="246"/>
      <c r="M127" s="123"/>
      <c r="N127" s="123"/>
      <c r="O127" s="123"/>
      <c r="P127" s="123"/>
      <c r="Q127" t="str">
        <f t="shared" si="1"/>
        <v/>
      </c>
    </row>
    <row r="128" spans="3:17" hidden="1">
      <c r="C128" s="123"/>
      <c r="D128" s="123"/>
      <c r="E128" s="124"/>
      <c r="F128" s="124"/>
      <c r="G128" s="130"/>
      <c r="H128" s="124"/>
      <c r="I128" s="243"/>
      <c r="J128" s="123"/>
      <c r="K128" s="123"/>
      <c r="L128" s="246"/>
      <c r="M128" s="123"/>
      <c r="N128" s="123"/>
      <c r="O128" s="123"/>
      <c r="P128" s="123"/>
      <c r="Q128" t="str">
        <f t="shared" si="1"/>
        <v/>
      </c>
    </row>
    <row r="129" spans="3:17" hidden="1">
      <c r="C129" s="123"/>
      <c r="D129" s="123"/>
      <c r="E129" s="124"/>
      <c r="F129" s="124"/>
      <c r="G129" s="130"/>
      <c r="H129" s="124"/>
      <c r="I129" s="243"/>
      <c r="J129" s="123"/>
      <c r="K129" s="123"/>
      <c r="L129" s="246"/>
      <c r="M129" s="123"/>
      <c r="N129" s="123"/>
      <c r="O129" s="123"/>
      <c r="P129" s="123"/>
      <c r="Q129" t="str">
        <f t="shared" si="1"/>
        <v/>
      </c>
    </row>
    <row r="130" spans="3:17" hidden="1">
      <c r="C130" s="123"/>
      <c r="D130" s="123"/>
      <c r="E130" s="124"/>
      <c r="F130" s="124"/>
      <c r="G130" s="130"/>
      <c r="H130" s="124"/>
      <c r="I130" s="243"/>
      <c r="J130" s="123"/>
      <c r="K130" s="123"/>
      <c r="L130" s="246"/>
      <c r="M130" s="123"/>
      <c r="N130" s="123"/>
      <c r="O130" s="123"/>
      <c r="P130" s="123"/>
      <c r="Q130" t="str">
        <f t="shared" si="1"/>
        <v/>
      </c>
    </row>
    <row r="131" spans="3:17" hidden="1">
      <c r="C131" s="123"/>
      <c r="D131" s="123"/>
      <c r="E131" s="124"/>
      <c r="F131" s="124"/>
      <c r="G131" s="130"/>
      <c r="H131" s="124"/>
      <c r="I131" s="243"/>
      <c r="J131" s="123"/>
      <c r="K131" s="123"/>
      <c r="L131" s="246"/>
      <c r="M131" s="123"/>
      <c r="N131" s="123"/>
      <c r="O131" s="123"/>
      <c r="P131" s="123"/>
      <c r="Q131" t="str">
        <f t="shared" si="1"/>
        <v/>
      </c>
    </row>
    <row r="132" spans="3:17" hidden="1">
      <c r="C132" s="123"/>
      <c r="D132" s="123"/>
      <c r="E132" s="124"/>
      <c r="F132" s="124"/>
      <c r="G132" s="130"/>
      <c r="H132" s="124"/>
      <c r="I132" s="243"/>
      <c r="J132" s="123"/>
      <c r="K132" s="123"/>
      <c r="L132" s="246"/>
      <c r="M132" s="123"/>
      <c r="N132" s="123"/>
      <c r="O132" s="123"/>
      <c r="P132" s="123"/>
      <c r="Q132" t="str">
        <f t="shared" si="1"/>
        <v/>
      </c>
    </row>
    <row r="133" spans="3:17" hidden="1">
      <c r="C133" s="123"/>
      <c r="D133" s="123"/>
      <c r="E133" s="124"/>
      <c r="F133" s="124"/>
      <c r="G133" s="130"/>
      <c r="H133" s="124"/>
      <c r="I133" s="243"/>
      <c r="J133" s="123"/>
      <c r="K133" s="123"/>
      <c r="L133" s="246"/>
      <c r="M133" s="123"/>
      <c r="N133" s="123"/>
      <c r="O133" s="123"/>
      <c r="P133" s="123"/>
      <c r="Q133" t="str">
        <f t="shared" si="1"/>
        <v/>
      </c>
    </row>
    <row r="134" spans="3:17" hidden="1">
      <c r="C134" s="123"/>
      <c r="D134" s="123"/>
      <c r="E134" s="124"/>
      <c r="F134" s="124"/>
      <c r="G134" s="130"/>
      <c r="H134" s="124"/>
      <c r="I134" s="243"/>
      <c r="J134" s="123"/>
      <c r="K134" s="123"/>
      <c r="L134" s="246"/>
      <c r="M134" s="123"/>
      <c r="N134" s="123"/>
      <c r="O134" s="123"/>
      <c r="P134" s="123"/>
      <c r="Q134" t="str">
        <f t="shared" si="1"/>
        <v/>
      </c>
    </row>
    <row r="135" spans="3:17" hidden="1">
      <c r="C135" s="123"/>
      <c r="D135" s="123"/>
      <c r="E135" s="124"/>
      <c r="F135" s="124"/>
      <c r="G135" s="130"/>
      <c r="H135" s="124"/>
      <c r="I135" s="243"/>
      <c r="J135" s="123"/>
      <c r="K135" s="123"/>
      <c r="L135" s="246"/>
      <c r="M135" s="123"/>
      <c r="N135" s="123"/>
      <c r="O135" s="123"/>
      <c r="P135" s="123"/>
      <c r="Q135" t="str">
        <f t="shared" ref="Q135:Q198" si="2">IF(D135="","","x")</f>
        <v/>
      </c>
    </row>
    <row r="136" spans="3:17" hidden="1">
      <c r="C136" s="123"/>
      <c r="D136" s="123"/>
      <c r="E136" s="124"/>
      <c r="F136" s="124"/>
      <c r="G136" s="130"/>
      <c r="H136" s="124"/>
      <c r="I136" s="243"/>
      <c r="J136" s="123"/>
      <c r="K136" s="123"/>
      <c r="L136" s="246"/>
      <c r="M136" s="123"/>
      <c r="N136" s="123"/>
      <c r="O136" s="123"/>
      <c r="P136" s="123"/>
      <c r="Q136" t="str">
        <f t="shared" si="2"/>
        <v/>
      </c>
    </row>
    <row r="137" spans="3:17" hidden="1">
      <c r="C137" s="123"/>
      <c r="D137" s="123"/>
      <c r="E137" s="124"/>
      <c r="F137" s="124"/>
      <c r="G137" s="130"/>
      <c r="H137" s="124"/>
      <c r="I137" s="243"/>
      <c r="J137" s="123"/>
      <c r="K137" s="123"/>
      <c r="L137" s="246"/>
      <c r="M137" s="123"/>
      <c r="N137" s="123"/>
      <c r="O137" s="123"/>
      <c r="P137" s="123"/>
      <c r="Q137" t="str">
        <f t="shared" si="2"/>
        <v/>
      </c>
    </row>
    <row r="138" spans="3:17" hidden="1">
      <c r="C138" s="123"/>
      <c r="D138" s="123"/>
      <c r="E138" s="124"/>
      <c r="F138" s="124"/>
      <c r="G138" s="130"/>
      <c r="H138" s="124"/>
      <c r="I138" s="243"/>
      <c r="J138" s="123"/>
      <c r="K138" s="123"/>
      <c r="L138" s="246"/>
      <c r="M138" s="123"/>
      <c r="N138" s="123"/>
      <c r="O138" s="123"/>
      <c r="P138" s="123"/>
      <c r="Q138" t="str">
        <f t="shared" si="2"/>
        <v/>
      </c>
    </row>
    <row r="139" spans="3:17" hidden="1">
      <c r="C139" s="123"/>
      <c r="D139" s="123"/>
      <c r="E139" s="124"/>
      <c r="F139" s="124"/>
      <c r="G139" s="130"/>
      <c r="H139" s="124"/>
      <c r="I139" s="243"/>
      <c r="J139" s="123"/>
      <c r="K139" s="123"/>
      <c r="L139" s="246"/>
      <c r="M139" s="123"/>
      <c r="N139" s="123"/>
      <c r="O139" s="123"/>
      <c r="P139" s="123"/>
      <c r="Q139" t="str">
        <f t="shared" si="2"/>
        <v/>
      </c>
    </row>
    <row r="140" spans="3:17" hidden="1">
      <c r="C140" s="123"/>
      <c r="D140" s="123"/>
      <c r="E140" s="124"/>
      <c r="F140" s="124"/>
      <c r="G140" s="130"/>
      <c r="H140" s="124"/>
      <c r="I140" s="243"/>
      <c r="J140" s="123"/>
      <c r="K140" s="123"/>
      <c r="L140" s="246"/>
      <c r="M140" s="123"/>
      <c r="N140" s="123"/>
      <c r="O140" s="123"/>
      <c r="P140" s="123"/>
      <c r="Q140" t="str">
        <f t="shared" si="2"/>
        <v/>
      </c>
    </row>
    <row r="141" spans="3:17" hidden="1">
      <c r="C141" s="123"/>
      <c r="D141" s="123"/>
      <c r="E141" s="124"/>
      <c r="F141" s="124"/>
      <c r="G141" s="130"/>
      <c r="H141" s="124"/>
      <c r="I141" s="243"/>
      <c r="J141" s="123"/>
      <c r="K141" s="123"/>
      <c r="L141" s="246"/>
      <c r="M141" s="123"/>
      <c r="N141" s="123"/>
      <c r="O141" s="123"/>
      <c r="P141" s="123"/>
      <c r="Q141" t="str">
        <f t="shared" si="2"/>
        <v/>
      </c>
    </row>
    <row r="142" spans="3:17" hidden="1">
      <c r="C142" s="123"/>
      <c r="D142" s="123"/>
      <c r="E142" s="124"/>
      <c r="F142" s="124"/>
      <c r="G142" s="130"/>
      <c r="H142" s="124"/>
      <c r="I142" s="243"/>
      <c r="J142" s="123"/>
      <c r="K142" s="123"/>
      <c r="L142" s="246"/>
      <c r="M142" s="123"/>
      <c r="N142" s="123"/>
      <c r="O142" s="123"/>
      <c r="P142" s="123"/>
      <c r="Q142" t="str">
        <f t="shared" si="2"/>
        <v/>
      </c>
    </row>
    <row r="143" spans="3:17" hidden="1">
      <c r="C143" s="123"/>
      <c r="D143" s="123"/>
      <c r="E143" s="124"/>
      <c r="F143" s="124"/>
      <c r="G143" s="130"/>
      <c r="H143" s="124"/>
      <c r="I143" s="243"/>
      <c r="J143" s="123"/>
      <c r="K143" s="123"/>
      <c r="L143" s="246"/>
      <c r="M143" s="123"/>
      <c r="N143" s="123"/>
      <c r="O143" s="123"/>
      <c r="P143" s="123"/>
      <c r="Q143" t="str">
        <f t="shared" si="2"/>
        <v/>
      </c>
    </row>
    <row r="144" spans="3:17" hidden="1">
      <c r="C144" s="123"/>
      <c r="D144" s="123"/>
      <c r="E144" s="124"/>
      <c r="F144" s="124"/>
      <c r="G144" s="130"/>
      <c r="H144" s="124"/>
      <c r="I144" s="243"/>
      <c r="J144" s="123"/>
      <c r="K144" s="123"/>
      <c r="L144" s="246"/>
      <c r="M144" s="123"/>
      <c r="N144" s="123"/>
      <c r="O144" s="123"/>
      <c r="P144" s="123"/>
      <c r="Q144" t="str">
        <f t="shared" si="2"/>
        <v/>
      </c>
    </row>
    <row r="145" spans="3:17" hidden="1">
      <c r="C145" s="123"/>
      <c r="D145" s="123"/>
      <c r="E145" s="124"/>
      <c r="F145" s="124"/>
      <c r="G145" s="130"/>
      <c r="H145" s="124"/>
      <c r="I145" s="243"/>
      <c r="J145" s="123"/>
      <c r="K145" s="123"/>
      <c r="L145" s="246"/>
      <c r="M145" s="123"/>
      <c r="N145" s="123"/>
      <c r="O145" s="123"/>
      <c r="P145" s="123"/>
      <c r="Q145" t="str">
        <f t="shared" si="2"/>
        <v/>
      </c>
    </row>
    <row r="146" spans="3:17" hidden="1">
      <c r="C146" s="123"/>
      <c r="D146" s="123"/>
      <c r="E146" s="124"/>
      <c r="F146" s="124"/>
      <c r="G146" s="130"/>
      <c r="H146" s="124"/>
      <c r="I146" s="243"/>
      <c r="J146" s="123"/>
      <c r="K146" s="123"/>
      <c r="L146" s="246"/>
      <c r="M146" s="123"/>
      <c r="N146" s="123"/>
      <c r="O146" s="123"/>
      <c r="P146" s="123"/>
      <c r="Q146" t="str">
        <f t="shared" si="2"/>
        <v/>
      </c>
    </row>
    <row r="147" spans="3:17" hidden="1">
      <c r="C147" s="123"/>
      <c r="D147" s="123"/>
      <c r="E147" s="124"/>
      <c r="F147" s="124"/>
      <c r="G147" s="130"/>
      <c r="H147" s="124"/>
      <c r="I147" s="243"/>
      <c r="J147" s="123"/>
      <c r="K147" s="123"/>
      <c r="L147" s="246"/>
      <c r="M147" s="123"/>
      <c r="N147" s="123"/>
      <c r="O147" s="123"/>
      <c r="P147" s="123"/>
      <c r="Q147" t="str">
        <f t="shared" si="2"/>
        <v/>
      </c>
    </row>
    <row r="148" spans="3:17" hidden="1">
      <c r="C148" s="123"/>
      <c r="D148" s="123"/>
      <c r="E148" s="124"/>
      <c r="F148" s="124"/>
      <c r="G148" s="130"/>
      <c r="H148" s="124"/>
      <c r="I148" s="243"/>
      <c r="J148" s="123"/>
      <c r="K148" s="123"/>
      <c r="L148" s="246"/>
      <c r="M148" s="123"/>
      <c r="N148" s="123"/>
      <c r="O148" s="123"/>
      <c r="P148" s="123"/>
      <c r="Q148" t="str">
        <f t="shared" si="2"/>
        <v/>
      </c>
    </row>
    <row r="149" spans="3:17" hidden="1">
      <c r="C149" s="123"/>
      <c r="D149" s="123"/>
      <c r="E149" s="124"/>
      <c r="F149" s="124"/>
      <c r="G149" s="130"/>
      <c r="H149" s="124"/>
      <c r="I149" s="243"/>
      <c r="J149" s="123"/>
      <c r="K149" s="123"/>
      <c r="L149" s="246"/>
      <c r="M149" s="123"/>
      <c r="N149" s="123"/>
      <c r="O149" s="123"/>
      <c r="P149" s="123"/>
      <c r="Q149" t="str">
        <f t="shared" si="2"/>
        <v/>
      </c>
    </row>
    <row r="150" spans="3:17" hidden="1">
      <c r="C150" s="123"/>
      <c r="D150" s="123"/>
      <c r="E150" s="124"/>
      <c r="F150" s="124"/>
      <c r="G150" s="130"/>
      <c r="H150" s="124"/>
      <c r="I150" s="243"/>
      <c r="J150" s="123"/>
      <c r="K150" s="123"/>
      <c r="L150" s="246"/>
      <c r="M150" s="123"/>
      <c r="N150" s="123"/>
      <c r="O150" s="123"/>
      <c r="P150" s="123"/>
      <c r="Q150" t="str">
        <f t="shared" si="2"/>
        <v/>
      </c>
    </row>
    <row r="151" spans="3:17" hidden="1">
      <c r="C151" s="123"/>
      <c r="D151" s="123"/>
      <c r="E151" s="124"/>
      <c r="F151" s="124"/>
      <c r="G151" s="130"/>
      <c r="H151" s="124"/>
      <c r="I151" s="243"/>
      <c r="J151" s="123"/>
      <c r="K151" s="123"/>
      <c r="L151" s="246"/>
      <c r="M151" s="123"/>
      <c r="N151" s="123"/>
      <c r="O151" s="123"/>
      <c r="P151" s="123"/>
      <c r="Q151" t="str">
        <f t="shared" si="2"/>
        <v/>
      </c>
    </row>
    <row r="152" spans="3:17" hidden="1">
      <c r="C152" s="123"/>
      <c r="D152" s="123"/>
      <c r="E152" s="124"/>
      <c r="F152" s="124"/>
      <c r="G152" s="130"/>
      <c r="H152" s="124"/>
      <c r="I152" s="243"/>
      <c r="J152" s="123"/>
      <c r="K152" s="123"/>
      <c r="L152" s="246"/>
      <c r="M152" s="123"/>
      <c r="N152" s="123"/>
      <c r="O152" s="123"/>
      <c r="P152" s="123"/>
      <c r="Q152" t="str">
        <f t="shared" si="2"/>
        <v/>
      </c>
    </row>
    <row r="153" spans="3:17" hidden="1">
      <c r="C153" s="123"/>
      <c r="D153" s="123"/>
      <c r="E153" s="124"/>
      <c r="F153" s="124"/>
      <c r="G153" s="130"/>
      <c r="H153" s="124"/>
      <c r="I153" s="243"/>
      <c r="J153" s="123"/>
      <c r="K153" s="123"/>
      <c r="L153" s="246"/>
      <c r="M153" s="123"/>
      <c r="N153" s="123"/>
      <c r="O153" s="123"/>
      <c r="P153" s="123"/>
      <c r="Q153" t="str">
        <f t="shared" si="2"/>
        <v/>
      </c>
    </row>
    <row r="154" spans="3:17" hidden="1">
      <c r="C154" s="123"/>
      <c r="D154" s="123"/>
      <c r="E154" s="124"/>
      <c r="F154" s="124"/>
      <c r="G154" s="130"/>
      <c r="H154" s="124"/>
      <c r="I154" s="243"/>
      <c r="J154" s="123"/>
      <c r="K154" s="123"/>
      <c r="L154" s="246"/>
      <c r="M154" s="123"/>
      <c r="N154" s="123"/>
      <c r="O154" s="123"/>
      <c r="P154" s="123"/>
      <c r="Q154" t="str">
        <f t="shared" si="2"/>
        <v/>
      </c>
    </row>
    <row r="155" spans="3:17" hidden="1">
      <c r="C155" s="123"/>
      <c r="D155" s="123"/>
      <c r="E155" s="124"/>
      <c r="F155" s="124"/>
      <c r="G155" s="130"/>
      <c r="H155" s="124"/>
      <c r="I155" s="243"/>
      <c r="J155" s="123"/>
      <c r="K155" s="123"/>
      <c r="L155" s="246"/>
      <c r="M155" s="123"/>
      <c r="N155" s="123"/>
      <c r="O155" s="123"/>
      <c r="P155" s="123"/>
      <c r="Q155" t="str">
        <f t="shared" si="2"/>
        <v/>
      </c>
    </row>
    <row r="156" spans="3:17" hidden="1">
      <c r="C156" s="123"/>
      <c r="D156" s="123"/>
      <c r="E156" s="124"/>
      <c r="F156" s="124"/>
      <c r="G156" s="130"/>
      <c r="H156" s="124"/>
      <c r="I156" s="243"/>
      <c r="J156" s="123"/>
      <c r="K156" s="123"/>
      <c r="L156" s="246"/>
      <c r="M156" s="123"/>
      <c r="N156" s="123"/>
      <c r="O156" s="123"/>
      <c r="P156" s="123"/>
      <c r="Q156" t="str">
        <f t="shared" si="2"/>
        <v/>
      </c>
    </row>
    <row r="157" spans="3:17" hidden="1">
      <c r="C157" s="123"/>
      <c r="D157" s="123"/>
      <c r="E157" s="124"/>
      <c r="F157" s="124"/>
      <c r="G157" s="130"/>
      <c r="H157" s="124"/>
      <c r="I157" s="243"/>
      <c r="J157" s="123"/>
      <c r="K157" s="123"/>
      <c r="L157" s="246"/>
      <c r="M157" s="123"/>
      <c r="N157" s="123"/>
      <c r="O157" s="123"/>
      <c r="P157" s="123"/>
      <c r="Q157" t="str">
        <f t="shared" si="2"/>
        <v/>
      </c>
    </row>
    <row r="158" spans="3:17" hidden="1">
      <c r="C158" s="123"/>
      <c r="D158" s="123"/>
      <c r="E158" s="124"/>
      <c r="F158" s="124"/>
      <c r="G158" s="130"/>
      <c r="H158" s="124"/>
      <c r="I158" s="243"/>
      <c r="J158" s="123"/>
      <c r="K158" s="123"/>
      <c r="L158" s="246"/>
      <c r="M158" s="123"/>
      <c r="N158" s="123"/>
      <c r="O158" s="123"/>
      <c r="P158" s="123"/>
      <c r="Q158" t="str">
        <f t="shared" si="2"/>
        <v/>
      </c>
    </row>
    <row r="159" spans="3:17" hidden="1">
      <c r="C159" s="123"/>
      <c r="D159" s="123"/>
      <c r="E159" s="124"/>
      <c r="F159" s="124"/>
      <c r="G159" s="130"/>
      <c r="H159" s="124"/>
      <c r="I159" s="243"/>
      <c r="J159" s="123"/>
      <c r="K159" s="123"/>
      <c r="L159" s="246"/>
      <c r="M159" s="123"/>
      <c r="N159" s="123"/>
      <c r="O159" s="123"/>
      <c r="P159" s="123"/>
      <c r="Q159" t="str">
        <f t="shared" si="2"/>
        <v/>
      </c>
    </row>
    <row r="160" spans="3:17" hidden="1">
      <c r="C160" s="123"/>
      <c r="D160" s="123"/>
      <c r="E160" s="124"/>
      <c r="F160" s="124"/>
      <c r="G160" s="130"/>
      <c r="H160" s="124"/>
      <c r="I160" s="243"/>
      <c r="J160" s="123"/>
      <c r="K160" s="123"/>
      <c r="L160" s="246"/>
      <c r="M160" s="123"/>
      <c r="N160" s="123"/>
      <c r="O160" s="123"/>
      <c r="P160" s="123"/>
      <c r="Q160" t="str">
        <f t="shared" si="2"/>
        <v/>
      </c>
    </row>
    <row r="161" spans="3:17" hidden="1">
      <c r="C161" s="123"/>
      <c r="D161" s="123"/>
      <c r="E161" s="124"/>
      <c r="F161" s="124"/>
      <c r="G161" s="130"/>
      <c r="H161" s="124"/>
      <c r="I161" s="243"/>
      <c r="J161" s="123"/>
      <c r="K161" s="123"/>
      <c r="L161" s="246"/>
      <c r="M161" s="123"/>
      <c r="N161" s="123"/>
      <c r="O161" s="123"/>
      <c r="P161" s="123"/>
      <c r="Q161" t="str">
        <f t="shared" si="2"/>
        <v/>
      </c>
    </row>
    <row r="162" spans="3:17" hidden="1">
      <c r="C162" s="123"/>
      <c r="D162" s="123"/>
      <c r="E162" s="124"/>
      <c r="F162" s="124"/>
      <c r="G162" s="130"/>
      <c r="H162" s="124"/>
      <c r="I162" s="243"/>
      <c r="J162" s="123"/>
      <c r="K162" s="123"/>
      <c r="L162" s="246"/>
      <c r="M162" s="123"/>
      <c r="N162" s="123"/>
      <c r="O162" s="123"/>
      <c r="P162" s="123"/>
      <c r="Q162" t="str">
        <f t="shared" si="2"/>
        <v/>
      </c>
    </row>
    <row r="163" spans="3:17" hidden="1">
      <c r="C163" s="123"/>
      <c r="D163" s="123"/>
      <c r="E163" s="124"/>
      <c r="F163" s="124"/>
      <c r="G163" s="130"/>
      <c r="H163" s="124"/>
      <c r="I163" s="243"/>
      <c r="J163" s="123"/>
      <c r="K163" s="123"/>
      <c r="L163" s="246"/>
      <c r="M163" s="123"/>
      <c r="N163" s="123"/>
      <c r="O163" s="123"/>
      <c r="P163" s="123"/>
      <c r="Q163" t="str">
        <f t="shared" si="2"/>
        <v/>
      </c>
    </row>
    <row r="164" spans="3:17" hidden="1">
      <c r="C164" s="123"/>
      <c r="D164" s="123"/>
      <c r="E164" s="124"/>
      <c r="F164" s="124"/>
      <c r="G164" s="130"/>
      <c r="H164" s="124"/>
      <c r="I164" s="243"/>
      <c r="J164" s="123"/>
      <c r="K164" s="123"/>
      <c r="L164" s="246"/>
      <c r="M164" s="123"/>
      <c r="N164" s="123"/>
      <c r="O164" s="123"/>
      <c r="P164" s="123"/>
      <c r="Q164" t="str">
        <f t="shared" si="2"/>
        <v/>
      </c>
    </row>
    <row r="165" spans="3:17" hidden="1">
      <c r="C165" s="123"/>
      <c r="D165" s="123"/>
      <c r="E165" s="124"/>
      <c r="F165" s="124"/>
      <c r="G165" s="130"/>
      <c r="H165" s="124"/>
      <c r="I165" s="243"/>
      <c r="J165" s="123"/>
      <c r="K165" s="123"/>
      <c r="L165" s="246"/>
      <c r="M165" s="123"/>
      <c r="N165" s="123"/>
      <c r="O165" s="123"/>
      <c r="P165" s="123"/>
      <c r="Q165" t="str">
        <f t="shared" si="2"/>
        <v/>
      </c>
    </row>
    <row r="166" spans="3:17" hidden="1">
      <c r="C166" s="123"/>
      <c r="D166" s="123"/>
      <c r="E166" s="124"/>
      <c r="F166" s="124"/>
      <c r="G166" s="130"/>
      <c r="H166" s="124"/>
      <c r="I166" s="243"/>
      <c r="J166" s="123"/>
      <c r="K166" s="123"/>
      <c r="L166" s="246"/>
      <c r="M166" s="123"/>
      <c r="N166" s="123"/>
      <c r="O166" s="123"/>
      <c r="P166" s="123"/>
      <c r="Q166" t="str">
        <f t="shared" si="2"/>
        <v/>
      </c>
    </row>
    <row r="167" spans="3:17" hidden="1">
      <c r="C167" s="123"/>
      <c r="D167" s="123"/>
      <c r="E167" s="124"/>
      <c r="F167" s="124"/>
      <c r="G167" s="130"/>
      <c r="H167" s="124"/>
      <c r="I167" s="243"/>
      <c r="J167" s="123"/>
      <c r="K167" s="123"/>
      <c r="L167" s="246"/>
      <c r="M167" s="123"/>
      <c r="N167" s="123"/>
      <c r="O167" s="123"/>
      <c r="P167" s="123"/>
      <c r="Q167" t="str">
        <f t="shared" si="2"/>
        <v/>
      </c>
    </row>
    <row r="168" spans="3:17" hidden="1">
      <c r="C168" s="123"/>
      <c r="D168" s="123"/>
      <c r="E168" s="124"/>
      <c r="F168" s="124"/>
      <c r="G168" s="130"/>
      <c r="H168" s="124"/>
      <c r="I168" s="243"/>
      <c r="J168" s="123"/>
      <c r="K168" s="123"/>
      <c r="L168" s="246"/>
      <c r="M168" s="123"/>
      <c r="N168" s="123"/>
      <c r="O168" s="123"/>
      <c r="P168" s="123"/>
      <c r="Q168" t="str">
        <f t="shared" si="2"/>
        <v/>
      </c>
    </row>
    <row r="169" spans="3:17" hidden="1">
      <c r="C169" s="123"/>
      <c r="D169" s="123"/>
      <c r="E169" s="124"/>
      <c r="F169" s="124"/>
      <c r="G169" s="130"/>
      <c r="H169" s="124"/>
      <c r="I169" s="243"/>
      <c r="J169" s="123"/>
      <c r="K169" s="123"/>
      <c r="L169" s="246"/>
      <c r="M169" s="123"/>
      <c r="N169" s="123"/>
      <c r="O169" s="123"/>
      <c r="P169" s="123"/>
      <c r="Q169" t="str">
        <f t="shared" si="2"/>
        <v/>
      </c>
    </row>
    <row r="170" spans="3:17" hidden="1">
      <c r="C170" s="123"/>
      <c r="D170" s="123"/>
      <c r="E170" s="124"/>
      <c r="F170" s="124"/>
      <c r="G170" s="130"/>
      <c r="H170" s="124"/>
      <c r="I170" s="243"/>
      <c r="J170" s="123"/>
      <c r="K170" s="123"/>
      <c r="L170" s="246"/>
      <c r="M170" s="123"/>
      <c r="N170" s="123"/>
      <c r="O170" s="123"/>
      <c r="P170" s="123"/>
      <c r="Q170" t="str">
        <f t="shared" si="2"/>
        <v/>
      </c>
    </row>
    <row r="171" spans="3:17" hidden="1">
      <c r="C171" s="123"/>
      <c r="D171" s="123"/>
      <c r="E171" s="124"/>
      <c r="F171" s="124"/>
      <c r="G171" s="130"/>
      <c r="H171" s="124"/>
      <c r="I171" s="243"/>
      <c r="J171" s="123"/>
      <c r="K171" s="123"/>
      <c r="L171" s="246"/>
      <c r="M171" s="123"/>
      <c r="N171" s="123"/>
      <c r="O171" s="123"/>
      <c r="P171" s="123"/>
      <c r="Q171" t="str">
        <f t="shared" si="2"/>
        <v/>
      </c>
    </row>
    <row r="172" spans="3:17" hidden="1">
      <c r="C172" s="123"/>
      <c r="D172" s="123"/>
      <c r="E172" s="124"/>
      <c r="F172" s="124"/>
      <c r="G172" s="130"/>
      <c r="H172" s="124"/>
      <c r="I172" s="243"/>
      <c r="J172" s="123"/>
      <c r="K172" s="123"/>
      <c r="L172" s="246"/>
      <c r="M172" s="123"/>
      <c r="N172" s="123"/>
      <c r="O172" s="123"/>
      <c r="P172" s="123"/>
      <c r="Q172" t="str">
        <f t="shared" si="2"/>
        <v/>
      </c>
    </row>
    <row r="173" spans="3:17" hidden="1">
      <c r="C173" s="123"/>
      <c r="D173" s="123"/>
      <c r="E173" s="124"/>
      <c r="F173" s="124"/>
      <c r="G173" s="130"/>
      <c r="H173" s="124"/>
      <c r="I173" s="243"/>
      <c r="J173" s="123"/>
      <c r="K173" s="123"/>
      <c r="L173" s="246"/>
      <c r="M173" s="123"/>
      <c r="N173" s="123"/>
      <c r="O173" s="123"/>
      <c r="P173" s="123"/>
      <c r="Q173" t="str">
        <f t="shared" si="2"/>
        <v/>
      </c>
    </row>
    <row r="174" spans="3:17" hidden="1">
      <c r="C174" s="123"/>
      <c r="D174" s="123"/>
      <c r="E174" s="124"/>
      <c r="F174" s="124"/>
      <c r="G174" s="130"/>
      <c r="H174" s="124"/>
      <c r="I174" s="243"/>
      <c r="J174" s="123"/>
      <c r="K174" s="123"/>
      <c r="L174" s="246"/>
      <c r="M174" s="123"/>
      <c r="N174" s="123"/>
      <c r="O174" s="123"/>
      <c r="P174" s="123"/>
      <c r="Q174" t="str">
        <f t="shared" si="2"/>
        <v/>
      </c>
    </row>
    <row r="175" spans="3:17" hidden="1">
      <c r="C175" s="123"/>
      <c r="D175" s="123"/>
      <c r="E175" s="124"/>
      <c r="F175" s="124"/>
      <c r="G175" s="130"/>
      <c r="H175" s="124"/>
      <c r="I175" s="243"/>
      <c r="J175" s="123"/>
      <c r="K175" s="123"/>
      <c r="L175" s="246"/>
      <c r="M175" s="123"/>
      <c r="N175" s="123"/>
      <c r="O175" s="123"/>
      <c r="P175" s="123"/>
      <c r="Q175" t="str">
        <f t="shared" si="2"/>
        <v/>
      </c>
    </row>
    <row r="176" spans="3:17" hidden="1">
      <c r="C176" s="123"/>
      <c r="D176" s="123"/>
      <c r="E176" s="124"/>
      <c r="F176" s="124"/>
      <c r="G176" s="130"/>
      <c r="H176" s="124"/>
      <c r="I176" s="243"/>
      <c r="J176" s="123"/>
      <c r="K176" s="123"/>
      <c r="L176" s="246"/>
      <c r="M176" s="123"/>
      <c r="N176" s="123"/>
      <c r="O176" s="123"/>
      <c r="P176" s="123"/>
      <c r="Q176" t="str">
        <f t="shared" si="2"/>
        <v/>
      </c>
    </row>
    <row r="177" spans="3:17" hidden="1">
      <c r="C177" s="123"/>
      <c r="D177" s="123"/>
      <c r="E177" s="124"/>
      <c r="F177" s="124"/>
      <c r="G177" s="130"/>
      <c r="H177" s="124"/>
      <c r="I177" s="243"/>
      <c r="J177" s="123"/>
      <c r="K177" s="123"/>
      <c r="L177" s="246"/>
      <c r="M177" s="123"/>
      <c r="N177" s="123"/>
      <c r="O177" s="123"/>
      <c r="P177" s="123"/>
      <c r="Q177" t="str">
        <f t="shared" si="2"/>
        <v/>
      </c>
    </row>
    <row r="178" spans="3:17" hidden="1">
      <c r="C178" s="123"/>
      <c r="D178" s="123"/>
      <c r="E178" s="124"/>
      <c r="F178" s="124"/>
      <c r="G178" s="130"/>
      <c r="H178" s="124"/>
      <c r="I178" s="243"/>
      <c r="J178" s="123"/>
      <c r="K178" s="123"/>
      <c r="L178" s="246"/>
      <c r="M178" s="123"/>
      <c r="N178" s="123"/>
      <c r="O178" s="123"/>
      <c r="P178" s="123"/>
      <c r="Q178" t="str">
        <f t="shared" si="2"/>
        <v/>
      </c>
    </row>
    <row r="179" spans="3:17" hidden="1">
      <c r="C179" s="123"/>
      <c r="D179" s="123"/>
      <c r="E179" s="124"/>
      <c r="F179" s="124"/>
      <c r="G179" s="130"/>
      <c r="H179" s="124"/>
      <c r="I179" s="243"/>
      <c r="J179" s="123"/>
      <c r="K179" s="123"/>
      <c r="L179" s="246"/>
      <c r="M179" s="123"/>
      <c r="N179" s="123"/>
      <c r="O179" s="123"/>
      <c r="P179" s="123"/>
      <c r="Q179" t="str">
        <f t="shared" si="2"/>
        <v/>
      </c>
    </row>
    <row r="180" spans="3:17" hidden="1">
      <c r="C180" s="123"/>
      <c r="D180" s="123"/>
      <c r="E180" s="124"/>
      <c r="F180" s="124"/>
      <c r="G180" s="130"/>
      <c r="H180" s="124"/>
      <c r="I180" s="243"/>
      <c r="J180" s="123"/>
      <c r="K180" s="123"/>
      <c r="L180" s="246"/>
      <c r="M180" s="123"/>
      <c r="N180" s="123"/>
      <c r="O180" s="123"/>
      <c r="P180" s="123"/>
      <c r="Q180" t="str">
        <f t="shared" si="2"/>
        <v/>
      </c>
    </row>
    <row r="181" spans="3:17" hidden="1">
      <c r="C181" s="123"/>
      <c r="D181" s="123"/>
      <c r="E181" s="124"/>
      <c r="F181" s="124"/>
      <c r="G181" s="130"/>
      <c r="H181" s="124"/>
      <c r="I181" s="243"/>
      <c r="J181" s="123"/>
      <c r="K181" s="123"/>
      <c r="L181" s="246"/>
      <c r="M181" s="123"/>
      <c r="N181" s="123"/>
      <c r="O181" s="123"/>
      <c r="P181" s="123"/>
      <c r="Q181" t="str">
        <f t="shared" si="2"/>
        <v/>
      </c>
    </row>
    <row r="182" spans="3:17" hidden="1">
      <c r="C182" s="123"/>
      <c r="D182" s="123"/>
      <c r="E182" s="124"/>
      <c r="F182" s="124"/>
      <c r="G182" s="130"/>
      <c r="H182" s="124"/>
      <c r="I182" s="243"/>
      <c r="J182" s="123"/>
      <c r="K182" s="123"/>
      <c r="L182" s="246"/>
      <c r="M182" s="123"/>
      <c r="N182" s="123"/>
      <c r="O182" s="123"/>
      <c r="P182" s="123"/>
      <c r="Q182" t="str">
        <f t="shared" si="2"/>
        <v/>
      </c>
    </row>
    <row r="183" spans="3:17" hidden="1">
      <c r="C183" s="123"/>
      <c r="D183" s="123"/>
      <c r="E183" s="124"/>
      <c r="F183" s="124"/>
      <c r="G183" s="130"/>
      <c r="H183" s="124"/>
      <c r="I183" s="243"/>
      <c r="J183" s="123"/>
      <c r="K183" s="123"/>
      <c r="L183" s="246"/>
      <c r="M183" s="123"/>
      <c r="N183" s="123"/>
      <c r="O183" s="123"/>
      <c r="P183" s="123"/>
      <c r="Q183" t="str">
        <f t="shared" si="2"/>
        <v/>
      </c>
    </row>
    <row r="184" spans="3:17" hidden="1">
      <c r="C184" s="123"/>
      <c r="D184" s="123"/>
      <c r="E184" s="124"/>
      <c r="F184" s="124"/>
      <c r="G184" s="130"/>
      <c r="H184" s="124"/>
      <c r="I184" s="243"/>
      <c r="J184" s="123"/>
      <c r="K184" s="123"/>
      <c r="L184" s="246"/>
      <c r="M184" s="123"/>
      <c r="N184" s="123"/>
      <c r="O184" s="123"/>
      <c r="P184" s="123"/>
      <c r="Q184" t="str">
        <f t="shared" si="2"/>
        <v/>
      </c>
    </row>
    <row r="185" spans="3:17" hidden="1">
      <c r="C185" s="123"/>
      <c r="D185" s="123"/>
      <c r="E185" s="124"/>
      <c r="F185" s="124"/>
      <c r="G185" s="130"/>
      <c r="H185" s="124"/>
      <c r="I185" s="243"/>
      <c r="J185" s="123"/>
      <c r="K185" s="123"/>
      <c r="L185" s="246"/>
      <c r="M185" s="123"/>
      <c r="N185" s="123"/>
      <c r="O185" s="123"/>
      <c r="P185" s="123"/>
      <c r="Q185" t="str">
        <f t="shared" si="2"/>
        <v/>
      </c>
    </row>
    <row r="186" spans="3:17" hidden="1">
      <c r="C186" s="123"/>
      <c r="D186" s="123"/>
      <c r="E186" s="124"/>
      <c r="F186" s="124"/>
      <c r="G186" s="130"/>
      <c r="H186" s="124"/>
      <c r="I186" s="243"/>
      <c r="J186" s="123"/>
      <c r="K186" s="123"/>
      <c r="L186" s="246"/>
      <c r="M186" s="123"/>
      <c r="N186" s="123"/>
      <c r="O186" s="123"/>
      <c r="P186" s="123"/>
      <c r="Q186" t="str">
        <f t="shared" si="2"/>
        <v/>
      </c>
    </row>
    <row r="187" spans="3:17" hidden="1">
      <c r="C187" s="123"/>
      <c r="D187" s="123"/>
      <c r="E187" s="124"/>
      <c r="F187" s="124"/>
      <c r="G187" s="130"/>
      <c r="H187" s="124"/>
      <c r="I187" s="243"/>
      <c r="J187" s="123"/>
      <c r="K187" s="123"/>
      <c r="L187" s="246"/>
      <c r="M187" s="123"/>
      <c r="N187" s="123"/>
      <c r="O187" s="123"/>
      <c r="P187" s="123"/>
      <c r="Q187" t="str">
        <f t="shared" si="2"/>
        <v/>
      </c>
    </row>
    <row r="188" spans="3:17" hidden="1">
      <c r="C188" s="123"/>
      <c r="D188" s="123"/>
      <c r="E188" s="124"/>
      <c r="F188" s="124"/>
      <c r="G188" s="130"/>
      <c r="H188" s="124"/>
      <c r="I188" s="243"/>
      <c r="J188" s="123"/>
      <c r="K188" s="123"/>
      <c r="L188" s="246"/>
      <c r="M188" s="123"/>
      <c r="N188" s="123"/>
      <c r="O188" s="123"/>
      <c r="P188" s="123"/>
      <c r="Q188" t="str">
        <f t="shared" si="2"/>
        <v/>
      </c>
    </row>
    <row r="189" spans="3:17" hidden="1">
      <c r="C189" s="123"/>
      <c r="D189" s="123"/>
      <c r="E189" s="124"/>
      <c r="F189" s="124"/>
      <c r="G189" s="130"/>
      <c r="H189" s="124"/>
      <c r="I189" s="243"/>
      <c r="J189" s="123"/>
      <c r="K189" s="123"/>
      <c r="L189" s="246"/>
      <c r="M189" s="123"/>
      <c r="N189" s="123"/>
      <c r="O189" s="123"/>
      <c r="P189" s="123"/>
      <c r="Q189" t="str">
        <f t="shared" si="2"/>
        <v/>
      </c>
    </row>
    <row r="190" spans="3:17" hidden="1">
      <c r="C190" s="123"/>
      <c r="D190" s="123"/>
      <c r="E190" s="124"/>
      <c r="F190" s="124"/>
      <c r="G190" s="130"/>
      <c r="H190" s="124"/>
      <c r="I190" s="243"/>
      <c r="J190" s="123"/>
      <c r="K190" s="123"/>
      <c r="L190" s="246"/>
      <c r="M190" s="123"/>
      <c r="N190" s="123"/>
      <c r="O190" s="123"/>
      <c r="P190" s="123"/>
      <c r="Q190" t="str">
        <f t="shared" si="2"/>
        <v/>
      </c>
    </row>
    <row r="191" spans="3:17" hidden="1">
      <c r="C191" s="123"/>
      <c r="D191" s="123"/>
      <c r="E191" s="124"/>
      <c r="F191" s="124"/>
      <c r="G191" s="130"/>
      <c r="H191" s="124"/>
      <c r="I191" s="243"/>
      <c r="J191" s="123"/>
      <c r="K191" s="123"/>
      <c r="L191" s="246"/>
      <c r="M191" s="123"/>
      <c r="N191" s="123"/>
      <c r="O191" s="123"/>
      <c r="P191" s="123"/>
      <c r="Q191" t="str">
        <f t="shared" si="2"/>
        <v/>
      </c>
    </row>
    <row r="192" spans="3:17" hidden="1">
      <c r="C192" s="123"/>
      <c r="D192" s="123"/>
      <c r="E192" s="124"/>
      <c r="F192" s="124"/>
      <c r="G192" s="130"/>
      <c r="H192" s="124"/>
      <c r="I192" s="243"/>
      <c r="J192" s="123"/>
      <c r="K192" s="123"/>
      <c r="L192" s="246"/>
      <c r="M192" s="123"/>
      <c r="N192" s="123"/>
      <c r="O192" s="123"/>
      <c r="P192" s="123"/>
      <c r="Q192" t="str">
        <f t="shared" si="2"/>
        <v/>
      </c>
    </row>
    <row r="193" spans="3:17" hidden="1">
      <c r="C193" s="123"/>
      <c r="D193" s="123"/>
      <c r="E193" s="124"/>
      <c r="F193" s="124"/>
      <c r="G193" s="130"/>
      <c r="H193" s="124"/>
      <c r="I193" s="243"/>
      <c r="J193" s="123"/>
      <c r="K193" s="123"/>
      <c r="L193" s="246"/>
      <c r="M193" s="123"/>
      <c r="N193" s="123"/>
      <c r="O193" s="123"/>
      <c r="P193" s="123"/>
      <c r="Q193" t="str">
        <f t="shared" si="2"/>
        <v/>
      </c>
    </row>
    <row r="194" spans="3:17" hidden="1">
      <c r="C194" s="123"/>
      <c r="D194" s="123"/>
      <c r="E194" s="124"/>
      <c r="F194" s="124"/>
      <c r="G194" s="130"/>
      <c r="H194" s="124"/>
      <c r="I194" s="243"/>
      <c r="J194" s="123"/>
      <c r="K194" s="123"/>
      <c r="L194" s="246"/>
      <c r="M194" s="123"/>
      <c r="N194" s="123"/>
      <c r="O194" s="123"/>
      <c r="P194" s="123"/>
      <c r="Q194" t="str">
        <f t="shared" si="2"/>
        <v/>
      </c>
    </row>
    <row r="195" spans="3:17" hidden="1">
      <c r="C195" s="123"/>
      <c r="D195" s="123"/>
      <c r="E195" s="124"/>
      <c r="F195" s="124"/>
      <c r="G195" s="130"/>
      <c r="H195" s="124"/>
      <c r="I195" s="243"/>
      <c r="J195" s="123"/>
      <c r="K195" s="123"/>
      <c r="L195" s="246"/>
      <c r="M195" s="123"/>
      <c r="N195" s="123"/>
      <c r="O195" s="123"/>
      <c r="P195" s="123"/>
      <c r="Q195" t="str">
        <f t="shared" si="2"/>
        <v/>
      </c>
    </row>
    <row r="196" spans="3:17" hidden="1">
      <c r="C196" s="123"/>
      <c r="D196" s="123"/>
      <c r="E196" s="124"/>
      <c r="F196" s="124"/>
      <c r="G196" s="130"/>
      <c r="H196" s="124"/>
      <c r="I196" s="243"/>
      <c r="J196" s="123"/>
      <c r="K196" s="123"/>
      <c r="L196" s="246"/>
      <c r="M196" s="123"/>
      <c r="N196" s="123"/>
      <c r="O196" s="123"/>
      <c r="P196" s="123"/>
      <c r="Q196" t="str">
        <f t="shared" si="2"/>
        <v/>
      </c>
    </row>
    <row r="197" spans="3:17" hidden="1">
      <c r="C197" s="123"/>
      <c r="D197" s="123"/>
      <c r="E197" s="124"/>
      <c r="F197" s="124"/>
      <c r="G197" s="130"/>
      <c r="H197" s="124"/>
      <c r="I197" s="243"/>
      <c r="J197" s="123"/>
      <c r="K197" s="123"/>
      <c r="L197" s="246"/>
      <c r="M197" s="123"/>
      <c r="N197" s="123"/>
      <c r="O197" s="123"/>
      <c r="P197" s="123"/>
      <c r="Q197" t="str">
        <f t="shared" si="2"/>
        <v/>
      </c>
    </row>
    <row r="198" spans="3:17" hidden="1">
      <c r="C198" s="123"/>
      <c r="D198" s="123"/>
      <c r="E198" s="124"/>
      <c r="F198" s="124"/>
      <c r="G198" s="130"/>
      <c r="H198" s="124"/>
      <c r="I198" s="243"/>
      <c r="J198" s="123"/>
      <c r="K198" s="123"/>
      <c r="L198" s="246"/>
      <c r="M198" s="123"/>
      <c r="N198" s="123"/>
      <c r="O198" s="123"/>
      <c r="P198" s="123"/>
      <c r="Q198" t="str">
        <f t="shared" si="2"/>
        <v/>
      </c>
    </row>
    <row r="199" spans="3:17" hidden="1">
      <c r="C199" s="123"/>
      <c r="D199" s="123"/>
      <c r="E199" s="124"/>
      <c r="F199" s="124"/>
      <c r="G199" s="130"/>
      <c r="H199" s="124"/>
      <c r="I199" s="243"/>
      <c r="J199" s="123"/>
      <c r="K199" s="123"/>
      <c r="L199" s="246"/>
      <c r="M199" s="123"/>
      <c r="N199" s="123"/>
      <c r="O199" s="123"/>
      <c r="P199" s="123"/>
      <c r="Q199" t="str">
        <f t="shared" ref="Q199:Q262" si="3">IF(D199="","","x")</f>
        <v/>
      </c>
    </row>
    <row r="200" spans="3:17" hidden="1">
      <c r="C200" s="123"/>
      <c r="D200" s="123"/>
      <c r="E200" s="124"/>
      <c r="F200" s="124"/>
      <c r="G200" s="130"/>
      <c r="H200" s="124"/>
      <c r="I200" s="243"/>
      <c r="J200" s="123"/>
      <c r="K200" s="123"/>
      <c r="L200" s="246"/>
      <c r="M200" s="123"/>
      <c r="N200" s="123"/>
      <c r="O200" s="123"/>
      <c r="P200" s="123"/>
      <c r="Q200" t="str">
        <f t="shared" si="3"/>
        <v/>
      </c>
    </row>
    <row r="201" spans="3:17" hidden="1">
      <c r="C201" s="123"/>
      <c r="D201" s="123"/>
      <c r="E201" s="124"/>
      <c r="F201" s="124"/>
      <c r="G201" s="130"/>
      <c r="H201" s="124"/>
      <c r="I201" s="243"/>
      <c r="J201" s="123"/>
      <c r="K201" s="123"/>
      <c r="L201" s="246"/>
      <c r="M201" s="123"/>
      <c r="N201" s="123"/>
      <c r="O201" s="123"/>
      <c r="P201" s="123"/>
      <c r="Q201" t="str">
        <f t="shared" si="3"/>
        <v/>
      </c>
    </row>
    <row r="202" spans="3:17" hidden="1">
      <c r="C202" s="123"/>
      <c r="D202" s="123"/>
      <c r="E202" s="124"/>
      <c r="F202" s="124"/>
      <c r="G202" s="130"/>
      <c r="H202" s="124"/>
      <c r="I202" s="243"/>
      <c r="J202" s="123"/>
      <c r="K202" s="123"/>
      <c r="L202" s="246"/>
      <c r="M202" s="123"/>
      <c r="N202" s="123"/>
      <c r="O202" s="123"/>
      <c r="P202" s="123"/>
      <c r="Q202" t="str">
        <f t="shared" si="3"/>
        <v/>
      </c>
    </row>
    <row r="203" spans="3:17" hidden="1">
      <c r="C203" s="123"/>
      <c r="D203" s="123"/>
      <c r="E203" s="124"/>
      <c r="F203" s="124"/>
      <c r="G203" s="130"/>
      <c r="H203" s="124"/>
      <c r="I203" s="243"/>
      <c r="J203" s="123"/>
      <c r="K203" s="123"/>
      <c r="L203" s="246"/>
      <c r="M203" s="123"/>
      <c r="N203" s="123"/>
      <c r="O203" s="123"/>
      <c r="P203" s="123"/>
      <c r="Q203" t="str">
        <f t="shared" si="3"/>
        <v/>
      </c>
    </row>
    <row r="204" spans="3:17" hidden="1">
      <c r="C204" s="123"/>
      <c r="D204" s="123"/>
      <c r="E204" s="124"/>
      <c r="F204" s="124"/>
      <c r="G204" s="130"/>
      <c r="H204" s="124"/>
      <c r="I204" s="243"/>
      <c r="J204" s="123"/>
      <c r="K204" s="123"/>
      <c r="L204" s="246"/>
      <c r="M204" s="123"/>
      <c r="N204" s="123"/>
      <c r="O204" s="123"/>
      <c r="P204" s="123"/>
      <c r="Q204" t="str">
        <f t="shared" si="3"/>
        <v/>
      </c>
    </row>
    <row r="205" spans="3:17" hidden="1">
      <c r="C205" s="123"/>
      <c r="D205" s="123"/>
      <c r="E205" s="124"/>
      <c r="F205" s="124"/>
      <c r="G205" s="130"/>
      <c r="H205" s="124"/>
      <c r="I205" s="243"/>
      <c r="J205" s="123"/>
      <c r="K205" s="123"/>
      <c r="L205" s="246"/>
      <c r="M205" s="123"/>
      <c r="N205" s="123"/>
      <c r="O205" s="123"/>
      <c r="P205" s="123"/>
      <c r="Q205" t="str">
        <f t="shared" si="3"/>
        <v/>
      </c>
    </row>
    <row r="206" spans="3:17" hidden="1">
      <c r="C206" s="123"/>
      <c r="D206" s="123"/>
      <c r="E206" s="124"/>
      <c r="F206" s="124"/>
      <c r="G206" s="130"/>
      <c r="H206" s="124"/>
      <c r="I206" s="243"/>
      <c r="J206" s="123"/>
      <c r="K206" s="123"/>
      <c r="L206" s="246"/>
      <c r="M206" s="123"/>
      <c r="N206" s="123"/>
      <c r="O206" s="123"/>
      <c r="P206" s="123"/>
      <c r="Q206" t="str">
        <f t="shared" si="3"/>
        <v/>
      </c>
    </row>
    <row r="207" spans="3:17" hidden="1">
      <c r="C207" s="123"/>
      <c r="D207" s="123"/>
      <c r="E207" s="124"/>
      <c r="F207" s="124"/>
      <c r="G207" s="130"/>
      <c r="H207" s="124"/>
      <c r="I207" s="243"/>
      <c r="J207" s="123"/>
      <c r="K207" s="123"/>
      <c r="L207" s="246"/>
      <c r="M207" s="123"/>
      <c r="N207" s="123"/>
      <c r="O207" s="123"/>
      <c r="P207" s="123"/>
      <c r="Q207" t="str">
        <f t="shared" si="3"/>
        <v/>
      </c>
    </row>
    <row r="208" spans="3:17" hidden="1">
      <c r="C208" s="123"/>
      <c r="D208" s="123"/>
      <c r="E208" s="124"/>
      <c r="F208" s="124"/>
      <c r="G208" s="130"/>
      <c r="H208" s="124"/>
      <c r="I208" s="243"/>
      <c r="J208" s="123"/>
      <c r="K208" s="123"/>
      <c r="L208" s="246"/>
      <c r="M208" s="123"/>
      <c r="N208" s="123"/>
      <c r="O208" s="123"/>
      <c r="P208" s="123"/>
      <c r="Q208" t="str">
        <f t="shared" si="3"/>
        <v/>
      </c>
    </row>
    <row r="209" spans="3:17" hidden="1">
      <c r="C209" s="123"/>
      <c r="D209" s="123"/>
      <c r="E209" s="124"/>
      <c r="F209" s="124"/>
      <c r="G209" s="130"/>
      <c r="H209" s="124"/>
      <c r="I209" s="243"/>
      <c r="J209" s="123"/>
      <c r="K209" s="123"/>
      <c r="L209" s="246"/>
      <c r="M209" s="123"/>
      <c r="N209" s="123"/>
      <c r="O209" s="123"/>
      <c r="P209" s="123"/>
      <c r="Q209" t="str">
        <f t="shared" si="3"/>
        <v/>
      </c>
    </row>
    <row r="210" spans="3:17" hidden="1">
      <c r="C210" s="123"/>
      <c r="D210" s="123"/>
      <c r="E210" s="124"/>
      <c r="F210" s="124"/>
      <c r="G210" s="130"/>
      <c r="H210" s="124"/>
      <c r="I210" s="243"/>
      <c r="J210" s="123"/>
      <c r="K210" s="123"/>
      <c r="L210" s="246"/>
      <c r="M210" s="123"/>
      <c r="N210" s="123"/>
      <c r="O210" s="123"/>
      <c r="P210" s="123"/>
      <c r="Q210" t="str">
        <f t="shared" si="3"/>
        <v/>
      </c>
    </row>
    <row r="211" spans="3:17" hidden="1">
      <c r="C211" s="123"/>
      <c r="D211" s="123"/>
      <c r="E211" s="124"/>
      <c r="F211" s="124"/>
      <c r="G211" s="130"/>
      <c r="H211" s="124"/>
      <c r="I211" s="243"/>
      <c r="J211" s="123"/>
      <c r="K211" s="123"/>
      <c r="L211" s="246"/>
      <c r="M211" s="123"/>
      <c r="N211" s="123"/>
      <c r="O211" s="123"/>
      <c r="P211" s="123"/>
      <c r="Q211" t="str">
        <f t="shared" si="3"/>
        <v/>
      </c>
    </row>
    <row r="212" spans="3:17" hidden="1">
      <c r="C212" s="123"/>
      <c r="D212" s="123"/>
      <c r="E212" s="124"/>
      <c r="F212" s="124"/>
      <c r="G212" s="130"/>
      <c r="H212" s="124"/>
      <c r="I212" s="243"/>
      <c r="J212" s="123"/>
      <c r="K212" s="123"/>
      <c r="L212" s="246"/>
      <c r="M212" s="123"/>
      <c r="N212" s="123"/>
      <c r="O212" s="123"/>
      <c r="P212" s="123"/>
      <c r="Q212" t="str">
        <f t="shared" si="3"/>
        <v/>
      </c>
    </row>
    <row r="213" spans="3:17" hidden="1">
      <c r="C213" s="123"/>
      <c r="D213" s="123"/>
      <c r="E213" s="124"/>
      <c r="F213" s="124"/>
      <c r="G213" s="130"/>
      <c r="H213" s="124"/>
      <c r="I213" s="243"/>
      <c r="J213" s="123"/>
      <c r="K213" s="123"/>
      <c r="L213" s="246"/>
      <c r="M213" s="123"/>
      <c r="N213" s="123"/>
      <c r="O213" s="123"/>
      <c r="P213" s="123"/>
      <c r="Q213" t="str">
        <f t="shared" si="3"/>
        <v/>
      </c>
    </row>
    <row r="214" spans="3:17" hidden="1">
      <c r="C214" s="123"/>
      <c r="D214" s="123"/>
      <c r="E214" s="124"/>
      <c r="F214" s="124"/>
      <c r="G214" s="130"/>
      <c r="H214" s="124"/>
      <c r="I214" s="243"/>
      <c r="J214" s="123"/>
      <c r="K214" s="123"/>
      <c r="L214" s="246"/>
      <c r="M214" s="123"/>
      <c r="N214" s="123"/>
      <c r="O214" s="123"/>
      <c r="P214" s="123"/>
      <c r="Q214" t="str">
        <f t="shared" si="3"/>
        <v/>
      </c>
    </row>
    <row r="215" spans="3:17" hidden="1">
      <c r="C215" s="123"/>
      <c r="D215" s="123"/>
      <c r="E215" s="124"/>
      <c r="F215" s="124"/>
      <c r="G215" s="130"/>
      <c r="H215" s="124"/>
      <c r="I215" s="243"/>
      <c r="J215" s="123"/>
      <c r="K215" s="123"/>
      <c r="L215" s="246"/>
      <c r="M215" s="123"/>
      <c r="N215" s="123"/>
      <c r="O215" s="123"/>
      <c r="P215" s="123"/>
      <c r="Q215" t="str">
        <f t="shared" si="3"/>
        <v/>
      </c>
    </row>
    <row r="216" spans="3:17" hidden="1">
      <c r="C216" s="123"/>
      <c r="D216" s="123"/>
      <c r="E216" s="124"/>
      <c r="F216" s="124"/>
      <c r="G216" s="130"/>
      <c r="H216" s="124"/>
      <c r="I216" s="243"/>
      <c r="J216" s="123"/>
      <c r="K216" s="123"/>
      <c r="L216" s="246"/>
      <c r="M216" s="123"/>
      <c r="N216" s="123"/>
      <c r="O216" s="123"/>
      <c r="P216" s="123"/>
      <c r="Q216" t="str">
        <f t="shared" si="3"/>
        <v/>
      </c>
    </row>
    <row r="217" spans="3:17" hidden="1">
      <c r="C217" s="123"/>
      <c r="D217" s="123"/>
      <c r="E217" s="124"/>
      <c r="F217" s="124"/>
      <c r="G217" s="130"/>
      <c r="H217" s="124"/>
      <c r="I217" s="243"/>
      <c r="J217" s="123"/>
      <c r="K217" s="123"/>
      <c r="L217" s="246"/>
      <c r="M217" s="123"/>
      <c r="N217" s="123"/>
      <c r="O217" s="123"/>
      <c r="P217" s="123"/>
      <c r="Q217" t="str">
        <f t="shared" si="3"/>
        <v/>
      </c>
    </row>
    <row r="218" spans="3:17" hidden="1">
      <c r="C218" s="123"/>
      <c r="D218" s="123"/>
      <c r="E218" s="124"/>
      <c r="F218" s="124"/>
      <c r="G218" s="130"/>
      <c r="H218" s="124"/>
      <c r="I218" s="243"/>
      <c r="J218" s="123"/>
      <c r="K218" s="123"/>
      <c r="L218" s="246"/>
      <c r="M218" s="123"/>
      <c r="N218" s="123"/>
      <c r="O218" s="123"/>
      <c r="P218" s="123"/>
      <c r="Q218" t="str">
        <f t="shared" si="3"/>
        <v/>
      </c>
    </row>
    <row r="219" spans="3:17" hidden="1">
      <c r="C219" s="123"/>
      <c r="D219" s="123"/>
      <c r="E219" s="124"/>
      <c r="F219" s="124"/>
      <c r="G219" s="130"/>
      <c r="H219" s="124"/>
      <c r="I219" s="243"/>
      <c r="J219" s="123"/>
      <c r="K219" s="123"/>
      <c r="L219" s="246"/>
      <c r="M219" s="123"/>
      <c r="N219" s="123"/>
      <c r="O219" s="123"/>
      <c r="P219" s="123"/>
      <c r="Q219" t="str">
        <f t="shared" si="3"/>
        <v/>
      </c>
    </row>
    <row r="220" spans="3:17" hidden="1">
      <c r="C220" s="123"/>
      <c r="D220" s="123"/>
      <c r="E220" s="124"/>
      <c r="F220" s="124"/>
      <c r="G220" s="130"/>
      <c r="H220" s="124"/>
      <c r="I220" s="243"/>
      <c r="J220" s="123"/>
      <c r="K220" s="123"/>
      <c r="L220" s="246"/>
      <c r="M220" s="123"/>
      <c r="N220" s="123"/>
      <c r="O220" s="123"/>
      <c r="P220" s="123"/>
      <c r="Q220" t="str">
        <f t="shared" si="3"/>
        <v/>
      </c>
    </row>
    <row r="221" spans="3:17" hidden="1">
      <c r="C221" s="123"/>
      <c r="D221" s="123"/>
      <c r="E221" s="124"/>
      <c r="F221" s="124"/>
      <c r="G221" s="130"/>
      <c r="H221" s="124"/>
      <c r="I221" s="243"/>
      <c r="J221" s="123"/>
      <c r="K221" s="123"/>
      <c r="L221" s="246"/>
      <c r="M221" s="123"/>
      <c r="N221" s="123"/>
      <c r="O221" s="123"/>
      <c r="P221" s="123"/>
      <c r="Q221" t="str">
        <f t="shared" si="3"/>
        <v/>
      </c>
    </row>
    <row r="222" spans="3:17" hidden="1">
      <c r="C222" s="123"/>
      <c r="D222" s="123"/>
      <c r="E222" s="124"/>
      <c r="F222" s="124"/>
      <c r="G222" s="130"/>
      <c r="H222" s="124"/>
      <c r="I222" s="243"/>
      <c r="J222" s="123"/>
      <c r="K222" s="123"/>
      <c r="L222" s="246"/>
      <c r="M222" s="123"/>
      <c r="N222" s="123"/>
      <c r="O222" s="123"/>
      <c r="P222" s="123"/>
      <c r="Q222" t="str">
        <f t="shared" si="3"/>
        <v/>
      </c>
    </row>
    <row r="223" spans="3:17" hidden="1">
      <c r="C223" s="123"/>
      <c r="D223" s="123"/>
      <c r="E223" s="124"/>
      <c r="F223" s="124"/>
      <c r="G223" s="130"/>
      <c r="H223" s="124"/>
      <c r="I223" s="243"/>
      <c r="J223" s="123"/>
      <c r="K223" s="123"/>
      <c r="L223" s="246"/>
      <c r="M223" s="123"/>
      <c r="N223" s="123"/>
      <c r="O223" s="123"/>
      <c r="P223" s="123"/>
      <c r="Q223" t="str">
        <f t="shared" si="3"/>
        <v/>
      </c>
    </row>
    <row r="224" spans="3:17" hidden="1">
      <c r="C224" s="123"/>
      <c r="D224" s="123"/>
      <c r="E224" s="124"/>
      <c r="F224" s="124"/>
      <c r="G224" s="130"/>
      <c r="H224" s="124"/>
      <c r="I224" s="243"/>
      <c r="J224" s="123"/>
      <c r="K224" s="123"/>
      <c r="L224" s="246"/>
      <c r="M224" s="123"/>
      <c r="N224" s="123"/>
      <c r="O224" s="123"/>
      <c r="P224" s="123"/>
      <c r="Q224" t="str">
        <f t="shared" si="3"/>
        <v/>
      </c>
    </row>
    <row r="225" spans="3:17" hidden="1">
      <c r="C225" s="123"/>
      <c r="D225" s="123"/>
      <c r="E225" s="124"/>
      <c r="F225" s="124"/>
      <c r="G225" s="130"/>
      <c r="H225" s="124"/>
      <c r="I225" s="243"/>
      <c r="J225" s="123"/>
      <c r="K225" s="123"/>
      <c r="L225" s="246"/>
      <c r="M225" s="123"/>
      <c r="N225" s="123"/>
      <c r="O225" s="123"/>
      <c r="P225" s="123"/>
      <c r="Q225" t="str">
        <f t="shared" si="3"/>
        <v/>
      </c>
    </row>
    <row r="226" spans="3:17" hidden="1">
      <c r="C226" s="123"/>
      <c r="D226" s="123"/>
      <c r="E226" s="124"/>
      <c r="F226" s="124"/>
      <c r="G226" s="130"/>
      <c r="H226" s="124"/>
      <c r="I226" s="243"/>
      <c r="J226" s="123"/>
      <c r="K226" s="123"/>
      <c r="L226" s="246"/>
      <c r="M226" s="123"/>
      <c r="N226" s="123"/>
      <c r="O226" s="123"/>
      <c r="P226" s="123"/>
      <c r="Q226" t="str">
        <f t="shared" si="3"/>
        <v/>
      </c>
    </row>
    <row r="227" spans="3:17" hidden="1">
      <c r="C227" s="123"/>
      <c r="D227" s="123"/>
      <c r="E227" s="124"/>
      <c r="F227" s="124"/>
      <c r="G227" s="130"/>
      <c r="H227" s="124"/>
      <c r="I227" s="243"/>
      <c r="J227" s="123"/>
      <c r="K227" s="123"/>
      <c r="L227" s="246"/>
      <c r="M227" s="123"/>
      <c r="N227" s="123"/>
      <c r="O227" s="123"/>
      <c r="P227" s="123"/>
      <c r="Q227" t="str">
        <f t="shared" si="3"/>
        <v/>
      </c>
    </row>
    <row r="228" spans="3:17" hidden="1">
      <c r="C228" s="123"/>
      <c r="D228" s="123"/>
      <c r="E228" s="124"/>
      <c r="F228" s="124"/>
      <c r="G228" s="130"/>
      <c r="H228" s="124"/>
      <c r="I228" s="243"/>
      <c r="J228" s="123"/>
      <c r="K228" s="123"/>
      <c r="L228" s="246"/>
      <c r="M228" s="123"/>
      <c r="N228" s="123"/>
      <c r="O228" s="123"/>
      <c r="P228" s="123"/>
      <c r="Q228" t="str">
        <f t="shared" si="3"/>
        <v/>
      </c>
    </row>
    <row r="229" spans="3:17" hidden="1">
      <c r="C229" s="123"/>
      <c r="D229" s="123"/>
      <c r="E229" s="124"/>
      <c r="F229" s="124"/>
      <c r="G229" s="130"/>
      <c r="H229" s="124"/>
      <c r="I229" s="243"/>
      <c r="J229" s="123"/>
      <c r="K229" s="123"/>
      <c r="L229" s="246"/>
      <c r="M229" s="123"/>
      <c r="N229" s="123"/>
      <c r="O229" s="123"/>
      <c r="P229" s="123"/>
      <c r="Q229" t="str">
        <f t="shared" si="3"/>
        <v/>
      </c>
    </row>
    <row r="230" spans="3:17" hidden="1">
      <c r="C230" s="123"/>
      <c r="D230" s="123"/>
      <c r="E230" s="124"/>
      <c r="F230" s="124"/>
      <c r="G230" s="130"/>
      <c r="H230" s="124"/>
      <c r="I230" s="243"/>
      <c r="J230" s="123"/>
      <c r="K230" s="123"/>
      <c r="L230" s="246"/>
      <c r="M230" s="123"/>
      <c r="N230" s="123"/>
      <c r="O230" s="123"/>
      <c r="P230" s="123"/>
      <c r="Q230" t="str">
        <f t="shared" si="3"/>
        <v/>
      </c>
    </row>
    <row r="231" spans="3:17" hidden="1">
      <c r="C231" s="123"/>
      <c r="D231" s="123"/>
      <c r="E231" s="124"/>
      <c r="F231" s="124"/>
      <c r="G231" s="130"/>
      <c r="H231" s="124"/>
      <c r="I231" s="243"/>
      <c r="J231" s="123"/>
      <c r="K231" s="123"/>
      <c r="L231" s="246"/>
      <c r="M231" s="123"/>
      <c r="N231" s="123"/>
      <c r="O231" s="123"/>
      <c r="P231" s="123"/>
      <c r="Q231" t="str">
        <f t="shared" si="3"/>
        <v/>
      </c>
    </row>
    <row r="232" spans="3:17" hidden="1">
      <c r="C232" s="123"/>
      <c r="D232" s="123"/>
      <c r="E232" s="124"/>
      <c r="F232" s="124"/>
      <c r="G232" s="130"/>
      <c r="H232" s="124"/>
      <c r="I232" s="243"/>
      <c r="J232" s="123"/>
      <c r="K232" s="123"/>
      <c r="L232" s="246"/>
      <c r="M232" s="123"/>
      <c r="N232" s="123"/>
      <c r="O232" s="123"/>
      <c r="P232" s="123"/>
      <c r="Q232" t="str">
        <f t="shared" si="3"/>
        <v/>
      </c>
    </row>
    <row r="233" spans="3:17" hidden="1">
      <c r="C233" s="123"/>
      <c r="D233" s="123"/>
      <c r="E233" s="124"/>
      <c r="F233" s="124"/>
      <c r="G233" s="130"/>
      <c r="H233" s="124"/>
      <c r="I233" s="243"/>
      <c r="J233" s="123"/>
      <c r="K233" s="123"/>
      <c r="L233" s="246"/>
      <c r="M233" s="123"/>
      <c r="N233" s="123"/>
      <c r="O233" s="123"/>
      <c r="P233" s="123"/>
      <c r="Q233" t="str">
        <f t="shared" si="3"/>
        <v/>
      </c>
    </row>
    <row r="234" spans="3:17" hidden="1">
      <c r="C234" s="123"/>
      <c r="D234" s="123"/>
      <c r="E234" s="124"/>
      <c r="F234" s="124"/>
      <c r="G234" s="130"/>
      <c r="H234" s="124"/>
      <c r="I234" s="243"/>
      <c r="J234" s="123"/>
      <c r="K234" s="123"/>
      <c r="L234" s="246"/>
      <c r="M234" s="123"/>
      <c r="N234" s="123"/>
      <c r="O234" s="123"/>
      <c r="P234" s="123"/>
      <c r="Q234" t="str">
        <f t="shared" si="3"/>
        <v/>
      </c>
    </row>
    <row r="235" spans="3:17" hidden="1">
      <c r="C235" s="123"/>
      <c r="D235" s="123"/>
      <c r="E235" s="124"/>
      <c r="F235" s="124"/>
      <c r="G235" s="130"/>
      <c r="H235" s="124"/>
      <c r="I235" s="243"/>
      <c r="J235" s="123"/>
      <c r="K235" s="123"/>
      <c r="L235" s="246"/>
      <c r="M235" s="123"/>
      <c r="N235" s="123"/>
      <c r="O235" s="123"/>
      <c r="P235" s="123"/>
      <c r="Q235" t="str">
        <f t="shared" si="3"/>
        <v/>
      </c>
    </row>
    <row r="236" spans="3:17" hidden="1">
      <c r="C236" s="123"/>
      <c r="D236" s="123"/>
      <c r="E236" s="124"/>
      <c r="F236" s="124"/>
      <c r="G236" s="130"/>
      <c r="H236" s="124"/>
      <c r="I236" s="243"/>
      <c r="J236" s="123"/>
      <c r="K236" s="123"/>
      <c r="L236" s="246"/>
      <c r="M236" s="123"/>
      <c r="N236" s="123"/>
      <c r="O236" s="123"/>
      <c r="P236" s="123"/>
      <c r="Q236" t="str">
        <f t="shared" si="3"/>
        <v/>
      </c>
    </row>
    <row r="237" spans="3:17" hidden="1">
      <c r="C237" s="123"/>
      <c r="D237" s="123"/>
      <c r="E237" s="124"/>
      <c r="F237" s="124"/>
      <c r="G237" s="130"/>
      <c r="H237" s="124"/>
      <c r="I237" s="243"/>
      <c r="J237" s="123"/>
      <c r="K237" s="123"/>
      <c r="L237" s="246"/>
      <c r="M237" s="123"/>
      <c r="N237" s="123"/>
      <c r="O237" s="123"/>
      <c r="P237" s="123"/>
      <c r="Q237" t="str">
        <f t="shared" si="3"/>
        <v/>
      </c>
    </row>
    <row r="238" spans="3:17" hidden="1">
      <c r="C238" s="123"/>
      <c r="D238" s="123"/>
      <c r="E238" s="124"/>
      <c r="F238" s="124"/>
      <c r="G238" s="130"/>
      <c r="H238" s="124"/>
      <c r="I238" s="243"/>
      <c r="J238" s="123"/>
      <c r="K238" s="123"/>
      <c r="L238" s="246"/>
      <c r="M238" s="123"/>
      <c r="N238" s="123"/>
      <c r="O238" s="123"/>
      <c r="P238" s="123"/>
      <c r="Q238" t="str">
        <f t="shared" si="3"/>
        <v/>
      </c>
    </row>
    <row r="239" spans="3:17" hidden="1">
      <c r="C239" s="123"/>
      <c r="D239" s="123"/>
      <c r="E239" s="124"/>
      <c r="F239" s="124"/>
      <c r="G239" s="130"/>
      <c r="H239" s="124"/>
      <c r="I239" s="243"/>
      <c r="J239" s="123"/>
      <c r="K239" s="123"/>
      <c r="L239" s="246"/>
      <c r="M239" s="123"/>
      <c r="N239" s="123"/>
      <c r="O239" s="123"/>
      <c r="P239" s="123"/>
      <c r="Q239" t="str">
        <f t="shared" si="3"/>
        <v/>
      </c>
    </row>
    <row r="240" spans="3:17" hidden="1">
      <c r="C240" s="123"/>
      <c r="D240" s="123"/>
      <c r="E240" s="124"/>
      <c r="F240" s="124"/>
      <c r="G240" s="130"/>
      <c r="H240" s="124"/>
      <c r="I240" s="243"/>
      <c r="J240" s="123"/>
      <c r="K240" s="123"/>
      <c r="L240" s="246"/>
      <c r="M240" s="123"/>
      <c r="N240" s="123"/>
      <c r="O240" s="123"/>
      <c r="P240" s="123"/>
      <c r="Q240" t="str">
        <f t="shared" si="3"/>
        <v/>
      </c>
    </row>
    <row r="241" spans="3:17" hidden="1">
      <c r="C241" s="123"/>
      <c r="D241" s="123"/>
      <c r="E241" s="124"/>
      <c r="F241" s="124"/>
      <c r="G241" s="130"/>
      <c r="H241" s="124"/>
      <c r="I241" s="243"/>
      <c r="J241" s="123"/>
      <c r="K241" s="123"/>
      <c r="L241" s="246"/>
      <c r="M241" s="123"/>
      <c r="N241" s="123"/>
      <c r="O241" s="123"/>
      <c r="P241" s="123"/>
      <c r="Q241" t="str">
        <f t="shared" si="3"/>
        <v/>
      </c>
    </row>
    <row r="242" spans="3:17" hidden="1">
      <c r="C242" s="123"/>
      <c r="D242" s="123"/>
      <c r="E242" s="124"/>
      <c r="F242" s="124"/>
      <c r="G242" s="130"/>
      <c r="H242" s="124"/>
      <c r="I242" s="243"/>
      <c r="J242" s="123"/>
      <c r="K242" s="123"/>
      <c r="L242" s="246"/>
      <c r="M242" s="123"/>
      <c r="N242" s="123"/>
      <c r="O242" s="123"/>
      <c r="P242" s="123"/>
      <c r="Q242" t="str">
        <f t="shared" si="3"/>
        <v/>
      </c>
    </row>
    <row r="243" spans="3:17" hidden="1">
      <c r="C243" s="123"/>
      <c r="D243" s="123"/>
      <c r="E243" s="124"/>
      <c r="F243" s="124"/>
      <c r="G243" s="130"/>
      <c r="H243" s="124"/>
      <c r="I243" s="243"/>
      <c r="J243" s="123"/>
      <c r="K243" s="123"/>
      <c r="L243" s="246"/>
      <c r="M243" s="123"/>
      <c r="N243" s="123"/>
      <c r="O243" s="123"/>
      <c r="P243" s="123"/>
      <c r="Q243" t="str">
        <f t="shared" si="3"/>
        <v/>
      </c>
    </row>
    <row r="244" spans="3:17" hidden="1">
      <c r="C244" s="123"/>
      <c r="D244" s="123"/>
      <c r="E244" s="124"/>
      <c r="F244" s="124"/>
      <c r="G244" s="130"/>
      <c r="H244" s="124"/>
      <c r="I244" s="243"/>
      <c r="J244" s="123"/>
      <c r="K244" s="123"/>
      <c r="L244" s="246"/>
      <c r="M244" s="123"/>
      <c r="N244" s="123"/>
      <c r="O244" s="123"/>
      <c r="P244" s="123"/>
      <c r="Q244" t="str">
        <f t="shared" si="3"/>
        <v/>
      </c>
    </row>
    <row r="245" spans="3:17" hidden="1">
      <c r="C245" s="123"/>
      <c r="D245" s="123"/>
      <c r="E245" s="124"/>
      <c r="F245" s="124"/>
      <c r="G245" s="130"/>
      <c r="H245" s="124"/>
      <c r="I245" s="243"/>
      <c r="J245" s="123"/>
      <c r="K245" s="123"/>
      <c r="L245" s="246"/>
      <c r="M245" s="123"/>
      <c r="N245" s="123"/>
      <c r="O245" s="123"/>
      <c r="P245" s="123"/>
      <c r="Q245" t="str">
        <f t="shared" si="3"/>
        <v/>
      </c>
    </row>
    <row r="246" spans="3:17" hidden="1">
      <c r="C246" s="123"/>
      <c r="D246" s="123"/>
      <c r="E246" s="124"/>
      <c r="F246" s="124"/>
      <c r="G246" s="130"/>
      <c r="H246" s="124"/>
      <c r="I246" s="243"/>
      <c r="J246" s="123"/>
      <c r="K246" s="123"/>
      <c r="L246" s="246"/>
      <c r="M246" s="123"/>
      <c r="N246" s="123"/>
      <c r="O246" s="123"/>
      <c r="P246" s="123"/>
      <c r="Q246" t="str">
        <f t="shared" si="3"/>
        <v/>
      </c>
    </row>
    <row r="247" spans="3:17" hidden="1">
      <c r="C247" s="123"/>
      <c r="D247" s="123"/>
      <c r="E247" s="124"/>
      <c r="F247" s="124"/>
      <c r="G247" s="130"/>
      <c r="H247" s="124"/>
      <c r="I247" s="243"/>
      <c r="J247" s="123"/>
      <c r="K247" s="123"/>
      <c r="L247" s="246"/>
      <c r="M247" s="123"/>
      <c r="N247" s="123"/>
      <c r="O247" s="123"/>
      <c r="P247" s="123"/>
      <c r="Q247" t="str">
        <f t="shared" si="3"/>
        <v/>
      </c>
    </row>
    <row r="248" spans="3:17" hidden="1">
      <c r="C248" s="123"/>
      <c r="D248" s="123"/>
      <c r="E248" s="124"/>
      <c r="F248" s="124"/>
      <c r="G248" s="130"/>
      <c r="H248" s="124"/>
      <c r="I248" s="243"/>
      <c r="J248" s="123"/>
      <c r="K248" s="123"/>
      <c r="L248" s="246"/>
      <c r="M248" s="123"/>
      <c r="N248" s="123"/>
      <c r="O248" s="123"/>
      <c r="P248" s="123"/>
      <c r="Q248" t="str">
        <f t="shared" si="3"/>
        <v/>
      </c>
    </row>
    <row r="249" spans="3:17" hidden="1">
      <c r="C249" s="123"/>
      <c r="D249" s="123"/>
      <c r="E249" s="124"/>
      <c r="F249" s="124"/>
      <c r="G249" s="130"/>
      <c r="H249" s="124"/>
      <c r="I249" s="243"/>
      <c r="J249" s="123"/>
      <c r="K249" s="123"/>
      <c r="L249" s="246"/>
      <c r="M249" s="123"/>
      <c r="N249" s="123"/>
      <c r="O249" s="123"/>
      <c r="P249" s="123"/>
      <c r="Q249" t="str">
        <f t="shared" si="3"/>
        <v/>
      </c>
    </row>
    <row r="250" spans="3:17" hidden="1">
      <c r="C250" s="123"/>
      <c r="D250" s="123"/>
      <c r="E250" s="124"/>
      <c r="F250" s="124"/>
      <c r="G250" s="130"/>
      <c r="H250" s="124"/>
      <c r="I250" s="243"/>
      <c r="J250" s="123"/>
      <c r="K250" s="123"/>
      <c r="L250" s="246"/>
      <c r="M250" s="123"/>
      <c r="N250" s="123"/>
      <c r="O250" s="123"/>
      <c r="P250" s="123"/>
      <c r="Q250" t="str">
        <f t="shared" si="3"/>
        <v/>
      </c>
    </row>
    <row r="251" spans="3:17" hidden="1">
      <c r="C251" s="123"/>
      <c r="D251" s="123"/>
      <c r="E251" s="124"/>
      <c r="F251" s="124"/>
      <c r="G251" s="130"/>
      <c r="H251" s="124"/>
      <c r="I251" s="243"/>
      <c r="J251" s="123"/>
      <c r="K251" s="123"/>
      <c r="L251" s="246"/>
      <c r="M251" s="123"/>
      <c r="N251" s="123"/>
      <c r="O251" s="123"/>
      <c r="P251" s="123"/>
      <c r="Q251" t="str">
        <f t="shared" si="3"/>
        <v/>
      </c>
    </row>
    <row r="252" spans="3:17" hidden="1">
      <c r="C252" s="123"/>
      <c r="D252" s="123"/>
      <c r="E252" s="124"/>
      <c r="F252" s="124"/>
      <c r="G252" s="130"/>
      <c r="H252" s="124"/>
      <c r="I252" s="243"/>
      <c r="J252" s="123"/>
      <c r="K252" s="123"/>
      <c r="L252" s="246"/>
      <c r="M252" s="123"/>
      <c r="N252" s="123"/>
      <c r="O252" s="123"/>
      <c r="P252" s="123"/>
      <c r="Q252" t="str">
        <f t="shared" si="3"/>
        <v/>
      </c>
    </row>
    <row r="253" spans="3:17" hidden="1">
      <c r="C253" s="123"/>
      <c r="D253" s="123"/>
      <c r="E253" s="124"/>
      <c r="F253" s="124"/>
      <c r="G253" s="130"/>
      <c r="H253" s="124"/>
      <c r="I253" s="243"/>
      <c r="J253" s="123"/>
      <c r="K253" s="123"/>
      <c r="L253" s="246"/>
      <c r="M253" s="123"/>
      <c r="N253" s="123"/>
      <c r="O253" s="123"/>
      <c r="P253" s="123"/>
      <c r="Q253" t="str">
        <f t="shared" si="3"/>
        <v/>
      </c>
    </row>
    <row r="254" spans="3:17" hidden="1">
      <c r="C254" s="123"/>
      <c r="D254" s="123"/>
      <c r="E254" s="124"/>
      <c r="F254" s="124"/>
      <c r="G254" s="130"/>
      <c r="H254" s="124"/>
      <c r="I254" s="243"/>
      <c r="J254" s="123"/>
      <c r="K254" s="123"/>
      <c r="L254" s="246"/>
      <c r="M254" s="123"/>
      <c r="N254" s="123"/>
      <c r="O254" s="123"/>
      <c r="P254" s="123"/>
      <c r="Q254" t="str">
        <f t="shared" si="3"/>
        <v/>
      </c>
    </row>
    <row r="255" spans="3:17" hidden="1">
      <c r="C255" s="123"/>
      <c r="D255" s="123"/>
      <c r="E255" s="124"/>
      <c r="F255" s="124"/>
      <c r="G255" s="130"/>
      <c r="H255" s="124"/>
      <c r="I255" s="243"/>
      <c r="J255" s="123"/>
      <c r="K255" s="123"/>
      <c r="L255" s="246"/>
      <c r="M255" s="123"/>
      <c r="N255" s="123"/>
      <c r="O255" s="123"/>
      <c r="P255" s="123"/>
      <c r="Q255" t="str">
        <f t="shared" si="3"/>
        <v/>
      </c>
    </row>
    <row r="256" spans="3:17" hidden="1">
      <c r="C256" s="123"/>
      <c r="D256" s="123"/>
      <c r="E256" s="124"/>
      <c r="F256" s="124"/>
      <c r="G256" s="130"/>
      <c r="H256" s="124"/>
      <c r="I256" s="243"/>
      <c r="J256" s="123"/>
      <c r="K256" s="123"/>
      <c r="L256" s="246"/>
      <c r="M256" s="123"/>
      <c r="N256" s="123"/>
      <c r="O256" s="123"/>
      <c r="P256" s="123"/>
      <c r="Q256" t="str">
        <f t="shared" si="3"/>
        <v/>
      </c>
    </row>
    <row r="257" spans="3:17" hidden="1">
      <c r="C257" s="123"/>
      <c r="D257" s="123"/>
      <c r="E257" s="124"/>
      <c r="F257" s="124"/>
      <c r="G257" s="130"/>
      <c r="H257" s="124"/>
      <c r="I257" s="243"/>
      <c r="J257" s="123"/>
      <c r="K257" s="123"/>
      <c r="L257" s="246"/>
      <c r="M257" s="123"/>
      <c r="N257" s="123"/>
      <c r="O257" s="123"/>
      <c r="P257" s="123"/>
      <c r="Q257" t="str">
        <f t="shared" si="3"/>
        <v/>
      </c>
    </row>
    <row r="258" spans="3:17" hidden="1">
      <c r="C258" s="123"/>
      <c r="D258" s="123"/>
      <c r="E258" s="124"/>
      <c r="F258" s="124"/>
      <c r="G258" s="130"/>
      <c r="H258" s="124"/>
      <c r="I258" s="243"/>
      <c r="J258" s="123"/>
      <c r="K258" s="123"/>
      <c r="L258" s="246"/>
      <c r="M258" s="123"/>
      <c r="N258" s="123"/>
      <c r="O258" s="123"/>
      <c r="P258" s="123"/>
      <c r="Q258" t="str">
        <f t="shared" si="3"/>
        <v/>
      </c>
    </row>
    <row r="259" spans="3:17" hidden="1">
      <c r="C259" s="123"/>
      <c r="D259" s="123"/>
      <c r="E259" s="124"/>
      <c r="F259" s="124"/>
      <c r="G259" s="130"/>
      <c r="H259" s="124"/>
      <c r="I259" s="243"/>
      <c r="J259" s="123"/>
      <c r="K259" s="123"/>
      <c r="L259" s="246"/>
      <c r="M259" s="123"/>
      <c r="N259" s="123"/>
      <c r="O259" s="123"/>
      <c r="P259" s="123"/>
      <c r="Q259" t="str">
        <f t="shared" si="3"/>
        <v/>
      </c>
    </row>
    <row r="260" spans="3:17" hidden="1">
      <c r="C260" s="123"/>
      <c r="D260" s="123"/>
      <c r="E260" s="124"/>
      <c r="F260" s="124"/>
      <c r="G260" s="130"/>
      <c r="H260" s="124"/>
      <c r="I260" s="243"/>
      <c r="J260" s="123"/>
      <c r="K260" s="123"/>
      <c r="L260" s="246"/>
      <c r="M260" s="123"/>
      <c r="N260" s="123"/>
      <c r="O260" s="123"/>
      <c r="P260" s="123"/>
      <c r="Q260" t="str">
        <f t="shared" si="3"/>
        <v/>
      </c>
    </row>
    <row r="261" spans="3:17" hidden="1">
      <c r="C261" s="123"/>
      <c r="D261" s="123"/>
      <c r="E261" s="124"/>
      <c r="F261" s="124"/>
      <c r="G261" s="130"/>
      <c r="H261" s="124"/>
      <c r="I261" s="243"/>
      <c r="J261" s="123"/>
      <c r="K261" s="123"/>
      <c r="L261" s="246"/>
      <c r="M261" s="123"/>
      <c r="N261" s="123"/>
      <c r="O261" s="123"/>
      <c r="P261" s="123"/>
      <c r="Q261" t="str">
        <f t="shared" si="3"/>
        <v/>
      </c>
    </row>
    <row r="262" spans="3:17" hidden="1">
      <c r="C262" s="123"/>
      <c r="D262" s="123"/>
      <c r="E262" s="124"/>
      <c r="F262" s="124"/>
      <c r="G262" s="130"/>
      <c r="H262" s="124"/>
      <c r="I262" s="243"/>
      <c r="J262" s="123"/>
      <c r="K262" s="123"/>
      <c r="L262" s="246"/>
      <c r="M262" s="123"/>
      <c r="N262" s="123"/>
      <c r="O262" s="123"/>
      <c r="P262" s="123"/>
      <c r="Q262" t="str">
        <f t="shared" si="3"/>
        <v/>
      </c>
    </row>
    <row r="263" spans="3:17" hidden="1">
      <c r="C263" s="123"/>
      <c r="D263" s="123"/>
      <c r="E263" s="124"/>
      <c r="F263" s="124"/>
      <c r="G263" s="130"/>
      <c r="H263" s="124"/>
      <c r="I263" s="243"/>
      <c r="J263" s="123"/>
      <c r="K263" s="123"/>
      <c r="L263" s="246"/>
      <c r="M263" s="123"/>
      <c r="N263" s="123"/>
      <c r="O263" s="123"/>
      <c r="P263" s="123"/>
      <c r="Q263" t="str">
        <f t="shared" ref="Q263:Q326" si="4">IF(D263="","","x")</f>
        <v/>
      </c>
    </row>
    <row r="264" spans="3:17" hidden="1">
      <c r="C264" s="123"/>
      <c r="D264" s="123"/>
      <c r="E264" s="124"/>
      <c r="F264" s="124"/>
      <c r="G264" s="130"/>
      <c r="H264" s="124"/>
      <c r="I264" s="243"/>
      <c r="J264" s="123"/>
      <c r="K264" s="123"/>
      <c r="L264" s="246"/>
      <c r="M264" s="123"/>
      <c r="N264" s="123"/>
      <c r="O264" s="123"/>
      <c r="P264" s="123"/>
      <c r="Q264" t="str">
        <f t="shared" si="4"/>
        <v/>
      </c>
    </row>
    <row r="265" spans="3:17" hidden="1">
      <c r="C265" s="123"/>
      <c r="D265" s="123"/>
      <c r="E265" s="124"/>
      <c r="F265" s="124"/>
      <c r="G265" s="130"/>
      <c r="H265" s="124"/>
      <c r="I265" s="243"/>
      <c r="J265" s="123"/>
      <c r="K265" s="123"/>
      <c r="L265" s="246"/>
      <c r="M265" s="123"/>
      <c r="N265" s="123"/>
      <c r="O265" s="123"/>
      <c r="P265" s="123"/>
      <c r="Q265" t="str">
        <f t="shared" si="4"/>
        <v/>
      </c>
    </row>
    <row r="266" spans="3:17" hidden="1">
      <c r="C266" s="123"/>
      <c r="D266" s="123"/>
      <c r="E266" s="124"/>
      <c r="F266" s="124"/>
      <c r="G266" s="130"/>
      <c r="H266" s="124"/>
      <c r="I266" s="243"/>
      <c r="J266" s="123"/>
      <c r="K266" s="123"/>
      <c r="L266" s="246"/>
      <c r="M266" s="123"/>
      <c r="N266" s="123"/>
      <c r="O266" s="123"/>
      <c r="P266" s="123"/>
      <c r="Q266" t="str">
        <f t="shared" si="4"/>
        <v/>
      </c>
    </row>
    <row r="267" spans="3:17" hidden="1">
      <c r="C267" s="123"/>
      <c r="D267" s="123"/>
      <c r="E267" s="124"/>
      <c r="F267" s="124"/>
      <c r="G267" s="130"/>
      <c r="H267" s="124"/>
      <c r="I267" s="243"/>
      <c r="J267" s="123"/>
      <c r="K267" s="123"/>
      <c r="L267" s="246"/>
      <c r="M267" s="123"/>
      <c r="N267" s="123"/>
      <c r="O267" s="123"/>
      <c r="P267" s="123"/>
      <c r="Q267" t="str">
        <f t="shared" si="4"/>
        <v/>
      </c>
    </row>
    <row r="268" spans="3:17" hidden="1">
      <c r="C268" s="123"/>
      <c r="D268" s="123"/>
      <c r="E268" s="124"/>
      <c r="F268" s="124"/>
      <c r="G268" s="130"/>
      <c r="H268" s="124"/>
      <c r="I268" s="243"/>
      <c r="J268" s="123"/>
      <c r="K268" s="123"/>
      <c r="L268" s="246"/>
      <c r="M268" s="123"/>
      <c r="N268" s="123"/>
      <c r="O268" s="123"/>
      <c r="P268" s="123"/>
      <c r="Q268" t="str">
        <f t="shared" si="4"/>
        <v/>
      </c>
    </row>
    <row r="269" spans="3:17" hidden="1">
      <c r="C269" s="123"/>
      <c r="D269" s="123"/>
      <c r="E269" s="124"/>
      <c r="F269" s="124"/>
      <c r="G269" s="130"/>
      <c r="H269" s="124"/>
      <c r="I269" s="243"/>
      <c r="J269" s="123"/>
      <c r="K269" s="123"/>
      <c r="L269" s="246"/>
      <c r="M269" s="123"/>
      <c r="N269" s="123"/>
      <c r="O269" s="123"/>
      <c r="P269" s="123"/>
      <c r="Q269" t="str">
        <f t="shared" si="4"/>
        <v/>
      </c>
    </row>
    <row r="270" spans="3:17" hidden="1">
      <c r="C270" s="123"/>
      <c r="D270" s="123"/>
      <c r="E270" s="124"/>
      <c r="F270" s="124"/>
      <c r="G270" s="130"/>
      <c r="H270" s="124"/>
      <c r="I270" s="243"/>
      <c r="J270" s="123"/>
      <c r="K270" s="123"/>
      <c r="L270" s="246"/>
      <c r="M270" s="123"/>
      <c r="N270" s="123"/>
      <c r="O270" s="123"/>
      <c r="P270" s="123"/>
      <c r="Q270" t="str">
        <f t="shared" si="4"/>
        <v/>
      </c>
    </row>
    <row r="271" spans="3:17" hidden="1">
      <c r="C271" s="123"/>
      <c r="D271" s="123"/>
      <c r="E271" s="124"/>
      <c r="F271" s="124"/>
      <c r="G271" s="130"/>
      <c r="H271" s="124"/>
      <c r="I271" s="243"/>
      <c r="J271" s="123"/>
      <c r="K271" s="123"/>
      <c r="L271" s="246"/>
      <c r="M271" s="123"/>
      <c r="N271" s="123"/>
      <c r="O271" s="123"/>
      <c r="P271" s="123"/>
      <c r="Q271" t="str">
        <f t="shared" si="4"/>
        <v/>
      </c>
    </row>
    <row r="272" spans="3:17" hidden="1">
      <c r="C272" s="123"/>
      <c r="D272" s="123"/>
      <c r="E272" s="124"/>
      <c r="F272" s="124"/>
      <c r="G272" s="130"/>
      <c r="H272" s="124"/>
      <c r="I272" s="243"/>
      <c r="J272" s="123"/>
      <c r="K272" s="123"/>
      <c r="L272" s="246"/>
      <c r="M272" s="123"/>
      <c r="N272" s="123"/>
      <c r="O272" s="123"/>
      <c r="P272" s="123"/>
      <c r="Q272" t="str">
        <f t="shared" si="4"/>
        <v/>
      </c>
    </row>
    <row r="273" spans="3:17" hidden="1">
      <c r="C273" s="123"/>
      <c r="D273" s="123"/>
      <c r="E273" s="124"/>
      <c r="F273" s="124"/>
      <c r="G273" s="130"/>
      <c r="H273" s="124"/>
      <c r="I273" s="243"/>
      <c r="J273" s="123"/>
      <c r="K273" s="123"/>
      <c r="L273" s="246"/>
      <c r="M273" s="123"/>
      <c r="N273" s="123"/>
      <c r="O273" s="123"/>
      <c r="P273" s="123"/>
      <c r="Q273" t="str">
        <f t="shared" si="4"/>
        <v/>
      </c>
    </row>
    <row r="274" spans="3:17" hidden="1">
      <c r="C274" s="123"/>
      <c r="D274" s="123"/>
      <c r="E274" s="124"/>
      <c r="F274" s="124"/>
      <c r="G274" s="130"/>
      <c r="H274" s="124"/>
      <c r="I274" s="243"/>
      <c r="J274" s="123"/>
      <c r="K274" s="123"/>
      <c r="L274" s="246"/>
      <c r="M274" s="123"/>
      <c r="N274" s="123"/>
      <c r="O274" s="123"/>
      <c r="P274" s="123"/>
      <c r="Q274" t="str">
        <f t="shared" si="4"/>
        <v/>
      </c>
    </row>
    <row r="275" spans="3:17" hidden="1">
      <c r="C275" s="123"/>
      <c r="D275" s="123"/>
      <c r="E275" s="124"/>
      <c r="F275" s="124"/>
      <c r="G275" s="130"/>
      <c r="H275" s="124"/>
      <c r="I275" s="243"/>
      <c r="J275" s="123"/>
      <c r="K275" s="123"/>
      <c r="L275" s="246"/>
      <c r="M275" s="123"/>
      <c r="N275" s="123"/>
      <c r="O275" s="123"/>
      <c r="P275" s="123"/>
      <c r="Q275" t="str">
        <f t="shared" si="4"/>
        <v/>
      </c>
    </row>
    <row r="276" spans="3:17" hidden="1">
      <c r="C276" s="123"/>
      <c r="D276" s="123"/>
      <c r="E276" s="124"/>
      <c r="F276" s="124"/>
      <c r="G276" s="130"/>
      <c r="H276" s="124"/>
      <c r="I276" s="243"/>
      <c r="J276" s="123"/>
      <c r="K276" s="123"/>
      <c r="L276" s="246"/>
      <c r="M276" s="123"/>
      <c r="N276" s="123"/>
      <c r="O276" s="123"/>
      <c r="P276" s="123"/>
      <c r="Q276" t="str">
        <f t="shared" si="4"/>
        <v/>
      </c>
    </row>
    <row r="277" spans="3:17" hidden="1">
      <c r="C277" s="123"/>
      <c r="D277" s="123"/>
      <c r="E277" s="124"/>
      <c r="F277" s="124"/>
      <c r="G277" s="130"/>
      <c r="H277" s="124"/>
      <c r="I277" s="243"/>
      <c r="J277" s="123"/>
      <c r="K277" s="123"/>
      <c r="L277" s="246"/>
      <c r="M277" s="123"/>
      <c r="N277" s="123"/>
      <c r="O277" s="123"/>
      <c r="P277" s="123"/>
      <c r="Q277" t="str">
        <f t="shared" si="4"/>
        <v/>
      </c>
    </row>
    <row r="278" spans="3:17" hidden="1">
      <c r="C278" s="123"/>
      <c r="D278" s="123"/>
      <c r="E278" s="124"/>
      <c r="F278" s="124"/>
      <c r="G278" s="130"/>
      <c r="H278" s="124"/>
      <c r="I278" s="243"/>
      <c r="J278" s="123"/>
      <c r="K278" s="123"/>
      <c r="L278" s="246"/>
      <c r="M278" s="123"/>
      <c r="N278" s="123"/>
      <c r="O278" s="123"/>
      <c r="P278" s="123"/>
      <c r="Q278" t="str">
        <f t="shared" si="4"/>
        <v/>
      </c>
    </row>
    <row r="279" spans="3:17" hidden="1">
      <c r="C279" s="123"/>
      <c r="D279" s="123"/>
      <c r="E279" s="124"/>
      <c r="F279" s="124"/>
      <c r="G279" s="130"/>
      <c r="H279" s="124"/>
      <c r="I279" s="243"/>
      <c r="J279" s="123"/>
      <c r="K279" s="123"/>
      <c r="L279" s="246"/>
      <c r="M279" s="123"/>
      <c r="N279" s="123"/>
      <c r="O279" s="123"/>
      <c r="P279" s="123"/>
      <c r="Q279" t="str">
        <f t="shared" si="4"/>
        <v/>
      </c>
    </row>
    <row r="280" spans="3:17" hidden="1">
      <c r="C280" s="123"/>
      <c r="D280" s="123"/>
      <c r="E280" s="124"/>
      <c r="F280" s="124"/>
      <c r="G280" s="130"/>
      <c r="H280" s="124"/>
      <c r="I280" s="243"/>
      <c r="J280" s="123"/>
      <c r="K280" s="123"/>
      <c r="L280" s="246"/>
      <c r="M280" s="123"/>
      <c r="N280" s="123"/>
      <c r="O280" s="123"/>
      <c r="P280" s="123"/>
      <c r="Q280" t="str">
        <f t="shared" si="4"/>
        <v/>
      </c>
    </row>
    <row r="281" spans="3:17" hidden="1">
      <c r="C281" s="123"/>
      <c r="D281" s="123"/>
      <c r="E281" s="124"/>
      <c r="F281" s="124"/>
      <c r="G281" s="130"/>
      <c r="H281" s="124"/>
      <c r="I281" s="243"/>
      <c r="J281" s="123"/>
      <c r="K281" s="123"/>
      <c r="L281" s="246"/>
      <c r="M281" s="123"/>
      <c r="N281" s="123"/>
      <c r="O281" s="123"/>
      <c r="P281" s="123"/>
      <c r="Q281" t="str">
        <f t="shared" si="4"/>
        <v/>
      </c>
    </row>
    <row r="282" spans="3:17" hidden="1">
      <c r="C282" s="123"/>
      <c r="D282" s="123"/>
      <c r="E282" s="124"/>
      <c r="F282" s="124"/>
      <c r="G282" s="130"/>
      <c r="H282" s="124"/>
      <c r="I282" s="243"/>
      <c r="J282" s="123"/>
      <c r="K282" s="123"/>
      <c r="L282" s="246"/>
      <c r="M282" s="123"/>
      <c r="N282" s="123"/>
      <c r="O282" s="123"/>
      <c r="P282" s="123"/>
      <c r="Q282" t="str">
        <f t="shared" si="4"/>
        <v/>
      </c>
    </row>
    <row r="283" spans="3:17" hidden="1">
      <c r="C283" s="123"/>
      <c r="D283" s="123"/>
      <c r="E283" s="124"/>
      <c r="F283" s="124"/>
      <c r="G283" s="130"/>
      <c r="H283" s="124"/>
      <c r="I283" s="243"/>
      <c r="J283" s="123"/>
      <c r="K283" s="123"/>
      <c r="L283" s="246"/>
      <c r="M283" s="123"/>
      <c r="N283" s="123"/>
      <c r="O283" s="123"/>
      <c r="P283" s="123"/>
      <c r="Q283" t="str">
        <f t="shared" si="4"/>
        <v/>
      </c>
    </row>
    <row r="284" spans="3:17" hidden="1">
      <c r="C284" s="123"/>
      <c r="D284" s="123"/>
      <c r="E284" s="124"/>
      <c r="F284" s="124"/>
      <c r="G284" s="130"/>
      <c r="H284" s="124"/>
      <c r="I284" s="243"/>
      <c r="J284" s="123"/>
      <c r="K284" s="123"/>
      <c r="L284" s="246"/>
      <c r="M284" s="123"/>
      <c r="N284" s="123"/>
      <c r="O284" s="123"/>
      <c r="P284" s="123"/>
      <c r="Q284" t="str">
        <f t="shared" si="4"/>
        <v/>
      </c>
    </row>
    <row r="285" spans="3:17" hidden="1">
      <c r="C285" s="123"/>
      <c r="D285" s="123"/>
      <c r="E285" s="124"/>
      <c r="F285" s="124"/>
      <c r="G285" s="130"/>
      <c r="H285" s="124"/>
      <c r="I285" s="243"/>
      <c r="J285" s="123"/>
      <c r="K285" s="123"/>
      <c r="L285" s="246"/>
      <c r="M285" s="123"/>
      <c r="N285" s="123"/>
      <c r="O285" s="123"/>
      <c r="P285" s="123"/>
      <c r="Q285" t="str">
        <f t="shared" si="4"/>
        <v/>
      </c>
    </row>
    <row r="286" spans="3:17" hidden="1">
      <c r="C286" s="123"/>
      <c r="D286" s="123"/>
      <c r="E286" s="124"/>
      <c r="F286" s="124"/>
      <c r="G286" s="130"/>
      <c r="H286" s="124"/>
      <c r="I286" s="243"/>
      <c r="J286" s="123"/>
      <c r="K286" s="123"/>
      <c r="L286" s="246"/>
      <c r="M286" s="123"/>
      <c r="N286" s="123"/>
      <c r="O286" s="123"/>
      <c r="P286" s="123"/>
      <c r="Q286" t="str">
        <f t="shared" si="4"/>
        <v/>
      </c>
    </row>
    <row r="287" spans="3:17" hidden="1">
      <c r="C287" s="123"/>
      <c r="D287" s="123"/>
      <c r="E287" s="124"/>
      <c r="F287" s="124"/>
      <c r="G287" s="130"/>
      <c r="H287" s="124"/>
      <c r="I287" s="243"/>
      <c r="J287" s="123"/>
      <c r="K287" s="123"/>
      <c r="L287" s="246"/>
      <c r="M287" s="123"/>
      <c r="N287" s="123"/>
      <c r="O287" s="123"/>
      <c r="P287" s="123"/>
      <c r="Q287" t="str">
        <f t="shared" si="4"/>
        <v/>
      </c>
    </row>
    <row r="288" spans="3:17" hidden="1">
      <c r="C288" s="123"/>
      <c r="D288" s="123"/>
      <c r="E288" s="124"/>
      <c r="F288" s="124"/>
      <c r="G288" s="130"/>
      <c r="H288" s="124"/>
      <c r="I288" s="243"/>
      <c r="J288" s="123"/>
      <c r="K288" s="123"/>
      <c r="L288" s="246"/>
      <c r="M288" s="123"/>
      <c r="N288" s="123"/>
      <c r="O288" s="123"/>
      <c r="P288" s="123"/>
      <c r="Q288" t="str">
        <f t="shared" si="4"/>
        <v/>
      </c>
    </row>
    <row r="289" spans="3:17" hidden="1">
      <c r="C289" s="123"/>
      <c r="D289" s="123"/>
      <c r="E289" s="124"/>
      <c r="F289" s="124"/>
      <c r="G289" s="130"/>
      <c r="H289" s="124"/>
      <c r="I289" s="243"/>
      <c r="J289" s="123"/>
      <c r="K289" s="123"/>
      <c r="L289" s="246"/>
      <c r="M289" s="123"/>
      <c r="N289" s="123"/>
      <c r="O289" s="123"/>
      <c r="P289" s="123"/>
      <c r="Q289" t="str">
        <f t="shared" si="4"/>
        <v/>
      </c>
    </row>
    <row r="290" spans="3:17" hidden="1">
      <c r="C290" s="123"/>
      <c r="D290" s="123"/>
      <c r="E290" s="124"/>
      <c r="F290" s="124"/>
      <c r="G290" s="130"/>
      <c r="H290" s="124"/>
      <c r="I290" s="243"/>
      <c r="J290" s="123"/>
      <c r="K290" s="123"/>
      <c r="L290" s="246"/>
      <c r="M290" s="123"/>
      <c r="N290" s="123"/>
      <c r="O290" s="123"/>
      <c r="P290" s="123"/>
      <c r="Q290" t="str">
        <f t="shared" si="4"/>
        <v/>
      </c>
    </row>
    <row r="291" spans="3:17" hidden="1">
      <c r="C291" s="123"/>
      <c r="D291" s="123"/>
      <c r="E291" s="124"/>
      <c r="F291" s="124"/>
      <c r="G291" s="130"/>
      <c r="H291" s="124"/>
      <c r="I291" s="243"/>
      <c r="J291" s="123"/>
      <c r="K291" s="123"/>
      <c r="L291" s="246"/>
      <c r="M291" s="123"/>
      <c r="N291" s="123"/>
      <c r="O291" s="123"/>
      <c r="P291" s="123"/>
      <c r="Q291" t="str">
        <f t="shared" si="4"/>
        <v/>
      </c>
    </row>
    <row r="292" spans="3:17" hidden="1">
      <c r="C292" s="123"/>
      <c r="D292" s="123"/>
      <c r="E292" s="124"/>
      <c r="F292" s="124"/>
      <c r="G292" s="130"/>
      <c r="H292" s="124"/>
      <c r="I292" s="243"/>
      <c r="J292" s="123"/>
      <c r="K292" s="123"/>
      <c r="L292" s="246"/>
      <c r="M292" s="123"/>
      <c r="N292" s="123"/>
      <c r="O292" s="123"/>
      <c r="P292" s="123"/>
      <c r="Q292" t="str">
        <f t="shared" si="4"/>
        <v/>
      </c>
    </row>
    <row r="293" spans="3:17" hidden="1">
      <c r="C293" s="123"/>
      <c r="D293" s="123"/>
      <c r="E293" s="124"/>
      <c r="F293" s="124"/>
      <c r="G293" s="130"/>
      <c r="H293" s="124"/>
      <c r="I293" s="243"/>
      <c r="J293" s="123"/>
      <c r="K293" s="123"/>
      <c r="L293" s="246"/>
      <c r="M293" s="123"/>
      <c r="N293" s="123"/>
      <c r="O293" s="123"/>
      <c r="P293" s="123"/>
      <c r="Q293" t="str">
        <f t="shared" si="4"/>
        <v/>
      </c>
    </row>
    <row r="294" spans="3:17" hidden="1">
      <c r="C294" s="123"/>
      <c r="D294" s="123"/>
      <c r="E294" s="124"/>
      <c r="F294" s="124"/>
      <c r="G294" s="130"/>
      <c r="H294" s="124"/>
      <c r="I294" s="243"/>
      <c r="J294" s="123"/>
      <c r="K294" s="123"/>
      <c r="L294" s="246"/>
      <c r="M294" s="123"/>
      <c r="N294" s="123"/>
      <c r="O294" s="123"/>
      <c r="P294" s="123"/>
      <c r="Q294" t="str">
        <f t="shared" si="4"/>
        <v/>
      </c>
    </row>
    <row r="295" spans="3:17" hidden="1">
      <c r="C295" s="123"/>
      <c r="D295" s="123"/>
      <c r="E295" s="124"/>
      <c r="F295" s="124"/>
      <c r="G295" s="130"/>
      <c r="H295" s="124"/>
      <c r="I295" s="243"/>
      <c r="J295" s="123"/>
      <c r="K295" s="123"/>
      <c r="L295" s="246"/>
      <c r="M295" s="123"/>
      <c r="N295" s="123"/>
      <c r="O295" s="123"/>
      <c r="P295" s="123"/>
      <c r="Q295" t="str">
        <f t="shared" si="4"/>
        <v/>
      </c>
    </row>
    <row r="296" spans="3:17" hidden="1">
      <c r="C296" s="123"/>
      <c r="D296" s="123"/>
      <c r="E296" s="124"/>
      <c r="F296" s="124"/>
      <c r="G296" s="130"/>
      <c r="H296" s="124"/>
      <c r="I296" s="243"/>
      <c r="J296" s="123"/>
      <c r="K296" s="123"/>
      <c r="L296" s="246"/>
      <c r="M296" s="123"/>
      <c r="N296" s="123"/>
      <c r="O296" s="123"/>
      <c r="P296" s="123"/>
      <c r="Q296" t="str">
        <f t="shared" si="4"/>
        <v/>
      </c>
    </row>
    <row r="297" spans="3:17" hidden="1">
      <c r="C297" s="123"/>
      <c r="D297" s="123"/>
      <c r="E297" s="124"/>
      <c r="F297" s="124"/>
      <c r="G297" s="130"/>
      <c r="H297" s="124"/>
      <c r="I297" s="243"/>
      <c r="J297" s="123"/>
      <c r="K297" s="123"/>
      <c r="L297" s="246"/>
      <c r="M297" s="123"/>
      <c r="N297" s="123"/>
      <c r="O297" s="123"/>
      <c r="P297" s="123"/>
      <c r="Q297" t="str">
        <f t="shared" si="4"/>
        <v/>
      </c>
    </row>
    <row r="298" spans="3:17" hidden="1">
      <c r="C298" s="123"/>
      <c r="D298" s="123"/>
      <c r="E298" s="124"/>
      <c r="F298" s="124"/>
      <c r="G298" s="130"/>
      <c r="H298" s="124"/>
      <c r="I298" s="243"/>
      <c r="J298" s="123"/>
      <c r="K298" s="123"/>
      <c r="L298" s="246"/>
      <c r="M298" s="123"/>
      <c r="N298" s="123"/>
      <c r="O298" s="123"/>
      <c r="P298" s="123"/>
      <c r="Q298" t="str">
        <f t="shared" si="4"/>
        <v/>
      </c>
    </row>
    <row r="299" spans="3:17" hidden="1">
      <c r="C299" s="123"/>
      <c r="D299" s="123"/>
      <c r="E299" s="124"/>
      <c r="F299" s="124"/>
      <c r="G299" s="130"/>
      <c r="H299" s="124"/>
      <c r="I299" s="243"/>
      <c r="J299" s="123"/>
      <c r="K299" s="123"/>
      <c r="L299" s="246"/>
      <c r="M299" s="123"/>
      <c r="N299" s="123"/>
      <c r="O299" s="123"/>
      <c r="P299" s="123"/>
      <c r="Q299" t="str">
        <f t="shared" si="4"/>
        <v/>
      </c>
    </row>
    <row r="300" spans="3:17" hidden="1">
      <c r="C300" s="123"/>
      <c r="D300" s="123"/>
      <c r="E300" s="124"/>
      <c r="F300" s="124"/>
      <c r="G300" s="130"/>
      <c r="H300" s="124"/>
      <c r="I300" s="243"/>
      <c r="J300" s="123"/>
      <c r="K300" s="123"/>
      <c r="L300" s="246"/>
      <c r="M300" s="123"/>
      <c r="N300" s="123"/>
      <c r="O300" s="123"/>
      <c r="P300" s="123"/>
      <c r="Q300" t="str">
        <f t="shared" si="4"/>
        <v/>
      </c>
    </row>
    <row r="301" spans="3:17" hidden="1">
      <c r="C301" s="123"/>
      <c r="D301" s="123"/>
      <c r="E301" s="124"/>
      <c r="F301" s="124"/>
      <c r="G301" s="130"/>
      <c r="H301" s="124"/>
      <c r="I301" s="243"/>
      <c r="J301" s="123"/>
      <c r="K301" s="123"/>
      <c r="L301" s="246"/>
      <c r="M301" s="123"/>
      <c r="N301" s="123"/>
      <c r="O301" s="123"/>
      <c r="P301" s="123"/>
      <c r="Q301" t="str">
        <f t="shared" si="4"/>
        <v/>
      </c>
    </row>
    <row r="302" spans="3:17" hidden="1">
      <c r="C302" s="123"/>
      <c r="D302" s="123"/>
      <c r="E302" s="124"/>
      <c r="F302" s="124"/>
      <c r="G302" s="130"/>
      <c r="H302" s="124"/>
      <c r="I302" s="243"/>
      <c r="J302" s="123"/>
      <c r="K302" s="123"/>
      <c r="L302" s="246"/>
      <c r="M302" s="123"/>
      <c r="N302" s="123"/>
      <c r="O302" s="123"/>
      <c r="P302" s="123"/>
      <c r="Q302" t="str">
        <f t="shared" si="4"/>
        <v/>
      </c>
    </row>
    <row r="303" spans="3:17" hidden="1">
      <c r="C303" s="123"/>
      <c r="D303" s="123"/>
      <c r="E303" s="124"/>
      <c r="F303" s="124"/>
      <c r="G303" s="130"/>
      <c r="H303" s="124"/>
      <c r="I303" s="243"/>
      <c r="J303" s="123"/>
      <c r="K303" s="123"/>
      <c r="L303" s="246"/>
      <c r="M303" s="123"/>
      <c r="N303" s="123"/>
      <c r="O303" s="123"/>
      <c r="P303" s="123"/>
      <c r="Q303" t="str">
        <f t="shared" si="4"/>
        <v/>
      </c>
    </row>
    <row r="304" spans="3:17" hidden="1">
      <c r="C304" s="123"/>
      <c r="D304" s="123"/>
      <c r="E304" s="124"/>
      <c r="F304" s="124"/>
      <c r="G304" s="130"/>
      <c r="H304" s="124"/>
      <c r="I304" s="243"/>
      <c r="J304" s="123"/>
      <c r="K304" s="123"/>
      <c r="L304" s="246"/>
      <c r="M304" s="123"/>
      <c r="N304" s="123"/>
      <c r="O304" s="123"/>
      <c r="P304" s="123"/>
      <c r="Q304" t="str">
        <f t="shared" si="4"/>
        <v/>
      </c>
    </row>
    <row r="305" spans="3:17" hidden="1">
      <c r="C305" s="123"/>
      <c r="D305" s="123"/>
      <c r="E305" s="124"/>
      <c r="F305" s="124"/>
      <c r="G305" s="130"/>
      <c r="H305" s="124"/>
      <c r="I305" s="243"/>
      <c r="J305" s="123"/>
      <c r="K305" s="123"/>
      <c r="L305" s="246"/>
      <c r="M305" s="123"/>
      <c r="N305" s="123"/>
      <c r="O305" s="123"/>
      <c r="P305" s="123"/>
      <c r="Q305" t="str">
        <f t="shared" si="4"/>
        <v/>
      </c>
    </row>
    <row r="306" spans="3:17" hidden="1">
      <c r="C306" s="123"/>
      <c r="D306" s="123"/>
      <c r="E306" s="124"/>
      <c r="F306" s="124"/>
      <c r="G306" s="130"/>
      <c r="H306" s="124"/>
      <c r="I306" s="243"/>
      <c r="J306" s="123"/>
      <c r="K306" s="123"/>
      <c r="L306" s="246"/>
      <c r="M306" s="123"/>
      <c r="N306" s="123"/>
      <c r="O306" s="123"/>
      <c r="P306" s="123"/>
      <c r="Q306" t="str">
        <f t="shared" si="4"/>
        <v/>
      </c>
    </row>
    <row r="307" spans="3:17" hidden="1">
      <c r="C307" s="123"/>
      <c r="D307" s="123"/>
      <c r="E307" s="124"/>
      <c r="F307" s="124"/>
      <c r="G307" s="130"/>
      <c r="H307" s="124"/>
      <c r="I307" s="243"/>
      <c r="J307" s="123"/>
      <c r="K307" s="123"/>
      <c r="L307" s="246"/>
      <c r="M307" s="123"/>
      <c r="N307" s="123"/>
      <c r="O307" s="123"/>
      <c r="P307" s="123"/>
      <c r="Q307" t="str">
        <f t="shared" si="4"/>
        <v/>
      </c>
    </row>
    <row r="308" spans="3:17" hidden="1">
      <c r="C308" s="123"/>
      <c r="D308" s="123"/>
      <c r="E308" s="124"/>
      <c r="F308" s="124"/>
      <c r="G308" s="130"/>
      <c r="H308" s="124"/>
      <c r="I308" s="243"/>
      <c r="J308" s="123"/>
      <c r="K308" s="123"/>
      <c r="L308" s="246"/>
      <c r="M308" s="123"/>
      <c r="N308" s="123"/>
      <c r="O308" s="123"/>
      <c r="P308" s="123"/>
      <c r="Q308" t="str">
        <f t="shared" si="4"/>
        <v/>
      </c>
    </row>
    <row r="309" spans="3:17" hidden="1">
      <c r="C309" s="123"/>
      <c r="D309" s="123"/>
      <c r="E309" s="124"/>
      <c r="F309" s="124"/>
      <c r="G309" s="130"/>
      <c r="H309" s="124"/>
      <c r="I309" s="243"/>
      <c r="J309" s="123"/>
      <c r="K309" s="123"/>
      <c r="L309" s="246"/>
      <c r="M309" s="123"/>
      <c r="N309" s="123"/>
      <c r="O309" s="123"/>
      <c r="P309" s="123"/>
      <c r="Q309" t="str">
        <f t="shared" si="4"/>
        <v/>
      </c>
    </row>
    <row r="310" spans="3:17" hidden="1">
      <c r="C310" s="123"/>
      <c r="D310" s="123"/>
      <c r="E310" s="124"/>
      <c r="F310" s="124"/>
      <c r="G310" s="130"/>
      <c r="H310" s="124"/>
      <c r="I310" s="243"/>
      <c r="J310" s="123"/>
      <c r="K310" s="123"/>
      <c r="L310" s="246"/>
      <c r="M310" s="123"/>
      <c r="N310" s="123"/>
      <c r="O310" s="123"/>
      <c r="P310" s="123"/>
      <c r="Q310" t="str">
        <f t="shared" si="4"/>
        <v/>
      </c>
    </row>
    <row r="311" spans="3:17" hidden="1">
      <c r="C311" s="123"/>
      <c r="D311" s="123"/>
      <c r="E311" s="124"/>
      <c r="F311" s="124"/>
      <c r="G311" s="130"/>
      <c r="H311" s="124"/>
      <c r="I311" s="243"/>
      <c r="J311" s="123"/>
      <c r="K311" s="123"/>
      <c r="L311" s="246"/>
      <c r="M311" s="123"/>
      <c r="N311" s="123"/>
      <c r="O311" s="123"/>
      <c r="P311" s="123"/>
      <c r="Q311" t="str">
        <f t="shared" si="4"/>
        <v/>
      </c>
    </row>
    <row r="312" spans="3:17" hidden="1">
      <c r="C312" s="123"/>
      <c r="D312" s="123"/>
      <c r="E312" s="124"/>
      <c r="F312" s="124"/>
      <c r="G312" s="130"/>
      <c r="H312" s="124"/>
      <c r="I312" s="243"/>
      <c r="J312" s="123"/>
      <c r="K312" s="123"/>
      <c r="L312" s="246"/>
      <c r="M312" s="123"/>
      <c r="N312" s="123"/>
      <c r="O312" s="123"/>
      <c r="P312" s="123"/>
      <c r="Q312" t="str">
        <f t="shared" si="4"/>
        <v/>
      </c>
    </row>
    <row r="313" spans="3:17" hidden="1">
      <c r="C313" s="123"/>
      <c r="D313" s="123"/>
      <c r="E313" s="124"/>
      <c r="F313" s="124"/>
      <c r="G313" s="130"/>
      <c r="H313" s="124"/>
      <c r="I313" s="243"/>
      <c r="J313" s="123"/>
      <c r="K313" s="123"/>
      <c r="L313" s="246"/>
      <c r="M313" s="123"/>
      <c r="N313" s="123"/>
      <c r="O313" s="123"/>
      <c r="P313" s="123"/>
      <c r="Q313" t="str">
        <f t="shared" si="4"/>
        <v/>
      </c>
    </row>
    <row r="314" spans="3:17" hidden="1">
      <c r="C314" s="123"/>
      <c r="D314" s="123"/>
      <c r="E314" s="124"/>
      <c r="F314" s="124"/>
      <c r="G314" s="130"/>
      <c r="H314" s="124"/>
      <c r="I314" s="243"/>
      <c r="J314" s="123"/>
      <c r="K314" s="123"/>
      <c r="L314" s="246"/>
      <c r="M314" s="123"/>
      <c r="N314" s="123"/>
      <c r="O314" s="123"/>
      <c r="P314" s="123"/>
      <c r="Q314" t="str">
        <f t="shared" si="4"/>
        <v/>
      </c>
    </row>
    <row r="315" spans="3:17" hidden="1">
      <c r="C315" s="123"/>
      <c r="D315" s="123"/>
      <c r="E315" s="124"/>
      <c r="F315" s="124"/>
      <c r="G315" s="130"/>
      <c r="H315" s="124"/>
      <c r="I315" s="243"/>
      <c r="J315" s="123"/>
      <c r="K315" s="123"/>
      <c r="L315" s="246"/>
      <c r="M315" s="123"/>
      <c r="N315" s="123"/>
      <c r="O315" s="123"/>
      <c r="P315" s="123"/>
      <c r="Q315" t="str">
        <f t="shared" si="4"/>
        <v/>
      </c>
    </row>
    <row r="316" spans="3:17" hidden="1">
      <c r="C316" s="123"/>
      <c r="D316" s="123"/>
      <c r="E316" s="124"/>
      <c r="F316" s="124"/>
      <c r="G316" s="130"/>
      <c r="H316" s="124"/>
      <c r="I316" s="243"/>
      <c r="J316" s="123"/>
      <c r="K316" s="123"/>
      <c r="L316" s="246"/>
      <c r="M316" s="123"/>
      <c r="N316" s="123"/>
      <c r="O316" s="123"/>
      <c r="P316" s="123"/>
      <c r="Q316" t="str">
        <f t="shared" si="4"/>
        <v/>
      </c>
    </row>
    <row r="317" spans="3:17" hidden="1">
      <c r="C317" s="123"/>
      <c r="D317" s="123"/>
      <c r="E317" s="124"/>
      <c r="F317" s="124"/>
      <c r="G317" s="130"/>
      <c r="H317" s="124"/>
      <c r="I317" s="243"/>
      <c r="J317" s="123"/>
      <c r="K317" s="123"/>
      <c r="L317" s="246"/>
      <c r="M317" s="123"/>
      <c r="N317" s="123"/>
      <c r="O317" s="123"/>
      <c r="P317" s="123"/>
      <c r="Q317" t="str">
        <f t="shared" si="4"/>
        <v/>
      </c>
    </row>
    <row r="318" spans="3:17" hidden="1">
      <c r="C318" s="123"/>
      <c r="D318" s="123"/>
      <c r="E318" s="124"/>
      <c r="F318" s="124"/>
      <c r="G318" s="130"/>
      <c r="H318" s="124"/>
      <c r="I318" s="243"/>
      <c r="J318" s="123"/>
      <c r="K318" s="123"/>
      <c r="L318" s="246"/>
      <c r="M318" s="123"/>
      <c r="N318" s="123"/>
      <c r="O318" s="123"/>
      <c r="P318" s="123"/>
      <c r="Q318" t="str">
        <f t="shared" si="4"/>
        <v/>
      </c>
    </row>
    <row r="319" spans="3:17" hidden="1">
      <c r="C319" s="123"/>
      <c r="D319" s="123"/>
      <c r="E319" s="124"/>
      <c r="F319" s="124"/>
      <c r="G319" s="130"/>
      <c r="H319" s="124"/>
      <c r="I319" s="243"/>
      <c r="J319" s="123"/>
      <c r="K319" s="123"/>
      <c r="L319" s="246"/>
      <c r="M319" s="123"/>
      <c r="N319" s="123"/>
      <c r="O319" s="123"/>
      <c r="P319" s="123"/>
      <c r="Q319" t="str">
        <f t="shared" si="4"/>
        <v/>
      </c>
    </row>
    <row r="320" spans="3:17" hidden="1">
      <c r="C320" s="123"/>
      <c r="D320" s="123"/>
      <c r="E320" s="124"/>
      <c r="F320" s="124"/>
      <c r="G320" s="130"/>
      <c r="H320" s="124"/>
      <c r="I320" s="243"/>
      <c r="J320" s="123"/>
      <c r="K320" s="123"/>
      <c r="L320" s="246"/>
      <c r="M320" s="123"/>
      <c r="N320" s="123"/>
      <c r="O320" s="123"/>
      <c r="P320" s="123"/>
      <c r="Q320" t="str">
        <f t="shared" si="4"/>
        <v/>
      </c>
    </row>
    <row r="321" spans="3:17" hidden="1">
      <c r="C321" s="123"/>
      <c r="D321" s="123"/>
      <c r="E321" s="124"/>
      <c r="F321" s="124"/>
      <c r="G321" s="130"/>
      <c r="H321" s="124"/>
      <c r="I321" s="243"/>
      <c r="J321" s="123"/>
      <c r="K321" s="123"/>
      <c r="L321" s="246"/>
      <c r="M321" s="123"/>
      <c r="N321" s="123"/>
      <c r="O321" s="123"/>
      <c r="P321" s="123"/>
      <c r="Q321" t="str">
        <f t="shared" si="4"/>
        <v/>
      </c>
    </row>
    <row r="322" spans="3:17" hidden="1">
      <c r="C322" s="123"/>
      <c r="D322" s="123"/>
      <c r="E322" s="124"/>
      <c r="F322" s="124"/>
      <c r="G322" s="130"/>
      <c r="H322" s="124"/>
      <c r="I322" s="243"/>
      <c r="J322" s="123"/>
      <c r="K322" s="123"/>
      <c r="L322" s="246"/>
      <c r="M322" s="123"/>
      <c r="N322" s="123"/>
      <c r="O322" s="123"/>
      <c r="P322" s="123"/>
      <c r="Q322" t="str">
        <f t="shared" si="4"/>
        <v/>
      </c>
    </row>
    <row r="323" spans="3:17" hidden="1">
      <c r="C323" s="123"/>
      <c r="D323" s="123"/>
      <c r="E323" s="124"/>
      <c r="F323" s="124"/>
      <c r="G323" s="130"/>
      <c r="H323" s="124"/>
      <c r="I323" s="243"/>
      <c r="J323" s="123"/>
      <c r="K323" s="123"/>
      <c r="L323" s="246"/>
      <c r="M323" s="123"/>
      <c r="N323" s="123"/>
      <c r="O323" s="123"/>
      <c r="P323" s="123"/>
      <c r="Q323" t="str">
        <f t="shared" si="4"/>
        <v/>
      </c>
    </row>
    <row r="324" spans="3:17" hidden="1">
      <c r="C324" s="123"/>
      <c r="D324" s="123"/>
      <c r="E324" s="124"/>
      <c r="F324" s="124"/>
      <c r="G324" s="130"/>
      <c r="H324" s="124"/>
      <c r="I324" s="243"/>
      <c r="J324" s="123"/>
      <c r="K324" s="123"/>
      <c r="L324" s="246"/>
      <c r="M324" s="123"/>
      <c r="N324" s="123"/>
      <c r="O324" s="123"/>
      <c r="P324" s="123"/>
      <c r="Q324" t="str">
        <f t="shared" si="4"/>
        <v/>
      </c>
    </row>
    <row r="325" spans="3:17" hidden="1">
      <c r="C325" s="123"/>
      <c r="D325" s="123"/>
      <c r="E325" s="124"/>
      <c r="F325" s="124"/>
      <c r="G325" s="130"/>
      <c r="H325" s="124"/>
      <c r="I325" s="243"/>
      <c r="J325" s="123"/>
      <c r="K325" s="123"/>
      <c r="L325" s="246"/>
      <c r="M325" s="123"/>
      <c r="N325" s="123"/>
      <c r="O325" s="123"/>
      <c r="P325" s="123"/>
      <c r="Q325" t="str">
        <f t="shared" si="4"/>
        <v/>
      </c>
    </row>
    <row r="326" spans="3:17" hidden="1">
      <c r="C326" s="123"/>
      <c r="D326" s="123"/>
      <c r="E326" s="124"/>
      <c r="F326" s="124"/>
      <c r="G326" s="130"/>
      <c r="H326" s="124"/>
      <c r="I326" s="243"/>
      <c r="J326" s="123"/>
      <c r="K326" s="123"/>
      <c r="L326" s="246"/>
      <c r="M326" s="123"/>
      <c r="N326" s="123"/>
      <c r="O326" s="123"/>
      <c r="P326" s="123"/>
      <c r="Q326" t="str">
        <f t="shared" si="4"/>
        <v/>
      </c>
    </row>
    <row r="327" spans="3:17" hidden="1">
      <c r="C327" s="123"/>
      <c r="D327" s="123"/>
      <c r="E327" s="124"/>
      <c r="F327" s="124"/>
      <c r="G327" s="130"/>
      <c r="H327" s="124"/>
      <c r="I327" s="243"/>
      <c r="J327" s="123"/>
      <c r="K327" s="123"/>
      <c r="L327" s="246"/>
      <c r="M327" s="123"/>
      <c r="N327" s="123"/>
      <c r="O327" s="123"/>
      <c r="P327" s="123"/>
      <c r="Q327" t="str">
        <f t="shared" ref="Q327:Q390" si="5">IF(D327="","","x")</f>
        <v/>
      </c>
    </row>
    <row r="328" spans="3:17" hidden="1">
      <c r="C328" s="123"/>
      <c r="D328" s="123"/>
      <c r="E328" s="124"/>
      <c r="F328" s="124"/>
      <c r="G328" s="130"/>
      <c r="H328" s="124"/>
      <c r="I328" s="243"/>
      <c r="J328" s="123"/>
      <c r="K328" s="123"/>
      <c r="L328" s="246"/>
      <c r="M328" s="123"/>
      <c r="N328" s="123"/>
      <c r="O328" s="123"/>
      <c r="P328" s="123"/>
      <c r="Q328" t="str">
        <f t="shared" si="5"/>
        <v/>
      </c>
    </row>
    <row r="329" spans="3:17" hidden="1">
      <c r="C329" s="123"/>
      <c r="D329" s="123"/>
      <c r="E329" s="124"/>
      <c r="F329" s="124"/>
      <c r="G329" s="130"/>
      <c r="H329" s="124"/>
      <c r="I329" s="243"/>
      <c r="J329" s="123"/>
      <c r="K329" s="123"/>
      <c r="L329" s="246"/>
      <c r="M329" s="123"/>
      <c r="N329" s="123"/>
      <c r="O329" s="123"/>
      <c r="P329" s="123"/>
      <c r="Q329" t="str">
        <f t="shared" si="5"/>
        <v/>
      </c>
    </row>
    <row r="330" spans="3:17" hidden="1">
      <c r="C330" s="123"/>
      <c r="D330" s="123"/>
      <c r="E330" s="124"/>
      <c r="F330" s="124"/>
      <c r="G330" s="130"/>
      <c r="H330" s="124"/>
      <c r="I330" s="243"/>
      <c r="J330" s="123"/>
      <c r="K330" s="123"/>
      <c r="L330" s="246"/>
      <c r="M330" s="123"/>
      <c r="N330" s="123"/>
      <c r="O330" s="123"/>
      <c r="P330" s="123"/>
      <c r="Q330" t="str">
        <f t="shared" si="5"/>
        <v/>
      </c>
    </row>
    <row r="331" spans="3:17" hidden="1">
      <c r="C331" s="123"/>
      <c r="D331" s="123"/>
      <c r="E331" s="124"/>
      <c r="F331" s="124"/>
      <c r="G331" s="130"/>
      <c r="H331" s="124"/>
      <c r="I331" s="243"/>
      <c r="J331" s="123"/>
      <c r="K331" s="123"/>
      <c r="L331" s="246"/>
      <c r="M331" s="123"/>
      <c r="N331" s="123"/>
      <c r="O331" s="123"/>
      <c r="P331" s="123"/>
      <c r="Q331" t="str">
        <f t="shared" si="5"/>
        <v/>
      </c>
    </row>
    <row r="332" spans="3:17" hidden="1">
      <c r="C332" s="123"/>
      <c r="D332" s="123"/>
      <c r="E332" s="124"/>
      <c r="F332" s="124"/>
      <c r="G332" s="130"/>
      <c r="H332" s="124"/>
      <c r="I332" s="243"/>
      <c r="J332" s="123"/>
      <c r="K332" s="123"/>
      <c r="L332" s="246"/>
      <c r="M332" s="123"/>
      <c r="N332" s="123"/>
      <c r="O332" s="123"/>
      <c r="P332" s="123"/>
      <c r="Q332" t="str">
        <f t="shared" si="5"/>
        <v/>
      </c>
    </row>
    <row r="333" spans="3:17" hidden="1">
      <c r="C333" s="123"/>
      <c r="D333" s="123"/>
      <c r="E333" s="124"/>
      <c r="F333" s="124"/>
      <c r="G333" s="130"/>
      <c r="H333" s="124"/>
      <c r="I333" s="243"/>
      <c r="J333" s="123"/>
      <c r="K333" s="123"/>
      <c r="L333" s="246"/>
      <c r="M333" s="123"/>
      <c r="N333" s="123"/>
      <c r="O333" s="123"/>
      <c r="P333" s="123"/>
      <c r="Q333" t="str">
        <f t="shared" si="5"/>
        <v/>
      </c>
    </row>
    <row r="334" spans="3:17" hidden="1">
      <c r="C334" s="123"/>
      <c r="D334" s="123"/>
      <c r="E334" s="124"/>
      <c r="F334" s="124"/>
      <c r="G334" s="130"/>
      <c r="H334" s="124"/>
      <c r="I334" s="243"/>
      <c r="J334" s="123"/>
      <c r="K334" s="123"/>
      <c r="L334" s="246"/>
      <c r="M334" s="123"/>
      <c r="N334" s="123"/>
      <c r="O334" s="123"/>
      <c r="P334" s="123"/>
      <c r="Q334" t="str">
        <f t="shared" si="5"/>
        <v/>
      </c>
    </row>
    <row r="335" spans="3:17" hidden="1">
      <c r="C335" s="123"/>
      <c r="D335" s="123"/>
      <c r="E335" s="124"/>
      <c r="F335" s="124"/>
      <c r="G335" s="130"/>
      <c r="H335" s="124"/>
      <c r="I335" s="243"/>
      <c r="J335" s="123"/>
      <c r="K335" s="123"/>
      <c r="L335" s="246"/>
      <c r="M335" s="123"/>
      <c r="N335" s="123"/>
      <c r="O335" s="123"/>
      <c r="P335" s="123"/>
      <c r="Q335" t="str">
        <f t="shared" si="5"/>
        <v/>
      </c>
    </row>
    <row r="336" spans="3:17" hidden="1">
      <c r="C336" s="123"/>
      <c r="D336" s="123"/>
      <c r="E336" s="124"/>
      <c r="F336" s="124"/>
      <c r="G336" s="130"/>
      <c r="H336" s="124"/>
      <c r="I336" s="243"/>
      <c r="J336" s="123"/>
      <c r="K336" s="123"/>
      <c r="L336" s="246"/>
      <c r="M336" s="123"/>
      <c r="N336" s="123"/>
      <c r="O336" s="123"/>
      <c r="P336" s="123"/>
      <c r="Q336" t="str">
        <f t="shared" si="5"/>
        <v/>
      </c>
    </row>
    <row r="337" spans="3:17" hidden="1">
      <c r="C337" s="123"/>
      <c r="D337" s="123"/>
      <c r="E337" s="124"/>
      <c r="F337" s="124"/>
      <c r="G337" s="130"/>
      <c r="H337" s="124"/>
      <c r="I337" s="243"/>
      <c r="J337" s="123"/>
      <c r="K337" s="123"/>
      <c r="L337" s="246"/>
      <c r="M337" s="123"/>
      <c r="N337" s="123"/>
      <c r="O337" s="123"/>
      <c r="P337" s="123"/>
      <c r="Q337" t="str">
        <f t="shared" si="5"/>
        <v/>
      </c>
    </row>
    <row r="338" spans="3:17" hidden="1">
      <c r="C338" s="123"/>
      <c r="D338" s="123"/>
      <c r="E338" s="124"/>
      <c r="F338" s="124"/>
      <c r="G338" s="130"/>
      <c r="H338" s="124"/>
      <c r="I338" s="243"/>
      <c r="J338" s="123"/>
      <c r="K338" s="123"/>
      <c r="L338" s="246"/>
      <c r="M338" s="123"/>
      <c r="N338" s="123"/>
      <c r="O338" s="123"/>
      <c r="P338" s="123"/>
      <c r="Q338" t="str">
        <f t="shared" si="5"/>
        <v/>
      </c>
    </row>
    <row r="339" spans="3:17" hidden="1">
      <c r="C339" s="123"/>
      <c r="D339" s="123"/>
      <c r="E339" s="124"/>
      <c r="F339" s="124"/>
      <c r="G339" s="130"/>
      <c r="H339" s="124"/>
      <c r="I339" s="243"/>
      <c r="J339" s="123"/>
      <c r="K339" s="123"/>
      <c r="L339" s="246"/>
      <c r="M339" s="123"/>
      <c r="N339" s="123"/>
      <c r="O339" s="123"/>
      <c r="P339" s="123"/>
      <c r="Q339" t="str">
        <f t="shared" si="5"/>
        <v/>
      </c>
    </row>
    <row r="340" spans="3:17" hidden="1">
      <c r="C340" s="123"/>
      <c r="D340" s="123"/>
      <c r="E340" s="124"/>
      <c r="F340" s="124"/>
      <c r="G340" s="130"/>
      <c r="H340" s="124"/>
      <c r="I340" s="243"/>
      <c r="J340" s="123"/>
      <c r="K340" s="123"/>
      <c r="L340" s="246"/>
      <c r="M340" s="123"/>
      <c r="N340" s="123"/>
      <c r="O340" s="123"/>
      <c r="P340" s="123"/>
      <c r="Q340" t="str">
        <f t="shared" si="5"/>
        <v/>
      </c>
    </row>
    <row r="341" spans="3:17" hidden="1">
      <c r="C341" s="123"/>
      <c r="D341" s="123"/>
      <c r="E341" s="124"/>
      <c r="F341" s="124"/>
      <c r="G341" s="130"/>
      <c r="H341" s="124"/>
      <c r="I341" s="243"/>
      <c r="J341" s="123"/>
      <c r="K341" s="123"/>
      <c r="L341" s="246"/>
      <c r="M341" s="123"/>
      <c r="N341" s="123"/>
      <c r="O341" s="123"/>
      <c r="P341" s="123"/>
      <c r="Q341" t="str">
        <f t="shared" si="5"/>
        <v/>
      </c>
    </row>
    <row r="342" spans="3:17" hidden="1">
      <c r="C342" s="123"/>
      <c r="D342" s="123"/>
      <c r="E342" s="124"/>
      <c r="F342" s="124"/>
      <c r="G342" s="130"/>
      <c r="H342" s="124"/>
      <c r="I342" s="243"/>
      <c r="J342" s="123"/>
      <c r="K342" s="123"/>
      <c r="L342" s="246"/>
      <c r="M342" s="123"/>
      <c r="N342" s="123"/>
      <c r="O342" s="123"/>
      <c r="P342" s="123"/>
      <c r="Q342" t="str">
        <f t="shared" si="5"/>
        <v/>
      </c>
    </row>
    <row r="343" spans="3:17" hidden="1">
      <c r="C343" s="123"/>
      <c r="D343" s="123"/>
      <c r="E343" s="124"/>
      <c r="F343" s="124"/>
      <c r="G343" s="130"/>
      <c r="H343" s="124"/>
      <c r="I343" s="243"/>
      <c r="J343" s="123"/>
      <c r="K343" s="123"/>
      <c r="L343" s="246"/>
      <c r="M343" s="123"/>
      <c r="N343" s="123"/>
      <c r="O343" s="123"/>
      <c r="P343" s="123"/>
      <c r="Q343" t="str">
        <f t="shared" si="5"/>
        <v/>
      </c>
    </row>
    <row r="344" spans="3:17" hidden="1">
      <c r="C344" s="123"/>
      <c r="D344" s="123"/>
      <c r="E344" s="124"/>
      <c r="F344" s="124"/>
      <c r="G344" s="130"/>
      <c r="H344" s="124"/>
      <c r="I344" s="243"/>
      <c r="J344" s="123"/>
      <c r="K344" s="123"/>
      <c r="L344" s="246"/>
      <c r="M344" s="123"/>
      <c r="N344" s="123"/>
      <c r="O344" s="123"/>
      <c r="P344" s="123"/>
      <c r="Q344" t="str">
        <f t="shared" si="5"/>
        <v/>
      </c>
    </row>
    <row r="345" spans="3:17" hidden="1">
      <c r="C345" s="123"/>
      <c r="D345" s="123"/>
      <c r="E345" s="124"/>
      <c r="F345" s="124"/>
      <c r="G345" s="130"/>
      <c r="H345" s="124"/>
      <c r="I345" s="243"/>
      <c r="J345" s="123"/>
      <c r="K345" s="123"/>
      <c r="L345" s="246"/>
      <c r="M345" s="123"/>
      <c r="N345" s="123"/>
      <c r="O345" s="123"/>
      <c r="P345" s="123"/>
      <c r="Q345" t="str">
        <f t="shared" si="5"/>
        <v/>
      </c>
    </row>
    <row r="346" spans="3:17" hidden="1">
      <c r="C346" s="123"/>
      <c r="D346" s="123"/>
      <c r="E346" s="124"/>
      <c r="F346" s="124"/>
      <c r="G346" s="130"/>
      <c r="H346" s="124"/>
      <c r="I346" s="243"/>
      <c r="J346" s="123"/>
      <c r="K346" s="123"/>
      <c r="L346" s="246"/>
      <c r="M346" s="123"/>
      <c r="N346" s="123"/>
      <c r="O346" s="123"/>
      <c r="P346" s="123"/>
      <c r="Q346" t="str">
        <f t="shared" si="5"/>
        <v/>
      </c>
    </row>
    <row r="347" spans="3:17" hidden="1">
      <c r="C347" s="123"/>
      <c r="D347" s="123"/>
      <c r="E347" s="124"/>
      <c r="F347" s="124"/>
      <c r="G347" s="130"/>
      <c r="H347" s="124"/>
      <c r="I347" s="243"/>
      <c r="J347" s="123"/>
      <c r="K347" s="123"/>
      <c r="L347" s="246"/>
      <c r="M347" s="123"/>
      <c r="N347" s="123"/>
      <c r="O347" s="123"/>
      <c r="P347" s="123"/>
      <c r="Q347" t="str">
        <f t="shared" si="5"/>
        <v/>
      </c>
    </row>
    <row r="348" spans="3:17" hidden="1">
      <c r="C348" s="123"/>
      <c r="D348" s="123"/>
      <c r="E348" s="124"/>
      <c r="F348" s="124"/>
      <c r="G348" s="130"/>
      <c r="H348" s="124"/>
      <c r="I348" s="243"/>
      <c r="J348" s="123"/>
      <c r="K348" s="123"/>
      <c r="L348" s="246"/>
      <c r="M348" s="123"/>
      <c r="N348" s="123"/>
      <c r="O348" s="123"/>
      <c r="P348" s="123"/>
      <c r="Q348" t="str">
        <f t="shared" si="5"/>
        <v/>
      </c>
    </row>
    <row r="349" spans="3:17" hidden="1">
      <c r="C349" s="123"/>
      <c r="D349" s="123"/>
      <c r="E349" s="124"/>
      <c r="F349" s="124"/>
      <c r="G349" s="130"/>
      <c r="H349" s="124"/>
      <c r="I349" s="243"/>
      <c r="J349" s="123"/>
      <c r="K349" s="123"/>
      <c r="L349" s="246"/>
      <c r="M349" s="123"/>
      <c r="N349" s="123"/>
      <c r="O349" s="123"/>
      <c r="P349" s="123"/>
      <c r="Q349" t="str">
        <f t="shared" si="5"/>
        <v/>
      </c>
    </row>
    <row r="350" spans="3:17" hidden="1">
      <c r="C350" s="123"/>
      <c r="D350" s="123"/>
      <c r="E350" s="124"/>
      <c r="F350" s="124"/>
      <c r="G350" s="130"/>
      <c r="H350" s="124"/>
      <c r="I350" s="243"/>
      <c r="J350" s="123"/>
      <c r="K350" s="123"/>
      <c r="L350" s="246"/>
      <c r="M350" s="123"/>
      <c r="N350" s="123"/>
      <c r="O350" s="123"/>
      <c r="P350" s="123"/>
      <c r="Q350" t="str">
        <f t="shared" si="5"/>
        <v/>
      </c>
    </row>
    <row r="351" spans="3:17" hidden="1">
      <c r="C351" s="123"/>
      <c r="D351" s="123"/>
      <c r="E351" s="124"/>
      <c r="F351" s="124"/>
      <c r="G351" s="130"/>
      <c r="H351" s="124"/>
      <c r="I351" s="243"/>
      <c r="J351" s="123"/>
      <c r="K351" s="123"/>
      <c r="L351" s="246"/>
      <c r="M351" s="123"/>
      <c r="N351" s="123"/>
      <c r="O351" s="123"/>
      <c r="P351" s="123"/>
      <c r="Q351" t="str">
        <f t="shared" si="5"/>
        <v/>
      </c>
    </row>
    <row r="352" spans="3:17" hidden="1">
      <c r="C352" s="123"/>
      <c r="D352" s="123"/>
      <c r="E352" s="124"/>
      <c r="F352" s="124"/>
      <c r="G352" s="130"/>
      <c r="H352" s="124"/>
      <c r="I352" s="243"/>
      <c r="J352" s="123"/>
      <c r="K352" s="123"/>
      <c r="L352" s="246"/>
      <c r="M352" s="123"/>
      <c r="N352" s="123"/>
      <c r="O352" s="123"/>
      <c r="P352" s="123"/>
      <c r="Q352" t="str">
        <f t="shared" si="5"/>
        <v/>
      </c>
    </row>
    <row r="353" spans="3:17" hidden="1">
      <c r="C353" s="123"/>
      <c r="D353" s="123"/>
      <c r="E353" s="124"/>
      <c r="F353" s="124"/>
      <c r="G353" s="130"/>
      <c r="H353" s="124"/>
      <c r="I353" s="243"/>
      <c r="J353" s="123"/>
      <c r="K353" s="123"/>
      <c r="L353" s="246"/>
      <c r="M353" s="123"/>
      <c r="N353" s="123"/>
      <c r="O353" s="123"/>
      <c r="P353" s="123"/>
      <c r="Q353" t="str">
        <f t="shared" si="5"/>
        <v/>
      </c>
    </row>
    <row r="354" spans="3:17" hidden="1">
      <c r="C354" s="123"/>
      <c r="D354" s="123"/>
      <c r="E354" s="124"/>
      <c r="F354" s="124"/>
      <c r="G354" s="130"/>
      <c r="H354" s="124"/>
      <c r="I354" s="243"/>
      <c r="J354" s="123"/>
      <c r="K354" s="123"/>
      <c r="L354" s="246"/>
      <c r="M354" s="123"/>
      <c r="N354" s="123"/>
      <c r="O354" s="123"/>
      <c r="P354" s="123"/>
      <c r="Q354" t="str">
        <f t="shared" si="5"/>
        <v/>
      </c>
    </row>
    <row r="355" spans="3:17" hidden="1">
      <c r="C355" s="123"/>
      <c r="D355" s="123"/>
      <c r="E355" s="124"/>
      <c r="F355" s="124"/>
      <c r="G355" s="130"/>
      <c r="H355" s="124"/>
      <c r="I355" s="243"/>
      <c r="J355" s="123"/>
      <c r="K355" s="123"/>
      <c r="L355" s="246"/>
      <c r="M355" s="123"/>
      <c r="N355" s="123"/>
      <c r="O355" s="123"/>
      <c r="P355" s="123"/>
      <c r="Q355" t="str">
        <f t="shared" si="5"/>
        <v/>
      </c>
    </row>
    <row r="356" spans="3:17" hidden="1">
      <c r="C356" s="123"/>
      <c r="D356" s="123"/>
      <c r="E356" s="124"/>
      <c r="F356" s="124"/>
      <c r="G356" s="130"/>
      <c r="H356" s="124"/>
      <c r="I356" s="243"/>
      <c r="J356" s="123"/>
      <c r="K356" s="123"/>
      <c r="L356" s="246"/>
      <c r="M356" s="123"/>
      <c r="N356" s="123"/>
      <c r="O356" s="123"/>
      <c r="P356" s="123"/>
      <c r="Q356" t="str">
        <f t="shared" si="5"/>
        <v/>
      </c>
    </row>
    <row r="357" spans="3:17" hidden="1">
      <c r="C357" s="123"/>
      <c r="D357" s="123"/>
      <c r="E357" s="124"/>
      <c r="F357" s="124"/>
      <c r="G357" s="130"/>
      <c r="H357" s="124"/>
      <c r="I357" s="243"/>
      <c r="J357" s="123"/>
      <c r="K357" s="123"/>
      <c r="L357" s="246"/>
      <c r="M357" s="123"/>
      <c r="N357" s="123"/>
      <c r="O357" s="123"/>
      <c r="P357" s="123"/>
      <c r="Q357" t="str">
        <f t="shared" si="5"/>
        <v/>
      </c>
    </row>
    <row r="358" spans="3:17" hidden="1">
      <c r="C358" s="123"/>
      <c r="D358" s="123"/>
      <c r="E358" s="124"/>
      <c r="F358" s="124"/>
      <c r="G358" s="130"/>
      <c r="H358" s="124"/>
      <c r="I358" s="243"/>
      <c r="J358" s="123"/>
      <c r="K358" s="123"/>
      <c r="L358" s="246"/>
      <c r="M358" s="123"/>
      <c r="N358" s="123"/>
      <c r="O358" s="123"/>
      <c r="P358" s="123"/>
      <c r="Q358" t="str">
        <f t="shared" si="5"/>
        <v/>
      </c>
    </row>
    <row r="359" spans="3:17" hidden="1">
      <c r="C359" s="123"/>
      <c r="D359" s="123"/>
      <c r="E359" s="124"/>
      <c r="F359" s="124"/>
      <c r="G359" s="130"/>
      <c r="H359" s="124"/>
      <c r="I359" s="243"/>
      <c r="J359" s="123"/>
      <c r="K359" s="123"/>
      <c r="L359" s="246"/>
      <c r="M359" s="123"/>
      <c r="N359" s="123"/>
      <c r="O359" s="123"/>
      <c r="P359" s="123"/>
      <c r="Q359" t="str">
        <f t="shared" si="5"/>
        <v/>
      </c>
    </row>
    <row r="360" spans="3:17" hidden="1">
      <c r="C360" s="123"/>
      <c r="D360" s="123"/>
      <c r="E360" s="124"/>
      <c r="F360" s="124"/>
      <c r="G360" s="130"/>
      <c r="H360" s="124"/>
      <c r="I360" s="243"/>
      <c r="J360" s="123"/>
      <c r="K360" s="123"/>
      <c r="L360" s="246"/>
      <c r="M360" s="123"/>
      <c r="N360" s="123"/>
      <c r="O360" s="123"/>
      <c r="P360" s="123"/>
      <c r="Q360" t="str">
        <f t="shared" si="5"/>
        <v/>
      </c>
    </row>
    <row r="361" spans="3:17" hidden="1">
      <c r="C361" s="123"/>
      <c r="D361" s="123"/>
      <c r="E361" s="124"/>
      <c r="F361" s="124"/>
      <c r="G361" s="130"/>
      <c r="H361" s="124"/>
      <c r="I361" s="243"/>
      <c r="J361" s="123"/>
      <c r="K361" s="123"/>
      <c r="L361" s="246"/>
      <c r="M361" s="123"/>
      <c r="N361" s="123"/>
      <c r="O361" s="123"/>
      <c r="P361" s="123"/>
      <c r="Q361" t="str">
        <f t="shared" si="5"/>
        <v/>
      </c>
    </row>
    <row r="362" spans="3:17" hidden="1">
      <c r="C362" s="123"/>
      <c r="D362" s="123"/>
      <c r="E362" s="124"/>
      <c r="F362" s="124"/>
      <c r="G362" s="130"/>
      <c r="H362" s="124"/>
      <c r="I362" s="243"/>
      <c r="J362" s="123"/>
      <c r="K362" s="123"/>
      <c r="L362" s="246"/>
      <c r="M362" s="123"/>
      <c r="N362" s="123"/>
      <c r="O362" s="123"/>
      <c r="P362" s="123"/>
      <c r="Q362" t="str">
        <f t="shared" si="5"/>
        <v/>
      </c>
    </row>
    <row r="363" spans="3:17" hidden="1">
      <c r="C363" s="123"/>
      <c r="D363" s="123"/>
      <c r="E363" s="124"/>
      <c r="F363" s="124"/>
      <c r="G363" s="130"/>
      <c r="H363" s="124"/>
      <c r="I363" s="243"/>
      <c r="J363" s="123"/>
      <c r="K363" s="123"/>
      <c r="L363" s="246"/>
      <c r="M363" s="123"/>
      <c r="N363" s="123"/>
      <c r="O363" s="123"/>
      <c r="P363" s="123"/>
      <c r="Q363" t="str">
        <f t="shared" si="5"/>
        <v/>
      </c>
    </row>
    <row r="364" spans="3:17" hidden="1">
      <c r="C364" s="123"/>
      <c r="D364" s="123"/>
      <c r="E364" s="124"/>
      <c r="F364" s="124"/>
      <c r="G364" s="130"/>
      <c r="H364" s="124"/>
      <c r="I364" s="243"/>
      <c r="J364" s="123"/>
      <c r="K364" s="123"/>
      <c r="L364" s="246"/>
      <c r="M364" s="123"/>
      <c r="N364" s="123"/>
      <c r="O364" s="123"/>
      <c r="P364" s="123"/>
      <c r="Q364" t="str">
        <f t="shared" si="5"/>
        <v/>
      </c>
    </row>
    <row r="365" spans="3:17" hidden="1">
      <c r="C365" s="123"/>
      <c r="D365" s="123"/>
      <c r="E365" s="124"/>
      <c r="F365" s="124"/>
      <c r="G365" s="130"/>
      <c r="H365" s="124"/>
      <c r="I365" s="243"/>
      <c r="J365" s="123"/>
      <c r="K365" s="123"/>
      <c r="L365" s="246"/>
      <c r="M365" s="123"/>
      <c r="N365" s="123"/>
      <c r="O365" s="123"/>
      <c r="P365" s="123"/>
      <c r="Q365" t="str">
        <f t="shared" si="5"/>
        <v/>
      </c>
    </row>
    <row r="366" spans="3:17" hidden="1">
      <c r="C366" s="123"/>
      <c r="D366" s="123"/>
      <c r="E366" s="124"/>
      <c r="F366" s="124"/>
      <c r="G366" s="130"/>
      <c r="H366" s="124"/>
      <c r="I366" s="243"/>
      <c r="J366" s="123"/>
      <c r="K366" s="123"/>
      <c r="L366" s="246"/>
      <c r="M366" s="123"/>
      <c r="N366" s="123"/>
      <c r="O366" s="123"/>
      <c r="P366" s="123"/>
      <c r="Q366" t="str">
        <f t="shared" si="5"/>
        <v/>
      </c>
    </row>
    <row r="367" spans="3:17" hidden="1">
      <c r="C367" s="123"/>
      <c r="D367" s="123"/>
      <c r="E367" s="124"/>
      <c r="F367" s="124"/>
      <c r="G367" s="130"/>
      <c r="H367" s="124"/>
      <c r="I367" s="243"/>
      <c r="J367" s="123"/>
      <c r="K367" s="123"/>
      <c r="L367" s="246"/>
      <c r="M367" s="123"/>
      <c r="N367" s="123"/>
      <c r="O367" s="123"/>
      <c r="P367" s="123"/>
      <c r="Q367" t="str">
        <f t="shared" si="5"/>
        <v/>
      </c>
    </row>
    <row r="368" spans="3:17" hidden="1">
      <c r="C368" s="123"/>
      <c r="D368" s="123"/>
      <c r="E368" s="124"/>
      <c r="F368" s="124"/>
      <c r="G368" s="130"/>
      <c r="H368" s="124"/>
      <c r="I368" s="243"/>
      <c r="J368" s="123"/>
      <c r="K368" s="123"/>
      <c r="L368" s="246"/>
      <c r="M368" s="123"/>
      <c r="N368" s="123"/>
      <c r="O368" s="123"/>
      <c r="P368" s="123"/>
      <c r="Q368" t="str">
        <f t="shared" si="5"/>
        <v/>
      </c>
    </row>
    <row r="369" spans="3:17" hidden="1">
      <c r="C369" s="123"/>
      <c r="D369" s="123"/>
      <c r="E369" s="124"/>
      <c r="F369" s="124"/>
      <c r="G369" s="130"/>
      <c r="H369" s="124"/>
      <c r="I369" s="243"/>
      <c r="J369" s="123"/>
      <c r="K369" s="123"/>
      <c r="L369" s="246"/>
      <c r="M369" s="123"/>
      <c r="N369" s="123"/>
      <c r="O369" s="123"/>
      <c r="P369" s="123"/>
      <c r="Q369" t="str">
        <f t="shared" si="5"/>
        <v/>
      </c>
    </row>
    <row r="370" spans="3:17" hidden="1">
      <c r="C370" s="123"/>
      <c r="D370" s="123"/>
      <c r="E370" s="124"/>
      <c r="F370" s="124"/>
      <c r="G370" s="130"/>
      <c r="H370" s="124"/>
      <c r="I370" s="243"/>
      <c r="J370" s="123"/>
      <c r="K370" s="123"/>
      <c r="L370" s="246"/>
      <c r="M370" s="123"/>
      <c r="N370" s="123"/>
      <c r="O370" s="123"/>
      <c r="P370" s="123"/>
      <c r="Q370" t="str">
        <f t="shared" si="5"/>
        <v/>
      </c>
    </row>
    <row r="371" spans="3:17" hidden="1">
      <c r="C371" s="123"/>
      <c r="D371" s="123"/>
      <c r="E371" s="124"/>
      <c r="F371" s="124"/>
      <c r="G371" s="130"/>
      <c r="H371" s="124"/>
      <c r="I371" s="243"/>
      <c r="J371" s="123"/>
      <c r="K371" s="123"/>
      <c r="L371" s="246"/>
      <c r="M371" s="123"/>
      <c r="N371" s="123"/>
      <c r="O371" s="123"/>
      <c r="P371" s="123"/>
      <c r="Q371" t="str">
        <f t="shared" si="5"/>
        <v/>
      </c>
    </row>
    <row r="372" spans="3:17" hidden="1">
      <c r="C372" s="123"/>
      <c r="D372" s="123"/>
      <c r="E372" s="124"/>
      <c r="F372" s="124"/>
      <c r="G372" s="130"/>
      <c r="H372" s="124"/>
      <c r="I372" s="243"/>
      <c r="J372" s="123"/>
      <c r="K372" s="123"/>
      <c r="L372" s="246"/>
      <c r="M372" s="123"/>
      <c r="N372" s="123"/>
      <c r="O372" s="123"/>
      <c r="P372" s="123"/>
      <c r="Q372" t="str">
        <f t="shared" si="5"/>
        <v/>
      </c>
    </row>
    <row r="373" spans="3:17" hidden="1">
      <c r="C373" s="123"/>
      <c r="D373" s="123"/>
      <c r="E373" s="124"/>
      <c r="F373" s="124"/>
      <c r="G373" s="130"/>
      <c r="H373" s="124"/>
      <c r="I373" s="243"/>
      <c r="J373" s="123"/>
      <c r="K373" s="123"/>
      <c r="L373" s="246"/>
      <c r="M373" s="123"/>
      <c r="N373" s="123"/>
      <c r="O373" s="123"/>
      <c r="P373" s="123"/>
      <c r="Q373" t="str">
        <f t="shared" si="5"/>
        <v/>
      </c>
    </row>
    <row r="374" spans="3:17" hidden="1">
      <c r="C374" s="123"/>
      <c r="D374" s="123"/>
      <c r="E374" s="124"/>
      <c r="F374" s="124"/>
      <c r="G374" s="130"/>
      <c r="H374" s="124"/>
      <c r="I374" s="243"/>
      <c r="J374" s="123"/>
      <c r="K374" s="123"/>
      <c r="L374" s="246"/>
      <c r="M374" s="123"/>
      <c r="N374" s="123"/>
      <c r="O374" s="123"/>
      <c r="P374" s="123"/>
      <c r="Q374" t="str">
        <f t="shared" si="5"/>
        <v/>
      </c>
    </row>
    <row r="375" spans="3:17" hidden="1">
      <c r="C375" s="123"/>
      <c r="D375" s="123"/>
      <c r="E375" s="124"/>
      <c r="F375" s="124"/>
      <c r="G375" s="130"/>
      <c r="H375" s="124"/>
      <c r="I375" s="243"/>
      <c r="J375" s="123"/>
      <c r="K375" s="123"/>
      <c r="L375" s="246"/>
      <c r="M375" s="123"/>
      <c r="N375" s="123"/>
      <c r="O375" s="123"/>
      <c r="P375" s="123"/>
      <c r="Q375" t="str">
        <f t="shared" si="5"/>
        <v/>
      </c>
    </row>
    <row r="376" spans="3:17" hidden="1">
      <c r="C376" s="123"/>
      <c r="D376" s="123"/>
      <c r="E376" s="124"/>
      <c r="F376" s="124"/>
      <c r="G376" s="130"/>
      <c r="H376" s="124"/>
      <c r="I376" s="243"/>
      <c r="J376" s="123"/>
      <c r="K376" s="123"/>
      <c r="L376" s="246"/>
      <c r="M376" s="123"/>
      <c r="N376" s="123"/>
      <c r="O376" s="123"/>
      <c r="P376" s="123"/>
      <c r="Q376" t="str">
        <f t="shared" si="5"/>
        <v/>
      </c>
    </row>
    <row r="377" spans="3:17" hidden="1">
      <c r="C377" s="123"/>
      <c r="D377" s="123"/>
      <c r="E377" s="124"/>
      <c r="F377" s="124"/>
      <c r="G377" s="130"/>
      <c r="H377" s="124"/>
      <c r="I377" s="243"/>
      <c r="J377" s="123"/>
      <c r="K377" s="123"/>
      <c r="L377" s="246"/>
      <c r="M377" s="123"/>
      <c r="N377" s="123"/>
      <c r="O377" s="123"/>
      <c r="P377" s="123"/>
      <c r="Q377" t="str">
        <f t="shared" si="5"/>
        <v/>
      </c>
    </row>
    <row r="378" spans="3:17" hidden="1">
      <c r="C378" s="123"/>
      <c r="D378" s="123"/>
      <c r="E378" s="124"/>
      <c r="F378" s="124"/>
      <c r="G378" s="130"/>
      <c r="H378" s="124"/>
      <c r="I378" s="243"/>
      <c r="J378" s="123"/>
      <c r="K378" s="123"/>
      <c r="L378" s="246"/>
      <c r="M378" s="123"/>
      <c r="N378" s="123"/>
      <c r="O378" s="123"/>
      <c r="P378" s="123"/>
      <c r="Q378" t="str">
        <f t="shared" si="5"/>
        <v/>
      </c>
    </row>
    <row r="379" spans="3:17" hidden="1">
      <c r="C379" s="123"/>
      <c r="D379" s="123"/>
      <c r="E379" s="124"/>
      <c r="F379" s="124"/>
      <c r="G379" s="130"/>
      <c r="H379" s="124"/>
      <c r="I379" s="243"/>
      <c r="J379" s="123"/>
      <c r="K379" s="123"/>
      <c r="L379" s="246"/>
      <c r="M379" s="123"/>
      <c r="N379" s="123"/>
      <c r="O379" s="123"/>
      <c r="P379" s="123"/>
      <c r="Q379" t="str">
        <f t="shared" si="5"/>
        <v/>
      </c>
    </row>
    <row r="380" spans="3:17" hidden="1">
      <c r="C380" s="123"/>
      <c r="D380" s="123"/>
      <c r="E380" s="124"/>
      <c r="F380" s="124"/>
      <c r="G380" s="130"/>
      <c r="H380" s="124"/>
      <c r="I380" s="243"/>
      <c r="J380" s="123"/>
      <c r="K380" s="123"/>
      <c r="L380" s="246"/>
      <c r="M380" s="123"/>
      <c r="N380" s="123"/>
      <c r="O380" s="123"/>
      <c r="P380" s="123"/>
      <c r="Q380" t="str">
        <f t="shared" si="5"/>
        <v/>
      </c>
    </row>
    <row r="381" spans="3:17" hidden="1">
      <c r="C381" s="123"/>
      <c r="D381" s="123"/>
      <c r="E381" s="124"/>
      <c r="F381" s="124"/>
      <c r="G381" s="130"/>
      <c r="H381" s="124"/>
      <c r="I381" s="243"/>
      <c r="J381" s="123"/>
      <c r="K381" s="123"/>
      <c r="L381" s="246"/>
      <c r="M381" s="123"/>
      <c r="N381" s="123"/>
      <c r="O381" s="123"/>
      <c r="P381" s="123"/>
      <c r="Q381" t="str">
        <f t="shared" si="5"/>
        <v/>
      </c>
    </row>
    <row r="382" spans="3:17" hidden="1">
      <c r="C382" s="123"/>
      <c r="D382" s="123"/>
      <c r="E382" s="124"/>
      <c r="F382" s="124"/>
      <c r="G382" s="130"/>
      <c r="H382" s="124"/>
      <c r="I382" s="243"/>
      <c r="J382" s="123"/>
      <c r="K382" s="123"/>
      <c r="L382" s="246"/>
      <c r="M382" s="123"/>
      <c r="N382" s="123"/>
      <c r="O382" s="123"/>
      <c r="P382" s="123"/>
      <c r="Q382" t="str">
        <f t="shared" si="5"/>
        <v/>
      </c>
    </row>
    <row r="383" spans="3:17" hidden="1">
      <c r="C383" s="123"/>
      <c r="D383" s="123"/>
      <c r="E383" s="124"/>
      <c r="F383" s="124"/>
      <c r="G383" s="130"/>
      <c r="H383" s="124"/>
      <c r="I383" s="243"/>
      <c r="J383" s="123"/>
      <c r="K383" s="123"/>
      <c r="L383" s="246"/>
      <c r="M383" s="123"/>
      <c r="N383" s="123"/>
      <c r="O383" s="123"/>
      <c r="P383" s="123"/>
      <c r="Q383" t="str">
        <f t="shared" si="5"/>
        <v/>
      </c>
    </row>
    <row r="384" spans="3:17" hidden="1">
      <c r="C384" s="123"/>
      <c r="D384" s="123"/>
      <c r="E384" s="124"/>
      <c r="F384" s="124"/>
      <c r="G384" s="130"/>
      <c r="H384" s="124"/>
      <c r="I384" s="243"/>
      <c r="J384" s="123"/>
      <c r="K384" s="123"/>
      <c r="L384" s="246"/>
      <c r="M384" s="123"/>
      <c r="N384" s="123"/>
      <c r="O384" s="123"/>
      <c r="P384" s="123"/>
      <c r="Q384" t="str">
        <f t="shared" si="5"/>
        <v/>
      </c>
    </row>
    <row r="385" spans="3:17" hidden="1">
      <c r="C385" s="123"/>
      <c r="D385" s="123"/>
      <c r="E385" s="124"/>
      <c r="F385" s="124"/>
      <c r="G385" s="130"/>
      <c r="H385" s="124"/>
      <c r="I385" s="243"/>
      <c r="J385" s="123"/>
      <c r="K385" s="123"/>
      <c r="L385" s="246"/>
      <c r="M385" s="123"/>
      <c r="N385" s="123"/>
      <c r="O385" s="123"/>
      <c r="P385" s="123"/>
      <c r="Q385" t="str">
        <f t="shared" si="5"/>
        <v/>
      </c>
    </row>
    <row r="386" spans="3:17" hidden="1">
      <c r="C386" s="123"/>
      <c r="D386" s="123"/>
      <c r="E386" s="124"/>
      <c r="F386" s="124"/>
      <c r="G386" s="130"/>
      <c r="H386" s="124"/>
      <c r="I386" s="243"/>
      <c r="J386" s="123"/>
      <c r="K386" s="123"/>
      <c r="L386" s="246"/>
      <c r="M386" s="123"/>
      <c r="N386" s="123"/>
      <c r="O386" s="123"/>
      <c r="P386" s="123"/>
      <c r="Q386" t="str">
        <f t="shared" si="5"/>
        <v/>
      </c>
    </row>
    <row r="387" spans="3:17" hidden="1">
      <c r="C387" s="123"/>
      <c r="D387" s="123"/>
      <c r="E387" s="124"/>
      <c r="F387" s="124"/>
      <c r="G387" s="130"/>
      <c r="H387" s="124"/>
      <c r="I387" s="243"/>
      <c r="J387" s="123"/>
      <c r="K387" s="123"/>
      <c r="L387" s="246"/>
      <c r="M387" s="123"/>
      <c r="N387" s="123"/>
      <c r="O387" s="123"/>
      <c r="P387" s="123"/>
      <c r="Q387" t="str">
        <f t="shared" si="5"/>
        <v/>
      </c>
    </row>
    <row r="388" spans="3:17" hidden="1">
      <c r="C388" s="123"/>
      <c r="D388" s="123"/>
      <c r="E388" s="124"/>
      <c r="F388" s="124"/>
      <c r="G388" s="130"/>
      <c r="H388" s="124"/>
      <c r="I388" s="243"/>
      <c r="J388" s="123"/>
      <c r="K388" s="123"/>
      <c r="L388" s="246"/>
      <c r="M388" s="123"/>
      <c r="N388" s="123"/>
      <c r="O388" s="123"/>
      <c r="P388" s="123"/>
      <c r="Q388" t="str">
        <f t="shared" si="5"/>
        <v/>
      </c>
    </row>
    <row r="389" spans="3:17" hidden="1">
      <c r="C389" s="123"/>
      <c r="D389" s="123"/>
      <c r="E389" s="124"/>
      <c r="F389" s="124"/>
      <c r="G389" s="130"/>
      <c r="H389" s="124"/>
      <c r="I389" s="243"/>
      <c r="J389" s="123"/>
      <c r="K389" s="123"/>
      <c r="L389" s="246"/>
      <c r="M389" s="123"/>
      <c r="N389" s="123"/>
      <c r="O389" s="123"/>
      <c r="P389" s="123"/>
      <c r="Q389" t="str">
        <f t="shared" si="5"/>
        <v/>
      </c>
    </row>
    <row r="390" spans="3:17" hidden="1">
      <c r="C390" s="123"/>
      <c r="D390" s="123"/>
      <c r="E390" s="124"/>
      <c r="F390" s="124"/>
      <c r="G390" s="130"/>
      <c r="H390" s="124"/>
      <c r="I390" s="243"/>
      <c r="J390" s="123"/>
      <c r="K390" s="123"/>
      <c r="L390" s="246"/>
      <c r="M390" s="123"/>
      <c r="N390" s="123"/>
      <c r="O390" s="123"/>
      <c r="P390" s="123"/>
      <c r="Q390" t="str">
        <f t="shared" si="5"/>
        <v/>
      </c>
    </row>
    <row r="391" spans="3:17" hidden="1">
      <c r="C391" s="123"/>
      <c r="D391" s="123"/>
      <c r="E391" s="124"/>
      <c r="F391" s="124"/>
      <c r="G391" s="130"/>
      <c r="H391" s="124"/>
      <c r="I391" s="243"/>
      <c r="J391" s="123"/>
      <c r="K391" s="123"/>
      <c r="L391" s="246"/>
      <c r="M391" s="123"/>
      <c r="N391" s="123"/>
      <c r="O391" s="123"/>
      <c r="P391" s="123"/>
      <c r="Q391" t="str">
        <f t="shared" ref="Q391:Q454" si="6">IF(D391="","","x")</f>
        <v/>
      </c>
    </row>
    <row r="392" spans="3:17" hidden="1">
      <c r="C392" s="123"/>
      <c r="D392" s="123"/>
      <c r="E392" s="124"/>
      <c r="F392" s="124"/>
      <c r="G392" s="130"/>
      <c r="H392" s="124"/>
      <c r="I392" s="243"/>
      <c r="J392" s="123"/>
      <c r="K392" s="123"/>
      <c r="L392" s="246"/>
      <c r="M392" s="123"/>
      <c r="N392" s="123"/>
      <c r="O392" s="123"/>
      <c r="P392" s="123"/>
      <c r="Q392" t="str">
        <f t="shared" si="6"/>
        <v/>
      </c>
    </row>
    <row r="393" spans="3:17" hidden="1">
      <c r="C393" s="123"/>
      <c r="D393" s="123"/>
      <c r="E393" s="124"/>
      <c r="F393" s="124"/>
      <c r="G393" s="130"/>
      <c r="H393" s="124"/>
      <c r="I393" s="243"/>
      <c r="J393" s="123"/>
      <c r="K393" s="123"/>
      <c r="L393" s="246"/>
      <c r="M393" s="123"/>
      <c r="N393" s="123"/>
      <c r="O393" s="123"/>
      <c r="P393" s="123"/>
      <c r="Q393" t="str">
        <f t="shared" si="6"/>
        <v/>
      </c>
    </row>
    <row r="394" spans="3:17" hidden="1">
      <c r="C394" s="123"/>
      <c r="D394" s="123"/>
      <c r="E394" s="124"/>
      <c r="F394" s="124"/>
      <c r="G394" s="130"/>
      <c r="H394" s="124"/>
      <c r="I394" s="243"/>
      <c r="J394" s="123"/>
      <c r="K394" s="123"/>
      <c r="L394" s="246"/>
      <c r="M394" s="123"/>
      <c r="N394" s="123"/>
      <c r="O394" s="123"/>
      <c r="P394" s="123"/>
      <c r="Q394" t="str">
        <f t="shared" si="6"/>
        <v/>
      </c>
    </row>
    <row r="395" spans="3:17" hidden="1">
      <c r="C395" s="123"/>
      <c r="D395" s="123"/>
      <c r="E395" s="124"/>
      <c r="F395" s="124"/>
      <c r="G395" s="130"/>
      <c r="H395" s="124"/>
      <c r="I395" s="243"/>
      <c r="J395" s="123"/>
      <c r="K395" s="123"/>
      <c r="L395" s="246"/>
      <c r="M395" s="123"/>
      <c r="N395" s="123"/>
      <c r="O395" s="123"/>
      <c r="P395" s="123"/>
      <c r="Q395" t="str">
        <f t="shared" si="6"/>
        <v/>
      </c>
    </row>
    <row r="396" spans="3:17" hidden="1">
      <c r="C396" s="123"/>
      <c r="D396" s="123"/>
      <c r="E396" s="124"/>
      <c r="F396" s="124"/>
      <c r="G396" s="130"/>
      <c r="H396" s="124"/>
      <c r="I396" s="243"/>
      <c r="J396" s="123"/>
      <c r="K396" s="123"/>
      <c r="L396" s="246"/>
      <c r="M396" s="123"/>
      <c r="N396" s="123"/>
      <c r="O396" s="123"/>
      <c r="P396" s="123"/>
      <c r="Q396" t="str">
        <f t="shared" si="6"/>
        <v/>
      </c>
    </row>
    <row r="397" spans="3:17" hidden="1">
      <c r="C397" s="123"/>
      <c r="D397" s="123"/>
      <c r="E397" s="124"/>
      <c r="F397" s="124"/>
      <c r="G397" s="130"/>
      <c r="H397" s="124"/>
      <c r="I397" s="243"/>
      <c r="J397" s="123"/>
      <c r="K397" s="123"/>
      <c r="L397" s="246"/>
      <c r="M397" s="123"/>
      <c r="N397" s="123"/>
      <c r="O397" s="123"/>
      <c r="P397" s="123"/>
      <c r="Q397" t="str">
        <f t="shared" si="6"/>
        <v/>
      </c>
    </row>
    <row r="398" spans="3:17" hidden="1">
      <c r="C398" s="123"/>
      <c r="D398" s="123"/>
      <c r="E398" s="124"/>
      <c r="F398" s="124"/>
      <c r="G398" s="130"/>
      <c r="H398" s="124"/>
      <c r="I398" s="243"/>
      <c r="J398" s="123"/>
      <c r="K398" s="123"/>
      <c r="L398" s="246"/>
      <c r="M398" s="123"/>
      <c r="N398" s="123"/>
      <c r="O398" s="123"/>
      <c r="P398" s="123"/>
      <c r="Q398" t="str">
        <f t="shared" si="6"/>
        <v/>
      </c>
    </row>
    <row r="399" spans="3:17" hidden="1">
      <c r="C399" s="123"/>
      <c r="D399" s="123"/>
      <c r="E399" s="124"/>
      <c r="F399" s="124"/>
      <c r="G399" s="130"/>
      <c r="H399" s="124"/>
      <c r="I399" s="243"/>
      <c r="J399" s="123"/>
      <c r="K399" s="123"/>
      <c r="L399" s="246"/>
      <c r="M399" s="123"/>
      <c r="N399" s="123"/>
      <c r="O399" s="123"/>
      <c r="P399" s="123"/>
      <c r="Q399" t="str">
        <f t="shared" si="6"/>
        <v/>
      </c>
    </row>
    <row r="400" spans="3:17" hidden="1">
      <c r="C400" s="123"/>
      <c r="D400" s="123"/>
      <c r="E400" s="124"/>
      <c r="F400" s="124"/>
      <c r="G400" s="130"/>
      <c r="H400" s="124"/>
      <c r="I400" s="243"/>
      <c r="J400" s="123"/>
      <c r="K400" s="123"/>
      <c r="L400" s="246"/>
      <c r="M400" s="123"/>
      <c r="N400" s="123"/>
      <c r="O400" s="123"/>
      <c r="P400" s="123"/>
      <c r="Q400" t="str">
        <f t="shared" si="6"/>
        <v/>
      </c>
    </row>
    <row r="401" spans="3:17" hidden="1">
      <c r="C401" s="123"/>
      <c r="D401" s="123"/>
      <c r="E401" s="124"/>
      <c r="F401" s="124"/>
      <c r="G401" s="130"/>
      <c r="H401" s="124"/>
      <c r="I401" s="243"/>
      <c r="J401" s="123"/>
      <c r="K401" s="123"/>
      <c r="L401" s="246"/>
      <c r="M401" s="123"/>
      <c r="N401" s="123"/>
      <c r="O401" s="123"/>
      <c r="P401" s="123"/>
      <c r="Q401" t="str">
        <f t="shared" si="6"/>
        <v/>
      </c>
    </row>
    <row r="402" spans="3:17" hidden="1">
      <c r="C402" s="123"/>
      <c r="D402" s="123"/>
      <c r="E402" s="124"/>
      <c r="F402" s="124"/>
      <c r="G402" s="130"/>
      <c r="H402" s="124"/>
      <c r="I402" s="243"/>
      <c r="J402" s="123"/>
      <c r="K402" s="123"/>
      <c r="L402" s="246"/>
      <c r="M402" s="123"/>
      <c r="N402" s="123"/>
      <c r="O402" s="123"/>
      <c r="P402" s="123"/>
      <c r="Q402" t="str">
        <f t="shared" si="6"/>
        <v/>
      </c>
    </row>
    <row r="403" spans="3:17" hidden="1">
      <c r="C403" s="123"/>
      <c r="D403" s="123"/>
      <c r="E403" s="124"/>
      <c r="F403" s="124"/>
      <c r="G403" s="130"/>
      <c r="H403" s="124"/>
      <c r="I403" s="243"/>
      <c r="J403" s="123"/>
      <c r="K403" s="123"/>
      <c r="L403" s="246"/>
      <c r="M403" s="123"/>
      <c r="N403" s="123"/>
      <c r="O403" s="123"/>
      <c r="P403" s="123"/>
      <c r="Q403" t="str">
        <f t="shared" si="6"/>
        <v/>
      </c>
    </row>
    <row r="404" spans="3:17" hidden="1">
      <c r="C404" s="123"/>
      <c r="D404" s="123"/>
      <c r="E404" s="124"/>
      <c r="F404" s="124"/>
      <c r="G404" s="130"/>
      <c r="H404" s="124"/>
      <c r="I404" s="243"/>
      <c r="J404" s="123"/>
      <c r="K404" s="123"/>
      <c r="L404" s="246"/>
      <c r="M404" s="123"/>
      <c r="N404" s="123"/>
      <c r="O404" s="123"/>
      <c r="P404" s="123"/>
      <c r="Q404" t="str">
        <f t="shared" si="6"/>
        <v/>
      </c>
    </row>
    <row r="405" spans="3:17" hidden="1">
      <c r="C405" s="123"/>
      <c r="D405" s="123"/>
      <c r="E405" s="124"/>
      <c r="F405" s="124"/>
      <c r="G405" s="130"/>
      <c r="H405" s="124"/>
      <c r="I405" s="243"/>
      <c r="J405" s="123"/>
      <c r="K405" s="123"/>
      <c r="L405" s="246"/>
      <c r="M405" s="123"/>
      <c r="N405" s="123"/>
      <c r="O405" s="123"/>
      <c r="P405" s="123"/>
      <c r="Q405" t="str">
        <f t="shared" si="6"/>
        <v/>
      </c>
    </row>
    <row r="406" spans="3:17" hidden="1">
      <c r="C406" s="123"/>
      <c r="D406" s="123"/>
      <c r="E406" s="124"/>
      <c r="F406" s="124"/>
      <c r="G406" s="130"/>
      <c r="H406" s="124"/>
      <c r="I406" s="243"/>
      <c r="J406" s="123"/>
      <c r="K406" s="123"/>
      <c r="L406" s="246"/>
      <c r="M406" s="123"/>
      <c r="N406" s="123"/>
      <c r="O406" s="123"/>
      <c r="P406" s="123"/>
      <c r="Q406" t="str">
        <f t="shared" si="6"/>
        <v/>
      </c>
    </row>
    <row r="407" spans="3:17" hidden="1">
      <c r="C407" s="123"/>
      <c r="D407" s="123"/>
      <c r="E407" s="124"/>
      <c r="F407" s="124"/>
      <c r="G407" s="130"/>
      <c r="H407" s="124"/>
      <c r="I407" s="243"/>
      <c r="J407" s="123"/>
      <c r="K407" s="123"/>
      <c r="L407" s="246"/>
      <c r="M407" s="123"/>
      <c r="N407" s="123"/>
      <c r="O407" s="123"/>
      <c r="P407" s="123"/>
      <c r="Q407" t="str">
        <f t="shared" si="6"/>
        <v/>
      </c>
    </row>
    <row r="408" spans="3:17" hidden="1">
      <c r="C408" s="123"/>
      <c r="D408" s="123"/>
      <c r="E408" s="124"/>
      <c r="F408" s="124"/>
      <c r="G408" s="130"/>
      <c r="H408" s="124"/>
      <c r="I408" s="243"/>
      <c r="J408" s="123"/>
      <c r="K408" s="123"/>
      <c r="L408" s="246"/>
      <c r="M408" s="123"/>
      <c r="N408" s="123"/>
      <c r="O408" s="123"/>
      <c r="P408" s="123"/>
      <c r="Q408" t="str">
        <f t="shared" si="6"/>
        <v/>
      </c>
    </row>
    <row r="409" spans="3:17" hidden="1">
      <c r="C409" s="123"/>
      <c r="D409" s="123"/>
      <c r="E409" s="124"/>
      <c r="F409" s="124"/>
      <c r="G409" s="130"/>
      <c r="H409" s="124"/>
      <c r="I409" s="243"/>
      <c r="J409" s="123"/>
      <c r="K409" s="123"/>
      <c r="L409" s="246"/>
      <c r="M409" s="123"/>
      <c r="N409" s="123"/>
      <c r="O409" s="123"/>
      <c r="P409" s="123"/>
      <c r="Q409" t="str">
        <f t="shared" si="6"/>
        <v/>
      </c>
    </row>
    <row r="410" spans="3:17" hidden="1">
      <c r="C410" s="123"/>
      <c r="D410" s="123"/>
      <c r="E410" s="124"/>
      <c r="F410" s="124"/>
      <c r="G410" s="130"/>
      <c r="H410" s="124"/>
      <c r="I410" s="243"/>
      <c r="J410" s="123"/>
      <c r="K410" s="123"/>
      <c r="L410" s="246"/>
      <c r="M410" s="123"/>
      <c r="N410" s="123"/>
      <c r="O410" s="123"/>
      <c r="P410" s="123"/>
      <c r="Q410" t="str">
        <f t="shared" si="6"/>
        <v/>
      </c>
    </row>
    <row r="411" spans="3:17" hidden="1">
      <c r="C411" s="123"/>
      <c r="D411" s="123"/>
      <c r="E411" s="124"/>
      <c r="F411" s="124"/>
      <c r="G411" s="130"/>
      <c r="H411" s="124"/>
      <c r="I411" s="243"/>
      <c r="J411" s="123"/>
      <c r="K411" s="123"/>
      <c r="L411" s="246"/>
      <c r="M411" s="123"/>
      <c r="N411" s="123"/>
      <c r="O411" s="123"/>
      <c r="P411" s="123"/>
      <c r="Q411" t="str">
        <f t="shared" si="6"/>
        <v/>
      </c>
    </row>
    <row r="412" spans="3:17" hidden="1">
      <c r="C412" s="123"/>
      <c r="D412" s="123"/>
      <c r="E412" s="124"/>
      <c r="F412" s="124"/>
      <c r="G412" s="130"/>
      <c r="H412" s="124"/>
      <c r="I412" s="243"/>
      <c r="J412" s="123"/>
      <c r="K412" s="123"/>
      <c r="L412" s="246"/>
      <c r="M412" s="123"/>
      <c r="N412" s="123"/>
      <c r="O412" s="123"/>
      <c r="P412" s="123"/>
      <c r="Q412" t="str">
        <f t="shared" si="6"/>
        <v/>
      </c>
    </row>
    <row r="413" spans="3:17" hidden="1">
      <c r="C413" s="123"/>
      <c r="D413" s="123"/>
      <c r="E413" s="124"/>
      <c r="F413" s="124"/>
      <c r="G413" s="130"/>
      <c r="H413" s="124"/>
      <c r="I413" s="243"/>
      <c r="J413" s="123"/>
      <c r="K413" s="123"/>
      <c r="L413" s="246"/>
      <c r="M413" s="123"/>
      <c r="N413" s="123"/>
      <c r="O413" s="123"/>
      <c r="P413" s="123"/>
      <c r="Q413" t="str">
        <f t="shared" si="6"/>
        <v/>
      </c>
    </row>
    <row r="414" spans="3:17" hidden="1">
      <c r="C414" s="123"/>
      <c r="D414" s="123"/>
      <c r="E414" s="124"/>
      <c r="F414" s="124"/>
      <c r="G414" s="130"/>
      <c r="H414" s="124"/>
      <c r="I414" s="243"/>
      <c r="J414" s="123"/>
      <c r="K414" s="123"/>
      <c r="L414" s="246"/>
      <c r="M414" s="123"/>
      <c r="N414" s="123"/>
      <c r="O414" s="123"/>
      <c r="P414" s="123"/>
      <c r="Q414" t="str">
        <f t="shared" si="6"/>
        <v/>
      </c>
    </row>
    <row r="415" spans="3:17" hidden="1">
      <c r="C415" s="123"/>
      <c r="D415" s="123"/>
      <c r="E415" s="124"/>
      <c r="F415" s="124"/>
      <c r="G415" s="130"/>
      <c r="H415" s="124"/>
      <c r="I415" s="243"/>
      <c r="J415" s="123"/>
      <c r="K415" s="123"/>
      <c r="L415" s="246"/>
      <c r="M415" s="123"/>
      <c r="N415" s="123"/>
      <c r="O415" s="123"/>
      <c r="P415" s="123"/>
      <c r="Q415" t="str">
        <f t="shared" si="6"/>
        <v/>
      </c>
    </row>
    <row r="416" spans="3:17" hidden="1">
      <c r="C416" s="123"/>
      <c r="D416" s="123"/>
      <c r="E416" s="124"/>
      <c r="F416" s="124"/>
      <c r="G416" s="130"/>
      <c r="H416" s="124"/>
      <c r="I416" s="243"/>
      <c r="J416" s="123"/>
      <c r="K416" s="123"/>
      <c r="L416" s="246"/>
      <c r="M416" s="123"/>
      <c r="N416" s="123"/>
      <c r="O416" s="123"/>
      <c r="P416" s="123"/>
      <c r="Q416" t="str">
        <f t="shared" si="6"/>
        <v/>
      </c>
    </row>
    <row r="417" spans="3:17" hidden="1">
      <c r="C417" s="123"/>
      <c r="D417" s="123"/>
      <c r="E417" s="124"/>
      <c r="F417" s="124"/>
      <c r="G417" s="130"/>
      <c r="H417" s="124"/>
      <c r="I417" s="243"/>
      <c r="J417" s="123"/>
      <c r="K417" s="123"/>
      <c r="L417" s="246"/>
      <c r="M417" s="123"/>
      <c r="N417" s="123"/>
      <c r="O417" s="123"/>
      <c r="P417" s="123"/>
      <c r="Q417" t="str">
        <f t="shared" si="6"/>
        <v/>
      </c>
    </row>
    <row r="418" spans="3:17" hidden="1">
      <c r="C418" s="123"/>
      <c r="D418" s="123"/>
      <c r="E418" s="124"/>
      <c r="F418" s="124"/>
      <c r="G418" s="130"/>
      <c r="H418" s="124"/>
      <c r="I418" s="243"/>
      <c r="J418" s="123"/>
      <c r="K418" s="123"/>
      <c r="L418" s="246"/>
      <c r="M418" s="123"/>
      <c r="N418" s="123"/>
      <c r="O418" s="123"/>
      <c r="P418" s="123"/>
      <c r="Q418" t="str">
        <f t="shared" si="6"/>
        <v/>
      </c>
    </row>
    <row r="419" spans="3:17" hidden="1">
      <c r="C419" s="123"/>
      <c r="D419" s="123"/>
      <c r="E419" s="124"/>
      <c r="F419" s="124"/>
      <c r="G419" s="130"/>
      <c r="H419" s="124"/>
      <c r="I419" s="243"/>
      <c r="J419" s="123"/>
      <c r="K419" s="123"/>
      <c r="L419" s="246"/>
      <c r="M419" s="123"/>
      <c r="N419" s="123"/>
      <c r="O419" s="123"/>
      <c r="P419" s="123"/>
      <c r="Q419" t="str">
        <f t="shared" si="6"/>
        <v/>
      </c>
    </row>
    <row r="420" spans="3:17" hidden="1">
      <c r="C420" s="123"/>
      <c r="D420" s="123"/>
      <c r="E420" s="124"/>
      <c r="F420" s="124"/>
      <c r="G420" s="130"/>
      <c r="H420" s="124"/>
      <c r="I420" s="243"/>
      <c r="J420" s="123"/>
      <c r="K420" s="123"/>
      <c r="L420" s="246"/>
      <c r="M420" s="123"/>
      <c r="N420" s="123"/>
      <c r="O420" s="123"/>
      <c r="P420" s="123"/>
      <c r="Q420" t="str">
        <f t="shared" si="6"/>
        <v/>
      </c>
    </row>
    <row r="421" spans="3:17" hidden="1">
      <c r="C421" s="123"/>
      <c r="D421" s="123"/>
      <c r="E421" s="124"/>
      <c r="F421" s="124"/>
      <c r="G421" s="130"/>
      <c r="H421" s="124"/>
      <c r="I421" s="243"/>
      <c r="J421" s="123"/>
      <c r="K421" s="123"/>
      <c r="L421" s="246"/>
      <c r="M421" s="123"/>
      <c r="N421" s="123"/>
      <c r="O421" s="123"/>
      <c r="P421" s="123"/>
      <c r="Q421" t="str">
        <f t="shared" si="6"/>
        <v/>
      </c>
    </row>
    <row r="422" spans="3:17" hidden="1">
      <c r="C422" s="123"/>
      <c r="D422" s="123"/>
      <c r="E422" s="124"/>
      <c r="F422" s="124"/>
      <c r="G422" s="130"/>
      <c r="H422" s="124"/>
      <c r="I422" s="243"/>
      <c r="J422" s="123"/>
      <c r="K422" s="123"/>
      <c r="L422" s="246"/>
      <c r="M422" s="123"/>
      <c r="N422" s="123"/>
      <c r="O422" s="123"/>
      <c r="P422" s="123"/>
      <c r="Q422" t="str">
        <f t="shared" si="6"/>
        <v/>
      </c>
    </row>
    <row r="423" spans="3:17" hidden="1">
      <c r="C423" s="123"/>
      <c r="D423" s="123"/>
      <c r="E423" s="124"/>
      <c r="F423" s="124"/>
      <c r="G423" s="130"/>
      <c r="H423" s="124"/>
      <c r="I423" s="243"/>
      <c r="J423" s="123"/>
      <c r="K423" s="123"/>
      <c r="L423" s="246"/>
      <c r="M423" s="123"/>
      <c r="N423" s="123"/>
      <c r="O423" s="123"/>
      <c r="P423" s="123"/>
      <c r="Q423" t="str">
        <f t="shared" si="6"/>
        <v/>
      </c>
    </row>
    <row r="424" spans="3:17" hidden="1">
      <c r="C424" s="123"/>
      <c r="D424" s="123"/>
      <c r="E424" s="124"/>
      <c r="F424" s="124"/>
      <c r="G424" s="130"/>
      <c r="H424" s="124"/>
      <c r="I424" s="243"/>
      <c r="J424" s="123"/>
      <c r="K424" s="123"/>
      <c r="L424" s="246"/>
      <c r="M424" s="123"/>
      <c r="N424" s="123"/>
      <c r="O424" s="123"/>
      <c r="P424" s="123"/>
      <c r="Q424" t="str">
        <f t="shared" si="6"/>
        <v/>
      </c>
    </row>
    <row r="425" spans="3:17" hidden="1">
      <c r="C425" s="123"/>
      <c r="D425" s="123"/>
      <c r="E425" s="124"/>
      <c r="F425" s="124"/>
      <c r="G425" s="130"/>
      <c r="H425" s="124"/>
      <c r="I425" s="243"/>
      <c r="J425" s="123"/>
      <c r="K425" s="123"/>
      <c r="L425" s="246"/>
      <c r="M425" s="123"/>
      <c r="N425" s="123"/>
      <c r="O425" s="123"/>
      <c r="P425" s="123"/>
      <c r="Q425" t="str">
        <f t="shared" si="6"/>
        <v/>
      </c>
    </row>
    <row r="426" spans="3:17" hidden="1">
      <c r="C426" s="123"/>
      <c r="D426" s="123"/>
      <c r="E426" s="124"/>
      <c r="F426" s="124"/>
      <c r="G426" s="130"/>
      <c r="H426" s="124"/>
      <c r="I426" s="243"/>
      <c r="J426" s="123"/>
      <c r="K426" s="123"/>
      <c r="L426" s="246"/>
      <c r="M426" s="123"/>
      <c r="N426" s="123"/>
      <c r="O426" s="123"/>
      <c r="P426" s="123"/>
      <c r="Q426" t="str">
        <f t="shared" si="6"/>
        <v/>
      </c>
    </row>
    <row r="427" spans="3:17" hidden="1">
      <c r="C427" s="123"/>
      <c r="D427" s="123"/>
      <c r="E427" s="124"/>
      <c r="F427" s="124"/>
      <c r="G427" s="130"/>
      <c r="H427" s="124"/>
      <c r="I427" s="243"/>
      <c r="J427" s="123"/>
      <c r="K427" s="123"/>
      <c r="L427" s="246"/>
      <c r="M427" s="123"/>
      <c r="N427" s="123"/>
      <c r="O427" s="123"/>
      <c r="P427" s="123"/>
      <c r="Q427" t="str">
        <f t="shared" si="6"/>
        <v/>
      </c>
    </row>
    <row r="428" spans="3:17" hidden="1">
      <c r="C428" s="123"/>
      <c r="D428" s="123"/>
      <c r="E428" s="124"/>
      <c r="F428" s="124"/>
      <c r="G428" s="130"/>
      <c r="H428" s="124"/>
      <c r="I428" s="243"/>
      <c r="J428" s="123"/>
      <c r="K428" s="123"/>
      <c r="L428" s="246"/>
      <c r="M428" s="123"/>
      <c r="N428" s="123"/>
      <c r="O428" s="123"/>
      <c r="P428" s="123"/>
      <c r="Q428" t="str">
        <f t="shared" si="6"/>
        <v/>
      </c>
    </row>
    <row r="429" spans="3:17" hidden="1">
      <c r="C429" s="123"/>
      <c r="D429" s="123"/>
      <c r="E429" s="124"/>
      <c r="F429" s="124"/>
      <c r="G429" s="130"/>
      <c r="H429" s="124"/>
      <c r="I429" s="243"/>
      <c r="J429" s="123"/>
      <c r="K429" s="123"/>
      <c r="L429" s="246"/>
      <c r="M429" s="123"/>
      <c r="N429" s="123"/>
      <c r="O429" s="123"/>
      <c r="P429" s="123"/>
      <c r="Q429" t="str">
        <f t="shared" si="6"/>
        <v/>
      </c>
    </row>
    <row r="430" spans="3:17" hidden="1">
      <c r="C430" s="123"/>
      <c r="D430" s="123"/>
      <c r="E430" s="124"/>
      <c r="F430" s="124"/>
      <c r="G430" s="130"/>
      <c r="H430" s="124"/>
      <c r="I430" s="243"/>
      <c r="J430" s="123"/>
      <c r="K430" s="123"/>
      <c r="L430" s="246"/>
      <c r="M430" s="123"/>
      <c r="N430" s="123"/>
      <c r="O430" s="123"/>
      <c r="P430" s="123"/>
      <c r="Q430" t="str">
        <f t="shared" si="6"/>
        <v/>
      </c>
    </row>
    <row r="431" spans="3:17" hidden="1">
      <c r="C431" s="123"/>
      <c r="D431" s="123"/>
      <c r="E431" s="124"/>
      <c r="F431" s="124"/>
      <c r="G431" s="130"/>
      <c r="H431" s="124"/>
      <c r="I431" s="243"/>
      <c r="J431" s="123"/>
      <c r="K431" s="123"/>
      <c r="L431" s="246"/>
      <c r="M431" s="123"/>
      <c r="N431" s="123"/>
      <c r="O431" s="123"/>
      <c r="P431" s="123"/>
      <c r="Q431" t="str">
        <f t="shared" si="6"/>
        <v/>
      </c>
    </row>
    <row r="432" spans="3:17" hidden="1">
      <c r="C432" s="123"/>
      <c r="D432" s="123"/>
      <c r="E432" s="124"/>
      <c r="F432" s="124"/>
      <c r="G432" s="130"/>
      <c r="H432" s="124"/>
      <c r="I432" s="243"/>
      <c r="J432" s="123"/>
      <c r="K432" s="123"/>
      <c r="L432" s="246"/>
      <c r="M432" s="123"/>
      <c r="N432" s="123"/>
      <c r="O432" s="123"/>
      <c r="P432" s="123"/>
      <c r="Q432" t="str">
        <f t="shared" si="6"/>
        <v/>
      </c>
    </row>
    <row r="433" spans="3:17" hidden="1">
      <c r="C433" s="123"/>
      <c r="D433" s="123"/>
      <c r="E433" s="124"/>
      <c r="F433" s="124"/>
      <c r="G433" s="130"/>
      <c r="H433" s="124"/>
      <c r="I433" s="243"/>
      <c r="J433" s="123"/>
      <c r="K433" s="123"/>
      <c r="L433" s="246"/>
      <c r="M433" s="123"/>
      <c r="N433" s="123"/>
      <c r="O433" s="123"/>
      <c r="P433" s="123"/>
      <c r="Q433" t="str">
        <f t="shared" si="6"/>
        <v/>
      </c>
    </row>
    <row r="434" spans="3:17" hidden="1">
      <c r="C434" s="123"/>
      <c r="D434" s="123"/>
      <c r="E434" s="124"/>
      <c r="F434" s="124"/>
      <c r="G434" s="130"/>
      <c r="H434" s="124"/>
      <c r="I434" s="243"/>
      <c r="J434" s="123"/>
      <c r="K434" s="123"/>
      <c r="L434" s="246"/>
      <c r="M434" s="123"/>
      <c r="N434" s="123"/>
      <c r="O434" s="123"/>
      <c r="P434" s="123"/>
      <c r="Q434" t="str">
        <f t="shared" si="6"/>
        <v/>
      </c>
    </row>
    <row r="435" spans="3:17" hidden="1">
      <c r="C435" s="123"/>
      <c r="D435" s="123"/>
      <c r="E435" s="124"/>
      <c r="F435" s="124"/>
      <c r="G435" s="130"/>
      <c r="H435" s="124"/>
      <c r="I435" s="243"/>
      <c r="J435" s="123"/>
      <c r="K435" s="123"/>
      <c r="L435" s="246"/>
      <c r="M435" s="123"/>
      <c r="N435" s="123"/>
      <c r="O435" s="123"/>
      <c r="P435" s="123"/>
      <c r="Q435" t="str">
        <f t="shared" si="6"/>
        <v/>
      </c>
    </row>
    <row r="436" spans="3:17" hidden="1">
      <c r="C436" s="123"/>
      <c r="D436" s="123"/>
      <c r="E436" s="124"/>
      <c r="F436" s="124"/>
      <c r="G436" s="130"/>
      <c r="H436" s="124"/>
      <c r="I436" s="243"/>
      <c r="J436" s="123"/>
      <c r="K436" s="123"/>
      <c r="L436" s="246"/>
      <c r="M436" s="123"/>
      <c r="N436" s="123"/>
      <c r="O436" s="123"/>
      <c r="P436" s="123"/>
      <c r="Q436" t="str">
        <f t="shared" si="6"/>
        <v/>
      </c>
    </row>
    <row r="437" spans="3:17" hidden="1">
      <c r="C437" s="123"/>
      <c r="D437" s="123"/>
      <c r="E437" s="124"/>
      <c r="F437" s="124"/>
      <c r="G437" s="130"/>
      <c r="H437" s="124"/>
      <c r="I437" s="243"/>
      <c r="J437" s="123"/>
      <c r="K437" s="123"/>
      <c r="L437" s="246"/>
      <c r="M437" s="123"/>
      <c r="N437" s="123"/>
      <c r="O437" s="123"/>
      <c r="P437" s="123"/>
      <c r="Q437" t="str">
        <f t="shared" si="6"/>
        <v/>
      </c>
    </row>
    <row r="438" spans="3:17" hidden="1">
      <c r="C438" s="123"/>
      <c r="D438" s="123"/>
      <c r="E438" s="124"/>
      <c r="F438" s="124"/>
      <c r="G438" s="130"/>
      <c r="H438" s="124"/>
      <c r="I438" s="243"/>
      <c r="J438" s="123"/>
      <c r="K438" s="123"/>
      <c r="L438" s="246"/>
      <c r="M438" s="123"/>
      <c r="N438" s="123"/>
      <c r="O438" s="123"/>
      <c r="P438" s="123"/>
      <c r="Q438" t="str">
        <f t="shared" si="6"/>
        <v/>
      </c>
    </row>
    <row r="439" spans="3:17" hidden="1">
      <c r="C439" s="123"/>
      <c r="D439" s="123"/>
      <c r="E439" s="124"/>
      <c r="F439" s="124"/>
      <c r="G439" s="130"/>
      <c r="H439" s="124"/>
      <c r="I439" s="243"/>
      <c r="J439" s="123"/>
      <c r="K439" s="123"/>
      <c r="L439" s="246"/>
      <c r="M439" s="123"/>
      <c r="N439" s="123"/>
      <c r="O439" s="123"/>
      <c r="P439" s="123"/>
      <c r="Q439" t="str">
        <f t="shared" si="6"/>
        <v/>
      </c>
    </row>
    <row r="440" spans="3:17" hidden="1">
      <c r="C440" s="123"/>
      <c r="D440" s="123"/>
      <c r="E440" s="124"/>
      <c r="F440" s="124"/>
      <c r="G440" s="130"/>
      <c r="H440" s="124"/>
      <c r="I440" s="243"/>
      <c r="J440" s="123"/>
      <c r="K440" s="123"/>
      <c r="L440" s="246"/>
      <c r="M440" s="123"/>
      <c r="N440" s="123"/>
      <c r="O440" s="123"/>
      <c r="P440" s="123"/>
      <c r="Q440" t="str">
        <f t="shared" si="6"/>
        <v/>
      </c>
    </row>
    <row r="441" spans="3:17" hidden="1">
      <c r="C441" s="123"/>
      <c r="D441" s="123"/>
      <c r="E441" s="124"/>
      <c r="F441" s="124"/>
      <c r="G441" s="130"/>
      <c r="H441" s="124"/>
      <c r="I441" s="243"/>
      <c r="J441" s="123"/>
      <c r="K441" s="123"/>
      <c r="L441" s="246"/>
      <c r="M441" s="123"/>
      <c r="N441" s="123"/>
      <c r="O441" s="123"/>
      <c r="P441" s="123"/>
      <c r="Q441" t="str">
        <f t="shared" si="6"/>
        <v/>
      </c>
    </row>
    <row r="442" spans="3:17" hidden="1">
      <c r="C442" s="123"/>
      <c r="D442" s="123"/>
      <c r="E442" s="124"/>
      <c r="F442" s="124"/>
      <c r="G442" s="130"/>
      <c r="H442" s="124"/>
      <c r="I442" s="243"/>
      <c r="J442" s="123"/>
      <c r="K442" s="123"/>
      <c r="L442" s="246"/>
      <c r="M442" s="123"/>
      <c r="N442" s="123"/>
      <c r="O442" s="123"/>
      <c r="P442" s="123"/>
      <c r="Q442" t="str">
        <f t="shared" si="6"/>
        <v/>
      </c>
    </row>
    <row r="443" spans="3:17" hidden="1">
      <c r="C443" s="123"/>
      <c r="D443" s="123"/>
      <c r="E443" s="124"/>
      <c r="F443" s="124"/>
      <c r="G443" s="130"/>
      <c r="H443" s="124"/>
      <c r="I443" s="243"/>
      <c r="J443" s="123"/>
      <c r="K443" s="123"/>
      <c r="L443" s="246"/>
      <c r="M443" s="123"/>
      <c r="N443" s="123"/>
      <c r="O443" s="123"/>
      <c r="P443" s="123"/>
      <c r="Q443" t="str">
        <f t="shared" si="6"/>
        <v/>
      </c>
    </row>
    <row r="444" spans="3:17" hidden="1">
      <c r="C444" s="123"/>
      <c r="D444" s="123"/>
      <c r="E444" s="124"/>
      <c r="F444" s="124"/>
      <c r="G444" s="130"/>
      <c r="H444" s="124"/>
      <c r="I444" s="243"/>
      <c r="J444" s="123"/>
      <c r="K444" s="123"/>
      <c r="L444" s="246"/>
      <c r="M444" s="123"/>
      <c r="N444" s="123"/>
      <c r="O444" s="123"/>
      <c r="P444" s="123"/>
      <c r="Q444" t="str">
        <f t="shared" si="6"/>
        <v/>
      </c>
    </row>
    <row r="445" spans="3:17" hidden="1">
      <c r="C445" s="123"/>
      <c r="D445" s="123"/>
      <c r="E445" s="124"/>
      <c r="F445" s="124"/>
      <c r="G445" s="130"/>
      <c r="H445" s="124"/>
      <c r="I445" s="243"/>
      <c r="J445" s="123"/>
      <c r="K445" s="123"/>
      <c r="L445" s="246"/>
      <c r="M445" s="123"/>
      <c r="N445" s="123"/>
      <c r="O445" s="123"/>
      <c r="P445" s="123"/>
      <c r="Q445" t="str">
        <f t="shared" si="6"/>
        <v/>
      </c>
    </row>
    <row r="446" spans="3:17" hidden="1">
      <c r="C446" s="123"/>
      <c r="D446" s="123"/>
      <c r="E446" s="124"/>
      <c r="F446" s="124"/>
      <c r="G446" s="130"/>
      <c r="H446" s="124"/>
      <c r="I446" s="243"/>
      <c r="J446" s="123"/>
      <c r="K446" s="123"/>
      <c r="L446" s="246"/>
      <c r="M446" s="123"/>
      <c r="N446" s="123"/>
      <c r="O446" s="123"/>
      <c r="P446" s="123"/>
      <c r="Q446" t="str">
        <f t="shared" si="6"/>
        <v/>
      </c>
    </row>
    <row r="447" spans="3:17" hidden="1">
      <c r="C447" s="123"/>
      <c r="D447" s="123"/>
      <c r="E447" s="124"/>
      <c r="F447" s="124"/>
      <c r="G447" s="130"/>
      <c r="H447" s="124"/>
      <c r="I447" s="243"/>
      <c r="J447" s="123"/>
      <c r="K447" s="123"/>
      <c r="L447" s="246"/>
      <c r="M447" s="123"/>
      <c r="N447" s="123"/>
      <c r="O447" s="123"/>
      <c r="P447" s="123"/>
      <c r="Q447" t="str">
        <f t="shared" si="6"/>
        <v/>
      </c>
    </row>
    <row r="448" spans="3:17" hidden="1">
      <c r="C448" s="123"/>
      <c r="D448" s="123"/>
      <c r="E448" s="124"/>
      <c r="F448" s="124"/>
      <c r="G448" s="130"/>
      <c r="H448" s="124"/>
      <c r="I448" s="243"/>
      <c r="J448" s="123"/>
      <c r="K448" s="123"/>
      <c r="L448" s="246"/>
      <c r="M448" s="123"/>
      <c r="N448" s="123"/>
      <c r="O448" s="123"/>
      <c r="P448" s="123"/>
      <c r="Q448" t="str">
        <f t="shared" si="6"/>
        <v/>
      </c>
    </row>
    <row r="449" spans="3:17" hidden="1">
      <c r="C449" s="123"/>
      <c r="D449" s="123"/>
      <c r="E449" s="124"/>
      <c r="F449" s="124"/>
      <c r="G449" s="130"/>
      <c r="H449" s="124"/>
      <c r="I449" s="243"/>
      <c r="J449" s="123"/>
      <c r="K449" s="123"/>
      <c r="L449" s="246"/>
      <c r="M449" s="123"/>
      <c r="N449" s="123"/>
      <c r="O449" s="123"/>
      <c r="P449" s="123"/>
      <c r="Q449" t="str">
        <f t="shared" si="6"/>
        <v/>
      </c>
    </row>
    <row r="450" spans="3:17" hidden="1">
      <c r="C450" s="123"/>
      <c r="D450" s="123"/>
      <c r="E450" s="124"/>
      <c r="F450" s="124"/>
      <c r="G450" s="130"/>
      <c r="H450" s="124"/>
      <c r="I450" s="243"/>
      <c r="J450" s="123"/>
      <c r="K450" s="123"/>
      <c r="L450" s="246"/>
      <c r="M450" s="123"/>
      <c r="N450" s="123"/>
      <c r="O450" s="123"/>
      <c r="P450" s="123"/>
      <c r="Q450" t="str">
        <f t="shared" si="6"/>
        <v/>
      </c>
    </row>
    <row r="451" spans="3:17" hidden="1">
      <c r="C451" s="123"/>
      <c r="D451" s="123"/>
      <c r="E451" s="124"/>
      <c r="F451" s="124"/>
      <c r="G451" s="130"/>
      <c r="H451" s="124"/>
      <c r="I451" s="243"/>
      <c r="J451" s="123"/>
      <c r="K451" s="123"/>
      <c r="L451" s="246"/>
      <c r="M451" s="123"/>
      <c r="N451" s="123"/>
      <c r="O451" s="123"/>
      <c r="P451" s="123"/>
      <c r="Q451" t="str">
        <f t="shared" si="6"/>
        <v/>
      </c>
    </row>
    <row r="452" spans="3:17" hidden="1">
      <c r="C452" s="123"/>
      <c r="D452" s="123"/>
      <c r="E452" s="124"/>
      <c r="F452" s="124"/>
      <c r="G452" s="130"/>
      <c r="H452" s="124"/>
      <c r="I452" s="243"/>
      <c r="J452" s="123"/>
      <c r="K452" s="123"/>
      <c r="L452" s="246"/>
      <c r="M452" s="123"/>
      <c r="N452" s="123"/>
      <c r="O452" s="123"/>
      <c r="P452" s="123"/>
      <c r="Q452" t="str">
        <f t="shared" si="6"/>
        <v/>
      </c>
    </row>
    <row r="453" spans="3:17" hidden="1">
      <c r="C453" s="123"/>
      <c r="D453" s="123"/>
      <c r="E453" s="124"/>
      <c r="F453" s="124"/>
      <c r="G453" s="130"/>
      <c r="H453" s="124"/>
      <c r="I453" s="243"/>
      <c r="J453" s="123"/>
      <c r="K453" s="123"/>
      <c r="L453" s="246"/>
      <c r="M453" s="123"/>
      <c r="N453" s="123"/>
      <c r="O453" s="123"/>
      <c r="P453" s="123"/>
      <c r="Q453" t="str">
        <f t="shared" si="6"/>
        <v/>
      </c>
    </row>
    <row r="454" spans="3:17" hidden="1">
      <c r="C454" s="123"/>
      <c r="D454" s="123"/>
      <c r="E454" s="124"/>
      <c r="F454" s="124"/>
      <c r="G454" s="130"/>
      <c r="H454" s="124"/>
      <c r="I454" s="243"/>
      <c r="J454" s="123"/>
      <c r="K454" s="123"/>
      <c r="L454" s="246"/>
      <c r="M454" s="123"/>
      <c r="N454" s="123"/>
      <c r="O454" s="123"/>
      <c r="P454" s="123"/>
      <c r="Q454" t="str">
        <f t="shared" si="6"/>
        <v/>
      </c>
    </row>
    <row r="455" spans="3:17" hidden="1">
      <c r="C455" s="123"/>
      <c r="D455" s="123"/>
      <c r="E455" s="124"/>
      <c r="F455" s="124"/>
      <c r="G455" s="130"/>
      <c r="H455" s="124"/>
      <c r="I455" s="243"/>
      <c r="J455" s="123"/>
      <c r="K455" s="123"/>
      <c r="L455" s="246"/>
      <c r="M455" s="123"/>
      <c r="N455" s="123"/>
      <c r="O455" s="123"/>
      <c r="P455" s="123"/>
      <c r="Q455" t="str">
        <f t="shared" ref="Q455:Q518" si="7">IF(D455="","","x")</f>
        <v/>
      </c>
    </row>
    <row r="456" spans="3:17" hidden="1">
      <c r="C456" s="123"/>
      <c r="D456" s="123"/>
      <c r="E456" s="124"/>
      <c r="F456" s="124"/>
      <c r="G456" s="130"/>
      <c r="H456" s="124"/>
      <c r="I456" s="243"/>
      <c r="J456" s="123"/>
      <c r="K456" s="123"/>
      <c r="L456" s="246"/>
      <c r="M456" s="123"/>
      <c r="N456" s="123"/>
      <c r="O456" s="123"/>
      <c r="P456" s="123"/>
      <c r="Q456" t="str">
        <f t="shared" si="7"/>
        <v/>
      </c>
    </row>
    <row r="457" spans="3:17" hidden="1">
      <c r="C457" s="123"/>
      <c r="D457" s="123"/>
      <c r="E457" s="124"/>
      <c r="F457" s="124"/>
      <c r="G457" s="130"/>
      <c r="H457" s="124"/>
      <c r="I457" s="243"/>
      <c r="J457" s="123"/>
      <c r="K457" s="123"/>
      <c r="L457" s="246"/>
      <c r="M457" s="123"/>
      <c r="N457" s="123"/>
      <c r="O457" s="123"/>
      <c r="P457" s="123"/>
      <c r="Q457" t="str">
        <f t="shared" si="7"/>
        <v/>
      </c>
    </row>
    <row r="458" spans="3:17" hidden="1">
      <c r="C458" s="123"/>
      <c r="D458" s="123"/>
      <c r="E458" s="124"/>
      <c r="F458" s="124"/>
      <c r="G458" s="130"/>
      <c r="H458" s="124"/>
      <c r="I458" s="243"/>
      <c r="J458" s="123"/>
      <c r="K458" s="123"/>
      <c r="L458" s="246"/>
      <c r="M458" s="123"/>
      <c r="N458" s="123"/>
      <c r="O458" s="123"/>
      <c r="P458" s="123"/>
      <c r="Q458" t="str">
        <f t="shared" si="7"/>
        <v/>
      </c>
    </row>
    <row r="459" spans="3:17" hidden="1">
      <c r="C459" s="123"/>
      <c r="D459" s="123"/>
      <c r="E459" s="124"/>
      <c r="F459" s="124"/>
      <c r="G459" s="130"/>
      <c r="H459" s="124"/>
      <c r="I459" s="243"/>
      <c r="J459" s="123"/>
      <c r="K459" s="123"/>
      <c r="L459" s="246"/>
      <c r="M459" s="123"/>
      <c r="N459" s="123"/>
      <c r="O459" s="123"/>
      <c r="P459" s="123"/>
      <c r="Q459" t="str">
        <f t="shared" si="7"/>
        <v/>
      </c>
    </row>
    <row r="460" spans="3:17" hidden="1">
      <c r="C460" s="123"/>
      <c r="D460" s="123"/>
      <c r="E460" s="124"/>
      <c r="F460" s="124"/>
      <c r="G460" s="130"/>
      <c r="H460" s="124"/>
      <c r="I460" s="243"/>
      <c r="J460" s="123"/>
      <c r="K460" s="123"/>
      <c r="L460" s="246"/>
      <c r="M460" s="123"/>
      <c r="N460" s="123"/>
      <c r="O460" s="123"/>
      <c r="P460" s="123"/>
      <c r="Q460" t="str">
        <f t="shared" si="7"/>
        <v/>
      </c>
    </row>
    <row r="461" spans="3:17" hidden="1">
      <c r="C461" s="123"/>
      <c r="D461" s="123"/>
      <c r="E461" s="124"/>
      <c r="F461" s="124"/>
      <c r="G461" s="130"/>
      <c r="H461" s="124"/>
      <c r="I461" s="243"/>
      <c r="J461" s="123"/>
      <c r="K461" s="123"/>
      <c r="L461" s="246"/>
      <c r="M461" s="123"/>
      <c r="N461" s="123"/>
      <c r="O461" s="123"/>
      <c r="P461" s="123"/>
      <c r="Q461" t="str">
        <f t="shared" si="7"/>
        <v/>
      </c>
    </row>
    <row r="462" spans="3:17" hidden="1">
      <c r="C462" s="123"/>
      <c r="D462" s="123"/>
      <c r="E462" s="124"/>
      <c r="F462" s="124"/>
      <c r="G462" s="130"/>
      <c r="H462" s="124"/>
      <c r="I462" s="243"/>
      <c r="J462" s="123"/>
      <c r="K462" s="123"/>
      <c r="L462" s="246"/>
      <c r="M462" s="123"/>
      <c r="N462" s="123"/>
      <c r="O462" s="123"/>
      <c r="P462" s="123"/>
      <c r="Q462" t="str">
        <f t="shared" si="7"/>
        <v/>
      </c>
    </row>
    <row r="463" spans="3:17" hidden="1">
      <c r="C463" s="123"/>
      <c r="D463" s="123"/>
      <c r="E463" s="124"/>
      <c r="F463" s="124"/>
      <c r="G463" s="130"/>
      <c r="H463" s="124"/>
      <c r="I463" s="243"/>
      <c r="J463" s="123"/>
      <c r="K463" s="123"/>
      <c r="L463" s="246"/>
      <c r="M463" s="123"/>
      <c r="N463" s="123"/>
      <c r="O463" s="123"/>
      <c r="P463" s="123"/>
      <c r="Q463" t="str">
        <f t="shared" si="7"/>
        <v/>
      </c>
    </row>
    <row r="464" spans="3:17" hidden="1">
      <c r="C464" s="123"/>
      <c r="D464" s="123"/>
      <c r="E464" s="124"/>
      <c r="F464" s="124"/>
      <c r="G464" s="130"/>
      <c r="H464" s="124"/>
      <c r="I464" s="243"/>
      <c r="J464" s="123"/>
      <c r="K464" s="123"/>
      <c r="L464" s="246"/>
      <c r="M464" s="123"/>
      <c r="N464" s="123"/>
      <c r="O464" s="123"/>
      <c r="P464" s="123"/>
      <c r="Q464" t="str">
        <f t="shared" si="7"/>
        <v/>
      </c>
    </row>
    <row r="465" spans="3:17" hidden="1">
      <c r="C465" s="123"/>
      <c r="D465" s="123"/>
      <c r="E465" s="124"/>
      <c r="F465" s="124"/>
      <c r="G465" s="130"/>
      <c r="H465" s="124"/>
      <c r="I465" s="243"/>
      <c r="J465" s="123"/>
      <c r="K465" s="123"/>
      <c r="L465" s="246"/>
      <c r="M465" s="123"/>
      <c r="N465" s="123"/>
      <c r="O465" s="123"/>
      <c r="P465" s="123"/>
      <c r="Q465" t="str">
        <f t="shared" si="7"/>
        <v/>
      </c>
    </row>
    <row r="466" spans="3:17" hidden="1">
      <c r="C466" s="123"/>
      <c r="D466" s="123"/>
      <c r="E466" s="124"/>
      <c r="F466" s="124"/>
      <c r="G466" s="130"/>
      <c r="H466" s="124"/>
      <c r="I466" s="243"/>
      <c r="J466" s="123"/>
      <c r="K466" s="123"/>
      <c r="L466" s="246"/>
      <c r="M466" s="123"/>
      <c r="N466" s="123"/>
      <c r="O466" s="123"/>
      <c r="P466" s="123"/>
      <c r="Q466" t="str">
        <f t="shared" si="7"/>
        <v/>
      </c>
    </row>
    <row r="467" spans="3:17" hidden="1">
      <c r="C467" s="123"/>
      <c r="D467" s="123"/>
      <c r="E467" s="124"/>
      <c r="F467" s="124"/>
      <c r="G467" s="130"/>
      <c r="H467" s="124"/>
      <c r="I467" s="243"/>
      <c r="J467" s="123"/>
      <c r="K467" s="123"/>
      <c r="L467" s="246"/>
      <c r="M467" s="123"/>
      <c r="N467" s="123"/>
      <c r="O467" s="123"/>
      <c r="P467" s="123"/>
      <c r="Q467" t="str">
        <f t="shared" si="7"/>
        <v/>
      </c>
    </row>
    <row r="468" spans="3:17" hidden="1">
      <c r="C468" s="123"/>
      <c r="D468" s="123"/>
      <c r="E468" s="124"/>
      <c r="F468" s="124"/>
      <c r="G468" s="130"/>
      <c r="H468" s="124"/>
      <c r="I468" s="243"/>
      <c r="J468" s="123"/>
      <c r="K468" s="123"/>
      <c r="L468" s="246"/>
      <c r="M468" s="123"/>
      <c r="N468" s="123"/>
      <c r="O468" s="123"/>
      <c r="P468" s="123"/>
      <c r="Q468" t="str">
        <f t="shared" si="7"/>
        <v/>
      </c>
    </row>
    <row r="469" spans="3:17" hidden="1">
      <c r="C469" s="123"/>
      <c r="D469" s="123"/>
      <c r="E469" s="124"/>
      <c r="F469" s="124"/>
      <c r="G469" s="130"/>
      <c r="H469" s="124"/>
      <c r="I469" s="243"/>
      <c r="J469" s="123"/>
      <c r="K469" s="123"/>
      <c r="L469" s="246"/>
      <c r="M469" s="123"/>
      <c r="N469" s="123"/>
      <c r="O469" s="123"/>
      <c r="P469" s="123"/>
      <c r="Q469" t="str">
        <f t="shared" si="7"/>
        <v/>
      </c>
    </row>
    <row r="470" spans="3:17" hidden="1">
      <c r="C470" s="123"/>
      <c r="D470" s="123"/>
      <c r="E470" s="124"/>
      <c r="F470" s="124"/>
      <c r="G470" s="130"/>
      <c r="H470" s="124"/>
      <c r="I470" s="243"/>
      <c r="J470" s="123"/>
      <c r="K470" s="123"/>
      <c r="L470" s="246"/>
      <c r="M470" s="123"/>
      <c r="N470" s="123"/>
      <c r="O470" s="123"/>
      <c r="P470" s="123"/>
      <c r="Q470" t="str">
        <f t="shared" si="7"/>
        <v/>
      </c>
    </row>
    <row r="471" spans="3:17" hidden="1">
      <c r="C471" s="123"/>
      <c r="D471" s="123"/>
      <c r="E471" s="124"/>
      <c r="F471" s="124"/>
      <c r="G471" s="130"/>
      <c r="H471" s="124"/>
      <c r="I471" s="243"/>
      <c r="J471" s="123"/>
      <c r="K471" s="123"/>
      <c r="L471" s="246"/>
      <c r="M471" s="123"/>
      <c r="N471" s="123"/>
      <c r="O471" s="123"/>
      <c r="P471" s="123"/>
      <c r="Q471" t="str">
        <f t="shared" si="7"/>
        <v/>
      </c>
    </row>
    <row r="472" spans="3:17" hidden="1">
      <c r="C472" s="123"/>
      <c r="D472" s="123"/>
      <c r="E472" s="124"/>
      <c r="F472" s="124"/>
      <c r="G472" s="130"/>
      <c r="H472" s="124"/>
      <c r="I472" s="243"/>
      <c r="J472" s="123"/>
      <c r="K472" s="123"/>
      <c r="L472" s="246"/>
      <c r="M472" s="123"/>
      <c r="N472" s="123"/>
      <c r="O472" s="123"/>
      <c r="P472" s="123"/>
      <c r="Q472" t="str">
        <f t="shared" si="7"/>
        <v/>
      </c>
    </row>
    <row r="473" spans="3:17" hidden="1">
      <c r="C473" s="123"/>
      <c r="D473" s="123"/>
      <c r="E473" s="124"/>
      <c r="F473" s="124"/>
      <c r="G473" s="130"/>
      <c r="H473" s="124"/>
      <c r="I473" s="243"/>
      <c r="J473" s="123"/>
      <c r="K473" s="123"/>
      <c r="L473" s="246"/>
      <c r="M473" s="123"/>
      <c r="N473" s="123"/>
      <c r="O473" s="123"/>
      <c r="P473" s="123"/>
      <c r="Q473" t="str">
        <f t="shared" si="7"/>
        <v/>
      </c>
    </row>
    <row r="474" spans="3:17" hidden="1">
      <c r="C474" s="123"/>
      <c r="D474" s="123"/>
      <c r="E474" s="124"/>
      <c r="F474" s="124"/>
      <c r="G474" s="130"/>
      <c r="H474" s="124"/>
      <c r="I474" s="243"/>
      <c r="J474" s="123"/>
      <c r="K474" s="123"/>
      <c r="L474" s="246"/>
      <c r="M474" s="123"/>
      <c r="N474" s="123"/>
      <c r="O474" s="123"/>
      <c r="P474" s="123"/>
      <c r="Q474" t="str">
        <f t="shared" si="7"/>
        <v/>
      </c>
    </row>
    <row r="475" spans="3:17" hidden="1">
      <c r="C475" s="123"/>
      <c r="D475" s="123"/>
      <c r="E475" s="124"/>
      <c r="F475" s="124"/>
      <c r="G475" s="130"/>
      <c r="H475" s="124"/>
      <c r="I475" s="243"/>
      <c r="J475" s="123"/>
      <c r="K475" s="123"/>
      <c r="L475" s="246"/>
      <c r="M475" s="123"/>
      <c r="N475" s="123"/>
      <c r="O475" s="123"/>
      <c r="P475" s="123"/>
      <c r="Q475" t="str">
        <f t="shared" si="7"/>
        <v/>
      </c>
    </row>
    <row r="476" spans="3:17" hidden="1">
      <c r="C476" s="123"/>
      <c r="D476" s="123"/>
      <c r="E476" s="124"/>
      <c r="F476" s="124"/>
      <c r="G476" s="130"/>
      <c r="H476" s="124"/>
      <c r="I476" s="243"/>
      <c r="J476" s="123"/>
      <c r="K476" s="123"/>
      <c r="L476" s="246"/>
      <c r="M476" s="123"/>
      <c r="N476" s="123"/>
      <c r="O476" s="123"/>
      <c r="P476" s="123"/>
      <c r="Q476" t="str">
        <f t="shared" si="7"/>
        <v/>
      </c>
    </row>
    <row r="477" spans="3:17" hidden="1">
      <c r="C477" s="123"/>
      <c r="D477" s="123"/>
      <c r="E477" s="124"/>
      <c r="F477" s="124"/>
      <c r="G477" s="130"/>
      <c r="H477" s="124"/>
      <c r="I477" s="243"/>
      <c r="J477" s="123"/>
      <c r="K477" s="123"/>
      <c r="L477" s="246"/>
      <c r="M477" s="123"/>
      <c r="N477" s="123"/>
      <c r="O477" s="123"/>
      <c r="P477" s="123"/>
      <c r="Q477" t="str">
        <f t="shared" si="7"/>
        <v/>
      </c>
    </row>
    <row r="478" spans="3:17" hidden="1">
      <c r="C478" s="123"/>
      <c r="D478" s="123"/>
      <c r="E478" s="124"/>
      <c r="F478" s="124"/>
      <c r="G478" s="130"/>
      <c r="H478" s="124"/>
      <c r="I478" s="243"/>
      <c r="J478" s="123"/>
      <c r="K478" s="123"/>
      <c r="L478" s="246"/>
      <c r="M478" s="123"/>
      <c r="N478" s="123"/>
      <c r="O478" s="123"/>
      <c r="P478" s="123"/>
      <c r="Q478" t="str">
        <f t="shared" si="7"/>
        <v/>
      </c>
    </row>
    <row r="479" spans="3:17" hidden="1">
      <c r="C479" s="123"/>
      <c r="D479" s="123"/>
      <c r="E479" s="124"/>
      <c r="F479" s="124"/>
      <c r="G479" s="130"/>
      <c r="H479" s="124"/>
      <c r="I479" s="243"/>
      <c r="J479" s="123"/>
      <c r="K479" s="123"/>
      <c r="L479" s="246"/>
      <c r="M479" s="123"/>
      <c r="N479" s="123"/>
      <c r="O479" s="123"/>
      <c r="P479" s="123"/>
      <c r="Q479" t="str">
        <f t="shared" si="7"/>
        <v/>
      </c>
    </row>
    <row r="480" spans="3:17" hidden="1">
      <c r="C480" s="123"/>
      <c r="D480" s="123"/>
      <c r="E480" s="124"/>
      <c r="F480" s="124"/>
      <c r="G480" s="130"/>
      <c r="H480" s="124"/>
      <c r="I480" s="243"/>
      <c r="J480" s="123"/>
      <c r="K480" s="123"/>
      <c r="L480" s="246"/>
      <c r="M480" s="123"/>
      <c r="N480" s="123"/>
      <c r="O480" s="123"/>
      <c r="P480" s="123"/>
      <c r="Q480" t="str">
        <f t="shared" si="7"/>
        <v/>
      </c>
    </row>
    <row r="481" spans="3:17" hidden="1">
      <c r="C481" s="123"/>
      <c r="D481" s="123"/>
      <c r="E481" s="124"/>
      <c r="F481" s="124"/>
      <c r="G481" s="130"/>
      <c r="H481" s="124"/>
      <c r="I481" s="243"/>
      <c r="J481" s="123"/>
      <c r="K481" s="123"/>
      <c r="L481" s="246"/>
      <c r="M481" s="123"/>
      <c r="N481" s="123"/>
      <c r="O481" s="123"/>
      <c r="P481" s="123"/>
      <c r="Q481" t="str">
        <f t="shared" si="7"/>
        <v/>
      </c>
    </row>
    <row r="482" spans="3:17" hidden="1">
      <c r="C482" s="123"/>
      <c r="D482" s="123"/>
      <c r="E482" s="124"/>
      <c r="F482" s="124"/>
      <c r="G482" s="130"/>
      <c r="H482" s="124"/>
      <c r="I482" s="243"/>
      <c r="J482" s="123"/>
      <c r="K482" s="123"/>
      <c r="L482" s="246"/>
      <c r="M482" s="123"/>
      <c r="N482" s="123"/>
      <c r="O482" s="123"/>
      <c r="P482" s="123"/>
      <c r="Q482" t="str">
        <f t="shared" si="7"/>
        <v/>
      </c>
    </row>
    <row r="483" spans="3:17" hidden="1">
      <c r="C483" s="123"/>
      <c r="D483" s="123"/>
      <c r="E483" s="124"/>
      <c r="F483" s="124"/>
      <c r="G483" s="130"/>
      <c r="H483" s="124"/>
      <c r="I483" s="243"/>
      <c r="J483" s="123"/>
      <c r="K483" s="123"/>
      <c r="L483" s="246"/>
      <c r="M483" s="123"/>
      <c r="N483" s="123"/>
      <c r="O483" s="123"/>
      <c r="P483" s="123"/>
      <c r="Q483" t="str">
        <f t="shared" si="7"/>
        <v/>
      </c>
    </row>
    <row r="484" spans="3:17" hidden="1">
      <c r="C484" s="123"/>
      <c r="D484" s="123"/>
      <c r="E484" s="124"/>
      <c r="F484" s="124"/>
      <c r="G484" s="130"/>
      <c r="H484" s="124"/>
      <c r="I484" s="243"/>
      <c r="J484" s="123"/>
      <c r="K484" s="123"/>
      <c r="L484" s="246"/>
      <c r="M484" s="123"/>
      <c r="N484" s="123"/>
      <c r="O484" s="123"/>
      <c r="P484" s="123"/>
      <c r="Q484" t="str">
        <f t="shared" si="7"/>
        <v/>
      </c>
    </row>
    <row r="485" spans="3:17" hidden="1">
      <c r="C485" s="123"/>
      <c r="D485" s="123"/>
      <c r="E485" s="124"/>
      <c r="F485" s="124"/>
      <c r="G485" s="130"/>
      <c r="H485" s="124"/>
      <c r="I485" s="243"/>
      <c r="J485" s="123"/>
      <c r="K485" s="123"/>
      <c r="L485" s="246"/>
      <c r="M485" s="123"/>
      <c r="N485" s="123"/>
      <c r="O485" s="123"/>
      <c r="P485" s="123"/>
      <c r="Q485" t="str">
        <f t="shared" si="7"/>
        <v/>
      </c>
    </row>
    <row r="486" spans="3:17" hidden="1">
      <c r="C486" s="123"/>
      <c r="D486" s="123"/>
      <c r="E486" s="124"/>
      <c r="F486" s="124"/>
      <c r="G486" s="130"/>
      <c r="H486" s="124"/>
      <c r="I486" s="243"/>
      <c r="J486" s="123"/>
      <c r="K486" s="123"/>
      <c r="L486" s="246"/>
      <c r="M486" s="123"/>
      <c r="N486" s="123"/>
      <c r="O486" s="123"/>
      <c r="P486" s="123"/>
      <c r="Q486" t="str">
        <f t="shared" si="7"/>
        <v/>
      </c>
    </row>
    <row r="487" spans="3:17" hidden="1">
      <c r="C487" s="123"/>
      <c r="D487" s="123"/>
      <c r="E487" s="124"/>
      <c r="F487" s="124"/>
      <c r="G487" s="130"/>
      <c r="H487" s="124"/>
      <c r="I487" s="243"/>
      <c r="J487" s="123"/>
      <c r="K487" s="123"/>
      <c r="L487" s="246"/>
      <c r="M487" s="123"/>
      <c r="N487" s="123"/>
      <c r="O487" s="123"/>
      <c r="P487" s="123"/>
      <c r="Q487" t="str">
        <f t="shared" si="7"/>
        <v/>
      </c>
    </row>
    <row r="488" spans="3:17" hidden="1">
      <c r="C488" s="123"/>
      <c r="D488" s="123"/>
      <c r="E488" s="124"/>
      <c r="F488" s="124"/>
      <c r="G488" s="130"/>
      <c r="H488" s="124"/>
      <c r="I488" s="243"/>
      <c r="J488" s="123"/>
      <c r="K488" s="123"/>
      <c r="L488" s="246"/>
      <c r="M488" s="123"/>
      <c r="N488" s="123"/>
      <c r="O488" s="123"/>
      <c r="P488" s="123"/>
      <c r="Q488" t="str">
        <f t="shared" si="7"/>
        <v/>
      </c>
    </row>
    <row r="489" spans="3:17" hidden="1">
      <c r="C489" s="123"/>
      <c r="D489" s="123"/>
      <c r="E489" s="124"/>
      <c r="F489" s="124"/>
      <c r="G489" s="130"/>
      <c r="H489" s="124"/>
      <c r="I489" s="243"/>
      <c r="J489" s="123"/>
      <c r="K489" s="123"/>
      <c r="L489" s="246"/>
      <c r="M489" s="123"/>
      <c r="N489" s="123"/>
      <c r="O489" s="123"/>
      <c r="P489" s="123"/>
      <c r="Q489" t="str">
        <f t="shared" si="7"/>
        <v/>
      </c>
    </row>
    <row r="490" spans="3:17" hidden="1">
      <c r="C490" s="123"/>
      <c r="D490" s="123"/>
      <c r="E490" s="124"/>
      <c r="F490" s="124"/>
      <c r="G490" s="130"/>
      <c r="H490" s="124"/>
      <c r="I490" s="243"/>
      <c r="J490" s="123"/>
      <c r="K490" s="123"/>
      <c r="L490" s="246"/>
      <c r="M490" s="123"/>
      <c r="N490" s="123"/>
      <c r="O490" s="123"/>
      <c r="P490" s="123"/>
      <c r="Q490" t="str">
        <f t="shared" si="7"/>
        <v/>
      </c>
    </row>
    <row r="491" spans="3:17" hidden="1">
      <c r="C491" s="123"/>
      <c r="D491" s="123"/>
      <c r="E491" s="124"/>
      <c r="F491" s="124"/>
      <c r="G491" s="130"/>
      <c r="H491" s="124"/>
      <c r="I491" s="243"/>
      <c r="J491" s="123"/>
      <c r="K491" s="123"/>
      <c r="L491" s="246"/>
      <c r="M491" s="123"/>
      <c r="N491" s="123"/>
      <c r="O491" s="123"/>
      <c r="P491" s="123"/>
      <c r="Q491" t="str">
        <f t="shared" si="7"/>
        <v/>
      </c>
    </row>
    <row r="492" spans="3:17" hidden="1">
      <c r="C492" s="123"/>
      <c r="D492" s="123"/>
      <c r="E492" s="124"/>
      <c r="F492" s="124"/>
      <c r="G492" s="130"/>
      <c r="H492" s="124"/>
      <c r="I492" s="243"/>
      <c r="J492" s="123"/>
      <c r="K492" s="123"/>
      <c r="L492" s="246"/>
      <c r="M492" s="123"/>
      <c r="N492" s="123"/>
      <c r="O492" s="123"/>
      <c r="P492" s="123"/>
      <c r="Q492" t="str">
        <f t="shared" si="7"/>
        <v/>
      </c>
    </row>
    <row r="493" spans="3:17" hidden="1">
      <c r="C493" s="123"/>
      <c r="D493" s="123"/>
      <c r="E493" s="124"/>
      <c r="F493" s="124"/>
      <c r="G493" s="130"/>
      <c r="H493" s="124"/>
      <c r="I493" s="243"/>
      <c r="J493" s="123"/>
      <c r="K493" s="123"/>
      <c r="L493" s="246"/>
      <c r="M493" s="123"/>
      <c r="N493" s="123"/>
      <c r="O493" s="123"/>
      <c r="P493" s="123"/>
      <c r="Q493" t="str">
        <f t="shared" si="7"/>
        <v/>
      </c>
    </row>
    <row r="494" spans="3:17" hidden="1">
      <c r="C494" s="123"/>
      <c r="D494" s="123"/>
      <c r="E494" s="124"/>
      <c r="F494" s="124"/>
      <c r="G494" s="130"/>
      <c r="H494" s="124"/>
      <c r="I494" s="243"/>
      <c r="J494" s="123"/>
      <c r="K494" s="123"/>
      <c r="L494" s="246"/>
      <c r="M494" s="123"/>
      <c r="N494" s="123"/>
      <c r="O494" s="123"/>
      <c r="P494" s="123"/>
      <c r="Q494" t="str">
        <f t="shared" si="7"/>
        <v/>
      </c>
    </row>
    <row r="495" spans="3:17" hidden="1">
      <c r="C495" s="123"/>
      <c r="D495" s="123"/>
      <c r="E495" s="124"/>
      <c r="F495" s="124"/>
      <c r="G495" s="130"/>
      <c r="H495" s="124"/>
      <c r="I495" s="243"/>
      <c r="J495" s="123"/>
      <c r="K495" s="123"/>
      <c r="L495" s="246"/>
      <c r="M495" s="123"/>
      <c r="N495" s="123"/>
      <c r="O495" s="123"/>
      <c r="P495" s="123"/>
      <c r="Q495" t="str">
        <f t="shared" si="7"/>
        <v/>
      </c>
    </row>
    <row r="496" spans="3:17" hidden="1">
      <c r="C496" s="123"/>
      <c r="D496" s="123"/>
      <c r="E496" s="124"/>
      <c r="F496" s="124"/>
      <c r="G496" s="130"/>
      <c r="H496" s="124"/>
      <c r="I496" s="243"/>
      <c r="J496" s="123"/>
      <c r="K496" s="123"/>
      <c r="L496" s="246"/>
      <c r="M496" s="123"/>
      <c r="N496" s="123"/>
      <c r="O496" s="123"/>
      <c r="P496" s="123"/>
      <c r="Q496" t="str">
        <f t="shared" si="7"/>
        <v/>
      </c>
    </row>
    <row r="497" spans="3:17" hidden="1">
      <c r="C497" s="123"/>
      <c r="D497" s="123"/>
      <c r="E497" s="124"/>
      <c r="F497" s="124"/>
      <c r="G497" s="130"/>
      <c r="H497" s="124"/>
      <c r="I497" s="243"/>
      <c r="J497" s="123"/>
      <c r="K497" s="123"/>
      <c r="L497" s="246"/>
      <c r="M497" s="123"/>
      <c r="N497" s="123"/>
      <c r="O497" s="123"/>
      <c r="P497" s="123"/>
      <c r="Q497" t="str">
        <f t="shared" si="7"/>
        <v/>
      </c>
    </row>
    <row r="498" spans="3:17" hidden="1">
      <c r="C498" s="123"/>
      <c r="D498" s="123"/>
      <c r="E498" s="124"/>
      <c r="F498" s="124"/>
      <c r="G498" s="130"/>
      <c r="H498" s="124"/>
      <c r="I498" s="243"/>
      <c r="J498" s="123"/>
      <c r="K498" s="123"/>
      <c r="L498" s="246"/>
      <c r="M498" s="123"/>
      <c r="N498" s="123"/>
      <c r="O498" s="123"/>
      <c r="P498" s="123"/>
      <c r="Q498" t="str">
        <f t="shared" si="7"/>
        <v/>
      </c>
    </row>
    <row r="499" spans="3:17" hidden="1">
      <c r="C499" s="123"/>
      <c r="D499" s="123"/>
      <c r="E499" s="124"/>
      <c r="F499" s="124"/>
      <c r="G499" s="130"/>
      <c r="H499" s="124"/>
      <c r="I499" s="243"/>
      <c r="J499" s="123"/>
      <c r="K499" s="123"/>
      <c r="L499" s="246"/>
      <c r="M499" s="123"/>
      <c r="N499" s="123"/>
      <c r="O499" s="123"/>
      <c r="P499" s="123"/>
      <c r="Q499" t="str">
        <f t="shared" si="7"/>
        <v/>
      </c>
    </row>
    <row r="500" spans="3:17" hidden="1">
      <c r="C500" s="123"/>
      <c r="D500" s="123"/>
      <c r="E500" s="124"/>
      <c r="F500" s="124"/>
      <c r="G500" s="130"/>
      <c r="H500" s="124"/>
      <c r="I500" s="243"/>
      <c r="J500" s="123"/>
      <c r="K500" s="123"/>
      <c r="L500" s="246"/>
      <c r="M500" s="123"/>
      <c r="N500" s="123"/>
      <c r="O500" s="123"/>
      <c r="P500" s="123"/>
      <c r="Q500" t="str">
        <f t="shared" si="7"/>
        <v/>
      </c>
    </row>
    <row r="501" spans="3:17" hidden="1">
      <c r="C501" s="123"/>
      <c r="D501" s="123"/>
      <c r="E501" s="124"/>
      <c r="F501" s="124"/>
      <c r="G501" s="130"/>
      <c r="H501" s="124"/>
      <c r="I501" s="243"/>
      <c r="J501" s="123"/>
      <c r="K501" s="123"/>
      <c r="L501" s="246"/>
      <c r="M501" s="123"/>
      <c r="N501" s="123"/>
      <c r="O501" s="123"/>
      <c r="P501" s="123"/>
      <c r="Q501" t="str">
        <f t="shared" si="7"/>
        <v/>
      </c>
    </row>
    <row r="502" spans="3:17" hidden="1">
      <c r="C502" s="123"/>
      <c r="D502" s="123"/>
      <c r="E502" s="124"/>
      <c r="F502" s="124"/>
      <c r="G502" s="130"/>
      <c r="H502" s="124"/>
      <c r="I502" s="243"/>
      <c r="J502" s="123"/>
      <c r="K502" s="123"/>
      <c r="L502" s="246"/>
      <c r="M502" s="123"/>
      <c r="N502" s="123"/>
      <c r="O502" s="123"/>
      <c r="P502" s="123"/>
      <c r="Q502" t="str">
        <f t="shared" si="7"/>
        <v/>
      </c>
    </row>
    <row r="503" spans="3:17" hidden="1">
      <c r="C503" s="123"/>
      <c r="D503" s="123"/>
      <c r="E503" s="124"/>
      <c r="F503" s="124"/>
      <c r="G503" s="130"/>
      <c r="H503" s="124"/>
      <c r="I503" s="243"/>
      <c r="J503" s="123"/>
      <c r="K503" s="123"/>
      <c r="L503" s="246"/>
      <c r="M503" s="123"/>
      <c r="N503" s="123"/>
      <c r="O503" s="123"/>
      <c r="P503" s="123"/>
      <c r="Q503" t="str">
        <f t="shared" si="7"/>
        <v/>
      </c>
    </row>
    <row r="504" spans="3:17" hidden="1">
      <c r="C504" s="123"/>
      <c r="D504" s="123"/>
      <c r="E504" s="124"/>
      <c r="F504" s="124"/>
      <c r="G504" s="130"/>
      <c r="H504" s="124"/>
      <c r="I504" s="243"/>
      <c r="J504" s="123"/>
      <c r="K504" s="123"/>
      <c r="L504" s="246"/>
      <c r="M504" s="123"/>
      <c r="N504" s="123"/>
      <c r="O504" s="123"/>
      <c r="P504" s="123"/>
      <c r="Q504" t="str">
        <f t="shared" si="7"/>
        <v/>
      </c>
    </row>
    <row r="505" spans="3:17" hidden="1">
      <c r="C505" s="123"/>
      <c r="D505" s="123"/>
      <c r="E505" s="124"/>
      <c r="F505" s="124"/>
      <c r="G505" s="130"/>
      <c r="H505" s="124"/>
      <c r="I505" s="243"/>
      <c r="J505" s="123"/>
      <c r="K505" s="123"/>
      <c r="L505" s="246"/>
      <c r="M505" s="123"/>
      <c r="N505" s="123"/>
      <c r="O505" s="123"/>
      <c r="P505" s="123"/>
      <c r="Q505" t="str">
        <f t="shared" si="7"/>
        <v/>
      </c>
    </row>
    <row r="506" spans="3:17" hidden="1">
      <c r="C506" s="123"/>
      <c r="D506" s="123"/>
      <c r="E506" s="124"/>
      <c r="F506" s="124"/>
      <c r="G506" s="130"/>
      <c r="H506" s="124"/>
      <c r="I506" s="243"/>
      <c r="J506" s="123"/>
      <c r="K506" s="123"/>
      <c r="L506" s="246"/>
      <c r="M506" s="123"/>
      <c r="N506" s="123"/>
      <c r="O506" s="123"/>
      <c r="P506" s="123"/>
      <c r="Q506" t="str">
        <f t="shared" si="7"/>
        <v/>
      </c>
    </row>
    <row r="507" spans="3:17" hidden="1">
      <c r="C507" s="123"/>
      <c r="D507" s="123"/>
      <c r="E507" s="124"/>
      <c r="F507" s="124"/>
      <c r="G507" s="130"/>
      <c r="H507" s="124"/>
      <c r="I507" s="243"/>
      <c r="J507" s="123"/>
      <c r="K507" s="123"/>
      <c r="L507" s="246"/>
      <c r="M507" s="123"/>
      <c r="N507" s="123"/>
      <c r="O507" s="123"/>
      <c r="P507" s="123"/>
      <c r="Q507" t="str">
        <f t="shared" si="7"/>
        <v/>
      </c>
    </row>
    <row r="508" spans="3:17" hidden="1">
      <c r="C508" s="123"/>
      <c r="D508" s="123"/>
      <c r="E508" s="124"/>
      <c r="F508" s="124"/>
      <c r="G508" s="130"/>
      <c r="H508" s="124"/>
      <c r="I508" s="243"/>
      <c r="J508" s="123"/>
      <c r="K508" s="123"/>
      <c r="L508" s="246"/>
      <c r="M508" s="123"/>
      <c r="N508" s="123"/>
      <c r="O508" s="123"/>
      <c r="P508" s="123"/>
      <c r="Q508" t="str">
        <f t="shared" si="7"/>
        <v/>
      </c>
    </row>
    <row r="509" spans="3:17" hidden="1">
      <c r="C509" s="123"/>
      <c r="D509" s="123"/>
      <c r="E509" s="124"/>
      <c r="F509" s="124"/>
      <c r="G509" s="130"/>
      <c r="H509" s="124"/>
      <c r="I509" s="243"/>
      <c r="J509" s="123"/>
      <c r="K509" s="123"/>
      <c r="L509" s="246"/>
      <c r="M509" s="123"/>
      <c r="N509" s="123"/>
      <c r="O509" s="123"/>
      <c r="P509" s="123"/>
      <c r="Q509" t="str">
        <f t="shared" si="7"/>
        <v/>
      </c>
    </row>
    <row r="510" spans="3:17" hidden="1">
      <c r="C510" s="123"/>
      <c r="D510" s="123"/>
      <c r="E510" s="124"/>
      <c r="F510" s="124"/>
      <c r="G510" s="130"/>
      <c r="H510" s="124"/>
      <c r="I510" s="243"/>
      <c r="J510" s="123"/>
      <c r="K510" s="123"/>
      <c r="L510" s="246"/>
      <c r="M510" s="123"/>
      <c r="N510" s="123"/>
      <c r="O510" s="123"/>
      <c r="P510" s="123"/>
      <c r="Q510" t="str">
        <f t="shared" si="7"/>
        <v/>
      </c>
    </row>
    <row r="511" spans="3:17" hidden="1">
      <c r="C511" s="123"/>
      <c r="D511" s="123"/>
      <c r="E511" s="124"/>
      <c r="F511" s="124"/>
      <c r="G511" s="130"/>
      <c r="H511" s="124"/>
      <c r="I511" s="243"/>
      <c r="J511" s="123"/>
      <c r="K511" s="123"/>
      <c r="L511" s="246"/>
      <c r="M511" s="123"/>
      <c r="N511" s="123"/>
      <c r="O511" s="123"/>
      <c r="P511" s="123"/>
      <c r="Q511" t="str">
        <f t="shared" si="7"/>
        <v/>
      </c>
    </row>
    <row r="512" spans="3:17" hidden="1">
      <c r="C512" s="123"/>
      <c r="D512" s="123"/>
      <c r="E512" s="124"/>
      <c r="F512" s="124"/>
      <c r="G512" s="130"/>
      <c r="H512" s="124"/>
      <c r="I512" s="243"/>
      <c r="J512" s="123"/>
      <c r="K512" s="123"/>
      <c r="L512" s="246"/>
      <c r="M512" s="123"/>
      <c r="N512" s="123"/>
      <c r="O512" s="123"/>
      <c r="P512" s="123"/>
      <c r="Q512" t="str">
        <f t="shared" si="7"/>
        <v/>
      </c>
    </row>
    <row r="513" spans="3:17" hidden="1">
      <c r="C513" s="123"/>
      <c r="D513" s="123"/>
      <c r="E513" s="124"/>
      <c r="F513" s="124"/>
      <c r="G513" s="130"/>
      <c r="H513" s="124"/>
      <c r="I513" s="243"/>
      <c r="J513" s="123"/>
      <c r="K513" s="123"/>
      <c r="L513" s="246"/>
      <c r="M513" s="123"/>
      <c r="N513" s="123"/>
      <c r="O513" s="123"/>
      <c r="P513" s="123"/>
      <c r="Q513" t="str">
        <f t="shared" si="7"/>
        <v/>
      </c>
    </row>
    <row r="514" spans="3:17" hidden="1">
      <c r="C514" s="123"/>
      <c r="D514" s="123"/>
      <c r="E514" s="124"/>
      <c r="F514" s="124"/>
      <c r="G514" s="130"/>
      <c r="H514" s="124"/>
      <c r="I514" s="243"/>
      <c r="J514" s="123"/>
      <c r="K514" s="123"/>
      <c r="L514" s="246"/>
      <c r="M514" s="123"/>
      <c r="N514" s="123"/>
      <c r="O514" s="123"/>
      <c r="P514" s="123"/>
      <c r="Q514" t="str">
        <f t="shared" si="7"/>
        <v/>
      </c>
    </row>
    <row r="515" spans="3:17" hidden="1">
      <c r="C515" s="123"/>
      <c r="D515" s="123"/>
      <c r="E515" s="124"/>
      <c r="F515" s="124"/>
      <c r="G515" s="130"/>
      <c r="H515" s="124"/>
      <c r="I515" s="243"/>
      <c r="J515" s="123"/>
      <c r="K515" s="123"/>
      <c r="L515" s="246"/>
      <c r="M515" s="123"/>
      <c r="N515" s="123"/>
      <c r="O515" s="123"/>
      <c r="P515" s="123"/>
      <c r="Q515" t="str">
        <f t="shared" si="7"/>
        <v/>
      </c>
    </row>
    <row r="516" spans="3:17" hidden="1">
      <c r="C516" s="123"/>
      <c r="D516" s="123"/>
      <c r="E516" s="124"/>
      <c r="F516" s="124"/>
      <c r="G516" s="130"/>
      <c r="H516" s="124"/>
      <c r="I516" s="243"/>
      <c r="J516" s="123"/>
      <c r="K516" s="123"/>
      <c r="L516" s="246"/>
      <c r="M516" s="123"/>
      <c r="N516" s="123"/>
      <c r="O516" s="123"/>
      <c r="P516" s="123"/>
      <c r="Q516" t="str">
        <f t="shared" si="7"/>
        <v/>
      </c>
    </row>
    <row r="517" spans="3:17" hidden="1">
      <c r="C517" s="123"/>
      <c r="D517" s="123"/>
      <c r="E517" s="124"/>
      <c r="F517" s="124"/>
      <c r="G517" s="130"/>
      <c r="H517" s="124"/>
      <c r="I517" s="243"/>
      <c r="J517" s="123"/>
      <c r="K517" s="123"/>
      <c r="L517" s="246"/>
      <c r="M517" s="123"/>
      <c r="N517" s="123"/>
      <c r="O517" s="123"/>
      <c r="P517" s="123"/>
      <c r="Q517" t="str">
        <f t="shared" si="7"/>
        <v/>
      </c>
    </row>
    <row r="518" spans="3:17" hidden="1">
      <c r="C518" s="123"/>
      <c r="D518" s="123"/>
      <c r="E518" s="124"/>
      <c r="F518" s="124"/>
      <c r="G518" s="130"/>
      <c r="H518" s="124"/>
      <c r="I518" s="243"/>
      <c r="J518" s="123"/>
      <c r="K518" s="123"/>
      <c r="L518" s="246"/>
      <c r="M518" s="123"/>
      <c r="N518" s="123"/>
      <c r="O518" s="123"/>
      <c r="P518" s="123"/>
      <c r="Q518" t="str">
        <f t="shared" si="7"/>
        <v/>
      </c>
    </row>
    <row r="519" spans="3:17" hidden="1">
      <c r="C519" s="123"/>
      <c r="D519" s="123"/>
      <c r="E519" s="124"/>
      <c r="F519" s="124"/>
      <c r="G519" s="130"/>
      <c r="H519" s="124"/>
      <c r="I519" s="243"/>
      <c r="J519" s="123"/>
      <c r="K519" s="123"/>
      <c r="L519" s="246"/>
      <c r="M519" s="123"/>
      <c r="N519" s="123"/>
      <c r="O519" s="123"/>
      <c r="P519" s="123"/>
      <c r="Q519" t="str">
        <f t="shared" ref="Q519:Q582" si="8">IF(D519="","","x")</f>
        <v/>
      </c>
    </row>
    <row r="520" spans="3:17" hidden="1">
      <c r="C520" s="123"/>
      <c r="D520" s="123"/>
      <c r="E520" s="124"/>
      <c r="F520" s="124"/>
      <c r="G520" s="130"/>
      <c r="H520" s="124"/>
      <c r="I520" s="243"/>
      <c r="J520" s="123"/>
      <c r="K520" s="123"/>
      <c r="L520" s="246"/>
      <c r="M520" s="123"/>
      <c r="N520" s="123"/>
      <c r="O520" s="123"/>
      <c r="P520" s="123"/>
      <c r="Q520" t="str">
        <f t="shared" si="8"/>
        <v/>
      </c>
    </row>
    <row r="521" spans="3:17" hidden="1">
      <c r="C521" s="123"/>
      <c r="D521" s="123"/>
      <c r="E521" s="124"/>
      <c r="F521" s="124"/>
      <c r="G521" s="130"/>
      <c r="H521" s="124"/>
      <c r="I521" s="243"/>
      <c r="J521" s="123"/>
      <c r="K521" s="123"/>
      <c r="L521" s="246"/>
      <c r="M521" s="123"/>
      <c r="N521" s="123"/>
      <c r="O521" s="123"/>
      <c r="P521" s="123"/>
      <c r="Q521" t="str">
        <f t="shared" si="8"/>
        <v/>
      </c>
    </row>
    <row r="522" spans="3:17" hidden="1">
      <c r="C522" s="123"/>
      <c r="D522" s="123"/>
      <c r="E522" s="124"/>
      <c r="F522" s="124"/>
      <c r="G522" s="130"/>
      <c r="H522" s="124"/>
      <c r="I522" s="243"/>
      <c r="J522" s="123"/>
      <c r="K522" s="123"/>
      <c r="L522" s="246"/>
      <c r="M522" s="123"/>
      <c r="N522" s="123"/>
      <c r="O522" s="123"/>
      <c r="P522" s="123"/>
      <c r="Q522" t="str">
        <f t="shared" si="8"/>
        <v/>
      </c>
    </row>
    <row r="523" spans="3:17" hidden="1">
      <c r="C523" s="123"/>
      <c r="D523" s="123"/>
      <c r="E523" s="124"/>
      <c r="F523" s="124"/>
      <c r="G523" s="130"/>
      <c r="H523" s="124"/>
      <c r="I523" s="243"/>
      <c r="J523" s="123"/>
      <c r="K523" s="123"/>
      <c r="L523" s="246"/>
      <c r="M523" s="123"/>
      <c r="N523" s="123"/>
      <c r="O523" s="123"/>
      <c r="P523" s="123"/>
      <c r="Q523" t="str">
        <f t="shared" si="8"/>
        <v/>
      </c>
    </row>
    <row r="524" spans="3:17" hidden="1">
      <c r="C524" s="123"/>
      <c r="D524" s="123"/>
      <c r="E524" s="124"/>
      <c r="F524" s="124"/>
      <c r="G524" s="130"/>
      <c r="H524" s="124"/>
      <c r="I524" s="243"/>
      <c r="J524" s="123"/>
      <c r="K524" s="123"/>
      <c r="L524" s="246"/>
      <c r="M524" s="123"/>
      <c r="N524" s="123"/>
      <c r="O524" s="123"/>
      <c r="P524" s="123"/>
      <c r="Q524" t="str">
        <f t="shared" si="8"/>
        <v/>
      </c>
    </row>
    <row r="525" spans="3:17" hidden="1">
      <c r="C525" s="123"/>
      <c r="D525" s="123"/>
      <c r="E525" s="124"/>
      <c r="F525" s="124"/>
      <c r="G525" s="130"/>
      <c r="H525" s="124"/>
      <c r="I525" s="243"/>
      <c r="J525" s="123"/>
      <c r="K525" s="123"/>
      <c r="L525" s="246"/>
      <c r="M525" s="123"/>
      <c r="N525" s="123"/>
      <c r="O525" s="123"/>
      <c r="P525" s="123"/>
      <c r="Q525" t="str">
        <f t="shared" si="8"/>
        <v/>
      </c>
    </row>
    <row r="526" spans="3:17" hidden="1">
      <c r="C526" s="123"/>
      <c r="D526" s="123"/>
      <c r="E526" s="124"/>
      <c r="F526" s="124"/>
      <c r="G526" s="130"/>
      <c r="H526" s="124"/>
      <c r="I526" s="243"/>
      <c r="J526" s="123"/>
      <c r="K526" s="123"/>
      <c r="L526" s="246"/>
      <c r="M526" s="123"/>
      <c r="N526" s="123"/>
      <c r="O526" s="123"/>
      <c r="P526" s="123"/>
      <c r="Q526" t="str">
        <f t="shared" si="8"/>
        <v/>
      </c>
    </row>
    <row r="527" spans="3:17" hidden="1">
      <c r="C527" s="123"/>
      <c r="D527" s="123"/>
      <c r="E527" s="124"/>
      <c r="F527" s="124"/>
      <c r="G527" s="130"/>
      <c r="H527" s="124"/>
      <c r="I527" s="243"/>
      <c r="J527" s="123"/>
      <c r="K527" s="123"/>
      <c r="L527" s="246"/>
      <c r="M527" s="123"/>
      <c r="N527" s="123"/>
      <c r="O527" s="123"/>
      <c r="P527" s="123"/>
      <c r="Q527" t="str">
        <f t="shared" si="8"/>
        <v/>
      </c>
    </row>
    <row r="528" spans="3:17" hidden="1">
      <c r="C528" s="123"/>
      <c r="D528" s="123"/>
      <c r="E528" s="124"/>
      <c r="F528" s="124"/>
      <c r="G528" s="130"/>
      <c r="H528" s="124"/>
      <c r="I528" s="243"/>
      <c r="J528" s="123"/>
      <c r="K528" s="123"/>
      <c r="L528" s="246"/>
      <c r="M528" s="123"/>
      <c r="N528" s="123"/>
      <c r="O528" s="123"/>
      <c r="P528" s="123"/>
      <c r="Q528" t="str">
        <f t="shared" si="8"/>
        <v/>
      </c>
    </row>
    <row r="529" spans="3:17" hidden="1">
      <c r="C529" s="123"/>
      <c r="D529" s="123"/>
      <c r="E529" s="124"/>
      <c r="F529" s="124"/>
      <c r="G529" s="130"/>
      <c r="H529" s="124"/>
      <c r="I529" s="243"/>
      <c r="J529" s="123"/>
      <c r="K529" s="123"/>
      <c r="L529" s="246"/>
      <c r="M529" s="123"/>
      <c r="N529" s="123"/>
      <c r="O529" s="123"/>
      <c r="P529" s="123"/>
      <c r="Q529" t="str">
        <f t="shared" si="8"/>
        <v/>
      </c>
    </row>
    <row r="530" spans="3:17" hidden="1">
      <c r="C530" s="123"/>
      <c r="D530" s="123"/>
      <c r="E530" s="124"/>
      <c r="F530" s="124"/>
      <c r="G530" s="130"/>
      <c r="H530" s="124"/>
      <c r="I530" s="243"/>
      <c r="J530" s="123"/>
      <c r="K530" s="123"/>
      <c r="L530" s="246"/>
      <c r="M530" s="123"/>
      <c r="N530" s="123"/>
      <c r="O530" s="123"/>
      <c r="P530" s="123"/>
      <c r="Q530" t="str">
        <f t="shared" si="8"/>
        <v/>
      </c>
    </row>
    <row r="531" spans="3:17" hidden="1">
      <c r="C531" s="123"/>
      <c r="D531" s="123"/>
      <c r="E531" s="124"/>
      <c r="F531" s="124"/>
      <c r="G531" s="130"/>
      <c r="H531" s="124"/>
      <c r="I531" s="243"/>
      <c r="J531" s="123"/>
      <c r="K531" s="123"/>
      <c r="L531" s="246"/>
      <c r="M531" s="123"/>
      <c r="N531" s="123"/>
      <c r="O531" s="123"/>
      <c r="P531" s="123"/>
      <c r="Q531" t="str">
        <f t="shared" si="8"/>
        <v/>
      </c>
    </row>
    <row r="532" spans="3:17" hidden="1">
      <c r="C532" s="123"/>
      <c r="D532" s="123"/>
      <c r="E532" s="124"/>
      <c r="F532" s="124"/>
      <c r="G532" s="130"/>
      <c r="H532" s="124"/>
      <c r="I532" s="243"/>
      <c r="J532" s="123"/>
      <c r="K532" s="123"/>
      <c r="L532" s="246"/>
      <c r="M532" s="123"/>
      <c r="N532" s="123"/>
      <c r="O532" s="123"/>
      <c r="P532" s="123"/>
      <c r="Q532" t="str">
        <f t="shared" si="8"/>
        <v/>
      </c>
    </row>
    <row r="533" spans="3:17" hidden="1">
      <c r="C533" s="123"/>
      <c r="D533" s="123"/>
      <c r="E533" s="124"/>
      <c r="F533" s="124"/>
      <c r="G533" s="130"/>
      <c r="H533" s="124"/>
      <c r="I533" s="243"/>
      <c r="J533" s="123"/>
      <c r="K533" s="123"/>
      <c r="L533" s="246"/>
      <c r="M533" s="123"/>
      <c r="N533" s="123"/>
      <c r="O533" s="123"/>
      <c r="P533" s="123"/>
      <c r="Q533" t="str">
        <f t="shared" si="8"/>
        <v/>
      </c>
    </row>
    <row r="534" spans="3:17" hidden="1">
      <c r="C534" s="123"/>
      <c r="D534" s="123"/>
      <c r="E534" s="124"/>
      <c r="F534" s="124"/>
      <c r="G534" s="130"/>
      <c r="H534" s="124"/>
      <c r="I534" s="243"/>
      <c r="J534" s="123"/>
      <c r="K534" s="123"/>
      <c r="L534" s="246"/>
      <c r="M534" s="123"/>
      <c r="N534" s="123"/>
      <c r="O534" s="123"/>
      <c r="P534" s="123"/>
      <c r="Q534" t="str">
        <f t="shared" si="8"/>
        <v/>
      </c>
    </row>
    <row r="535" spans="3:17" hidden="1">
      <c r="C535" s="123"/>
      <c r="D535" s="123"/>
      <c r="E535" s="124"/>
      <c r="F535" s="124"/>
      <c r="G535" s="130"/>
      <c r="H535" s="124"/>
      <c r="I535" s="243"/>
      <c r="J535" s="123"/>
      <c r="K535" s="123"/>
      <c r="L535" s="246"/>
      <c r="M535" s="123"/>
      <c r="N535" s="123"/>
      <c r="O535" s="123"/>
      <c r="P535" s="123"/>
      <c r="Q535" t="str">
        <f t="shared" si="8"/>
        <v/>
      </c>
    </row>
    <row r="536" spans="3:17" hidden="1">
      <c r="C536" s="123"/>
      <c r="D536" s="123"/>
      <c r="E536" s="124"/>
      <c r="F536" s="124"/>
      <c r="G536" s="130"/>
      <c r="H536" s="124"/>
      <c r="I536" s="243"/>
      <c r="J536" s="123"/>
      <c r="K536" s="123"/>
      <c r="L536" s="246"/>
      <c r="M536" s="123"/>
      <c r="N536" s="123"/>
      <c r="O536" s="123"/>
      <c r="P536" s="123"/>
      <c r="Q536" t="str">
        <f t="shared" si="8"/>
        <v/>
      </c>
    </row>
    <row r="537" spans="3:17" hidden="1">
      <c r="C537" s="123"/>
      <c r="D537" s="123"/>
      <c r="E537" s="124"/>
      <c r="F537" s="124"/>
      <c r="G537" s="130"/>
      <c r="H537" s="124"/>
      <c r="I537" s="243"/>
      <c r="J537" s="123"/>
      <c r="K537" s="123"/>
      <c r="L537" s="246"/>
      <c r="M537" s="123"/>
      <c r="N537" s="123"/>
      <c r="O537" s="123"/>
      <c r="P537" s="123"/>
      <c r="Q537" t="str">
        <f t="shared" si="8"/>
        <v/>
      </c>
    </row>
    <row r="538" spans="3:17" hidden="1">
      <c r="C538" s="123"/>
      <c r="D538" s="123"/>
      <c r="E538" s="124"/>
      <c r="F538" s="124"/>
      <c r="G538" s="130"/>
      <c r="H538" s="124"/>
      <c r="I538" s="243"/>
      <c r="J538" s="123"/>
      <c r="K538" s="123"/>
      <c r="L538" s="246"/>
      <c r="M538" s="123"/>
      <c r="N538" s="123"/>
      <c r="O538" s="123"/>
      <c r="P538" s="123"/>
      <c r="Q538" t="str">
        <f t="shared" si="8"/>
        <v/>
      </c>
    </row>
    <row r="539" spans="3:17" hidden="1">
      <c r="C539" s="123"/>
      <c r="D539" s="123"/>
      <c r="E539" s="124"/>
      <c r="F539" s="124"/>
      <c r="G539" s="130"/>
      <c r="H539" s="124"/>
      <c r="I539" s="243"/>
      <c r="J539" s="123"/>
      <c r="K539" s="123"/>
      <c r="L539" s="246"/>
      <c r="M539" s="123"/>
      <c r="N539" s="123"/>
      <c r="O539" s="123"/>
      <c r="P539" s="123"/>
      <c r="Q539" t="str">
        <f t="shared" si="8"/>
        <v/>
      </c>
    </row>
    <row r="540" spans="3:17" hidden="1">
      <c r="C540" s="123"/>
      <c r="D540" s="123"/>
      <c r="E540" s="124"/>
      <c r="F540" s="124"/>
      <c r="G540" s="130"/>
      <c r="H540" s="124"/>
      <c r="I540" s="243"/>
      <c r="J540" s="123"/>
      <c r="K540" s="123"/>
      <c r="L540" s="246"/>
      <c r="M540" s="123"/>
      <c r="N540" s="123"/>
      <c r="O540" s="123"/>
      <c r="P540" s="123"/>
      <c r="Q540" t="str">
        <f t="shared" si="8"/>
        <v/>
      </c>
    </row>
    <row r="541" spans="3:17" hidden="1">
      <c r="C541" s="123"/>
      <c r="D541" s="123"/>
      <c r="E541" s="124"/>
      <c r="F541" s="124"/>
      <c r="G541" s="130"/>
      <c r="H541" s="124"/>
      <c r="I541" s="243"/>
      <c r="J541" s="123"/>
      <c r="K541" s="123"/>
      <c r="L541" s="246"/>
      <c r="M541" s="123"/>
      <c r="N541" s="123"/>
      <c r="O541" s="123"/>
      <c r="P541" s="123"/>
      <c r="Q541" t="str">
        <f t="shared" si="8"/>
        <v/>
      </c>
    </row>
    <row r="542" spans="3:17" hidden="1">
      <c r="C542" s="123"/>
      <c r="D542" s="123"/>
      <c r="E542" s="124"/>
      <c r="F542" s="124"/>
      <c r="G542" s="130"/>
      <c r="H542" s="124"/>
      <c r="I542" s="243"/>
      <c r="J542" s="123"/>
      <c r="K542" s="123"/>
      <c r="L542" s="246"/>
      <c r="M542" s="123"/>
      <c r="N542" s="123"/>
      <c r="O542" s="123"/>
      <c r="P542" s="123"/>
      <c r="Q542" t="str">
        <f t="shared" si="8"/>
        <v/>
      </c>
    </row>
    <row r="543" spans="3:17" hidden="1">
      <c r="C543" s="123"/>
      <c r="D543" s="123"/>
      <c r="E543" s="124"/>
      <c r="F543" s="124"/>
      <c r="G543" s="130"/>
      <c r="H543" s="124"/>
      <c r="I543" s="243"/>
      <c r="J543" s="123"/>
      <c r="K543" s="123"/>
      <c r="L543" s="246"/>
      <c r="M543" s="123"/>
      <c r="N543" s="123"/>
      <c r="O543" s="123"/>
      <c r="P543" s="123"/>
      <c r="Q543" t="str">
        <f t="shared" si="8"/>
        <v/>
      </c>
    </row>
    <row r="544" spans="3:17" hidden="1">
      <c r="C544" s="123"/>
      <c r="D544" s="123"/>
      <c r="E544" s="124"/>
      <c r="F544" s="124"/>
      <c r="G544" s="130"/>
      <c r="H544" s="124"/>
      <c r="I544" s="243"/>
      <c r="J544" s="123"/>
      <c r="K544" s="123"/>
      <c r="L544" s="246"/>
      <c r="M544" s="123"/>
      <c r="N544" s="123"/>
      <c r="O544" s="123"/>
      <c r="P544" s="123"/>
      <c r="Q544" t="str">
        <f t="shared" si="8"/>
        <v/>
      </c>
    </row>
    <row r="545" spans="3:17" hidden="1">
      <c r="C545" s="123"/>
      <c r="D545" s="123"/>
      <c r="E545" s="124"/>
      <c r="F545" s="124"/>
      <c r="G545" s="130"/>
      <c r="H545" s="124"/>
      <c r="I545" s="243"/>
      <c r="J545" s="123"/>
      <c r="K545" s="123"/>
      <c r="L545" s="246"/>
      <c r="M545" s="123"/>
      <c r="N545" s="123"/>
      <c r="O545" s="123"/>
      <c r="P545" s="123"/>
      <c r="Q545" t="str">
        <f t="shared" si="8"/>
        <v/>
      </c>
    </row>
    <row r="546" spans="3:17" hidden="1">
      <c r="C546" s="123"/>
      <c r="D546" s="123"/>
      <c r="E546" s="124"/>
      <c r="F546" s="124"/>
      <c r="G546" s="130"/>
      <c r="H546" s="124"/>
      <c r="I546" s="243"/>
      <c r="J546" s="123"/>
      <c r="K546" s="123"/>
      <c r="L546" s="246"/>
      <c r="M546" s="123"/>
      <c r="N546" s="123"/>
      <c r="O546" s="123"/>
      <c r="P546" s="123"/>
      <c r="Q546" t="str">
        <f t="shared" si="8"/>
        <v/>
      </c>
    </row>
    <row r="547" spans="3:17" hidden="1">
      <c r="C547" s="123"/>
      <c r="D547" s="123"/>
      <c r="E547" s="124"/>
      <c r="F547" s="124"/>
      <c r="G547" s="130"/>
      <c r="H547" s="124"/>
      <c r="I547" s="243"/>
      <c r="J547" s="123"/>
      <c r="K547" s="123"/>
      <c r="L547" s="246"/>
      <c r="M547" s="123"/>
      <c r="N547" s="123"/>
      <c r="O547" s="123"/>
      <c r="P547" s="123"/>
      <c r="Q547" t="str">
        <f t="shared" si="8"/>
        <v/>
      </c>
    </row>
    <row r="548" spans="3:17" hidden="1">
      <c r="C548" s="123"/>
      <c r="D548" s="123"/>
      <c r="E548" s="124"/>
      <c r="F548" s="124"/>
      <c r="G548" s="130"/>
      <c r="H548" s="124"/>
      <c r="I548" s="243"/>
      <c r="J548" s="123"/>
      <c r="K548" s="123"/>
      <c r="L548" s="246"/>
      <c r="M548" s="123"/>
      <c r="N548" s="123"/>
      <c r="O548" s="123"/>
      <c r="P548" s="123"/>
      <c r="Q548" t="str">
        <f t="shared" si="8"/>
        <v/>
      </c>
    </row>
    <row r="549" spans="3:17" hidden="1">
      <c r="C549" s="123"/>
      <c r="D549" s="123"/>
      <c r="E549" s="124"/>
      <c r="F549" s="124"/>
      <c r="G549" s="130"/>
      <c r="H549" s="124"/>
      <c r="I549" s="243"/>
      <c r="J549" s="123"/>
      <c r="K549" s="123"/>
      <c r="L549" s="246"/>
      <c r="M549" s="123"/>
      <c r="N549" s="123"/>
      <c r="O549" s="123"/>
      <c r="P549" s="123"/>
      <c r="Q549" t="str">
        <f t="shared" si="8"/>
        <v/>
      </c>
    </row>
    <row r="550" spans="3:17" hidden="1">
      <c r="C550" s="123"/>
      <c r="D550" s="123"/>
      <c r="E550" s="124"/>
      <c r="F550" s="124"/>
      <c r="G550" s="130"/>
      <c r="H550" s="124"/>
      <c r="I550" s="243"/>
      <c r="J550" s="123"/>
      <c r="K550" s="123"/>
      <c r="L550" s="246"/>
      <c r="M550" s="123"/>
      <c r="N550" s="123"/>
      <c r="O550" s="123"/>
      <c r="P550" s="123"/>
      <c r="Q550" t="str">
        <f t="shared" si="8"/>
        <v/>
      </c>
    </row>
    <row r="551" spans="3:17" hidden="1">
      <c r="C551" s="123"/>
      <c r="D551" s="123"/>
      <c r="E551" s="124"/>
      <c r="F551" s="124"/>
      <c r="G551" s="130"/>
      <c r="H551" s="124"/>
      <c r="I551" s="243"/>
      <c r="J551" s="123"/>
      <c r="K551" s="123"/>
      <c r="L551" s="246"/>
      <c r="M551" s="123"/>
      <c r="N551" s="123"/>
      <c r="O551" s="123"/>
      <c r="P551" s="123"/>
      <c r="Q551" t="str">
        <f t="shared" si="8"/>
        <v/>
      </c>
    </row>
    <row r="552" spans="3:17" hidden="1">
      <c r="C552" s="123"/>
      <c r="D552" s="123"/>
      <c r="E552" s="124"/>
      <c r="F552" s="124"/>
      <c r="G552" s="130"/>
      <c r="H552" s="124"/>
      <c r="I552" s="243"/>
      <c r="J552" s="123"/>
      <c r="K552" s="123"/>
      <c r="L552" s="246"/>
      <c r="M552" s="123"/>
      <c r="N552" s="123"/>
      <c r="O552" s="123"/>
      <c r="P552" s="123"/>
      <c r="Q552" t="str">
        <f t="shared" si="8"/>
        <v/>
      </c>
    </row>
    <row r="553" spans="3:17" hidden="1">
      <c r="C553" s="123"/>
      <c r="D553" s="123"/>
      <c r="E553" s="124"/>
      <c r="F553" s="124"/>
      <c r="G553" s="130"/>
      <c r="H553" s="124"/>
      <c r="I553" s="243"/>
      <c r="J553" s="123"/>
      <c r="K553" s="123"/>
      <c r="L553" s="246"/>
      <c r="M553" s="123"/>
      <c r="N553" s="123"/>
      <c r="O553" s="123"/>
      <c r="P553" s="123"/>
      <c r="Q553" t="str">
        <f t="shared" si="8"/>
        <v/>
      </c>
    </row>
    <row r="554" spans="3:17" hidden="1">
      <c r="C554" s="123"/>
      <c r="D554" s="123"/>
      <c r="E554" s="124"/>
      <c r="F554" s="124"/>
      <c r="G554" s="130"/>
      <c r="H554" s="124"/>
      <c r="I554" s="243"/>
      <c r="J554" s="123"/>
      <c r="K554" s="123"/>
      <c r="L554" s="246"/>
      <c r="M554" s="123"/>
      <c r="N554" s="123"/>
      <c r="O554" s="123"/>
      <c r="P554" s="123"/>
      <c r="Q554" t="str">
        <f t="shared" si="8"/>
        <v/>
      </c>
    </row>
    <row r="555" spans="3:17" hidden="1">
      <c r="C555" s="123"/>
      <c r="D555" s="123"/>
      <c r="E555" s="124"/>
      <c r="F555" s="124"/>
      <c r="G555" s="130"/>
      <c r="H555" s="124"/>
      <c r="I555" s="243"/>
      <c r="J555" s="123"/>
      <c r="K555" s="123"/>
      <c r="L555" s="246"/>
      <c r="M555" s="123"/>
      <c r="N555" s="123"/>
      <c r="O555" s="123"/>
      <c r="P555" s="123"/>
      <c r="Q555" t="str">
        <f t="shared" si="8"/>
        <v/>
      </c>
    </row>
    <row r="556" spans="3:17" hidden="1">
      <c r="C556" s="123"/>
      <c r="D556" s="123"/>
      <c r="E556" s="124"/>
      <c r="F556" s="124"/>
      <c r="G556" s="130"/>
      <c r="H556" s="124"/>
      <c r="I556" s="243"/>
      <c r="J556" s="123"/>
      <c r="K556" s="123"/>
      <c r="L556" s="246"/>
      <c r="M556" s="123"/>
      <c r="N556" s="123"/>
      <c r="O556" s="123"/>
      <c r="P556" s="123"/>
      <c r="Q556" t="str">
        <f t="shared" si="8"/>
        <v/>
      </c>
    </row>
    <row r="557" spans="3:17" hidden="1">
      <c r="C557" s="123"/>
      <c r="D557" s="123"/>
      <c r="E557" s="124"/>
      <c r="F557" s="124"/>
      <c r="G557" s="130"/>
      <c r="H557" s="124"/>
      <c r="I557" s="243"/>
      <c r="J557" s="123"/>
      <c r="K557" s="123"/>
      <c r="L557" s="246"/>
      <c r="M557" s="123"/>
      <c r="N557" s="123"/>
      <c r="O557" s="123"/>
      <c r="P557" s="123"/>
      <c r="Q557" t="str">
        <f t="shared" si="8"/>
        <v/>
      </c>
    </row>
    <row r="558" spans="3:17" hidden="1">
      <c r="C558" s="123"/>
      <c r="D558" s="123"/>
      <c r="E558" s="124"/>
      <c r="F558" s="124"/>
      <c r="G558" s="130"/>
      <c r="H558" s="124"/>
      <c r="I558" s="243"/>
      <c r="J558" s="123"/>
      <c r="K558" s="123"/>
      <c r="L558" s="246"/>
      <c r="M558" s="123"/>
      <c r="N558" s="123"/>
      <c r="O558" s="123"/>
      <c r="P558" s="123"/>
      <c r="Q558" t="str">
        <f t="shared" si="8"/>
        <v/>
      </c>
    </row>
    <row r="559" spans="3:17" hidden="1">
      <c r="C559" s="123"/>
      <c r="D559" s="123"/>
      <c r="E559" s="124"/>
      <c r="F559" s="124"/>
      <c r="G559" s="130"/>
      <c r="H559" s="124"/>
      <c r="I559" s="243"/>
      <c r="J559" s="123"/>
      <c r="K559" s="123"/>
      <c r="L559" s="246"/>
      <c r="M559" s="123"/>
      <c r="N559" s="123"/>
      <c r="O559" s="123"/>
      <c r="P559" s="123"/>
      <c r="Q559" t="str">
        <f t="shared" si="8"/>
        <v/>
      </c>
    </row>
    <row r="560" spans="3:17" hidden="1">
      <c r="C560" s="123"/>
      <c r="D560" s="123"/>
      <c r="E560" s="124"/>
      <c r="F560" s="124"/>
      <c r="G560" s="130"/>
      <c r="H560" s="124"/>
      <c r="I560" s="243"/>
      <c r="J560" s="123"/>
      <c r="K560" s="123"/>
      <c r="L560" s="246"/>
      <c r="M560" s="123"/>
      <c r="N560" s="123"/>
      <c r="O560" s="123"/>
      <c r="P560" s="123"/>
      <c r="Q560" t="str">
        <f t="shared" si="8"/>
        <v/>
      </c>
    </row>
    <row r="561" spans="3:17" hidden="1">
      <c r="C561" s="123"/>
      <c r="D561" s="123"/>
      <c r="E561" s="124"/>
      <c r="F561" s="124"/>
      <c r="G561" s="130"/>
      <c r="H561" s="124"/>
      <c r="I561" s="243"/>
      <c r="J561" s="123"/>
      <c r="K561" s="123"/>
      <c r="L561" s="246"/>
      <c r="M561" s="123"/>
      <c r="N561" s="123"/>
      <c r="O561" s="123"/>
      <c r="P561" s="123"/>
      <c r="Q561" t="str">
        <f t="shared" si="8"/>
        <v/>
      </c>
    </row>
    <row r="562" spans="3:17" hidden="1">
      <c r="C562" s="123"/>
      <c r="D562" s="123"/>
      <c r="E562" s="124"/>
      <c r="F562" s="124"/>
      <c r="G562" s="130"/>
      <c r="H562" s="124"/>
      <c r="I562" s="243"/>
      <c r="J562" s="123"/>
      <c r="K562" s="123"/>
      <c r="L562" s="246"/>
      <c r="M562" s="123"/>
      <c r="N562" s="123"/>
      <c r="O562" s="123"/>
      <c r="P562" s="123"/>
      <c r="Q562" t="str">
        <f t="shared" si="8"/>
        <v/>
      </c>
    </row>
    <row r="563" spans="3:17" hidden="1">
      <c r="C563" s="123"/>
      <c r="D563" s="123"/>
      <c r="E563" s="124"/>
      <c r="F563" s="124"/>
      <c r="G563" s="130"/>
      <c r="H563" s="124"/>
      <c r="I563" s="243"/>
      <c r="J563" s="123"/>
      <c r="K563" s="123"/>
      <c r="L563" s="246"/>
      <c r="M563" s="123"/>
      <c r="N563" s="123"/>
      <c r="O563" s="123"/>
      <c r="P563" s="123"/>
      <c r="Q563" t="str">
        <f t="shared" si="8"/>
        <v/>
      </c>
    </row>
    <row r="564" spans="3:17" hidden="1">
      <c r="C564" s="123"/>
      <c r="D564" s="123"/>
      <c r="E564" s="124"/>
      <c r="F564" s="124"/>
      <c r="G564" s="130"/>
      <c r="H564" s="124"/>
      <c r="I564" s="243"/>
      <c r="J564" s="123"/>
      <c r="K564" s="123"/>
      <c r="L564" s="246"/>
      <c r="M564" s="123"/>
      <c r="N564" s="123"/>
      <c r="O564" s="123"/>
      <c r="P564" s="123"/>
      <c r="Q564" t="str">
        <f t="shared" si="8"/>
        <v/>
      </c>
    </row>
    <row r="565" spans="3:17" hidden="1">
      <c r="C565" s="123"/>
      <c r="D565" s="123"/>
      <c r="E565" s="124"/>
      <c r="F565" s="124"/>
      <c r="G565" s="130"/>
      <c r="H565" s="124"/>
      <c r="I565" s="243"/>
      <c r="J565" s="123"/>
      <c r="K565" s="123"/>
      <c r="L565" s="246"/>
      <c r="M565" s="123"/>
      <c r="N565" s="123"/>
      <c r="O565" s="123"/>
      <c r="P565" s="123"/>
      <c r="Q565" t="str">
        <f t="shared" si="8"/>
        <v/>
      </c>
    </row>
    <row r="566" spans="3:17" hidden="1">
      <c r="C566" s="123"/>
      <c r="D566" s="123"/>
      <c r="E566" s="124"/>
      <c r="F566" s="124"/>
      <c r="G566" s="130"/>
      <c r="H566" s="124"/>
      <c r="I566" s="243"/>
      <c r="J566" s="123"/>
      <c r="K566" s="123"/>
      <c r="L566" s="246"/>
      <c r="M566" s="123"/>
      <c r="N566" s="123"/>
      <c r="O566" s="123"/>
      <c r="P566" s="123"/>
      <c r="Q566" t="str">
        <f t="shared" si="8"/>
        <v/>
      </c>
    </row>
    <row r="567" spans="3:17" hidden="1">
      <c r="C567" s="123"/>
      <c r="D567" s="123"/>
      <c r="E567" s="124"/>
      <c r="F567" s="124"/>
      <c r="G567" s="130"/>
      <c r="H567" s="124"/>
      <c r="I567" s="243"/>
      <c r="J567" s="123"/>
      <c r="K567" s="123"/>
      <c r="L567" s="246"/>
      <c r="M567" s="123"/>
      <c r="N567" s="123"/>
      <c r="O567" s="123"/>
      <c r="P567" s="123"/>
      <c r="Q567" t="str">
        <f t="shared" si="8"/>
        <v/>
      </c>
    </row>
    <row r="568" spans="3:17" hidden="1">
      <c r="C568" s="123"/>
      <c r="D568" s="123"/>
      <c r="E568" s="124"/>
      <c r="F568" s="124"/>
      <c r="G568" s="130"/>
      <c r="H568" s="124"/>
      <c r="I568" s="243"/>
      <c r="J568" s="123"/>
      <c r="K568" s="123"/>
      <c r="L568" s="246"/>
      <c r="M568" s="123"/>
      <c r="N568" s="123"/>
      <c r="O568" s="123"/>
      <c r="P568" s="123"/>
      <c r="Q568" t="str">
        <f t="shared" si="8"/>
        <v/>
      </c>
    </row>
    <row r="569" spans="3:17" hidden="1">
      <c r="C569" s="123"/>
      <c r="D569" s="123"/>
      <c r="E569" s="124"/>
      <c r="F569" s="124"/>
      <c r="G569" s="130"/>
      <c r="H569" s="124"/>
      <c r="I569" s="243"/>
      <c r="J569" s="123"/>
      <c r="K569" s="123"/>
      <c r="L569" s="246"/>
      <c r="M569" s="123"/>
      <c r="N569" s="123"/>
      <c r="O569" s="123"/>
      <c r="P569" s="123"/>
      <c r="Q569" t="str">
        <f t="shared" si="8"/>
        <v/>
      </c>
    </row>
    <row r="570" spans="3:17" hidden="1">
      <c r="C570" s="123"/>
      <c r="D570" s="123"/>
      <c r="E570" s="124"/>
      <c r="F570" s="124"/>
      <c r="G570" s="130"/>
      <c r="H570" s="124"/>
      <c r="I570" s="243"/>
      <c r="J570" s="123"/>
      <c r="K570" s="123"/>
      <c r="L570" s="246"/>
      <c r="M570" s="123"/>
      <c r="N570" s="123"/>
      <c r="O570" s="123"/>
      <c r="P570" s="123"/>
      <c r="Q570" t="str">
        <f t="shared" si="8"/>
        <v/>
      </c>
    </row>
    <row r="571" spans="3:17" hidden="1">
      <c r="C571" s="123"/>
      <c r="D571" s="123"/>
      <c r="E571" s="124"/>
      <c r="F571" s="124"/>
      <c r="G571" s="130"/>
      <c r="H571" s="124"/>
      <c r="I571" s="243"/>
      <c r="J571" s="123"/>
      <c r="K571" s="123"/>
      <c r="L571" s="246"/>
      <c r="M571" s="123"/>
      <c r="N571" s="123"/>
      <c r="O571" s="123"/>
      <c r="P571" s="123"/>
      <c r="Q571" t="str">
        <f t="shared" si="8"/>
        <v/>
      </c>
    </row>
    <row r="572" spans="3:17" hidden="1">
      <c r="C572" s="123"/>
      <c r="D572" s="123"/>
      <c r="E572" s="124"/>
      <c r="F572" s="124"/>
      <c r="G572" s="130"/>
      <c r="H572" s="124"/>
      <c r="I572" s="243"/>
      <c r="J572" s="123"/>
      <c r="K572" s="123"/>
      <c r="L572" s="246"/>
      <c r="M572" s="123"/>
      <c r="N572" s="123"/>
      <c r="O572" s="123"/>
      <c r="P572" s="123"/>
      <c r="Q572" t="str">
        <f t="shared" si="8"/>
        <v/>
      </c>
    </row>
    <row r="573" spans="3:17" hidden="1">
      <c r="C573" s="123"/>
      <c r="D573" s="123"/>
      <c r="E573" s="124"/>
      <c r="F573" s="124"/>
      <c r="G573" s="130"/>
      <c r="H573" s="124"/>
      <c r="I573" s="243"/>
      <c r="J573" s="123"/>
      <c r="K573" s="123"/>
      <c r="L573" s="246"/>
      <c r="M573" s="123"/>
      <c r="N573" s="123"/>
      <c r="O573" s="123"/>
      <c r="P573" s="123"/>
      <c r="Q573" t="str">
        <f t="shared" si="8"/>
        <v/>
      </c>
    </row>
    <row r="574" spans="3:17" hidden="1">
      <c r="C574" s="123"/>
      <c r="D574" s="123"/>
      <c r="E574" s="124"/>
      <c r="F574" s="124"/>
      <c r="G574" s="130"/>
      <c r="H574" s="124"/>
      <c r="I574" s="243"/>
      <c r="J574" s="123"/>
      <c r="K574" s="123"/>
      <c r="L574" s="246"/>
      <c r="M574" s="123"/>
      <c r="N574" s="123"/>
      <c r="O574" s="123"/>
      <c r="P574" s="123"/>
      <c r="Q574" t="str">
        <f t="shared" si="8"/>
        <v/>
      </c>
    </row>
    <row r="575" spans="3:17" hidden="1">
      <c r="C575" s="123"/>
      <c r="D575" s="123"/>
      <c r="E575" s="124"/>
      <c r="F575" s="124"/>
      <c r="G575" s="130"/>
      <c r="H575" s="124"/>
      <c r="I575" s="243"/>
      <c r="J575" s="123"/>
      <c r="K575" s="123"/>
      <c r="L575" s="246"/>
      <c r="M575" s="123"/>
      <c r="N575" s="123"/>
      <c r="O575" s="123"/>
      <c r="P575" s="123"/>
      <c r="Q575" t="str">
        <f t="shared" si="8"/>
        <v/>
      </c>
    </row>
    <row r="576" spans="3:17" hidden="1">
      <c r="C576" s="123"/>
      <c r="D576" s="123"/>
      <c r="E576" s="124"/>
      <c r="F576" s="124"/>
      <c r="G576" s="130"/>
      <c r="H576" s="124"/>
      <c r="I576" s="243"/>
      <c r="J576" s="123"/>
      <c r="K576" s="123"/>
      <c r="L576" s="246"/>
      <c r="M576" s="123"/>
      <c r="N576" s="123"/>
      <c r="O576" s="123"/>
      <c r="P576" s="123"/>
      <c r="Q576" t="str">
        <f t="shared" si="8"/>
        <v/>
      </c>
    </row>
    <row r="577" spans="3:17" hidden="1">
      <c r="C577" s="123"/>
      <c r="D577" s="123"/>
      <c r="E577" s="124"/>
      <c r="F577" s="124"/>
      <c r="G577" s="130"/>
      <c r="H577" s="124"/>
      <c r="I577" s="243"/>
      <c r="J577" s="123"/>
      <c r="K577" s="123"/>
      <c r="L577" s="246"/>
      <c r="M577" s="123"/>
      <c r="N577" s="123"/>
      <c r="O577" s="123"/>
      <c r="P577" s="123"/>
      <c r="Q577" t="str">
        <f t="shared" si="8"/>
        <v/>
      </c>
    </row>
    <row r="578" spans="3:17" hidden="1">
      <c r="C578" s="123"/>
      <c r="D578" s="123"/>
      <c r="E578" s="124"/>
      <c r="F578" s="124"/>
      <c r="G578" s="130"/>
      <c r="H578" s="124"/>
      <c r="I578" s="243"/>
      <c r="J578" s="123"/>
      <c r="K578" s="123"/>
      <c r="L578" s="246"/>
      <c r="M578" s="123"/>
      <c r="N578" s="123"/>
      <c r="O578" s="123"/>
      <c r="P578" s="123"/>
      <c r="Q578" t="str">
        <f t="shared" si="8"/>
        <v/>
      </c>
    </row>
    <row r="579" spans="3:17" hidden="1">
      <c r="C579" s="123"/>
      <c r="D579" s="123"/>
      <c r="E579" s="124"/>
      <c r="F579" s="124"/>
      <c r="G579" s="130"/>
      <c r="H579" s="124"/>
      <c r="I579" s="243"/>
      <c r="J579" s="123"/>
      <c r="K579" s="123"/>
      <c r="L579" s="246"/>
      <c r="M579" s="123"/>
      <c r="N579" s="123"/>
      <c r="O579" s="123"/>
      <c r="P579" s="123"/>
      <c r="Q579" t="str">
        <f t="shared" si="8"/>
        <v/>
      </c>
    </row>
    <row r="580" spans="3:17" hidden="1">
      <c r="C580" s="123"/>
      <c r="D580" s="123"/>
      <c r="E580" s="124"/>
      <c r="F580" s="124"/>
      <c r="G580" s="130"/>
      <c r="H580" s="124"/>
      <c r="I580" s="243"/>
      <c r="J580" s="123"/>
      <c r="K580" s="123"/>
      <c r="L580" s="246"/>
      <c r="M580" s="123"/>
      <c r="N580" s="123"/>
      <c r="O580" s="123"/>
      <c r="P580" s="123"/>
      <c r="Q580" t="str">
        <f t="shared" si="8"/>
        <v/>
      </c>
    </row>
    <row r="581" spans="3:17" hidden="1">
      <c r="C581" s="123"/>
      <c r="D581" s="123"/>
      <c r="E581" s="124"/>
      <c r="F581" s="124"/>
      <c r="G581" s="130"/>
      <c r="H581" s="124"/>
      <c r="I581" s="243"/>
      <c r="J581" s="123"/>
      <c r="K581" s="123"/>
      <c r="L581" s="246"/>
      <c r="M581" s="123"/>
      <c r="N581" s="123"/>
      <c r="O581" s="123"/>
      <c r="P581" s="123"/>
      <c r="Q581" t="str">
        <f t="shared" si="8"/>
        <v/>
      </c>
    </row>
    <row r="582" spans="3:17" hidden="1">
      <c r="C582" s="123"/>
      <c r="D582" s="123"/>
      <c r="E582" s="124"/>
      <c r="F582" s="124"/>
      <c r="G582" s="130"/>
      <c r="H582" s="124"/>
      <c r="I582" s="243"/>
      <c r="J582" s="123"/>
      <c r="K582" s="123"/>
      <c r="L582" s="246"/>
      <c r="M582" s="123"/>
      <c r="N582" s="123"/>
      <c r="O582" s="123"/>
      <c r="P582" s="123"/>
      <c r="Q582" t="str">
        <f t="shared" si="8"/>
        <v/>
      </c>
    </row>
    <row r="583" spans="3:17" hidden="1">
      <c r="C583" s="123"/>
      <c r="D583" s="123"/>
      <c r="E583" s="124"/>
      <c r="F583" s="124"/>
      <c r="G583" s="130"/>
      <c r="H583" s="124"/>
      <c r="I583" s="243"/>
      <c r="J583" s="123"/>
      <c r="K583" s="123"/>
      <c r="L583" s="246"/>
      <c r="M583" s="123"/>
      <c r="N583" s="123"/>
      <c r="O583" s="123"/>
      <c r="P583" s="123"/>
      <c r="Q583" t="str">
        <f t="shared" ref="Q583:Q646" si="9">IF(D583="","","x")</f>
        <v/>
      </c>
    </row>
    <row r="584" spans="3:17" hidden="1">
      <c r="C584" s="123"/>
      <c r="D584" s="123"/>
      <c r="E584" s="124"/>
      <c r="F584" s="124"/>
      <c r="G584" s="130"/>
      <c r="H584" s="124"/>
      <c r="I584" s="243"/>
      <c r="J584" s="123"/>
      <c r="K584" s="123"/>
      <c r="L584" s="246"/>
      <c r="M584" s="123"/>
      <c r="N584" s="123"/>
      <c r="O584" s="123"/>
      <c r="P584" s="123"/>
      <c r="Q584" t="str">
        <f t="shared" si="9"/>
        <v/>
      </c>
    </row>
    <row r="585" spans="3:17" hidden="1">
      <c r="C585" s="123"/>
      <c r="D585" s="123"/>
      <c r="E585" s="124"/>
      <c r="F585" s="124"/>
      <c r="G585" s="130"/>
      <c r="H585" s="124"/>
      <c r="I585" s="243"/>
      <c r="J585" s="123"/>
      <c r="K585" s="123"/>
      <c r="L585" s="246"/>
      <c r="M585" s="123"/>
      <c r="N585" s="123"/>
      <c r="O585" s="123"/>
      <c r="P585" s="123"/>
      <c r="Q585" t="str">
        <f t="shared" si="9"/>
        <v/>
      </c>
    </row>
    <row r="586" spans="3:17" hidden="1">
      <c r="C586" s="123"/>
      <c r="D586" s="123"/>
      <c r="E586" s="124"/>
      <c r="F586" s="124"/>
      <c r="G586" s="130"/>
      <c r="H586" s="124"/>
      <c r="I586" s="243"/>
      <c r="J586" s="123"/>
      <c r="K586" s="123"/>
      <c r="L586" s="246"/>
      <c r="M586" s="123"/>
      <c r="N586" s="123"/>
      <c r="O586" s="123"/>
      <c r="P586" s="123"/>
      <c r="Q586" t="str">
        <f t="shared" si="9"/>
        <v/>
      </c>
    </row>
    <row r="587" spans="3:17" hidden="1">
      <c r="C587" s="123"/>
      <c r="D587" s="123"/>
      <c r="E587" s="124"/>
      <c r="F587" s="124"/>
      <c r="G587" s="130"/>
      <c r="H587" s="124"/>
      <c r="I587" s="243"/>
      <c r="J587" s="123"/>
      <c r="K587" s="123"/>
      <c r="L587" s="246"/>
      <c r="M587" s="123"/>
      <c r="N587" s="123"/>
      <c r="O587" s="123"/>
      <c r="P587" s="123"/>
      <c r="Q587" t="str">
        <f t="shared" si="9"/>
        <v/>
      </c>
    </row>
    <row r="588" spans="3:17" hidden="1">
      <c r="C588" s="123"/>
      <c r="D588" s="123"/>
      <c r="E588" s="124"/>
      <c r="F588" s="124"/>
      <c r="G588" s="130"/>
      <c r="H588" s="124"/>
      <c r="I588" s="243"/>
      <c r="J588" s="123"/>
      <c r="K588" s="123"/>
      <c r="L588" s="246"/>
      <c r="M588" s="123"/>
      <c r="N588" s="123"/>
      <c r="O588" s="123"/>
      <c r="P588" s="123"/>
      <c r="Q588" t="str">
        <f t="shared" si="9"/>
        <v/>
      </c>
    </row>
    <row r="589" spans="3:17" hidden="1">
      <c r="C589" s="123"/>
      <c r="D589" s="123"/>
      <c r="E589" s="124"/>
      <c r="F589" s="124"/>
      <c r="G589" s="130"/>
      <c r="H589" s="124"/>
      <c r="I589" s="243"/>
      <c r="J589" s="123"/>
      <c r="K589" s="123"/>
      <c r="L589" s="246"/>
      <c r="M589" s="123"/>
      <c r="N589" s="123"/>
      <c r="O589" s="123"/>
      <c r="P589" s="123"/>
      <c r="Q589" t="str">
        <f t="shared" si="9"/>
        <v/>
      </c>
    </row>
    <row r="590" spans="3:17" hidden="1">
      <c r="C590" s="123"/>
      <c r="D590" s="123"/>
      <c r="E590" s="124"/>
      <c r="F590" s="124"/>
      <c r="G590" s="130"/>
      <c r="H590" s="124"/>
      <c r="I590" s="243"/>
      <c r="J590" s="123"/>
      <c r="K590" s="123"/>
      <c r="L590" s="246"/>
      <c r="M590" s="123"/>
      <c r="N590" s="123"/>
      <c r="O590" s="123"/>
      <c r="P590" s="123"/>
      <c r="Q590" t="str">
        <f t="shared" si="9"/>
        <v/>
      </c>
    </row>
    <row r="591" spans="3:17" hidden="1">
      <c r="C591" s="123"/>
      <c r="D591" s="123"/>
      <c r="E591" s="124"/>
      <c r="F591" s="124"/>
      <c r="G591" s="130"/>
      <c r="H591" s="124"/>
      <c r="I591" s="243"/>
      <c r="J591" s="123"/>
      <c r="K591" s="123"/>
      <c r="L591" s="246"/>
      <c r="M591" s="123"/>
      <c r="N591" s="123"/>
      <c r="O591" s="123"/>
      <c r="P591" s="123"/>
      <c r="Q591" t="str">
        <f t="shared" si="9"/>
        <v/>
      </c>
    </row>
    <row r="592" spans="3:17" hidden="1">
      <c r="C592" s="123"/>
      <c r="D592" s="123"/>
      <c r="E592" s="124"/>
      <c r="F592" s="124"/>
      <c r="G592" s="130"/>
      <c r="H592" s="124"/>
      <c r="I592" s="243"/>
      <c r="J592" s="123"/>
      <c r="K592" s="123"/>
      <c r="L592" s="246"/>
      <c r="M592" s="123"/>
      <c r="N592" s="123"/>
      <c r="O592" s="123"/>
      <c r="P592" s="123"/>
      <c r="Q592" t="str">
        <f t="shared" si="9"/>
        <v/>
      </c>
    </row>
    <row r="593" spans="3:17" hidden="1">
      <c r="C593" s="123"/>
      <c r="D593" s="123"/>
      <c r="E593" s="124"/>
      <c r="F593" s="124"/>
      <c r="G593" s="130"/>
      <c r="H593" s="124"/>
      <c r="I593" s="243"/>
      <c r="J593" s="123"/>
      <c r="K593" s="123"/>
      <c r="L593" s="246"/>
      <c r="M593" s="123"/>
      <c r="N593" s="123"/>
      <c r="O593" s="123"/>
      <c r="P593" s="123"/>
      <c r="Q593" t="str">
        <f t="shared" si="9"/>
        <v/>
      </c>
    </row>
    <row r="594" spans="3:17" hidden="1">
      <c r="C594" s="123"/>
      <c r="D594" s="123"/>
      <c r="E594" s="124"/>
      <c r="F594" s="124"/>
      <c r="G594" s="130"/>
      <c r="H594" s="124"/>
      <c r="I594" s="243"/>
      <c r="J594" s="123"/>
      <c r="K594" s="123"/>
      <c r="L594" s="246"/>
      <c r="M594" s="123"/>
      <c r="N594" s="123"/>
      <c r="O594" s="123"/>
      <c r="P594" s="123"/>
      <c r="Q594" t="str">
        <f t="shared" si="9"/>
        <v/>
      </c>
    </row>
    <row r="595" spans="3:17" hidden="1">
      <c r="C595" s="123"/>
      <c r="D595" s="123"/>
      <c r="E595" s="124"/>
      <c r="F595" s="124"/>
      <c r="G595" s="130"/>
      <c r="H595" s="124"/>
      <c r="I595" s="243"/>
      <c r="J595" s="123"/>
      <c r="K595" s="123"/>
      <c r="L595" s="246"/>
      <c r="M595" s="123"/>
      <c r="N595" s="123"/>
      <c r="O595" s="123"/>
      <c r="P595" s="123"/>
      <c r="Q595" t="str">
        <f t="shared" si="9"/>
        <v/>
      </c>
    </row>
    <row r="596" spans="3:17" hidden="1">
      <c r="C596" s="123"/>
      <c r="D596" s="123"/>
      <c r="E596" s="124"/>
      <c r="F596" s="124"/>
      <c r="G596" s="130"/>
      <c r="H596" s="124"/>
      <c r="I596" s="243"/>
      <c r="J596" s="123"/>
      <c r="K596" s="123"/>
      <c r="L596" s="246"/>
      <c r="M596" s="123"/>
      <c r="N596" s="123"/>
      <c r="O596" s="123"/>
      <c r="P596" s="123"/>
      <c r="Q596" t="str">
        <f t="shared" si="9"/>
        <v/>
      </c>
    </row>
    <row r="597" spans="3:17" hidden="1">
      <c r="C597" s="123"/>
      <c r="D597" s="123"/>
      <c r="E597" s="124"/>
      <c r="F597" s="124"/>
      <c r="G597" s="130"/>
      <c r="H597" s="124"/>
      <c r="I597" s="243"/>
      <c r="J597" s="123"/>
      <c r="K597" s="123"/>
      <c r="L597" s="246"/>
      <c r="M597" s="123"/>
      <c r="N597" s="123"/>
      <c r="O597" s="123"/>
      <c r="P597" s="123"/>
      <c r="Q597" t="str">
        <f t="shared" si="9"/>
        <v/>
      </c>
    </row>
    <row r="598" spans="3:17" hidden="1">
      <c r="C598" s="123"/>
      <c r="D598" s="123"/>
      <c r="E598" s="124"/>
      <c r="F598" s="124"/>
      <c r="G598" s="130"/>
      <c r="H598" s="124"/>
      <c r="I598" s="243"/>
      <c r="J598" s="123"/>
      <c r="K598" s="123"/>
      <c r="L598" s="246"/>
      <c r="M598" s="123"/>
      <c r="N598" s="123"/>
      <c r="O598" s="123"/>
      <c r="P598" s="123"/>
      <c r="Q598" t="str">
        <f t="shared" si="9"/>
        <v/>
      </c>
    </row>
    <row r="599" spans="3:17" hidden="1">
      <c r="C599" s="123"/>
      <c r="D599" s="123"/>
      <c r="E599" s="124"/>
      <c r="F599" s="124"/>
      <c r="G599" s="130"/>
      <c r="H599" s="124"/>
      <c r="I599" s="243"/>
      <c r="J599" s="123"/>
      <c r="K599" s="123"/>
      <c r="L599" s="246"/>
      <c r="M599" s="123"/>
      <c r="N599" s="123"/>
      <c r="O599" s="123"/>
      <c r="P599" s="123"/>
      <c r="Q599" t="str">
        <f t="shared" si="9"/>
        <v/>
      </c>
    </row>
    <row r="600" spans="3:17" hidden="1">
      <c r="C600" s="123"/>
      <c r="D600" s="123"/>
      <c r="E600" s="124"/>
      <c r="F600" s="124"/>
      <c r="G600" s="130"/>
      <c r="H600" s="124"/>
      <c r="I600" s="243"/>
      <c r="J600" s="123"/>
      <c r="K600" s="123"/>
      <c r="L600" s="246"/>
      <c r="M600" s="123"/>
      <c r="N600" s="123"/>
      <c r="O600" s="123"/>
      <c r="P600" s="123"/>
      <c r="Q600" t="str">
        <f t="shared" si="9"/>
        <v/>
      </c>
    </row>
    <row r="601" spans="3:17" hidden="1">
      <c r="C601" s="123"/>
      <c r="D601" s="123"/>
      <c r="E601" s="124"/>
      <c r="F601" s="124"/>
      <c r="G601" s="130"/>
      <c r="H601" s="124"/>
      <c r="I601" s="243"/>
      <c r="J601" s="123"/>
      <c r="K601" s="123"/>
      <c r="L601" s="246"/>
      <c r="M601" s="123"/>
      <c r="N601" s="123"/>
      <c r="O601" s="123"/>
      <c r="P601" s="123"/>
      <c r="Q601" t="str">
        <f t="shared" si="9"/>
        <v/>
      </c>
    </row>
    <row r="602" spans="3:17" hidden="1">
      <c r="C602" s="123"/>
      <c r="D602" s="123"/>
      <c r="E602" s="124"/>
      <c r="F602" s="124"/>
      <c r="G602" s="130"/>
      <c r="H602" s="124"/>
      <c r="I602" s="243"/>
      <c r="J602" s="123"/>
      <c r="K602" s="123"/>
      <c r="L602" s="246"/>
      <c r="M602" s="123"/>
      <c r="N602" s="123"/>
      <c r="O602" s="123"/>
      <c r="P602" s="123"/>
      <c r="Q602" t="str">
        <f t="shared" si="9"/>
        <v/>
      </c>
    </row>
    <row r="603" spans="3:17" hidden="1">
      <c r="C603" s="123"/>
      <c r="D603" s="123"/>
      <c r="E603" s="124"/>
      <c r="F603" s="124"/>
      <c r="G603" s="130"/>
      <c r="H603" s="124"/>
      <c r="I603" s="243"/>
      <c r="J603" s="123"/>
      <c r="K603" s="123"/>
      <c r="L603" s="246"/>
      <c r="M603" s="123"/>
      <c r="N603" s="123"/>
      <c r="O603" s="123"/>
      <c r="P603" s="123"/>
      <c r="Q603" t="str">
        <f t="shared" si="9"/>
        <v/>
      </c>
    </row>
    <row r="604" spans="3:17" hidden="1">
      <c r="C604" s="123"/>
      <c r="D604" s="123"/>
      <c r="E604" s="124"/>
      <c r="F604" s="124"/>
      <c r="G604" s="130"/>
      <c r="H604" s="124"/>
      <c r="I604" s="243"/>
      <c r="J604" s="123"/>
      <c r="K604" s="123"/>
      <c r="L604" s="246"/>
      <c r="M604" s="123"/>
      <c r="N604" s="123"/>
      <c r="O604" s="123"/>
      <c r="P604" s="123"/>
      <c r="Q604" t="str">
        <f t="shared" si="9"/>
        <v/>
      </c>
    </row>
    <row r="605" spans="3:17" hidden="1">
      <c r="C605" s="123"/>
      <c r="D605" s="123"/>
      <c r="E605" s="124"/>
      <c r="F605" s="124"/>
      <c r="G605" s="130"/>
      <c r="H605" s="124"/>
      <c r="I605" s="243"/>
      <c r="J605" s="123"/>
      <c r="K605" s="123"/>
      <c r="L605" s="246"/>
      <c r="M605" s="123"/>
      <c r="N605" s="123"/>
      <c r="O605" s="123"/>
      <c r="P605" s="123"/>
      <c r="Q605" t="str">
        <f t="shared" si="9"/>
        <v/>
      </c>
    </row>
    <row r="606" spans="3:17" hidden="1">
      <c r="C606" s="123"/>
      <c r="D606" s="123"/>
      <c r="E606" s="124"/>
      <c r="F606" s="124"/>
      <c r="G606" s="130"/>
      <c r="H606" s="124"/>
      <c r="I606" s="243"/>
      <c r="J606" s="123"/>
      <c r="K606" s="123"/>
      <c r="L606" s="246"/>
      <c r="M606" s="123"/>
      <c r="N606" s="123"/>
      <c r="O606" s="123"/>
      <c r="P606" s="123"/>
      <c r="Q606" t="str">
        <f t="shared" si="9"/>
        <v/>
      </c>
    </row>
    <row r="607" spans="3:17" hidden="1">
      <c r="C607" s="123"/>
      <c r="D607" s="123"/>
      <c r="E607" s="124"/>
      <c r="F607" s="124"/>
      <c r="G607" s="130"/>
      <c r="H607" s="124"/>
      <c r="I607" s="243"/>
      <c r="J607" s="123"/>
      <c r="K607" s="123"/>
      <c r="L607" s="246"/>
      <c r="M607" s="123"/>
      <c r="N607" s="123"/>
      <c r="O607" s="123"/>
      <c r="P607" s="123"/>
      <c r="Q607" t="str">
        <f t="shared" si="9"/>
        <v/>
      </c>
    </row>
    <row r="608" spans="3:17" hidden="1">
      <c r="C608" s="123"/>
      <c r="D608" s="123"/>
      <c r="E608" s="124"/>
      <c r="F608" s="124"/>
      <c r="G608" s="130"/>
      <c r="H608" s="124"/>
      <c r="I608" s="243"/>
      <c r="J608" s="123"/>
      <c r="K608" s="123"/>
      <c r="L608" s="246"/>
      <c r="M608" s="123"/>
      <c r="N608" s="123"/>
      <c r="O608" s="123"/>
      <c r="P608" s="123"/>
      <c r="Q608" t="str">
        <f t="shared" si="9"/>
        <v/>
      </c>
    </row>
    <row r="609" spans="3:17" hidden="1">
      <c r="C609" s="123"/>
      <c r="D609" s="123"/>
      <c r="E609" s="124"/>
      <c r="F609" s="124"/>
      <c r="G609" s="130"/>
      <c r="H609" s="124"/>
      <c r="I609" s="243"/>
      <c r="J609" s="123"/>
      <c r="K609" s="123"/>
      <c r="L609" s="246"/>
      <c r="M609" s="123"/>
      <c r="N609" s="123"/>
      <c r="O609" s="123"/>
      <c r="P609" s="123"/>
      <c r="Q609" t="str">
        <f t="shared" si="9"/>
        <v/>
      </c>
    </row>
    <row r="610" spans="3:17" hidden="1">
      <c r="C610" s="123"/>
      <c r="D610" s="123"/>
      <c r="E610" s="124"/>
      <c r="F610" s="124"/>
      <c r="G610" s="130"/>
      <c r="H610" s="124"/>
      <c r="I610" s="243"/>
      <c r="J610" s="123"/>
      <c r="K610" s="123"/>
      <c r="L610" s="246"/>
      <c r="M610" s="123"/>
      <c r="N610" s="123"/>
      <c r="O610" s="123"/>
      <c r="P610" s="123"/>
      <c r="Q610" t="str">
        <f t="shared" si="9"/>
        <v/>
      </c>
    </row>
    <row r="611" spans="3:17" hidden="1">
      <c r="C611" s="123"/>
      <c r="D611" s="123"/>
      <c r="E611" s="124"/>
      <c r="F611" s="124"/>
      <c r="G611" s="130"/>
      <c r="H611" s="124"/>
      <c r="I611" s="243"/>
      <c r="J611" s="123"/>
      <c r="K611" s="123"/>
      <c r="L611" s="246"/>
      <c r="M611" s="123"/>
      <c r="N611" s="123"/>
      <c r="O611" s="123"/>
      <c r="P611" s="123"/>
      <c r="Q611" t="str">
        <f t="shared" si="9"/>
        <v/>
      </c>
    </row>
    <row r="612" spans="3:17" hidden="1">
      <c r="C612" s="123"/>
      <c r="D612" s="123"/>
      <c r="E612" s="124"/>
      <c r="F612" s="124"/>
      <c r="G612" s="130"/>
      <c r="H612" s="124"/>
      <c r="I612" s="243"/>
      <c r="J612" s="123"/>
      <c r="K612" s="123"/>
      <c r="L612" s="246"/>
      <c r="M612" s="123"/>
      <c r="N612" s="123"/>
      <c r="O612" s="123"/>
      <c r="P612" s="123"/>
      <c r="Q612" t="str">
        <f t="shared" si="9"/>
        <v/>
      </c>
    </row>
    <row r="613" spans="3:17" hidden="1">
      <c r="C613" s="123"/>
      <c r="D613" s="123"/>
      <c r="E613" s="124"/>
      <c r="F613" s="124"/>
      <c r="G613" s="130"/>
      <c r="H613" s="124"/>
      <c r="I613" s="243"/>
      <c r="J613" s="123"/>
      <c r="K613" s="123"/>
      <c r="L613" s="246"/>
      <c r="M613" s="123"/>
      <c r="N613" s="123"/>
      <c r="O613" s="123"/>
      <c r="P613" s="123"/>
      <c r="Q613" t="str">
        <f t="shared" si="9"/>
        <v/>
      </c>
    </row>
    <row r="614" spans="3:17" hidden="1">
      <c r="C614" s="123"/>
      <c r="D614" s="123"/>
      <c r="E614" s="124"/>
      <c r="F614" s="124"/>
      <c r="G614" s="130"/>
      <c r="H614" s="124"/>
      <c r="I614" s="243"/>
      <c r="J614" s="123"/>
      <c r="K614" s="123"/>
      <c r="L614" s="246"/>
      <c r="M614" s="123"/>
      <c r="N614" s="123"/>
      <c r="O614" s="123"/>
      <c r="P614" s="123"/>
      <c r="Q614" t="str">
        <f t="shared" si="9"/>
        <v/>
      </c>
    </row>
    <row r="615" spans="3:17" hidden="1">
      <c r="C615" s="123"/>
      <c r="D615" s="123"/>
      <c r="E615" s="124"/>
      <c r="F615" s="124"/>
      <c r="G615" s="130"/>
      <c r="H615" s="124"/>
      <c r="I615" s="243"/>
      <c r="J615" s="123"/>
      <c r="K615" s="123"/>
      <c r="L615" s="246"/>
      <c r="M615" s="123"/>
      <c r="N615" s="123"/>
      <c r="O615" s="123"/>
      <c r="P615" s="123"/>
      <c r="Q615" t="str">
        <f t="shared" si="9"/>
        <v/>
      </c>
    </row>
    <row r="616" spans="3:17" hidden="1">
      <c r="C616" s="123"/>
      <c r="D616" s="123"/>
      <c r="E616" s="124"/>
      <c r="F616" s="124"/>
      <c r="G616" s="130"/>
      <c r="H616" s="124"/>
      <c r="I616" s="243"/>
      <c r="J616" s="123"/>
      <c r="K616" s="123"/>
      <c r="L616" s="246"/>
      <c r="M616" s="123"/>
      <c r="N616" s="123"/>
      <c r="O616" s="123"/>
      <c r="P616" s="123"/>
      <c r="Q616" t="str">
        <f t="shared" si="9"/>
        <v/>
      </c>
    </row>
    <row r="617" spans="3:17" hidden="1">
      <c r="C617" s="123"/>
      <c r="D617" s="123"/>
      <c r="E617" s="124"/>
      <c r="F617" s="124"/>
      <c r="G617" s="130"/>
      <c r="H617" s="124"/>
      <c r="I617" s="243"/>
      <c r="J617" s="123"/>
      <c r="K617" s="123"/>
      <c r="L617" s="246"/>
      <c r="M617" s="123"/>
      <c r="N617" s="123"/>
      <c r="O617" s="123"/>
      <c r="P617" s="123"/>
      <c r="Q617" t="str">
        <f t="shared" si="9"/>
        <v/>
      </c>
    </row>
    <row r="618" spans="3:17" hidden="1">
      <c r="C618" s="123"/>
      <c r="D618" s="123"/>
      <c r="E618" s="124"/>
      <c r="F618" s="124"/>
      <c r="G618" s="130"/>
      <c r="H618" s="124"/>
      <c r="I618" s="243"/>
      <c r="J618" s="123"/>
      <c r="K618" s="123"/>
      <c r="L618" s="246"/>
      <c r="M618" s="123"/>
      <c r="N618" s="123"/>
      <c r="O618" s="123"/>
      <c r="P618" s="123"/>
      <c r="Q618" t="str">
        <f t="shared" si="9"/>
        <v/>
      </c>
    </row>
    <row r="619" spans="3:17" hidden="1">
      <c r="C619" s="123"/>
      <c r="D619" s="123"/>
      <c r="E619" s="124"/>
      <c r="F619" s="124"/>
      <c r="G619" s="130"/>
      <c r="H619" s="124"/>
      <c r="I619" s="243"/>
      <c r="J619" s="123"/>
      <c r="K619" s="123"/>
      <c r="L619" s="246"/>
      <c r="M619" s="123"/>
      <c r="N619" s="123"/>
      <c r="O619" s="123"/>
      <c r="P619" s="123"/>
      <c r="Q619" t="str">
        <f t="shared" si="9"/>
        <v/>
      </c>
    </row>
    <row r="620" spans="3:17" hidden="1">
      <c r="C620" s="123"/>
      <c r="D620" s="123"/>
      <c r="E620" s="124"/>
      <c r="F620" s="124"/>
      <c r="G620" s="130"/>
      <c r="H620" s="124"/>
      <c r="I620" s="243"/>
      <c r="J620" s="123"/>
      <c r="K620" s="123"/>
      <c r="L620" s="246"/>
      <c r="M620" s="123"/>
      <c r="N620" s="123"/>
      <c r="O620" s="123"/>
      <c r="P620" s="123"/>
      <c r="Q620" t="str">
        <f t="shared" si="9"/>
        <v/>
      </c>
    </row>
    <row r="621" spans="3:17" hidden="1">
      <c r="C621" s="123"/>
      <c r="D621" s="123"/>
      <c r="E621" s="124"/>
      <c r="F621" s="124"/>
      <c r="G621" s="130"/>
      <c r="H621" s="124"/>
      <c r="I621" s="243"/>
      <c r="J621" s="123"/>
      <c r="K621" s="123"/>
      <c r="L621" s="246"/>
      <c r="M621" s="123"/>
      <c r="N621" s="123"/>
      <c r="O621" s="123"/>
      <c r="P621" s="123"/>
      <c r="Q621" t="str">
        <f t="shared" si="9"/>
        <v/>
      </c>
    </row>
    <row r="622" spans="3:17" hidden="1">
      <c r="C622" s="123"/>
      <c r="D622" s="123"/>
      <c r="E622" s="124"/>
      <c r="F622" s="124"/>
      <c r="G622" s="130"/>
      <c r="H622" s="124"/>
      <c r="I622" s="243"/>
      <c r="J622" s="123"/>
      <c r="K622" s="123"/>
      <c r="L622" s="246"/>
      <c r="M622" s="123"/>
      <c r="N622" s="123"/>
      <c r="O622" s="123"/>
      <c r="P622" s="123"/>
      <c r="Q622" t="str">
        <f t="shared" si="9"/>
        <v/>
      </c>
    </row>
    <row r="623" spans="3:17" hidden="1">
      <c r="C623" s="123"/>
      <c r="D623" s="123"/>
      <c r="E623" s="124"/>
      <c r="F623" s="124"/>
      <c r="G623" s="130"/>
      <c r="H623" s="124"/>
      <c r="I623" s="243"/>
      <c r="J623" s="123"/>
      <c r="K623" s="123"/>
      <c r="L623" s="246"/>
      <c r="M623" s="123"/>
      <c r="N623" s="123"/>
      <c r="O623" s="123"/>
      <c r="P623" s="123"/>
      <c r="Q623" t="str">
        <f t="shared" si="9"/>
        <v/>
      </c>
    </row>
    <row r="624" spans="3:17" hidden="1">
      <c r="C624" s="123"/>
      <c r="D624" s="123"/>
      <c r="E624" s="124"/>
      <c r="F624" s="124"/>
      <c r="G624" s="130"/>
      <c r="H624" s="124"/>
      <c r="I624" s="243"/>
      <c r="J624" s="123"/>
      <c r="K624" s="123"/>
      <c r="L624" s="246"/>
      <c r="M624" s="123"/>
      <c r="N624" s="123"/>
      <c r="O624" s="123"/>
      <c r="P624" s="123"/>
      <c r="Q624" t="str">
        <f t="shared" si="9"/>
        <v/>
      </c>
    </row>
    <row r="625" spans="3:17" hidden="1">
      <c r="C625" s="123"/>
      <c r="D625" s="123"/>
      <c r="E625" s="124"/>
      <c r="F625" s="124"/>
      <c r="G625" s="130"/>
      <c r="H625" s="124"/>
      <c r="I625" s="243"/>
      <c r="J625" s="123"/>
      <c r="K625" s="123"/>
      <c r="L625" s="246"/>
      <c r="M625" s="123"/>
      <c r="N625" s="123"/>
      <c r="O625" s="123"/>
      <c r="P625" s="123"/>
      <c r="Q625" t="str">
        <f t="shared" si="9"/>
        <v/>
      </c>
    </row>
    <row r="626" spans="3:17" hidden="1">
      <c r="C626" s="123"/>
      <c r="D626" s="123"/>
      <c r="E626" s="124"/>
      <c r="F626" s="124"/>
      <c r="G626" s="130"/>
      <c r="H626" s="124"/>
      <c r="I626" s="243"/>
      <c r="J626" s="123"/>
      <c r="K626" s="123"/>
      <c r="L626" s="246"/>
      <c r="M626" s="123"/>
      <c r="N626" s="123"/>
      <c r="O626" s="123"/>
      <c r="P626" s="123"/>
      <c r="Q626" t="str">
        <f t="shared" si="9"/>
        <v/>
      </c>
    </row>
    <row r="627" spans="3:17" hidden="1">
      <c r="C627" s="123"/>
      <c r="D627" s="123"/>
      <c r="E627" s="124"/>
      <c r="F627" s="124"/>
      <c r="G627" s="130"/>
      <c r="H627" s="124"/>
      <c r="I627" s="243"/>
      <c r="J627" s="123"/>
      <c r="K627" s="123"/>
      <c r="L627" s="246"/>
      <c r="M627" s="123"/>
      <c r="N627" s="123"/>
      <c r="O627" s="123"/>
      <c r="P627" s="123"/>
      <c r="Q627" t="str">
        <f t="shared" si="9"/>
        <v/>
      </c>
    </row>
    <row r="628" spans="3:17" hidden="1">
      <c r="C628" s="123"/>
      <c r="D628" s="123"/>
      <c r="E628" s="124"/>
      <c r="F628" s="124"/>
      <c r="G628" s="130"/>
      <c r="H628" s="124"/>
      <c r="I628" s="243"/>
      <c r="J628" s="123"/>
      <c r="K628" s="123"/>
      <c r="L628" s="246"/>
      <c r="M628" s="123"/>
      <c r="N628" s="123"/>
      <c r="O628" s="123"/>
      <c r="P628" s="123"/>
      <c r="Q628" t="str">
        <f t="shared" si="9"/>
        <v/>
      </c>
    </row>
    <row r="629" spans="3:17" hidden="1">
      <c r="C629" s="123"/>
      <c r="D629" s="123"/>
      <c r="E629" s="124"/>
      <c r="F629" s="124"/>
      <c r="G629" s="130"/>
      <c r="H629" s="124"/>
      <c r="I629" s="243"/>
      <c r="J629" s="123"/>
      <c r="K629" s="123"/>
      <c r="L629" s="246"/>
      <c r="M629" s="123"/>
      <c r="N629" s="123"/>
      <c r="O629" s="123"/>
      <c r="P629" s="123"/>
      <c r="Q629" t="str">
        <f t="shared" si="9"/>
        <v/>
      </c>
    </row>
    <row r="630" spans="3:17" hidden="1">
      <c r="C630" s="123"/>
      <c r="D630" s="123"/>
      <c r="E630" s="124"/>
      <c r="F630" s="124"/>
      <c r="G630" s="130"/>
      <c r="H630" s="124"/>
      <c r="I630" s="243"/>
      <c r="J630" s="123"/>
      <c r="K630" s="123"/>
      <c r="L630" s="246"/>
      <c r="M630" s="123"/>
      <c r="N630" s="123"/>
      <c r="O630" s="123"/>
      <c r="P630" s="123"/>
      <c r="Q630" t="str">
        <f t="shared" si="9"/>
        <v/>
      </c>
    </row>
    <row r="631" spans="3:17" hidden="1">
      <c r="C631" s="123"/>
      <c r="D631" s="123"/>
      <c r="E631" s="124"/>
      <c r="F631" s="124"/>
      <c r="G631" s="130"/>
      <c r="H631" s="124"/>
      <c r="I631" s="243"/>
      <c r="J631" s="123"/>
      <c r="K631" s="123"/>
      <c r="L631" s="246"/>
      <c r="M631" s="123"/>
      <c r="N631" s="123"/>
      <c r="O631" s="123"/>
      <c r="P631" s="123"/>
      <c r="Q631" t="str">
        <f t="shared" si="9"/>
        <v/>
      </c>
    </row>
    <row r="632" spans="3:17" hidden="1">
      <c r="C632" s="123"/>
      <c r="D632" s="123"/>
      <c r="E632" s="124"/>
      <c r="F632" s="124"/>
      <c r="G632" s="130"/>
      <c r="H632" s="124"/>
      <c r="I632" s="243"/>
      <c r="J632" s="123"/>
      <c r="K632" s="123"/>
      <c r="L632" s="246"/>
      <c r="M632" s="123"/>
      <c r="N632" s="123"/>
      <c r="O632" s="123"/>
      <c r="P632" s="123"/>
      <c r="Q632" t="str">
        <f t="shared" si="9"/>
        <v/>
      </c>
    </row>
    <row r="633" spans="3:17" hidden="1">
      <c r="C633" s="123"/>
      <c r="D633" s="123"/>
      <c r="E633" s="124"/>
      <c r="F633" s="124"/>
      <c r="G633" s="130"/>
      <c r="H633" s="124"/>
      <c r="I633" s="243"/>
      <c r="J633" s="123"/>
      <c r="K633" s="123"/>
      <c r="L633" s="246"/>
      <c r="M633" s="123"/>
      <c r="N633" s="123"/>
      <c r="O633" s="123"/>
      <c r="P633" s="123"/>
      <c r="Q633" t="str">
        <f t="shared" si="9"/>
        <v/>
      </c>
    </row>
    <row r="634" spans="3:17" hidden="1">
      <c r="C634" s="123"/>
      <c r="D634" s="123"/>
      <c r="E634" s="124"/>
      <c r="F634" s="124"/>
      <c r="G634" s="130"/>
      <c r="H634" s="124"/>
      <c r="I634" s="243"/>
      <c r="J634" s="123"/>
      <c r="K634" s="123"/>
      <c r="L634" s="246"/>
      <c r="M634" s="123"/>
      <c r="N634" s="123"/>
      <c r="O634" s="123"/>
      <c r="P634" s="123"/>
      <c r="Q634" t="str">
        <f t="shared" si="9"/>
        <v/>
      </c>
    </row>
    <row r="635" spans="3:17" hidden="1">
      <c r="C635" s="123"/>
      <c r="D635" s="123"/>
      <c r="E635" s="124"/>
      <c r="F635" s="124"/>
      <c r="G635" s="130"/>
      <c r="H635" s="124"/>
      <c r="I635" s="243"/>
      <c r="J635" s="123"/>
      <c r="K635" s="123"/>
      <c r="L635" s="246"/>
      <c r="M635" s="123"/>
      <c r="N635" s="123"/>
      <c r="O635" s="123"/>
      <c r="P635" s="123"/>
      <c r="Q635" t="str">
        <f t="shared" si="9"/>
        <v/>
      </c>
    </row>
    <row r="636" spans="3:17" hidden="1">
      <c r="C636" s="123"/>
      <c r="D636" s="123"/>
      <c r="E636" s="124"/>
      <c r="F636" s="124"/>
      <c r="G636" s="130"/>
      <c r="H636" s="124"/>
      <c r="I636" s="243"/>
      <c r="J636" s="123"/>
      <c r="K636" s="123"/>
      <c r="L636" s="246"/>
      <c r="M636" s="123"/>
      <c r="N636" s="123"/>
      <c r="O636" s="123"/>
      <c r="P636" s="123"/>
      <c r="Q636" t="str">
        <f t="shared" si="9"/>
        <v/>
      </c>
    </row>
    <row r="637" spans="3:17" hidden="1">
      <c r="C637" s="123"/>
      <c r="D637" s="123"/>
      <c r="E637" s="124"/>
      <c r="F637" s="124"/>
      <c r="G637" s="130"/>
      <c r="H637" s="124"/>
      <c r="I637" s="243"/>
      <c r="J637" s="123"/>
      <c r="K637" s="123"/>
      <c r="L637" s="246"/>
      <c r="M637" s="123"/>
      <c r="N637" s="123"/>
      <c r="O637" s="123"/>
      <c r="P637" s="123"/>
      <c r="Q637" t="str">
        <f t="shared" si="9"/>
        <v/>
      </c>
    </row>
    <row r="638" spans="3:17" hidden="1">
      <c r="C638" s="123"/>
      <c r="D638" s="123"/>
      <c r="E638" s="124"/>
      <c r="F638" s="124"/>
      <c r="G638" s="130"/>
      <c r="H638" s="124"/>
      <c r="I638" s="243"/>
      <c r="J638" s="123"/>
      <c r="K638" s="123"/>
      <c r="L638" s="246"/>
      <c r="M638" s="123"/>
      <c r="N638" s="123"/>
      <c r="O638" s="123"/>
      <c r="P638" s="123"/>
      <c r="Q638" t="str">
        <f t="shared" si="9"/>
        <v/>
      </c>
    </row>
    <row r="639" spans="3:17" hidden="1">
      <c r="C639" s="123"/>
      <c r="D639" s="123"/>
      <c r="E639" s="124"/>
      <c r="F639" s="124"/>
      <c r="G639" s="130"/>
      <c r="H639" s="124"/>
      <c r="I639" s="243"/>
      <c r="J639" s="123"/>
      <c r="K639" s="123"/>
      <c r="L639" s="246"/>
      <c r="M639" s="123"/>
      <c r="N639" s="123"/>
      <c r="O639" s="123"/>
      <c r="P639" s="123"/>
      <c r="Q639" t="str">
        <f t="shared" si="9"/>
        <v/>
      </c>
    </row>
    <row r="640" spans="3:17" hidden="1">
      <c r="C640" s="123"/>
      <c r="D640" s="123"/>
      <c r="E640" s="124"/>
      <c r="F640" s="124"/>
      <c r="G640" s="130"/>
      <c r="H640" s="124"/>
      <c r="I640" s="243"/>
      <c r="J640" s="123"/>
      <c r="K640" s="123"/>
      <c r="L640" s="246"/>
      <c r="M640" s="123"/>
      <c r="N640" s="123"/>
      <c r="O640" s="123"/>
      <c r="P640" s="123"/>
      <c r="Q640" t="str">
        <f t="shared" si="9"/>
        <v/>
      </c>
    </row>
    <row r="641" spans="3:17" hidden="1">
      <c r="C641" s="123"/>
      <c r="D641" s="123"/>
      <c r="E641" s="124"/>
      <c r="F641" s="124"/>
      <c r="G641" s="130"/>
      <c r="H641" s="124"/>
      <c r="I641" s="243"/>
      <c r="J641" s="123"/>
      <c r="K641" s="123"/>
      <c r="L641" s="246"/>
      <c r="M641" s="123"/>
      <c r="N641" s="123"/>
      <c r="O641" s="123"/>
      <c r="P641" s="123"/>
      <c r="Q641" t="str">
        <f t="shared" si="9"/>
        <v/>
      </c>
    </row>
    <row r="642" spans="3:17" hidden="1">
      <c r="C642" s="123"/>
      <c r="D642" s="123"/>
      <c r="E642" s="124"/>
      <c r="F642" s="124"/>
      <c r="G642" s="130"/>
      <c r="H642" s="124"/>
      <c r="I642" s="243"/>
      <c r="J642" s="123"/>
      <c r="K642" s="123"/>
      <c r="L642" s="246"/>
      <c r="M642" s="123"/>
      <c r="N642" s="123"/>
      <c r="O642" s="123"/>
      <c r="P642" s="123"/>
      <c r="Q642" t="str">
        <f t="shared" si="9"/>
        <v/>
      </c>
    </row>
    <row r="643" spans="3:17" hidden="1">
      <c r="C643" s="123"/>
      <c r="D643" s="123"/>
      <c r="E643" s="124"/>
      <c r="F643" s="124"/>
      <c r="G643" s="130"/>
      <c r="H643" s="124"/>
      <c r="I643" s="243"/>
      <c r="J643" s="123"/>
      <c r="K643" s="123"/>
      <c r="L643" s="246"/>
      <c r="M643" s="123"/>
      <c r="N643" s="123"/>
      <c r="O643" s="123"/>
      <c r="P643" s="123"/>
      <c r="Q643" t="str">
        <f t="shared" si="9"/>
        <v/>
      </c>
    </row>
    <row r="644" spans="3:17" hidden="1">
      <c r="C644" s="123"/>
      <c r="D644" s="123"/>
      <c r="E644" s="124"/>
      <c r="F644" s="124"/>
      <c r="G644" s="130"/>
      <c r="H644" s="124"/>
      <c r="I644" s="243"/>
      <c r="J644" s="123"/>
      <c r="K644" s="123"/>
      <c r="L644" s="246"/>
      <c r="M644" s="123"/>
      <c r="N644" s="123"/>
      <c r="O644" s="123"/>
      <c r="P644" s="123"/>
      <c r="Q644" t="str">
        <f t="shared" si="9"/>
        <v/>
      </c>
    </row>
    <row r="645" spans="3:17" hidden="1">
      <c r="C645" s="123"/>
      <c r="D645" s="123"/>
      <c r="E645" s="124"/>
      <c r="F645" s="124"/>
      <c r="G645" s="130"/>
      <c r="H645" s="124"/>
      <c r="I645" s="243"/>
      <c r="J645" s="123"/>
      <c r="K645" s="123"/>
      <c r="L645" s="246"/>
      <c r="M645" s="123"/>
      <c r="N645" s="123"/>
      <c r="O645" s="123"/>
      <c r="P645" s="123"/>
      <c r="Q645" t="str">
        <f t="shared" si="9"/>
        <v/>
      </c>
    </row>
    <row r="646" spans="3:17" hidden="1">
      <c r="C646" s="123"/>
      <c r="D646" s="123"/>
      <c r="E646" s="124"/>
      <c r="F646" s="124"/>
      <c r="G646" s="130"/>
      <c r="H646" s="124"/>
      <c r="I646" s="243"/>
      <c r="J646" s="123"/>
      <c r="K646" s="123"/>
      <c r="L646" s="246"/>
      <c r="M646" s="123"/>
      <c r="N646" s="123"/>
      <c r="O646" s="123"/>
      <c r="P646" s="123"/>
      <c r="Q646" t="str">
        <f t="shared" si="9"/>
        <v/>
      </c>
    </row>
    <row r="647" spans="3:17" hidden="1">
      <c r="C647" s="123"/>
      <c r="D647" s="123"/>
      <c r="E647" s="124"/>
      <c r="F647" s="124"/>
      <c r="G647" s="130"/>
      <c r="H647" s="124"/>
      <c r="I647" s="243"/>
      <c r="J647" s="123"/>
      <c r="K647" s="123"/>
      <c r="L647" s="246"/>
      <c r="M647" s="123"/>
      <c r="N647" s="123"/>
      <c r="O647" s="123"/>
      <c r="P647" s="123"/>
      <c r="Q647" t="str">
        <f t="shared" ref="Q647:Q710" si="10">IF(D647="","","x")</f>
        <v/>
      </c>
    </row>
    <row r="648" spans="3:17" hidden="1">
      <c r="C648" s="123"/>
      <c r="D648" s="123"/>
      <c r="E648" s="124"/>
      <c r="F648" s="124"/>
      <c r="G648" s="130"/>
      <c r="H648" s="124"/>
      <c r="I648" s="243"/>
      <c r="J648" s="123"/>
      <c r="K648" s="123"/>
      <c r="L648" s="246"/>
      <c r="M648" s="123"/>
      <c r="N648" s="123"/>
      <c r="O648" s="123"/>
      <c r="P648" s="123"/>
      <c r="Q648" t="str">
        <f t="shared" si="10"/>
        <v/>
      </c>
    </row>
    <row r="649" spans="3:17" hidden="1">
      <c r="C649" s="123"/>
      <c r="D649" s="123"/>
      <c r="E649" s="124"/>
      <c r="F649" s="124"/>
      <c r="G649" s="130"/>
      <c r="H649" s="124"/>
      <c r="I649" s="243"/>
      <c r="J649" s="123"/>
      <c r="K649" s="123"/>
      <c r="L649" s="246"/>
      <c r="M649" s="123"/>
      <c r="N649" s="123"/>
      <c r="O649" s="123"/>
      <c r="P649" s="123"/>
      <c r="Q649" t="str">
        <f t="shared" si="10"/>
        <v/>
      </c>
    </row>
    <row r="650" spans="3:17" hidden="1">
      <c r="C650" s="123"/>
      <c r="D650" s="123"/>
      <c r="E650" s="124"/>
      <c r="F650" s="124"/>
      <c r="G650" s="130"/>
      <c r="H650" s="124"/>
      <c r="I650" s="243"/>
      <c r="J650" s="123"/>
      <c r="K650" s="123"/>
      <c r="L650" s="246"/>
      <c r="M650" s="123"/>
      <c r="N650" s="123"/>
      <c r="O650" s="123"/>
      <c r="P650" s="123"/>
      <c r="Q650" t="str">
        <f t="shared" si="10"/>
        <v/>
      </c>
    </row>
    <row r="651" spans="3:17" hidden="1">
      <c r="C651" s="123"/>
      <c r="D651" s="123"/>
      <c r="E651" s="124"/>
      <c r="F651" s="124"/>
      <c r="G651" s="130"/>
      <c r="H651" s="124"/>
      <c r="I651" s="243"/>
      <c r="J651" s="123"/>
      <c r="K651" s="123"/>
      <c r="L651" s="246"/>
      <c r="M651" s="123"/>
      <c r="N651" s="123"/>
      <c r="O651" s="123"/>
      <c r="P651" s="123"/>
      <c r="Q651" t="str">
        <f t="shared" si="10"/>
        <v/>
      </c>
    </row>
    <row r="652" spans="3:17" hidden="1">
      <c r="C652" s="123"/>
      <c r="D652" s="123"/>
      <c r="E652" s="124"/>
      <c r="F652" s="124"/>
      <c r="G652" s="130"/>
      <c r="H652" s="124"/>
      <c r="I652" s="243"/>
      <c r="J652" s="123"/>
      <c r="K652" s="123"/>
      <c r="L652" s="246"/>
      <c r="M652" s="123"/>
      <c r="N652" s="123"/>
      <c r="O652" s="123"/>
      <c r="P652" s="123"/>
      <c r="Q652" t="str">
        <f t="shared" si="10"/>
        <v/>
      </c>
    </row>
    <row r="653" spans="3:17" hidden="1">
      <c r="C653" s="123"/>
      <c r="D653" s="123"/>
      <c r="E653" s="124"/>
      <c r="F653" s="124"/>
      <c r="G653" s="130"/>
      <c r="H653" s="124"/>
      <c r="I653" s="243"/>
      <c r="J653" s="123"/>
      <c r="K653" s="123"/>
      <c r="L653" s="246"/>
      <c r="M653" s="123"/>
      <c r="N653" s="123"/>
      <c r="O653" s="123"/>
      <c r="P653" s="123"/>
      <c r="Q653" t="str">
        <f t="shared" si="10"/>
        <v/>
      </c>
    </row>
    <row r="654" spans="3:17" hidden="1">
      <c r="C654" s="123"/>
      <c r="D654" s="123"/>
      <c r="E654" s="124"/>
      <c r="F654" s="124"/>
      <c r="G654" s="130"/>
      <c r="H654" s="124"/>
      <c r="I654" s="243"/>
      <c r="J654" s="123"/>
      <c r="K654" s="123"/>
      <c r="L654" s="246"/>
      <c r="M654" s="123"/>
      <c r="N654" s="123"/>
      <c r="O654" s="123"/>
      <c r="P654" s="123"/>
      <c r="Q654" t="str">
        <f t="shared" si="10"/>
        <v/>
      </c>
    </row>
    <row r="655" spans="3:17" hidden="1">
      <c r="C655" s="123"/>
      <c r="D655" s="123"/>
      <c r="E655" s="124"/>
      <c r="F655" s="124"/>
      <c r="G655" s="130"/>
      <c r="H655" s="124"/>
      <c r="I655" s="243"/>
      <c r="J655" s="123"/>
      <c r="K655" s="123"/>
      <c r="L655" s="246"/>
      <c r="M655" s="123"/>
      <c r="N655" s="123"/>
      <c r="O655" s="123"/>
      <c r="P655" s="123"/>
      <c r="Q655" t="str">
        <f t="shared" si="10"/>
        <v/>
      </c>
    </row>
    <row r="656" spans="3:17" hidden="1">
      <c r="C656" s="123"/>
      <c r="D656" s="123"/>
      <c r="E656" s="124"/>
      <c r="F656" s="124"/>
      <c r="G656" s="130"/>
      <c r="H656" s="124"/>
      <c r="I656" s="243"/>
      <c r="J656" s="123"/>
      <c r="K656" s="123"/>
      <c r="L656" s="246"/>
      <c r="M656" s="123"/>
      <c r="N656" s="123"/>
      <c r="O656" s="123"/>
      <c r="P656" s="123"/>
      <c r="Q656" t="str">
        <f t="shared" si="10"/>
        <v/>
      </c>
    </row>
    <row r="657" spans="3:17" hidden="1">
      <c r="C657" s="123"/>
      <c r="D657" s="123"/>
      <c r="E657" s="124"/>
      <c r="F657" s="124"/>
      <c r="G657" s="130"/>
      <c r="H657" s="124"/>
      <c r="I657" s="243"/>
      <c r="J657" s="123"/>
      <c r="K657" s="123"/>
      <c r="L657" s="246"/>
      <c r="M657" s="123"/>
      <c r="N657" s="123"/>
      <c r="O657" s="123"/>
      <c r="P657" s="123"/>
      <c r="Q657" t="str">
        <f t="shared" si="10"/>
        <v/>
      </c>
    </row>
    <row r="658" spans="3:17" hidden="1">
      <c r="C658" s="123"/>
      <c r="D658" s="123"/>
      <c r="E658" s="124"/>
      <c r="F658" s="124"/>
      <c r="G658" s="130"/>
      <c r="H658" s="124"/>
      <c r="I658" s="243"/>
      <c r="J658" s="123"/>
      <c r="K658" s="123"/>
      <c r="L658" s="246"/>
      <c r="M658" s="123"/>
      <c r="N658" s="123"/>
      <c r="O658" s="123"/>
      <c r="P658" s="123"/>
      <c r="Q658" t="str">
        <f t="shared" si="10"/>
        <v/>
      </c>
    </row>
    <row r="659" spans="3:17" hidden="1">
      <c r="C659" s="123"/>
      <c r="D659" s="123"/>
      <c r="E659" s="124"/>
      <c r="F659" s="124"/>
      <c r="G659" s="130"/>
      <c r="H659" s="124"/>
      <c r="I659" s="243"/>
      <c r="J659" s="123"/>
      <c r="K659" s="123"/>
      <c r="L659" s="246"/>
      <c r="M659" s="123"/>
      <c r="N659" s="123"/>
      <c r="O659" s="123"/>
      <c r="P659" s="123"/>
      <c r="Q659" t="str">
        <f t="shared" si="10"/>
        <v/>
      </c>
    </row>
    <row r="660" spans="3:17" hidden="1">
      <c r="C660" s="123"/>
      <c r="D660" s="123"/>
      <c r="E660" s="124"/>
      <c r="F660" s="124"/>
      <c r="G660" s="130"/>
      <c r="H660" s="124"/>
      <c r="I660" s="243"/>
      <c r="J660" s="123"/>
      <c r="K660" s="123"/>
      <c r="L660" s="246"/>
      <c r="M660" s="123"/>
      <c r="N660" s="123"/>
      <c r="O660" s="123"/>
      <c r="P660" s="123"/>
      <c r="Q660" t="str">
        <f t="shared" si="10"/>
        <v/>
      </c>
    </row>
    <row r="661" spans="3:17" hidden="1">
      <c r="C661" s="123"/>
      <c r="D661" s="123"/>
      <c r="E661" s="124"/>
      <c r="F661" s="124"/>
      <c r="G661" s="130"/>
      <c r="H661" s="124"/>
      <c r="I661" s="243"/>
      <c r="J661" s="123"/>
      <c r="K661" s="123"/>
      <c r="L661" s="246"/>
      <c r="M661" s="123"/>
      <c r="N661" s="123"/>
      <c r="O661" s="123"/>
      <c r="P661" s="123"/>
      <c r="Q661" t="str">
        <f t="shared" si="10"/>
        <v/>
      </c>
    </row>
    <row r="662" spans="3:17" hidden="1">
      <c r="C662" s="123"/>
      <c r="D662" s="123"/>
      <c r="E662" s="124"/>
      <c r="F662" s="124"/>
      <c r="G662" s="130"/>
      <c r="H662" s="124"/>
      <c r="I662" s="243"/>
      <c r="J662" s="123"/>
      <c r="K662" s="123"/>
      <c r="L662" s="246"/>
      <c r="M662" s="123"/>
      <c r="N662" s="123"/>
      <c r="O662" s="123"/>
      <c r="P662" s="123"/>
      <c r="Q662" t="str">
        <f t="shared" si="10"/>
        <v/>
      </c>
    </row>
    <row r="663" spans="3:17" hidden="1">
      <c r="C663" s="123"/>
      <c r="D663" s="123"/>
      <c r="E663" s="124"/>
      <c r="F663" s="124"/>
      <c r="G663" s="130"/>
      <c r="H663" s="124"/>
      <c r="I663" s="243"/>
      <c r="J663" s="123"/>
      <c r="K663" s="123"/>
      <c r="L663" s="246"/>
      <c r="M663" s="123"/>
      <c r="N663" s="123"/>
      <c r="O663" s="123"/>
      <c r="P663" s="123"/>
      <c r="Q663" t="str">
        <f t="shared" si="10"/>
        <v/>
      </c>
    </row>
    <row r="664" spans="3:17" hidden="1">
      <c r="C664" s="123"/>
      <c r="D664" s="123"/>
      <c r="E664" s="124"/>
      <c r="F664" s="124"/>
      <c r="G664" s="130"/>
      <c r="H664" s="124"/>
      <c r="I664" s="243"/>
      <c r="J664" s="123"/>
      <c r="K664" s="123"/>
      <c r="L664" s="246"/>
      <c r="M664" s="123"/>
      <c r="N664" s="123"/>
      <c r="O664" s="123"/>
      <c r="P664" s="123"/>
      <c r="Q664" t="str">
        <f t="shared" si="10"/>
        <v/>
      </c>
    </row>
    <row r="665" spans="3:17" hidden="1">
      <c r="C665" s="123"/>
      <c r="D665" s="123"/>
      <c r="E665" s="124"/>
      <c r="F665" s="124"/>
      <c r="G665" s="130"/>
      <c r="H665" s="124"/>
      <c r="I665" s="243"/>
      <c r="J665" s="123"/>
      <c r="K665" s="123"/>
      <c r="L665" s="246"/>
      <c r="M665" s="123"/>
      <c r="N665" s="123"/>
      <c r="O665" s="123"/>
      <c r="P665" s="123"/>
      <c r="Q665" t="str">
        <f t="shared" si="10"/>
        <v/>
      </c>
    </row>
    <row r="666" spans="3:17" hidden="1">
      <c r="C666" s="123"/>
      <c r="D666" s="123"/>
      <c r="E666" s="124"/>
      <c r="F666" s="124"/>
      <c r="G666" s="130"/>
      <c r="H666" s="124"/>
      <c r="I666" s="243"/>
      <c r="J666" s="123"/>
      <c r="K666" s="123"/>
      <c r="L666" s="246"/>
      <c r="M666" s="123"/>
      <c r="N666" s="123"/>
      <c r="O666" s="123"/>
      <c r="P666" s="123"/>
      <c r="Q666" t="str">
        <f t="shared" si="10"/>
        <v/>
      </c>
    </row>
    <row r="667" spans="3:17" hidden="1">
      <c r="C667" s="123"/>
      <c r="D667" s="123"/>
      <c r="E667" s="124"/>
      <c r="F667" s="124"/>
      <c r="G667" s="130"/>
      <c r="H667" s="124"/>
      <c r="I667" s="243"/>
      <c r="J667" s="123"/>
      <c r="K667" s="123"/>
      <c r="L667" s="246"/>
      <c r="M667" s="123"/>
      <c r="N667" s="123"/>
      <c r="O667" s="123"/>
      <c r="P667" s="123"/>
      <c r="Q667" t="str">
        <f t="shared" si="10"/>
        <v/>
      </c>
    </row>
    <row r="668" spans="3:17" hidden="1">
      <c r="C668" s="123"/>
      <c r="D668" s="123"/>
      <c r="E668" s="124"/>
      <c r="F668" s="124"/>
      <c r="G668" s="130"/>
      <c r="H668" s="124"/>
      <c r="I668" s="243"/>
      <c r="J668" s="123"/>
      <c r="K668" s="123"/>
      <c r="L668" s="246"/>
      <c r="M668" s="123"/>
      <c r="N668" s="123"/>
      <c r="O668" s="123"/>
      <c r="P668" s="123"/>
      <c r="Q668" t="str">
        <f t="shared" si="10"/>
        <v/>
      </c>
    </row>
    <row r="669" spans="3:17" hidden="1">
      <c r="C669" s="123"/>
      <c r="D669" s="123"/>
      <c r="E669" s="124"/>
      <c r="F669" s="124"/>
      <c r="G669" s="130"/>
      <c r="H669" s="124"/>
      <c r="I669" s="243"/>
      <c r="J669" s="123"/>
      <c r="K669" s="123"/>
      <c r="L669" s="246"/>
      <c r="M669" s="123"/>
      <c r="N669" s="123"/>
      <c r="O669" s="123"/>
      <c r="P669" s="123"/>
      <c r="Q669" t="str">
        <f t="shared" si="10"/>
        <v/>
      </c>
    </row>
    <row r="670" spans="3:17" hidden="1">
      <c r="C670" s="123"/>
      <c r="D670" s="123"/>
      <c r="E670" s="124"/>
      <c r="F670" s="124"/>
      <c r="G670" s="130"/>
      <c r="H670" s="124"/>
      <c r="I670" s="243"/>
      <c r="J670" s="123"/>
      <c r="K670" s="123"/>
      <c r="L670" s="246"/>
      <c r="M670" s="123"/>
      <c r="N670" s="123"/>
      <c r="O670" s="123"/>
      <c r="P670" s="123"/>
      <c r="Q670" t="str">
        <f t="shared" si="10"/>
        <v/>
      </c>
    </row>
    <row r="671" spans="3:17" hidden="1">
      <c r="C671" s="123"/>
      <c r="D671" s="123"/>
      <c r="E671" s="124"/>
      <c r="F671" s="124"/>
      <c r="G671" s="130"/>
      <c r="H671" s="124"/>
      <c r="I671" s="243"/>
      <c r="J671" s="123"/>
      <c r="K671" s="123"/>
      <c r="L671" s="246"/>
      <c r="M671" s="123"/>
      <c r="N671" s="123"/>
      <c r="O671" s="123"/>
      <c r="P671" s="123"/>
      <c r="Q671" t="str">
        <f t="shared" si="10"/>
        <v/>
      </c>
    </row>
    <row r="672" spans="3:17" hidden="1">
      <c r="C672" s="123"/>
      <c r="D672" s="123"/>
      <c r="E672" s="124"/>
      <c r="F672" s="124"/>
      <c r="G672" s="130"/>
      <c r="H672" s="124"/>
      <c r="I672" s="243"/>
      <c r="J672" s="123"/>
      <c r="K672" s="123"/>
      <c r="L672" s="246"/>
      <c r="M672" s="123"/>
      <c r="N672" s="123"/>
      <c r="O672" s="123"/>
      <c r="P672" s="123"/>
      <c r="Q672" t="str">
        <f t="shared" si="10"/>
        <v/>
      </c>
    </row>
    <row r="673" spans="3:17" hidden="1">
      <c r="C673" s="123"/>
      <c r="D673" s="123"/>
      <c r="E673" s="124"/>
      <c r="F673" s="124"/>
      <c r="G673" s="130"/>
      <c r="H673" s="124"/>
      <c r="I673" s="243"/>
      <c r="J673" s="123"/>
      <c r="K673" s="123"/>
      <c r="L673" s="246"/>
      <c r="M673" s="123"/>
      <c r="N673" s="123"/>
      <c r="O673" s="123"/>
      <c r="P673" s="123"/>
      <c r="Q673" t="str">
        <f t="shared" si="10"/>
        <v/>
      </c>
    </row>
    <row r="674" spans="3:17" hidden="1">
      <c r="C674" s="123"/>
      <c r="D674" s="123"/>
      <c r="E674" s="124"/>
      <c r="F674" s="124"/>
      <c r="G674" s="130"/>
      <c r="H674" s="124"/>
      <c r="I674" s="243"/>
      <c r="J674" s="123"/>
      <c r="K674" s="123"/>
      <c r="L674" s="246"/>
      <c r="M674" s="123"/>
      <c r="N674" s="123"/>
      <c r="O674" s="123"/>
      <c r="P674" s="123"/>
      <c r="Q674" t="str">
        <f t="shared" si="10"/>
        <v/>
      </c>
    </row>
    <row r="675" spans="3:17" hidden="1">
      <c r="C675" s="123"/>
      <c r="D675" s="123"/>
      <c r="E675" s="124"/>
      <c r="F675" s="124"/>
      <c r="G675" s="130"/>
      <c r="H675" s="124"/>
      <c r="I675" s="243"/>
      <c r="J675" s="123"/>
      <c r="K675" s="123"/>
      <c r="L675" s="246"/>
      <c r="M675" s="123"/>
      <c r="N675" s="123"/>
      <c r="O675" s="123"/>
      <c r="P675" s="123"/>
      <c r="Q675" t="str">
        <f t="shared" si="10"/>
        <v/>
      </c>
    </row>
    <row r="676" spans="3:17" hidden="1">
      <c r="C676" s="123"/>
      <c r="D676" s="123"/>
      <c r="E676" s="124"/>
      <c r="F676" s="124"/>
      <c r="G676" s="130"/>
      <c r="H676" s="124"/>
      <c r="I676" s="243"/>
      <c r="J676" s="123"/>
      <c r="K676" s="123"/>
      <c r="L676" s="246"/>
      <c r="M676" s="123"/>
      <c r="N676" s="123"/>
      <c r="O676" s="123"/>
      <c r="P676" s="123"/>
      <c r="Q676" t="str">
        <f t="shared" si="10"/>
        <v/>
      </c>
    </row>
    <row r="677" spans="3:17" hidden="1">
      <c r="C677" s="123"/>
      <c r="D677" s="123"/>
      <c r="E677" s="124"/>
      <c r="F677" s="124"/>
      <c r="G677" s="130"/>
      <c r="H677" s="124"/>
      <c r="I677" s="243"/>
      <c r="J677" s="123"/>
      <c r="K677" s="123"/>
      <c r="L677" s="246"/>
      <c r="M677" s="123"/>
      <c r="N677" s="123"/>
      <c r="O677" s="123"/>
      <c r="P677" s="123"/>
      <c r="Q677" t="str">
        <f t="shared" si="10"/>
        <v/>
      </c>
    </row>
    <row r="678" spans="3:17" hidden="1">
      <c r="C678" s="123"/>
      <c r="D678" s="123"/>
      <c r="E678" s="124"/>
      <c r="F678" s="124"/>
      <c r="G678" s="130"/>
      <c r="H678" s="124"/>
      <c r="I678" s="243"/>
      <c r="J678" s="123"/>
      <c r="K678" s="123"/>
      <c r="L678" s="246"/>
      <c r="M678" s="123"/>
      <c r="N678" s="123"/>
      <c r="O678" s="123"/>
      <c r="P678" s="123"/>
      <c r="Q678" t="str">
        <f t="shared" si="10"/>
        <v/>
      </c>
    </row>
    <row r="679" spans="3:17" hidden="1">
      <c r="C679" s="123"/>
      <c r="D679" s="123"/>
      <c r="E679" s="124"/>
      <c r="F679" s="124"/>
      <c r="G679" s="130"/>
      <c r="H679" s="124"/>
      <c r="I679" s="243"/>
      <c r="J679" s="123"/>
      <c r="K679" s="123"/>
      <c r="L679" s="246"/>
      <c r="M679" s="123"/>
      <c r="N679" s="123"/>
      <c r="O679" s="123"/>
      <c r="P679" s="123"/>
      <c r="Q679" t="str">
        <f t="shared" si="10"/>
        <v/>
      </c>
    </row>
    <row r="680" spans="3:17" hidden="1">
      <c r="C680" s="123"/>
      <c r="D680" s="123"/>
      <c r="E680" s="124"/>
      <c r="F680" s="124"/>
      <c r="G680" s="130"/>
      <c r="H680" s="124"/>
      <c r="I680" s="243"/>
      <c r="J680" s="123"/>
      <c r="K680" s="123"/>
      <c r="L680" s="246"/>
      <c r="M680" s="123"/>
      <c r="N680" s="123"/>
      <c r="O680" s="123"/>
      <c r="P680" s="123"/>
      <c r="Q680" t="str">
        <f t="shared" si="10"/>
        <v/>
      </c>
    </row>
    <row r="681" spans="3:17" hidden="1">
      <c r="C681" s="123"/>
      <c r="D681" s="123"/>
      <c r="E681" s="124"/>
      <c r="F681" s="124"/>
      <c r="G681" s="130"/>
      <c r="H681" s="124"/>
      <c r="I681" s="243"/>
      <c r="J681" s="123"/>
      <c r="K681" s="123"/>
      <c r="L681" s="246"/>
      <c r="M681" s="123"/>
      <c r="N681" s="123"/>
      <c r="O681" s="123"/>
      <c r="P681" s="123"/>
      <c r="Q681" t="str">
        <f t="shared" si="10"/>
        <v/>
      </c>
    </row>
    <row r="682" spans="3:17" hidden="1">
      <c r="C682" s="123"/>
      <c r="D682" s="123"/>
      <c r="E682" s="124"/>
      <c r="F682" s="124"/>
      <c r="G682" s="130"/>
      <c r="H682" s="124"/>
      <c r="I682" s="243"/>
      <c r="J682" s="123"/>
      <c r="K682" s="123"/>
      <c r="L682" s="246"/>
      <c r="M682" s="123"/>
      <c r="N682" s="123"/>
      <c r="O682" s="123"/>
      <c r="P682" s="123"/>
      <c r="Q682" t="str">
        <f t="shared" si="10"/>
        <v/>
      </c>
    </row>
    <row r="683" spans="3:17" hidden="1">
      <c r="C683" s="123"/>
      <c r="D683" s="123"/>
      <c r="E683" s="124"/>
      <c r="F683" s="124"/>
      <c r="G683" s="130"/>
      <c r="H683" s="124"/>
      <c r="I683" s="243"/>
      <c r="J683" s="123"/>
      <c r="K683" s="123"/>
      <c r="L683" s="246"/>
      <c r="M683" s="123"/>
      <c r="N683" s="123"/>
      <c r="O683" s="123"/>
      <c r="P683" s="123"/>
      <c r="Q683" t="str">
        <f t="shared" si="10"/>
        <v/>
      </c>
    </row>
    <row r="684" spans="3:17" hidden="1">
      <c r="C684" s="123"/>
      <c r="D684" s="123"/>
      <c r="E684" s="124"/>
      <c r="F684" s="124"/>
      <c r="G684" s="130"/>
      <c r="H684" s="124"/>
      <c r="I684" s="243"/>
      <c r="J684" s="123"/>
      <c r="K684" s="123"/>
      <c r="L684" s="246"/>
      <c r="M684" s="123"/>
      <c r="N684" s="123"/>
      <c r="O684" s="123"/>
      <c r="P684" s="123"/>
      <c r="Q684" t="str">
        <f t="shared" si="10"/>
        <v/>
      </c>
    </row>
    <row r="685" spans="3:17" hidden="1">
      <c r="C685" s="123"/>
      <c r="D685" s="123"/>
      <c r="E685" s="124"/>
      <c r="F685" s="124"/>
      <c r="G685" s="130"/>
      <c r="H685" s="124"/>
      <c r="I685" s="243"/>
      <c r="J685" s="123"/>
      <c r="K685" s="123"/>
      <c r="L685" s="246"/>
      <c r="M685" s="123"/>
      <c r="N685" s="123"/>
      <c r="O685" s="123"/>
      <c r="P685" s="123"/>
      <c r="Q685" t="str">
        <f t="shared" si="10"/>
        <v/>
      </c>
    </row>
    <row r="686" spans="3:17" hidden="1">
      <c r="C686" s="123"/>
      <c r="D686" s="123"/>
      <c r="E686" s="124"/>
      <c r="F686" s="124"/>
      <c r="G686" s="130"/>
      <c r="H686" s="124"/>
      <c r="I686" s="243"/>
      <c r="J686" s="123"/>
      <c r="K686" s="123"/>
      <c r="L686" s="246"/>
      <c r="M686" s="123"/>
      <c r="N686" s="123"/>
      <c r="O686" s="123"/>
      <c r="P686" s="123"/>
      <c r="Q686" t="str">
        <f t="shared" si="10"/>
        <v/>
      </c>
    </row>
    <row r="687" spans="3:17" hidden="1">
      <c r="C687" s="123"/>
      <c r="D687" s="123"/>
      <c r="E687" s="124"/>
      <c r="F687" s="124"/>
      <c r="G687" s="130"/>
      <c r="H687" s="124"/>
      <c r="I687" s="243"/>
      <c r="J687" s="123"/>
      <c r="K687" s="123"/>
      <c r="L687" s="246"/>
      <c r="M687" s="123"/>
      <c r="N687" s="123"/>
      <c r="O687" s="123"/>
      <c r="P687" s="123"/>
      <c r="Q687" t="str">
        <f t="shared" si="10"/>
        <v/>
      </c>
    </row>
    <row r="688" spans="3:17" hidden="1">
      <c r="C688" s="123"/>
      <c r="D688" s="123"/>
      <c r="E688" s="124"/>
      <c r="F688" s="124"/>
      <c r="G688" s="130"/>
      <c r="H688" s="124"/>
      <c r="I688" s="243"/>
      <c r="J688" s="123"/>
      <c r="K688" s="123"/>
      <c r="L688" s="246"/>
      <c r="M688" s="123"/>
      <c r="N688" s="123"/>
      <c r="O688" s="123"/>
      <c r="P688" s="123"/>
      <c r="Q688" t="str">
        <f t="shared" si="10"/>
        <v/>
      </c>
    </row>
    <row r="689" spans="3:17" hidden="1">
      <c r="C689" s="123"/>
      <c r="D689" s="123"/>
      <c r="E689" s="124"/>
      <c r="F689" s="124"/>
      <c r="G689" s="130"/>
      <c r="H689" s="124"/>
      <c r="I689" s="243"/>
      <c r="J689" s="123"/>
      <c r="K689" s="123"/>
      <c r="L689" s="246"/>
      <c r="M689" s="123"/>
      <c r="N689" s="123"/>
      <c r="O689" s="123"/>
      <c r="P689" s="123"/>
      <c r="Q689" t="str">
        <f t="shared" si="10"/>
        <v/>
      </c>
    </row>
    <row r="690" spans="3:17" hidden="1">
      <c r="C690" s="123"/>
      <c r="D690" s="123"/>
      <c r="E690" s="124"/>
      <c r="F690" s="124"/>
      <c r="G690" s="130"/>
      <c r="H690" s="124"/>
      <c r="I690" s="243"/>
      <c r="J690" s="123"/>
      <c r="K690" s="123"/>
      <c r="L690" s="246"/>
      <c r="M690" s="123"/>
      <c r="N690" s="123"/>
      <c r="O690" s="123"/>
      <c r="P690" s="123"/>
      <c r="Q690" t="str">
        <f t="shared" si="10"/>
        <v/>
      </c>
    </row>
    <row r="691" spans="3:17" hidden="1">
      <c r="C691" s="123"/>
      <c r="D691" s="123"/>
      <c r="E691" s="124"/>
      <c r="F691" s="124"/>
      <c r="G691" s="130"/>
      <c r="H691" s="124"/>
      <c r="I691" s="243"/>
      <c r="J691" s="123"/>
      <c r="K691" s="123"/>
      <c r="L691" s="246"/>
      <c r="M691" s="123"/>
      <c r="N691" s="123"/>
      <c r="O691" s="123"/>
      <c r="P691" s="123"/>
      <c r="Q691" t="str">
        <f t="shared" si="10"/>
        <v/>
      </c>
    </row>
    <row r="692" spans="3:17" hidden="1">
      <c r="C692" s="123"/>
      <c r="D692" s="123"/>
      <c r="E692" s="124"/>
      <c r="F692" s="124"/>
      <c r="G692" s="130"/>
      <c r="H692" s="124"/>
      <c r="I692" s="243"/>
      <c r="J692" s="123"/>
      <c r="K692" s="123"/>
      <c r="L692" s="246"/>
      <c r="M692" s="123"/>
      <c r="N692" s="123"/>
      <c r="O692" s="123"/>
      <c r="P692" s="123"/>
      <c r="Q692" t="str">
        <f t="shared" si="10"/>
        <v/>
      </c>
    </row>
    <row r="693" spans="3:17" hidden="1">
      <c r="C693" s="123"/>
      <c r="D693" s="123"/>
      <c r="E693" s="124"/>
      <c r="F693" s="124"/>
      <c r="G693" s="130"/>
      <c r="H693" s="124"/>
      <c r="I693" s="243"/>
      <c r="J693" s="123"/>
      <c r="K693" s="123"/>
      <c r="L693" s="246"/>
      <c r="M693" s="123"/>
      <c r="N693" s="123"/>
      <c r="O693" s="123"/>
      <c r="P693" s="123"/>
      <c r="Q693" t="str">
        <f t="shared" si="10"/>
        <v/>
      </c>
    </row>
    <row r="694" spans="3:17" hidden="1">
      <c r="C694" s="123"/>
      <c r="D694" s="123"/>
      <c r="E694" s="124"/>
      <c r="F694" s="124"/>
      <c r="G694" s="130"/>
      <c r="H694" s="124"/>
      <c r="I694" s="243"/>
      <c r="J694" s="123"/>
      <c r="K694" s="123"/>
      <c r="L694" s="246"/>
      <c r="M694" s="123"/>
      <c r="N694" s="123"/>
      <c r="O694" s="123"/>
      <c r="P694" s="123"/>
      <c r="Q694" t="str">
        <f t="shared" si="10"/>
        <v/>
      </c>
    </row>
    <row r="695" spans="3:17" hidden="1">
      <c r="C695" s="123"/>
      <c r="D695" s="123"/>
      <c r="E695" s="124"/>
      <c r="F695" s="124"/>
      <c r="G695" s="130"/>
      <c r="H695" s="124"/>
      <c r="I695" s="243"/>
      <c r="J695" s="123"/>
      <c r="K695" s="123"/>
      <c r="L695" s="246"/>
      <c r="M695" s="123"/>
      <c r="N695" s="123"/>
      <c r="O695" s="123"/>
      <c r="P695" s="123"/>
      <c r="Q695" t="str">
        <f t="shared" si="10"/>
        <v/>
      </c>
    </row>
    <row r="696" spans="3:17" hidden="1">
      <c r="C696" s="123"/>
      <c r="D696" s="123"/>
      <c r="E696" s="124"/>
      <c r="F696" s="124"/>
      <c r="G696" s="130"/>
      <c r="H696" s="124"/>
      <c r="I696" s="243"/>
      <c r="J696" s="123"/>
      <c r="K696" s="123"/>
      <c r="L696" s="246"/>
      <c r="M696" s="123"/>
      <c r="N696" s="123"/>
      <c r="O696" s="123"/>
      <c r="P696" s="123"/>
      <c r="Q696" t="str">
        <f t="shared" si="10"/>
        <v/>
      </c>
    </row>
    <row r="697" spans="3:17" hidden="1">
      <c r="C697" s="123"/>
      <c r="D697" s="123"/>
      <c r="E697" s="124"/>
      <c r="F697" s="124"/>
      <c r="G697" s="130"/>
      <c r="H697" s="124"/>
      <c r="I697" s="243"/>
      <c r="J697" s="123"/>
      <c r="K697" s="123"/>
      <c r="L697" s="246"/>
      <c r="M697" s="123"/>
      <c r="N697" s="123"/>
      <c r="O697" s="123"/>
      <c r="P697" s="123"/>
      <c r="Q697" t="str">
        <f t="shared" si="10"/>
        <v/>
      </c>
    </row>
    <row r="698" spans="3:17" hidden="1">
      <c r="C698" s="123"/>
      <c r="D698" s="123"/>
      <c r="E698" s="124"/>
      <c r="F698" s="124"/>
      <c r="G698" s="130"/>
      <c r="H698" s="124"/>
      <c r="I698" s="243"/>
      <c r="J698" s="123"/>
      <c r="K698" s="123"/>
      <c r="L698" s="246"/>
      <c r="M698" s="123"/>
      <c r="N698" s="123"/>
      <c r="O698" s="123"/>
      <c r="P698" s="123"/>
      <c r="Q698" t="str">
        <f t="shared" si="10"/>
        <v/>
      </c>
    </row>
    <row r="699" spans="3:17" hidden="1">
      <c r="C699" s="123"/>
      <c r="D699" s="123"/>
      <c r="E699" s="124"/>
      <c r="F699" s="124"/>
      <c r="G699" s="130"/>
      <c r="H699" s="124"/>
      <c r="I699" s="243"/>
      <c r="J699" s="123"/>
      <c r="K699" s="123"/>
      <c r="L699" s="246"/>
      <c r="M699" s="123"/>
      <c r="N699" s="123"/>
      <c r="O699" s="123"/>
      <c r="P699" s="123"/>
      <c r="Q699" t="str">
        <f t="shared" si="10"/>
        <v/>
      </c>
    </row>
    <row r="700" spans="3:17" hidden="1">
      <c r="C700" s="123"/>
      <c r="D700" s="123"/>
      <c r="E700" s="124"/>
      <c r="F700" s="124"/>
      <c r="G700" s="130"/>
      <c r="H700" s="124"/>
      <c r="I700" s="243"/>
      <c r="J700" s="123"/>
      <c r="K700" s="123"/>
      <c r="L700" s="246"/>
      <c r="M700" s="123"/>
      <c r="N700" s="123"/>
      <c r="O700" s="123"/>
      <c r="P700" s="123"/>
      <c r="Q700" t="str">
        <f t="shared" si="10"/>
        <v/>
      </c>
    </row>
    <row r="701" spans="3:17" hidden="1">
      <c r="C701" s="123"/>
      <c r="D701" s="123"/>
      <c r="E701" s="124"/>
      <c r="F701" s="124"/>
      <c r="G701" s="130"/>
      <c r="H701" s="124"/>
      <c r="I701" s="243"/>
      <c r="J701" s="123"/>
      <c r="K701" s="123"/>
      <c r="L701" s="246"/>
      <c r="M701" s="123"/>
      <c r="N701" s="123"/>
      <c r="O701" s="123"/>
      <c r="P701" s="123"/>
      <c r="Q701" t="str">
        <f t="shared" si="10"/>
        <v/>
      </c>
    </row>
    <row r="702" spans="3:17" hidden="1">
      <c r="C702" s="123"/>
      <c r="D702" s="123"/>
      <c r="E702" s="124"/>
      <c r="F702" s="124"/>
      <c r="G702" s="130"/>
      <c r="H702" s="124"/>
      <c r="I702" s="243"/>
      <c r="J702" s="123"/>
      <c r="K702" s="123"/>
      <c r="L702" s="246"/>
      <c r="M702" s="123"/>
      <c r="N702" s="123"/>
      <c r="O702" s="123"/>
      <c r="P702" s="123"/>
      <c r="Q702" t="str">
        <f t="shared" si="10"/>
        <v/>
      </c>
    </row>
    <row r="703" spans="3:17" hidden="1">
      <c r="C703" s="123"/>
      <c r="D703" s="123"/>
      <c r="E703" s="124"/>
      <c r="F703" s="124"/>
      <c r="G703" s="130"/>
      <c r="H703" s="124"/>
      <c r="I703" s="243"/>
      <c r="J703" s="123"/>
      <c r="K703" s="123"/>
      <c r="L703" s="246"/>
      <c r="M703" s="123"/>
      <c r="N703" s="123"/>
      <c r="O703" s="123"/>
      <c r="P703" s="123"/>
      <c r="Q703" t="str">
        <f t="shared" si="10"/>
        <v/>
      </c>
    </row>
    <row r="704" spans="3:17" hidden="1">
      <c r="C704" s="123"/>
      <c r="D704" s="123"/>
      <c r="E704" s="124"/>
      <c r="F704" s="124"/>
      <c r="G704" s="130"/>
      <c r="H704" s="124"/>
      <c r="I704" s="243"/>
      <c r="J704" s="123"/>
      <c r="K704" s="123"/>
      <c r="L704" s="246"/>
      <c r="M704" s="123"/>
      <c r="N704" s="123"/>
      <c r="O704" s="123"/>
      <c r="P704" s="123"/>
      <c r="Q704" t="str">
        <f t="shared" si="10"/>
        <v/>
      </c>
    </row>
    <row r="705" spans="3:17" hidden="1">
      <c r="C705" s="123"/>
      <c r="D705" s="123"/>
      <c r="E705" s="124"/>
      <c r="F705" s="124"/>
      <c r="G705" s="130"/>
      <c r="H705" s="124"/>
      <c r="I705" s="243"/>
      <c r="J705" s="123"/>
      <c r="K705" s="123"/>
      <c r="L705" s="246"/>
      <c r="M705" s="123"/>
      <c r="N705" s="123"/>
      <c r="O705" s="123"/>
      <c r="P705" s="123"/>
      <c r="Q705" t="str">
        <f t="shared" si="10"/>
        <v/>
      </c>
    </row>
    <row r="706" spans="3:17" hidden="1">
      <c r="C706" s="123"/>
      <c r="D706" s="123"/>
      <c r="E706" s="124"/>
      <c r="F706" s="124"/>
      <c r="G706" s="130"/>
      <c r="H706" s="124"/>
      <c r="I706" s="243"/>
      <c r="J706" s="123"/>
      <c r="K706" s="123"/>
      <c r="L706" s="246"/>
      <c r="M706" s="123"/>
      <c r="N706" s="123"/>
      <c r="O706" s="123"/>
      <c r="P706" s="123"/>
      <c r="Q706" t="str">
        <f t="shared" si="10"/>
        <v/>
      </c>
    </row>
    <row r="707" spans="3:17" hidden="1">
      <c r="C707" s="123"/>
      <c r="D707" s="123"/>
      <c r="E707" s="124"/>
      <c r="F707" s="124"/>
      <c r="G707" s="130"/>
      <c r="H707" s="124"/>
      <c r="I707" s="243"/>
      <c r="J707" s="123"/>
      <c r="K707" s="123"/>
      <c r="L707" s="246"/>
      <c r="M707" s="123"/>
      <c r="N707" s="123"/>
      <c r="O707" s="123"/>
      <c r="P707" s="123"/>
      <c r="Q707" t="str">
        <f t="shared" si="10"/>
        <v/>
      </c>
    </row>
    <row r="708" spans="3:17" hidden="1">
      <c r="C708" s="123"/>
      <c r="D708" s="123"/>
      <c r="E708" s="124"/>
      <c r="F708" s="124"/>
      <c r="G708" s="130"/>
      <c r="H708" s="124"/>
      <c r="I708" s="243"/>
      <c r="J708" s="123"/>
      <c r="K708" s="123"/>
      <c r="L708" s="246"/>
      <c r="M708" s="123"/>
      <c r="N708" s="123"/>
      <c r="O708" s="123"/>
      <c r="P708" s="123"/>
      <c r="Q708" t="str">
        <f t="shared" si="10"/>
        <v/>
      </c>
    </row>
    <row r="709" spans="3:17" hidden="1">
      <c r="C709" s="123"/>
      <c r="D709" s="123"/>
      <c r="E709" s="124"/>
      <c r="F709" s="124"/>
      <c r="G709" s="130"/>
      <c r="H709" s="124"/>
      <c r="I709" s="243"/>
      <c r="J709" s="123"/>
      <c r="K709" s="123"/>
      <c r="L709" s="246"/>
      <c r="M709" s="123"/>
      <c r="N709" s="123"/>
      <c r="O709" s="123"/>
      <c r="P709" s="123"/>
      <c r="Q709" t="str">
        <f t="shared" si="10"/>
        <v/>
      </c>
    </row>
    <row r="710" spans="3:17" hidden="1">
      <c r="C710" s="123"/>
      <c r="D710" s="123"/>
      <c r="E710" s="124"/>
      <c r="F710" s="124"/>
      <c r="G710" s="130"/>
      <c r="H710" s="124"/>
      <c r="I710" s="243"/>
      <c r="J710" s="123"/>
      <c r="K710" s="123"/>
      <c r="L710" s="246"/>
      <c r="M710" s="123"/>
      <c r="N710" s="123"/>
      <c r="O710" s="123"/>
      <c r="P710" s="123"/>
      <c r="Q710" t="str">
        <f t="shared" si="10"/>
        <v/>
      </c>
    </row>
    <row r="711" spans="3:17" hidden="1">
      <c r="C711" s="123"/>
      <c r="D711" s="123"/>
      <c r="E711" s="124"/>
      <c r="F711" s="124"/>
      <c r="G711" s="130"/>
      <c r="H711" s="124"/>
      <c r="I711" s="243"/>
      <c r="J711" s="123"/>
      <c r="K711" s="123"/>
      <c r="L711" s="246"/>
      <c r="M711" s="123"/>
      <c r="N711" s="123"/>
      <c r="O711" s="123"/>
      <c r="P711" s="123"/>
      <c r="Q711" t="str">
        <f t="shared" ref="Q711:Q774" si="11">IF(D711="","","x")</f>
        <v/>
      </c>
    </row>
    <row r="712" spans="3:17" hidden="1">
      <c r="C712" s="123"/>
      <c r="D712" s="123"/>
      <c r="E712" s="124"/>
      <c r="F712" s="124"/>
      <c r="G712" s="130"/>
      <c r="H712" s="124"/>
      <c r="I712" s="243"/>
      <c r="J712" s="123"/>
      <c r="K712" s="123"/>
      <c r="L712" s="246"/>
      <c r="M712" s="123"/>
      <c r="N712" s="123"/>
      <c r="O712" s="123"/>
      <c r="P712" s="123"/>
      <c r="Q712" t="str">
        <f t="shared" si="11"/>
        <v/>
      </c>
    </row>
    <row r="713" spans="3:17" hidden="1">
      <c r="C713" s="123"/>
      <c r="D713" s="123"/>
      <c r="E713" s="124"/>
      <c r="F713" s="124"/>
      <c r="G713" s="130"/>
      <c r="H713" s="124"/>
      <c r="I713" s="243"/>
      <c r="J713" s="123"/>
      <c r="K713" s="123"/>
      <c r="L713" s="246"/>
      <c r="M713" s="123"/>
      <c r="N713" s="123"/>
      <c r="O713" s="123"/>
      <c r="P713" s="123"/>
      <c r="Q713" t="str">
        <f t="shared" si="11"/>
        <v/>
      </c>
    </row>
    <row r="714" spans="3:17" hidden="1">
      <c r="C714" s="123"/>
      <c r="D714" s="123"/>
      <c r="E714" s="124"/>
      <c r="F714" s="124"/>
      <c r="G714" s="130"/>
      <c r="H714" s="124"/>
      <c r="I714" s="243"/>
      <c r="J714" s="123"/>
      <c r="K714" s="123"/>
      <c r="L714" s="246"/>
      <c r="M714" s="123"/>
      <c r="N714" s="123"/>
      <c r="O714" s="123"/>
      <c r="P714" s="123"/>
      <c r="Q714" t="str">
        <f t="shared" si="11"/>
        <v/>
      </c>
    </row>
    <row r="715" spans="3:17" hidden="1">
      <c r="C715" s="123"/>
      <c r="D715" s="123"/>
      <c r="E715" s="124"/>
      <c r="F715" s="124"/>
      <c r="G715" s="130"/>
      <c r="H715" s="124"/>
      <c r="I715" s="243"/>
      <c r="J715" s="123"/>
      <c r="K715" s="123"/>
      <c r="L715" s="246"/>
      <c r="M715" s="123"/>
      <c r="N715" s="123"/>
      <c r="O715" s="123"/>
      <c r="P715" s="123"/>
      <c r="Q715" t="str">
        <f t="shared" si="11"/>
        <v/>
      </c>
    </row>
    <row r="716" spans="3:17" hidden="1">
      <c r="C716" s="123"/>
      <c r="D716" s="123"/>
      <c r="E716" s="124"/>
      <c r="F716" s="124"/>
      <c r="G716" s="130"/>
      <c r="H716" s="124"/>
      <c r="I716" s="243"/>
      <c r="J716" s="123"/>
      <c r="K716" s="123"/>
      <c r="L716" s="246"/>
      <c r="M716" s="123"/>
      <c r="N716" s="123"/>
      <c r="O716" s="123"/>
      <c r="P716" s="123"/>
      <c r="Q716" t="str">
        <f t="shared" si="11"/>
        <v/>
      </c>
    </row>
    <row r="717" spans="3:17" hidden="1">
      <c r="C717" s="123"/>
      <c r="D717" s="123"/>
      <c r="E717" s="124"/>
      <c r="F717" s="124"/>
      <c r="G717" s="130"/>
      <c r="H717" s="124"/>
      <c r="I717" s="243"/>
      <c r="J717" s="123"/>
      <c r="K717" s="123"/>
      <c r="L717" s="246"/>
      <c r="M717" s="123"/>
      <c r="N717" s="123"/>
      <c r="O717" s="123"/>
      <c r="P717" s="123"/>
      <c r="Q717" t="str">
        <f t="shared" si="11"/>
        <v/>
      </c>
    </row>
    <row r="718" spans="3:17" hidden="1">
      <c r="C718" s="123"/>
      <c r="D718" s="123"/>
      <c r="E718" s="124"/>
      <c r="F718" s="124"/>
      <c r="G718" s="130"/>
      <c r="H718" s="124"/>
      <c r="I718" s="243"/>
      <c r="J718" s="123"/>
      <c r="K718" s="123"/>
      <c r="L718" s="246"/>
      <c r="M718" s="123"/>
      <c r="N718" s="123"/>
      <c r="O718" s="123"/>
      <c r="P718" s="123"/>
      <c r="Q718" t="str">
        <f t="shared" si="11"/>
        <v/>
      </c>
    </row>
    <row r="719" spans="3:17" hidden="1">
      <c r="C719" s="123"/>
      <c r="D719" s="123"/>
      <c r="E719" s="124"/>
      <c r="F719" s="124"/>
      <c r="G719" s="130"/>
      <c r="H719" s="124"/>
      <c r="I719" s="243"/>
      <c r="J719" s="123"/>
      <c r="K719" s="123"/>
      <c r="L719" s="246"/>
      <c r="M719" s="123"/>
      <c r="N719" s="123"/>
      <c r="O719" s="123"/>
      <c r="P719" s="123"/>
      <c r="Q719" t="str">
        <f t="shared" si="11"/>
        <v/>
      </c>
    </row>
    <row r="720" spans="3:17" hidden="1">
      <c r="C720" s="123"/>
      <c r="D720" s="123"/>
      <c r="E720" s="124"/>
      <c r="F720" s="124"/>
      <c r="G720" s="130"/>
      <c r="H720" s="124"/>
      <c r="I720" s="243"/>
      <c r="J720" s="123"/>
      <c r="K720" s="123"/>
      <c r="L720" s="246"/>
      <c r="M720" s="123"/>
      <c r="N720" s="123"/>
      <c r="O720" s="123"/>
      <c r="P720" s="123"/>
      <c r="Q720" t="str">
        <f t="shared" si="11"/>
        <v/>
      </c>
    </row>
    <row r="721" spans="3:17" hidden="1">
      <c r="C721" s="123"/>
      <c r="D721" s="123"/>
      <c r="E721" s="124"/>
      <c r="F721" s="124"/>
      <c r="G721" s="130"/>
      <c r="H721" s="124"/>
      <c r="I721" s="243"/>
      <c r="J721" s="123"/>
      <c r="K721" s="123"/>
      <c r="L721" s="246"/>
      <c r="M721" s="123"/>
      <c r="N721" s="123"/>
      <c r="O721" s="123"/>
      <c r="P721" s="123"/>
      <c r="Q721" t="str">
        <f t="shared" si="11"/>
        <v/>
      </c>
    </row>
    <row r="722" spans="3:17" hidden="1">
      <c r="C722" s="123"/>
      <c r="D722" s="123"/>
      <c r="E722" s="124"/>
      <c r="F722" s="124"/>
      <c r="G722" s="130"/>
      <c r="H722" s="124"/>
      <c r="I722" s="243"/>
      <c r="J722" s="123"/>
      <c r="K722" s="123"/>
      <c r="L722" s="246"/>
      <c r="M722" s="123"/>
      <c r="N722" s="123"/>
      <c r="O722" s="123"/>
      <c r="P722" s="123"/>
      <c r="Q722" t="str">
        <f t="shared" si="11"/>
        <v/>
      </c>
    </row>
    <row r="723" spans="3:17" hidden="1">
      <c r="C723" s="123"/>
      <c r="D723" s="123"/>
      <c r="E723" s="124"/>
      <c r="F723" s="124"/>
      <c r="G723" s="130"/>
      <c r="H723" s="124"/>
      <c r="I723" s="243"/>
      <c r="J723" s="123"/>
      <c r="K723" s="123"/>
      <c r="L723" s="246"/>
      <c r="M723" s="123"/>
      <c r="N723" s="123"/>
      <c r="O723" s="123"/>
      <c r="P723" s="123"/>
      <c r="Q723" t="str">
        <f t="shared" si="11"/>
        <v/>
      </c>
    </row>
    <row r="724" spans="3:17" hidden="1">
      <c r="C724" s="123"/>
      <c r="D724" s="123"/>
      <c r="E724" s="124"/>
      <c r="F724" s="124"/>
      <c r="G724" s="130"/>
      <c r="H724" s="124"/>
      <c r="I724" s="243"/>
      <c r="J724" s="123"/>
      <c r="K724" s="123"/>
      <c r="L724" s="246"/>
      <c r="M724" s="123"/>
      <c r="N724" s="123"/>
      <c r="O724" s="123"/>
      <c r="P724" s="123"/>
      <c r="Q724" t="str">
        <f t="shared" si="11"/>
        <v/>
      </c>
    </row>
    <row r="725" spans="3:17" hidden="1">
      <c r="C725" s="123"/>
      <c r="D725" s="123"/>
      <c r="E725" s="124"/>
      <c r="F725" s="124"/>
      <c r="G725" s="130"/>
      <c r="H725" s="124"/>
      <c r="I725" s="243"/>
      <c r="J725" s="123"/>
      <c r="K725" s="123"/>
      <c r="L725" s="246"/>
      <c r="M725" s="123"/>
      <c r="N725" s="123"/>
      <c r="O725" s="123"/>
      <c r="P725" s="123"/>
      <c r="Q725" t="str">
        <f t="shared" si="11"/>
        <v/>
      </c>
    </row>
    <row r="726" spans="3:17" hidden="1">
      <c r="C726" s="123"/>
      <c r="D726" s="123"/>
      <c r="E726" s="124"/>
      <c r="F726" s="124"/>
      <c r="G726" s="130"/>
      <c r="H726" s="124"/>
      <c r="I726" s="243"/>
      <c r="J726" s="123"/>
      <c r="K726" s="123"/>
      <c r="L726" s="246"/>
      <c r="M726" s="123"/>
      <c r="N726" s="123"/>
      <c r="O726" s="123"/>
      <c r="P726" s="123"/>
      <c r="Q726" t="str">
        <f t="shared" si="11"/>
        <v/>
      </c>
    </row>
    <row r="727" spans="3:17" hidden="1">
      <c r="C727" s="123"/>
      <c r="D727" s="123"/>
      <c r="E727" s="124"/>
      <c r="F727" s="124"/>
      <c r="G727" s="130"/>
      <c r="H727" s="124"/>
      <c r="I727" s="243"/>
      <c r="J727" s="123"/>
      <c r="K727" s="123"/>
      <c r="L727" s="246"/>
      <c r="M727" s="123"/>
      <c r="N727" s="123"/>
      <c r="O727" s="123"/>
      <c r="P727" s="123"/>
      <c r="Q727" t="str">
        <f t="shared" si="11"/>
        <v/>
      </c>
    </row>
    <row r="728" spans="3:17" hidden="1">
      <c r="C728" s="123"/>
      <c r="D728" s="123"/>
      <c r="E728" s="124"/>
      <c r="F728" s="124"/>
      <c r="G728" s="130"/>
      <c r="H728" s="124"/>
      <c r="I728" s="243"/>
      <c r="J728" s="123"/>
      <c r="K728" s="123"/>
      <c r="L728" s="246"/>
      <c r="M728" s="123"/>
      <c r="N728" s="123"/>
      <c r="O728" s="123"/>
      <c r="P728" s="123"/>
      <c r="Q728" t="str">
        <f t="shared" si="11"/>
        <v/>
      </c>
    </row>
    <row r="729" spans="3:17" hidden="1">
      <c r="C729" s="123"/>
      <c r="D729" s="123"/>
      <c r="E729" s="124"/>
      <c r="F729" s="124"/>
      <c r="G729" s="130"/>
      <c r="H729" s="124"/>
      <c r="I729" s="243"/>
      <c r="J729" s="123"/>
      <c r="K729" s="123"/>
      <c r="L729" s="246"/>
      <c r="M729" s="123"/>
      <c r="N729" s="123"/>
      <c r="O729" s="123"/>
      <c r="P729" s="123"/>
      <c r="Q729" t="str">
        <f t="shared" si="11"/>
        <v/>
      </c>
    </row>
    <row r="730" spans="3:17" hidden="1">
      <c r="C730" s="123"/>
      <c r="D730" s="123"/>
      <c r="E730" s="124"/>
      <c r="F730" s="124"/>
      <c r="G730" s="130"/>
      <c r="H730" s="124"/>
      <c r="I730" s="243"/>
      <c r="J730" s="123"/>
      <c r="K730" s="123"/>
      <c r="L730" s="246"/>
      <c r="M730" s="123"/>
      <c r="N730" s="123"/>
      <c r="O730" s="123"/>
      <c r="P730" s="123"/>
      <c r="Q730" t="str">
        <f t="shared" si="11"/>
        <v/>
      </c>
    </row>
    <row r="731" spans="3:17" hidden="1">
      <c r="C731" s="123"/>
      <c r="D731" s="123"/>
      <c r="E731" s="124"/>
      <c r="F731" s="124"/>
      <c r="G731" s="130"/>
      <c r="H731" s="124"/>
      <c r="I731" s="243"/>
      <c r="J731" s="123"/>
      <c r="K731" s="123"/>
      <c r="L731" s="246"/>
      <c r="M731" s="123"/>
      <c r="N731" s="123"/>
      <c r="O731" s="123"/>
      <c r="P731" s="123"/>
      <c r="Q731" t="str">
        <f t="shared" si="11"/>
        <v/>
      </c>
    </row>
    <row r="732" spans="3:17" hidden="1">
      <c r="C732" s="123"/>
      <c r="D732" s="123"/>
      <c r="E732" s="124"/>
      <c r="F732" s="124"/>
      <c r="G732" s="130"/>
      <c r="H732" s="124"/>
      <c r="I732" s="243"/>
      <c r="J732" s="123"/>
      <c r="K732" s="123"/>
      <c r="L732" s="246"/>
      <c r="M732" s="123"/>
      <c r="N732" s="123"/>
      <c r="O732" s="123"/>
      <c r="P732" s="123"/>
      <c r="Q732" t="str">
        <f t="shared" si="11"/>
        <v/>
      </c>
    </row>
    <row r="733" spans="3:17" hidden="1">
      <c r="C733" s="123"/>
      <c r="D733" s="123"/>
      <c r="E733" s="124"/>
      <c r="F733" s="124"/>
      <c r="G733" s="130"/>
      <c r="H733" s="124"/>
      <c r="I733" s="243"/>
      <c r="J733" s="123"/>
      <c r="K733" s="123"/>
      <c r="L733" s="246"/>
      <c r="M733" s="123"/>
      <c r="N733" s="123"/>
      <c r="O733" s="123"/>
      <c r="P733" s="123"/>
      <c r="Q733" t="str">
        <f t="shared" si="11"/>
        <v/>
      </c>
    </row>
    <row r="734" spans="3:17" hidden="1">
      <c r="C734" s="123"/>
      <c r="D734" s="123"/>
      <c r="E734" s="124"/>
      <c r="F734" s="124"/>
      <c r="G734" s="130"/>
      <c r="H734" s="124"/>
      <c r="I734" s="243"/>
      <c r="J734" s="123"/>
      <c r="K734" s="123"/>
      <c r="L734" s="246"/>
      <c r="M734" s="123"/>
      <c r="N734" s="123"/>
      <c r="O734" s="123"/>
      <c r="P734" s="123"/>
      <c r="Q734" t="str">
        <f t="shared" si="11"/>
        <v/>
      </c>
    </row>
    <row r="735" spans="3:17" hidden="1">
      <c r="C735" s="123"/>
      <c r="D735" s="123"/>
      <c r="E735" s="124"/>
      <c r="F735" s="124"/>
      <c r="G735" s="130"/>
      <c r="H735" s="124"/>
      <c r="I735" s="243"/>
      <c r="J735" s="123"/>
      <c r="K735" s="123"/>
      <c r="L735" s="246"/>
      <c r="M735" s="123"/>
      <c r="N735" s="123"/>
      <c r="O735" s="123"/>
      <c r="P735" s="123"/>
      <c r="Q735" t="str">
        <f t="shared" si="11"/>
        <v/>
      </c>
    </row>
    <row r="736" spans="3:17" hidden="1">
      <c r="C736" s="123"/>
      <c r="D736" s="123"/>
      <c r="E736" s="124"/>
      <c r="F736" s="124"/>
      <c r="G736" s="130"/>
      <c r="H736" s="124"/>
      <c r="I736" s="243"/>
      <c r="J736" s="123"/>
      <c r="K736" s="123"/>
      <c r="L736" s="246"/>
      <c r="M736" s="123"/>
      <c r="N736" s="123"/>
      <c r="O736" s="123"/>
      <c r="P736" s="123"/>
      <c r="Q736" t="str">
        <f t="shared" si="11"/>
        <v/>
      </c>
    </row>
    <row r="737" spans="3:17" hidden="1">
      <c r="C737" s="123"/>
      <c r="D737" s="123"/>
      <c r="E737" s="124"/>
      <c r="F737" s="124"/>
      <c r="G737" s="130"/>
      <c r="H737" s="124"/>
      <c r="I737" s="243"/>
      <c r="J737" s="123"/>
      <c r="K737" s="123"/>
      <c r="L737" s="246"/>
      <c r="M737" s="123"/>
      <c r="N737" s="123"/>
      <c r="O737" s="123"/>
      <c r="P737" s="123"/>
      <c r="Q737" t="str">
        <f t="shared" si="11"/>
        <v/>
      </c>
    </row>
    <row r="738" spans="3:17" hidden="1">
      <c r="C738" s="123"/>
      <c r="D738" s="123"/>
      <c r="E738" s="124"/>
      <c r="F738" s="124"/>
      <c r="G738" s="130"/>
      <c r="H738" s="124"/>
      <c r="I738" s="243"/>
      <c r="J738" s="123"/>
      <c r="K738" s="123"/>
      <c r="L738" s="246"/>
      <c r="M738" s="123"/>
      <c r="N738" s="123"/>
      <c r="O738" s="123"/>
      <c r="P738" s="123"/>
      <c r="Q738" t="str">
        <f t="shared" si="11"/>
        <v/>
      </c>
    </row>
    <row r="739" spans="3:17" hidden="1">
      <c r="C739" s="123"/>
      <c r="D739" s="123"/>
      <c r="E739" s="124"/>
      <c r="F739" s="124"/>
      <c r="G739" s="130"/>
      <c r="H739" s="124"/>
      <c r="I739" s="243"/>
      <c r="J739" s="123"/>
      <c r="K739" s="123"/>
      <c r="L739" s="246"/>
      <c r="M739" s="123"/>
      <c r="N739" s="123"/>
      <c r="O739" s="123"/>
      <c r="P739" s="123"/>
      <c r="Q739" t="str">
        <f t="shared" si="11"/>
        <v/>
      </c>
    </row>
    <row r="740" spans="3:17" hidden="1">
      <c r="C740" s="123"/>
      <c r="D740" s="123"/>
      <c r="E740" s="124"/>
      <c r="F740" s="124"/>
      <c r="G740" s="130"/>
      <c r="H740" s="124"/>
      <c r="I740" s="243"/>
      <c r="J740" s="123"/>
      <c r="K740" s="123"/>
      <c r="L740" s="246"/>
      <c r="M740" s="123"/>
      <c r="N740" s="123"/>
      <c r="O740" s="123"/>
      <c r="P740" s="123"/>
      <c r="Q740" t="str">
        <f t="shared" si="11"/>
        <v/>
      </c>
    </row>
    <row r="741" spans="3:17" hidden="1">
      <c r="C741" s="123"/>
      <c r="D741" s="123"/>
      <c r="E741" s="124"/>
      <c r="F741" s="124"/>
      <c r="G741" s="130"/>
      <c r="H741" s="124"/>
      <c r="I741" s="243"/>
      <c r="J741" s="123"/>
      <c r="K741" s="123"/>
      <c r="L741" s="246"/>
      <c r="M741" s="123"/>
      <c r="N741" s="123"/>
      <c r="O741" s="123"/>
      <c r="P741" s="123"/>
      <c r="Q741" t="str">
        <f t="shared" si="11"/>
        <v/>
      </c>
    </row>
    <row r="742" spans="3:17" hidden="1">
      <c r="C742" s="123"/>
      <c r="D742" s="123"/>
      <c r="E742" s="124"/>
      <c r="F742" s="124"/>
      <c r="G742" s="130"/>
      <c r="H742" s="124"/>
      <c r="I742" s="243"/>
      <c r="J742" s="123"/>
      <c r="K742" s="123"/>
      <c r="L742" s="246"/>
      <c r="M742" s="123"/>
      <c r="N742" s="123"/>
      <c r="O742" s="123"/>
      <c r="P742" s="123"/>
      <c r="Q742" t="str">
        <f t="shared" si="11"/>
        <v/>
      </c>
    </row>
    <row r="743" spans="3:17" hidden="1">
      <c r="C743" s="123"/>
      <c r="D743" s="123"/>
      <c r="E743" s="124"/>
      <c r="F743" s="124"/>
      <c r="G743" s="130"/>
      <c r="H743" s="124"/>
      <c r="I743" s="243"/>
      <c r="J743" s="123"/>
      <c r="K743" s="123"/>
      <c r="L743" s="246"/>
      <c r="M743" s="123"/>
      <c r="N743" s="123"/>
      <c r="O743" s="123"/>
      <c r="P743" s="123"/>
      <c r="Q743" t="str">
        <f t="shared" si="11"/>
        <v/>
      </c>
    </row>
    <row r="744" spans="3:17" hidden="1">
      <c r="C744" s="123"/>
      <c r="D744" s="123"/>
      <c r="E744" s="124"/>
      <c r="F744" s="124"/>
      <c r="G744" s="130"/>
      <c r="H744" s="124"/>
      <c r="I744" s="243"/>
      <c r="J744" s="123"/>
      <c r="K744" s="123"/>
      <c r="L744" s="246"/>
      <c r="M744" s="123"/>
      <c r="N744" s="123"/>
      <c r="O744" s="123"/>
      <c r="P744" s="123"/>
      <c r="Q744" t="str">
        <f t="shared" si="11"/>
        <v/>
      </c>
    </row>
    <row r="745" spans="3:17" hidden="1">
      <c r="C745" s="123"/>
      <c r="D745" s="123"/>
      <c r="E745" s="124"/>
      <c r="F745" s="124"/>
      <c r="G745" s="130"/>
      <c r="H745" s="124"/>
      <c r="I745" s="243"/>
      <c r="J745" s="123"/>
      <c r="K745" s="123"/>
      <c r="L745" s="246"/>
      <c r="M745" s="123"/>
      <c r="N745" s="123"/>
      <c r="O745" s="123"/>
      <c r="P745" s="123"/>
      <c r="Q745" t="str">
        <f t="shared" si="11"/>
        <v/>
      </c>
    </row>
    <row r="746" spans="3:17" hidden="1">
      <c r="C746" s="123"/>
      <c r="D746" s="123"/>
      <c r="E746" s="124"/>
      <c r="F746" s="124"/>
      <c r="G746" s="130"/>
      <c r="H746" s="124"/>
      <c r="I746" s="243"/>
      <c r="J746" s="123"/>
      <c r="K746" s="123"/>
      <c r="L746" s="246"/>
      <c r="M746" s="123"/>
      <c r="N746" s="123"/>
      <c r="O746" s="123"/>
      <c r="P746" s="123"/>
      <c r="Q746" t="str">
        <f t="shared" si="11"/>
        <v/>
      </c>
    </row>
    <row r="747" spans="3:17" hidden="1">
      <c r="C747" s="123"/>
      <c r="D747" s="123"/>
      <c r="E747" s="124"/>
      <c r="F747" s="124"/>
      <c r="G747" s="130"/>
      <c r="H747" s="124"/>
      <c r="I747" s="243"/>
      <c r="J747" s="123"/>
      <c r="K747" s="123"/>
      <c r="L747" s="246"/>
      <c r="M747" s="123"/>
      <c r="N747" s="123"/>
      <c r="O747" s="123"/>
      <c r="P747" s="123"/>
      <c r="Q747" t="str">
        <f t="shared" si="11"/>
        <v/>
      </c>
    </row>
    <row r="748" spans="3:17" hidden="1">
      <c r="C748" s="123"/>
      <c r="D748" s="123"/>
      <c r="E748" s="124"/>
      <c r="F748" s="124"/>
      <c r="G748" s="130"/>
      <c r="H748" s="124"/>
      <c r="I748" s="243"/>
      <c r="J748" s="123"/>
      <c r="K748" s="123"/>
      <c r="L748" s="246"/>
      <c r="M748" s="123"/>
      <c r="N748" s="123"/>
      <c r="O748" s="123"/>
      <c r="P748" s="123"/>
      <c r="Q748" t="str">
        <f t="shared" si="11"/>
        <v/>
      </c>
    </row>
    <row r="749" spans="3:17" hidden="1">
      <c r="C749" s="123"/>
      <c r="D749" s="123"/>
      <c r="E749" s="124"/>
      <c r="F749" s="124"/>
      <c r="G749" s="130"/>
      <c r="H749" s="124"/>
      <c r="I749" s="243"/>
      <c r="J749" s="123"/>
      <c r="K749" s="123"/>
      <c r="L749" s="246"/>
      <c r="M749" s="123"/>
      <c r="N749" s="123"/>
      <c r="O749" s="123"/>
      <c r="P749" s="123"/>
      <c r="Q749" t="str">
        <f t="shared" si="11"/>
        <v/>
      </c>
    </row>
    <row r="750" spans="3:17" hidden="1">
      <c r="C750" s="123"/>
      <c r="D750" s="123"/>
      <c r="E750" s="124"/>
      <c r="F750" s="124"/>
      <c r="G750" s="130"/>
      <c r="H750" s="124"/>
      <c r="I750" s="243"/>
      <c r="J750" s="123"/>
      <c r="K750" s="123"/>
      <c r="L750" s="246"/>
      <c r="M750" s="123"/>
      <c r="N750" s="123"/>
      <c r="O750" s="123"/>
      <c r="P750" s="123"/>
      <c r="Q750" t="str">
        <f t="shared" si="11"/>
        <v/>
      </c>
    </row>
    <row r="751" spans="3:17" hidden="1">
      <c r="C751" s="123"/>
      <c r="D751" s="123"/>
      <c r="E751" s="124"/>
      <c r="F751" s="124"/>
      <c r="G751" s="130"/>
      <c r="H751" s="124"/>
      <c r="I751" s="243"/>
      <c r="J751" s="123"/>
      <c r="K751" s="123"/>
      <c r="L751" s="246"/>
      <c r="M751" s="123"/>
      <c r="N751" s="123"/>
      <c r="O751" s="123"/>
      <c r="P751" s="123"/>
      <c r="Q751" t="str">
        <f t="shared" si="11"/>
        <v/>
      </c>
    </row>
    <row r="752" spans="3:17" hidden="1">
      <c r="C752" s="123"/>
      <c r="D752" s="123"/>
      <c r="E752" s="124"/>
      <c r="F752" s="124"/>
      <c r="G752" s="130"/>
      <c r="H752" s="124"/>
      <c r="I752" s="243"/>
      <c r="J752" s="123"/>
      <c r="K752" s="123"/>
      <c r="L752" s="246"/>
      <c r="M752" s="123"/>
      <c r="N752" s="123"/>
      <c r="O752" s="123"/>
      <c r="P752" s="123"/>
      <c r="Q752" t="str">
        <f t="shared" si="11"/>
        <v/>
      </c>
    </row>
    <row r="753" spans="3:17" hidden="1">
      <c r="C753" s="123"/>
      <c r="D753" s="123"/>
      <c r="E753" s="124"/>
      <c r="F753" s="124"/>
      <c r="G753" s="130"/>
      <c r="H753" s="124"/>
      <c r="I753" s="243"/>
      <c r="J753" s="123"/>
      <c r="K753" s="123"/>
      <c r="L753" s="246"/>
      <c r="M753" s="123"/>
      <c r="N753" s="123"/>
      <c r="O753" s="123"/>
      <c r="P753" s="123"/>
      <c r="Q753" t="str">
        <f t="shared" si="11"/>
        <v/>
      </c>
    </row>
    <row r="754" spans="3:17" hidden="1">
      <c r="C754" s="123"/>
      <c r="D754" s="123"/>
      <c r="E754" s="124"/>
      <c r="F754" s="124"/>
      <c r="G754" s="130"/>
      <c r="H754" s="124"/>
      <c r="I754" s="243"/>
      <c r="J754" s="123"/>
      <c r="K754" s="123"/>
      <c r="L754" s="246"/>
      <c r="M754" s="123"/>
      <c r="N754" s="123"/>
      <c r="O754" s="123"/>
      <c r="P754" s="123"/>
      <c r="Q754" t="str">
        <f t="shared" si="11"/>
        <v/>
      </c>
    </row>
    <row r="755" spans="3:17" hidden="1">
      <c r="C755" s="123"/>
      <c r="D755" s="123"/>
      <c r="E755" s="124"/>
      <c r="F755" s="124"/>
      <c r="G755" s="130"/>
      <c r="H755" s="124"/>
      <c r="I755" s="243"/>
      <c r="J755" s="123"/>
      <c r="K755" s="123"/>
      <c r="L755" s="246"/>
      <c r="M755" s="123"/>
      <c r="N755" s="123"/>
      <c r="O755" s="123"/>
      <c r="P755" s="123"/>
      <c r="Q755" t="str">
        <f t="shared" si="11"/>
        <v/>
      </c>
    </row>
    <row r="756" spans="3:17" hidden="1">
      <c r="C756" s="123"/>
      <c r="D756" s="123"/>
      <c r="E756" s="124"/>
      <c r="F756" s="124"/>
      <c r="G756" s="130"/>
      <c r="H756" s="124"/>
      <c r="I756" s="243"/>
      <c r="J756" s="123"/>
      <c r="K756" s="123"/>
      <c r="L756" s="246"/>
      <c r="M756" s="123"/>
      <c r="N756" s="123"/>
      <c r="O756" s="123"/>
      <c r="P756" s="123"/>
      <c r="Q756" t="str">
        <f t="shared" si="11"/>
        <v/>
      </c>
    </row>
    <row r="757" spans="3:17" hidden="1">
      <c r="C757" s="123"/>
      <c r="D757" s="123"/>
      <c r="E757" s="124"/>
      <c r="F757" s="124"/>
      <c r="G757" s="130"/>
      <c r="H757" s="124"/>
      <c r="I757" s="243"/>
      <c r="J757" s="123"/>
      <c r="K757" s="123"/>
      <c r="L757" s="246"/>
      <c r="M757" s="123"/>
      <c r="N757" s="123"/>
      <c r="O757" s="123"/>
      <c r="P757" s="123"/>
      <c r="Q757" t="str">
        <f t="shared" si="11"/>
        <v/>
      </c>
    </row>
    <row r="758" spans="3:17" hidden="1">
      <c r="C758" s="123"/>
      <c r="D758" s="123"/>
      <c r="E758" s="124"/>
      <c r="F758" s="124"/>
      <c r="G758" s="130"/>
      <c r="H758" s="124"/>
      <c r="I758" s="243"/>
      <c r="J758" s="123"/>
      <c r="K758" s="123"/>
      <c r="L758" s="246"/>
      <c r="M758" s="123"/>
      <c r="N758" s="123"/>
      <c r="O758" s="123"/>
      <c r="P758" s="123"/>
      <c r="Q758" t="str">
        <f t="shared" si="11"/>
        <v/>
      </c>
    </row>
    <row r="759" spans="3:17" hidden="1">
      <c r="C759" s="123"/>
      <c r="D759" s="123"/>
      <c r="E759" s="124"/>
      <c r="F759" s="124"/>
      <c r="G759" s="130"/>
      <c r="H759" s="124"/>
      <c r="I759" s="243"/>
      <c r="J759" s="123"/>
      <c r="K759" s="123"/>
      <c r="L759" s="246"/>
      <c r="M759" s="123"/>
      <c r="N759" s="123"/>
      <c r="O759" s="123"/>
      <c r="P759" s="123"/>
      <c r="Q759" t="str">
        <f t="shared" si="11"/>
        <v/>
      </c>
    </row>
    <row r="760" spans="3:17" hidden="1">
      <c r="C760" s="123"/>
      <c r="D760" s="123"/>
      <c r="E760" s="124"/>
      <c r="F760" s="124"/>
      <c r="G760" s="130"/>
      <c r="H760" s="124"/>
      <c r="I760" s="243"/>
      <c r="J760" s="123"/>
      <c r="K760" s="123"/>
      <c r="L760" s="246"/>
      <c r="M760" s="123"/>
      <c r="N760" s="123"/>
      <c r="O760" s="123"/>
      <c r="P760" s="123"/>
      <c r="Q760" t="str">
        <f t="shared" si="11"/>
        <v/>
      </c>
    </row>
    <row r="761" spans="3:17" hidden="1">
      <c r="C761" s="123"/>
      <c r="D761" s="123"/>
      <c r="E761" s="124"/>
      <c r="F761" s="124"/>
      <c r="G761" s="130"/>
      <c r="H761" s="124"/>
      <c r="I761" s="243"/>
      <c r="J761" s="123"/>
      <c r="K761" s="123"/>
      <c r="L761" s="246"/>
      <c r="M761" s="123"/>
      <c r="N761" s="123"/>
      <c r="O761" s="123"/>
      <c r="P761" s="123"/>
      <c r="Q761" t="str">
        <f t="shared" si="11"/>
        <v/>
      </c>
    </row>
    <row r="762" spans="3:17" hidden="1">
      <c r="C762" s="123"/>
      <c r="D762" s="123"/>
      <c r="E762" s="124"/>
      <c r="F762" s="124"/>
      <c r="G762" s="130"/>
      <c r="H762" s="124"/>
      <c r="I762" s="243"/>
      <c r="J762" s="123"/>
      <c r="K762" s="123"/>
      <c r="L762" s="246"/>
      <c r="M762" s="123"/>
      <c r="N762" s="123"/>
      <c r="O762" s="123"/>
      <c r="P762" s="123"/>
      <c r="Q762" t="str">
        <f t="shared" si="11"/>
        <v/>
      </c>
    </row>
    <row r="763" spans="3:17" hidden="1">
      <c r="C763" s="123"/>
      <c r="D763" s="123"/>
      <c r="E763" s="124"/>
      <c r="F763" s="124"/>
      <c r="G763" s="130"/>
      <c r="H763" s="124"/>
      <c r="I763" s="243"/>
      <c r="J763" s="123"/>
      <c r="K763" s="123"/>
      <c r="L763" s="246"/>
      <c r="M763" s="123"/>
      <c r="N763" s="123"/>
      <c r="O763" s="123"/>
      <c r="P763" s="123"/>
      <c r="Q763" t="str">
        <f t="shared" si="11"/>
        <v/>
      </c>
    </row>
    <row r="764" spans="3:17" hidden="1">
      <c r="C764" s="123"/>
      <c r="D764" s="123"/>
      <c r="E764" s="124"/>
      <c r="F764" s="124"/>
      <c r="G764" s="130"/>
      <c r="H764" s="124"/>
      <c r="I764" s="243"/>
      <c r="J764" s="123"/>
      <c r="K764" s="123"/>
      <c r="L764" s="246"/>
      <c r="M764" s="123"/>
      <c r="N764" s="123"/>
      <c r="O764" s="123"/>
      <c r="P764" s="123"/>
      <c r="Q764" t="str">
        <f t="shared" si="11"/>
        <v/>
      </c>
    </row>
    <row r="765" spans="3:17" hidden="1">
      <c r="C765" s="123"/>
      <c r="D765" s="123"/>
      <c r="E765" s="124"/>
      <c r="F765" s="124"/>
      <c r="G765" s="130"/>
      <c r="H765" s="124"/>
      <c r="I765" s="243"/>
      <c r="J765" s="123"/>
      <c r="K765" s="123"/>
      <c r="L765" s="246"/>
      <c r="M765" s="123"/>
      <c r="N765" s="123"/>
      <c r="O765" s="123"/>
      <c r="P765" s="123"/>
      <c r="Q765" t="str">
        <f t="shared" si="11"/>
        <v/>
      </c>
    </row>
    <row r="766" spans="3:17" hidden="1">
      <c r="C766" s="123"/>
      <c r="D766" s="123"/>
      <c r="E766" s="124"/>
      <c r="F766" s="124"/>
      <c r="G766" s="130"/>
      <c r="H766" s="124"/>
      <c r="I766" s="243"/>
      <c r="J766" s="123"/>
      <c r="K766" s="123"/>
      <c r="L766" s="246"/>
      <c r="M766" s="123"/>
      <c r="N766" s="123"/>
      <c r="O766" s="123"/>
      <c r="P766" s="123"/>
      <c r="Q766" t="str">
        <f t="shared" si="11"/>
        <v/>
      </c>
    </row>
    <row r="767" spans="3:17" hidden="1">
      <c r="C767" s="123"/>
      <c r="D767" s="123"/>
      <c r="E767" s="124"/>
      <c r="F767" s="124"/>
      <c r="G767" s="130"/>
      <c r="H767" s="124"/>
      <c r="I767" s="243"/>
      <c r="J767" s="123"/>
      <c r="K767" s="123"/>
      <c r="L767" s="246"/>
      <c r="M767" s="123"/>
      <c r="N767" s="123"/>
      <c r="O767" s="123"/>
      <c r="P767" s="123"/>
      <c r="Q767" t="str">
        <f t="shared" si="11"/>
        <v/>
      </c>
    </row>
    <row r="768" spans="3:17" hidden="1">
      <c r="C768" s="123"/>
      <c r="D768" s="123"/>
      <c r="E768" s="124"/>
      <c r="F768" s="124"/>
      <c r="G768" s="130"/>
      <c r="H768" s="124"/>
      <c r="I768" s="243"/>
      <c r="J768" s="123"/>
      <c r="K768" s="123"/>
      <c r="L768" s="246"/>
      <c r="M768" s="123"/>
      <c r="N768" s="123"/>
      <c r="O768" s="123"/>
      <c r="P768" s="123"/>
      <c r="Q768" t="str">
        <f t="shared" si="11"/>
        <v/>
      </c>
    </row>
    <row r="769" spans="3:17" hidden="1">
      <c r="C769" s="123"/>
      <c r="D769" s="123"/>
      <c r="E769" s="124"/>
      <c r="F769" s="124"/>
      <c r="G769" s="130"/>
      <c r="H769" s="124"/>
      <c r="I769" s="243"/>
      <c r="J769" s="123"/>
      <c r="K769" s="123"/>
      <c r="L769" s="246"/>
      <c r="M769" s="123"/>
      <c r="N769" s="123"/>
      <c r="O769" s="123"/>
      <c r="P769" s="123"/>
      <c r="Q769" t="str">
        <f t="shared" si="11"/>
        <v/>
      </c>
    </row>
    <row r="770" spans="3:17" hidden="1">
      <c r="C770" s="123"/>
      <c r="D770" s="123"/>
      <c r="E770" s="124"/>
      <c r="F770" s="124"/>
      <c r="G770" s="130"/>
      <c r="H770" s="124"/>
      <c r="I770" s="243"/>
      <c r="J770" s="123"/>
      <c r="K770" s="123"/>
      <c r="L770" s="246"/>
      <c r="M770" s="123"/>
      <c r="N770" s="123"/>
      <c r="O770" s="123"/>
      <c r="P770" s="123"/>
      <c r="Q770" t="str">
        <f t="shared" si="11"/>
        <v/>
      </c>
    </row>
    <row r="771" spans="3:17" hidden="1">
      <c r="C771" s="123"/>
      <c r="D771" s="123"/>
      <c r="E771" s="124"/>
      <c r="F771" s="124"/>
      <c r="G771" s="130"/>
      <c r="H771" s="124"/>
      <c r="I771" s="243"/>
      <c r="J771" s="123"/>
      <c r="K771" s="123"/>
      <c r="L771" s="246"/>
      <c r="M771" s="123"/>
      <c r="N771" s="123"/>
      <c r="O771" s="123"/>
      <c r="P771" s="123"/>
      <c r="Q771" t="str">
        <f t="shared" si="11"/>
        <v/>
      </c>
    </row>
    <row r="772" spans="3:17" hidden="1">
      <c r="C772" s="123"/>
      <c r="D772" s="123"/>
      <c r="E772" s="124"/>
      <c r="F772" s="124"/>
      <c r="G772" s="130"/>
      <c r="H772" s="124"/>
      <c r="I772" s="243"/>
      <c r="J772" s="123"/>
      <c r="K772" s="123"/>
      <c r="L772" s="246"/>
      <c r="M772" s="123"/>
      <c r="N772" s="123"/>
      <c r="O772" s="123"/>
      <c r="P772" s="123"/>
      <c r="Q772" t="str">
        <f t="shared" si="11"/>
        <v/>
      </c>
    </row>
    <row r="773" spans="3:17" hidden="1">
      <c r="C773" s="123"/>
      <c r="D773" s="123"/>
      <c r="E773" s="124"/>
      <c r="F773" s="124"/>
      <c r="G773" s="130"/>
      <c r="H773" s="124"/>
      <c r="I773" s="243"/>
      <c r="J773" s="123"/>
      <c r="K773" s="123"/>
      <c r="L773" s="246"/>
      <c r="M773" s="123"/>
      <c r="N773" s="123"/>
      <c r="O773" s="123"/>
      <c r="P773" s="123"/>
      <c r="Q773" t="str">
        <f t="shared" si="11"/>
        <v/>
      </c>
    </row>
    <row r="774" spans="3:17" hidden="1">
      <c r="C774" s="123"/>
      <c r="D774" s="123"/>
      <c r="E774" s="124"/>
      <c r="F774" s="124"/>
      <c r="G774" s="130"/>
      <c r="H774" s="124"/>
      <c r="I774" s="243"/>
      <c r="J774" s="123"/>
      <c r="K774" s="123"/>
      <c r="L774" s="246"/>
      <c r="M774" s="123"/>
      <c r="N774" s="123"/>
      <c r="O774" s="123"/>
      <c r="P774" s="123"/>
      <c r="Q774" t="str">
        <f t="shared" si="11"/>
        <v/>
      </c>
    </row>
    <row r="775" spans="3:17" hidden="1">
      <c r="C775" s="123"/>
      <c r="D775" s="123"/>
      <c r="E775" s="124"/>
      <c r="F775" s="124"/>
      <c r="G775" s="130"/>
      <c r="H775" s="124"/>
      <c r="I775" s="243"/>
      <c r="J775" s="123"/>
      <c r="K775" s="123"/>
      <c r="L775" s="246"/>
      <c r="M775" s="123"/>
      <c r="N775" s="123"/>
      <c r="O775" s="123"/>
      <c r="P775" s="123"/>
      <c r="Q775" t="str">
        <f t="shared" ref="Q775:Q838" si="12">IF(D775="","","x")</f>
        <v/>
      </c>
    </row>
    <row r="776" spans="3:17" hidden="1">
      <c r="C776" s="123"/>
      <c r="D776" s="123"/>
      <c r="E776" s="124"/>
      <c r="F776" s="124"/>
      <c r="G776" s="130"/>
      <c r="H776" s="124"/>
      <c r="I776" s="243"/>
      <c r="J776" s="123"/>
      <c r="K776" s="123"/>
      <c r="L776" s="246"/>
      <c r="M776" s="123"/>
      <c r="N776" s="123"/>
      <c r="O776" s="123"/>
      <c r="P776" s="123"/>
      <c r="Q776" t="str">
        <f t="shared" si="12"/>
        <v/>
      </c>
    </row>
    <row r="777" spans="3:17" hidden="1">
      <c r="C777" s="123"/>
      <c r="D777" s="123"/>
      <c r="E777" s="124"/>
      <c r="F777" s="124"/>
      <c r="G777" s="130"/>
      <c r="H777" s="124"/>
      <c r="I777" s="243"/>
      <c r="J777" s="123"/>
      <c r="K777" s="123"/>
      <c r="L777" s="246"/>
      <c r="M777" s="123"/>
      <c r="N777" s="123"/>
      <c r="O777" s="123"/>
      <c r="P777" s="123"/>
      <c r="Q777" t="str">
        <f t="shared" si="12"/>
        <v/>
      </c>
    </row>
    <row r="778" spans="3:17" hidden="1">
      <c r="C778" s="123"/>
      <c r="D778" s="123"/>
      <c r="E778" s="124"/>
      <c r="F778" s="124"/>
      <c r="G778" s="130"/>
      <c r="H778" s="124"/>
      <c r="I778" s="243"/>
      <c r="J778" s="123"/>
      <c r="K778" s="123"/>
      <c r="L778" s="246"/>
      <c r="M778" s="123"/>
      <c r="N778" s="123"/>
      <c r="O778" s="123"/>
      <c r="P778" s="123"/>
      <c r="Q778" t="str">
        <f t="shared" si="12"/>
        <v/>
      </c>
    </row>
    <row r="779" spans="3:17" hidden="1">
      <c r="C779" s="123"/>
      <c r="D779" s="123"/>
      <c r="E779" s="124"/>
      <c r="F779" s="124"/>
      <c r="G779" s="130"/>
      <c r="H779" s="124"/>
      <c r="I779" s="243"/>
      <c r="J779" s="123"/>
      <c r="K779" s="123"/>
      <c r="L779" s="246"/>
      <c r="M779" s="123"/>
      <c r="N779" s="123"/>
      <c r="O779" s="123"/>
      <c r="P779" s="123"/>
      <c r="Q779" t="str">
        <f t="shared" si="12"/>
        <v/>
      </c>
    </row>
    <row r="780" spans="3:17" hidden="1">
      <c r="C780" s="123"/>
      <c r="D780" s="123"/>
      <c r="E780" s="124"/>
      <c r="F780" s="124"/>
      <c r="G780" s="130"/>
      <c r="H780" s="124"/>
      <c r="I780" s="243"/>
      <c r="J780" s="123"/>
      <c r="K780" s="123"/>
      <c r="L780" s="246"/>
      <c r="M780" s="123"/>
      <c r="N780" s="123"/>
      <c r="O780" s="123"/>
      <c r="P780" s="123"/>
      <c r="Q780" t="str">
        <f t="shared" si="12"/>
        <v/>
      </c>
    </row>
    <row r="781" spans="3:17" hidden="1">
      <c r="C781" s="123"/>
      <c r="D781" s="123"/>
      <c r="E781" s="124"/>
      <c r="F781" s="124"/>
      <c r="G781" s="130"/>
      <c r="H781" s="124"/>
      <c r="I781" s="243"/>
      <c r="J781" s="123"/>
      <c r="K781" s="123"/>
      <c r="L781" s="246"/>
      <c r="M781" s="123"/>
      <c r="N781" s="123"/>
      <c r="O781" s="123"/>
      <c r="P781" s="123"/>
      <c r="Q781" t="str">
        <f t="shared" si="12"/>
        <v/>
      </c>
    </row>
    <row r="782" spans="3:17" hidden="1">
      <c r="C782" s="123"/>
      <c r="D782" s="123"/>
      <c r="E782" s="124"/>
      <c r="F782" s="124"/>
      <c r="G782" s="130"/>
      <c r="H782" s="124"/>
      <c r="I782" s="243"/>
      <c r="J782" s="123"/>
      <c r="K782" s="123"/>
      <c r="L782" s="246"/>
      <c r="M782" s="123"/>
      <c r="N782" s="123"/>
      <c r="O782" s="123"/>
      <c r="P782" s="123"/>
      <c r="Q782" t="str">
        <f t="shared" si="12"/>
        <v/>
      </c>
    </row>
    <row r="783" spans="3:17" hidden="1">
      <c r="C783" s="123"/>
      <c r="D783" s="123"/>
      <c r="E783" s="124"/>
      <c r="F783" s="124"/>
      <c r="G783" s="130"/>
      <c r="H783" s="124"/>
      <c r="I783" s="243"/>
      <c r="J783" s="123"/>
      <c r="K783" s="123"/>
      <c r="L783" s="246"/>
      <c r="M783" s="123"/>
      <c r="N783" s="123"/>
      <c r="O783" s="123"/>
      <c r="P783" s="123"/>
      <c r="Q783" t="str">
        <f t="shared" si="12"/>
        <v/>
      </c>
    </row>
    <row r="784" spans="3:17" hidden="1">
      <c r="C784" s="123"/>
      <c r="D784" s="123"/>
      <c r="E784" s="124"/>
      <c r="F784" s="124"/>
      <c r="G784" s="130"/>
      <c r="H784" s="124"/>
      <c r="I784" s="243"/>
      <c r="J784" s="123"/>
      <c r="K784" s="123"/>
      <c r="L784" s="246"/>
      <c r="M784" s="123"/>
      <c r="N784" s="123"/>
      <c r="O784" s="123"/>
      <c r="P784" s="123"/>
      <c r="Q784" t="str">
        <f t="shared" si="12"/>
        <v/>
      </c>
    </row>
    <row r="785" spans="3:17" hidden="1">
      <c r="C785" s="123"/>
      <c r="D785" s="123"/>
      <c r="E785" s="124"/>
      <c r="F785" s="124"/>
      <c r="G785" s="130"/>
      <c r="H785" s="124"/>
      <c r="I785" s="243"/>
      <c r="J785" s="123"/>
      <c r="K785" s="123"/>
      <c r="L785" s="246"/>
      <c r="M785" s="123"/>
      <c r="N785" s="123"/>
      <c r="O785" s="123"/>
      <c r="P785" s="123"/>
      <c r="Q785" t="str">
        <f t="shared" si="12"/>
        <v/>
      </c>
    </row>
    <row r="786" spans="3:17" hidden="1">
      <c r="C786" s="123"/>
      <c r="D786" s="123"/>
      <c r="E786" s="124"/>
      <c r="F786" s="124"/>
      <c r="G786" s="130"/>
      <c r="H786" s="124"/>
      <c r="I786" s="243"/>
      <c r="J786" s="123"/>
      <c r="K786" s="123"/>
      <c r="L786" s="246"/>
      <c r="M786" s="123"/>
      <c r="N786" s="123"/>
      <c r="O786" s="123"/>
      <c r="P786" s="123"/>
      <c r="Q786" t="str">
        <f t="shared" si="12"/>
        <v/>
      </c>
    </row>
    <row r="787" spans="3:17" hidden="1">
      <c r="C787" s="123"/>
      <c r="D787" s="123"/>
      <c r="E787" s="124"/>
      <c r="F787" s="124"/>
      <c r="G787" s="130"/>
      <c r="H787" s="124"/>
      <c r="I787" s="243"/>
      <c r="J787" s="123"/>
      <c r="K787" s="123"/>
      <c r="L787" s="246"/>
      <c r="M787" s="123"/>
      <c r="N787" s="123"/>
      <c r="O787" s="123"/>
      <c r="P787" s="123"/>
      <c r="Q787" t="str">
        <f t="shared" si="12"/>
        <v/>
      </c>
    </row>
    <row r="788" spans="3:17" hidden="1">
      <c r="C788" s="123"/>
      <c r="D788" s="123"/>
      <c r="E788" s="124"/>
      <c r="F788" s="124"/>
      <c r="G788" s="130"/>
      <c r="H788" s="124"/>
      <c r="I788" s="243"/>
      <c r="J788" s="123"/>
      <c r="K788" s="123"/>
      <c r="L788" s="246"/>
      <c r="M788" s="123"/>
      <c r="N788" s="123"/>
      <c r="O788" s="123"/>
      <c r="P788" s="123"/>
      <c r="Q788" t="str">
        <f t="shared" si="12"/>
        <v/>
      </c>
    </row>
    <row r="789" spans="3:17" hidden="1">
      <c r="C789" s="123"/>
      <c r="D789" s="123"/>
      <c r="E789" s="124"/>
      <c r="F789" s="124"/>
      <c r="G789" s="130"/>
      <c r="H789" s="124"/>
      <c r="I789" s="243"/>
      <c r="J789" s="123"/>
      <c r="K789" s="123"/>
      <c r="L789" s="246"/>
      <c r="M789" s="123"/>
      <c r="N789" s="123"/>
      <c r="O789" s="123"/>
      <c r="P789" s="123"/>
      <c r="Q789" t="str">
        <f t="shared" si="12"/>
        <v/>
      </c>
    </row>
    <row r="790" spans="3:17" hidden="1">
      <c r="C790" s="123"/>
      <c r="D790" s="123"/>
      <c r="E790" s="124"/>
      <c r="F790" s="124"/>
      <c r="G790" s="130"/>
      <c r="H790" s="124"/>
      <c r="I790" s="243"/>
      <c r="J790" s="123"/>
      <c r="K790" s="123"/>
      <c r="L790" s="246"/>
      <c r="M790" s="123"/>
      <c r="N790" s="123"/>
      <c r="O790" s="123"/>
      <c r="P790" s="123"/>
      <c r="Q790" t="str">
        <f t="shared" si="12"/>
        <v/>
      </c>
    </row>
    <row r="791" spans="3:17" hidden="1">
      <c r="C791" s="123"/>
      <c r="D791" s="123"/>
      <c r="E791" s="124"/>
      <c r="F791" s="124"/>
      <c r="G791" s="130"/>
      <c r="H791" s="124"/>
      <c r="I791" s="243"/>
      <c r="J791" s="123"/>
      <c r="K791" s="123"/>
      <c r="L791" s="246"/>
      <c r="M791" s="123"/>
      <c r="N791" s="123"/>
      <c r="O791" s="123"/>
      <c r="P791" s="123"/>
      <c r="Q791" t="str">
        <f t="shared" si="12"/>
        <v/>
      </c>
    </row>
    <row r="792" spans="3:17" hidden="1">
      <c r="C792" s="123"/>
      <c r="D792" s="123"/>
      <c r="E792" s="124"/>
      <c r="F792" s="124"/>
      <c r="G792" s="130"/>
      <c r="H792" s="124"/>
      <c r="I792" s="243"/>
      <c r="J792" s="123"/>
      <c r="K792" s="123"/>
      <c r="L792" s="246"/>
      <c r="M792" s="123"/>
      <c r="N792" s="123"/>
      <c r="O792" s="123"/>
      <c r="P792" s="123"/>
      <c r="Q792" t="str">
        <f t="shared" si="12"/>
        <v/>
      </c>
    </row>
    <row r="793" spans="3:17" hidden="1">
      <c r="C793" s="123"/>
      <c r="D793" s="123"/>
      <c r="E793" s="124"/>
      <c r="F793" s="124"/>
      <c r="G793" s="130"/>
      <c r="H793" s="124"/>
      <c r="I793" s="243"/>
      <c r="J793" s="123"/>
      <c r="K793" s="123"/>
      <c r="L793" s="246"/>
      <c r="M793" s="123"/>
      <c r="N793" s="123"/>
      <c r="O793" s="123"/>
      <c r="P793" s="123"/>
      <c r="Q793" t="str">
        <f t="shared" si="12"/>
        <v/>
      </c>
    </row>
    <row r="794" spans="3:17" hidden="1">
      <c r="C794" s="123"/>
      <c r="D794" s="123"/>
      <c r="E794" s="124"/>
      <c r="F794" s="124"/>
      <c r="G794" s="130"/>
      <c r="H794" s="124"/>
      <c r="I794" s="243"/>
      <c r="J794" s="123"/>
      <c r="K794" s="123"/>
      <c r="L794" s="246"/>
      <c r="M794" s="123"/>
      <c r="N794" s="123"/>
      <c r="O794" s="123"/>
      <c r="P794" s="123"/>
      <c r="Q794" t="str">
        <f t="shared" si="12"/>
        <v/>
      </c>
    </row>
    <row r="795" spans="3:17" hidden="1">
      <c r="C795" s="123"/>
      <c r="D795" s="123"/>
      <c r="E795" s="124"/>
      <c r="F795" s="124"/>
      <c r="G795" s="130"/>
      <c r="H795" s="124"/>
      <c r="I795" s="243"/>
      <c r="J795" s="123"/>
      <c r="K795" s="123"/>
      <c r="L795" s="246"/>
      <c r="M795" s="123"/>
      <c r="N795" s="123"/>
      <c r="O795" s="123"/>
      <c r="P795" s="123"/>
      <c r="Q795" t="str">
        <f t="shared" si="12"/>
        <v/>
      </c>
    </row>
    <row r="796" spans="3:17" hidden="1">
      <c r="C796" s="123"/>
      <c r="D796" s="123"/>
      <c r="E796" s="124"/>
      <c r="F796" s="124"/>
      <c r="G796" s="130"/>
      <c r="H796" s="124"/>
      <c r="I796" s="243"/>
      <c r="J796" s="123"/>
      <c r="K796" s="123"/>
      <c r="L796" s="246"/>
      <c r="M796" s="123"/>
      <c r="N796" s="123"/>
      <c r="O796" s="123"/>
      <c r="P796" s="123"/>
      <c r="Q796" t="str">
        <f t="shared" si="12"/>
        <v/>
      </c>
    </row>
    <row r="797" spans="3:17" hidden="1">
      <c r="C797" s="123"/>
      <c r="D797" s="123"/>
      <c r="E797" s="124"/>
      <c r="F797" s="124"/>
      <c r="G797" s="130"/>
      <c r="H797" s="124"/>
      <c r="I797" s="243"/>
      <c r="J797" s="123"/>
      <c r="K797" s="123"/>
      <c r="L797" s="246"/>
      <c r="M797" s="123"/>
      <c r="N797" s="123"/>
      <c r="O797" s="123"/>
      <c r="P797" s="123"/>
      <c r="Q797" t="str">
        <f t="shared" si="12"/>
        <v/>
      </c>
    </row>
    <row r="798" spans="3:17" hidden="1">
      <c r="C798" s="123"/>
      <c r="D798" s="123"/>
      <c r="E798" s="124"/>
      <c r="F798" s="124"/>
      <c r="G798" s="130"/>
      <c r="H798" s="124"/>
      <c r="I798" s="243"/>
      <c r="J798" s="123"/>
      <c r="K798" s="123"/>
      <c r="L798" s="246"/>
      <c r="M798" s="123"/>
      <c r="N798" s="123"/>
      <c r="O798" s="123"/>
      <c r="P798" s="123"/>
      <c r="Q798" t="str">
        <f t="shared" si="12"/>
        <v/>
      </c>
    </row>
    <row r="799" spans="3:17" hidden="1">
      <c r="C799" s="123"/>
      <c r="D799" s="123"/>
      <c r="E799" s="124"/>
      <c r="F799" s="124"/>
      <c r="G799" s="130"/>
      <c r="H799" s="124"/>
      <c r="I799" s="243"/>
      <c r="J799" s="123"/>
      <c r="K799" s="123"/>
      <c r="L799" s="246"/>
      <c r="M799" s="123"/>
      <c r="N799" s="123"/>
      <c r="O799" s="123"/>
      <c r="P799" s="123"/>
      <c r="Q799" t="str">
        <f t="shared" si="12"/>
        <v/>
      </c>
    </row>
    <row r="800" spans="3:17" hidden="1">
      <c r="C800" s="123"/>
      <c r="D800" s="123"/>
      <c r="E800" s="124"/>
      <c r="F800" s="124"/>
      <c r="G800" s="130"/>
      <c r="H800" s="124"/>
      <c r="I800" s="243"/>
      <c r="J800" s="123"/>
      <c r="K800" s="123"/>
      <c r="L800" s="246"/>
      <c r="M800" s="123"/>
      <c r="N800" s="123"/>
      <c r="O800" s="123"/>
      <c r="P800" s="123"/>
      <c r="Q800" t="str">
        <f t="shared" si="12"/>
        <v/>
      </c>
    </row>
    <row r="801" spans="3:17" hidden="1">
      <c r="C801" s="123"/>
      <c r="D801" s="123"/>
      <c r="E801" s="124"/>
      <c r="F801" s="124"/>
      <c r="G801" s="130"/>
      <c r="H801" s="124"/>
      <c r="I801" s="243"/>
      <c r="J801" s="123"/>
      <c r="K801" s="123"/>
      <c r="L801" s="246"/>
      <c r="M801" s="123"/>
      <c r="N801" s="123"/>
      <c r="O801" s="123"/>
      <c r="P801" s="123"/>
      <c r="Q801" t="str">
        <f t="shared" si="12"/>
        <v/>
      </c>
    </row>
    <row r="802" spans="3:17" hidden="1">
      <c r="C802" s="123"/>
      <c r="D802" s="123"/>
      <c r="E802" s="124"/>
      <c r="F802" s="124"/>
      <c r="G802" s="130"/>
      <c r="H802" s="124"/>
      <c r="I802" s="243"/>
      <c r="J802" s="123"/>
      <c r="K802" s="123"/>
      <c r="L802" s="246"/>
      <c r="M802" s="123"/>
      <c r="N802" s="123"/>
      <c r="O802" s="123"/>
      <c r="P802" s="123"/>
      <c r="Q802" t="str">
        <f t="shared" si="12"/>
        <v/>
      </c>
    </row>
    <row r="803" spans="3:17" hidden="1">
      <c r="C803" s="123"/>
      <c r="D803" s="123"/>
      <c r="E803" s="124"/>
      <c r="F803" s="124"/>
      <c r="G803" s="130"/>
      <c r="H803" s="124"/>
      <c r="I803" s="243"/>
      <c r="J803" s="123"/>
      <c r="K803" s="123"/>
      <c r="L803" s="246"/>
      <c r="M803" s="123"/>
      <c r="N803" s="123"/>
      <c r="O803" s="123"/>
      <c r="P803" s="123"/>
      <c r="Q803" t="str">
        <f t="shared" si="12"/>
        <v/>
      </c>
    </row>
    <row r="804" spans="3:17" hidden="1">
      <c r="C804" s="123"/>
      <c r="D804" s="123"/>
      <c r="E804" s="124"/>
      <c r="F804" s="124"/>
      <c r="G804" s="130"/>
      <c r="H804" s="124"/>
      <c r="I804" s="243"/>
      <c r="J804" s="123"/>
      <c r="K804" s="123"/>
      <c r="L804" s="246"/>
      <c r="M804" s="123"/>
      <c r="N804" s="123"/>
      <c r="O804" s="123"/>
      <c r="P804" s="123"/>
      <c r="Q804" t="str">
        <f t="shared" si="12"/>
        <v/>
      </c>
    </row>
    <row r="805" spans="3:17" hidden="1">
      <c r="C805" s="123"/>
      <c r="D805" s="123"/>
      <c r="E805" s="124"/>
      <c r="F805" s="124"/>
      <c r="G805" s="130"/>
      <c r="H805" s="124"/>
      <c r="I805" s="243"/>
      <c r="J805" s="123"/>
      <c r="K805" s="123"/>
      <c r="L805" s="246"/>
      <c r="M805" s="123"/>
      <c r="N805" s="123"/>
      <c r="O805" s="123"/>
      <c r="P805" s="123"/>
      <c r="Q805" t="str">
        <f t="shared" si="12"/>
        <v/>
      </c>
    </row>
    <row r="806" spans="3:17" hidden="1">
      <c r="C806" s="123"/>
      <c r="D806" s="123"/>
      <c r="E806" s="124"/>
      <c r="F806" s="124"/>
      <c r="G806" s="130"/>
      <c r="H806" s="124"/>
      <c r="I806" s="243"/>
      <c r="J806" s="123"/>
      <c r="K806" s="123"/>
      <c r="L806" s="246"/>
      <c r="M806" s="123"/>
      <c r="N806" s="123"/>
      <c r="O806" s="123"/>
      <c r="P806" s="123"/>
      <c r="Q806" t="str">
        <f t="shared" si="12"/>
        <v/>
      </c>
    </row>
    <row r="807" spans="3:17" hidden="1">
      <c r="C807" s="123"/>
      <c r="D807" s="123"/>
      <c r="E807" s="124"/>
      <c r="F807" s="124"/>
      <c r="G807" s="130"/>
      <c r="H807" s="124"/>
      <c r="I807" s="243"/>
      <c r="J807" s="123"/>
      <c r="K807" s="123"/>
      <c r="L807" s="246"/>
      <c r="M807" s="123"/>
      <c r="N807" s="123"/>
      <c r="O807" s="123"/>
      <c r="P807" s="123"/>
      <c r="Q807" t="str">
        <f t="shared" si="12"/>
        <v/>
      </c>
    </row>
    <row r="808" spans="3:17" hidden="1">
      <c r="C808" s="123"/>
      <c r="D808" s="123"/>
      <c r="E808" s="124"/>
      <c r="F808" s="124"/>
      <c r="G808" s="130"/>
      <c r="H808" s="124"/>
      <c r="I808" s="243"/>
      <c r="J808" s="123"/>
      <c r="K808" s="123"/>
      <c r="L808" s="246"/>
      <c r="M808" s="123"/>
      <c r="N808" s="123"/>
      <c r="O808" s="123"/>
      <c r="P808" s="123"/>
      <c r="Q808" t="str">
        <f t="shared" si="12"/>
        <v/>
      </c>
    </row>
    <row r="809" spans="3:17" hidden="1">
      <c r="C809" s="123"/>
      <c r="D809" s="123"/>
      <c r="E809" s="124"/>
      <c r="F809" s="124"/>
      <c r="G809" s="130"/>
      <c r="H809" s="124"/>
      <c r="I809" s="243"/>
      <c r="J809" s="123"/>
      <c r="K809" s="123"/>
      <c r="L809" s="246"/>
      <c r="M809" s="123"/>
      <c r="N809" s="123"/>
      <c r="O809" s="123"/>
      <c r="P809" s="123"/>
      <c r="Q809" t="str">
        <f t="shared" si="12"/>
        <v/>
      </c>
    </row>
    <row r="810" spans="3:17" hidden="1">
      <c r="C810" s="123"/>
      <c r="D810" s="123"/>
      <c r="E810" s="124"/>
      <c r="F810" s="124"/>
      <c r="G810" s="130"/>
      <c r="H810" s="124"/>
      <c r="I810" s="243"/>
      <c r="J810" s="123"/>
      <c r="K810" s="123"/>
      <c r="L810" s="246"/>
      <c r="M810" s="123"/>
      <c r="N810" s="123"/>
      <c r="O810" s="123"/>
      <c r="P810" s="123"/>
      <c r="Q810" t="str">
        <f t="shared" si="12"/>
        <v/>
      </c>
    </row>
    <row r="811" spans="3:17" hidden="1">
      <c r="C811" s="123"/>
      <c r="D811" s="123"/>
      <c r="E811" s="124"/>
      <c r="F811" s="124"/>
      <c r="G811" s="130"/>
      <c r="H811" s="124"/>
      <c r="I811" s="243"/>
      <c r="J811" s="123"/>
      <c r="K811" s="123"/>
      <c r="L811" s="246"/>
      <c r="M811" s="123"/>
      <c r="N811" s="123"/>
      <c r="O811" s="123"/>
      <c r="P811" s="123"/>
      <c r="Q811" t="str">
        <f t="shared" si="12"/>
        <v/>
      </c>
    </row>
    <row r="812" spans="3:17" hidden="1">
      <c r="C812" s="123"/>
      <c r="D812" s="123"/>
      <c r="E812" s="124"/>
      <c r="F812" s="124"/>
      <c r="G812" s="130"/>
      <c r="H812" s="124"/>
      <c r="I812" s="243"/>
      <c r="J812" s="123"/>
      <c r="K812" s="123"/>
      <c r="L812" s="246"/>
      <c r="M812" s="123"/>
      <c r="N812" s="123"/>
      <c r="O812" s="123"/>
      <c r="P812" s="123"/>
      <c r="Q812" t="str">
        <f t="shared" si="12"/>
        <v/>
      </c>
    </row>
    <row r="813" spans="3:17" hidden="1">
      <c r="C813" s="123"/>
      <c r="D813" s="123"/>
      <c r="E813" s="124"/>
      <c r="F813" s="124"/>
      <c r="G813" s="130"/>
      <c r="H813" s="124"/>
      <c r="I813" s="243"/>
      <c r="J813" s="123"/>
      <c r="K813" s="123"/>
      <c r="L813" s="246"/>
      <c r="M813" s="123"/>
      <c r="N813" s="123"/>
      <c r="O813" s="123"/>
      <c r="P813" s="123"/>
      <c r="Q813" t="str">
        <f t="shared" si="12"/>
        <v/>
      </c>
    </row>
    <row r="814" spans="3:17" hidden="1">
      <c r="C814" s="123"/>
      <c r="D814" s="123"/>
      <c r="E814" s="124"/>
      <c r="F814" s="124"/>
      <c r="G814" s="130"/>
      <c r="H814" s="124"/>
      <c r="I814" s="243"/>
      <c r="J814" s="123"/>
      <c r="K814" s="123"/>
      <c r="L814" s="246"/>
      <c r="M814" s="123"/>
      <c r="N814" s="123"/>
      <c r="O814" s="123"/>
      <c r="P814" s="123"/>
      <c r="Q814" t="str">
        <f t="shared" si="12"/>
        <v/>
      </c>
    </row>
    <row r="815" spans="3:17" hidden="1">
      <c r="C815" s="123"/>
      <c r="D815" s="123"/>
      <c r="E815" s="124"/>
      <c r="F815" s="124"/>
      <c r="G815" s="130"/>
      <c r="H815" s="124"/>
      <c r="I815" s="243"/>
      <c r="J815" s="123"/>
      <c r="K815" s="123"/>
      <c r="L815" s="246"/>
      <c r="M815" s="123"/>
      <c r="N815" s="123"/>
      <c r="O815" s="123"/>
      <c r="P815" s="123"/>
      <c r="Q815" t="str">
        <f t="shared" si="12"/>
        <v/>
      </c>
    </row>
    <row r="816" spans="3:17" hidden="1">
      <c r="C816" s="123"/>
      <c r="D816" s="123"/>
      <c r="E816" s="124"/>
      <c r="F816" s="124"/>
      <c r="G816" s="130"/>
      <c r="H816" s="124"/>
      <c r="I816" s="243"/>
      <c r="J816" s="123"/>
      <c r="K816" s="123"/>
      <c r="L816" s="246"/>
      <c r="M816" s="123"/>
      <c r="N816" s="123"/>
      <c r="O816" s="123"/>
      <c r="P816" s="123"/>
      <c r="Q816" t="str">
        <f t="shared" si="12"/>
        <v/>
      </c>
    </row>
    <row r="817" spans="3:17" hidden="1">
      <c r="C817" s="123"/>
      <c r="D817" s="123"/>
      <c r="E817" s="124"/>
      <c r="F817" s="124"/>
      <c r="G817" s="130"/>
      <c r="H817" s="124"/>
      <c r="I817" s="243"/>
      <c r="J817" s="123"/>
      <c r="K817" s="123"/>
      <c r="L817" s="246"/>
      <c r="M817" s="123"/>
      <c r="N817" s="123"/>
      <c r="O817" s="123"/>
      <c r="P817" s="123"/>
      <c r="Q817" t="str">
        <f t="shared" si="12"/>
        <v/>
      </c>
    </row>
    <row r="818" spans="3:17" hidden="1">
      <c r="C818" s="123"/>
      <c r="D818" s="123"/>
      <c r="E818" s="124"/>
      <c r="F818" s="124"/>
      <c r="G818" s="130"/>
      <c r="H818" s="124"/>
      <c r="I818" s="243"/>
      <c r="J818" s="123"/>
      <c r="K818" s="123"/>
      <c r="L818" s="246"/>
      <c r="M818" s="123"/>
      <c r="N818" s="123"/>
      <c r="O818" s="123"/>
      <c r="P818" s="123"/>
      <c r="Q818" t="str">
        <f t="shared" si="12"/>
        <v/>
      </c>
    </row>
    <row r="819" spans="3:17" hidden="1">
      <c r="C819" s="123"/>
      <c r="D819" s="123"/>
      <c r="E819" s="124"/>
      <c r="F819" s="124"/>
      <c r="G819" s="130"/>
      <c r="H819" s="124"/>
      <c r="I819" s="243"/>
      <c r="J819" s="123"/>
      <c r="K819" s="123"/>
      <c r="L819" s="246"/>
      <c r="M819" s="123"/>
      <c r="N819" s="123"/>
      <c r="O819" s="123"/>
      <c r="P819" s="123"/>
      <c r="Q819" t="str">
        <f t="shared" si="12"/>
        <v/>
      </c>
    </row>
    <row r="820" spans="3:17" hidden="1">
      <c r="C820" s="123"/>
      <c r="D820" s="123"/>
      <c r="E820" s="124"/>
      <c r="F820" s="124"/>
      <c r="G820" s="130"/>
      <c r="H820" s="124"/>
      <c r="I820" s="243"/>
      <c r="J820" s="123"/>
      <c r="K820" s="123"/>
      <c r="L820" s="246"/>
      <c r="M820" s="123"/>
      <c r="N820" s="123"/>
      <c r="O820" s="123"/>
      <c r="P820" s="123"/>
      <c r="Q820" t="str">
        <f t="shared" si="12"/>
        <v/>
      </c>
    </row>
    <row r="821" spans="3:17" hidden="1">
      <c r="C821" s="123"/>
      <c r="D821" s="123"/>
      <c r="E821" s="124"/>
      <c r="F821" s="124"/>
      <c r="G821" s="130"/>
      <c r="H821" s="124"/>
      <c r="I821" s="243"/>
      <c r="J821" s="123"/>
      <c r="K821" s="123"/>
      <c r="L821" s="246"/>
      <c r="M821" s="123"/>
      <c r="N821" s="123"/>
      <c r="O821" s="123"/>
      <c r="P821" s="123"/>
      <c r="Q821" t="str">
        <f t="shared" si="12"/>
        <v/>
      </c>
    </row>
    <row r="822" spans="3:17" hidden="1">
      <c r="C822" s="123"/>
      <c r="D822" s="123"/>
      <c r="E822" s="124"/>
      <c r="F822" s="124"/>
      <c r="G822" s="130"/>
      <c r="H822" s="124"/>
      <c r="I822" s="243"/>
      <c r="J822" s="123"/>
      <c r="K822" s="123"/>
      <c r="L822" s="246"/>
      <c r="M822" s="123"/>
      <c r="N822" s="123"/>
      <c r="O822" s="123"/>
      <c r="P822" s="123"/>
      <c r="Q822" t="str">
        <f t="shared" si="12"/>
        <v/>
      </c>
    </row>
    <row r="823" spans="3:17" hidden="1">
      <c r="C823" s="123"/>
      <c r="D823" s="123"/>
      <c r="E823" s="124"/>
      <c r="F823" s="124"/>
      <c r="G823" s="130"/>
      <c r="H823" s="124"/>
      <c r="I823" s="243"/>
      <c r="J823" s="123"/>
      <c r="K823" s="123"/>
      <c r="L823" s="246"/>
      <c r="M823" s="123"/>
      <c r="N823" s="123"/>
      <c r="O823" s="123"/>
      <c r="P823" s="123"/>
      <c r="Q823" t="str">
        <f t="shared" si="12"/>
        <v/>
      </c>
    </row>
    <row r="824" spans="3:17" hidden="1">
      <c r="C824" s="123"/>
      <c r="D824" s="123"/>
      <c r="E824" s="124"/>
      <c r="F824" s="124"/>
      <c r="G824" s="130"/>
      <c r="H824" s="124"/>
      <c r="I824" s="243"/>
      <c r="J824" s="123"/>
      <c r="K824" s="123"/>
      <c r="L824" s="246"/>
      <c r="M824" s="123"/>
      <c r="N824" s="123"/>
      <c r="O824" s="123"/>
      <c r="P824" s="123"/>
      <c r="Q824" t="str">
        <f t="shared" si="12"/>
        <v/>
      </c>
    </row>
    <row r="825" spans="3:17" hidden="1">
      <c r="C825" s="123"/>
      <c r="D825" s="123"/>
      <c r="E825" s="124"/>
      <c r="F825" s="124"/>
      <c r="G825" s="130"/>
      <c r="H825" s="124"/>
      <c r="I825" s="243"/>
      <c r="J825" s="123"/>
      <c r="K825" s="123"/>
      <c r="L825" s="246"/>
      <c r="M825" s="123"/>
      <c r="N825" s="123"/>
      <c r="O825" s="123"/>
      <c r="P825" s="123"/>
      <c r="Q825" t="str">
        <f t="shared" si="12"/>
        <v/>
      </c>
    </row>
    <row r="826" spans="3:17" hidden="1">
      <c r="C826" s="123"/>
      <c r="D826" s="123"/>
      <c r="E826" s="124"/>
      <c r="F826" s="124"/>
      <c r="G826" s="130"/>
      <c r="H826" s="124"/>
      <c r="I826" s="243"/>
      <c r="J826" s="123"/>
      <c r="K826" s="123"/>
      <c r="L826" s="246"/>
      <c r="M826" s="123"/>
      <c r="N826" s="123"/>
      <c r="O826" s="123"/>
      <c r="P826" s="123"/>
      <c r="Q826" t="str">
        <f t="shared" si="12"/>
        <v/>
      </c>
    </row>
    <row r="827" spans="3:17" hidden="1">
      <c r="C827" s="123"/>
      <c r="D827" s="123"/>
      <c r="E827" s="124"/>
      <c r="F827" s="124"/>
      <c r="G827" s="130"/>
      <c r="H827" s="124"/>
      <c r="I827" s="243"/>
      <c r="J827" s="123"/>
      <c r="K827" s="123"/>
      <c r="L827" s="246"/>
      <c r="M827" s="123"/>
      <c r="N827" s="123"/>
      <c r="O827" s="123"/>
      <c r="P827" s="123"/>
      <c r="Q827" t="str">
        <f t="shared" si="12"/>
        <v/>
      </c>
    </row>
    <row r="828" spans="3:17" hidden="1">
      <c r="C828" s="123"/>
      <c r="D828" s="123"/>
      <c r="E828" s="124"/>
      <c r="F828" s="124"/>
      <c r="G828" s="130"/>
      <c r="H828" s="124"/>
      <c r="I828" s="243"/>
      <c r="J828" s="123"/>
      <c r="K828" s="123"/>
      <c r="L828" s="246"/>
      <c r="M828" s="123"/>
      <c r="N828" s="123"/>
      <c r="O828" s="123"/>
      <c r="P828" s="123"/>
      <c r="Q828" t="str">
        <f t="shared" si="12"/>
        <v/>
      </c>
    </row>
    <row r="829" spans="3:17" hidden="1">
      <c r="C829" s="123"/>
      <c r="D829" s="123"/>
      <c r="E829" s="124"/>
      <c r="F829" s="124"/>
      <c r="G829" s="130"/>
      <c r="H829" s="124"/>
      <c r="I829" s="243"/>
      <c r="J829" s="123"/>
      <c r="K829" s="123"/>
      <c r="L829" s="246"/>
      <c r="M829" s="123"/>
      <c r="N829" s="123"/>
      <c r="O829" s="123"/>
      <c r="P829" s="123"/>
      <c r="Q829" t="str">
        <f t="shared" si="12"/>
        <v/>
      </c>
    </row>
    <row r="830" spans="3:17" hidden="1">
      <c r="C830" s="123"/>
      <c r="D830" s="123"/>
      <c r="E830" s="124"/>
      <c r="F830" s="124"/>
      <c r="G830" s="130"/>
      <c r="H830" s="124"/>
      <c r="I830" s="243"/>
      <c r="J830" s="123"/>
      <c r="K830" s="123"/>
      <c r="L830" s="246"/>
      <c r="M830" s="123"/>
      <c r="N830" s="123"/>
      <c r="O830" s="123"/>
      <c r="P830" s="123"/>
      <c r="Q830" t="str">
        <f t="shared" si="12"/>
        <v/>
      </c>
    </row>
    <row r="831" spans="3:17" hidden="1">
      <c r="C831" s="123"/>
      <c r="D831" s="123"/>
      <c r="E831" s="124"/>
      <c r="F831" s="124"/>
      <c r="G831" s="130"/>
      <c r="H831" s="124"/>
      <c r="I831" s="243"/>
      <c r="J831" s="123"/>
      <c r="K831" s="123"/>
      <c r="L831" s="246"/>
      <c r="M831" s="123"/>
      <c r="N831" s="123"/>
      <c r="O831" s="123"/>
      <c r="P831" s="123"/>
      <c r="Q831" t="str">
        <f t="shared" si="12"/>
        <v/>
      </c>
    </row>
    <row r="832" spans="3:17" hidden="1">
      <c r="C832" s="123"/>
      <c r="D832" s="123"/>
      <c r="E832" s="124"/>
      <c r="F832" s="124"/>
      <c r="G832" s="130"/>
      <c r="H832" s="124"/>
      <c r="I832" s="243"/>
      <c r="J832" s="123"/>
      <c r="K832" s="123"/>
      <c r="L832" s="246"/>
      <c r="M832" s="123"/>
      <c r="N832" s="123"/>
      <c r="O832" s="123"/>
      <c r="P832" s="123"/>
      <c r="Q832" t="str">
        <f t="shared" si="12"/>
        <v/>
      </c>
    </row>
    <row r="833" spans="3:17" hidden="1">
      <c r="C833" s="123"/>
      <c r="D833" s="123"/>
      <c r="E833" s="124"/>
      <c r="F833" s="124"/>
      <c r="G833" s="130"/>
      <c r="H833" s="124"/>
      <c r="I833" s="243"/>
      <c r="J833" s="123"/>
      <c r="K833" s="123"/>
      <c r="L833" s="246"/>
      <c r="M833" s="123"/>
      <c r="N833" s="123"/>
      <c r="O833" s="123"/>
      <c r="P833" s="123"/>
      <c r="Q833" t="str">
        <f t="shared" si="12"/>
        <v/>
      </c>
    </row>
    <row r="834" spans="3:17" hidden="1">
      <c r="C834" s="123"/>
      <c r="D834" s="123"/>
      <c r="E834" s="124"/>
      <c r="F834" s="124"/>
      <c r="G834" s="130"/>
      <c r="H834" s="124"/>
      <c r="I834" s="243"/>
      <c r="J834" s="123"/>
      <c r="K834" s="123"/>
      <c r="L834" s="246"/>
      <c r="M834" s="123"/>
      <c r="N834" s="123"/>
      <c r="O834" s="123"/>
      <c r="P834" s="123"/>
      <c r="Q834" t="str">
        <f t="shared" si="12"/>
        <v/>
      </c>
    </row>
    <row r="835" spans="3:17" hidden="1">
      <c r="C835" s="123"/>
      <c r="D835" s="123"/>
      <c r="E835" s="124"/>
      <c r="F835" s="124"/>
      <c r="G835" s="130"/>
      <c r="H835" s="124"/>
      <c r="I835" s="243"/>
      <c r="J835" s="123"/>
      <c r="K835" s="123"/>
      <c r="L835" s="246"/>
      <c r="M835" s="123"/>
      <c r="N835" s="123"/>
      <c r="O835" s="123"/>
      <c r="P835" s="123"/>
      <c r="Q835" t="str">
        <f t="shared" si="12"/>
        <v/>
      </c>
    </row>
    <row r="836" spans="3:17" hidden="1">
      <c r="C836" s="123"/>
      <c r="D836" s="123"/>
      <c r="E836" s="124"/>
      <c r="F836" s="124"/>
      <c r="G836" s="130"/>
      <c r="H836" s="124"/>
      <c r="I836" s="243"/>
      <c r="J836" s="123"/>
      <c r="K836" s="123"/>
      <c r="L836" s="246"/>
      <c r="M836" s="123"/>
      <c r="N836" s="123"/>
      <c r="O836" s="123"/>
      <c r="P836" s="123"/>
      <c r="Q836" t="str">
        <f t="shared" si="12"/>
        <v/>
      </c>
    </row>
    <row r="837" spans="3:17" hidden="1">
      <c r="C837" s="123"/>
      <c r="D837" s="123"/>
      <c r="E837" s="124"/>
      <c r="F837" s="124"/>
      <c r="G837" s="130"/>
      <c r="H837" s="124"/>
      <c r="I837" s="243"/>
      <c r="J837" s="123"/>
      <c r="K837" s="123"/>
      <c r="L837" s="246"/>
      <c r="M837" s="123"/>
      <c r="N837" s="123"/>
      <c r="O837" s="123"/>
      <c r="P837" s="123"/>
      <c r="Q837" t="str">
        <f t="shared" si="12"/>
        <v/>
      </c>
    </row>
    <row r="838" spans="3:17" hidden="1">
      <c r="C838" s="123"/>
      <c r="D838" s="123"/>
      <c r="E838" s="124"/>
      <c r="F838" s="124"/>
      <c r="G838" s="130"/>
      <c r="H838" s="124"/>
      <c r="I838" s="243"/>
      <c r="J838" s="123"/>
      <c r="K838" s="123"/>
      <c r="L838" s="246"/>
      <c r="M838" s="123"/>
      <c r="N838" s="123"/>
      <c r="O838" s="123"/>
      <c r="P838" s="123"/>
      <c r="Q838" t="str">
        <f t="shared" si="12"/>
        <v/>
      </c>
    </row>
    <row r="839" spans="3:17" hidden="1">
      <c r="C839" s="123"/>
      <c r="D839" s="123"/>
      <c r="E839" s="124"/>
      <c r="F839" s="124"/>
      <c r="G839" s="130"/>
      <c r="H839" s="124"/>
      <c r="I839" s="243"/>
      <c r="J839" s="123"/>
      <c r="K839" s="123"/>
      <c r="L839" s="246"/>
      <c r="M839" s="123"/>
      <c r="N839" s="123"/>
      <c r="O839" s="123"/>
      <c r="P839" s="123"/>
      <c r="Q839" t="str">
        <f t="shared" ref="Q839:Q902" si="13">IF(D839="","","x")</f>
        <v/>
      </c>
    </row>
    <row r="840" spans="3:17" hidden="1">
      <c r="C840" s="123"/>
      <c r="D840" s="123"/>
      <c r="E840" s="124"/>
      <c r="F840" s="124"/>
      <c r="G840" s="130"/>
      <c r="H840" s="124"/>
      <c r="I840" s="243"/>
      <c r="J840" s="123"/>
      <c r="K840" s="123"/>
      <c r="L840" s="246"/>
      <c r="M840" s="123"/>
      <c r="N840" s="123"/>
      <c r="O840" s="123"/>
      <c r="P840" s="123"/>
      <c r="Q840" t="str">
        <f t="shared" si="13"/>
        <v/>
      </c>
    </row>
    <row r="841" spans="3:17" hidden="1">
      <c r="C841" s="123"/>
      <c r="D841" s="123"/>
      <c r="E841" s="124"/>
      <c r="F841" s="124"/>
      <c r="G841" s="130"/>
      <c r="H841" s="124"/>
      <c r="I841" s="243"/>
      <c r="J841" s="123"/>
      <c r="K841" s="123"/>
      <c r="L841" s="246"/>
      <c r="M841" s="123"/>
      <c r="N841" s="123"/>
      <c r="O841" s="123"/>
      <c r="P841" s="123"/>
      <c r="Q841" t="str">
        <f t="shared" si="13"/>
        <v/>
      </c>
    </row>
    <row r="842" spans="3:17" hidden="1">
      <c r="C842" s="123"/>
      <c r="D842" s="123"/>
      <c r="E842" s="124"/>
      <c r="F842" s="124"/>
      <c r="G842" s="130"/>
      <c r="H842" s="124"/>
      <c r="I842" s="243"/>
      <c r="J842" s="123"/>
      <c r="K842" s="123"/>
      <c r="L842" s="246"/>
      <c r="M842" s="123"/>
      <c r="N842" s="123"/>
      <c r="O842" s="123"/>
      <c r="P842" s="123"/>
      <c r="Q842" t="str">
        <f t="shared" si="13"/>
        <v/>
      </c>
    </row>
    <row r="843" spans="3:17" hidden="1">
      <c r="C843" s="123"/>
      <c r="D843" s="123"/>
      <c r="E843" s="124"/>
      <c r="F843" s="124"/>
      <c r="G843" s="130"/>
      <c r="H843" s="124"/>
      <c r="I843" s="243"/>
      <c r="J843" s="123"/>
      <c r="K843" s="123"/>
      <c r="L843" s="246"/>
      <c r="M843" s="123"/>
      <c r="N843" s="123"/>
      <c r="O843" s="123"/>
      <c r="P843" s="123"/>
      <c r="Q843" t="str">
        <f t="shared" si="13"/>
        <v/>
      </c>
    </row>
    <row r="844" spans="3:17" hidden="1">
      <c r="C844" s="123"/>
      <c r="D844" s="123"/>
      <c r="E844" s="124"/>
      <c r="F844" s="124"/>
      <c r="G844" s="130"/>
      <c r="H844" s="124"/>
      <c r="I844" s="243"/>
      <c r="J844" s="123"/>
      <c r="K844" s="123"/>
      <c r="L844" s="246"/>
      <c r="M844" s="123"/>
      <c r="N844" s="123"/>
      <c r="O844" s="123"/>
      <c r="P844" s="123"/>
      <c r="Q844" t="str">
        <f t="shared" si="13"/>
        <v/>
      </c>
    </row>
    <row r="845" spans="3:17" hidden="1">
      <c r="C845" s="123"/>
      <c r="D845" s="123"/>
      <c r="E845" s="124"/>
      <c r="F845" s="124"/>
      <c r="G845" s="130"/>
      <c r="H845" s="124"/>
      <c r="I845" s="243"/>
      <c r="J845" s="123"/>
      <c r="K845" s="123"/>
      <c r="L845" s="246"/>
      <c r="M845" s="123"/>
      <c r="N845" s="123"/>
      <c r="O845" s="123"/>
      <c r="P845" s="123"/>
      <c r="Q845" t="str">
        <f t="shared" si="13"/>
        <v/>
      </c>
    </row>
    <row r="846" spans="3:17" hidden="1">
      <c r="C846" s="123"/>
      <c r="D846" s="123"/>
      <c r="E846" s="124"/>
      <c r="F846" s="124"/>
      <c r="G846" s="130"/>
      <c r="H846" s="124"/>
      <c r="I846" s="243"/>
      <c r="J846" s="123"/>
      <c r="K846" s="123"/>
      <c r="L846" s="246"/>
      <c r="M846" s="123"/>
      <c r="N846" s="123"/>
      <c r="O846" s="123"/>
      <c r="P846" s="123"/>
      <c r="Q846" t="str">
        <f t="shared" si="13"/>
        <v/>
      </c>
    </row>
    <row r="847" spans="3:17" hidden="1">
      <c r="C847" s="123"/>
      <c r="D847" s="123"/>
      <c r="E847" s="124"/>
      <c r="F847" s="124"/>
      <c r="G847" s="130"/>
      <c r="H847" s="124"/>
      <c r="I847" s="243"/>
      <c r="J847" s="123"/>
      <c r="K847" s="123"/>
      <c r="L847" s="246"/>
      <c r="M847" s="123"/>
      <c r="N847" s="123"/>
      <c r="O847" s="123"/>
      <c r="P847" s="123"/>
      <c r="Q847" t="str">
        <f t="shared" si="13"/>
        <v/>
      </c>
    </row>
    <row r="848" spans="3:17" hidden="1">
      <c r="C848" s="123"/>
      <c r="D848" s="123"/>
      <c r="E848" s="124"/>
      <c r="F848" s="124"/>
      <c r="G848" s="130"/>
      <c r="H848" s="124"/>
      <c r="I848" s="243"/>
      <c r="J848" s="123"/>
      <c r="K848" s="123"/>
      <c r="L848" s="246"/>
      <c r="M848" s="123"/>
      <c r="N848" s="123"/>
      <c r="O848" s="123"/>
      <c r="P848" s="123"/>
      <c r="Q848" t="str">
        <f t="shared" si="13"/>
        <v/>
      </c>
    </row>
    <row r="849" spans="3:17" hidden="1">
      <c r="C849" s="123"/>
      <c r="D849" s="123"/>
      <c r="E849" s="124"/>
      <c r="F849" s="124"/>
      <c r="G849" s="130"/>
      <c r="H849" s="124"/>
      <c r="I849" s="243"/>
      <c r="J849" s="123"/>
      <c r="K849" s="123"/>
      <c r="L849" s="246"/>
      <c r="M849" s="123"/>
      <c r="N849" s="123"/>
      <c r="O849" s="123"/>
      <c r="P849" s="123"/>
      <c r="Q849" t="str">
        <f t="shared" si="13"/>
        <v/>
      </c>
    </row>
    <row r="850" spans="3:17" hidden="1">
      <c r="C850" s="123"/>
      <c r="D850" s="123"/>
      <c r="E850" s="124"/>
      <c r="F850" s="124"/>
      <c r="G850" s="130"/>
      <c r="H850" s="124"/>
      <c r="I850" s="243"/>
      <c r="J850" s="123"/>
      <c r="K850" s="123"/>
      <c r="L850" s="246"/>
      <c r="M850" s="123"/>
      <c r="N850" s="123"/>
      <c r="O850" s="123"/>
      <c r="P850" s="123"/>
      <c r="Q850" t="str">
        <f t="shared" si="13"/>
        <v/>
      </c>
    </row>
    <row r="851" spans="3:17" hidden="1">
      <c r="C851" s="123"/>
      <c r="D851" s="123"/>
      <c r="E851" s="124"/>
      <c r="F851" s="124"/>
      <c r="G851" s="130"/>
      <c r="H851" s="124"/>
      <c r="I851" s="243"/>
      <c r="J851" s="123"/>
      <c r="K851" s="123"/>
      <c r="L851" s="246"/>
      <c r="M851" s="123"/>
      <c r="N851" s="123"/>
      <c r="O851" s="123"/>
      <c r="P851" s="123"/>
      <c r="Q851" t="str">
        <f t="shared" si="13"/>
        <v/>
      </c>
    </row>
    <row r="852" spans="3:17" hidden="1">
      <c r="C852" s="123"/>
      <c r="D852" s="123"/>
      <c r="E852" s="124"/>
      <c r="F852" s="124"/>
      <c r="G852" s="130"/>
      <c r="H852" s="124"/>
      <c r="I852" s="243"/>
      <c r="J852" s="123"/>
      <c r="K852" s="123"/>
      <c r="L852" s="246"/>
      <c r="M852" s="123"/>
      <c r="N852" s="123"/>
      <c r="O852" s="123"/>
      <c r="P852" s="123"/>
      <c r="Q852" t="str">
        <f t="shared" si="13"/>
        <v/>
      </c>
    </row>
    <row r="853" spans="3:17" hidden="1">
      <c r="C853" s="123"/>
      <c r="D853" s="123"/>
      <c r="E853" s="124"/>
      <c r="F853" s="124"/>
      <c r="G853" s="130"/>
      <c r="H853" s="124"/>
      <c r="I853" s="243"/>
      <c r="J853" s="123"/>
      <c r="K853" s="123"/>
      <c r="L853" s="246"/>
      <c r="M853" s="123"/>
      <c r="N853" s="123"/>
      <c r="O853" s="123"/>
      <c r="P853" s="123"/>
      <c r="Q853" t="str">
        <f t="shared" si="13"/>
        <v/>
      </c>
    </row>
    <row r="854" spans="3:17" hidden="1">
      <c r="C854" s="123"/>
      <c r="D854" s="123"/>
      <c r="E854" s="124"/>
      <c r="F854" s="124"/>
      <c r="G854" s="130"/>
      <c r="H854" s="124"/>
      <c r="I854" s="243"/>
      <c r="J854" s="123"/>
      <c r="K854" s="123"/>
      <c r="L854" s="246"/>
      <c r="M854" s="123"/>
      <c r="N854" s="123"/>
      <c r="O854" s="123"/>
      <c r="P854" s="123"/>
      <c r="Q854" t="str">
        <f t="shared" si="13"/>
        <v/>
      </c>
    </row>
    <row r="855" spans="3:17" hidden="1">
      <c r="C855" s="123"/>
      <c r="D855" s="123"/>
      <c r="E855" s="124"/>
      <c r="F855" s="124"/>
      <c r="G855" s="130"/>
      <c r="H855" s="124"/>
      <c r="I855" s="243"/>
      <c r="J855" s="123"/>
      <c r="K855" s="123"/>
      <c r="L855" s="246"/>
      <c r="M855" s="123"/>
      <c r="N855" s="123"/>
      <c r="O855" s="123"/>
      <c r="P855" s="123"/>
      <c r="Q855" t="str">
        <f t="shared" si="13"/>
        <v/>
      </c>
    </row>
    <row r="856" spans="3:17" hidden="1">
      <c r="C856" s="123"/>
      <c r="D856" s="123"/>
      <c r="E856" s="124"/>
      <c r="F856" s="124"/>
      <c r="G856" s="130"/>
      <c r="H856" s="124"/>
      <c r="I856" s="243"/>
      <c r="J856" s="123"/>
      <c r="K856" s="123"/>
      <c r="L856" s="246"/>
      <c r="M856" s="123"/>
      <c r="N856" s="123"/>
      <c r="O856" s="123"/>
      <c r="P856" s="123"/>
      <c r="Q856" t="str">
        <f t="shared" si="13"/>
        <v/>
      </c>
    </row>
    <row r="857" spans="3:17" hidden="1">
      <c r="C857" s="123"/>
      <c r="D857" s="123"/>
      <c r="E857" s="124"/>
      <c r="F857" s="124"/>
      <c r="G857" s="130"/>
      <c r="H857" s="124"/>
      <c r="I857" s="243"/>
      <c r="J857" s="123"/>
      <c r="K857" s="123"/>
      <c r="L857" s="246"/>
      <c r="M857" s="123"/>
      <c r="N857" s="123"/>
      <c r="O857" s="123"/>
      <c r="P857" s="123"/>
      <c r="Q857" t="str">
        <f t="shared" si="13"/>
        <v/>
      </c>
    </row>
    <row r="858" spans="3:17" hidden="1">
      <c r="C858" s="123"/>
      <c r="D858" s="123"/>
      <c r="E858" s="124"/>
      <c r="F858" s="124"/>
      <c r="G858" s="130"/>
      <c r="H858" s="124"/>
      <c r="I858" s="243"/>
      <c r="J858" s="123"/>
      <c r="K858" s="123"/>
      <c r="L858" s="246"/>
      <c r="M858" s="123"/>
      <c r="N858" s="123"/>
      <c r="O858" s="123"/>
      <c r="P858" s="123"/>
      <c r="Q858" t="str">
        <f t="shared" si="13"/>
        <v/>
      </c>
    </row>
    <row r="859" spans="3:17" hidden="1">
      <c r="C859" s="123"/>
      <c r="D859" s="123"/>
      <c r="E859" s="124"/>
      <c r="F859" s="124"/>
      <c r="G859" s="130"/>
      <c r="H859" s="124"/>
      <c r="I859" s="243"/>
      <c r="J859" s="123"/>
      <c r="K859" s="123"/>
      <c r="L859" s="246"/>
      <c r="M859" s="123"/>
      <c r="N859" s="123"/>
      <c r="O859" s="123"/>
      <c r="P859" s="123"/>
      <c r="Q859" t="str">
        <f t="shared" si="13"/>
        <v/>
      </c>
    </row>
    <row r="860" spans="3:17" hidden="1">
      <c r="C860" s="123"/>
      <c r="D860" s="123"/>
      <c r="E860" s="124"/>
      <c r="F860" s="124"/>
      <c r="G860" s="130"/>
      <c r="H860" s="124"/>
      <c r="I860" s="243"/>
      <c r="J860" s="123"/>
      <c r="K860" s="123"/>
      <c r="L860" s="246"/>
      <c r="M860" s="123"/>
      <c r="N860" s="123"/>
      <c r="O860" s="123"/>
      <c r="P860" s="123"/>
      <c r="Q860" t="str">
        <f t="shared" si="13"/>
        <v/>
      </c>
    </row>
    <row r="861" spans="3:17" hidden="1">
      <c r="C861" s="123"/>
      <c r="D861" s="123"/>
      <c r="E861" s="124"/>
      <c r="F861" s="124"/>
      <c r="G861" s="130"/>
      <c r="H861" s="124"/>
      <c r="I861" s="243"/>
      <c r="J861" s="123"/>
      <c r="K861" s="123"/>
      <c r="L861" s="246"/>
      <c r="M861" s="123"/>
      <c r="N861" s="123"/>
      <c r="O861" s="123"/>
      <c r="P861" s="123"/>
      <c r="Q861" t="str">
        <f t="shared" si="13"/>
        <v/>
      </c>
    </row>
    <row r="862" spans="3:17" hidden="1">
      <c r="C862" s="123"/>
      <c r="D862" s="123"/>
      <c r="E862" s="124"/>
      <c r="F862" s="124"/>
      <c r="G862" s="130"/>
      <c r="H862" s="124"/>
      <c r="I862" s="243"/>
      <c r="J862" s="123"/>
      <c r="K862" s="123"/>
      <c r="L862" s="246"/>
      <c r="M862" s="123"/>
      <c r="N862" s="123"/>
      <c r="O862" s="123"/>
      <c r="P862" s="123"/>
      <c r="Q862" t="str">
        <f t="shared" si="13"/>
        <v/>
      </c>
    </row>
    <row r="863" spans="3:17" hidden="1">
      <c r="C863" s="123"/>
      <c r="D863" s="123"/>
      <c r="E863" s="124"/>
      <c r="F863" s="124"/>
      <c r="G863" s="130"/>
      <c r="H863" s="124"/>
      <c r="I863" s="243"/>
      <c r="J863" s="123"/>
      <c r="K863" s="123"/>
      <c r="L863" s="246"/>
      <c r="M863" s="123"/>
      <c r="N863" s="123"/>
      <c r="O863" s="123"/>
      <c r="P863" s="123"/>
      <c r="Q863" t="str">
        <f t="shared" si="13"/>
        <v/>
      </c>
    </row>
    <row r="864" spans="3:17" hidden="1">
      <c r="C864" s="123"/>
      <c r="D864" s="123"/>
      <c r="E864" s="124"/>
      <c r="F864" s="124"/>
      <c r="G864" s="130"/>
      <c r="H864" s="124"/>
      <c r="I864" s="243"/>
      <c r="J864" s="123"/>
      <c r="K864" s="123"/>
      <c r="L864" s="246"/>
      <c r="M864" s="123"/>
      <c r="N864" s="123"/>
      <c r="O864" s="123"/>
      <c r="P864" s="123"/>
      <c r="Q864" t="str">
        <f t="shared" si="13"/>
        <v/>
      </c>
    </row>
    <row r="865" spans="3:17" hidden="1">
      <c r="C865" s="123"/>
      <c r="D865" s="123"/>
      <c r="E865" s="124"/>
      <c r="F865" s="124"/>
      <c r="G865" s="130"/>
      <c r="H865" s="124"/>
      <c r="I865" s="243"/>
      <c r="J865" s="123"/>
      <c r="K865" s="123"/>
      <c r="L865" s="246"/>
      <c r="M865" s="123"/>
      <c r="N865" s="123"/>
      <c r="O865" s="123"/>
      <c r="P865" s="123"/>
      <c r="Q865" t="str">
        <f t="shared" si="13"/>
        <v/>
      </c>
    </row>
    <row r="866" spans="3:17" hidden="1">
      <c r="C866" s="123"/>
      <c r="D866" s="123"/>
      <c r="E866" s="124"/>
      <c r="F866" s="124"/>
      <c r="G866" s="130"/>
      <c r="H866" s="124"/>
      <c r="I866" s="243"/>
      <c r="J866" s="123"/>
      <c r="K866" s="123"/>
      <c r="L866" s="246"/>
      <c r="M866" s="123"/>
      <c r="N866" s="123"/>
      <c r="O866" s="123"/>
      <c r="P866" s="123"/>
      <c r="Q866" t="str">
        <f t="shared" si="13"/>
        <v/>
      </c>
    </row>
    <row r="867" spans="3:17" hidden="1">
      <c r="C867" s="123"/>
      <c r="D867" s="123"/>
      <c r="E867" s="124"/>
      <c r="F867" s="124"/>
      <c r="G867" s="130"/>
      <c r="H867" s="124"/>
      <c r="I867" s="243"/>
      <c r="J867" s="123"/>
      <c r="K867" s="123"/>
      <c r="L867" s="246"/>
      <c r="M867" s="123"/>
      <c r="N867" s="123"/>
      <c r="O867" s="123"/>
      <c r="P867" s="123"/>
      <c r="Q867" t="str">
        <f t="shared" si="13"/>
        <v/>
      </c>
    </row>
    <row r="868" spans="3:17" hidden="1">
      <c r="C868" s="123"/>
      <c r="D868" s="123"/>
      <c r="E868" s="124"/>
      <c r="F868" s="124"/>
      <c r="G868" s="130"/>
      <c r="H868" s="124"/>
      <c r="I868" s="243"/>
      <c r="J868" s="123"/>
      <c r="K868" s="123"/>
      <c r="L868" s="246"/>
      <c r="M868" s="123"/>
      <c r="N868" s="123"/>
      <c r="O868" s="123"/>
      <c r="P868" s="123"/>
      <c r="Q868" t="str">
        <f t="shared" si="13"/>
        <v/>
      </c>
    </row>
    <row r="869" spans="3:17" hidden="1">
      <c r="C869" s="123"/>
      <c r="D869" s="123"/>
      <c r="E869" s="124"/>
      <c r="F869" s="124"/>
      <c r="G869" s="130"/>
      <c r="H869" s="124"/>
      <c r="I869" s="243"/>
      <c r="J869" s="123"/>
      <c r="K869" s="123"/>
      <c r="L869" s="246"/>
      <c r="M869" s="123"/>
      <c r="N869" s="123"/>
      <c r="O869" s="123"/>
      <c r="P869" s="123"/>
      <c r="Q869" t="str">
        <f t="shared" si="13"/>
        <v/>
      </c>
    </row>
    <row r="870" spans="3:17" hidden="1">
      <c r="C870" s="123"/>
      <c r="D870" s="123"/>
      <c r="E870" s="124"/>
      <c r="F870" s="124"/>
      <c r="G870" s="130"/>
      <c r="H870" s="124"/>
      <c r="I870" s="243"/>
      <c r="J870" s="123"/>
      <c r="K870" s="123"/>
      <c r="L870" s="246"/>
      <c r="M870" s="123"/>
      <c r="N870" s="123"/>
      <c r="O870" s="123"/>
      <c r="P870" s="123"/>
      <c r="Q870" t="str">
        <f t="shared" si="13"/>
        <v/>
      </c>
    </row>
    <row r="871" spans="3:17" hidden="1">
      <c r="C871" s="123"/>
      <c r="D871" s="123"/>
      <c r="E871" s="124"/>
      <c r="F871" s="124"/>
      <c r="G871" s="130"/>
      <c r="H871" s="124"/>
      <c r="I871" s="243"/>
      <c r="J871" s="123"/>
      <c r="K871" s="123"/>
      <c r="L871" s="246"/>
      <c r="M871" s="123"/>
      <c r="N871" s="123"/>
      <c r="O871" s="123"/>
      <c r="P871" s="123"/>
      <c r="Q871" t="str">
        <f t="shared" si="13"/>
        <v/>
      </c>
    </row>
    <row r="872" spans="3:17" hidden="1">
      <c r="C872" s="123"/>
      <c r="D872" s="123"/>
      <c r="E872" s="124"/>
      <c r="F872" s="124"/>
      <c r="G872" s="130"/>
      <c r="H872" s="124"/>
      <c r="I872" s="243"/>
      <c r="J872" s="123"/>
      <c r="K872" s="123"/>
      <c r="L872" s="246"/>
      <c r="M872" s="123"/>
      <c r="N872" s="123"/>
      <c r="O872" s="123"/>
      <c r="P872" s="123"/>
      <c r="Q872" t="str">
        <f t="shared" si="13"/>
        <v/>
      </c>
    </row>
    <row r="873" spans="3:17" hidden="1">
      <c r="C873" s="123"/>
      <c r="D873" s="123"/>
      <c r="E873" s="124"/>
      <c r="F873" s="124"/>
      <c r="G873" s="130"/>
      <c r="H873" s="124"/>
      <c r="I873" s="243"/>
      <c r="J873" s="123"/>
      <c r="K873" s="123"/>
      <c r="L873" s="246"/>
      <c r="M873" s="123"/>
      <c r="N873" s="123"/>
      <c r="O873" s="123"/>
      <c r="P873" s="123"/>
      <c r="Q873" t="str">
        <f t="shared" si="13"/>
        <v/>
      </c>
    </row>
    <row r="874" spans="3:17" hidden="1">
      <c r="C874" s="123"/>
      <c r="D874" s="123"/>
      <c r="E874" s="124"/>
      <c r="F874" s="124"/>
      <c r="G874" s="130"/>
      <c r="H874" s="124"/>
      <c r="I874" s="243"/>
      <c r="J874" s="123"/>
      <c r="K874" s="123"/>
      <c r="L874" s="246"/>
      <c r="M874" s="123"/>
      <c r="N874" s="123"/>
      <c r="O874" s="123"/>
      <c r="P874" s="123"/>
      <c r="Q874" t="str">
        <f t="shared" si="13"/>
        <v/>
      </c>
    </row>
    <row r="875" spans="3:17" hidden="1">
      <c r="C875" s="123"/>
      <c r="D875" s="123"/>
      <c r="E875" s="124"/>
      <c r="F875" s="124"/>
      <c r="G875" s="130"/>
      <c r="H875" s="124"/>
      <c r="I875" s="243"/>
      <c r="J875" s="123"/>
      <c r="K875" s="123"/>
      <c r="L875" s="246"/>
      <c r="M875" s="123"/>
      <c r="N875" s="123"/>
      <c r="O875" s="123"/>
      <c r="P875" s="123"/>
      <c r="Q875" t="str">
        <f t="shared" si="13"/>
        <v/>
      </c>
    </row>
    <row r="876" spans="3:17" hidden="1">
      <c r="C876" s="123"/>
      <c r="D876" s="123"/>
      <c r="E876" s="124"/>
      <c r="F876" s="124"/>
      <c r="G876" s="130"/>
      <c r="H876" s="124"/>
      <c r="I876" s="243"/>
      <c r="J876" s="123"/>
      <c r="K876" s="123"/>
      <c r="L876" s="246"/>
      <c r="M876" s="123"/>
      <c r="N876" s="123"/>
      <c r="O876" s="123"/>
      <c r="P876" s="123"/>
      <c r="Q876" t="str">
        <f t="shared" si="13"/>
        <v/>
      </c>
    </row>
    <row r="877" spans="3:17" hidden="1">
      <c r="C877" s="123"/>
      <c r="D877" s="123"/>
      <c r="E877" s="124"/>
      <c r="F877" s="124"/>
      <c r="G877" s="130"/>
      <c r="H877" s="124"/>
      <c r="I877" s="243"/>
      <c r="J877" s="123"/>
      <c r="K877" s="123"/>
      <c r="L877" s="246"/>
      <c r="M877" s="123"/>
      <c r="N877" s="123"/>
      <c r="O877" s="123"/>
      <c r="P877" s="123"/>
      <c r="Q877" t="str">
        <f t="shared" si="13"/>
        <v/>
      </c>
    </row>
    <row r="878" spans="3:17" hidden="1">
      <c r="C878" s="123"/>
      <c r="D878" s="123"/>
      <c r="E878" s="124"/>
      <c r="F878" s="124"/>
      <c r="G878" s="130"/>
      <c r="H878" s="124"/>
      <c r="I878" s="243"/>
      <c r="J878" s="123"/>
      <c r="K878" s="123"/>
      <c r="L878" s="246"/>
      <c r="M878" s="123"/>
      <c r="N878" s="123"/>
      <c r="O878" s="123"/>
      <c r="P878" s="123"/>
      <c r="Q878" t="str">
        <f t="shared" si="13"/>
        <v/>
      </c>
    </row>
    <row r="879" spans="3:17" hidden="1">
      <c r="C879" s="123"/>
      <c r="D879" s="123"/>
      <c r="E879" s="124"/>
      <c r="F879" s="124"/>
      <c r="G879" s="130"/>
      <c r="H879" s="124"/>
      <c r="I879" s="243"/>
      <c r="J879" s="123"/>
      <c r="K879" s="123"/>
      <c r="L879" s="246"/>
      <c r="M879" s="123"/>
      <c r="N879" s="123"/>
      <c r="O879" s="123"/>
      <c r="P879" s="123"/>
      <c r="Q879" t="str">
        <f t="shared" si="13"/>
        <v/>
      </c>
    </row>
    <row r="880" spans="3:17" hidden="1">
      <c r="C880" s="123"/>
      <c r="D880" s="123"/>
      <c r="E880" s="124"/>
      <c r="F880" s="124"/>
      <c r="G880" s="130"/>
      <c r="H880" s="124"/>
      <c r="I880" s="243"/>
      <c r="J880" s="123"/>
      <c r="K880" s="123"/>
      <c r="L880" s="246"/>
      <c r="M880" s="123"/>
      <c r="N880" s="123"/>
      <c r="O880" s="123"/>
      <c r="P880" s="123"/>
      <c r="Q880" t="str">
        <f t="shared" si="13"/>
        <v/>
      </c>
    </row>
    <row r="881" spans="3:17" hidden="1">
      <c r="C881" s="123"/>
      <c r="D881" s="123"/>
      <c r="E881" s="124"/>
      <c r="F881" s="124"/>
      <c r="G881" s="130"/>
      <c r="H881" s="124"/>
      <c r="I881" s="243"/>
      <c r="J881" s="123"/>
      <c r="K881" s="123"/>
      <c r="L881" s="246"/>
      <c r="M881" s="123"/>
      <c r="N881" s="123"/>
      <c r="O881" s="123"/>
      <c r="P881" s="123"/>
      <c r="Q881" t="str">
        <f t="shared" si="13"/>
        <v/>
      </c>
    </row>
    <row r="882" spans="3:17" hidden="1">
      <c r="C882" s="123"/>
      <c r="D882" s="123"/>
      <c r="E882" s="124"/>
      <c r="F882" s="124"/>
      <c r="G882" s="130"/>
      <c r="H882" s="124"/>
      <c r="I882" s="243"/>
      <c r="J882" s="123"/>
      <c r="K882" s="123"/>
      <c r="L882" s="246"/>
      <c r="M882" s="123"/>
      <c r="N882" s="123"/>
      <c r="O882" s="123"/>
      <c r="P882" s="123"/>
      <c r="Q882" t="str">
        <f t="shared" si="13"/>
        <v/>
      </c>
    </row>
    <row r="883" spans="3:17" hidden="1">
      <c r="C883" s="123"/>
      <c r="D883" s="123"/>
      <c r="E883" s="124"/>
      <c r="F883" s="124"/>
      <c r="G883" s="130"/>
      <c r="H883" s="124"/>
      <c r="I883" s="243"/>
      <c r="J883" s="123"/>
      <c r="K883" s="123"/>
      <c r="L883" s="246"/>
      <c r="M883" s="123"/>
      <c r="N883" s="123"/>
      <c r="O883" s="123"/>
      <c r="P883" s="123"/>
      <c r="Q883" t="str">
        <f t="shared" si="13"/>
        <v/>
      </c>
    </row>
    <row r="884" spans="3:17" hidden="1">
      <c r="C884" s="123"/>
      <c r="D884" s="123"/>
      <c r="E884" s="124"/>
      <c r="F884" s="124"/>
      <c r="G884" s="130"/>
      <c r="H884" s="124"/>
      <c r="I884" s="243"/>
      <c r="J884" s="123"/>
      <c r="K884" s="123"/>
      <c r="L884" s="246"/>
      <c r="M884" s="123"/>
      <c r="N884" s="123"/>
      <c r="O884" s="123"/>
      <c r="P884" s="123"/>
      <c r="Q884" t="str">
        <f t="shared" si="13"/>
        <v/>
      </c>
    </row>
    <row r="885" spans="3:17" hidden="1">
      <c r="C885" s="123"/>
      <c r="D885" s="123"/>
      <c r="E885" s="124"/>
      <c r="F885" s="124"/>
      <c r="G885" s="130"/>
      <c r="H885" s="124"/>
      <c r="I885" s="243"/>
      <c r="J885" s="123"/>
      <c r="K885" s="123"/>
      <c r="L885" s="246"/>
      <c r="M885" s="123"/>
      <c r="N885" s="123"/>
      <c r="O885" s="123"/>
      <c r="P885" s="123"/>
      <c r="Q885" t="str">
        <f t="shared" si="13"/>
        <v/>
      </c>
    </row>
    <row r="886" spans="3:17" hidden="1">
      <c r="C886" s="123"/>
      <c r="D886" s="123"/>
      <c r="E886" s="124"/>
      <c r="F886" s="124"/>
      <c r="G886" s="130"/>
      <c r="H886" s="124"/>
      <c r="I886" s="243"/>
      <c r="J886" s="123"/>
      <c r="K886" s="123"/>
      <c r="L886" s="246"/>
      <c r="M886" s="123"/>
      <c r="N886" s="123"/>
      <c r="O886" s="123"/>
      <c r="P886" s="123"/>
      <c r="Q886" t="str">
        <f t="shared" si="13"/>
        <v/>
      </c>
    </row>
    <row r="887" spans="3:17" hidden="1">
      <c r="C887" s="123"/>
      <c r="D887" s="123"/>
      <c r="E887" s="124"/>
      <c r="F887" s="124"/>
      <c r="G887" s="130"/>
      <c r="H887" s="124"/>
      <c r="I887" s="243"/>
      <c r="J887" s="123"/>
      <c r="K887" s="123"/>
      <c r="L887" s="246"/>
      <c r="M887" s="123"/>
      <c r="N887" s="123"/>
      <c r="O887" s="123"/>
      <c r="P887" s="123"/>
      <c r="Q887" t="str">
        <f t="shared" si="13"/>
        <v/>
      </c>
    </row>
    <row r="888" spans="3:17" hidden="1">
      <c r="C888" s="123"/>
      <c r="D888" s="123"/>
      <c r="E888" s="124"/>
      <c r="F888" s="124"/>
      <c r="G888" s="130"/>
      <c r="H888" s="124"/>
      <c r="I888" s="243"/>
      <c r="J888" s="123"/>
      <c r="K888" s="123"/>
      <c r="L888" s="246"/>
      <c r="M888" s="123"/>
      <c r="N888" s="123"/>
      <c r="O888" s="123"/>
      <c r="P888" s="123"/>
      <c r="Q888" t="str">
        <f t="shared" si="13"/>
        <v/>
      </c>
    </row>
    <row r="889" spans="3:17" hidden="1">
      <c r="C889" s="123"/>
      <c r="D889" s="123"/>
      <c r="E889" s="124"/>
      <c r="F889" s="124"/>
      <c r="G889" s="130"/>
      <c r="H889" s="124"/>
      <c r="I889" s="243"/>
      <c r="J889" s="123"/>
      <c r="K889" s="123"/>
      <c r="L889" s="246"/>
      <c r="M889" s="123"/>
      <c r="N889" s="123"/>
      <c r="O889" s="123"/>
      <c r="P889" s="123"/>
      <c r="Q889" t="str">
        <f t="shared" si="13"/>
        <v/>
      </c>
    </row>
    <row r="890" spans="3:17" hidden="1">
      <c r="C890" s="123"/>
      <c r="D890" s="123"/>
      <c r="E890" s="124"/>
      <c r="F890" s="124"/>
      <c r="G890" s="130"/>
      <c r="H890" s="124"/>
      <c r="I890" s="243"/>
      <c r="J890" s="123"/>
      <c r="K890" s="123"/>
      <c r="L890" s="246"/>
      <c r="M890" s="123"/>
      <c r="N890" s="123"/>
      <c r="O890" s="123"/>
      <c r="P890" s="123"/>
      <c r="Q890" t="str">
        <f t="shared" si="13"/>
        <v/>
      </c>
    </row>
    <row r="891" spans="3:17" hidden="1">
      <c r="C891" s="123"/>
      <c r="D891" s="123"/>
      <c r="E891" s="124"/>
      <c r="F891" s="124"/>
      <c r="G891" s="130"/>
      <c r="H891" s="124"/>
      <c r="I891" s="243"/>
      <c r="J891" s="123"/>
      <c r="K891" s="123"/>
      <c r="L891" s="246"/>
      <c r="M891" s="123"/>
      <c r="N891" s="123"/>
      <c r="O891" s="123"/>
      <c r="P891" s="123"/>
      <c r="Q891" t="str">
        <f t="shared" si="13"/>
        <v/>
      </c>
    </row>
    <row r="892" spans="3:17" hidden="1">
      <c r="C892" s="123"/>
      <c r="D892" s="123"/>
      <c r="E892" s="124"/>
      <c r="F892" s="124"/>
      <c r="G892" s="130"/>
      <c r="H892" s="124"/>
      <c r="I892" s="243"/>
      <c r="J892" s="123"/>
      <c r="K892" s="123"/>
      <c r="L892" s="246"/>
      <c r="M892" s="123"/>
      <c r="N892" s="123"/>
      <c r="O892" s="123"/>
      <c r="P892" s="123"/>
      <c r="Q892" t="str">
        <f t="shared" si="13"/>
        <v/>
      </c>
    </row>
    <row r="893" spans="3:17" hidden="1">
      <c r="C893" s="123"/>
      <c r="D893" s="123"/>
      <c r="E893" s="124"/>
      <c r="F893" s="124"/>
      <c r="G893" s="130"/>
      <c r="H893" s="124"/>
      <c r="I893" s="243"/>
      <c r="J893" s="123"/>
      <c r="K893" s="123"/>
      <c r="L893" s="246"/>
      <c r="M893" s="123"/>
      <c r="N893" s="123"/>
      <c r="O893" s="123"/>
      <c r="P893" s="123"/>
      <c r="Q893" t="str">
        <f t="shared" si="13"/>
        <v/>
      </c>
    </row>
    <row r="894" spans="3:17" hidden="1">
      <c r="C894" s="123"/>
      <c r="D894" s="123"/>
      <c r="E894" s="124"/>
      <c r="F894" s="124"/>
      <c r="G894" s="130"/>
      <c r="H894" s="124"/>
      <c r="I894" s="243"/>
      <c r="J894" s="123"/>
      <c r="K894" s="123"/>
      <c r="L894" s="246"/>
      <c r="M894" s="123"/>
      <c r="N894" s="123"/>
      <c r="O894" s="123"/>
      <c r="P894" s="123"/>
      <c r="Q894" t="str">
        <f t="shared" si="13"/>
        <v/>
      </c>
    </row>
    <row r="895" spans="3:17" hidden="1">
      <c r="C895" s="123"/>
      <c r="D895" s="123"/>
      <c r="E895" s="124"/>
      <c r="F895" s="124"/>
      <c r="G895" s="130"/>
      <c r="H895" s="124"/>
      <c r="I895" s="243"/>
      <c r="J895" s="123"/>
      <c r="K895" s="123"/>
      <c r="L895" s="246"/>
      <c r="M895" s="123"/>
      <c r="N895" s="123"/>
      <c r="O895" s="123"/>
      <c r="P895" s="123"/>
      <c r="Q895" t="str">
        <f t="shared" si="13"/>
        <v/>
      </c>
    </row>
    <row r="896" spans="3:17" hidden="1">
      <c r="C896" s="123"/>
      <c r="D896" s="123"/>
      <c r="E896" s="124"/>
      <c r="F896" s="124"/>
      <c r="G896" s="130"/>
      <c r="H896" s="124"/>
      <c r="I896" s="243"/>
      <c r="J896" s="123"/>
      <c r="K896" s="123"/>
      <c r="L896" s="246"/>
      <c r="M896" s="123"/>
      <c r="N896" s="123"/>
      <c r="O896" s="123"/>
      <c r="P896" s="123"/>
      <c r="Q896" t="str">
        <f t="shared" si="13"/>
        <v/>
      </c>
    </row>
    <row r="897" spans="3:17" hidden="1">
      <c r="C897" s="123"/>
      <c r="D897" s="123"/>
      <c r="E897" s="124"/>
      <c r="F897" s="124"/>
      <c r="G897" s="130"/>
      <c r="H897" s="124"/>
      <c r="I897" s="243"/>
      <c r="J897" s="123"/>
      <c r="K897" s="123"/>
      <c r="L897" s="246"/>
      <c r="M897" s="123"/>
      <c r="N897" s="123"/>
      <c r="O897" s="123"/>
      <c r="P897" s="123"/>
      <c r="Q897" t="str">
        <f t="shared" si="13"/>
        <v/>
      </c>
    </row>
    <row r="898" spans="3:17" hidden="1">
      <c r="C898" s="123"/>
      <c r="D898" s="123"/>
      <c r="E898" s="124"/>
      <c r="F898" s="124"/>
      <c r="G898" s="130"/>
      <c r="H898" s="124"/>
      <c r="I898" s="243"/>
      <c r="J898" s="123"/>
      <c r="K898" s="123"/>
      <c r="L898" s="246"/>
      <c r="M898" s="123"/>
      <c r="N898" s="123"/>
      <c r="O898" s="123"/>
      <c r="P898" s="123"/>
      <c r="Q898" t="str">
        <f t="shared" si="13"/>
        <v/>
      </c>
    </row>
    <row r="899" spans="3:17" hidden="1">
      <c r="C899" s="123"/>
      <c r="D899" s="123"/>
      <c r="E899" s="124"/>
      <c r="F899" s="124"/>
      <c r="G899" s="130"/>
      <c r="H899" s="124"/>
      <c r="I899" s="243"/>
      <c r="J899" s="123"/>
      <c r="K899" s="123"/>
      <c r="L899" s="246"/>
      <c r="M899" s="123"/>
      <c r="N899" s="123"/>
      <c r="O899" s="123"/>
      <c r="P899" s="123"/>
      <c r="Q899" t="str">
        <f t="shared" si="13"/>
        <v/>
      </c>
    </row>
    <row r="900" spans="3:17" hidden="1">
      <c r="C900" s="123"/>
      <c r="D900" s="123"/>
      <c r="E900" s="124"/>
      <c r="F900" s="124"/>
      <c r="G900" s="130"/>
      <c r="H900" s="124"/>
      <c r="I900" s="243"/>
      <c r="J900" s="123"/>
      <c r="K900" s="123"/>
      <c r="L900" s="246"/>
      <c r="M900" s="123"/>
      <c r="N900" s="123"/>
      <c r="O900" s="123"/>
      <c r="P900" s="123"/>
      <c r="Q900" t="str">
        <f t="shared" si="13"/>
        <v/>
      </c>
    </row>
    <row r="901" spans="3:17" hidden="1">
      <c r="C901" s="123"/>
      <c r="D901" s="123"/>
      <c r="E901" s="124"/>
      <c r="F901" s="124"/>
      <c r="G901" s="130"/>
      <c r="H901" s="124"/>
      <c r="I901" s="243"/>
      <c r="J901" s="123"/>
      <c r="K901" s="123"/>
      <c r="L901" s="246"/>
      <c r="M901" s="123"/>
      <c r="N901" s="123"/>
      <c r="O901" s="123"/>
      <c r="P901" s="123"/>
      <c r="Q901" t="str">
        <f t="shared" si="13"/>
        <v/>
      </c>
    </row>
    <row r="902" spans="3:17" hidden="1">
      <c r="C902" s="123"/>
      <c r="D902" s="123"/>
      <c r="E902" s="124"/>
      <c r="F902" s="124"/>
      <c r="G902" s="130"/>
      <c r="H902" s="124"/>
      <c r="I902" s="243"/>
      <c r="J902" s="123"/>
      <c r="K902" s="123"/>
      <c r="L902" s="246"/>
      <c r="M902" s="123"/>
      <c r="N902" s="123"/>
      <c r="O902" s="123"/>
      <c r="P902" s="123"/>
      <c r="Q902" t="str">
        <f t="shared" si="13"/>
        <v/>
      </c>
    </row>
    <row r="903" spans="3:17" hidden="1">
      <c r="C903" s="123"/>
      <c r="D903" s="123"/>
      <c r="E903" s="124"/>
      <c r="F903" s="124"/>
      <c r="G903" s="130"/>
      <c r="H903" s="124"/>
      <c r="I903" s="243"/>
      <c r="J903" s="123"/>
      <c r="K903" s="123"/>
      <c r="L903" s="246"/>
      <c r="M903" s="123"/>
      <c r="N903" s="123"/>
      <c r="O903" s="123"/>
      <c r="P903" s="123"/>
      <c r="Q903" t="str">
        <f t="shared" ref="Q903:Q966" si="14">IF(D903="","","x")</f>
        <v/>
      </c>
    </row>
    <row r="904" spans="3:17" hidden="1">
      <c r="C904" s="123"/>
      <c r="D904" s="123"/>
      <c r="E904" s="124"/>
      <c r="F904" s="124"/>
      <c r="G904" s="130"/>
      <c r="H904" s="124"/>
      <c r="I904" s="243"/>
      <c r="J904" s="123"/>
      <c r="K904" s="123"/>
      <c r="L904" s="246"/>
      <c r="M904" s="123"/>
      <c r="N904" s="123"/>
      <c r="O904" s="123"/>
      <c r="P904" s="123"/>
      <c r="Q904" t="str">
        <f t="shared" si="14"/>
        <v/>
      </c>
    </row>
    <row r="905" spans="3:17" hidden="1">
      <c r="C905" s="123"/>
      <c r="D905" s="123"/>
      <c r="E905" s="124"/>
      <c r="F905" s="124"/>
      <c r="G905" s="130"/>
      <c r="H905" s="124"/>
      <c r="I905" s="243"/>
      <c r="J905" s="123"/>
      <c r="K905" s="123"/>
      <c r="L905" s="246"/>
      <c r="M905" s="123"/>
      <c r="N905" s="123"/>
      <c r="O905" s="123"/>
      <c r="P905" s="123"/>
      <c r="Q905" t="str">
        <f t="shared" si="14"/>
        <v/>
      </c>
    </row>
    <row r="906" spans="3:17" hidden="1">
      <c r="C906" s="123"/>
      <c r="D906" s="123"/>
      <c r="E906" s="124"/>
      <c r="F906" s="124"/>
      <c r="G906" s="130"/>
      <c r="H906" s="124"/>
      <c r="I906" s="243"/>
      <c r="J906" s="123"/>
      <c r="K906" s="123"/>
      <c r="L906" s="246"/>
      <c r="M906" s="123"/>
      <c r="N906" s="123"/>
      <c r="O906" s="123"/>
      <c r="P906" s="123"/>
      <c r="Q906" t="str">
        <f t="shared" si="14"/>
        <v/>
      </c>
    </row>
    <row r="907" spans="3:17" hidden="1">
      <c r="C907" s="123"/>
      <c r="D907" s="123"/>
      <c r="E907" s="124"/>
      <c r="F907" s="124"/>
      <c r="G907" s="130"/>
      <c r="H907" s="124"/>
      <c r="I907" s="243"/>
      <c r="J907" s="123"/>
      <c r="K907" s="123"/>
      <c r="L907" s="246"/>
      <c r="M907" s="123"/>
      <c r="N907" s="123"/>
      <c r="O907" s="123"/>
      <c r="P907" s="123"/>
      <c r="Q907" t="str">
        <f t="shared" si="14"/>
        <v/>
      </c>
    </row>
    <row r="908" spans="3:17" hidden="1">
      <c r="C908" s="123"/>
      <c r="D908" s="123"/>
      <c r="E908" s="124"/>
      <c r="F908" s="124"/>
      <c r="G908" s="130"/>
      <c r="H908" s="124"/>
      <c r="I908" s="243"/>
      <c r="J908" s="123"/>
      <c r="K908" s="123"/>
      <c r="L908" s="246"/>
      <c r="M908" s="123"/>
      <c r="N908" s="123"/>
      <c r="O908" s="123"/>
      <c r="P908" s="123"/>
      <c r="Q908" t="str">
        <f t="shared" si="14"/>
        <v/>
      </c>
    </row>
    <row r="909" spans="3:17" hidden="1">
      <c r="C909" s="123"/>
      <c r="D909" s="123"/>
      <c r="E909" s="124"/>
      <c r="F909" s="124"/>
      <c r="G909" s="130"/>
      <c r="H909" s="124"/>
      <c r="I909" s="243"/>
      <c r="J909" s="123"/>
      <c r="K909" s="123"/>
      <c r="L909" s="246"/>
      <c r="M909" s="123"/>
      <c r="N909" s="123"/>
      <c r="O909" s="123"/>
      <c r="P909" s="123"/>
      <c r="Q909" t="str">
        <f t="shared" si="14"/>
        <v/>
      </c>
    </row>
    <row r="910" spans="3:17" hidden="1">
      <c r="C910" s="123"/>
      <c r="D910" s="123"/>
      <c r="E910" s="124"/>
      <c r="F910" s="124"/>
      <c r="G910" s="130"/>
      <c r="H910" s="124"/>
      <c r="I910" s="243"/>
      <c r="J910" s="123"/>
      <c r="K910" s="123"/>
      <c r="L910" s="246"/>
      <c r="M910" s="123"/>
      <c r="N910" s="123"/>
      <c r="O910" s="123"/>
      <c r="P910" s="123"/>
      <c r="Q910" t="str">
        <f t="shared" si="14"/>
        <v/>
      </c>
    </row>
    <row r="911" spans="3:17" hidden="1">
      <c r="C911" s="123"/>
      <c r="D911" s="123"/>
      <c r="E911" s="124"/>
      <c r="F911" s="124"/>
      <c r="G911" s="130"/>
      <c r="H911" s="124"/>
      <c r="I911" s="243"/>
      <c r="J911" s="123"/>
      <c r="K911" s="123"/>
      <c r="L911" s="246"/>
      <c r="M911" s="123"/>
      <c r="N911" s="123"/>
      <c r="O911" s="123"/>
      <c r="P911" s="123"/>
      <c r="Q911" t="str">
        <f t="shared" si="14"/>
        <v/>
      </c>
    </row>
    <row r="912" spans="3:17" hidden="1">
      <c r="C912" s="123"/>
      <c r="D912" s="123"/>
      <c r="E912" s="124"/>
      <c r="F912" s="124"/>
      <c r="G912" s="130"/>
      <c r="H912" s="124"/>
      <c r="I912" s="243"/>
      <c r="J912" s="123"/>
      <c r="K912" s="123"/>
      <c r="L912" s="246"/>
      <c r="M912" s="123"/>
      <c r="N912" s="123"/>
      <c r="O912" s="123"/>
      <c r="P912" s="123"/>
      <c r="Q912" t="str">
        <f t="shared" si="14"/>
        <v/>
      </c>
    </row>
    <row r="913" spans="3:17" hidden="1">
      <c r="C913" s="123"/>
      <c r="D913" s="123"/>
      <c r="E913" s="124"/>
      <c r="F913" s="124"/>
      <c r="G913" s="130"/>
      <c r="H913" s="124"/>
      <c r="I913" s="243"/>
      <c r="J913" s="123"/>
      <c r="K913" s="123"/>
      <c r="L913" s="246"/>
      <c r="M913" s="123"/>
      <c r="N913" s="123"/>
      <c r="O913" s="123"/>
      <c r="P913" s="123"/>
      <c r="Q913" t="str">
        <f t="shared" si="14"/>
        <v/>
      </c>
    </row>
    <row r="914" spans="3:17" hidden="1">
      <c r="C914" s="123"/>
      <c r="D914" s="123"/>
      <c r="E914" s="124"/>
      <c r="F914" s="124"/>
      <c r="G914" s="130"/>
      <c r="H914" s="124"/>
      <c r="I914" s="243"/>
      <c r="J914" s="123"/>
      <c r="K914" s="123"/>
      <c r="L914" s="246"/>
      <c r="M914" s="123"/>
      <c r="N914" s="123"/>
      <c r="O914" s="123"/>
      <c r="P914" s="123"/>
      <c r="Q914" t="str">
        <f t="shared" si="14"/>
        <v/>
      </c>
    </row>
    <row r="915" spans="3:17" hidden="1">
      <c r="C915" s="123"/>
      <c r="D915" s="123"/>
      <c r="E915" s="124"/>
      <c r="F915" s="124"/>
      <c r="G915" s="130"/>
      <c r="H915" s="124"/>
      <c r="I915" s="243"/>
      <c r="J915" s="123"/>
      <c r="K915" s="123"/>
      <c r="L915" s="246"/>
      <c r="M915" s="123"/>
      <c r="N915" s="123"/>
      <c r="O915" s="123"/>
      <c r="P915" s="123"/>
      <c r="Q915" t="str">
        <f t="shared" si="14"/>
        <v/>
      </c>
    </row>
    <row r="916" spans="3:17" hidden="1">
      <c r="C916" s="123"/>
      <c r="D916" s="123"/>
      <c r="E916" s="124"/>
      <c r="F916" s="124"/>
      <c r="G916" s="130"/>
      <c r="H916" s="124"/>
      <c r="I916" s="243"/>
      <c r="J916" s="123"/>
      <c r="K916" s="123"/>
      <c r="L916" s="246"/>
      <c r="M916" s="123"/>
      <c r="N916" s="123"/>
      <c r="O916" s="123"/>
      <c r="P916" s="123"/>
      <c r="Q916" t="str">
        <f t="shared" si="14"/>
        <v/>
      </c>
    </row>
    <row r="917" spans="3:17" hidden="1">
      <c r="C917" s="123"/>
      <c r="D917" s="123"/>
      <c r="E917" s="124"/>
      <c r="F917" s="124"/>
      <c r="G917" s="130"/>
      <c r="H917" s="124"/>
      <c r="I917" s="243"/>
      <c r="J917" s="123"/>
      <c r="K917" s="123"/>
      <c r="L917" s="246"/>
      <c r="M917" s="123"/>
      <c r="N917" s="123"/>
      <c r="O917" s="123"/>
      <c r="P917" s="123"/>
      <c r="Q917" t="str">
        <f t="shared" si="14"/>
        <v/>
      </c>
    </row>
    <row r="918" spans="3:17" hidden="1">
      <c r="C918" s="123"/>
      <c r="D918" s="123"/>
      <c r="E918" s="124"/>
      <c r="F918" s="124"/>
      <c r="G918" s="130"/>
      <c r="H918" s="124"/>
      <c r="I918" s="243"/>
      <c r="J918" s="123"/>
      <c r="K918" s="123"/>
      <c r="L918" s="246"/>
      <c r="M918" s="123"/>
      <c r="N918" s="123"/>
      <c r="O918" s="123"/>
      <c r="P918" s="123"/>
      <c r="Q918" t="str">
        <f t="shared" si="14"/>
        <v/>
      </c>
    </row>
    <row r="919" spans="3:17" hidden="1">
      <c r="C919" s="123"/>
      <c r="D919" s="123"/>
      <c r="E919" s="124"/>
      <c r="F919" s="124"/>
      <c r="G919" s="130"/>
      <c r="H919" s="124"/>
      <c r="I919" s="243"/>
      <c r="J919" s="123"/>
      <c r="K919" s="123"/>
      <c r="L919" s="246"/>
      <c r="M919" s="123"/>
      <c r="N919" s="123"/>
      <c r="O919" s="123"/>
      <c r="P919" s="123"/>
      <c r="Q919" t="str">
        <f t="shared" si="14"/>
        <v/>
      </c>
    </row>
    <row r="920" spans="3:17" hidden="1">
      <c r="C920" s="123"/>
      <c r="D920" s="123"/>
      <c r="E920" s="124"/>
      <c r="F920" s="124"/>
      <c r="G920" s="130"/>
      <c r="H920" s="124"/>
      <c r="I920" s="243"/>
      <c r="J920" s="123"/>
      <c r="K920" s="123"/>
      <c r="L920" s="246"/>
      <c r="M920" s="123"/>
      <c r="N920" s="123"/>
      <c r="O920" s="123"/>
      <c r="P920" s="123"/>
      <c r="Q920" t="str">
        <f t="shared" si="14"/>
        <v/>
      </c>
    </row>
    <row r="921" spans="3:17" hidden="1">
      <c r="C921" s="123"/>
      <c r="D921" s="123"/>
      <c r="E921" s="124"/>
      <c r="F921" s="124"/>
      <c r="G921" s="130"/>
      <c r="H921" s="124"/>
      <c r="I921" s="243"/>
      <c r="J921" s="123"/>
      <c r="K921" s="123"/>
      <c r="L921" s="246"/>
      <c r="M921" s="123"/>
      <c r="N921" s="123"/>
      <c r="O921" s="123"/>
      <c r="P921" s="123"/>
      <c r="Q921" t="str">
        <f t="shared" si="14"/>
        <v/>
      </c>
    </row>
    <row r="922" spans="3:17" hidden="1">
      <c r="C922" s="123"/>
      <c r="D922" s="123"/>
      <c r="E922" s="124"/>
      <c r="F922" s="124"/>
      <c r="G922" s="130"/>
      <c r="H922" s="124"/>
      <c r="I922" s="243"/>
      <c r="J922" s="123"/>
      <c r="K922" s="123"/>
      <c r="L922" s="246"/>
      <c r="M922" s="123"/>
      <c r="N922" s="123"/>
      <c r="O922" s="123"/>
      <c r="P922" s="123"/>
      <c r="Q922" t="str">
        <f t="shared" si="14"/>
        <v/>
      </c>
    </row>
    <row r="923" spans="3:17" hidden="1">
      <c r="C923" s="123"/>
      <c r="D923" s="123"/>
      <c r="E923" s="124"/>
      <c r="F923" s="124"/>
      <c r="G923" s="130"/>
      <c r="H923" s="124"/>
      <c r="I923" s="243"/>
      <c r="J923" s="123"/>
      <c r="K923" s="123"/>
      <c r="L923" s="246"/>
      <c r="M923" s="123"/>
      <c r="N923" s="123"/>
      <c r="O923" s="123"/>
      <c r="P923" s="123"/>
      <c r="Q923" t="str">
        <f t="shared" si="14"/>
        <v/>
      </c>
    </row>
    <row r="924" spans="3:17" hidden="1">
      <c r="C924" s="123"/>
      <c r="D924" s="123"/>
      <c r="E924" s="124"/>
      <c r="F924" s="124"/>
      <c r="G924" s="130"/>
      <c r="H924" s="124"/>
      <c r="I924" s="243"/>
      <c r="J924" s="123"/>
      <c r="K924" s="123"/>
      <c r="L924" s="246"/>
      <c r="M924" s="123"/>
      <c r="N924" s="123"/>
      <c r="O924" s="123"/>
      <c r="P924" s="123"/>
      <c r="Q924" t="str">
        <f t="shared" si="14"/>
        <v/>
      </c>
    </row>
    <row r="925" spans="3:17" hidden="1">
      <c r="C925" s="123"/>
      <c r="D925" s="123"/>
      <c r="E925" s="124"/>
      <c r="F925" s="124"/>
      <c r="G925" s="130"/>
      <c r="H925" s="124"/>
      <c r="I925" s="243"/>
      <c r="J925" s="123"/>
      <c r="K925" s="123"/>
      <c r="L925" s="246"/>
      <c r="M925" s="123"/>
      <c r="N925" s="123"/>
      <c r="O925" s="123"/>
      <c r="P925" s="123"/>
      <c r="Q925" t="str">
        <f t="shared" si="14"/>
        <v/>
      </c>
    </row>
    <row r="926" spans="3:17" hidden="1">
      <c r="C926" s="123"/>
      <c r="D926" s="123"/>
      <c r="E926" s="124"/>
      <c r="F926" s="124"/>
      <c r="G926" s="130"/>
      <c r="H926" s="124"/>
      <c r="I926" s="243"/>
      <c r="J926" s="123"/>
      <c r="K926" s="123"/>
      <c r="L926" s="246"/>
      <c r="M926" s="123"/>
      <c r="N926" s="123"/>
      <c r="O926" s="123"/>
      <c r="P926" s="123"/>
      <c r="Q926" t="str">
        <f t="shared" si="14"/>
        <v/>
      </c>
    </row>
    <row r="927" spans="3:17" hidden="1">
      <c r="C927" s="123"/>
      <c r="D927" s="123"/>
      <c r="E927" s="124"/>
      <c r="F927" s="124"/>
      <c r="G927" s="130"/>
      <c r="H927" s="124"/>
      <c r="I927" s="243"/>
      <c r="J927" s="123"/>
      <c r="K927" s="123"/>
      <c r="L927" s="246"/>
      <c r="M927" s="123"/>
      <c r="N927" s="123"/>
      <c r="O927" s="123"/>
      <c r="P927" s="123"/>
      <c r="Q927" t="str">
        <f t="shared" si="14"/>
        <v/>
      </c>
    </row>
    <row r="928" spans="3:17" hidden="1">
      <c r="C928" s="123"/>
      <c r="D928" s="123"/>
      <c r="E928" s="124"/>
      <c r="F928" s="124"/>
      <c r="G928" s="130"/>
      <c r="H928" s="124"/>
      <c r="I928" s="243"/>
      <c r="J928" s="123"/>
      <c r="K928" s="123"/>
      <c r="L928" s="246"/>
      <c r="M928" s="123"/>
      <c r="N928" s="123"/>
      <c r="O928" s="123"/>
      <c r="P928" s="123"/>
      <c r="Q928" t="str">
        <f t="shared" si="14"/>
        <v/>
      </c>
    </row>
    <row r="929" spans="3:17" hidden="1">
      <c r="C929" s="123"/>
      <c r="D929" s="123"/>
      <c r="E929" s="124"/>
      <c r="F929" s="124"/>
      <c r="G929" s="130"/>
      <c r="H929" s="124"/>
      <c r="I929" s="243"/>
      <c r="J929" s="123"/>
      <c r="K929" s="123"/>
      <c r="L929" s="246"/>
      <c r="M929" s="123"/>
      <c r="N929" s="123"/>
      <c r="O929" s="123"/>
      <c r="P929" s="123"/>
      <c r="Q929" t="str">
        <f t="shared" si="14"/>
        <v/>
      </c>
    </row>
    <row r="930" spans="3:17" hidden="1">
      <c r="C930" s="123"/>
      <c r="D930" s="123"/>
      <c r="E930" s="124"/>
      <c r="F930" s="124"/>
      <c r="G930" s="130"/>
      <c r="H930" s="124"/>
      <c r="I930" s="243"/>
      <c r="J930" s="123"/>
      <c r="K930" s="123"/>
      <c r="L930" s="246"/>
      <c r="M930" s="123"/>
      <c r="N930" s="123"/>
      <c r="O930" s="123"/>
      <c r="P930" s="123"/>
      <c r="Q930" t="str">
        <f t="shared" si="14"/>
        <v/>
      </c>
    </row>
    <row r="931" spans="3:17" hidden="1">
      <c r="C931" s="123"/>
      <c r="D931" s="123"/>
      <c r="E931" s="124"/>
      <c r="F931" s="124"/>
      <c r="G931" s="130"/>
      <c r="H931" s="124"/>
      <c r="I931" s="243"/>
      <c r="J931" s="123"/>
      <c r="K931" s="123"/>
      <c r="L931" s="246"/>
      <c r="M931" s="123"/>
      <c r="N931" s="123"/>
      <c r="O931" s="123"/>
      <c r="P931" s="123"/>
      <c r="Q931" t="str">
        <f t="shared" si="14"/>
        <v/>
      </c>
    </row>
    <row r="932" spans="3:17" hidden="1">
      <c r="C932" s="123"/>
      <c r="D932" s="123"/>
      <c r="E932" s="124"/>
      <c r="F932" s="124"/>
      <c r="G932" s="130"/>
      <c r="H932" s="124"/>
      <c r="I932" s="243"/>
      <c r="J932" s="123"/>
      <c r="K932" s="123"/>
      <c r="L932" s="246"/>
      <c r="M932" s="123"/>
      <c r="N932" s="123"/>
      <c r="O932" s="123"/>
      <c r="P932" s="123"/>
      <c r="Q932" t="str">
        <f t="shared" si="14"/>
        <v/>
      </c>
    </row>
    <row r="933" spans="3:17" hidden="1">
      <c r="C933" s="123"/>
      <c r="D933" s="123"/>
      <c r="E933" s="124"/>
      <c r="F933" s="124"/>
      <c r="G933" s="130"/>
      <c r="H933" s="124"/>
      <c r="I933" s="243"/>
      <c r="J933" s="123"/>
      <c r="K933" s="123"/>
      <c r="L933" s="246"/>
      <c r="M933" s="123"/>
      <c r="N933" s="123"/>
      <c r="O933" s="123"/>
      <c r="P933" s="123"/>
      <c r="Q933" t="str">
        <f t="shared" si="14"/>
        <v/>
      </c>
    </row>
    <row r="934" spans="3:17" hidden="1">
      <c r="C934" s="123"/>
      <c r="D934" s="123"/>
      <c r="E934" s="124"/>
      <c r="F934" s="124"/>
      <c r="G934" s="130"/>
      <c r="H934" s="124"/>
      <c r="I934" s="243"/>
      <c r="J934" s="123"/>
      <c r="K934" s="123"/>
      <c r="L934" s="246"/>
      <c r="M934" s="123"/>
      <c r="N934" s="123"/>
      <c r="O934" s="123"/>
      <c r="P934" s="123"/>
      <c r="Q934" t="str">
        <f t="shared" si="14"/>
        <v/>
      </c>
    </row>
    <row r="935" spans="3:17" hidden="1">
      <c r="C935" s="123"/>
      <c r="D935" s="123"/>
      <c r="E935" s="124"/>
      <c r="F935" s="124"/>
      <c r="G935" s="130"/>
      <c r="H935" s="124"/>
      <c r="I935" s="243"/>
      <c r="J935" s="123"/>
      <c r="K935" s="123"/>
      <c r="L935" s="246"/>
      <c r="M935" s="123"/>
      <c r="N935" s="123"/>
      <c r="O935" s="123"/>
      <c r="P935" s="123"/>
      <c r="Q935" t="str">
        <f t="shared" si="14"/>
        <v/>
      </c>
    </row>
    <row r="936" spans="3:17" hidden="1">
      <c r="C936" s="123"/>
      <c r="D936" s="123"/>
      <c r="E936" s="124"/>
      <c r="F936" s="124"/>
      <c r="G936" s="130"/>
      <c r="H936" s="124"/>
      <c r="I936" s="243"/>
      <c r="J936" s="123"/>
      <c r="K936" s="123"/>
      <c r="L936" s="246"/>
      <c r="M936" s="123"/>
      <c r="N936" s="123"/>
      <c r="O936" s="123"/>
      <c r="P936" s="123"/>
      <c r="Q936" t="str">
        <f t="shared" si="14"/>
        <v/>
      </c>
    </row>
    <row r="937" spans="3:17" hidden="1">
      <c r="C937" s="123"/>
      <c r="D937" s="123"/>
      <c r="E937" s="124"/>
      <c r="F937" s="124"/>
      <c r="G937" s="130"/>
      <c r="H937" s="124"/>
      <c r="I937" s="243"/>
      <c r="J937" s="123"/>
      <c r="K937" s="123"/>
      <c r="L937" s="246"/>
      <c r="M937" s="123"/>
      <c r="N937" s="123"/>
      <c r="O937" s="123"/>
      <c r="P937" s="123"/>
      <c r="Q937" t="str">
        <f t="shared" si="14"/>
        <v/>
      </c>
    </row>
    <row r="938" spans="3:17" hidden="1">
      <c r="C938" s="123"/>
      <c r="D938" s="123"/>
      <c r="E938" s="124"/>
      <c r="F938" s="124"/>
      <c r="G938" s="130"/>
      <c r="H938" s="124"/>
      <c r="I938" s="243"/>
      <c r="J938" s="123"/>
      <c r="K938" s="123"/>
      <c r="L938" s="246"/>
      <c r="M938" s="123"/>
      <c r="N938" s="123"/>
      <c r="O938" s="123"/>
      <c r="P938" s="123"/>
      <c r="Q938" t="str">
        <f t="shared" si="14"/>
        <v/>
      </c>
    </row>
    <row r="939" spans="3:17" hidden="1">
      <c r="C939" s="123"/>
      <c r="D939" s="123"/>
      <c r="E939" s="124"/>
      <c r="F939" s="124"/>
      <c r="G939" s="130"/>
      <c r="H939" s="124"/>
      <c r="I939" s="243"/>
      <c r="J939" s="123"/>
      <c r="K939" s="123"/>
      <c r="L939" s="246"/>
      <c r="M939" s="123"/>
      <c r="N939" s="123"/>
      <c r="O939" s="123"/>
      <c r="P939" s="123"/>
      <c r="Q939" t="str">
        <f t="shared" si="14"/>
        <v/>
      </c>
    </row>
    <row r="940" spans="3:17" hidden="1">
      <c r="C940" s="123"/>
      <c r="D940" s="123"/>
      <c r="E940" s="124"/>
      <c r="F940" s="124"/>
      <c r="G940" s="130"/>
      <c r="H940" s="124"/>
      <c r="I940" s="243"/>
      <c r="J940" s="123"/>
      <c r="K940" s="123"/>
      <c r="L940" s="246"/>
      <c r="M940" s="123"/>
      <c r="N940" s="123"/>
      <c r="O940" s="123"/>
      <c r="P940" s="123"/>
      <c r="Q940" t="str">
        <f t="shared" si="14"/>
        <v/>
      </c>
    </row>
    <row r="941" spans="3:17" hidden="1">
      <c r="C941" s="123"/>
      <c r="D941" s="123"/>
      <c r="E941" s="124"/>
      <c r="F941" s="124"/>
      <c r="G941" s="130"/>
      <c r="H941" s="124"/>
      <c r="I941" s="243"/>
      <c r="J941" s="123"/>
      <c r="K941" s="123"/>
      <c r="L941" s="246"/>
      <c r="M941" s="123"/>
      <c r="N941" s="123"/>
      <c r="O941" s="123"/>
      <c r="P941" s="123"/>
      <c r="Q941" t="str">
        <f t="shared" si="14"/>
        <v/>
      </c>
    </row>
    <row r="942" spans="3:17" hidden="1">
      <c r="C942" s="123"/>
      <c r="D942" s="123"/>
      <c r="E942" s="124"/>
      <c r="F942" s="124"/>
      <c r="G942" s="130"/>
      <c r="H942" s="124"/>
      <c r="I942" s="243"/>
      <c r="J942" s="123"/>
      <c r="K942" s="123"/>
      <c r="L942" s="246"/>
      <c r="M942" s="123"/>
      <c r="N942" s="123"/>
      <c r="O942" s="123"/>
      <c r="P942" s="123"/>
      <c r="Q942" t="str">
        <f t="shared" si="14"/>
        <v/>
      </c>
    </row>
    <row r="943" spans="3:17" hidden="1">
      <c r="C943" s="123"/>
      <c r="D943" s="123"/>
      <c r="E943" s="124"/>
      <c r="F943" s="124"/>
      <c r="G943" s="130"/>
      <c r="H943" s="124"/>
      <c r="I943" s="243"/>
      <c r="J943" s="123"/>
      <c r="K943" s="123"/>
      <c r="L943" s="246"/>
      <c r="M943" s="123"/>
      <c r="N943" s="123"/>
      <c r="O943" s="123"/>
      <c r="P943" s="123"/>
      <c r="Q943" t="str">
        <f t="shared" si="14"/>
        <v/>
      </c>
    </row>
    <row r="944" spans="3:17" hidden="1">
      <c r="C944" s="123"/>
      <c r="D944" s="123"/>
      <c r="E944" s="124"/>
      <c r="F944" s="124"/>
      <c r="G944" s="130"/>
      <c r="H944" s="124"/>
      <c r="I944" s="243"/>
      <c r="J944" s="123"/>
      <c r="K944" s="123"/>
      <c r="L944" s="246"/>
      <c r="M944" s="123"/>
      <c r="N944" s="123"/>
      <c r="O944" s="123"/>
      <c r="P944" s="123"/>
      <c r="Q944" t="str">
        <f t="shared" si="14"/>
        <v/>
      </c>
    </row>
    <row r="945" spans="3:17" hidden="1">
      <c r="C945" s="123"/>
      <c r="D945" s="123"/>
      <c r="E945" s="124"/>
      <c r="F945" s="124"/>
      <c r="G945" s="130"/>
      <c r="H945" s="124"/>
      <c r="I945" s="243"/>
      <c r="J945" s="123"/>
      <c r="K945" s="123"/>
      <c r="L945" s="246"/>
      <c r="M945" s="123"/>
      <c r="N945" s="123"/>
      <c r="O945" s="123"/>
      <c r="P945" s="123"/>
      <c r="Q945" t="str">
        <f t="shared" si="14"/>
        <v/>
      </c>
    </row>
    <row r="946" spans="3:17" hidden="1">
      <c r="C946" s="123"/>
      <c r="D946" s="123"/>
      <c r="E946" s="124"/>
      <c r="F946" s="124"/>
      <c r="G946" s="130"/>
      <c r="H946" s="124"/>
      <c r="I946" s="243"/>
      <c r="J946" s="123"/>
      <c r="K946" s="123"/>
      <c r="L946" s="246"/>
      <c r="M946" s="123"/>
      <c r="N946" s="123"/>
      <c r="O946" s="123"/>
      <c r="P946" s="123"/>
      <c r="Q946" t="str">
        <f t="shared" si="14"/>
        <v/>
      </c>
    </row>
    <row r="947" spans="3:17" hidden="1">
      <c r="C947" s="123"/>
      <c r="D947" s="123"/>
      <c r="E947" s="124"/>
      <c r="F947" s="124"/>
      <c r="G947" s="130"/>
      <c r="H947" s="124"/>
      <c r="I947" s="243"/>
      <c r="J947" s="123"/>
      <c r="K947" s="123"/>
      <c r="L947" s="246"/>
      <c r="M947" s="123"/>
      <c r="N947" s="123"/>
      <c r="O947" s="123"/>
      <c r="P947" s="123"/>
      <c r="Q947" t="str">
        <f t="shared" si="14"/>
        <v/>
      </c>
    </row>
    <row r="948" spans="3:17" hidden="1">
      <c r="C948" s="123"/>
      <c r="D948" s="123"/>
      <c r="E948" s="124"/>
      <c r="F948" s="124"/>
      <c r="G948" s="130"/>
      <c r="H948" s="124"/>
      <c r="I948" s="243"/>
      <c r="J948" s="123"/>
      <c r="K948" s="123"/>
      <c r="L948" s="246"/>
      <c r="M948" s="123"/>
      <c r="N948" s="123"/>
      <c r="O948" s="123"/>
      <c r="P948" s="123"/>
      <c r="Q948" t="str">
        <f t="shared" si="14"/>
        <v/>
      </c>
    </row>
    <row r="949" spans="3:17" hidden="1">
      <c r="C949" s="123"/>
      <c r="D949" s="123"/>
      <c r="E949" s="124"/>
      <c r="F949" s="124"/>
      <c r="G949" s="130"/>
      <c r="H949" s="124"/>
      <c r="I949" s="243"/>
      <c r="J949" s="123"/>
      <c r="K949" s="123"/>
      <c r="L949" s="246"/>
      <c r="M949" s="123"/>
      <c r="N949" s="123"/>
      <c r="O949" s="123"/>
      <c r="P949" s="123"/>
      <c r="Q949" t="str">
        <f t="shared" si="14"/>
        <v/>
      </c>
    </row>
    <row r="950" spans="3:17" hidden="1">
      <c r="C950" s="123"/>
      <c r="D950" s="123"/>
      <c r="E950" s="124"/>
      <c r="F950" s="124"/>
      <c r="G950" s="130"/>
      <c r="H950" s="124"/>
      <c r="I950" s="243"/>
      <c r="J950" s="123"/>
      <c r="K950" s="123"/>
      <c r="L950" s="246"/>
      <c r="M950" s="123"/>
      <c r="N950" s="123"/>
      <c r="O950" s="123"/>
      <c r="P950" s="123"/>
      <c r="Q950" t="str">
        <f t="shared" si="14"/>
        <v/>
      </c>
    </row>
    <row r="951" spans="3:17" hidden="1">
      <c r="C951" s="123"/>
      <c r="D951" s="123"/>
      <c r="E951" s="124"/>
      <c r="F951" s="124"/>
      <c r="G951" s="130"/>
      <c r="H951" s="124"/>
      <c r="I951" s="243"/>
      <c r="J951" s="123"/>
      <c r="K951" s="123"/>
      <c r="L951" s="246"/>
      <c r="M951" s="123"/>
      <c r="N951" s="123"/>
      <c r="O951" s="123"/>
      <c r="P951" s="123"/>
      <c r="Q951" t="str">
        <f t="shared" si="14"/>
        <v/>
      </c>
    </row>
    <row r="952" spans="3:17" hidden="1">
      <c r="C952" s="123"/>
      <c r="D952" s="123"/>
      <c r="E952" s="124"/>
      <c r="F952" s="124"/>
      <c r="G952" s="130"/>
      <c r="H952" s="124"/>
      <c r="I952" s="243"/>
      <c r="J952" s="123"/>
      <c r="K952" s="123"/>
      <c r="L952" s="246"/>
      <c r="M952" s="123"/>
      <c r="N952" s="123"/>
      <c r="O952" s="123"/>
      <c r="P952" s="123"/>
      <c r="Q952" t="str">
        <f t="shared" si="14"/>
        <v/>
      </c>
    </row>
    <row r="953" spans="3:17" hidden="1">
      <c r="C953" s="123"/>
      <c r="D953" s="123"/>
      <c r="E953" s="124"/>
      <c r="F953" s="124"/>
      <c r="G953" s="130"/>
      <c r="H953" s="124"/>
      <c r="I953" s="243"/>
      <c r="J953" s="123"/>
      <c r="K953" s="123"/>
      <c r="L953" s="246"/>
      <c r="M953" s="123"/>
      <c r="N953" s="123"/>
      <c r="O953" s="123"/>
      <c r="P953" s="123"/>
      <c r="Q953" t="str">
        <f t="shared" si="14"/>
        <v/>
      </c>
    </row>
    <row r="954" spans="3:17" hidden="1">
      <c r="C954" s="123"/>
      <c r="D954" s="123"/>
      <c r="E954" s="124"/>
      <c r="F954" s="124"/>
      <c r="G954" s="130"/>
      <c r="H954" s="124"/>
      <c r="I954" s="243"/>
      <c r="J954" s="123"/>
      <c r="K954" s="123"/>
      <c r="L954" s="246"/>
      <c r="M954" s="123"/>
      <c r="N954" s="123"/>
      <c r="O954" s="123"/>
      <c r="P954" s="123"/>
      <c r="Q954" t="str">
        <f t="shared" si="14"/>
        <v/>
      </c>
    </row>
    <row r="955" spans="3:17" hidden="1">
      <c r="C955" s="123"/>
      <c r="D955" s="123"/>
      <c r="E955" s="124"/>
      <c r="F955" s="124"/>
      <c r="G955" s="130"/>
      <c r="H955" s="124"/>
      <c r="I955" s="243"/>
      <c r="J955" s="123"/>
      <c r="K955" s="123"/>
      <c r="L955" s="246"/>
      <c r="M955" s="123"/>
      <c r="N955" s="123"/>
      <c r="O955" s="123"/>
      <c r="P955" s="123"/>
      <c r="Q955" t="str">
        <f t="shared" si="14"/>
        <v/>
      </c>
    </row>
    <row r="956" spans="3:17" hidden="1">
      <c r="C956" s="123"/>
      <c r="D956" s="123"/>
      <c r="E956" s="124"/>
      <c r="F956" s="124"/>
      <c r="G956" s="130"/>
      <c r="H956" s="124"/>
      <c r="I956" s="243"/>
      <c r="J956" s="123"/>
      <c r="K956" s="123"/>
      <c r="L956" s="246"/>
      <c r="M956" s="123"/>
      <c r="N956" s="123"/>
      <c r="O956" s="123"/>
      <c r="P956" s="123"/>
      <c r="Q956" t="str">
        <f t="shared" si="14"/>
        <v/>
      </c>
    </row>
    <row r="957" spans="3:17" hidden="1">
      <c r="C957" s="123"/>
      <c r="D957" s="123"/>
      <c r="E957" s="124"/>
      <c r="F957" s="124"/>
      <c r="G957" s="130"/>
      <c r="H957" s="124"/>
      <c r="I957" s="243"/>
      <c r="J957" s="123"/>
      <c r="K957" s="123"/>
      <c r="L957" s="246"/>
      <c r="M957" s="123"/>
      <c r="N957" s="123"/>
      <c r="O957" s="123"/>
      <c r="P957" s="123"/>
      <c r="Q957" t="str">
        <f t="shared" si="14"/>
        <v/>
      </c>
    </row>
    <row r="958" spans="3:17" hidden="1">
      <c r="C958" s="123"/>
      <c r="D958" s="123"/>
      <c r="E958" s="124"/>
      <c r="F958" s="124"/>
      <c r="G958" s="130"/>
      <c r="H958" s="124"/>
      <c r="I958" s="243"/>
      <c r="J958" s="123"/>
      <c r="K958" s="123"/>
      <c r="L958" s="246"/>
      <c r="M958" s="123"/>
      <c r="N958" s="123"/>
      <c r="O958" s="123"/>
      <c r="P958" s="123"/>
      <c r="Q958" t="str">
        <f t="shared" si="14"/>
        <v/>
      </c>
    </row>
    <row r="959" spans="3:17" hidden="1">
      <c r="C959" s="123"/>
      <c r="D959" s="123"/>
      <c r="E959" s="124"/>
      <c r="F959" s="124"/>
      <c r="G959" s="130"/>
      <c r="H959" s="124"/>
      <c r="I959" s="243"/>
      <c r="J959" s="123"/>
      <c r="K959" s="123"/>
      <c r="L959" s="246"/>
      <c r="M959" s="123"/>
      <c r="N959" s="123"/>
      <c r="O959" s="123"/>
      <c r="P959" s="123"/>
      <c r="Q959" t="str">
        <f t="shared" si="14"/>
        <v/>
      </c>
    </row>
    <row r="960" spans="3:17" hidden="1">
      <c r="C960" s="123"/>
      <c r="D960" s="123"/>
      <c r="E960" s="124"/>
      <c r="F960" s="124"/>
      <c r="G960" s="130"/>
      <c r="H960" s="124"/>
      <c r="I960" s="243"/>
      <c r="J960" s="123"/>
      <c r="K960" s="123"/>
      <c r="L960" s="246"/>
      <c r="M960" s="123"/>
      <c r="N960" s="123"/>
      <c r="O960" s="123"/>
      <c r="P960" s="123"/>
      <c r="Q960" t="str">
        <f t="shared" si="14"/>
        <v/>
      </c>
    </row>
    <row r="961" spans="3:17" hidden="1">
      <c r="C961" s="123"/>
      <c r="D961" s="123"/>
      <c r="E961" s="124"/>
      <c r="F961" s="124"/>
      <c r="G961" s="130"/>
      <c r="H961" s="124"/>
      <c r="I961" s="243"/>
      <c r="J961" s="123"/>
      <c r="K961" s="123"/>
      <c r="L961" s="246"/>
      <c r="M961" s="123"/>
      <c r="N961" s="123"/>
      <c r="O961" s="123"/>
      <c r="P961" s="123"/>
      <c r="Q961" t="str">
        <f t="shared" si="14"/>
        <v/>
      </c>
    </row>
    <row r="962" spans="3:17" hidden="1">
      <c r="C962" s="123"/>
      <c r="D962" s="123"/>
      <c r="E962" s="124"/>
      <c r="F962" s="124"/>
      <c r="G962" s="130"/>
      <c r="H962" s="124"/>
      <c r="I962" s="243"/>
      <c r="J962" s="123"/>
      <c r="K962" s="123"/>
      <c r="L962" s="246"/>
      <c r="M962" s="123"/>
      <c r="N962" s="123"/>
      <c r="O962" s="123"/>
      <c r="P962" s="123"/>
      <c r="Q962" t="str">
        <f t="shared" si="14"/>
        <v/>
      </c>
    </row>
    <row r="963" spans="3:17" hidden="1">
      <c r="C963" s="123"/>
      <c r="D963" s="123"/>
      <c r="E963" s="124"/>
      <c r="F963" s="124"/>
      <c r="G963" s="130"/>
      <c r="H963" s="124"/>
      <c r="I963" s="243"/>
      <c r="J963" s="123"/>
      <c r="K963" s="123"/>
      <c r="L963" s="246"/>
      <c r="M963" s="123"/>
      <c r="N963" s="123"/>
      <c r="O963" s="123"/>
      <c r="P963" s="123"/>
      <c r="Q963" t="str">
        <f t="shared" si="14"/>
        <v/>
      </c>
    </row>
    <row r="964" spans="3:17" hidden="1">
      <c r="C964" s="123"/>
      <c r="D964" s="123"/>
      <c r="E964" s="124"/>
      <c r="F964" s="124"/>
      <c r="G964" s="130"/>
      <c r="H964" s="124"/>
      <c r="I964" s="243"/>
      <c r="J964" s="123"/>
      <c r="K964" s="123"/>
      <c r="L964" s="246"/>
      <c r="M964" s="123"/>
      <c r="N964" s="123"/>
      <c r="O964" s="123"/>
      <c r="P964" s="123"/>
      <c r="Q964" t="str">
        <f t="shared" si="14"/>
        <v/>
      </c>
    </row>
    <row r="965" spans="3:17" hidden="1">
      <c r="C965" s="123"/>
      <c r="D965" s="123"/>
      <c r="E965" s="124"/>
      <c r="F965" s="124"/>
      <c r="G965" s="130"/>
      <c r="H965" s="124"/>
      <c r="I965" s="243"/>
      <c r="J965" s="123"/>
      <c r="K965" s="123"/>
      <c r="L965" s="246"/>
      <c r="M965" s="123"/>
      <c r="N965" s="123"/>
      <c r="O965" s="123"/>
      <c r="P965" s="123"/>
      <c r="Q965" t="str">
        <f t="shared" si="14"/>
        <v/>
      </c>
    </row>
    <row r="966" spans="3:17" hidden="1">
      <c r="C966" s="123"/>
      <c r="D966" s="123"/>
      <c r="E966" s="124"/>
      <c r="F966" s="124"/>
      <c r="G966" s="130"/>
      <c r="H966" s="124"/>
      <c r="I966" s="243"/>
      <c r="J966" s="123"/>
      <c r="K966" s="123"/>
      <c r="L966" s="246"/>
      <c r="M966" s="123"/>
      <c r="N966" s="123"/>
      <c r="O966" s="123"/>
      <c r="P966" s="123"/>
      <c r="Q966" t="str">
        <f t="shared" si="14"/>
        <v/>
      </c>
    </row>
    <row r="967" spans="3:17" hidden="1">
      <c r="C967" s="123"/>
      <c r="D967" s="123"/>
      <c r="E967" s="124"/>
      <c r="F967" s="124"/>
      <c r="G967" s="130"/>
      <c r="H967" s="124"/>
      <c r="I967" s="243"/>
      <c r="J967" s="123"/>
      <c r="K967" s="123"/>
      <c r="L967" s="246"/>
      <c r="M967" s="123"/>
      <c r="N967" s="123"/>
      <c r="O967" s="123"/>
      <c r="P967" s="123"/>
      <c r="Q967" t="str">
        <f t="shared" ref="Q967:Q1030" si="15">IF(D967="","","x")</f>
        <v/>
      </c>
    </row>
    <row r="968" spans="3:17" hidden="1">
      <c r="C968" s="123"/>
      <c r="D968" s="123"/>
      <c r="E968" s="124"/>
      <c r="F968" s="124"/>
      <c r="G968" s="130"/>
      <c r="H968" s="124"/>
      <c r="I968" s="243"/>
      <c r="J968" s="123"/>
      <c r="K968" s="123"/>
      <c r="L968" s="246"/>
      <c r="M968" s="123"/>
      <c r="N968" s="123"/>
      <c r="O968" s="123"/>
      <c r="P968" s="123"/>
      <c r="Q968" t="str">
        <f t="shared" si="15"/>
        <v/>
      </c>
    </row>
    <row r="969" spans="3:17" hidden="1">
      <c r="C969" s="123"/>
      <c r="D969" s="123"/>
      <c r="E969" s="124"/>
      <c r="F969" s="124"/>
      <c r="G969" s="130"/>
      <c r="H969" s="124"/>
      <c r="I969" s="243"/>
      <c r="J969" s="123"/>
      <c r="K969" s="123"/>
      <c r="L969" s="246"/>
      <c r="M969" s="123"/>
      <c r="N969" s="123"/>
      <c r="O969" s="123"/>
      <c r="P969" s="123"/>
      <c r="Q969" t="str">
        <f t="shared" si="15"/>
        <v/>
      </c>
    </row>
    <row r="970" spans="3:17" hidden="1">
      <c r="C970" s="123"/>
      <c r="D970" s="123"/>
      <c r="E970" s="124"/>
      <c r="F970" s="124"/>
      <c r="G970" s="130"/>
      <c r="H970" s="124"/>
      <c r="I970" s="243"/>
      <c r="J970" s="123"/>
      <c r="K970" s="123"/>
      <c r="L970" s="246"/>
      <c r="M970" s="123"/>
      <c r="N970" s="123"/>
      <c r="O970" s="123"/>
      <c r="P970" s="123"/>
      <c r="Q970" t="str">
        <f t="shared" si="15"/>
        <v/>
      </c>
    </row>
    <row r="971" spans="3:17" hidden="1">
      <c r="C971" s="123"/>
      <c r="D971" s="123"/>
      <c r="E971" s="124"/>
      <c r="F971" s="124"/>
      <c r="G971" s="130"/>
      <c r="H971" s="124"/>
      <c r="I971" s="243"/>
      <c r="J971" s="123"/>
      <c r="K971" s="123"/>
      <c r="L971" s="246"/>
      <c r="M971" s="123"/>
      <c r="N971" s="123"/>
      <c r="O971" s="123"/>
      <c r="P971" s="123"/>
      <c r="Q971" t="str">
        <f t="shared" si="15"/>
        <v/>
      </c>
    </row>
    <row r="972" spans="3:17" hidden="1">
      <c r="C972" s="123"/>
      <c r="D972" s="123"/>
      <c r="E972" s="124"/>
      <c r="F972" s="124"/>
      <c r="G972" s="130"/>
      <c r="H972" s="124"/>
      <c r="I972" s="243"/>
      <c r="J972" s="123"/>
      <c r="K972" s="123"/>
      <c r="L972" s="246"/>
      <c r="M972" s="123"/>
      <c r="N972" s="123"/>
      <c r="O972" s="123"/>
      <c r="P972" s="123"/>
      <c r="Q972" t="str">
        <f t="shared" si="15"/>
        <v/>
      </c>
    </row>
    <row r="973" spans="3:17" hidden="1">
      <c r="C973" s="123"/>
      <c r="D973" s="123"/>
      <c r="E973" s="124"/>
      <c r="F973" s="124"/>
      <c r="G973" s="130"/>
      <c r="H973" s="124"/>
      <c r="I973" s="243"/>
      <c r="J973" s="123"/>
      <c r="K973" s="123"/>
      <c r="L973" s="246"/>
      <c r="M973" s="123"/>
      <c r="N973" s="123"/>
      <c r="O973" s="123"/>
      <c r="P973" s="123"/>
      <c r="Q973" t="str">
        <f t="shared" si="15"/>
        <v/>
      </c>
    </row>
    <row r="974" spans="3:17" hidden="1">
      <c r="C974" s="123"/>
      <c r="D974" s="123"/>
      <c r="E974" s="124"/>
      <c r="F974" s="124"/>
      <c r="G974" s="130"/>
      <c r="H974" s="124"/>
      <c r="I974" s="243"/>
      <c r="J974" s="123"/>
      <c r="K974" s="123"/>
      <c r="L974" s="246"/>
      <c r="M974" s="123"/>
      <c r="N974" s="123"/>
      <c r="O974" s="123"/>
      <c r="P974" s="123"/>
      <c r="Q974" t="str">
        <f t="shared" si="15"/>
        <v/>
      </c>
    </row>
    <row r="975" spans="3:17" hidden="1">
      <c r="C975" s="123"/>
      <c r="D975" s="123"/>
      <c r="E975" s="124"/>
      <c r="F975" s="124"/>
      <c r="G975" s="130"/>
      <c r="H975" s="124"/>
      <c r="I975" s="243"/>
      <c r="J975" s="123"/>
      <c r="K975" s="123"/>
      <c r="L975" s="246"/>
      <c r="M975" s="123"/>
      <c r="N975" s="123"/>
      <c r="O975" s="123"/>
      <c r="P975" s="123"/>
      <c r="Q975" t="str">
        <f t="shared" si="15"/>
        <v/>
      </c>
    </row>
    <row r="976" spans="3:17" hidden="1">
      <c r="C976" s="123"/>
      <c r="D976" s="123"/>
      <c r="E976" s="124"/>
      <c r="F976" s="124"/>
      <c r="G976" s="130"/>
      <c r="H976" s="124"/>
      <c r="I976" s="243"/>
      <c r="J976" s="123"/>
      <c r="K976" s="123"/>
      <c r="L976" s="246"/>
      <c r="M976" s="123"/>
      <c r="N976" s="123"/>
      <c r="O976" s="123"/>
      <c r="P976" s="123"/>
      <c r="Q976" t="str">
        <f t="shared" si="15"/>
        <v/>
      </c>
    </row>
    <row r="977" spans="3:17" hidden="1">
      <c r="C977" s="123"/>
      <c r="D977" s="123"/>
      <c r="E977" s="124"/>
      <c r="F977" s="124"/>
      <c r="G977" s="130"/>
      <c r="H977" s="124"/>
      <c r="I977" s="243"/>
      <c r="J977" s="123"/>
      <c r="K977" s="123"/>
      <c r="L977" s="246"/>
      <c r="M977" s="123"/>
      <c r="N977" s="123"/>
      <c r="O977" s="123"/>
      <c r="P977" s="123"/>
      <c r="Q977" t="str">
        <f t="shared" si="15"/>
        <v/>
      </c>
    </row>
    <row r="978" spans="3:17" hidden="1">
      <c r="C978" s="123"/>
      <c r="D978" s="123"/>
      <c r="E978" s="124"/>
      <c r="F978" s="124"/>
      <c r="G978" s="130"/>
      <c r="H978" s="124"/>
      <c r="I978" s="243"/>
      <c r="J978" s="123"/>
      <c r="K978" s="123"/>
      <c r="L978" s="246"/>
      <c r="M978" s="123"/>
      <c r="N978" s="123"/>
      <c r="O978" s="123"/>
      <c r="P978" s="123"/>
      <c r="Q978" t="str">
        <f t="shared" si="15"/>
        <v/>
      </c>
    </row>
    <row r="979" spans="3:17" hidden="1">
      <c r="C979" s="123"/>
      <c r="D979" s="123"/>
      <c r="E979" s="124"/>
      <c r="F979" s="124"/>
      <c r="G979" s="130"/>
      <c r="H979" s="124"/>
      <c r="I979" s="243"/>
      <c r="J979" s="123"/>
      <c r="K979" s="123"/>
      <c r="L979" s="246"/>
      <c r="M979" s="123"/>
      <c r="N979" s="123"/>
      <c r="O979" s="123"/>
      <c r="P979" s="123"/>
      <c r="Q979" t="str">
        <f t="shared" si="15"/>
        <v/>
      </c>
    </row>
    <row r="980" spans="3:17" hidden="1">
      <c r="C980" s="123"/>
      <c r="D980" s="123"/>
      <c r="E980" s="124"/>
      <c r="F980" s="124"/>
      <c r="G980" s="130"/>
      <c r="H980" s="124"/>
      <c r="I980" s="243"/>
      <c r="J980" s="123"/>
      <c r="K980" s="123"/>
      <c r="L980" s="246"/>
      <c r="M980" s="123"/>
      <c r="N980" s="123"/>
      <c r="O980" s="123"/>
      <c r="P980" s="123"/>
      <c r="Q980" t="str">
        <f t="shared" si="15"/>
        <v/>
      </c>
    </row>
    <row r="981" spans="3:17" hidden="1">
      <c r="C981" s="123"/>
      <c r="D981" s="123"/>
      <c r="E981" s="124"/>
      <c r="F981" s="124"/>
      <c r="G981" s="130"/>
      <c r="H981" s="124"/>
      <c r="I981" s="243"/>
      <c r="J981" s="123"/>
      <c r="K981" s="123"/>
      <c r="L981" s="246"/>
      <c r="M981" s="123"/>
      <c r="N981" s="123"/>
      <c r="O981" s="123"/>
      <c r="P981" s="123"/>
      <c r="Q981" t="str">
        <f t="shared" si="15"/>
        <v/>
      </c>
    </row>
    <row r="982" spans="3:17" hidden="1">
      <c r="C982" s="123"/>
      <c r="D982" s="123"/>
      <c r="E982" s="124"/>
      <c r="F982" s="124"/>
      <c r="G982" s="130"/>
      <c r="H982" s="124"/>
      <c r="I982" s="243"/>
      <c r="J982" s="123"/>
      <c r="K982" s="123"/>
      <c r="L982" s="246"/>
      <c r="M982" s="123"/>
      <c r="N982" s="123"/>
      <c r="O982" s="123"/>
      <c r="P982" s="123"/>
      <c r="Q982" t="str">
        <f t="shared" si="15"/>
        <v/>
      </c>
    </row>
    <row r="983" spans="3:17" hidden="1">
      <c r="C983" s="123"/>
      <c r="D983" s="123"/>
      <c r="E983" s="124"/>
      <c r="F983" s="124"/>
      <c r="G983" s="130"/>
      <c r="H983" s="124"/>
      <c r="I983" s="243"/>
      <c r="J983" s="123"/>
      <c r="K983" s="123"/>
      <c r="L983" s="246"/>
      <c r="M983" s="123"/>
      <c r="N983" s="123"/>
      <c r="O983" s="123"/>
      <c r="P983" s="123"/>
      <c r="Q983" t="str">
        <f t="shared" si="15"/>
        <v/>
      </c>
    </row>
    <row r="984" spans="3:17" hidden="1">
      <c r="C984" s="123"/>
      <c r="D984" s="123"/>
      <c r="E984" s="124"/>
      <c r="F984" s="124"/>
      <c r="G984" s="130"/>
      <c r="H984" s="124"/>
      <c r="I984" s="243"/>
      <c r="J984" s="123"/>
      <c r="K984" s="123"/>
      <c r="L984" s="246"/>
      <c r="M984" s="123"/>
      <c r="N984" s="123"/>
      <c r="O984" s="123"/>
      <c r="P984" s="123"/>
      <c r="Q984" t="str">
        <f t="shared" si="15"/>
        <v/>
      </c>
    </row>
    <row r="985" spans="3:17" hidden="1">
      <c r="C985" s="123"/>
      <c r="D985" s="123"/>
      <c r="E985" s="124"/>
      <c r="F985" s="124"/>
      <c r="G985" s="130"/>
      <c r="H985" s="124"/>
      <c r="I985" s="243"/>
      <c r="J985" s="123"/>
      <c r="K985" s="123"/>
      <c r="L985" s="246"/>
      <c r="M985" s="123"/>
      <c r="N985" s="123"/>
      <c r="O985" s="123"/>
      <c r="P985" s="123"/>
      <c r="Q985" t="str">
        <f t="shared" si="15"/>
        <v/>
      </c>
    </row>
    <row r="986" spans="3:17" hidden="1">
      <c r="C986" s="123"/>
      <c r="D986" s="123"/>
      <c r="E986" s="124"/>
      <c r="F986" s="124"/>
      <c r="G986" s="130"/>
      <c r="H986" s="124"/>
      <c r="I986" s="243"/>
      <c r="J986" s="123"/>
      <c r="K986" s="123"/>
      <c r="L986" s="246"/>
      <c r="M986" s="123"/>
      <c r="N986" s="123"/>
      <c r="O986" s="123"/>
      <c r="P986" s="123"/>
      <c r="Q986" t="str">
        <f t="shared" si="15"/>
        <v/>
      </c>
    </row>
    <row r="987" spans="3:17" hidden="1">
      <c r="C987" s="123"/>
      <c r="D987" s="123"/>
      <c r="E987" s="124"/>
      <c r="F987" s="124"/>
      <c r="G987" s="130"/>
      <c r="H987" s="124"/>
      <c r="I987" s="243"/>
      <c r="J987" s="123"/>
      <c r="K987" s="123"/>
      <c r="L987" s="246"/>
      <c r="M987" s="123"/>
      <c r="N987" s="123"/>
      <c r="O987" s="123"/>
      <c r="P987" s="123"/>
      <c r="Q987" t="str">
        <f t="shared" si="15"/>
        <v/>
      </c>
    </row>
    <row r="988" spans="3:17" hidden="1">
      <c r="C988" s="123"/>
      <c r="D988" s="123"/>
      <c r="E988" s="124"/>
      <c r="F988" s="124"/>
      <c r="G988" s="130"/>
      <c r="H988" s="124"/>
      <c r="I988" s="243"/>
      <c r="J988" s="123"/>
      <c r="K988" s="123"/>
      <c r="L988" s="246"/>
      <c r="M988" s="123"/>
      <c r="N988" s="123"/>
      <c r="O988" s="123"/>
      <c r="P988" s="123"/>
      <c r="Q988" t="str">
        <f t="shared" si="15"/>
        <v/>
      </c>
    </row>
    <row r="989" spans="3:17" hidden="1">
      <c r="C989" s="123"/>
      <c r="D989" s="123"/>
      <c r="E989" s="124"/>
      <c r="F989" s="124"/>
      <c r="G989" s="130"/>
      <c r="H989" s="124"/>
      <c r="I989" s="243"/>
      <c r="J989" s="123"/>
      <c r="K989" s="123"/>
      <c r="L989" s="246"/>
      <c r="M989" s="123"/>
      <c r="N989" s="123"/>
      <c r="O989" s="123"/>
      <c r="P989" s="123"/>
      <c r="Q989" t="str">
        <f t="shared" si="15"/>
        <v/>
      </c>
    </row>
    <row r="990" spans="3:17" hidden="1">
      <c r="C990" s="123"/>
      <c r="D990" s="123"/>
      <c r="E990" s="124"/>
      <c r="F990" s="124"/>
      <c r="G990" s="130"/>
      <c r="H990" s="124"/>
      <c r="I990" s="243"/>
      <c r="J990" s="123"/>
      <c r="K990" s="123"/>
      <c r="L990" s="246"/>
      <c r="M990" s="123"/>
      <c r="N990" s="123"/>
      <c r="O990" s="123"/>
      <c r="P990" s="123"/>
      <c r="Q990" t="str">
        <f t="shared" si="15"/>
        <v/>
      </c>
    </row>
    <row r="991" spans="3:17" hidden="1">
      <c r="C991" s="123"/>
      <c r="D991" s="123"/>
      <c r="E991" s="124"/>
      <c r="F991" s="124"/>
      <c r="G991" s="130"/>
      <c r="H991" s="124"/>
      <c r="I991" s="243"/>
      <c r="J991" s="123"/>
      <c r="K991" s="123"/>
      <c r="L991" s="246"/>
      <c r="M991" s="123"/>
      <c r="N991" s="123"/>
      <c r="O991" s="123"/>
      <c r="P991" s="123"/>
      <c r="Q991" t="str">
        <f t="shared" si="15"/>
        <v/>
      </c>
    </row>
    <row r="992" spans="3:17" hidden="1">
      <c r="C992" s="123"/>
      <c r="D992" s="123"/>
      <c r="E992" s="124"/>
      <c r="F992" s="124"/>
      <c r="G992" s="130"/>
      <c r="H992" s="124"/>
      <c r="I992" s="243"/>
      <c r="J992" s="123"/>
      <c r="K992" s="123"/>
      <c r="L992" s="246"/>
      <c r="M992" s="123"/>
      <c r="N992" s="123"/>
      <c r="O992" s="123"/>
      <c r="P992" s="123"/>
      <c r="Q992" t="str">
        <f t="shared" si="15"/>
        <v/>
      </c>
    </row>
    <row r="993" spans="3:17" hidden="1">
      <c r="C993" s="123"/>
      <c r="D993" s="123"/>
      <c r="E993" s="124"/>
      <c r="F993" s="124"/>
      <c r="G993" s="130"/>
      <c r="H993" s="124"/>
      <c r="I993" s="243"/>
      <c r="J993" s="123"/>
      <c r="K993" s="123"/>
      <c r="L993" s="246"/>
      <c r="M993" s="123"/>
      <c r="N993" s="123"/>
      <c r="O993" s="123"/>
      <c r="P993" s="123"/>
      <c r="Q993" t="str">
        <f t="shared" si="15"/>
        <v/>
      </c>
    </row>
    <row r="994" spans="3:17" hidden="1">
      <c r="C994" s="123"/>
      <c r="D994" s="123"/>
      <c r="E994" s="124"/>
      <c r="F994" s="124"/>
      <c r="G994" s="130"/>
      <c r="H994" s="124"/>
      <c r="I994" s="243"/>
      <c r="J994" s="123"/>
      <c r="K994" s="123"/>
      <c r="L994" s="246"/>
      <c r="M994" s="123"/>
      <c r="N994" s="123"/>
      <c r="O994" s="123"/>
      <c r="P994" s="123"/>
      <c r="Q994" t="str">
        <f t="shared" si="15"/>
        <v/>
      </c>
    </row>
    <row r="995" spans="3:17" hidden="1">
      <c r="C995" s="123"/>
      <c r="D995" s="123"/>
      <c r="E995" s="124"/>
      <c r="F995" s="124"/>
      <c r="G995" s="130"/>
      <c r="H995" s="124"/>
      <c r="I995" s="243"/>
      <c r="J995" s="123"/>
      <c r="K995" s="123"/>
      <c r="L995" s="246"/>
      <c r="M995" s="123"/>
      <c r="N995" s="123"/>
      <c r="O995" s="123"/>
      <c r="P995" s="123"/>
      <c r="Q995" t="str">
        <f t="shared" si="15"/>
        <v/>
      </c>
    </row>
    <row r="996" spans="3:17" hidden="1">
      <c r="C996" s="123"/>
      <c r="D996" s="123"/>
      <c r="E996" s="124"/>
      <c r="F996" s="124"/>
      <c r="G996" s="130"/>
      <c r="H996" s="124"/>
      <c r="I996" s="243"/>
      <c r="J996" s="123"/>
      <c r="K996" s="123"/>
      <c r="L996" s="246"/>
      <c r="M996" s="123"/>
      <c r="N996" s="123"/>
      <c r="O996" s="123"/>
      <c r="P996" s="123"/>
      <c r="Q996" t="str">
        <f t="shared" si="15"/>
        <v/>
      </c>
    </row>
    <row r="997" spans="3:17" hidden="1">
      <c r="C997" s="123"/>
      <c r="D997" s="123"/>
      <c r="E997" s="124"/>
      <c r="F997" s="124"/>
      <c r="G997" s="130"/>
      <c r="H997" s="124"/>
      <c r="I997" s="243"/>
      <c r="J997" s="123"/>
      <c r="K997" s="123"/>
      <c r="L997" s="246"/>
      <c r="M997" s="123"/>
      <c r="N997" s="123"/>
      <c r="O997" s="123"/>
      <c r="P997" s="123"/>
      <c r="Q997" t="str">
        <f t="shared" si="15"/>
        <v/>
      </c>
    </row>
    <row r="998" spans="3:17" hidden="1">
      <c r="C998" s="123"/>
      <c r="D998" s="123"/>
      <c r="E998" s="124"/>
      <c r="F998" s="124"/>
      <c r="G998" s="130"/>
      <c r="H998" s="124"/>
      <c r="I998" s="243"/>
      <c r="J998" s="123"/>
      <c r="K998" s="123"/>
      <c r="L998" s="246"/>
      <c r="M998" s="123"/>
      <c r="N998" s="123"/>
      <c r="O998" s="123"/>
      <c r="P998" s="123"/>
      <c r="Q998" t="str">
        <f t="shared" si="15"/>
        <v/>
      </c>
    </row>
    <row r="999" spans="3:17" hidden="1">
      <c r="C999" s="123"/>
      <c r="D999" s="123"/>
      <c r="E999" s="124"/>
      <c r="F999" s="124"/>
      <c r="G999" s="130"/>
      <c r="H999" s="124"/>
      <c r="I999" s="243"/>
      <c r="J999" s="123"/>
      <c r="K999" s="123"/>
      <c r="L999" s="246"/>
      <c r="M999" s="123"/>
      <c r="N999" s="123"/>
      <c r="O999" s="123"/>
      <c r="P999" s="123"/>
      <c r="Q999" t="str">
        <f t="shared" si="15"/>
        <v/>
      </c>
    </row>
    <row r="1000" spans="3:17" hidden="1">
      <c r="C1000" s="123"/>
      <c r="D1000" s="123"/>
      <c r="E1000" s="124"/>
      <c r="F1000" s="124"/>
      <c r="G1000" s="130"/>
      <c r="H1000" s="124"/>
      <c r="I1000" s="243"/>
      <c r="J1000" s="123"/>
      <c r="K1000" s="123"/>
      <c r="L1000" s="246"/>
      <c r="M1000" s="123"/>
      <c r="N1000" s="123"/>
      <c r="O1000" s="123"/>
      <c r="P1000" s="123"/>
      <c r="Q1000" t="str">
        <f t="shared" si="15"/>
        <v/>
      </c>
    </row>
    <row r="1001" spans="3:17" hidden="1">
      <c r="C1001" s="123"/>
      <c r="D1001" s="123"/>
      <c r="E1001" s="124"/>
      <c r="F1001" s="124"/>
      <c r="G1001" s="130"/>
      <c r="H1001" s="124"/>
      <c r="I1001" s="243"/>
      <c r="J1001" s="123"/>
      <c r="K1001" s="123"/>
      <c r="L1001" s="246"/>
      <c r="M1001" s="123"/>
      <c r="N1001" s="123"/>
      <c r="O1001" s="123"/>
      <c r="P1001" s="123"/>
      <c r="Q1001" t="str">
        <f t="shared" si="15"/>
        <v/>
      </c>
    </row>
    <row r="1002" spans="3:17" hidden="1">
      <c r="C1002" s="123"/>
      <c r="D1002" s="123"/>
      <c r="E1002" s="124"/>
      <c r="F1002" s="124"/>
      <c r="G1002" s="130"/>
      <c r="H1002" s="124"/>
      <c r="I1002" s="243"/>
      <c r="J1002" s="123"/>
      <c r="K1002" s="123"/>
      <c r="L1002" s="246"/>
      <c r="M1002" s="123"/>
      <c r="N1002" s="123"/>
      <c r="O1002" s="123"/>
      <c r="P1002" s="123"/>
      <c r="Q1002" t="str">
        <f t="shared" si="15"/>
        <v/>
      </c>
    </row>
    <row r="1003" spans="3:17" hidden="1">
      <c r="C1003" s="123"/>
      <c r="D1003" s="123"/>
      <c r="E1003" s="124"/>
      <c r="F1003" s="124"/>
      <c r="G1003" s="130"/>
      <c r="H1003" s="124"/>
      <c r="I1003" s="243"/>
      <c r="J1003" s="123"/>
      <c r="K1003" s="123"/>
      <c r="L1003" s="246"/>
      <c r="M1003" s="123"/>
      <c r="N1003" s="123"/>
      <c r="O1003" s="123"/>
      <c r="P1003" s="123"/>
      <c r="Q1003" t="str">
        <f t="shared" si="15"/>
        <v/>
      </c>
    </row>
    <row r="1004" spans="3:17" hidden="1">
      <c r="C1004" s="123"/>
      <c r="D1004" s="123"/>
      <c r="E1004" s="124"/>
      <c r="F1004" s="124"/>
      <c r="G1004" s="130"/>
      <c r="H1004" s="124"/>
      <c r="I1004" s="243"/>
      <c r="J1004" s="123"/>
      <c r="K1004" s="123"/>
      <c r="L1004" s="246"/>
      <c r="M1004" s="123"/>
      <c r="N1004" s="123"/>
      <c r="O1004" s="123"/>
      <c r="P1004" s="123"/>
      <c r="Q1004" t="str">
        <f t="shared" si="15"/>
        <v/>
      </c>
    </row>
    <row r="1005" spans="3:17" hidden="1">
      <c r="C1005" s="123"/>
      <c r="D1005" s="123"/>
      <c r="E1005" s="124"/>
      <c r="F1005" s="124"/>
      <c r="G1005" s="130"/>
      <c r="H1005" s="124"/>
      <c r="I1005" s="243"/>
      <c r="J1005" s="123"/>
      <c r="K1005" s="123"/>
      <c r="L1005" s="246"/>
      <c r="M1005" s="123"/>
      <c r="N1005" s="123"/>
      <c r="O1005" s="123"/>
      <c r="P1005" s="123"/>
      <c r="Q1005" t="str">
        <f t="shared" si="15"/>
        <v/>
      </c>
    </row>
    <row r="1006" spans="3:17" hidden="1">
      <c r="C1006" s="123"/>
      <c r="D1006" s="123"/>
      <c r="E1006" s="124"/>
      <c r="F1006" s="124"/>
      <c r="G1006" s="130"/>
      <c r="H1006" s="124"/>
      <c r="I1006" s="243"/>
      <c r="J1006" s="123"/>
      <c r="K1006" s="123"/>
      <c r="L1006" s="246"/>
      <c r="M1006" s="123"/>
      <c r="N1006" s="123"/>
      <c r="O1006" s="123"/>
      <c r="P1006" s="123"/>
      <c r="Q1006" t="str">
        <f t="shared" si="15"/>
        <v/>
      </c>
    </row>
    <row r="1007" spans="3:17" hidden="1">
      <c r="C1007" s="123"/>
      <c r="D1007" s="123"/>
      <c r="E1007" s="124"/>
      <c r="F1007" s="124"/>
      <c r="G1007" s="130"/>
      <c r="H1007" s="124"/>
      <c r="I1007" s="243"/>
      <c r="J1007" s="123"/>
      <c r="K1007" s="123"/>
      <c r="L1007" s="246"/>
      <c r="M1007" s="123"/>
      <c r="N1007" s="123"/>
      <c r="O1007" s="123"/>
      <c r="P1007" s="123"/>
      <c r="Q1007" t="str">
        <f t="shared" si="15"/>
        <v/>
      </c>
    </row>
    <row r="1008" spans="3:17" hidden="1">
      <c r="C1008" s="123"/>
      <c r="D1008" s="123"/>
      <c r="E1008" s="124"/>
      <c r="F1008" s="124"/>
      <c r="G1008" s="130"/>
      <c r="H1008" s="124"/>
      <c r="I1008" s="243"/>
      <c r="J1008" s="123"/>
      <c r="K1008" s="123"/>
      <c r="L1008" s="246"/>
      <c r="M1008" s="123"/>
      <c r="N1008" s="123"/>
      <c r="O1008" s="123"/>
      <c r="P1008" s="123"/>
      <c r="Q1008" t="str">
        <f t="shared" si="15"/>
        <v/>
      </c>
    </row>
    <row r="1009" spans="3:17" hidden="1">
      <c r="C1009" s="123"/>
      <c r="D1009" s="123"/>
      <c r="E1009" s="124"/>
      <c r="F1009" s="123"/>
      <c r="G1009" s="130"/>
      <c r="H1009" s="124"/>
      <c r="I1009" s="243"/>
      <c r="J1009" s="123"/>
      <c r="K1009" s="123"/>
      <c r="L1009" s="246"/>
      <c r="M1009" s="123"/>
      <c r="N1009" s="123"/>
      <c r="O1009" s="123"/>
      <c r="P1009" s="123"/>
      <c r="Q1009" t="str">
        <f t="shared" si="15"/>
        <v/>
      </c>
    </row>
    <row r="1010" spans="3:17" hidden="1">
      <c r="C1010" s="123"/>
      <c r="D1010" s="123"/>
      <c r="E1010" s="124"/>
      <c r="F1010" s="123"/>
      <c r="G1010" s="130"/>
      <c r="H1010" s="124"/>
      <c r="I1010" s="243"/>
      <c r="J1010" s="123"/>
      <c r="K1010" s="123"/>
      <c r="L1010" s="246"/>
      <c r="M1010" s="123"/>
      <c r="N1010" s="123"/>
      <c r="O1010" s="123"/>
      <c r="P1010" s="123"/>
      <c r="Q1010" t="str">
        <f t="shared" si="15"/>
        <v/>
      </c>
    </row>
    <row r="1011" spans="3:17" hidden="1">
      <c r="C1011" s="123"/>
      <c r="D1011" s="123"/>
      <c r="E1011" s="124"/>
      <c r="F1011" s="123"/>
      <c r="G1011" s="130"/>
      <c r="H1011" s="124"/>
      <c r="I1011" s="243"/>
      <c r="J1011" s="123"/>
      <c r="K1011" s="123"/>
      <c r="L1011" s="246"/>
      <c r="M1011" s="123"/>
      <c r="N1011" s="123"/>
      <c r="O1011" s="123"/>
      <c r="P1011" s="123"/>
      <c r="Q1011" t="str">
        <f t="shared" si="15"/>
        <v/>
      </c>
    </row>
    <row r="1012" spans="3:17" hidden="1">
      <c r="C1012" s="123"/>
      <c r="D1012" s="123"/>
      <c r="E1012" s="124"/>
      <c r="F1012" s="123"/>
      <c r="G1012" s="130"/>
      <c r="H1012" s="124"/>
      <c r="I1012" s="243"/>
      <c r="J1012" s="123"/>
      <c r="K1012" s="123"/>
      <c r="L1012" s="246"/>
      <c r="M1012" s="123"/>
      <c r="N1012" s="123"/>
      <c r="O1012" s="123"/>
      <c r="P1012" s="123"/>
      <c r="Q1012" t="str">
        <f t="shared" si="15"/>
        <v/>
      </c>
    </row>
    <row r="1013" spans="3:17" hidden="1">
      <c r="C1013" s="123"/>
      <c r="D1013" s="123"/>
      <c r="E1013" s="124"/>
      <c r="F1013" s="123"/>
      <c r="G1013" s="130"/>
      <c r="H1013" s="124"/>
      <c r="I1013" s="243"/>
      <c r="J1013" s="123"/>
      <c r="K1013" s="123"/>
      <c r="L1013" s="246"/>
      <c r="M1013" s="123"/>
      <c r="N1013" s="123"/>
      <c r="O1013" s="123"/>
      <c r="P1013" s="123"/>
      <c r="Q1013" t="str">
        <f t="shared" si="15"/>
        <v/>
      </c>
    </row>
    <row r="1014" spans="3:17" hidden="1">
      <c r="C1014" s="123"/>
      <c r="D1014" s="123"/>
      <c r="E1014" s="124"/>
      <c r="F1014" s="123"/>
      <c r="G1014" s="130"/>
      <c r="H1014" s="124"/>
      <c r="I1014" s="243"/>
      <c r="J1014" s="123"/>
      <c r="K1014" s="123"/>
      <c r="L1014" s="246"/>
      <c r="M1014" s="123"/>
      <c r="N1014" s="123"/>
      <c r="O1014" s="123"/>
      <c r="P1014" s="123"/>
      <c r="Q1014" t="str">
        <f t="shared" si="15"/>
        <v/>
      </c>
    </row>
    <row r="1015" spans="3:17" hidden="1">
      <c r="C1015" s="123"/>
      <c r="D1015" s="123"/>
      <c r="E1015" s="124"/>
      <c r="F1015" s="123"/>
      <c r="G1015" s="130"/>
      <c r="H1015" s="124"/>
      <c r="I1015" s="243"/>
      <c r="J1015" s="123"/>
      <c r="K1015" s="123"/>
      <c r="L1015" s="246"/>
      <c r="M1015" s="123"/>
      <c r="N1015" s="123"/>
      <c r="O1015" s="123"/>
      <c r="P1015" s="123"/>
      <c r="Q1015" t="str">
        <f t="shared" si="15"/>
        <v/>
      </c>
    </row>
    <row r="1016" spans="3:17" hidden="1">
      <c r="C1016" s="123"/>
      <c r="D1016" s="123"/>
      <c r="E1016" s="124"/>
      <c r="F1016" s="123"/>
      <c r="G1016" s="130"/>
      <c r="H1016" s="124"/>
      <c r="I1016" s="243"/>
      <c r="J1016" s="123"/>
      <c r="K1016" s="123"/>
      <c r="L1016" s="246"/>
      <c r="M1016" s="123"/>
      <c r="N1016" s="123"/>
      <c r="O1016" s="123"/>
      <c r="P1016" s="123"/>
      <c r="Q1016" t="str">
        <f t="shared" si="15"/>
        <v/>
      </c>
    </row>
    <row r="1017" spans="3:17" hidden="1">
      <c r="C1017" s="123"/>
      <c r="D1017" s="123"/>
      <c r="E1017" s="124"/>
      <c r="F1017" s="123"/>
      <c r="G1017" s="130"/>
      <c r="H1017" s="124"/>
      <c r="I1017" s="243"/>
      <c r="J1017" s="123"/>
      <c r="K1017" s="123"/>
      <c r="L1017" s="246"/>
      <c r="M1017" s="123"/>
      <c r="N1017" s="123"/>
      <c r="O1017" s="123"/>
      <c r="P1017" s="123"/>
      <c r="Q1017" t="str">
        <f t="shared" si="15"/>
        <v/>
      </c>
    </row>
    <row r="1018" spans="3:17" hidden="1">
      <c r="C1018" s="123"/>
      <c r="D1018" s="123"/>
      <c r="E1018" s="124"/>
      <c r="F1018" s="123"/>
      <c r="G1018" s="130"/>
      <c r="H1018" s="124"/>
      <c r="I1018" s="243"/>
      <c r="J1018" s="123"/>
      <c r="K1018" s="123"/>
      <c r="L1018" s="246"/>
      <c r="M1018" s="123"/>
      <c r="N1018" s="123"/>
      <c r="O1018" s="123"/>
      <c r="P1018" s="123"/>
      <c r="Q1018" t="str">
        <f t="shared" si="15"/>
        <v/>
      </c>
    </row>
    <row r="1019" spans="3:17" hidden="1">
      <c r="C1019" s="123"/>
      <c r="D1019" s="123"/>
      <c r="E1019" s="124"/>
      <c r="F1019" s="123"/>
      <c r="G1019" s="130"/>
      <c r="H1019" s="124"/>
      <c r="I1019" s="243"/>
      <c r="J1019" s="123"/>
      <c r="K1019" s="123"/>
      <c r="L1019" s="246"/>
      <c r="M1019" s="123"/>
      <c r="N1019" s="123"/>
      <c r="O1019" s="123"/>
      <c r="P1019" s="123"/>
      <c r="Q1019" t="str">
        <f t="shared" si="15"/>
        <v/>
      </c>
    </row>
    <row r="1020" spans="3:17" hidden="1">
      <c r="C1020" s="123"/>
      <c r="D1020" s="123"/>
      <c r="E1020" s="124"/>
      <c r="F1020" s="123"/>
      <c r="G1020" s="130"/>
      <c r="H1020" s="124"/>
      <c r="I1020" s="243"/>
      <c r="J1020" s="123"/>
      <c r="K1020" s="123"/>
      <c r="L1020" s="246"/>
      <c r="M1020" s="123"/>
      <c r="N1020" s="123"/>
      <c r="O1020" s="123"/>
      <c r="P1020" s="123"/>
      <c r="Q1020" t="str">
        <f t="shared" si="15"/>
        <v/>
      </c>
    </row>
    <row r="1021" spans="3:17" hidden="1">
      <c r="C1021" s="123"/>
      <c r="D1021" s="123"/>
      <c r="E1021" s="124"/>
      <c r="F1021" s="123"/>
      <c r="G1021" s="130"/>
      <c r="H1021" s="124"/>
      <c r="I1021" s="243"/>
      <c r="J1021" s="123"/>
      <c r="K1021" s="123"/>
      <c r="L1021" s="246"/>
      <c r="M1021" s="123"/>
      <c r="N1021" s="123"/>
      <c r="O1021" s="123"/>
      <c r="P1021" s="123"/>
      <c r="Q1021" t="str">
        <f t="shared" si="15"/>
        <v/>
      </c>
    </row>
    <row r="1022" spans="3:17" hidden="1">
      <c r="C1022" s="123"/>
      <c r="D1022" s="123"/>
      <c r="E1022" s="124"/>
      <c r="F1022" s="123"/>
      <c r="G1022" s="130"/>
      <c r="H1022" s="124"/>
      <c r="I1022" s="243"/>
      <c r="J1022" s="123"/>
      <c r="K1022" s="123"/>
      <c r="L1022" s="246"/>
      <c r="M1022" s="123"/>
      <c r="N1022" s="123"/>
      <c r="O1022" s="123"/>
      <c r="P1022" s="123"/>
      <c r="Q1022" t="str">
        <f t="shared" si="15"/>
        <v/>
      </c>
    </row>
    <row r="1023" spans="3:17" hidden="1">
      <c r="C1023" s="123"/>
      <c r="D1023" s="123"/>
      <c r="E1023" s="124"/>
      <c r="F1023" s="123"/>
      <c r="G1023" s="130"/>
      <c r="H1023" s="124"/>
      <c r="I1023" s="243"/>
      <c r="J1023" s="123"/>
      <c r="K1023" s="123"/>
      <c r="L1023" s="246"/>
      <c r="M1023" s="123"/>
      <c r="N1023" s="123"/>
      <c r="O1023" s="123"/>
      <c r="P1023" s="123"/>
      <c r="Q1023" t="str">
        <f t="shared" si="15"/>
        <v/>
      </c>
    </row>
    <row r="1024" spans="3:17" hidden="1">
      <c r="C1024" s="123"/>
      <c r="D1024" s="123"/>
      <c r="E1024" s="124"/>
      <c r="F1024" s="123"/>
      <c r="G1024" s="130"/>
      <c r="H1024" s="124"/>
      <c r="I1024" s="243"/>
      <c r="J1024" s="123"/>
      <c r="K1024" s="123"/>
      <c r="L1024" s="246"/>
      <c r="M1024" s="123"/>
      <c r="N1024" s="123"/>
      <c r="O1024" s="123"/>
      <c r="P1024" s="123"/>
      <c r="Q1024" t="str">
        <f t="shared" si="15"/>
        <v/>
      </c>
    </row>
    <row r="1025" spans="3:17" hidden="1">
      <c r="C1025" s="123"/>
      <c r="D1025" s="123"/>
      <c r="E1025" s="124"/>
      <c r="F1025" s="123"/>
      <c r="G1025" s="130"/>
      <c r="H1025" s="124"/>
      <c r="I1025" s="243"/>
      <c r="J1025" s="123"/>
      <c r="K1025" s="123"/>
      <c r="L1025" s="246"/>
      <c r="M1025" s="123"/>
      <c r="N1025" s="123"/>
      <c r="O1025" s="123"/>
      <c r="P1025" s="123"/>
      <c r="Q1025" t="str">
        <f t="shared" si="15"/>
        <v/>
      </c>
    </row>
    <row r="1026" spans="3:17" hidden="1">
      <c r="C1026" s="123"/>
      <c r="D1026" s="123"/>
      <c r="E1026" s="124"/>
      <c r="F1026" s="123"/>
      <c r="G1026" s="130"/>
      <c r="H1026" s="124"/>
      <c r="I1026" s="243"/>
      <c r="J1026" s="123"/>
      <c r="K1026" s="123"/>
      <c r="L1026" s="246"/>
      <c r="M1026" s="123"/>
      <c r="N1026" s="123"/>
      <c r="O1026" s="123"/>
      <c r="P1026" s="123"/>
      <c r="Q1026" t="str">
        <f t="shared" si="15"/>
        <v/>
      </c>
    </row>
    <row r="1027" spans="3:17" hidden="1">
      <c r="C1027" s="123"/>
      <c r="D1027" s="123"/>
      <c r="E1027" s="124"/>
      <c r="F1027" s="123"/>
      <c r="G1027" s="130"/>
      <c r="H1027" s="124"/>
      <c r="I1027" s="243"/>
      <c r="J1027" s="123"/>
      <c r="K1027" s="123"/>
      <c r="L1027" s="246"/>
      <c r="M1027" s="123"/>
      <c r="N1027" s="123"/>
      <c r="O1027" s="123"/>
      <c r="P1027" s="123"/>
      <c r="Q1027" t="str">
        <f t="shared" si="15"/>
        <v/>
      </c>
    </row>
    <row r="1028" spans="3:17" hidden="1">
      <c r="C1028" s="123"/>
      <c r="D1028" s="123"/>
      <c r="E1028" s="124"/>
      <c r="F1028" s="123"/>
      <c r="G1028" s="130"/>
      <c r="H1028" s="124"/>
      <c r="I1028" s="243"/>
      <c r="J1028" s="123"/>
      <c r="K1028" s="123"/>
      <c r="L1028" s="246"/>
      <c r="M1028" s="123"/>
      <c r="N1028" s="123"/>
      <c r="O1028" s="123"/>
      <c r="P1028" s="123"/>
      <c r="Q1028" t="str">
        <f t="shared" si="15"/>
        <v/>
      </c>
    </row>
    <row r="1029" spans="3:17" hidden="1">
      <c r="C1029" s="123"/>
      <c r="D1029" s="123"/>
      <c r="E1029" s="124"/>
      <c r="F1029" s="123"/>
      <c r="G1029" s="130"/>
      <c r="H1029" s="124"/>
      <c r="I1029" s="243"/>
      <c r="J1029" s="123"/>
      <c r="K1029" s="123"/>
      <c r="L1029" s="246"/>
      <c r="M1029" s="123"/>
      <c r="N1029" s="123"/>
      <c r="O1029" s="123"/>
      <c r="P1029" s="123"/>
      <c r="Q1029" t="str">
        <f t="shared" si="15"/>
        <v/>
      </c>
    </row>
    <row r="1030" spans="3:17" hidden="1">
      <c r="C1030" s="123"/>
      <c r="D1030" s="123"/>
      <c r="E1030" s="124"/>
      <c r="F1030" s="123"/>
      <c r="G1030" s="130"/>
      <c r="H1030" s="124"/>
      <c r="I1030" s="243"/>
      <c r="J1030" s="123"/>
      <c r="K1030" s="123"/>
      <c r="L1030" s="246"/>
      <c r="M1030" s="123"/>
      <c r="N1030" s="123"/>
      <c r="O1030" s="123"/>
      <c r="P1030" s="123"/>
      <c r="Q1030" t="str">
        <f t="shared" si="15"/>
        <v/>
      </c>
    </row>
    <row r="1031" spans="3:17" hidden="1">
      <c r="C1031" s="123"/>
      <c r="D1031" s="123"/>
      <c r="E1031" s="124"/>
      <c r="F1031" s="123"/>
      <c r="G1031" s="130"/>
      <c r="H1031" s="124"/>
      <c r="I1031" s="243"/>
      <c r="J1031" s="123"/>
      <c r="K1031" s="123"/>
      <c r="L1031" s="246"/>
      <c r="M1031" s="123"/>
      <c r="N1031" s="123"/>
      <c r="O1031" s="123"/>
      <c r="P1031" s="123"/>
      <c r="Q1031" t="str">
        <f t="shared" ref="Q1031:Q1094" si="16">IF(D1031="","","x")</f>
        <v/>
      </c>
    </row>
    <row r="1032" spans="3:17" hidden="1">
      <c r="C1032" s="123"/>
      <c r="D1032" s="123"/>
      <c r="E1032" s="124"/>
      <c r="F1032" s="123"/>
      <c r="G1032" s="130"/>
      <c r="H1032" s="124"/>
      <c r="I1032" s="243"/>
      <c r="J1032" s="123"/>
      <c r="K1032" s="123"/>
      <c r="L1032" s="246"/>
      <c r="M1032" s="123"/>
      <c r="N1032" s="123"/>
      <c r="O1032" s="123"/>
      <c r="P1032" s="123"/>
      <c r="Q1032" t="str">
        <f t="shared" si="16"/>
        <v/>
      </c>
    </row>
    <row r="1033" spans="3:17" hidden="1">
      <c r="C1033" s="123"/>
      <c r="D1033" s="123"/>
      <c r="E1033" s="124"/>
      <c r="F1033" s="123"/>
      <c r="G1033" s="130"/>
      <c r="H1033" s="124"/>
      <c r="I1033" s="243"/>
      <c r="J1033" s="123"/>
      <c r="K1033" s="123"/>
      <c r="L1033" s="246"/>
      <c r="M1033" s="123"/>
      <c r="N1033" s="123"/>
      <c r="O1033" s="123"/>
      <c r="P1033" s="123"/>
      <c r="Q1033" t="str">
        <f t="shared" si="16"/>
        <v/>
      </c>
    </row>
    <row r="1034" spans="3:17" hidden="1">
      <c r="C1034" s="123"/>
      <c r="D1034" s="123"/>
      <c r="E1034" s="124"/>
      <c r="F1034" s="123"/>
      <c r="G1034" s="130"/>
      <c r="H1034" s="124"/>
      <c r="I1034" s="243"/>
      <c r="J1034" s="123"/>
      <c r="K1034" s="123"/>
      <c r="L1034" s="246"/>
      <c r="M1034" s="123"/>
      <c r="N1034" s="123"/>
      <c r="O1034" s="123"/>
      <c r="P1034" s="123"/>
      <c r="Q1034" t="str">
        <f t="shared" si="16"/>
        <v/>
      </c>
    </row>
    <row r="1035" spans="3:17" hidden="1">
      <c r="C1035" s="123"/>
      <c r="D1035" s="123"/>
      <c r="E1035" s="124"/>
      <c r="F1035" s="123"/>
      <c r="G1035" s="130"/>
      <c r="H1035" s="124"/>
      <c r="I1035" s="243"/>
      <c r="J1035" s="123"/>
      <c r="K1035" s="123"/>
      <c r="L1035" s="246"/>
      <c r="M1035" s="123"/>
      <c r="N1035" s="123"/>
      <c r="O1035" s="123"/>
      <c r="P1035" s="123"/>
      <c r="Q1035" t="str">
        <f t="shared" si="16"/>
        <v/>
      </c>
    </row>
    <row r="1036" spans="3:17" hidden="1">
      <c r="C1036" s="123"/>
      <c r="D1036" s="123"/>
      <c r="E1036" s="124"/>
      <c r="F1036" s="123"/>
      <c r="G1036" s="130"/>
      <c r="H1036" s="124"/>
      <c r="I1036" s="243"/>
      <c r="J1036" s="123"/>
      <c r="K1036" s="123"/>
      <c r="L1036" s="246"/>
      <c r="M1036" s="123"/>
      <c r="N1036" s="123"/>
      <c r="O1036" s="123"/>
      <c r="P1036" s="123"/>
      <c r="Q1036" t="str">
        <f t="shared" si="16"/>
        <v/>
      </c>
    </row>
    <row r="1037" spans="3:17" hidden="1">
      <c r="C1037" s="123"/>
      <c r="D1037" s="123"/>
      <c r="E1037" s="124"/>
      <c r="F1037" s="123"/>
      <c r="G1037" s="130"/>
      <c r="H1037" s="124"/>
      <c r="I1037" s="243"/>
      <c r="J1037" s="123"/>
      <c r="K1037" s="123"/>
      <c r="L1037" s="246"/>
      <c r="M1037" s="123"/>
      <c r="N1037" s="123"/>
      <c r="O1037" s="123"/>
      <c r="P1037" s="123"/>
      <c r="Q1037" t="str">
        <f t="shared" si="16"/>
        <v/>
      </c>
    </row>
    <row r="1038" spans="3:17" hidden="1">
      <c r="C1038" s="123"/>
      <c r="D1038" s="123"/>
      <c r="E1038" s="124"/>
      <c r="F1038" s="123"/>
      <c r="G1038" s="130"/>
      <c r="H1038" s="124"/>
      <c r="I1038" s="243"/>
      <c r="J1038" s="123"/>
      <c r="K1038" s="123"/>
      <c r="L1038" s="246"/>
      <c r="M1038" s="123"/>
      <c r="N1038" s="123"/>
      <c r="O1038" s="123"/>
      <c r="P1038" s="123"/>
      <c r="Q1038" t="str">
        <f t="shared" si="16"/>
        <v/>
      </c>
    </row>
    <row r="1039" spans="3:17" hidden="1">
      <c r="C1039" s="123"/>
      <c r="D1039" s="123"/>
      <c r="E1039" s="124"/>
      <c r="F1039" s="123"/>
      <c r="G1039" s="130"/>
      <c r="H1039" s="124"/>
      <c r="I1039" s="243"/>
      <c r="J1039" s="123"/>
      <c r="K1039" s="123"/>
      <c r="L1039" s="246"/>
      <c r="M1039" s="123"/>
      <c r="N1039" s="123"/>
      <c r="O1039" s="123"/>
      <c r="P1039" s="123"/>
      <c r="Q1039" t="str">
        <f t="shared" si="16"/>
        <v/>
      </c>
    </row>
    <row r="1040" spans="3:17" hidden="1">
      <c r="C1040" s="123"/>
      <c r="D1040" s="123"/>
      <c r="E1040" s="124"/>
      <c r="F1040" s="123"/>
      <c r="G1040" s="130"/>
      <c r="H1040" s="124"/>
      <c r="I1040" s="243"/>
      <c r="J1040" s="123"/>
      <c r="K1040" s="123"/>
      <c r="L1040" s="246"/>
      <c r="M1040" s="123"/>
      <c r="N1040" s="123"/>
      <c r="O1040" s="123"/>
      <c r="P1040" s="123"/>
      <c r="Q1040" t="str">
        <f t="shared" si="16"/>
        <v/>
      </c>
    </row>
    <row r="1041" spans="3:17" hidden="1">
      <c r="C1041" s="123"/>
      <c r="D1041" s="123"/>
      <c r="E1041" s="124"/>
      <c r="F1041" s="123"/>
      <c r="G1041" s="130"/>
      <c r="H1041" s="124"/>
      <c r="I1041" s="243"/>
      <c r="J1041" s="123"/>
      <c r="K1041" s="123"/>
      <c r="L1041" s="246"/>
      <c r="M1041" s="123"/>
      <c r="N1041" s="123"/>
      <c r="O1041" s="123"/>
      <c r="P1041" s="123"/>
      <c r="Q1041" t="str">
        <f t="shared" si="16"/>
        <v/>
      </c>
    </row>
    <row r="1042" spans="3:17" hidden="1">
      <c r="C1042" s="123"/>
      <c r="D1042" s="123"/>
      <c r="E1042" s="124"/>
      <c r="F1042" s="123"/>
      <c r="G1042" s="130"/>
      <c r="H1042" s="124"/>
      <c r="I1042" s="243"/>
      <c r="J1042" s="123"/>
      <c r="K1042" s="123"/>
      <c r="L1042" s="246"/>
      <c r="M1042" s="123"/>
      <c r="N1042" s="123"/>
      <c r="O1042" s="123"/>
      <c r="P1042" s="123"/>
      <c r="Q1042" t="str">
        <f t="shared" si="16"/>
        <v/>
      </c>
    </row>
    <row r="1043" spans="3:17" hidden="1">
      <c r="C1043" s="123"/>
      <c r="D1043" s="123"/>
      <c r="E1043" s="124"/>
      <c r="F1043" s="123"/>
      <c r="G1043" s="130"/>
      <c r="H1043" s="124"/>
      <c r="I1043" s="243"/>
      <c r="J1043" s="123"/>
      <c r="K1043" s="123"/>
      <c r="L1043" s="246"/>
      <c r="M1043" s="123"/>
      <c r="N1043" s="123"/>
      <c r="O1043" s="123"/>
      <c r="P1043" s="123"/>
      <c r="Q1043" t="str">
        <f t="shared" si="16"/>
        <v/>
      </c>
    </row>
    <row r="1044" spans="3:17" hidden="1">
      <c r="C1044" s="123"/>
      <c r="D1044" s="123"/>
      <c r="E1044" s="124"/>
      <c r="F1044" s="123"/>
      <c r="G1044" s="130"/>
      <c r="H1044" s="124"/>
      <c r="I1044" s="243"/>
      <c r="J1044" s="123"/>
      <c r="K1044" s="123"/>
      <c r="L1044" s="246"/>
      <c r="M1044" s="123"/>
      <c r="N1044" s="123"/>
      <c r="O1044" s="123"/>
      <c r="P1044" s="123"/>
      <c r="Q1044" t="str">
        <f t="shared" si="16"/>
        <v/>
      </c>
    </row>
    <row r="1045" spans="3:17" hidden="1">
      <c r="C1045" s="123"/>
      <c r="D1045" s="123"/>
      <c r="E1045" s="124"/>
      <c r="F1045" s="123"/>
      <c r="G1045" s="130"/>
      <c r="H1045" s="124"/>
      <c r="I1045" s="243"/>
      <c r="J1045" s="123"/>
      <c r="K1045" s="123"/>
      <c r="L1045" s="246"/>
      <c r="M1045" s="123"/>
      <c r="N1045" s="123"/>
      <c r="O1045" s="123"/>
      <c r="P1045" s="123"/>
      <c r="Q1045" t="str">
        <f t="shared" si="16"/>
        <v/>
      </c>
    </row>
    <row r="1046" spans="3:17" hidden="1">
      <c r="C1046" s="123"/>
      <c r="D1046" s="123"/>
      <c r="E1046" s="124"/>
      <c r="F1046" s="123"/>
      <c r="G1046" s="130"/>
      <c r="H1046" s="124"/>
      <c r="I1046" s="243"/>
      <c r="J1046" s="123"/>
      <c r="K1046" s="123"/>
      <c r="L1046" s="246"/>
      <c r="M1046" s="123"/>
      <c r="N1046" s="123"/>
      <c r="O1046" s="123"/>
      <c r="P1046" s="123"/>
      <c r="Q1046" t="str">
        <f t="shared" si="16"/>
        <v/>
      </c>
    </row>
    <row r="1047" spans="3:17" hidden="1">
      <c r="C1047" s="123"/>
      <c r="D1047" s="123"/>
      <c r="E1047" s="124"/>
      <c r="F1047" s="123"/>
      <c r="G1047" s="130"/>
      <c r="H1047" s="124"/>
      <c r="I1047" s="243"/>
      <c r="J1047" s="123"/>
      <c r="K1047" s="123"/>
      <c r="L1047" s="246"/>
      <c r="M1047" s="123"/>
      <c r="N1047" s="123"/>
      <c r="O1047" s="123"/>
      <c r="P1047" s="123"/>
      <c r="Q1047" t="str">
        <f t="shared" si="16"/>
        <v/>
      </c>
    </row>
    <row r="1048" spans="3:17" hidden="1">
      <c r="C1048" s="123"/>
      <c r="D1048" s="123"/>
      <c r="E1048" s="124"/>
      <c r="F1048" s="123"/>
      <c r="G1048" s="130"/>
      <c r="H1048" s="124"/>
      <c r="I1048" s="243"/>
      <c r="J1048" s="123"/>
      <c r="K1048" s="123"/>
      <c r="L1048" s="246"/>
      <c r="M1048" s="123"/>
      <c r="N1048" s="123"/>
      <c r="O1048" s="123"/>
      <c r="P1048" s="123"/>
      <c r="Q1048" t="str">
        <f t="shared" si="16"/>
        <v/>
      </c>
    </row>
    <row r="1049" spans="3:17" hidden="1">
      <c r="C1049" s="123"/>
      <c r="D1049" s="123"/>
      <c r="E1049" s="124"/>
      <c r="F1049" s="123"/>
      <c r="G1049" s="130"/>
      <c r="H1049" s="124"/>
      <c r="I1049" s="243"/>
      <c r="J1049" s="123"/>
      <c r="K1049" s="123"/>
      <c r="L1049" s="246"/>
      <c r="M1049" s="123"/>
      <c r="N1049" s="123"/>
      <c r="O1049" s="123"/>
      <c r="P1049" s="123"/>
      <c r="Q1049" t="str">
        <f t="shared" si="16"/>
        <v/>
      </c>
    </row>
    <row r="1050" spans="3:17" hidden="1">
      <c r="C1050" s="123"/>
      <c r="D1050" s="123"/>
      <c r="E1050" s="124"/>
      <c r="F1050" s="123"/>
      <c r="G1050" s="130"/>
      <c r="H1050" s="124"/>
      <c r="I1050" s="243"/>
      <c r="J1050" s="123"/>
      <c r="K1050" s="123"/>
      <c r="L1050" s="246"/>
      <c r="M1050" s="123"/>
      <c r="N1050" s="123"/>
      <c r="O1050" s="123"/>
      <c r="P1050" s="123"/>
      <c r="Q1050" t="str">
        <f t="shared" si="16"/>
        <v/>
      </c>
    </row>
    <row r="1051" spans="3:17" hidden="1">
      <c r="C1051" s="123"/>
      <c r="D1051" s="123"/>
      <c r="E1051" s="124"/>
      <c r="F1051" s="123"/>
      <c r="G1051" s="130"/>
      <c r="H1051" s="124"/>
      <c r="I1051" s="243"/>
      <c r="J1051" s="123"/>
      <c r="K1051" s="123"/>
      <c r="L1051" s="246"/>
      <c r="M1051" s="123"/>
      <c r="N1051" s="123"/>
      <c r="O1051" s="123"/>
      <c r="P1051" s="123"/>
      <c r="Q1051" t="str">
        <f t="shared" si="16"/>
        <v/>
      </c>
    </row>
    <row r="1052" spans="3:17" hidden="1">
      <c r="C1052" s="123"/>
      <c r="D1052" s="123"/>
      <c r="E1052" s="124"/>
      <c r="F1052" s="123"/>
      <c r="G1052" s="130"/>
      <c r="H1052" s="124"/>
      <c r="I1052" s="243"/>
      <c r="J1052" s="123"/>
      <c r="K1052" s="123"/>
      <c r="L1052" s="246"/>
      <c r="M1052" s="123"/>
      <c r="N1052" s="123"/>
      <c r="O1052" s="123"/>
      <c r="P1052" s="123"/>
      <c r="Q1052" t="str">
        <f t="shared" si="16"/>
        <v/>
      </c>
    </row>
    <row r="1053" spans="3:17" hidden="1">
      <c r="C1053" s="123"/>
      <c r="D1053" s="123"/>
      <c r="E1053" s="124"/>
      <c r="F1053" s="123"/>
      <c r="G1053" s="130"/>
      <c r="H1053" s="124"/>
      <c r="I1053" s="243"/>
      <c r="J1053" s="123"/>
      <c r="K1053" s="123"/>
      <c r="L1053" s="246"/>
      <c r="M1053" s="123"/>
      <c r="N1053" s="123"/>
      <c r="O1053" s="123"/>
      <c r="P1053" s="123"/>
      <c r="Q1053" t="str">
        <f t="shared" si="16"/>
        <v/>
      </c>
    </row>
    <row r="1054" spans="3:17" hidden="1">
      <c r="C1054" s="123"/>
      <c r="D1054" s="123"/>
      <c r="E1054" s="124"/>
      <c r="F1054" s="123"/>
      <c r="G1054" s="130"/>
      <c r="H1054" s="124"/>
      <c r="I1054" s="243"/>
      <c r="J1054" s="123"/>
      <c r="K1054" s="123"/>
      <c r="L1054" s="246"/>
      <c r="M1054" s="123"/>
      <c r="N1054" s="123"/>
      <c r="O1054" s="123"/>
      <c r="P1054" s="123"/>
      <c r="Q1054" t="str">
        <f t="shared" si="16"/>
        <v/>
      </c>
    </row>
    <row r="1055" spans="3:17" hidden="1">
      <c r="C1055" s="123"/>
      <c r="D1055" s="123"/>
      <c r="E1055" s="124"/>
      <c r="F1055" s="123"/>
      <c r="G1055" s="130"/>
      <c r="H1055" s="124"/>
      <c r="I1055" s="243"/>
      <c r="J1055" s="123"/>
      <c r="K1055" s="123"/>
      <c r="L1055" s="246"/>
      <c r="M1055" s="123"/>
      <c r="N1055" s="123"/>
      <c r="O1055" s="123"/>
      <c r="P1055" s="123"/>
      <c r="Q1055" t="str">
        <f t="shared" si="16"/>
        <v/>
      </c>
    </row>
    <row r="1056" spans="3:17" hidden="1">
      <c r="C1056" s="123"/>
      <c r="D1056" s="123"/>
      <c r="E1056" s="124"/>
      <c r="F1056" s="123"/>
      <c r="G1056" s="130"/>
      <c r="H1056" s="124"/>
      <c r="I1056" s="243"/>
      <c r="J1056" s="123"/>
      <c r="K1056" s="123"/>
      <c r="L1056" s="246"/>
      <c r="M1056" s="123"/>
      <c r="N1056" s="123"/>
      <c r="O1056" s="123"/>
      <c r="P1056" s="123"/>
      <c r="Q1056" t="str">
        <f t="shared" si="16"/>
        <v/>
      </c>
    </row>
    <row r="1057" spans="3:17" hidden="1">
      <c r="C1057" s="123"/>
      <c r="D1057" s="123"/>
      <c r="E1057" s="124"/>
      <c r="F1057" s="123"/>
      <c r="G1057" s="130"/>
      <c r="H1057" s="124"/>
      <c r="I1057" s="243"/>
      <c r="J1057" s="123"/>
      <c r="K1057" s="123"/>
      <c r="L1057" s="246"/>
      <c r="M1057" s="123"/>
      <c r="N1057" s="123"/>
      <c r="O1057" s="123"/>
      <c r="P1057" s="123"/>
      <c r="Q1057" t="str">
        <f t="shared" si="16"/>
        <v/>
      </c>
    </row>
    <row r="1058" spans="3:17" hidden="1">
      <c r="C1058" s="123"/>
      <c r="D1058" s="123"/>
      <c r="E1058" s="124"/>
      <c r="F1058" s="123"/>
      <c r="G1058" s="130"/>
      <c r="H1058" s="124"/>
      <c r="I1058" s="243"/>
      <c r="J1058" s="123"/>
      <c r="K1058" s="123"/>
      <c r="L1058" s="246"/>
      <c r="M1058" s="123"/>
      <c r="N1058" s="123"/>
      <c r="O1058" s="123"/>
      <c r="P1058" s="123"/>
      <c r="Q1058" t="str">
        <f t="shared" si="16"/>
        <v/>
      </c>
    </row>
    <row r="1059" spans="3:17" hidden="1">
      <c r="C1059" s="123"/>
      <c r="D1059" s="123"/>
      <c r="E1059" s="124"/>
      <c r="F1059" s="123"/>
      <c r="G1059" s="130"/>
      <c r="H1059" s="124"/>
      <c r="I1059" s="243"/>
      <c r="J1059" s="123"/>
      <c r="K1059" s="123"/>
      <c r="L1059" s="246"/>
      <c r="M1059" s="123"/>
      <c r="N1059" s="123"/>
      <c r="O1059" s="123"/>
      <c r="P1059" s="123"/>
      <c r="Q1059" t="str">
        <f t="shared" si="16"/>
        <v/>
      </c>
    </row>
    <row r="1060" spans="3:17" hidden="1">
      <c r="C1060" s="123"/>
      <c r="D1060" s="123"/>
      <c r="E1060" s="124"/>
      <c r="F1060" s="123"/>
      <c r="G1060" s="130"/>
      <c r="H1060" s="124"/>
      <c r="I1060" s="243"/>
      <c r="J1060" s="123"/>
      <c r="K1060" s="123"/>
      <c r="L1060" s="246"/>
      <c r="M1060" s="123"/>
      <c r="N1060" s="123"/>
      <c r="O1060" s="123"/>
      <c r="P1060" s="123"/>
      <c r="Q1060" t="str">
        <f t="shared" si="16"/>
        <v/>
      </c>
    </row>
    <row r="1061" spans="3:17" hidden="1">
      <c r="C1061" s="123"/>
      <c r="D1061" s="123"/>
      <c r="E1061" s="124"/>
      <c r="F1061" s="123"/>
      <c r="G1061" s="130"/>
      <c r="H1061" s="124"/>
      <c r="I1061" s="243"/>
      <c r="J1061" s="123"/>
      <c r="K1061" s="123"/>
      <c r="L1061" s="246"/>
      <c r="M1061" s="123"/>
      <c r="N1061" s="123"/>
      <c r="O1061" s="123"/>
      <c r="P1061" s="123"/>
      <c r="Q1061" t="str">
        <f t="shared" si="16"/>
        <v/>
      </c>
    </row>
    <row r="1062" spans="3:17" hidden="1">
      <c r="C1062" s="123"/>
      <c r="D1062" s="123"/>
      <c r="E1062" s="124"/>
      <c r="F1062" s="123"/>
      <c r="G1062" s="130"/>
      <c r="H1062" s="124"/>
      <c r="I1062" s="243"/>
      <c r="J1062" s="123"/>
      <c r="K1062" s="123"/>
      <c r="L1062" s="246"/>
      <c r="M1062" s="123"/>
      <c r="N1062" s="123"/>
      <c r="O1062" s="123"/>
      <c r="P1062" s="123"/>
      <c r="Q1062" t="str">
        <f t="shared" si="16"/>
        <v/>
      </c>
    </row>
    <row r="1063" spans="3:17" hidden="1">
      <c r="C1063" s="123"/>
      <c r="D1063" s="123"/>
      <c r="E1063" s="124"/>
      <c r="F1063" s="123"/>
      <c r="G1063" s="130"/>
      <c r="H1063" s="124"/>
      <c r="I1063" s="243"/>
      <c r="J1063" s="123"/>
      <c r="K1063" s="123"/>
      <c r="L1063" s="246"/>
      <c r="M1063" s="123"/>
      <c r="N1063" s="123"/>
      <c r="O1063" s="123"/>
      <c r="P1063" s="123"/>
      <c r="Q1063" t="str">
        <f t="shared" si="16"/>
        <v/>
      </c>
    </row>
    <row r="1064" spans="3:17" hidden="1">
      <c r="C1064" s="123"/>
      <c r="D1064" s="123"/>
      <c r="E1064" s="124"/>
      <c r="F1064" s="123"/>
      <c r="G1064" s="130"/>
      <c r="H1064" s="124"/>
      <c r="I1064" s="243"/>
      <c r="J1064" s="123"/>
      <c r="K1064" s="123"/>
      <c r="L1064" s="246"/>
      <c r="M1064" s="123"/>
      <c r="N1064" s="123"/>
      <c r="O1064" s="123"/>
      <c r="P1064" s="123"/>
      <c r="Q1064" t="str">
        <f t="shared" si="16"/>
        <v/>
      </c>
    </row>
    <row r="1065" spans="3:17" hidden="1">
      <c r="C1065" s="123"/>
      <c r="D1065" s="123"/>
      <c r="E1065" s="124"/>
      <c r="F1065" s="123"/>
      <c r="G1065" s="130"/>
      <c r="H1065" s="124"/>
      <c r="I1065" s="243"/>
      <c r="J1065" s="123"/>
      <c r="K1065" s="123"/>
      <c r="L1065" s="246"/>
      <c r="M1065" s="123"/>
      <c r="N1065" s="123"/>
      <c r="O1065" s="123"/>
      <c r="P1065" s="123"/>
      <c r="Q1065" t="str">
        <f t="shared" si="16"/>
        <v/>
      </c>
    </row>
    <row r="1066" spans="3:17" hidden="1">
      <c r="C1066" s="123"/>
      <c r="D1066" s="123"/>
      <c r="E1066" s="124"/>
      <c r="F1066" s="123"/>
      <c r="G1066" s="130"/>
      <c r="H1066" s="124"/>
      <c r="I1066" s="243"/>
      <c r="J1066" s="123"/>
      <c r="K1066" s="123"/>
      <c r="L1066" s="246"/>
      <c r="M1066" s="123"/>
      <c r="N1066" s="123"/>
      <c r="O1066" s="123"/>
      <c r="P1066" s="123"/>
      <c r="Q1066" t="str">
        <f t="shared" si="16"/>
        <v/>
      </c>
    </row>
    <row r="1067" spans="3:17" hidden="1">
      <c r="C1067" s="123"/>
      <c r="D1067" s="123"/>
      <c r="E1067" s="124"/>
      <c r="F1067" s="123"/>
      <c r="G1067" s="130"/>
      <c r="H1067" s="124"/>
      <c r="I1067" s="243"/>
      <c r="J1067" s="123"/>
      <c r="K1067" s="123"/>
      <c r="L1067" s="246"/>
      <c r="M1067" s="123"/>
      <c r="N1067" s="123"/>
      <c r="O1067" s="123"/>
      <c r="P1067" s="123"/>
      <c r="Q1067" t="str">
        <f t="shared" si="16"/>
        <v/>
      </c>
    </row>
    <row r="1068" spans="3:17" hidden="1">
      <c r="C1068" s="123"/>
      <c r="D1068" s="123"/>
      <c r="E1068" s="124"/>
      <c r="F1068" s="123"/>
      <c r="G1068" s="130"/>
      <c r="H1068" s="124"/>
      <c r="I1068" s="243"/>
      <c r="J1068" s="123"/>
      <c r="K1068" s="123"/>
      <c r="L1068" s="246"/>
      <c r="M1068" s="123"/>
      <c r="N1068" s="123"/>
      <c r="O1068" s="123"/>
      <c r="P1068" s="123"/>
      <c r="Q1068" t="str">
        <f t="shared" si="16"/>
        <v/>
      </c>
    </row>
    <row r="1069" spans="3:17" hidden="1">
      <c r="C1069" s="123"/>
      <c r="D1069" s="123"/>
      <c r="E1069" s="124"/>
      <c r="F1069" s="123"/>
      <c r="G1069" s="130"/>
      <c r="H1069" s="124"/>
      <c r="I1069" s="243"/>
      <c r="J1069" s="123"/>
      <c r="K1069" s="123"/>
      <c r="L1069" s="246"/>
      <c r="M1069" s="123"/>
      <c r="N1069" s="123"/>
      <c r="O1069" s="123"/>
      <c r="P1069" s="123"/>
      <c r="Q1069" t="str">
        <f t="shared" si="16"/>
        <v/>
      </c>
    </row>
    <row r="1070" spans="3:17" hidden="1">
      <c r="C1070" s="123"/>
      <c r="D1070" s="123"/>
      <c r="E1070" s="124"/>
      <c r="F1070" s="123"/>
      <c r="G1070" s="130"/>
      <c r="H1070" s="124"/>
      <c r="I1070" s="243"/>
      <c r="J1070" s="123"/>
      <c r="K1070" s="123"/>
      <c r="L1070" s="246"/>
      <c r="M1070" s="123"/>
      <c r="N1070" s="123"/>
      <c r="O1070" s="123"/>
      <c r="P1070" s="123"/>
      <c r="Q1070" t="str">
        <f t="shared" si="16"/>
        <v/>
      </c>
    </row>
    <row r="1071" spans="3:17" hidden="1">
      <c r="C1071" s="123"/>
      <c r="D1071" s="123"/>
      <c r="E1071" s="124"/>
      <c r="F1071" s="123"/>
      <c r="G1071" s="130"/>
      <c r="H1071" s="124"/>
      <c r="I1071" s="243"/>
      <c r="J1071" s="123"/>
      <c r="K1071" s="123"/>
      <c r="L1071" s="246"/>
      <c r="M1071" s="123"/>
      <c r="N1071" s="123"/>
      <c r="O1071" s="123"/>
      <c r="P1071" s="123"/>
      <c r="Q1071" t="str">
        <f t="shared" si="16"/>
        <v/>
      </c>
    </row>
    <row r="1072" spans="3:17" hidden="1">
      <c r="C1072" s="123"/>
      <c r="D1072" s="123"/>
      <c r="E1072" s="124"/>
      <c r="F1072" s="123"/>
      <c r="G1072" s="130"/>
      <c r="H1072" s="124"/>
      <c r="I1072" s="243"/>
      <c r="J1072" s="123"/>
      <c r="K1072" s="123"/>
      <c r="L1072" s="246"/>
      <c r="M1072" s="123"/>
      <c r="N1072" s="123"/>
      <c r="O1072" s="123"/>
      <c r="P1072" s="123"/>
      <c r="Q1072" t="str">
        <f t="shared" si="16"/>
        <v/>
      </c>
    </row>
    <row r="1073" spans="3:17" hidden="1">
      <c r="C1073" s="123"/>
      <c r="D1073" s="123"/>
      <c r="E1073" s="124"/>
      <c r="F1073" s="123"/>
      <c r="G1073" s="130"/>
      <c r="H1073" s="124"/>
      <c r="I1073" s="243"/>
      <c r="J1073" s="123"/>
      <c r="K1073" s="123"/>
      <c r="L1073" s="246"/>
      <c r="M1073" s="123"/>
      <c r="N1073" s="123"/>
      <c r="O1073" s="123"/>
      <c r="P1073" s="123"/>
      <c r="Q1073" t="str">
        <f t="shared" si="16"/>
        <v/>
      </c>
    </row>
    <row r="1074" spans="3:17" hidden="1">
      <c r="C1074" s="123"/>
      <c r="D1074" s="123"/>
      <c r="E1074" s="124"/>
      <c r="F1074" s="123"/>
      <c r="G1074" s="130"/>
      <c r="H1074" s="124"/>
      <c r="I1074" s="243"/>
      <c r="J1074" s="123"/>
      <c r="K1074" s="123"/>
      <c r="L1074" s="246"/>
      <c r="M1074" s="123"/>
      <c r="N1074" s="123"/>
      <c r="O1074" s="123"/>
      <c r="P1074" s="123"/>
      <c r="Q1074" t="str">
        <f t="shared" si="16"/>
        <v/>
      </c>
    </row>
    <row r="1075" spans="3:17" hidden="1">
      <c r="C1075" s="123"/>
      <c r="D1075" s="123"/>
      <c r="E1075" s="124"/>
      <c r="F1075" s="123"/>
      <c r="G1075" s="130"/>
      <c r="H1075" s="124"/>
      <c r="I1075" s="243"/>
      <c r="J1075" s="123"/>
      <c r="K1075" s="123"/>
      <c r="L1075" s="246"/>
      <c r="M1075" s="123"/>
      <c r="N1075" s="123"/>
      <c r="O1075" s="123"/>
      <c r="P1075" s="123"/>
      <c r="Q1075" t="str">
        <f t="shared" si="16"/>
        <v/>
      </c>
    </row>
    <row r="1076" spans="3:17" hidden="1">
      <c r="C1076" s="123"/>
      <c r="D1076" s="123"/>
      <c r="E1076" s="124"/>
      <c r="F1076" s="123"/>
      <c r="G1076" s="130"/>
      <c r="H1076" s="124"/>
      <c r="I1076" s="243"/>
      <c r="J1076" s="123"/>
      <c r="K1076" s="123"/>
      <c r="L1076" s="246"/>
      <c r="M1076" s="123"/>
      <c r="N1076" s="123"/>
      <c r="O1076" s="123"/>
      <c r="P1076" s="123"/>
      <c r="Q1076" t="str">
        <f t="shared" si="16"/>
        <v/>
      </c>
    </row>
    <row r="1077" spans="3:17" hidden="1">
      <c r="C1077" s="123"/>
      <c r="D1077" s="123"/>
      <c r="E1077" s="124"/>
      <c r="F1077" s="123"/>
      <c r="G1077" s="130"/>
      <c r="H1077" s="124"/>
      <c r="I1077" s="243"/>
      <c r="J1077" s="123"/>
      <c r="K1077" s="123"/>
      <c r="L1077" s="246"/>
      <c r="M1077" s="123"/>
      <c r="N1077" s="123"/>
      <c r="O1077" s="123"/>
      <c r="P1077" s="123"/>
      <c r="Q1077" t="str">
        <f t="shared" si="16"/>
        <v/>
      </c>
    </row>
    <row r="1078" spans="3:17" hidden="1">
      <c r="C1078" s="123"/>
      <c r="D1078" s="123"/>
      <c r="E1078" s="124"/>
      <c r="F1078" s="123"/>
      <c r="G1078" s="130"/>
      <c r="H1078" s="124"/>
      <c r="I1078" s="243"/>
      <c r="J1078" s="123"/>
      <c r="K1078" s="123"/>
      <c r="L1078" s="246"/>
      <c r="M1078" s="123"/>
      <c r="N1078" s="123"/>
      <c r="O1078" s="123"/>
      <c r="P1078" s="123"/>
      <c r="Q1078" t="str">
        <f t="shared" si="16"/>
        <v/>
      </c>
    </row>
    <row r="1079" spans="3:17" hidden="1">
      <c r="C1079" s="123"/>
      <c r="D1079" s="123"/>
      <c r="E1079" s="124"/>
      <c r="F1079" s="123"/>
      <c r="G1079" s="130"/>
      <c r="H1079" s="124"/>
      <c r="I1079" s="243"/>
      <c r="J1079" s="123"/>
      <c r="K1079" s="123"/>
      <c r="L1079" s="246"/>
      <c r="M1079" s="123"/>
      <c r="N1079" s="123"/>
      <c r="O1079" s="123"/>
      <c r="P1079" s="123"/>
      <c r="Q1079" t="str">
        <f t="shared" si="16"/>
        <v/>
      </c>
    </row>
    <row r="1080" spans="3:17" hidden="1">
      <c r="C1080" s="123"/>
      <c r="D1080" s="123"/>
      <c r="E1080" s="124"/>
      <c r="F1080" s="123"/>
      <c r="G1080" s="130"/>
      <c r="H1080" s="124"/>
      <c r="I1080" s="243"/>
      <c r="J1080" s="123"/>
      <c r="K1080" s="123"/>
      <c r="L1080" s="246"/>
      <c r="M1080" s="123"/>
      <c r="N1080" s="123"/>
      <c r="O1080" s="123"/>
      <c r="P1080" s="123"/>
      <c r="Q1080" t="str">
        <f t="shared" si="16"/>
        <v/>
      </c>
    </row>
    <row r="1081" spans="3:17" hidden="1">
      <c r="C1081" s="123"/>
      <c r="D1081" s="123"/>
      <c r="E1081" s="124"/>
      <c r="F1081" s="123"/>
      <c r="G1081" s="130"/>
      <c r="H1081" s="124"/>
      <c r="I1081" s="243"/>
      <c r="J1081" s="123"/>
      <c r="K1081" s="123"/>
      <c r="L1081" s="246"/>
      <c r="M1081" s="123"/>
      <c r="N1081" s="123"/>
      <c r="O1081" s="123"/>
      <c r="P1081" s="123"/>
      <c r="Q1081" t="str">
        <f t="shared" si="16"/>
        <v/>
      </c>
    </row>
    <row r="1082" spans="3:17" hidden="1">
      <c r="C1082" s="123"/>
      <c r="D1082" s="123"/>
      <c r="E1082" s="124"/>
      <c r="F1082" s="123"/>
      <c r="G1082" s="130"/>
      <c r="H1082" s="124"/>
      <c r="I1082" s="243"/>
      <c r="J1082" s="123"/>
      <c r="K1082" s="123"/>
      <c r="L1082" s="246"/>
      <c r="M1082" s="123"/>
      <c r="N1082" s="123"/>
      <c r="O1082" s="123"/>
      <c r="P1082" s="123"/>
      <c r="Q1082" t="str">
        <f t="shared" si="16"/>
        <v/>
      </c>
    </row>
    <row r="1083" spans="3:17" hidden="1">
      <c r="C1083" s="123"/>
      <c r="D1083" s="123"/>
      <c r="E1083" s="124"/>
      <c r="F1083" s="123"/>
      <c r="G1083" s="130"/>
      <c r="H1083" s="124"/>
      <c r="I1083" s="243"/>
      <c r="J1083" s="123"/>
      <c r="K1083" s="123"/>
      <c r="L1083" s="246"/>
      <c r="M1083" s="123"/>
      <c r="N1083" s="123"/>
      <c r="O1083" s="123"/>
      <c r="P1083" s="123"/>
      <c r="Q1083" t="str">
        <f t="shared" si="16"/>
        <v/>
      </c>
    </row>
    <row r="1084" spans="3:17" hidden="1">
      <c r="C1084" s="123"/>
      <c r="D1084" s="123"/>
      <c r="E1084" s="124"/>
      <c r="F1084" s="123"/>
      <c r="G1084" s="130"/>
      <c r="H1084" s="124"/>
      <c r="I1084" s="243"/>
      <c r="J1084" s="123"/>
      <c r="K1084" s="123"/>
      <c r="L1084" s="246"/>
      <c r="M1084" s="123"/>
      <c r="N1084" s="123"/>
      <c r="O1084" s="123"/>
      <c r="P1084" s="123"/>
      <c r="Q1084" t="str">
        <f t="shared" si="16"/>
        <v/>
      </c>
    </row>
    <row r="1085" spans="3:17" hidden="1">
      <c r="C1085" s="123"/>
      <c r="D1085" s="123"/>
      <c r="E1085" s="124"/>
      <c r="F1085" s="123"/>
      <c r="G1085" s="130"/>
      <c r="H1085" s="124"/>
      <c r="I1085" s="243"/>
      <c r="J1085" s="123"/>
      <c r="K1085" s="123"/>
      <c r="L1085" s="246"/>
      <c r="M1085" s="123"/>
      <c r="N1085" s="123"/>
      <c r="O1085" s="123"/>
      <c r="P1085" s="123"/>
      <c r="Q1085" t="str">
        <f t="shared" si="16"/>
        <v/>
      </c>
    </row>
    <row r="1086" spans="3:17" hidden="1">
      <c r="C1086" s="123"/>
      <c r="D1086" s="123"/>
      <c r="E1086" s="124"/>
      <c r="F1086" s="123"/>
      <c r="G1086" s="130"/>
      <c r="H1086" s="124"/>
      <c r="I1086" s="243"/>
      <c r="J1086" s="123"/>
      <c r="K1086" s="123"/>
      <c r="L1086" s="246"/>
      <c r="M1086" s="123"/>
      <c r="N1086" s="123"/>
      <c r="O1086" s="123"/>
      <c r="P1086" s="123"/>
      <c r="Q1086" t="str">
        <f t="shared" si="16"/>
        <v/>
      </c>
    </row>
    <row r="1087" spans="3:17" hidden="1">
      <c r="C1087" s="123"/>
      <c r="D1087" s="123"/>
      <c r="E1087" s="124"/>
      <c r="F1087" s="123"/>
      <c r="G1087" s="130"/>
      <c r="H1087" s="124"/>
      <c r="I1087" s="243"/>
      <c r="J1087" s="123"/>
      <c r="K1087" s="123"/>
      <c r="L1087" s="246"/>
      <c r="M1087" s="123"/>
      <c r="N1087" s="123"/>
      <c r="O1087" s="123"/>
      <c r="P1087" s="123"/>
      <c r="Q1087" t="str">
        <f t="shared" si="16"/>
        <v/>
      </c>
    </row>
    <row r="1088" spans="3:17" hidden="1">
      <c r="C1088" s="123"/>
      <c r="D1088" s="123"/>
      <c r="E1088" s="124"/>
      <c r="F1088" s="123"/>
      <c r="G1088" s="130"/>
      <c r="H1088" s="124"/>
      <c r="I1088" s="243"/>
      <c r="J1088" s="123"/>
      <c r="K1088" s="123"/>
      <c r="L1088" s="246"/>
      <c r="M1088" s="123"/>
      <c r="N1088" s="123"/>
      <c r="O1088" s="123"/>
      <c r="P1088" s="123"/>
      <c r="Q1088" t="str">
        <f t="shared" si="16"/>
        <v/>
      </c>
    </row>
    <row r="1089" spans="3:17" hidden="1">
      <c r="C1089" s="123"/>
      <c r="D1089" s="123"/>
      <c r="E1089" s="124"/>
      <c r="F1089" s="123"/>
      <c r="G1089" s="130"/>
      <c r="H1089" s="124"/>
      <c r="I1089" s="243"/>
      <c r="J1089" s="123"/>
      <c r="K1089" s="123"/>
      <c r="L1089" s="246"/>
      <c r="M1089" s="123"/>
      <c r="N1089" s="123"/>
      <c r="O1089" s="123"/>
      <c r="P1089" s="123"/>
      <c r="Q1089" t="str">
        <f t="shared" si="16"/>
        <v/>
      </c>
    </row>
    <row r="1090" spans="3:17" hidden="1">
      <c r="C1090" s="123"/>
      <c r="D1090" s="123"/>
      <c r="E1090" s="124"/>
      <c r="F1090" s="123"/>
      <c r="G1090" s="130"/>
      <c r="H1090" s="124"/>
      <c r="I1090" s="243"/>
      <c r="J1090" s="123"/>
      <c r="K1090" s="123"/>
      <c r="L1090" s="246"/>
      <c r="M1090" s="123"/>
      <c r="N1090" s="123"/>
      <c r="O1090" s="123"/>
      <c r="P1090" s="123"/>
      <c r="Q1090" t="str">
        <f t="shared" si="16"/>
        <v/>
      </c>
    </row>
    <row r="1091" spans="3:17" hidden="1">
      <c r="C1091" s="123"/>
      <c r="D1091" s="123"/>
      <c r="E1091" s="124"/>
      <c r="F1091" s="123"/>
      <c r="G1091" s="130"/>
      <c r="H1091" s="124"/>
      <c r="I1091" s="243"/>
      <c r="J1091" s="123"/>
      <c r="K1091" s="123"/>
      <c r="L1091" s="246"/>
      <c r="M1091" s="123"/>
      <c r="N1091" s="123"/>
      <c r="O1091" s="123"/>
      <c r="P1091" s="123"/>
      <c r="Q1091" t="str">
        <f t="shared" si="16"/>
        <v/>
      </c>
    </row>
    <row r="1092" spans="3:17" hidden="1">
      <c r="C1092" s="123"/>
      <c r="D1092" s="123"/>
      <c r="E1092" s="124"/>
      <c r="F1092" s="123"/>
      <c r="G1092" s="130"/>
      <c r="H1092" s="124"/>
      <c r="I1092" s="243"/>
      <c r="J1092" s="123"/>
      <c r="K1092" s="123"/>
      <c r="L1092" s="246"/>
      <c r="M1092" s="123"/>
      <c r="N1092" s="123"/>
      <c r="O1092" s="123"/>
      <c r="P1092" s="123"/>
      <c r="Q1092" t="str">
        <f t="shared" si="16"/>
        <v/>
      </c>
    </row>
    <row r="1093" spans="3:17" hidden="1">
      <c r="C1093" s="123"/>
      <c r="D1093" s="123"/>
      <c r="E1093" s="124"/>
      <c r="F1093" s="123"/>
      <c r="G1093" s="130"/>
      <c r="H1093" s="124"/>
      <c r="I1093" s="243"/>
      <c r="J1093" s="123"/>
      <c r="K1093" s="123"/>
      <c r="L1093" s="246"/>
      <c r="M1093" s="123"/>
      <c r="N1093" s="123"/>
      <c r="O1093" s="123"/>
      <c r="P1093" s="123"/>
      <c r="Q1093" t="str">
        <f t="shared" si="16"/>
        <v/>
      </c>
    </row>
    <row r="1094" spans="3:17" hidden="1">
      <c r="C1094" s="123"/>
      <c r="D1094" s="123"/>
      <c r="E1094" s="124"/>
      <c r="F1094" s="123"/>
      <c r="G1094" s="130"/>
      <c r="H1094" s="124"/>
      <c r="I1094" s="243"/>
      <c r="J1094" s="123"/>
      <c r="K1094" s="123"/>
      <c r="L1094" s="246"/>
      <c r="M1094" s="123"/>
      <c r="N1094" s="123"/>
      <c r="O1094" s="123"/>
      <c r="P1094" s="123"/>
      <c r="Q1094" t="str">
        <f t="shared" si="16"/>
        <v/>
      </c>
    </row>
    <row r="1095" spans="3:17" hidden="1">
      <c r="C1095" s="123"/>
      <c r="D1095" s="123"/>
      <c r="E1095" s="124"/>
      <c r="F1095" s="123"/>
      <c r="G1095" s="130"/>
      <c r="H1095" s="124"/>
      <c r="I1095" s="243"/>
      <c r="J1095" s="123"/>
      <c r="K1095" s="123"/>
      <c r="L1095" s="246"/>
      <c r="M1095" s="123"/>
      <c r="N1095" s="123"/>
      <c r="O1095" s="123"/>
      <c r="P1095" s="123"/>
      <c r="Q1095" t="str">
        <f t="shared" ref="Q1095:Q1158" si="17">IF(D1095="","","x")</f>
        <v/>
      </c>
    </row>
    <row r="1096" spans="3:17" hidden="1">
      <c r="C1096" s="123"/>
      <c r="D1096" s="123"/>
      <c r="E1096" s="124"/>
      <c r="F1096" s="123"/>
      <c r="G1096" s="130"/>
      <c r="H1096" s="124"/>
      <c r="I1096" s="243"/>
      <c r="J1096" s="123"/>
      <c r="K1096" s="123"/>
      <c r="L1096" s="246"/>
      <c r="M1096" s="123"/>
      <c r="N1096" s="123"/>
      <c r="O1096" s="123"/>
      <c r="P1096" s="123"/>
      <c r="Q1096" t="str">
        <f t="shared" si="17"/>
        <v/>
      </c>
    </row>
    <row r="1097" spans="3:17" hidden="1">
      <c r="C1097" s="123"/>
      <c r="D1097" s="123"/>
      <c r="E1097" s="124"/>
      <c r="F1097" s="123"/>
      <c r="G1097" s="130"/>
      <c r="H1097" s="124"/>
      <c r="I1097" s="243"/>
      <c r="J1097" s="123"/>
      <c r="K1097" s="123"/>
      <c r="L1097" s="246"/>
      <c r="M1097" s="123"/>
      <c r="N1097" s="123"/>
      <c r="O1097" s="123"/>
      <c r="P1097" s="123"/>
      <c r="Q1097" t="str">
        <f t="shared" si="17"/>
        <v/>
      </c>
    </row>
    <row r="1098" spans="3:17" hidden="1">
      <c r="C1098" s="123"/>
      <c r="D1098" s="123"/>
      <c r="E1098" s="124"/>
      <c r="F1098" s="123"/>
      <c r="G1098" s="130"/>
      <c r="H1098" s="124"/>
      <c r="I1098" s="243"/>
      <c r="J1098" s="123"/>
      <c r="K1098" s="123"/>
      <c r="L1098" s="246"/>
      <c r="M1098" s="123"/>
      <c r="N1098" s="123"/>
      <c r="O1098" s="123"/>
      <c r="P1098" s="123"/>
      <c r="Q1098" t="str">
        <f t="shared" si="17"/>
        <v/>
      </c>
    </row>
    <row r="1099" spans="3:17" hidden="1">
      <c r="C1099" s="123"/>
      <c r="D1099" s="123"/>
      <c r="E1099" s="124"/>
      <c r="F1099" s="123"/>
      <c r="G1099" s="130"/>
      <c r="H1099" s="124"/>
      <c r="I1099" s="243"/>
      <c r="J1099" s="123"/>
      <c r="K1099" s="123"/>
      <c r="L1099" s="246"/>
      <c r="M1099" s="123"/>
      <c r="N1099" s="123"/>
      <c r="O1099" s="123"/>
      <c r="P1099" s="123"/>
      <c r="Q1099" t="str">
        <f t="shared" si="17"/>
        <v/>
      </c>
    </row>
    <row r="1100" spans="3:17" hidden="1">
      <c r="C1100" s="123"/>
      <c r="D1100" s="123"/>
      <c r="E1100" s="124"/>
      <c r="F1100" s="123"/>
      <c r="G1100" s="130"/>
      <c r="H1100" s="124"/>
      <c r="I1100" s="243"/>
      <c r="J1100" s="123"/>
      <c r="K1100" s="123"/>
      <c r="L1100" s="246"/>
      <c r="M1100" s="123"/>
      <c r="N1100" s="123"/>
      <c r="O1100" s="123"/>
      <c r="P1100" s="123"/>
      <c r="Q1100" t="str">
        <f t="shared" si="17"/>
        <v/>
      </c>
    </row>
    <row r="1101" spans="3:17" hidden="1">
      <c r="C1101" s="123"/>
      <c r="D1101" s="123"/>
      <c r="E1101" s="124"/>
      <c r="F1101" s="123"/>
      <c r="G1101" s="130"/>
      <c r="H1101" s="124"/>
      <c r="I1101" s="243"/>
      <c r="J1101" s="123"/>
      <c r="K1101" s="123"/>
      <c r="L1101" s="246"/>
      <c r="M1101" s="123"/>
      <c r="N1101" s="123"/>
      <c r="O1101" s="123"/>
      <c r="P1101" s="123"/>
      <c r="Q1101" t="str">
        <f t="shared" si="17"/>
        <v/>
      </c>
    </row>
    <row r="1102" spans="3:17" hidden="1">
      <c r="C1102" s="123"/>
      <c r="D1102" s="123"/>
      <c r="E1102" s="124"/>
      <c r="F1102" s="123"/>
      <c r="G1102" s="130"/>
      <c r="H1102" s="124"/>
      <c r="I1102" s="243"/>
      <c r="J1102" s="123"/>
      <c r="K1102" s="123"/>
      <c r="L1102" s="246"/>
      <c r="M1102" s="123"/>
      <c r="N1102" s="123"/>
      <c r="O1102" s="123"/>
      <c r="P1102" s="123"/>
      <c r="Q1102" t="str">
        <f t="shared" si="17"/>
        <v/>
      </c>
    </row>
    <row r="1103" spans="3:17" hidden="1">
      <c r="C1103" s="123"/>
      <c r="D1103" s="123"/>
      <c r="E1103" s="124"/>
      <c r="F1103" s="123"/>
      <c r="G1103" s="130"/>
      <c r="H1103" s="124"/>
      <c r="I1103" s="243"/>
      <c r="J1103" s="123"/>
      <c r="K1103" s="123"/>
      <c r="L1103" s="246"/>
      <c r="M1103" s="123"/>
      <c r="N1103" s="123"/>
      <c r="O1103" s="123"/>
      <c r="P1103" s="123"/>
      <c r="Q1103" t="str">
        <f t="shared" si="17"/>
        <v/>
      </c>
    </row>
    <row r="1104" spans="3:17" hidden="1">
      <c r="C1104" s="123"/>
      <c r="D1104" s="123"/>
      <c r="E1104" s="124"/>
      <c r="F1104" s="123"/>
      <c r="G1104" s="130"/>
      <c r="H1104" s="124"/>
      <c r="I1104" s="243"/>
      <c r="J1104" s="123"/>
      <c r="K1104" s="123"/>
      <c r="L1104" s="246"/>
      <c r="M1104" s="123"/>
      <c r="N1104" s="123"/>
      <c r="O1104" s="123"/>
      <c r="P1104" s="123"/>
      <c r="Q1104" t="str">
        <f t="shared" si="17"/>
        <v/>
      </c>
    </row>
    <row r="1105" spans="3:17" hidden="1">
      <c r="C1105" s="123"/>
      <c r="D1105" s="123"/>
      <c r="E1105" s="124"/>
      <c r="F1105" s="123"/>
      <c r="G1105" s="130"/>
      <c r="H1105" s="124"/>
      <c r="I1105" s="243"/>
      <c r="J1105" s="123"/>
      <c r="K1105" s="123"/>
      <c r="L1105" s="246"/>
      <c r="M1105" s="123"/>
      <c r="N1105" s="123"/>
      <c r="O1105" s="123"/>
      <c r="P1105" s="123"/>
      <c r="Q1105" t="str">
        <f t="shared" si="17"/>
        <v/>
      </c>
    </row>
    <row r="1106" spans="3:17" hidden="1">
      <c r="C1106" s="123"/>
      <c r="D1106" s="123"/>
      <c r="E1106" s="124"/>
      <c r="F1106" s="123"/>
      <c r="G1106" s="130"/>
      <c r="H1106" s="124"/>
      <c r="I1106" s="243"/>
      <c r="J1106" s="123"/>
      <c r="K1106" s="123"/>
      <c r="L1106" s="246"/>
      <c r="M1106" s="123"/>
      <c r="N1106" s="123"/>
      <c r="O1106" s="123"/>
      <c r="P1106" s="123"/>
      <c r="Q1106" t="str">
        <f t="shared" si="17"/>
        <v/>
      </c>
    </row>
    <row r="1107" spans="3:17" hidden="1">
      <c r="C1107" s="123"/>
      <c r="D1107" s="123"/>
      <c r="E1107" s="124"/>
      <c r="F1107" s="123"/>
      <c r="G1107" s="130"/>
      <c r="H1107" s="124"/>
      <c r="I1107" s="243"/>
      <c r="J1107" s="123"/>
      <c r="K1107" s="123"/>
      <c r="L1107" s="246"/>
      <c r="M1107" s="123"/>
      <c r="N1107" s="123"/>
      <c r="O1107" s="123"/>
      <c r="P1107" s="123"/>
      <c r="Q1107" t="str">
        <f t="shared" si="17"/>
        <v/>
      </c>
    </row>
    <row r="1108" spans="3:17" hidden="1">
      <c r="C1108" s="123"/>
      <c r="D1108" s="123"/>
      <c r="E1108" s="124"/>
      <c r="F1108" s="123"/>
      <c r="G1108" s="130"/>
      <c r="H1108" s="124"/>
      <c r="I1108" s="243"/>
      <c r="J1108" s="123"/>
      <c r="K1108" s="123"/>
      <c r="L1108" s="246"/>
      <c r="M1108" s="123"/>
      <c r="N1108" s="123"/>
      <c r="O1108" s="123"/>
      <c r="P1108" s="123"/>
      <c r="Q1108" t="str">
        <f t="shared" si="17"/>
        <v/>
      </c>
    </row>
    <row r="1109" spans="3:17" hidden="1">
      <c r="C1109" s="123"/>
      <c r="D1109" s="123"/>
      <c r="E1109" s="124"/>
      <c r="F1109" s="123"/>
      <c r="G1109" s="130"/>
      <c r="H1109" s="124"/>
      <c r="I1109" s="243"/>
      <c r="J1109" s="123"/>
      <c r="K1109" s="123"/>
      <c r="L1109" s="246"/>
      <c r="M1109" s="123"/>
      <c r="N1109" s="123"/>
      <c r="O1109" s="123"/>
      <c r="P1109" s="123"/>
      <c r="Q1109" t="str">
        <f t="shared" si="17"/>
        <v/>
      </c>
    </row>
    <row r="1110" spans="3:17" hidden="1">
      <c r="C1110" s="123"/>
      <c r="D1110" s="123"/>
      <c r="E1110" s="124"/>
      <c r="F1110" s="123"/>
      <c r="G1110" s="130"/>
      <c r="H1110" s="124"/>
      <c r="I1110" s="243"/>
      <c r="J1110" s="123"/>
      <c r="K1110" s="123"/>
      <c r="L1110" s="246"/>
      <c r="M1110" s="123"/>
      <c r="N1110" s="123"/>
      <c r="O1110" s="123"/>
      <c r="P1110" s="123"/>
      <c r="Q1110" t="str">
        <f t="shared" si="17"/>
        <v/>
      </c>
    </row>
    <row r="1111" spans="3:17" hidden="1">
      <c r="C1111" s="123"/>
      <c r="D1111" s="123"/>
      <c r="E1111" s="124"/>
      <c r="F1111" s="123"/>
      <c r="G1111" s="130"/>
      <c r="H1111" s="124"/>
      <c r="I1111" s="243"/>
      <c r="J1111" s="123"/>
      <c r="K1111" s="123"/>
      <c r="L1111" s="246"/>
      <c r="M1111" s="123"/>
      <c r="N1111" s="123"/>
      <c r="O1111" s="123"/>
      <c r="P1111" s="123"/>
      <c r="Q1111" t="str">
        <f t="shared" si="17"/>
        <v/>
      </c>
    </row>
    <row r="1112" spans="3:17" hidden="1">
      <c r="C1112" s="123"/>
      <c r="D1112" s="123"/>
      <c r="E1112" s="124"/>
      <c r="F1112" s="123"/>
      <c r="G1112" s="130"/>
      <c r="H1112" s="124"/>
      <c r="I1112" s="243"/>
      <c r="J1112" s="123"/>
      <c r="K1112" s="123"/>
      <c r="L1112" s="246"/>
      <c r="M1112" s="123"/>
      <c r="N1112" s="123"/>
      <c r="O1112" s="123"/>
      <c r="P1112" s="123"/>
      <c r="Q1112" t="str">
        <f t="shared" si="17"/>
        <v/>
      </c>
    </row>
    <row r="1113" spans="3:17" hidden="1">
      <c r="C1113" s="123"/>
      <c r="D1113" s="123"/>
      <c r="E1113" s="124"/>
      <c r="F1113" s="123"/>
      <c r="G1113" s="130"/>
      <c r="H1113" s="124"/>
      <c r="I1113" s="243"/>
      <c r="J1113" s="123"/>
      <c r="K1113" s="123"/>
      <c r="L1113" s="246"/>
      <c r="M1113" s="123"/>
      <c r="N1113" s="123"/>
      <c r="O1113" s="123"/>
      <c r="P1113" s="123"/>
      <c r="Q1113" t="str">
        <f t="shared" si="17"/>
        <v/>
      </c>
    </row>
    <row r="1114" spans="3:17" hidden="1">
      <c r="C1114" s="123"/>
      <c r="D1114" s="123"/>
      <c r="E1114" s="124"/>
      <c r="F1114" s="123"/>
      <c r="G1114" s="130"/>
      <c r="H1114" s="124"/>
      <c r="I1114" s="243"/>
      <c r="J1114" s="123"/>
      <c r="K1114" s="123"/>
      <c r="L1114" s="246"/>
      <c r="M1114" s="123"/>
      <c r="N1114" s="123"/>
      <c r="O1114" s="123"/>
      <c r="P1114" s="123"/>
      <c r="Q1114" t="str">
        <f t="shared" si="17"/>
        <v/>
      </c>
    </row>
    <row r="1115" spans="3:17" hidden="1">
      <c r="C1115" s="123"/>
      <c r="D1115" s="123"/>
      <c r="E1115" s="124"/>
      <c r="F1115" s="123"/>
      <c r="G1115" s="130"/>
      <c r="H1115" s="124"/>
      <c r="I1115" s="243"/>
      <c r="J1115" s="123"/>
      <c r="K1115" s="123"/>
      <c r="L1115" s="246"/>
      <c r="M1115" s="123"/>
      <c r="N1115" s="123"/>
      <c r="O1115" s="123"/>
      <c r="P1115" s="123"/>
      <c r="Q1115" t="str">
        <f t="shared" si="17"/>
        <v/>
      </c>
    </row>
    <row r="1116" spans="3:17" hidden="1">
      <c r="C1116" s="123"/>
      <c r="D1116" s="123"/>
      <c r="E1116" s="124"/>
      <c r="F1116" s="123"/>
      <c r="G1116" s="130"/>
      <c r="H1116" s="124"/>
      <c r="I1116" s="243"/>
      <c r="J1116" s="123"/>
      <c r="K1116" s="123"/>
      <c r="L1116" s="246"/>
      <c r="M1116" s="123"/>
      <c r="N1116" s="123"/>
      <c r="O1116" s="123"/>
      <c r="P1116" s="123"/>
      <c r="Q1116" t="str">
        <f t="shared" si="17"/>
        <v/>
      </c>
    </row>
    <row r="1117" spans="3:17" hidden="1">
      <c r="C1117" s="123"/>
      <c r="D1117" s="123"/>
      <c r="E1117" s="124"/>
      <c r="F1117" s="123"/>
      <c r="G1117" s="130"/>
      <c r="H1117" s="124"/>
      <c r="I1117" s="243"/>
      <c r="J1117" s="123"/>
      <c r="K1117" s="123"/>
      <c r="L1117" s="246"/>
      <c r="M1117" s="123"/>
      <c r="N1117" s="123"/>
      <c r="O1117" s="123"/>
      <c r="P1117" s="123"/>
      <c r="Q1117" t="str">
        <f t="shared" si="17"/>
        <v/>
      </c>
    </row>
    <row r="1118" spans="3:17" hidden="1">
      <c r="C1118" s="123"/>
      <c r="D1118" s="123"/>
      <c r="E1118" s="124"/>
      <c r="F1118" s="123"/>
      <c r="G1118" s="130"/>
      <c r="H1118" s="124"/>
      <c r="I1118" s="243"/>
      <c r="J1118" s="123"/>
      <c r="K1118" s="123"/>
      <c r="L1118" s="246"/>
      <c r="M1118" s="123"/>
      <c r="N1118" s="123"/>
      <c r="O1118" s="123"/>
      <c r="P1118" s="123"/>
      <c r="Q1118" t="str">
        <f t="shared" si="17"/>
        <v/>
      </c>
    </row>
    <row r="1119" spans="3:17" hidden="1">
      <c r="C1119" s="123"/>
      <c r="D1119" s="123"/>
      <c r="E1119" s="124"/>
      <c r="F1119" s="123"/>
      <c r="G1119" s="130"/>
      <c r="H1119" s="124"/>
      <c r="I1119" s="243"/>
      <c r="J1119" s="123"/>
      <c r="K1119" s="123"/>
      <c r="L1119" s="246"/>
      <c r="M1119" s="123"/>
      <c r="N1119" s="123"/>
      <c r="O1119" s="123"/>
      <c r="P1119" s="123"/>
      <c r="Q1119" t="str">
        <f t="shared" si="17"/>
        <v/>
      </c>
    </row>
    <row r="1120" spans="3:17" hidden="1">
      <c r="C1120" s="123"/>
      <c r="D1120" s="123"/>
      <c r="E1120" s="124"/>
      <c r="F1120" s="123"/>
      <c r="G1120" s="130"/>
      <c r="H1120" s="124"/>
      <c r="I1120" s="243"/>
      <c r="J1120" s="123"/>
      <c r="K1120" s="123"/>
      <c r="L1120" s="246"/>
      <c r="M1120" s="123"/>
      <c r="N1120" s="123"/>
      <c r="O1120" s="123"/>
      <c r="P1120" s="123"/>
      <c r="Q1120" t="str">
        <f t="shared" si="17"/>
        <v/>
      </c>
    </row>
    <row r="1121" spans="3:17" hidden="1">
      <c r="C1121" s="123"/>
      <c r="D1121" s="123"/>
      <c r="E1121" s="124"/>
      <c r="F1121" s="123"/>
      <c r="G1121" s="130"/>
      <c r="H1121" s="124"/>
      <c r="I1121" s="243"/>
      <c r="J1121" s="123"/>
      <c r="K1121" s="123"/>
      <c r="L1121" s="246"/>
      <c r="M1121" s="123"/>
      <c r="N1121" s="123"/>
      <c r="O1121" s="123"/>
      <c r="P1121" s="123"/>
      <c r="Q1121" t="str">
        <f t="shared" si="17"/>
        <v/>
      </c>
    </row>
    <row r="1122" spans="3:17" hidden="1">
      <c r="C1122" s="123"/>
      <c r="D1122" s="123"/>
      <c r="E1122" s="124"/>
      <c r="F1122" s="123"/>
      <c r="G1122" s="130"/>
      <c r="H1122" s="124"/>
      <c r="I1122" s="243"/>
      <c r="J1122" s="123"/>
      <c r="K1122" s="123"/>
      <c r="L1122" s="246"/>
      <c r="M1122" s="123"/>
      <c r="N1122" s="123"/>
      <c r="O1122" s="123"/>
      <c r="P1122" s="123"/>
      <c r="Q1122" t="str">
        <f t="shared" si="17"/>
        <v/>
      </c>
    </row>
    <row r="1123" spans="3:17" hidden="1">
      <c r="C1123" s="123"/>
      <c r="D1123" s="123"/>
      <c r="E1123" s="124"/>
      <c r="F1123" s="123"/>
      <c r="G1123" s="130"/>
      <c r="H1123" s="124"/>
      <c r="I1123" s="243"/>
      <c r="J1123" s="123"/>
      <c r="K1123" s="123"/>
      <c r="L1123" s="246"/>
      <c r="M1123" s="123"/>
      <c r="N1123" s="123"/>
      <c r="O1123" s="123"/>
      <c r="P1123" s="123"/>
      <c r="Q1123" t="str">
        <f t="shared" si="17"/>
        <v/>
      </c>
    </row>
    <row r="1124" spans="3:17" hidden="1">
      <c r="C1124" s="123"/>
      <c r="D1124" s="123"/>
      <c r="E1124" s="124"/>
      <c r="F1124" s="123"/>
      <c r="G1124" s="130"/>
      <c r="H1124" s="124"/>
      <c r="I1124" s="243"/>
      <c r="J1124" s="123"/>
      <c r="K1124" s="123"/>
      <c r="L1124" s="246"/>
      <c r="M1124" s="123"/>
      <c r="N1124" s="123"/>
      <c r="O1124" s="123"/>
      <c r="P1124" s="123"/>
      <c r="Q1124" t="str">
        <f t="shared" si="17"/>
        <v/>
      </c>
    </row>
    <row r="1125" spans="3:17" hidden="1">
      <c r="C1125" s="123"/>
      <c r="D1125" s="123"/>
      <c r="E1125" s="124"/>
      <c r="F1125" s="123"/>
      <c r="G1125" s="130"/>
      <c r="H1125" s="124"/>
      <c r="I1125" s="243"/>
      <c r="J1125" s="123"/>
      <c r="K1125" s="123"/>
      <c r="L1125" s="246"/>
      <c r="M1125" s="123"/>
      <c r="N1125" s="123"/>
      <c r="O1125" s="123"/>
      <c r="P1125" s="123"/>
      <c r="Q1125" t="str">
        <f t="shared" si="17"/>
        <v/>
      </c>
    </row>
    <row r="1126" spans="3:17" hidden="1">
      <c r="C1126" s="123"/>
      <c r="D1126" s="123"/>
      <c r="E1126" s="124"/>
      <c r="F1126" s="123"/>
      <c r="G1126" s="130"/>
      <c r="H1126" s="124"/>
      <c r="I1126" s="243"/>
      <c r="J1126" s="123"/>
      <c r="K1126" s="123"/>
      <c r="L1126" s="246"/>
      <c r="M1126" s="123"/>
      <c r="N1126" s="123"/>
      <c r="O1126" s="123"/>
      <c r="P1126" s="123"/>
      <c r="Q1126" t="str">
        <f t="shared" si="17"/>
        <v/>
      </c>
    </row>
    <row r="1127" spans="3:17" hidden="1">
      <c r="C1127" s="123"/>
      <c r="D1127" s="123"/>
      <c r="E1127" s="124"/>
      <c r="F1127" s="123"/>
      <c r="G1127" s="130"/>
      <c r="H1127" s="124"/>
      <c r="I1127" s="243"/>
      <c r="J1127" s="123"/>
      <c r="K1127" s="123"/>
      <c r="L1127" s="246"/>
      <c r="M1127" s="123"/>
      <c r="N1127" s="123"/>
      <c r="O1127" s="123"/>
      <c r="P1127" s="123"/>
      <c r="Q1127" t="str">
        <f t="shared" si="17"/>
        <v/>
      </c>
    </row>
    <row r="1128" spans="3:17" hidden="1">
      <c r="C1128" s="123"/>
      <c r="D1128" s="123"/>
      <c r="E1128" s="124"/>
      <c r="F1128" s="123"/>
      <c r="G1128" s="130"/>
      <c r="H1128" s="124"/>
      <c r="I1128" s="243"/>
      <c r="J1128" s="123"/>
      <c r="K1128" s="123"/>
      <c r="L1128" s="246"/>
      <c r="M1128" s="123"/>
      <c r="N1128" s="123"/>
      <c r="O1128" s="123"/>
      <c r="P1128" s="123"/>
      <c r="Q1128" t="str">
        <f t="shared" si="17"/>
        <v/>
      </c>
    </row>
    <row r="1129" spans="3:17" hidden="1">
      <c r="C1129" s="123"/>
      <c r="D1129" s="123"/>
      <c r="E1129" s="124"/>
      <c r="F1129" s="123"/>
      <c r="G1129" s="130"/>
      <c r="H1129" s="124"/>
      <c r="I1129" s="243"/>
      <c r="J1129" s="123"/>
      <c r="K1129" s="123"/>
      <c r="L1129" s="246"/>
      <c r="M1129" s="123"/>
      <c r="N1129" s="123"/>
      <c r="O1129" s="123"/>
      <c r="P1129" s="123"/>
      <c r="Q1129" t="str">
        <f t="shared" si="17"/>
        <v/>
      </c>
    </row>
    <row r="1130" spans="3:17" hidden="1">
      <c r="C1130" s="123"/>
      <c r="D1130" s="123"/>
      <c r="E1130" s="124"/>
      <c r="F1130" s="123"/>
      <c r="G1130" s="130"/>
      <c r="H1130" s="124"/>
      <c r="I1130" s="243"/>
      <c r="J1130" s="123"/>
      <c r="K1130" s="123"/>
      <c r="L1130" s="246"/>
      <c r="M1130" s="123"/>
      <c r="N1130" s="123"/>
      <c r="O1130" s="123"/>
      <c r="P1130" s="123"/>
      <c r="Q1130" t="str">
        <f t="shared" si="17"/>
        <v/>
      </c>
    </row>
    <row r="1131" spans="3:17" hidden="1">
      <c r="C1131" s="123"/>
      <c r="D1131" s="123"/>
      <c r="E1131" s="124"/>
      <c r="F1131" s="123"/>
      <c r="G1131" s="130"/>
      <c r="H1131" s="124"/>
      <c r="I1131" s="243"/>
      <c r="J1131" s="123"/>
      <c r="K1131" s="123"/>
      <c r="L1131" s="246"/>
      <c r="M1131" s="123"/>
      <c r="N1131" s="123"/>
      <c r="O1131" s="123"/>
      <c r="P1131" s="123"/>
      <c r="Q1131" t="str">
        <f t="shared" si="17"/>
        <v/>
      </c>
    </row>
    <row r="1132" spans="3:17" hidden="1">
      <c r="C1132" s="123"/>
      <c r="D1132" s="123"/>
      <c r="E1132" s="124"/>
      <c r="F1132" s="123"/>
      <c r="G1132" s="130"/>
      <c r="H1132" s="124"/>
      <c r="I1132" s="243"/>
      <c r="J1132" s="123"/>
      <c r="K1132" s="123"/>
      <c r="L1132" s="246"/>
      <c r="M1132" s="123"/>
      <c r="N1132" s="123"/>
      <c r="O1132" s="123"/>
      <c r="P1132" s="123"/>
      <c r="Q1132" t="str">
        <f t="shared" si="17"/>
        <v/>
      </c>
    </row>
    <row r="1133" spans="3:17" hidden="1">
      <c r="C1133" s="123"/>
      <c r="D1133" s="123"/>
      <c r="E1133" s="124"/>
      <c r="F1133" s="123"/>
      <c r="G1133" s="130"/>
      <c r="H1133" s="124"/>
      <c r="I1133" s="243"/>
      <c r="J1133" s="123"/>
      <c r="K1133" s="123"/>
      <c r="L1133" s="246"/>
      <c r="M1133" s="123"/>
      <c r="N1133" s="123"/>
      <c r="O1133" s="123"/>
      <c r="P1133" s="123"/>
      <c r="Q1133" t="str">
        <f t="shared" si="17"/>
        <v/>
      </c>
    </row>
    <row r="1134" spans="3:17" hidden="1">
      <c r="C1134" s="123"/>
      <c r="D1134" s="123"/>
      <c r="E1134" s="124"/>
      <c r="F1134" s="123"/>
      <c r="G1134" s="130"/>
      <c r="H1134" s="124"/>
      <c r="I1134" s="243"/>
      <c r="J1134" s="123"/>
      <c r="K1134" s="123"/>
      <c r="L1134" s="246"/>
      <c r="M1134" s="123"/>
      <c r="N1134" s="123"/>
      <c r="O1134" s="123"/>
      <c r="P1134" s="123"/>
      <c r="Q1134" t="str">
        <f t="shared" si="17"/>
        <v/>
      </c>
    </row>
    <row r="1135" spans="3:17" hidden="1">
      <c r="C1135" s="123"/>
      <c r="D1135" s="123"/>
      <c r="E1135" s="124"/>
      <c r="F1135" s="123"/>
      <c r="G1135" s="130"/>
      <c r="H1135" s="124"/>
      <c r="I1135" s="243"/>
      <c r="J1135" s="123"/>
      <c r="K1135" s="123"/>
      <c r="L1135" s="246"/>
      <c r="M1135" s="123"/>
      <c r="N1135" s="123"/>
      <c r="O1135" s="123"/>
      <c r="P1135" s="123"/>
      <c r="Q1135" t="str">
        <f t="shared" si="17"/>
        <v/>
      </c>
    </row>
    <row r="1136" spans="3:17" hidden="1">
      <c r="C1136" s="123"/>
      <c r="D1136" s="123"/>
      <c r="E1136" s="124"/>
      <c r="F1136" s="123"/>
      <c r="G1136" s="130"/>
      <c r="H1136" s="124"/>
      <c r="I1136" s="243"/>
      <c r="J1136" s="123"/>
      <c r="K1136" s="123"/>
      <c r="L1136" s="246"/>
      <c r="M1136" s="123"/>
      <c r="N1136" s="123"/>
      <c r="O1136" s="123"/>
      <c r="P1136" s="123"/>
      <c r="Q1136" t="str">
        <f t="shared" si="17"/>
        <v/>
      </c>
    </row>
    <row r="1137" spans="3:17" hidden="1">
      <c r="C1137" s="123"/>
      <c r="D1137" s="123"/>
      <c r="E1137" s="124"/>
      <c r="F1137" s="123"/>
      <c r="G1137" s="130"/>
      <c r="H1137" s="124"/>
      <c r="I1137" s="243"/>
      <c r="J1137" s="123"/>
      <c r="K1137" s="123"/>
      <c r="L1137" s="246"/>
      <c r="M1137" s="123"/>
      <c r="N1137" s="123"/>
      <c r="O1137" s="123"/>
      <c r="P1137" s="123"/>
      <c r="Q1137" t="str">
        <f t="shared" si="17"/>
        <v/>
      </c>
    </row>
    <row r="1138" spans="3:17" hidden="1">
      <c r="C1138" s="123"/>
      <c r="D1138" s="123"/>
      <c r="E1138" s="124"/>
      <c r="F1138" s="123"/>
      <c r="G1138" s="130"/>
      <c r="H1138" s="124"/>
      <c r="I1138" s="243"/>
      <c r="J1138" s="123"/>
      <c r="K1138" s="123"/>
      <c r="L1138" s="246"/>
      <c r="M1138" s="123"/>
      <c r="N1138" s="123"/>
      <c r="O1138" s="123"/>
      <c r="P1138" s="123"/>
      <c r="Q1138" t="str">
        <f t="shared" si="17"/>
        <v/>
      </c>
    </row>
    <row r="1139" spans="3:17" hidden="1">
      <c r="C1139" s="123"/>
      <c r="D1139" s="123"/>
      <c r="E1139" s="124"/>
      <c r="F1139" s="123"/>
      <c r="G1139" s="130"/>
      <c r="H1139" s="124"/>
      <c r="I1139" s="243"/>
      <c r="J1139" s="123"/>
      <c r="K1139" s="123"/>
      <c r="L1139" s="246"/>
      <c r="M1139" s="123"/>
      <c r="N1139" s="123"/>
      <c r="O1139" s="123"/>
      <c r="P1139" s="123"/>
      <c r="Q1139" t="str">
        <f t="shared" si="17"/>
        <v/>
      </c>
    </row>
    <row r="1140" spans="3:17" hidden="1">
      <c r="C1140" s="123"/>
      <c r="D1140" s="123"/>
      <c r="E1140" s="124"/>
      <c r="F1140" s="123"/>
      <c r="G1140" s="130"/>
      <c r="H1140" s="124"/>
      <c r="I1140" s="243"/>
      <c r="J1140" s="123"/>
      <c r="K1140" s="123"/>
      <c r="L1140" s="246"/>
      <c r="M1140" s="123"/>
      <c r="N1140" s="123"/>
      <c r="O1140" s="123"/>
      <c r="P1140" s="123"/>
      <c r="Q1140" t="str">
        <f t="shared" si="17"/>
        <v/>
      </c>
    </row>
    <row r="1141" spans="3:17" hidden="1">
      <c r="C1141" s="123"/>
      <c r="D1141" s="123"/>
      <c r="E1141" s="124"/>
      <c r="F1141" s="123"/>
      <c r="G1141" s="130"/>
      <c r="H1141" s="124"/>
      <c r="I1141" s="243"/>
      <c r="J1141" s="123"/>
      <c r="K1141" s="123"/>
      <c r="L1141" s="246"/>
      <c r="M1141" s="123"/>
      <c r="N1141" s="123"/>
      <c r="O1141" s="123"/>
      <c r="P1141" s="123"/>
      <c r="Q1141" t="str">
        <f t="shared" si="17"/>
        <v/>
      </c>
    </row>
    <row r="1142" spans="3:17" hidden="1">
      <c r="C1142" s="123"/>
      <c r="D1142" s="123"/>
      <c r="E1142" s="124"/>
      <c r="F1142" s="123"/>
      <c r="G1142" s="130"/>
      <c r="H1142" s="124"/>
      <c r="I1142" s="243"/>
      <c r="J1142" s="123"/>
      <c r="K1142" s="123"/>
      <c r="L1142" s="246"/>
      <c r="M1142" s="123"/>
      <c r="N1142" s="123"/>
      <c r="O1142" s="123"/>
      <c r="P1142" s="123"/>
      <c r="Q1142" t="str">
        <f t="shared" si="17"/>
        <v/>
      </c>
    </row>
    <row r="1143" spans="3:17" hidden="1">
      <c r="C1143" s="123"/>
      <c r="D1143" s="123"/>
      <c r="E1143" s="124"/>
      <c r="F1143" s="123"/>
      <c r="G1143" s="130"/>
      <c r="H1143" s="124"/>
      <c r="I1143" s="243"/>
      <c r="J1143" s="123"/>
      <c r="K1143" s="123"/>
      <c r="L1143" s="246"/>
      <c r="M1143" s="123"/>
      <c r="N1143" s="123"/>
      <c r="O1143" s="123"/>
      <c r="P1143" s="123"/>
      <c r="Q1143" t="str">
        <f t="shared" si="17"/>
        <v/>
      </c>
    </row>
    <row r="1144" spans="3:17" hidden="1">
      <c r="C1144" s="123"/>
      <c r="D1144" s="123"/>
      <c r="E1144" s="124"/>
      <c r="F1144" s="123"/>
      <c r="G1144" s="130"/>
      <c r="H1144" s="124"/>
      <c r="I1144" s="243"/>
      <c r="J1144" s="123"/>
      <c r="K1144" s="123"/>
      <c r="L1144" s="246"/>
      <c r="M1144" s="123"/>
      <c r="N1144" s="123"/>
      <c r="O1144" s="123"/>
      <c r="P1144" s="123"/>
      <c r="Q1144" t="str">
        <f t="shared" si="17"/>
        <v/>
      </c>
    </row>
    <row r="1145" spans="3:17" hidden="1">
      <c r="C1145" s="123"/>
      <c r="D1145" s="123"/>
      <c r="E1145" s="124"/>
      <c r="F1145" s="123"/>
      <c r="G1145" s="130"/>
      <c r="H1145" s="124"/>
      <c r="I1145" s="243"/>
      <c r="J1145" s="123"/>
      <c r="K1145" s="123"/>
      <c r="L1145" s="246"/>
      <c r="M1145" s="123"/>
      <c r="N1145" s="123"/>
      <c r="O1145" s="123"/>
      <c r="P1145" s="123"/>
      <c r="Q1145" t="str">
        <f t="shared" si="17"/>
        <v/>
      </c>
    </row>
    <row r="1146" spans="3:17" hidden="1">
      <c r="C1146" s="123"/>
      <c r="D1146" s="123"/>
      <c r="E1146" s="124"/>
      <c r="F1146" s="123"/>
      <c r="G1146" s="130"/>
      <c r="H1146" s="124"/>
      <c r="I1146" s="243"/>
      <c r="J1146" s="123"/>
      <c r="K1146" s="123"/>
      <c r="L1146" s="246"/>
      <c r="M1146" s="123"/>
      <c r="N1146" s="123"/>
      <c r="O1146" s="123"/>
      <c r="P1146" s="123"/>
      <c r="Q1146" t="str">
        <f t="shared" si="17"/>
        <v/>
      </c>
    </row>
    <row r="1147" spans="3:17" hidden="1">
      <c r="C1147" s="123"/>
      <c r="D1147" s="123"/>
      <c r="E1147" s="124"/>
      <c r="F1147" s="123"/>
      <c r="G1147" s="130"/>
      <c r="H1147" s="124"/>
      <c r="I1147" s="243"/>
      <c r="J1147" s="123"/>
      <c r="K1147" s="123"/>
      <c r="L1147" s="246"/>
      <c r="M1147" s="123"/>
      <c r="N1147" s="123"/>
      <c r="O1147" s="123"/>
      <c r="P1147" s="123"/>
      <c r="Q1147" t="str">
        <f t="shared" si="17"/>
        <v/>
      </c>
    </row>
    <row r="1148" spans="3:17" hidden="1">
      <c r="C1148" s="123"/>
      <c r="D1148" s="123"/>
      <c r="E1148" s="124"/>
      <c r="F1148" s="123"/>
      <c r="G1148" s="130"/>
      <c r="H1148" s="124"/>
      <c r="I1148" s="243"/>
      <c r="J1148" s="123"/>
      <c r="K1148" s="123"/>
      <c r="L1148" s="246"/>
      <c r="M1148" s="123"/>
      <c r="N1148" s="123"/>
      <c r="O1148" s="123"/>
      <c r="P1148" s="123"/>
      <c r="Q1148" t="str">
        <f t="shared" si="17"/>
        <v/>
      </c>
    </row>
    <row r="1149" spans="3:17" hidden="1">
      <c r="C1149" s="123"/>
      <c r="D1149" s="123"/>
      <c r="E1149" s="124"/>
      <c r="F1149" s="123"/>
      <c r="G1149" s="130"/>
      <c r="H1149" s="124"/>
      <c r="I1149" s="243"/>
      <c r="J1149" s="123"/>
      <c r="K1149" s="123"/>
      <c r="L1149" s="246"/>
      <c r="M1149" s="123"/>
      <c r="N1149" s="123"/>
      <c r="O1149" s="123"/>
      <c r="P1149" s="123"/>
      <c r="Q1149" t="str">
        <f t="shared" si="17"/>
        <v/>
      </c>
    </row>
    <row r="1150" spans="3:17" hidden="1">
      <c r="C1150" s="123"/>
      <c r="D1150" s="123"/>
      <c r="E1150" s="124"/>
      <c r="F1150" s="123"/>
      <c r="G1150" s="130"/>
      <c r="H1150" s="124"/>
      <c r="I1150" s="243"/>
      <c r="J1150" s="123"/>
      <c r="K1150" s="123"/>
      <c r="L1150" s="246"/>
      <c r="M1150" s="123"/>
      <c r="N1150" s="123"/>
      <c r="O1150" s="123"/>
      <c r="P1150" s="123"/>
      <c r="Q1150" t="str">
        <f t="shared" si="17"/>
        <v/>
      </c>
    </row>
    <row r="1151" spans="3:17" hidden="1">
      <c r="C1151" s="123"/>
      <c r="D1151" s="123"/>
      <c r="E1151" s="124"/>
      <c r="F1151" s="123"/>
      <c r="G1151" s="130"/>
      <c r="H1151" s="124"/>
      <c r="I1151" s="243"/>
      <c r="J1151" s="123"/>
      <c r="K1151" s="123"/>
      <c r="L1151" s="246"/>
      <c r="M1151" s="123"/>
      <c r="N1151" s="123"/>
      <c r="O1151" s="123"/>
      <c r="P1151" s="123"/>
      <c r="Q1151" t="str">
        <f t="shared" si="17"/>
        <v/>
      </c>
    </row>
    <row r="1152" spans="3:17" hidden="1">
      <c r="C1152" s="123"/>
      <c r="D1152" s="123"/>
      <c r="E1152" s="124"/>
      <c r="F1152" s="123"/>
      <c r="G1152" s="130"/>
      <c r="H1152" s="124"/>
      <c r="I1152" s="243"/>
      <c r="J1152" s="123"/>
      <c r="K1152" s="123"/>
      <c r="L1152" s="246"/>
      <c r="M1152" s="123"/>
      <c r="N1152" s="123"/>
      <c r="O1152" s="123"/>
      <c r="P1152" s="123"/>
      <c r="Q1152" t="str">
        <f t="shared" si="17"/>
        <v/>
      </c>
    </row>
    <row r="1153" spans="3:17" hidden="1">
      <c r="C1153" s="123"/>
      <c r="D1153" s="123"/>
      <c r="E1153" s="124"/>
      <c r="F1153" s="123"/>
      <c r="G1153" s="130"/>
      <c r="H1153" s="124"/>
      <c r="I1153" s="243"/>
      <c r="J1153" s="123"/>
      <c r="K1153" s="123"/>
      <c r="L1153" s="246"/>
      <c r="M1153" s="123"/>
      <c r="N1153" s="123"/>
      <c r="O1153" s="123"/>
      <c r="P1153" s="123"/>
      <c r="Q1153" t="str">
        <f t="shared" si="17"/>
        <v/>
      </c>
    </row>
    <row r="1154" spans="3:17" hidden="1">
      <c r="C1154" s="123"/>
      <c r="D1154" s="123"/>
      <c r="E1154" s="124"/>
      <c r="F1154" s="123"/>
      <c r="G1154" s="130"/>
      <c r="H1154" s="124"/>
      <c r="I1154" s="243"/>
      <c r="J1154" s="123"/>
      <c r="K1154" s="123"/>
      <c r="L1154" s="246"/>
      <c r="M1154" s="123"/>
      <c r="N1154" s="123"/>
      <c r="O1154" s="123"/>
      <c r="P1154" s="123"/>
      <c r="Q1154" t="str">
        <f t="shared" si="17"/>
        <v/>
      </c>
    </row>
    <row r="1155" spans="3:17" hidden="1">
      <c r="C1155" s="123"/>
      <c r="D1155" s="123"/>
      <c r="E1155" s="124"/>
      <c r="F1155" s="123"/>
      <c r="G1155" s="130"/>
      <c r="H1155" s="124"/>
      <c r="I1155" s="243"/>
      <c r="J1155" s="123"/>
      <c r="K1155" s="123"/>
      <c r="L1155" s="246"/>
      <c r="M1155" s="123"/>
      <c r="N1155" s="123"/>
      <c r="O1155" s="123"/>
      <c r="P1155" s="123"/>
      <c r="Q1155" t="str">
        <f t="shared" si="17"/>
        <v/>
      </c>
    </row>
    <row r="1156" spans="3:17" hidden="1">
      <c r="C1156" s="123"/>
      <c r="D1156" s="123"/>
      <c r="E1156" s="124"/>
      <c r="F1156" s="123"/>
      <c r="G1156" s="130"/>
      <c r="H1156" s="124"/>
      <c r="I1156" s="243"/>
      <c r="J1156" s="123"/>
      <c r="K1156" s="123"/>
      <c r="L1156" s="246"/>
      <c r="M1156" s="123"/>
      <c r="N1156" s="123"/>
      <c r="O1156" s="123"/>
      <c r="P1156" s="123"/>
      <c r="Q1156" t="str">
        <f t="shared" si="17"/>
        <v/>
      </c>
    </row>
    <row r="1157" spans="3:17" hidden="1">
      <c r="C1157" s="123"/>
      <c r="D1157" s="123"/>
      <c r="E1157" s="124"/>
      <c r="F1157" s="123"/>
      <c r="G1157" s="130"/>
      <c r="H1157" s="124"/>
      <c r="I1157" s="243"/>
      <c r="J1157" s="123"/>
      <c r="K1157" s="123"/>
      <c r="L1157" s="246"/>
      <c r="M1157" s="123"/>
      <c r="N1157" s="123"/>
      <c r="O1157" s="123"/>
      <c r="P1157" s="123"/>
      <c r="Q1157" t="str">
        <f t="shared" si="17"/>
        <v/>
      </c>
    </row>
    <row r="1158" spans="3:17" hidden="1">
      <c r="C1158" s="123"/>
      <c r="D1158" s="123"/>
      <c r="E1158" s="124"/>
      <c r="F1158" s="123"/>
      <c r="G1158" s="130"/>
      <c r="H1158" s="124"/>
      <c r="I1158" s="243"/>
      <c r="J1158" s="123"/>
      <c r="K1158" s="123"/>
      <c r="L1158" s="246"/>
      <c r="M1158" s="123"/>
      <c r="N1158" s="123"/>
      <c r="O1158" s="123"/>
      <c r="P1158" s="123"/>
      <c r="Q1158" t="str">
        <f t="shared" si="17"/>
        <v/>
      </c>
    </row>
    <row r="1159" spans="3:17" hidden="1">
      <c r="C1159" s="123"/>
      <c r="D1159" s="123"/>
      <c r="E1159" s="124"/>
      <c r="F1159" s="123"/>
      <c r="G1159" s="130"/>
      <c r="H1159" s="124"/>
      <c r="I1159" s="243"/>
      <c r="J1159" s="123"/>
      <c r="K1159" s="123"/>
      <c r="L1159" s="246"/>
      <c r="M1159" s="123"/>
      <c r="N1159" s="123"/>
      <c r="O1159" s="123"/>
      <c r="P1159" s="123"/>
      <c r="Q1159" t="str">
        <f t="shared" ref="Q1159:Q1222" si="18">IF(D1159="","","x")</f>
        <v/>
      </c>
    </row>
    <row r="1160" spans="3:17" hidden="1">
      <c r="C1160" s="123"/>
      <c r="D1160" s="123"/>
      <c r="E1160" s="124"/>
      <c r="F1160" s="123"/>
      <c r="G1160" s="130"/>
      <c r="H1160" s="124"/>
      <c r="I1160" s="243"/>
      <c r="J1160" s="123"/>
      <c r="K1160" s="123"/>
      <c r="L1160" s="246"/>
      <c r="M1160" s="123"/>
      <c r="N1160" s="123"/>
      <c r="O1160" s="123"/>
      <c r="P1160" s="123"/>
      <c r="Q1160" t="str">
        <f t="shared" si="18"/>
        <v/>
      </c>
    </row>
    <row r="1161" spans="3:17" hidden="1">
      <c r="C1161" s="123"/>
      <c r="D1161" s="123"/>
      <c r="E1161" s="124"/>
      <c r="F1161" s="123"/>
      <c r="G1161" s="130"/>
      <c r="H1161" s="124"/>
      <c r="I1161" s="243"/>
      <c r="J1161" s="123"/>
      <c r="K1161" s="123"/>
      <c r="L1161" s="246"/>
      <c r="M1161" s="123"/>
      <c r="N1161" s="123"/>
      <c r="O1161" s="123"/>
      <c r="P1161" s="123"/>
      <c r="Q1161" t="str">
        <f t="shared" si="18"/>
        <v/>
      </c>
    </row>
    <row r="1162" spans="3:17" hidden="1">
      <c r="C1162" s="123"/>
      <c r="D1162" s="123"/>
      <c r="E1162" s="124"/>
      <c r="F1162" s="123"/>
      <c r="G1162" s="130"/>
      <c r="H1162" s="124"/>
      <c r="I1162" s="243"/>
      <c r="J1162" s="123"/>
      <c r="K1162" s="123"/>
      <c r="L1162" s="246"/>
      <c r="M1162" s="123"/>
      <c r="N1162" s="123"/>
      <c r="O1162" s="123"/>
      <c r="P1162" s="123"/>
      <c r="Q1162" t="str">
        <f t="shared" si="18"/>
        <v/>
      </c>
    </row>
    <row r="1163" spans="3:17" hidden="1">
      <c r="C1163" s="123"/>
      <c r="D1163" s="123"/>
      <c r="E1163" s="124"/>
      <c r="F1163" s="123"/>
      <c r="G1163" s="130"/>
      <c r="H1163" s="124"/>
      <c r="I1163" s="243"/>
      <c r="J1163" s="123"/>
      <c r="K1163" s="123"/>
      <c r="L1163" s="246"/>
      <c r="M1163" s="123"/>
      <c r="N1163" s="123"/>
      <c r="O1163" s="123"/>
      <c r="P1163" s="123"/>
      <c r="Q1163" t="str">
        <f t="shared" si="18"/>
        <v/>
      </c>
    </row>
    <row r="1164" spans="3:17" hidden="1">
      <c r="C1164" s="123"/>
      <c r="D1164" s="123"/>
      <c r="E1164" s="124"/>
      <c r="F1164" s="123"/>
      <c r="G1164" s="130"/>
      <c r="H1164" s="124"/>
      <c r="I1164" s="243"/>
      <c r="J1164" s="123"/>
      <c r="K1164" s="123"/>
      <c r="L1164" s="246"/>
      <c r="M1164" s="123"/>
      <c r="N1164" s="123"/>
      <c r="O1164" s="123"/>
      <c r="P1164" s="123"/>
      <c r="Q1164" t="str">
        <f t="shared" si="18"/>
        <v/>
      </c>
    </row>
    <row r="1165" spans="3:17" hidden="1">
      <c r="C1165" s="123"/>
      <c r="D1165" s="123"/>
      <c r="E1165" s="124"/>
      <c r="F1165" s="123"/>
      <c r="G1165" s="130"/>
      <c r="H1165" s="124"/>
      <c r="I1165" s="243"/>
      <c r="J1165" s="123"/>
      <c r="K1165" s="123"/>
      <c r="L1165" s="246"/>
      <c r="M1165" s="123"/>
      <c r="N1165" s="123"/>
      <c r="O1165" s="123"/>
      <c r="P1165" s="123"/>
      <c r="Q1165" t="str">
        <f t="shared" si="18"/>
        <v/>
      </c>
    </row>
    <row r="1166" spans="3:17" hidden="1">
      <c r="C1166" s="123"/>
      <c r="D1166" s="123"/>
      <c r="E1166" s="124"/>
      <c r="F1166" s="123"/>
      <c r="G1166" s="130"/>
      <c r="H1166" s="124"/>
      <c r="I1166" s="243"/>
      <c r="J1166" s="123"/>
      <c r="K1166" s="123"/>
      <c r="L1166" s="246"/>
      <c r="M1166" s="123"/>
      <c r="N1166" s="123"/>
      <c r="O1166" s="123"/>
      <c r="P1166" s="123"/>
      <c r="Q1166" t="str">
        <f t="shared" si="18"/>
        <v/>
      </c>
    </row>
    <row r="1167" spans="3:17" hidden="1">
      <c r="C1167" s="123"/>
      <c r="D1167" s="123"/>
      <c r="E1167" s="124"/>
      <c r="F1167" s="123"/>
      <c r="G1167" s="130"/>
      <c r="H1167" s="124"/>
      <c r="I1167" s="243"/>
      <c r="J1167" s="123"/>
      <c r="K1167" s="123"/>
      <c r="L1167" s="246"/>
      <c r="M1167" s="123"/>
      <c r="N1167" s="123"/>
      <c r="O1167" s="123"/>
      <c r="P1167" s="123"/>
      <c r="Q1167" t="str">
        <f t="shared" si="18"/>
        <v/>
      </c>
    </row>
    <row r="1168" spans="3:17" hidden="1">
      <c r="C1168" s="123"/>
      <c r="D1168" s="123"/>
      <c r="E1168" s="124"/>
      <c r="F1168" s="123"/>
      <c r="G1168" s="130"/>
      <c r="H1168" s="124"/>
      <c r="I1168" s="243"/>
      <c r="J1168" s="123"/>
      <c r="K1168" s="123"/>
      <c r="L1168" s="246"/>
      <c r="M1168" s="123"/>
      <c r="N1168" s="123"/>
      <c r="O1168" s="123"/>
      <c r="P1168" s="123"/>
      <c r="Q1168" t="str">
        <f t="shared" si="18"/>
        <v/>
      </c>
    </row>
    <row r="1169" spans="3:17" hidden="1">
      <c r="C1169" s="123"/>
      <c r="D1169" s="123"/>
      <c r="E1169" s="124"/>
      <c r="F1169" s="123"/>
      <c r="G1169" s="130"/>
      <c r="H1169" s="124"/>
      <c r="I1169" s="243"/>
      <c r="J1169" s="123"/>
      <c r="K1169" s="123"/>
      <c r="L1169" s="246"/>
      <c r="M1169" s="123"/>
      <c r="N1169" s="123"/>
      <c r="O1169" s="123"/>
      <c r="P1169" s="123"/>
      <c r="Q1169" t="str">
        <f t="shared" si="18"/>
        <v/>
      </c>
    </row>
    <row r="1170" spans="3:17" hidden="1">
      <c r="C1170" s="123"/>
      <c r="D1170" s="123"/>
      <c r="E1170" s="124"/>
      <c r="F1170" s="123"/>
      <c r="G1170" s="130"/>
      <c r="H1170" s="124"/>
      <c r="I1170" s="243"/>
      <c r="J1170" s="123"/>
      <c r="K1170" s="123"/>
      <c r="L1170" s="246"/>
      <c r="M1170" s="123"/>
      <c r="N1170" s="123"/>
      <c r="O1170" s="123"/>
      <c r="P1170" s="123"/>
      <c r="Q1170" t="str">
        <f t="shared" si="18"/>
        <v/>
      </c>
    </row>
    <row r="1171" spans="3:17" hidden="1">
      <c r="C1171" s="123"/>
      <c r="D1171" s="123"/>
      <c r="E1171" s="124"/>
      <c r="F1171" s="123"/>
      <c r="G1171" s="130"/>
      <c r="H1171" s="124"/>
      <c r="I1171" s="243"/>
      <c r="J1171" s="123"/>
      <c r="K1171" s="123"/>
      <c r="L1171" s="246"/>
      <c r="M1171" s="123"/>
      <c r="N1171" s="123"/>
      <c r="O1171" s="123"/>
      <c r="P1171" s="123"/>
      <c r="Q1171" t="str">
        <f t="shared" si="18"/>
        <v/>
      </c>
    </row>
    <row r="1172" spans="3:17" hidden="1">
      <c r="C1172" s="123"/>
      <c r="D1172" s="123"/>
      <c r="E1172" s="124"/>
      <c r="F1172" s="123"/>
      <c r="G1172" s="130"/>
      <c r="H1172" s="124"/>
      <c r="I1172" s="243"/>
      <c r="J1172" s="123"/>
      <c r="K1172" s="123"/>
      <c r="L1172" s="246"/>
      <c r="M1172" s="123"/>
      <c r="N1172" s="123"/>
      <c r="O1172" s="123"/>
      <c r="P1172" s="123"/>
      <c r="Q1172" t="str">
        <f t="shared" si="18"/>
        <v/>
      </c>
    </row>
    <row r="1173" spans="3:17" hidden="1">
      <c r="C1173" s="123"/>
      <c r="D1173" s="123"/>
      <c r="E1173" s="124"/>
      <c r="F1173" s="123"/>
      <c r="G1173" s="130"/>
      <c r="H1173" s="124"/>
      <c r="I1173" s="243"/>
      <c r="J1173" s="123"/>
      <c r="K1173" s="123"/>
      <c r="L1173" s="246"/>
      <c r="M1173" s="123"/>
      <c r="N1173" s="123"/>
      <c r="O1173" s="123"/>
      <c r="P1173" s="123"/>
      <c r="Q1173" t="str">
        <f t="shared" si="18"/>
        <v/>
      </c>
    </row>
    <row r="1174" spans="3:17" hidden="1">
      <c r="C1174" s="123"/>
      <c r="D1174" s="123"/>
      <c r="E1174" s="124"/>
      <c r="F1174" s="123"/>
      <c r="G1174" s="130"/>
      <c r="H1174" s="124"/>
      <c r="I1174" s="243"/>
      <c r="J1174" s="123"/>
      <c r="K1174" s="123"/>
      <c r="L1174" s="246"/>
      <c r="M1174" s="123"/>
      <c r="N1174" s="123"/>
      <c r="O1174" s="123"/>
      <c r="P1174" s="123"/>
      <c r="Q1174" t="str">
        <f t="shared" si="18"/>
        <v/>
      </c>
    </row>
    <row r="1175" spans="3:17" hidden="1">
      <c r="C1175" s="123"/>
      <c r="D1175" s="123"/>
      <c r="E1175" s="124"/>
      <c r="F1175" s="123"/>
      <c r="G1175" s="130"/>
      <c r="H1175" s="124"/>
      <c r="I1175" s="243"/>
      <c r="J1175" s="123"/>
      <c r="K1175" s="123"/>
      <c r="L1175" s="246"/>
      <c r="M1175" s="123"/>
      <c r="N1175" s="123"/>
      <c r="O1175" s="123"/>
      <c r="P1175" s="123"/>
      <c r="Q1175" t="str">
        <f t="shared" si="18"/>
        <v/>
      </c>
    </row>
    <row r="1176" spans="3:17" hidden="1">
      <c r="C1176" s="123"/>
      <c r="D1176" s="123"/>
      <c r="E1176" s="124"/>
      <c r="F1176" s="123"/>
      <c r="G1176" s="130"/>
      <c r="H1176" s="124"/>
      <c r="I1176" s="243"/>
      <c r="J1176" s="123"/>
      <c r="K1176" s="123"/>
      <c r="L1176" s="246"/>
      <c r="M1176" s="123"/>
      <c r="N1176" s="123"/>
      <c r="O1176" s="123"/>
      <c r="P1176" s="123"/>
      <c r="Q1176" t="str">
        <f t="shared" si="18"/>
        <v/>
      </c>
    </row>
    <row r="1177" spans="3:17" hidden="1">
      <c r="C1177" s="123"/>
      <c r="D1177" s="123"/>
      <c r="E1177" s="124"/>
      <c r="F1177" s="123"/>
      <c r="G1177" s="130"/>
      <c r="H1177" s="124"/>
      <c r="I1177" s="243"/>
      <c r="J1177" s="123"/>
      <c r="K1177" s="123"/>
      <c r="L1177" s="246"/>
      <c r="M1177" s="123"/>
      <c r="N1177" s="123"/>
      <c r="O1177" s="123"/>
      <c r="P1177" s="123"/>
      <c r="Q1177" t="str">
        <f t="shared" si="18"/>
        <v/>
      </c>
    </row>
    <row r="1178" spans="3:17" hidden="1">
      <c r="C1178" s="123"/>
      <c r="D1178" s="123"/>
      <c r="E1178" s="124"/>
      <c r="F1178" s="123"/>
      <c r="G1178" s="130"/>
      <c r="H1178" s="124"/>
      <c r="I1178" s="243"/>
      <c r="J1178" s="123"/>
      <c r="K1178" s="123"/>
      <c r="L1178" s="246"/>
      <c r="M1178" s="123"/>
      <c r="N1178" s="123"/>
      <c r="O1178" s="123"/>
      <c r="P1178" s="123"/>
      <c r="Q1178" t="str">
        <f t="shared" si="18"/>
        <v/>
      </c>
    </row>
    <row r="1179" spans="3:17" hidden="1">
      <c r="C1179" s="123"/>
      <c r="D1179" s="123"/>
      <c r="E1179" s="124"/>
      <c r="F1179" s="123"/>
      <c r="G1179" s="130"/>
      <c r="H1179" s="124"/>
      <c r="I1179" s="243"/>
      <c r="J1179" s="123"/>
      <c r="K1179" s="123"/>
      <c r="L1179" s="246"/>
      <c r="M1179" s="123"/>
      <c r="N1179" s="123"/>
      <c r="O1179" s="123"/>
      <c r="P1179" s="123"/>
      <c r="Q1179" t="str">
        <f t="shared" si="18"/>
        <v/>
      </c>
    </row>
    <row r="1180" spans="3:17" hidden="1">
      <c r="C1180" s="123"/>
      <c r="D1180" s="123"/>
      <c r="E1180" s="124"/>
      <c r="F1180" s="123"/>
      <c r="G1180" s="130"/>
      <c r="H1180" s="124"/>
      <c r="I1180" s="243"/>
      <c r="J1180" s="123"/>
      <c r="K1180" s="123"/>
      <c r="L1180" s="246"/>
      <c r="M1180" s="123"/>
      <c r="N1180" s="123"/>
      <c r="O1180" s="123"/>
      <c r="P1180" s="123"/>
      <c r="Q1180" t="str">
        <f t="shared" si="18"/>
        <v/>
      </c>
    </row>
    <row r="1181" spans="3:17" hidden="1">
      <c r="C1181" s="123"/>
      <c r="D1181" s="123"/>
      <c r="E1181" s="124"/>
      <c r="F1181" s="123"/>
      <c r="G1181" s="130"/>
      <c r="H1181" s="124"/>
      <c r="I1181" s="243"/>
      <c r="J1181" s="123"/>
      <c r="K1181" s="123"/>
      <c r="L1181" s="246"/>
      <c r="M1181" s="123"/>
      <c r="N1181" s="123"/>
      <c r="O1181" s="123"/>
      <c r="P1181" s="123"/>
      <c r="Q1181" t="str">
        <f t="shared" si="18"/>
        <v/>
      </c>
    </row>
    <row r="1182" spans="3:17" hidden="1">
      <c r="C1182" s="123"/>
      <c r="D1182" s="123"/>
      <c r="E1182" s="124"/>
      <c r="F1182" s="123"/>
      <c r="G1182" s="130"/>
      <c r="H1182" s="124"/>
      <c r="I1182" s="243"/>
      <c r="J1182" s="123"/>
      <c r="K1182" s="123"/>
      <c r="L1182" s="246"/>
      <c r="M1182" s="123"/>
      <c r="N1182" s="123"/>
      <c r="O1182" s="123"/>
      <c r="P1182" s="123"/>
      <c r="Q1182" t="str">
        <f t="shared" si="18"/>
        <v/>
      </c>
    </row>
    <row r="1183" spans="3:17" hidden="1">
      <c r="C1183" s="123"/>
      <c r="D1183" s="123"/>
      <c r="E1183" s="124"/>
      <c r="F1183" s="123"/>
      <c r="G1183" s="130"/>
      <c r="H1183" s="124"/>
      <c r="I1183" s="243"/>
      <c r="J1183" s="123"/>
      <c r="K1183" s="123"/>
      <c r="L1183" s="246"/>
      <c r="M1183" s="123"/>
      <c r="N1183" s="123"/>
      <c r="O1183" s="123"/>
      <c r="P1183" s="123"/>
      <c r="Q1183" t="str">
        <f t="shared" si="18"/>
        <v/>
      </c>
    </row>
    <row r="1184" spans="3:17" hidden="1">
      <c r="C1184" s="123"/>
      <c r="D1184" s="123"/>
      <c r="E1184" s="124"/>
      <c r="F1184" s="123"/>
      <c r="G1184" s="130"/>
      <c r="H1184" s="124"/>
      <c r="I1184" s="243"/>
      <c r="J1184" s="123"/>
      <c r="K1184" s="123"/>
      <c r="L1184" s="246"/>
      <c r="M1184" s="123"/>
      <c r="N1184" s="123"/>
      <c r="O1184" s="123"/>
      <c r="P1184" s="123"/>
      <c r="Q1184" t="str">
        <f t="shared" si="18"/>
        <v/>
      </c>
    </row>
    <row r="1185" spans="3:17" hidden="1">
      <c r="C1185" s="123"/>
      <c r="D1185" s="123"/>
      <c r="E1185" s="124"/>
      <c r="F1185" s="123"/>
      <c r="G1185" s="130"/>
      <c r="H1185" s="124"/>
      <c r="I1185" s="243"/>
      <c r="J1185" s="123"/>
      <c r="K1185" s="123"/>
      <c r="L1185" s="246"/>
      <c r="M1185" s="123"/>
      <c r="N1185" s="123"/>
      <c r="O1185" s="123"/>
      <c r="P1185" s="123"/>
      <c r="Q1185" t="str">
        <f t="shared" si="18"/>
        <v/>
      </c>
    </row>
    <row r="1186" spans="3:17" hidden="1">
      <c r="C1186" s="123"/>
      <c r="D1186" s="123"/>
      <c r="E1186" s="124"/>
      <c r="F1186" s="123"/>
      <c r="G1186" s="130"/>
      <c r="H1186" s="124"/>
      <c r="I1186" s="243"/>
      <c r="J1186" s="123"/>
      <c r="K1186" s="123"/>
      <c r="L1186" s="246"/>
      <c r="M1186" s="123"/>
      <c r="N1186" s="123"/>
      <c r="O1186" s="123"/>
      <c r="P1186" s="123"/>
      <c r="Q1186" t="str">
        <f t="shared" si="18"/>
        <v/>
      </c>
    </row>
    <row r="1187" spans="3:17" hidden="1">
      <c r="C1187" s="123"/>
      <c r="D1187" s="123"/>
      <c r="E1187" s="124"/>
      <c r="F1187" s="123"/>
      <c r="G1187" s="130"/>
      <c r="H1187" s="124"/>
      <c r="I1187" s="243"/>
      <c r="J1187" s="123"/>
      <c r="K1187" s="123"/>
      <c r="L1187" s="246"/>
      <c r="M1187" s="123"/>
      <c r="N1187" s="123"/>
      <c r="O1187" s="123"/>
      <c r="P1187" s="123"/>
      <c r="Q1187" t="str">
        <f t="shared" si="18"/>
        <v/>
      </c>
    </row>
    <row r="1188" spans="3:17" hidden="1">
      <c r="C1188" s="123"/>
      <c r="D1188" s="123"/>
      <c r="E1188" s="124"/>
      <c r="F1188" s="123"/>
      <c r="G1188" s="130"/>
      <c r="H1188" s="124"/>
      <c r="I1188" s="243"/>
      <c r="J1188" s="123"/>
      <c r="K1188" s="123"/>
      <c r="L1188" s="246"/>
      <c r="M1188" s="123"/>
      <c r="N1188" s="123"/>
      <c r="O1188" s="123"/>
      <c r="P1188" s="123"/>
      <c r="Q1188" t="str">
        <f t="shared" si="18"/>
        <v/>
      </c>
    </row>
    <row r="1189" spans="3:17" hidden="1">
      <c r="C1189" s="123"/>
      <c r="D1189" s="123"/>
      <c r="E1189" s="124"/>
      <c r="F1189" s="123"/>
      <c r="G1189" s="130"/>
      <c r="H1189" s="124"/>
      <c r="I1189" s="243"/>
      <c r="J1189" s="123"/>
      <c r="K1189" s="123"/>
      <c r="L1189" s="246"/>
      <c r="M1189" s="123"/>
      <c r="N1189" s="123"/>
      <c r="O1189" s="123"/>
      <c r="P1189" s="123"/>
      <c r="Q1189" t="str">
        <f t="shared" si="18"/>
        <v/>
      </c>
    </row>
    <row r="1190" spans="3:17" hidden="1">
      <c r="C1190" s="123"/>
      <c r="D1190" s="123"/>
      <c r="E1190" s="124"/>
      <c r="F1190" s="123"/>
      <c r="G1190" s="130"/>
      <c r="H1190" s="124"/>
      <c r="I1190" s="243"/>
      <c r="J1190" s="123"/>
      <c r="K1190" s="123"/>
      <c r="L1190" s="246"/>
      <c r="M1190" s="123"/>
      <c r="N1190" s="123"/>
      <c r="O1190" s="123"/>
      <c r="P1190" s="123"/>
      <c r="Q1190" t="str">
        <f t="shared" si="18"/>
        <v/>
      </c>
    </row>
    <row r="1191" spans="3:17" hidden="1">
      <c r="C1191" s="123"/>
      <c r="D1191" s="123"/>
      <c r="E1191" s="124"/>
      <c r="F1191" s="123"/>
      <c r="G1191" s="130"/>
      <c r="H1191" s="124"/>
      <c r="I1191" s="243"/>
      <c r="J1191" s="123"/>
      <c r="K1191" s="123"/>
      <c r="L1191" s="246"/>
      <c r="M1191" s="123"/>
      <c r="N1191" s="123"/>
      <c r="O1191" s="123"/>
      <c r="P1191" s="123"/>
      <c r="Q1191" t="str">
        <f t="shared" si="18"/>
        <v/>
      </c>
    </row>
    <row r="1192" spans="3:17" hidden="1">
      <c r="C1192" s="123"/>
      <c r="D1192" s="123"/>
      <c r="E1192" s="124"/>
      <c r="F1192" s="123"/>
      <c r="G1192" s="130"/>
      <c r="H1192" s="124"/>
      <c r="I1192" s="243"/>
      <c r="J1192" s="123"/>
      <c r="K1192" s="123"/>
      <c r="L1192" s="246"/>
      <c r="M1192" s="123"/>
      <c r="N1192" s="123"/>
      <c r="O1192" s="123"/>
      <c r="P1192" s="123"/>
      <c r="Q1192" t="str">
        <f t="shared" si="18"/>
        <v/>
      </c>
    </row>
    <row r="1193" spans="3:17" hidden="1">
      <c r="C1193" s="123"/>
      <c r="D1193" s="123"/>
      <c r="E1193" s="124"/>
      <c r="F1193" s="123"/>
      <c r="G1193" s="130"/>
      <c r="H1193" s="124"/>
      <c r="I1193" s="243"/>
      <c r="J1193" s="123"/>
      <c r="K1193" s="123"/>
      <c r="L1193" s="246"/>
      <c r="M1193" s="123"/>
      <c r="N1193" s="123"/>
      <c r="O1193" s="123"/>
      <c r="P1193" s="123"/>
      <c r="Q1193" t="str">
        <f t="shared" si="18"/>
        <v/>
      </c>
    </row>
    <row r="1194" spans="3:17" hidden="1">
      <c r="C1194" s="123"/>
      <c r="D1194" s="123"/>
      <c r="E1194" s="124"/>
      <c r="F1194" s="123"/>
      <c r="G1194" s="130"/>
      <c r="H1194" s="124"/>
      <c r="I1194" s="243"/>
      <c r="J1194" s="123"/>
      <c r="K1194" s="123"/>
      <c r="L1194" s="246"/>
      <c r="M1194" s="123"/>
      <c r="N1194" s="123"/>
      <c r="O1194" s="123"/>
      <c r="P1194" s="123"/>
      <c r="Q1194" t="str">
        <f t="shared" si="18"/>
        <v/>
      </c>
    </row>
    <row r="1195" spans="3:17" hidden="1">
      <c r="C1195" s="123"/>
      <c r="D1195" s="123"/>
      <c r="E1195" s="124"/>
      <c r="F1195" s="123"/>
      <c r="G1195" s="130"/>
      <c r="H1195" s="124"/>
      <c r="I1195" s="243"/>
      <c r="J1195" s="123"/>
      <c r="K1195" s="123"/>
      <c r="L1195" s="246"/>
      <c r="M1195" s="123"/>
      <c r="N1195" s="123"/>
      <c r="O1195" s="123"/>
      <c r="P1195" s="123"/>
      <c r="Q1195" t="str">
        <f t="shared" si="18"/>
        <v/>
      </c>
    </row>
    <row r="1196" spans="3:17" hidden="1">
      <c r="C1196" s="123"/>
      <c r="D1196" s="123"/>
      <c r="E1196" s="124"/>
      <c r="F1196" s="123"/>
      <c r="G1196" s="130"/>
      <c r="H1196" s="124"/>
      <c r="I1196" s="243"/>
      <c r="J1196" s="123"/>
      <c r="K1196" s="123"/>
      <c r="L1196" s="246"/>
      <c r="M1196" s="123"/>
      <c r="N1196" s="123"/>
      <c r="O1196" s="123"/>
      <c r="P1196" s="123"/>
      <c r="Q1196" t="str">
        <f t="shared" si="18"/>
        <v/>
      </c>
    </row>
    <row r="1197" spans="3:17" hidden="1">
      <c r="C1197" s="123"/>
      <c r="D1197" s="123"/>
      <c r="E1197" s="124"/>
      <c r="F1197" s="123"/>
      <c r="G1197" s="130"/>
      <c r="H1197" s="124"/>
      <c r="I1197" s="243"/>
      <c r="J1197" s="123"/>
      <c r="K1197" s="123"/>
      <c r="L1197" s="246"/>
      <c r="M1197" s="123"/>
      <c r="N1197" s="123"/>
      <c r="O1197" s="123"/>
      <c r="P1197" s="123"/>
      <c r="Q1197" t="str">
        <f t="shared" si="18"/>
        <v/>
      </c>
    </row>
    <row r="1198" spans="3:17" hidden="1">
      <c r="C1198" s="123"/>
      <c r="D1198" s="123"/>
      <c r="E1198" s="124"/>
      <c r="F1198" s="123"/>
      <c r="G1198" s="130"/>
      <c r="H1198" s="124"/>
      <c r="I1198" s="243"/>
      <c r="J1198" s="123"/>
      <c r="K1198" s="123"/>
      <c r="L1198" s="246"/>
      <c r="M1198" s="123"/>
      <c r="N1198" s="123"/>
      <c r="O1198" s="123"/>
      <c r="P1198" s="123"/>
      <c r="Q1198" t="str">
        <f t="shared" si="18"/>
        <v/>
      </c>
    </row>
    <row r="1199" spans="3:17" hidden="1">
      <c r="C1199" s="123"/>
      <c r="D1199" s="123"/>
      <c r="E1199" s="124"/>
      <c r="F1199" s="123"/>
      <c r="G1199" s="130"/>
      <c r="H1199" s="124"/>
      <c r="I1199" s="243"/>
      <c r="J1199" s="123"/>
      <c r="K1199" s="123"/>
      <c r="L1199" s="246"/>
      <c r="M1199" s="123"/>
      <c r="N1199" s="123"/>
      <c r="O1199" s="123"/>
      <c r="P1199" s="123"/>
      <c r="Q1199" t="str">
        <f t="shared" si="18"/>
        <v/>
      </c>
    </row>
    <row r="1200" spans="3:17" hidden="1">
      <c r="C1200" s="123"/>
      <c r="D1200" s="123"/>
      <c r="E1200" s="124"/>
      <c r="F1200" s="123"/>
      <c r="G1200" s="130"/>
      <c r="H1200" s="124"/>
      <c r="I1200" s="243"/>
      <c r="J1200" s="123"/>
      <c r="K1200" s="123"/>
      <c r="L1200" s="246"/>
      <c r="M1200" s="123"/>
      <c r="N1200" s="123"/>
      <c r="O1200" s="123"/>
      <c r="P1200" s="123"/>
      <c r="Q1200" t="str">
        <f t="shared" si="18"/>
        <v/>
      </c>
    </row>
    <row r="1201" spans="3:17" hidden="1">
      <c r="C1201" s="123"/>
      <c r="D1201" s="123"/>
      <c r="E1201" s="124"/>
      <c r="F1201" s="123"/>
      <c r="G1201" s="130"/>
      <c r="H1201" s="124"/>
      <c r="I1201" s="243"/>
      <c r="J1201" s="123"/>
      <c r="K1201" s="123"/>
      <c r="L1201" s="246"/>
      <c r="M1201" s="123"/>
      <c r="N1201" s="123"/>
      <c r="O1201" s="123"/>
      <c r="P1201" s="123"/>
      <c r="Q1201" t="str">
        <f t="shared" si="18"/>
        <v/>
      </c>
    </row>
    <row r="1202" spans="3:17" hidden="1">
      <c r="C1202" s="123"/>
      <c r="D1202" s="123"/>
      <c r="E1202" s="124"/>
      <c r="F1202" s="123"/>
      <c r="G1202" s="130"/>
      <c r="H1202" s="124"/>
      <c r="I1202" s="243"/>
      <c r="J1202" s="123"/>
      <c r="K1202" s="123"/>
      <c r="L1202" s="246"/>
      <c r="M1202" s="123"/>
      <c r="N1202" s="123"/>
      <c r="O1202" s="123"/>
      <c r="P1202" s="123"/>
      <c r="Q1202" t="str">
        <f t="shared" si="18"/>
        <v/>
      </c>
    </row>
    <row r="1203" spans="3:17" hidden="1">
      <c r="C1203" s="123"/>
      <c r="D1203" s="123"/>
      <c r="E1203" s="124"/>
      <c r="F1203" s="123"/>
      <c r="G1203" s="130"/>
      <c r="H1203" s="124"/>
      <c r="I1203" s="243"/>
      <c r="J1203" s="123"/>
      <c r="K1203" s="123"/>
      <c r="L1203" s="246"/>
      <c r="M1203" s="123"/>
      <c r="N1203" s="123"/>
      <c r="O1203" s="123"/>
      <c r="P1203" s="123"/>
      <c r="Q1203" t="str">
        <f t="shared" si="18"/>
        <v/>
      </c>
    </row>
    <row r="1204" spans="3:17" hidden="1">
      <c r="C1204" s="123"/>
      <c r="D1204" s="123"/>
      <c r="E1204" s="124"/>
      <c r="F1204" s="123"/>
      <c r="G1204" s="130"/>
      <c r="H1204" s="124"/>
      <c r="I1204" s="243"/>
      <c r="J1204" s="123"/>
      <c r="K1204" s="123"/>
      <c r="L1204" s="246"/>
      <c r="M1204" s="123"/>
      <c r="N1204" s="123"/>
      <c r="O1204" s="123"/>
      <c r="P1204" s="123"/>
      <c r="Q1204" t="str">
        <f t="shared" si="18"/>
        <v/>
      </c>
    </row>
    <row r="1205" spans="3:17" hidden="1">
      <c r="C1205" s="123"/>
      <c r="D1205" s="123"/>
      <c r="E1205" s="124"/>
      <c r="F1205" s="123"/>
      <c r="G1205" s="130"/>
      <c r="H1205" s="124"/>
      <c r="I1205" s="243"/>
      <c r="J1205" s="123"/>
      <c r="K1205" s="123"/>
      <c r="L1205" s="246"/>
      <c r="M1205" s="123"/>
      <c r="N1205" s="123"/>
      <c r="O1205" s="123"/>
      <c r="P1205" s="123"/>
      <c r="Q1205" t="str">
        <f t="shared" si="18"/>
        <v/>
      </c>
    </row>
    <row r="1206" spans="3:17" hidden="1">
      <c r="C1206" s="123"/>
      <c r="D1206" s="123"/>
      <c r="E1206" s="124"/>
      <c r="F1206" s="123"/>
      <c r="G1206" s="130"/>
      <c r="H1206" s="124"/>
      <c r="I1206" s="243"/>
      <c r="J1206" s="123"/>
      <c r="K1206" s="123"/>
      <c r="L1206" s="246"/>
      <c r="M1206" s="123"/>
      <c r="N1206" s="123"/>
      <c r="O1206" s="123"/>
      <c r="P1206" s="123"/>
      <c r="Q1206" t="str">
        <f t="shared" si="18"/>
        <v/>
      </c>
    </row>
    <row r="1207" spans="3:17" hidden="1">
      <c r="C1207" s="123"/>
      <c r="D1207" s="123"/>
      <c r="E1207" s="124"/>
      <c r="F1207" s="123"/>
      <c r="G1207" s="130"/>
      <c r="H1207" s="124"/>
      <c r="I1207" s="243"/>
      <c r="J1207" s="123"/>
      <c r="K1207" s="123"/>
      <c r="L1207" s="246"/>
      <c r="M1207" s="123"/>
      <c r="N1207" s="123"/>
      <c r="O1207" s="123"/>
      <c r="P1207" s="123"/>
      <c r="Q1207" t="str">
        <f t="shared" si="18"/>
        <v/>
      </c>
    </row>
    <row r="1208" spans="3:17" hidden="1">
      <c r="C1208" s="123"/>
      <c r="D1208" s="123"/>
      <c r="E1208" s="124"/>
      <c r="F1208" s="123"/>
      <c r="G1208" s="130"/>
      <c r="H1208" s="124"/>
      <c r="I1208" s="243"/>
      <c r="J1208" s="123"/>
      <c r="K1208" s="123"/>
      <c r="L1208" s="246"/>
      <c r="M1208" s="123"/>
      <c r="N1208" s="123"/>
      <c r="O1208" s="123"/>
      <c r="P1208" s="123"/>
      <c r="Q1208" t="str">
        <f t="shared" si="18"/>
        <v/>
      </c>
    </row>
    <row r="1209" spans="3:17" hidden="1">
      <c r="C1209" s="123"/>
      <c r="D1209" s="123"/>
      <c r="E1209" s="124"/>
      <c r="F1209" s="123"/>
      <c r="G1209" s="130"/>
      <c r="H1209" s="124"/>
      <c r="I1209" s="243"/>
      <c r="J1209" s="123"/>
      <c r="K1209" s="123"/>
      <c r="L1209" s="246"/>
      <c r="M1209" s="123"/>
      <c r="N1209" s="123"/>
      <c r="O1209" s="123"/>
      <c r="P1209" s="123"/>
      <c r="Q1209" t="str">
        <f t="shared" si="18"/>
        <v/>
      </c>
    </row>
    <row r="1210" spans="3:17" hidden="1">
      <c r="C1210" s="123"/>
      <c r="D1210" s="123"/>
      <c r="E1210" s="124"/>
      <c r="F1210" s="123"/>
      <c r="G1210" s="130"/>
      <c r="H1210" s="124"/>
      <c r="I1210" s="243"/>
      <c r="J1210" s="123"/>
      <c r="K1210" s="123"/>
      <c r="L1210" s="246"/>
      <c r="M1210" s="123"/>
      <c r="N1210" s="123"/>
      <c r="O1210" s="123"/>
      <c r="P1210" s="123"/>
      <c r="Q1210" t="str">
        <f t="shared" si="18"/>
        <v/>
      </c>
    </row>
    <row r="1211" spans="3:17" hidden="1">
      <c r="C1211" s="123"/>
      <c r="D1211" s="123"/>
      <c r="E1211" s="124"/>
      <c r="F1211" s="123"/>
      <c r="G1211" s="130"/>
      <c r="H1211" s="124"/>
      <c r="I1211" s="243"/>
      <c r="J1211" s="123"/>
      <c r="K1211" s="123"/>
      <c r="L1211" s="246"/>
      <c r="M1211" s="123"/>
      <c r="N1211" s="123"/>
      <c r="O1211" s="123"/>
      <c r="P1211" s="123"/>
      <c r="Q1211" t="str">
        <f t="shared" si="18"/>
        <v/>
      </c>
    </row>
    <row r="1212" spans="3:17" hidden="1">
      <c r="C1212" s="123"/>
      <c r="D1212" s="123"/>
      <c r="E1212" s="124"/>
      <c r="F1212" s="123"/>
      <c r="G1212" s="130"/>
      <c r="H1212" s="124"/>
      <c r="I1212" s="243"/>
      <c r="J1212" s="123"/>
      <c r="K1212" s="123"/>
      <c r="L1212" s="246"/>
      <c r="M1212" s="123"/>
      <c r="N1212" s="123"/>
      <c r="O1212" s="123"/>
      <c r="P1212" s="123"/>
      <c r="Q1212" t="str">
        <f t="shared" si="18"/>
        <v/>
      </c>
    </row>
    <row r="1213" spans="3:17" hidden="1">
      <c r="C1213" s="123"/>
      <c r="D1213" s="123"/>
      <c r="E1213" s="124"/>
      <c r="F1213" s="123"/>
      <c r="G1213" s="130"/>
      <c r="H1213" s="124"/>
      <c r="I1213" s="243"/>
      <c r="J1213" s="123"/>
      <c r="K1213" s="123"/>
      <c r="L1213" s="246"/>
      <c r="M1213" s="123"/>
      <c r="N1213" s="123"/>
      <c r="O1213" s="123"/>
      <c r="P1213" s="123"/>
      <c r="Q1213" t="str">
        <f t="shared" si="18"/>
        <v/>
      </c>
    </row>
    <row r="1214" spans="3:17" hidden="1">
      <c r="C1214" s="123"/>
      <c r="D1214" s="123"/>
      <c r="E1214" s="124"/>
      <c r="F1214" s="123"/>
      <c r="G1214" s="130"/>
      <c r="H1214" s="124"/>
      <c r="I1214" s="243"/>
      <c r="J1214" s="123"/>
      <c r="K1214" s="123"/>
      <c r="L1214" s="246"/>
      <c r="M1214" s="123"/>
      <c r="N1214" s="123"/>
      <c r="O1214" s="123"/>
      <c r="P1214" s="123"/>
      <c r="Q1214" t="str">
        <f t="shared" si="18"/>
        <v/>
      </c>
    </row>
    <row r="1215" spans="3:17" hidden="1">
      <c r="C1215" s="123"/>
      <c r="D1215" s="123"/>
      <c r="E1215" s="124"/>
      <c r="F1215" s="123"/>
      <c r="G1215" s="130"/>
      <c r="H1215" s="124"/>
      <c r="I1215" s="243"/>
      <c r="J1215" s="123"/>
      <c r="K1215" s="123"/>
      <c r="L1215" s="246"/>
      <c r="M1215" s="123"/>
      <c r="N1215" s="123"/>
      <c r="O1215" s="123"/>
      <c r="P1215" s="123"/>
      <c r="Q1215" t="str">
        <f t="shared" si="18"/>
        <v/>
      </c>
    </row>
    <row r="1216" spans="3:17" hidden="1">
      <c r="C1216" s="123"/>
      <c r="D1216" s="123"/>
      <c r="E1216" s="124"/>
      <c r="F1216" s="123"/>
      <c r="G1216" s="130"/>
      <c r="H1216" s="124"/>
      <c r="I1216" s="243"/>
      <c r="J1216" s="123"/>
      <c r="K1216" s="123"/>
      <c r="L1216" s="246"/>
      <c r="M1216" s="123"/>
      <c r="N1216" s="123"/>
      <c r="O1216" s="123"/>
      <c r="P1216" s="123"/>
      <c r="Q1216" t="str">
        <f t="shared" si="18"/>
        <v/>
      </c>
    </row>
    <row r="1217" spans="3:17" hidden="1">
      <c r="C1217" s="123"/>
      <c r="D1217" s="123"/>
      <c r="E1217" s="124"/>
      <c r="F1217" s="123"/>
      <c r="G1217" s="130"/>
      <c r="H1217" s="124"/>
      <c r="I1217" s="243"/>
      <c r="J1217" s="123"/>
      <c r="K1217" s="123"/>
      <c r="L1217" s="246"/>
      <c r="M1217" s="123"/>
      <c r="N1217" s="123"/>
      <c r="O1217" s="123"/>
      <c r="P1217" s="123"/>
      <c r="Q1217" t="str">
        <f t="shared" si="18"/>
        <v/>
      </c>
    </row>
    <row r="1218" spans="3:17" hidden="1">
      <c r="C1218" s="123"/>
      <c r="D1218" s="123"/>
      <c r="E1218" s="124"/>
      <c r="F1218" s="123"/>
      <c r="G1218" s="130"/>
      <c r="H1218" s="124"/>
      <c r="I1218" s="243"/>
      <c r="J1218" s="123"/>
      <c r="K1218" s="123"/>
      <c r="L1218" s="246"/>
      <c r="M1218" s="123"/>
      <c r="N1218" s="123"/>
      <c r="O1218" s="123"/>
      <c r="P1218" s="123"/>
      <c r="Q1218" t="str">
        <f t="shared" si="18"/>
        <v/>
      </c>
    </row>
    <row r="1219" spans="3:17" hidden="1">
      <c r="C1219" s="123"/>
      <c r="D1219" s="123"/>
      <c r="E1219" s="124"/>
      <c r="F1219" s="123"/>
      <c r="G1219" s="130"/>
      <c r="H1219" s="124"/>
      <c r="I1219" s="243"/>
      <c r="J1219" s="123"/>
      <c r="K1219" s="123"/>
      <c r="L1219" s="246"/>
      <c r="M1219" s="123"/>
      <c r="N1219" s="123"/>
      <c r="O1219" s="123"/>
      <c r="P1219" s="123"/>
      <c r="Q1219" t="str">
        <f t="shared" si="18"/>
        <v/>
      </c>
    </row>
    <row r="1220" spans="3:17" hidden="1">
      <c r="C1220" s="123"/>
      <c r="D1220" s="123"/>
      <c r="E1220" s="124"/>
      <c r="F1220" s="123"/>
      <c r="G1220" s="130"/>
      <c r="H1220" s="124"/>
      <c r="I1220" s="243"/>
      <c r="J1220" s="123"/>
      <c r="K1220" s="123"/>
      <c r="L1220" s="246"/>
      <c r="M1220" s="123"/>
      <c r="N1220" s="123"/>
      <c r="O1220" s="123"/>
      <c r="P1220" s="123"/>
      <c r="Q1220" t="str">
        <f t="shared" si="18"/>
        <v/>
      </c>
    </row>
    <row r="1221" spans="3:17" hidden="1">
      <c r="C1221" s="123"/>
      <c r="D1221" s="123"/>
      <c r="E1221" s="124"/>
      <c r="F1221" s="123"/>
      <c r="G1221" s="130"/>
      <c r="H1221" s="124"/>
      <c r="I1221" s="243"/>
      <c r="J1221" s="123"/>
      <c r="K1221" s="123"/>
      <c r="L1221" s="246"/>
      <c r="M1221" s="123"/>
      <c r="N1221" s="123"/>
      <c r="O1221" s="123"/>
      <c r="P1221" s="123"/>
      <c r="Q1221" t="str">
        <f t="shared" si="18"/>
        <v/>
      </c>
    </row>
    <row r="1222" spans="3:17" hidden="1">
      <c r="C1222" s="123"/>
      <c r="D1222" s="123"/>
      <c r="E1222" s="124"/>
      <c r="F1222" s="123"/>
      <c r="G1222" s="130"/>
      <c r="H1222" s="124"/>
      <c r="I1222" s="243"/>
      <c r="J1222" s="123"/>
      <c r="K1222" s="123"/>
      <c r="L1222" s="246"/>
      <c r="M1222" s="123"/>
      <c r="N1222" s="123"/>
      <c r="O1222" s="123"/>
      <c r="P1222" s="123"/>
      <c r="Q1222" t="str">
        <f t="shared" si="18"/>
        <v/>
      </c>
    </row>
    <row r="1223" spans="3:17" hidden="1">
      <c r="C1223" s="123"/>
      <c r="D1223" s="123"/>
      <c r="E1223" s="124"/>
      <c r="F1223" s="123"/>
      <c r="G1223" s="130"/>
      <c r="H1223" s="124"/>
      <c r="I1223" s="243"/>
      <c r="J1223" s="123"/>
      <c r="K1223" s="123"/>
      <c r="L1223" s="246"/>
      <c r="M1223" s="123"/>
      <c r="N1223" s="123"/>
      <c r="O1223" s="123"/>
      <c r="P1223" s="123"/>
      <c r="Q1223" t="str">
        <f t="shared" ref="Q1223:Q1286" si="19">IF(D1223="","","x")</f>
        <v/>
      </c>
    </row>
    <row r="1224" spans="3:17" hidden="1">
      <c r="C1224" s="123"/>
      <c r="D1224" s="123"/>
      <c r="E1224" s="124"/>
      <c r="F1224" s="123"/>
      <c r="G1224" s="130"/>
      <c r="H1224" s="124"/>
      <c r="I1224" s="243"/>
      <c r="J1224" s="123"/>
      <c r="K1224" s="123"/>
      <c r="L1224" s="246"/>
      <c r="M1224" s="123"/>
      <c r="N1224" s="123"/>
      <c r="O1224" s="123"/>
      <c r="P1224" s="123"/>
      <c r="Q1224" t="str">
        <f t="shared" si="19"/>
        <v/>
      </c>
    </row>
    <row r="1225" spans="3:17" hidden="1">
      <c r="C1225" s="123"/>
      <c r="D1225" s="123"/>
      <c r="E1225" s="124"/>
      <c r="F1225" s="123"/>
      <c r="G1225" s="130"/>
      <c r="H1225" s="124"/>
      <c r="I1225" s="243"/>
      <c r="J1225" s="123"/>
      <c r="K1225" s="123"/>
      <c r="L1225" s="246"/>
      <c r="M1225" s="123"/>
      <c r="N1225" s="123"/>
      <c r="O1225" s="123"/>
      <c r="P1225" s="123"/>
      <c r="Q1225" t="str">
        <f t="shared" si="19"/>
        <v/>
      </c>
    </row>
    <row r="1226" spans="3:17" hidden="1">
      <c r="C1226" s="123"/>
      <c r="D1226" s="123"/>
      <c r="E1226" s="124"/>
      <c r="F1226" s="123"/>
      <c r="G1226" s="130"/>
      <c r="H1226" s="124"/>
      <c r="I1226" s="243"/>
      <c r="J1226" s="123"/>
      <c r="K1226" s="123"/>
      <c r="L1226" s="246"/>
      <c r="M1226" s="123"/>
      <c r="N1226" s="123"/>
      <c r="O1226" s="123"/>
      <c r="P1226" s="123"/>
      <c r="Q1226" t="str">
        <f t="shared" si="19"/>
        <v/>
      </c>
    </row>
    <row r="1227" spans="3:17" hidden="1">
      <c r="C1227" s="123"/>
      <c r="D1227" s="123"/>
      <c r="E1227" s="124"/>
      <c r="F1227" s="123"/>
      <c r="G1227" s="130"/>
      <c r="H1227" s="124"/>
      <c r="I1227" s="243"/>
      <c r="J1227" s="123"/>
      <c r="K1227" s="123"/>
      <c r="L1227" s="246"/>
      <c r="M1227" s="123"/>
      <c r="N1227" s="123"/>
      <c r="O1227" s="123"/>
      <c r="P1227" s="123"/>
      <c r="Q1227" t="str">
        <f t="shared" si="19"/>
        <v/>
      </c>
    </row>
    <row r="1228" spans="3:17" hidden="1">
      <c r="C1228" s="123"/>
      <c r="D1228" s="123"/>
      <c r="E1228" s="124"/>
      <c r="F1228" s="123"/>
      <c r="G1228" s="130"/>
      <c r="H1228" s="124"/>
      <c r="I1228" s="243"/>
      <c r="J1228" s="123"/>
      <c r="K1228" s="123"/>
      <c r="L1228" s="246"/>
      <c r="M1228" s="123"/>
      <c r="N1228" s="123"/>
      <c r="O1228" s="123"/>
      <c r="P1228" s="123"/>
      <c r="Q1228" t="str">
        <f t="shared" si="19"/>
        <v/>
      </c>
    </row>
    <row r="1229" spans="3:17" hidden="1">
      <c r="C1229" s="123"/>
      <c r="D1229" s="123"/>
      <c r="E1229" s="124"/>
      <c r="F1229" s="123"/>
      <c r="G1229" s="130"/>
      <c r="H1229" s="124"/>
      <c r="I1229" s="243"/>
      <c r="J1229" s="123"/>
      <c r="K1229" s="123"/>
      <c r="L1229" s="246"/>
      <c r="M1229" s="123"/>
      <c r="N1229" s="123"/>
      <c r="O1229" s="123"/>
      <c r="P1229" s="123"/>
      <c r="Q1229" t="str">
        <f t="shared" si="19"/>
        <v/>
      </c>
    </row>
    <row r="1230" spans="3:17" hidden="1">
      <c r="C1230" s="123"/>
      <c r="D1230" s="123"/>
      <c r="E1230" s="124"/>
      <c r="F1230" s="123"/>
      <c r="G1230" s="130"/>
      <c r="H1230" s="124"/>
      <c r="I1230" s="243"/>
      <c r="J1230" s="123"/>
      <c r="K1230" s="123"/>
      <c r="L1230" s="246"/>
      <c r="M1230" s="123"/>
      <c r="N1230" s="123"/>
      <c r="O1230" s="123"/>
      <c r="P1230" s="123"/>
      <c r="Q1230" t="str">
        <f t="shared" si="19"/>
        <v/>
      </c>
    </row>
    <row r="1231" spans="3:17" hidden="1">
      <c r="C1231" s="123"/>
      <c r="D1231" s="123"/>
      <c r="E1231" s="124"/>
      <c r="F1231" s="123"/>
      <c r="G1231" s="130"/>
      <c r="H1231" s="124"/>
      <c r="I1231" s="243"/>
      <c r="J1231" s="123"/>
      <c r="K1231" s="123"/>
      <c r="L1231" s="246"/>
      <c r="M1231" s="123"/>
      <c r="N1231" s="123"/>
      <c r="O1231" s="123"/>
      <c r="P1231" s="123"/>
      <c r="Q1231" t="str">
        <f t="shared" si="19"/>
        <v/>
      </c>
    </row>
    <row r="1232" spans="3:17" hidden="1">
      <c r="C1232" s="123"/>
      <c r="D1232" s="123"/>
      <c r="E1232" s="124"/>
      <c r="F1232" s="123"/>
      <c r="G1232" s="130"/>
      <c r="H1232" s="124"/>
      <c r="I1232" s="243"/>
      <c r="J1232" s="123"/>
      <c r="K1232" s="123"/>
      <c r="L1232" s="246"/>
      <c r="M1232" s="123"/>
      <c r="N1232" s="123"/>
      <c r="O1232" s="123"/>
      <c r="P1232" s="123"/>
      <c r="Q1232" t="str">
        <f t="shared" si="19"/>
        <v/>
      </c>
    </row>
    <row r="1233" spans="3:17" hidden="1">
      <c r="C1233" s="123"/>
      <c r="D1233" s="123"/>
      <c r="E1233" s="124"/>
      <c r="F1233" s="123"/>
      <c r="G1233" s="130"/>
      <c r="H1233" s="124"/>
      <c r="I1233" s="243"/>
      <c r="J1233" s="123"/>
      <c r="K1233" s="123"/>
      <c r="L1233" s="246"/>
      <c r="M1233" s="123"/>
      <c r="N1233" s="123"/>
      <c r="O1233" s="123"/>
      <c r="P1233" s="123"/>
      <c r="Q1233" t="str">
        <f t="shared" si="19"/>
        <v/>
      </c>
    </row>
    <row r="1234" spans="3:17" hidden="1">
      <c r="C1234" s="123"/>
      <c r="D1234" s="123"/>
      <c r="E1234" s="124"/>
      <c r="F1234" s="123"/>
      <c r="G1234" s="130"/>
      <c r="H1234" s="124"/>
      <c r="I1234" s="243"/>
      <c r="J1234" s="123"/>
      <c r="K1234" s="123"/>
      <c r="L1234" s="246"/>
      <c r="M1234" s="123"/>
      <c r="N1234" s="123"/>
      <c r="O1234" s="123"/>
      <c r="P1234" s="123"/>
      <c r="Q1234" t="str">
        <f t="shared" si="19"/>
        <v/>
      </c>
    </row>
    <row r="1235" spans="3:17" hidden="1">
      <c r="C1235" s="123"/>
      <c r="D1235" s="123"/>
      <c r="E1235" s="124"/>
      <c r="F1235" s="123"/>
      <c r="G1235" s="130"/>
      <c r="H1235" s="124"/>
      <c r="I1235" s="243"/>
      <c r="J1235" s="123"/>
      <c r="K1235" s="123"/>
      <c r="L1235" s="246"/>
      <c r="M1235" s="123"/>
      <c r="N1235" s="123"/>
      <c r="O1235" s="123"/>
      <c r="P1235" s="123"/>
      <c r="Q1235" t="str">
        <f t="shared" si="19"/>
        <v/>
      </c>
    </row>
    <row r="1236" spans="3:17" hidden="1">
      <c r="C1236" s="123"/>
      <c r="D1236" s="123"/>
      <c r="E1236" s="124"/>
      <c r="F1236" s="123"/>
      <c r="G1236" s="130"/>
      <c r="H1236" s="124"/>
      <c r="I1236" s="243"/>
      <c r="J1236" s="123"/>
      <c r="K1236" s="123"/>
      <c r="L1236" s="246"/>
      <c r="M1236" s="123"/>
      <c r="N1236" s="123"/>
      <c r="O1236" s="123"/>
      <c r="P1236" s="123"/>
      <c r="Q1236" t="str">
        <f t="shared" si="19"/>
        <v/>
      </c>
    </row>
    <row r="1237" spans="3:17" hidden="1">
      <c r="C1237" s="123"/>
      <c r="D1237" s="123"/>
      <c r="E1237" s="124"/>
      <c r="F1237" s="123"/>
      <c r="G1237" s="130"/>
      <c r="H1237" s="124"/>
      <c r="I1237" s="243"/>
      <c r="J1237" s="123"/>
      <c r="K1237" s="123"/>
      <c r="L1237" s="246"/>
      <c r="M1237" s="123"/>
      <c r="N1237" s="123"/>
      <c r="O1237" s="123"/>
      <c r="P1237" s="123"/>
      <c r="Q1237" t="str">
        <f t="shared" si="19"/>
        <v/>
      </c>
    </row>
    <row r="1238" spans="3:17" hidden="1">
      <c r="C1238" s="123"/>
      <c r="D1238" s="123"/>
      <c r="E1238" s="124"/>
      <c r="F1238" s="123"/>
      <c r="G1238" s="130"/>
      <c r="H1238" s="124"/>
      <c r="I1238" s="243"/>
      <c r="J1238" s="123"/>
      <c r="K1238" s="123"/>
      <c r="L1238" s="246"/>
      <c r="M1238" s="123"/>
      <c r="N1238" s="123"/>
      <c r="O1238" s="123"/>
      <c r="P1238" s="123"/>
      <c r="Q1238" t="str">
        <f t="shared" si="19"/>
        <v/>
      </c>
    </row>
    <row r="1239" spans="3:17" hidden="1">
      <c r="C1239" s="123"/>
      <c r="D1239" s="123"/>
      <c r="E1239" s="124"/>
      <c r="F1239" s="123"/>
      <c r="G1239" s="130"/>
      <c r="H1239" s="124"/>
      <c r="I1239" s="243"/>
      <c r="J1239" s="123"/>
      <c r="K1239" s="123"/>
      <c r="L1239" s="246"/>
      <c r="M1239" s="123"/>
      <c r="N1239" s="123"/>
      <c r="O1239" s="123"/>
      <c r="P1239" s="123"/>
      <c r="Q1239" t="str">
        <f t="shared" si="19"/>
        <v/>
      </c>
    </row>
    <row r="1240" spans="3:17" hidden="1">
      <c r="C1240" s="123"/>
      <c r="D1240" s="123"/>
      <c r="E1240" s="124"/>
      <c r="F1240" s="123"/>
      <c r="G1240" s="130"/>
      <c r="H1240" s="124"/>
      <c r="I1240" s="243"/>
      <c r="J1240" s="123"/>
      <c r="K1240" s="123"/>
      <c r="L1240" s="246"/>
      <c r="M1240" s="123"/>
      <c r="N1240" s="123"/>
      <c r="O1240" s="123"/>
      <c r="P1240" s="123"/>
      <c r="Q1240" t="str">
        <f t="shared" si="19"/>
        <v/>
      </c>
    </row>
    <row r="1241" spans="3:17" hidden="1">
      <c r="C1241" s="123"/>
      <c r="D1241" s="123"/>
      <c r="E1241" s="124"/>
      <c r="F1241" s="123"/>
      <c r="G1241" s="130"/>
      <c r="H1241" s="124"/>
      <c r="I1241" s="243"/>
      <c r="J1241" s="123"/>
      <c r="K1241" s="123"/>
      <c r="L1241" s="246"/>
      <c r="M1241" s="123"/>
      <c r="N1241" s="123"/>
      <c r="O1241" s="123"/>
      <c r="P1241" s="123"/>
      <c r="Q1241" t="str">
        <f t="shared" si="19"/>
        <v/>
      </c>
    </row>
    <row r="1242" spans="3:17" hidden="1">
      <c r="C1242" s="123"/>
      <c r="D1242" s="123"/>
      <c r="E1242" s="124"/>
      <c r="F1242" s="123"/>
      <c r="G1242" s="130"/>
      <c r="H1242" s="124"/>
      <c r="I1242" s="243"/>
      <c r="J1242" s="123"/>
      <c r="K1242" s="123"/>
      <c r="L1242" s="246"/>
      <c r="M1242" s="123"/>
      <c r="N1242" s="123"/>
      <c r="O1242" s="123"/>
      <c r="P1242" s="123"/>
      <c r="Q1242" t="str">
        <f t="shared" si="19"/>
        <v/>
      </c>
    </row>
    <row r="1243" spans="3:17" hidden="1">
      <c r="C1243" s="123"/>
      <c r="D1243" s="123"/>
      <c r="E1243" s="124"/>
      <c r="F1243" s="123"/>
      <c r="G1243" s="130"/>
      <c r="H1243" s="124"/>
      <c r="I1243" s="243"/>
      <c r="J1243" s="123"/>
      <c r="K1243" s="123"/>
      <c r="L1243" s="246"/>
      <c r="M1243" s="123"/>
      <c r="N1243" s="123"/>
      <c r="O1243" s="123"/>
      <c r="P1243" s="123"/>
      <c r="Q1243" t="str">
        <f t="shared" si="19"/>
        <v/>
      </c>
    </row>
    <row r="1244" spans="3:17" hidden="1">
      <c r="C1244" s="123"/>
      <c r="D1244" s="123"/>
      <c r="E1244" s="124"/>
      <c r="F1244" s="123"/>
      <c r="G1244" s="130"/>
      <c r="H1244" s="124"/>
      <c r="I1244" s="243"/>
      <c r="J1244" s="123"/>
      <c r="K1244" s="123"/>
      <c r="L1244" s="246"/>
      <c r="M1244" s="123"/>
      <c r="N1244" s="123"/>
      <c r="O1244" s="123"/>
      <c r="P1244" s="123"/>
      <c r="Q1244" t="str">
        <f t="shared" si="19"/>
        <v/>
      </c>
    </row>
    <row r="1245" spans="3:17" hidden="1">
      <c r="C1245" s="123"/>
      <c r="D1245" s="123"/>
      <c r="E1245" s="124"/>
      <c r="F1245" s="123"/>
      <c r="G1245" s="130"/>
      <c r="H1245" s="124"/>
      <c r="I1245" s="243"/>
      <c r="J1245" s="123"/>
      <c r="K1245" s="123"/>
      <c r="L1245" s="246"/>
      <c r="M1245" s="123"/>
      <c r="N1245" s="123"/>
      <c r="O1245" s="123"/>
      <c r="P1245" s="123"/>
      <c r="Q1245" t="str">
        <f t="shared" si="19"/>
        <v/>
      </c>
    </row>
    <row r="1246" spans="3:17" hidden="1">
      <c r="C1246" s="123"/>
      <c r="D1246" s="123"/>
      <c r="E1246" s="124"/>
      <c r="F1246" s="123"/>
      <c r="G1246" s="130"/>
      <c r="H1246" s="124"/>
      <c r="I1246" s="243"/>
      <c r="J1246" s="123"/>
      <c r="K1246" s="123"/>
      <c r="L1246" s="246"/>
      <c r="M1246" s="123"/>
      <c r="N1246" s="123"/>
      <c r="O1246" s="123"/>
      <c r="P1246" s="123"/>
      <c r="Q1246" t="str">
        <f t="shared" si="19"/>
        <v/>
      </c>
    </row>
    <row r="1247" spans="3:17" hidden="1">
      <c r="C1247" s="123"/>
      <c r="D1247" s="123"/>
      <c r="E1247" s="124"/>
      <c r="F1247" s="123"/>
      <c r="G1247" s="130"/>
      <c r="H1247" s="124"/>
      <c r="I1247" s="243"/>
      <c r="J1247" s="123"/>
      <c r="K1247" s="123"/>
      <c r="L1247" s="246"/>
      <c r="M1247" s="123"/>
      <c r="N1247" s="123"/>
      <c r="O1247" s="123"/>
      <c r="P1247" s="123"/>
      <c r="Q1247" t="str">
        <f t="shared" si="19"/>
        <v/>
      </c>
    </row>
    <row r="1248" spans="3:17" hidden="1">
      <c r="C1248" s="123"/>
      <c r="D1248" s="123"/>
      <c r="E1248" s="124"/>
      <c r="F1248" s="123"/>
      <c r="G1248" s="130"/>
      <c r="H1248" s="124"/>
      <c r="I1248" s="243"/>
      <c r="J1248" s="123"/>
      <c r="K1248" s="123"/>
      <c r="L1248" s="246"/>
      <c r="M1248" s="123"/>
      <c r="N1248" s="123"/>
      <c r="O1248" s="123"/>
      <c r="P1248" s="123"/>
      <c r="Q1248" t="str">
        <f t="shared" si="19"/>
        <v/>
      </c>
    </row>
    <row r="1249" spans="3:17" hidden="1">
      <c r="C1249" s="123"/>
      <c r="D1249" s="123"/>
      <c r="E1249" s="124"/>
      <c r="F1249" s="123"/>
      <c r="G1249" s="130"/>
      <c r="H1249" s="124"/>
      <c r="I1249" s="243"/>
      <c r="J1249" s="123"/>
      <c r="K1249" s="123"/>
      <c r="L1249" s="246"/>
      <c r="M1249" s="123"/>
      <c r="N1249" s="123"/>
      <c r="O1249" s="123"/>
      <c r="P1249" s="123"/>
      <c r="Q1249" t="str">
        <f t="shared" si="19"/>
        <v/>
      </c>
    </row>
    <row r="1250" spans="3:17" hidden="1">
      <c r="C1250" s="123"/>
      <c r="D1250" s="123"/>
      <c r="E1250" s="124"/>
      <c r="F1250" s="123"/>
      <c r="G1250" s="130"/>
      <c r="H1250" s="124"/>
      <c r="I1250" s="243"/>
      <c r="J1250" s="123"/>
      <c r="K1250" s="123"/>
      <c r="L1250" s="246"/>
      <c r="M1250" s="123"/>
      <c r="N1250" s="123"/>
      <c r="O1250" s="123"/>
      <c r="P1250" s="123"/>
      <c r="Q1250" t="str">
        <f t="shared" si="19"/>
        <v/>
      </c>
    </row>
    <row r="1251" spans="3:17" hidden="1">
      <c r="C1251" s="123"/>
      <c r="D1251" s="123"/>
      <c r="E1251" s="124"/>
      <c r="F1251" s="123"/>
      <c r="G1251" s="130"/>
      <c r="H1251" s="124"/>
      <c r="I1251" s="243"/>
      <c r="J1251" s="123"/>
      <c r="K1251" s="123"/>
      <c r="L1251" s="246"/>
      <c r="M1251" s="123"/>
      <c r="N1251" s="123"/>
      <c r="O1251" s="123"/>
      <c r="P1251" s="123"/>
      <c r="Q1251" t="str">
        <f t="shared" si="19"/>
        <v/>
      </c>
    </row>
    <row r="1252" spans="3:17" hidden="1">
      <c r="C1252" s="123"/>
      <c r="D1252" s="123"/>
      <c r="E1252" s="124"/>
      <c r="F1252" s="123"/>
      <c r="G1252" s="130"/>
      <c r="H1252" s="124"/>
      <c r="I1252" s="243"/>
      <c r="J1252" s="123"/>
      <c r="K1252" s="123"/>
      <c r="L1252" s="246"/>
      <c r="M1252" s="123"/>
      <c r="N1252" s="123"/>
      <c r="O1252" s="123"/>
      <c r="P1252" s="123"/>
      <c r="Q1252" t="str">
        <f t="shared" si="19"/>
        <v/>
      </c>
    </row>
    <row r="1253" spans="3:17" hidden="1">
      <c r="C1253" s="123"/>
      <c r="D1253" s="123"/>
      <c r="E1253" s="124"/>
      <c r="F1253" s="123"/>
      <c r="G1253" s="130"/>
      <c r="H1253" s="124"/>
      <c r="I1253" s="243"/>
      <c r="J1253" s="123"/>
      <c r="K1253" s="123"/>
      <c r="L1253" s="246"/>
      <c r="M1253" s="123"/>
      <c r="N1253" s="123"/>
      <c r="O1253" s="123"/>
      <c r="P1253" s="123"/>
      <c r="Q1253" t="str">
        <f t="shared" si="19"/>
        <v/>
      </c>
    </row>
    <row r="1254" spans="3:17" hidden="1">
      <c r="C1254" s="123"/>
      <c r="D1254" s="123"/>
      <c r="E1254" s="124"/>
      <c r="F1254" s="123"/>
      <c r="G1254" s="130"/>
      <c r="H1254" s="124"/>
      <c r="I1254" s="243"/>
      <c r="J1254" s="123"/>
      <c r="K1254" s="123"/>
      <c r="L1254" s="246"/>
      <c r="M1254" s="123"/>
      <c r="N1254" s="123"/>
      <c r="O1254" s="123"/>
      <c r="P1254" s="123"/>
      <c r="Q1254" t="str">
        <f t="shared" si="19"/>
        <v/>
      </c>
    </row>
    <row r="1255" spans="3:17" hidden="1">
      <c r="C1255" s="123"/>
      <c r="D1255" s="123"/>
      <c r="E1255" s="124"/>
      <c r="F1255" s="123"/>
      <c r="G1255" s="130"/>
      <c r="H1255" s="124"/>
      <c r="I1255" s="243"/>
      <c r="J1255" s="123"/>
      <c r="K1255" s="123"/>
      <c r="L1255" s="246"/>
      <c r="M1255" s="123"/>
      <c r="N1255" s="123"/>
      <c r="O1255" s="123"/>
      <c r="P1255" s="123"/>
      <c r="Q1255" t="str">
        <f t="shared" si="19"/>
        <v/>
      </c>
    </row>
    <row r="1256" spans="3:17" hidden="1">
      <c r="C1256" s="123"/>
      <c r="D1256" s="123"/>
      <c r="E1256" s="124"/>
      <c r="F1256" s="123"/>
      <c r="G1256" s="130"/>
      <c r="H1256" s="124"/>
      <c r="I1256" s="243"/>
      <c r="J1256" s="123"/>
      <c r="K1256" s="123"/>
      <c r="L1256" s="246"/>
      <c r="M1256" s="123"/>
      <c r="N1256" s="123"/>
      <c r="O1256" s="123"/>
      <c r="P1256" s="123"/>
      <c r="Q1256" t="str">
        <f t="shared" si="19"/>
        <v/>
      </c>
    </row>
    <row r="1257" spans="3:17" hidden="1">
      <c r="C1257" s="123"/>
      <c r="D1257" s="123"/>
      <c r="E1257" s="124"/>
      <c r="F1257" s="123"/>
      <c r="G1257" s="130"/>
      <c r="H1257" s="124"/>
      <c r="I1257" s="243"/>
      <c r="J1257" s="123"/>
      <c r="K1257" s="123"/>
      <c r="L1257" s="246"/>
      <c r="M1257" s="123"/>
      <c r="N1257" s="123"/>
      <c r="O1257" s="123"/>
      <c r="P1257" s="123"/>
      <c r="Q1257" t="str">
        <f t="shared" si="19"/>
        <v/>
      </c>
    </row>
    <row r="1258" spans="3:17" hidden="1">
      <c r="C1258" s="123"/>
      <c r="D1258" s="123"/>
      <c r="E1258" s="124"/>
      <c r="F1258" s="123"/>
      <c r="G1258" s="130"/>
      <c r="H1258" s="124"/>
      <c r="I1258" s="243"/>
      <c r="J1258" s="123"/>
      <c r="K1258" s="123"/>
      <c r="L1258" s="246"/>
      <c r="M1258" s="123"/>
      <c r="N1258" s="123"/>
      <c r="O1258" s="123"/>
      <c r="P1258" s="123"/>
      <c r="Q1258" t="str">
        <f t="shared" si="19"/>
        <v/>
      </c>
    </row>
    <row r="1259" spans="3:17" hidden="1">
      <c r="C1259" s="123"/>
      <c r="D1259" s="123"/>
      <c r="E1259" s="124"/>
      <c r="F1259" s="123"/>
      <c r="G1259" s="130"/>
      <c r="H1259" s="124"/>
      <c r="I1259" s="243"/>
      <c r="J1259" s="123"/>
      <c r="K1259" s="123"/>
      <c r="L1259" s="246"/>
      <c r="M1259" s="123"/>
      <c r="N1259" s="123"/>
      <c r="O1259" s="123"/>
      <c r="P1259" s="123"/>
      <c r="Q1259" t="str">
        <f t="shared" si="19"/>
        <v/>
      </c>
    </row>
    <row r="1260" spans="3:17" hidden="1">
      <c r="C1260" s="123"/>
      <c r="D1260" s="123"/>
      <c r="E1260" s="124"/>
      <c r="F1260" s="123"/>
      <c r="G1260" s="130"/>
      <c r="H1260" s="124"/>
      <c r="I1260" s="243"/>
      <c r="J1260" s="123"/>
      <c r="K1260" s="123"/>
      <c r="L1260" s="246"/>
      <c r="M1260" s="123"/>
      <c r="N1260" s="123"/>
      <c r="O1260" s="123"/>
      <c r="P1260" s="123"/>
      <c r="Q1260" t="str">
        <f t="shared" si="19"/>
        <v/>
      </c>
    </row>
    <row r="1261" spans="3:17" hidden="1">
      <c r="C1261" s="123"/>
      <c r="D1261" s="123"/>
      <c r="E1261" s="124"/>
      <c r="F1261" s="123"/>
      <c r="G1261" s="130"/>
      <c r="H1261" s="124"/>
      <c r="I1261" s="243"/>
      <c r="J1261" s="123"/>
      <c r="K1261" s="123"/>
      <c r="L1261" s="246"/>
      <c r="M1261" s="123"/>
      <c r="N1261" s="123"/>
      <c r="O1261" s="123"/>
      <c r="P1261" s="123"/>
      <c r="Q1261" t="str">
        <f t="shared" si="19"/>
        <v/>
      </c>
    </row>
    <row r="1262" spans="3:17" hidden="1">
      <c r="C1262" s="123"/>
      <c r="D1262" s="123"/>
      <c r="E1262" s="124"/>
      <c r="F1262" s="123"/>
      <c r="G1262" s="130"/>
      <c r="H1262" s="124"/>
      <c r="I1262" s="243"/>
      <c r="J1262" s="123"/>
      <c r="K1262" s="123"/>
      <c r="L1262" s="246"/>
      <c r="M1262" s="123"/>
      <c r="N1262" s="123"/>
      <c r="O1262" s="123"/>
      <c r="P1262" s="123"/>
      <c r="Q1262" t="str">
        <f t="shared" si="19"/>
        <v/>
      </c>
    </row>
    <row r="1263" spans="3:17" hidden="1">
      <c r="C1263" s="123"/>
      <c r="D1263" s="123"/>
      <c r="E1263" s="124"/>
      <c r="F1263" s="123"/>
      <c r="G1263" s="130"/>
      <c r="H1263" s="124"/>
      <c r="I1263" s="243"/>
      <c r="J1263" s="123"/>
      <c r="K1263" s="123"/>
      <c r="L1263" s="246"/>
      <c r="M1263" s="123"/>
      <c r="N1263" s="123"/>
      <c r="O1263" s="123"/>
      <c r="P1263" s="123"/>
      <c r="Q1263" t="str">
        <f t="shared" si="19"/>
        <v/>
      </c>
    </row>
    <row r="1264" spans="3:17" hidden="1">
      <c r="C1264" s="123"/>
      <c r="D1264" s="123"/>
      <c r="E1264" s="124"/>
      <c r="F1264" s="123"/>
      <c r="G1264" s="130"/>
      <c r="H1264" s="124"/>
      <c r="I1264" s="243"/>
      <c r="J1264" s="123"/>
      <c r="K1264" s="123"/>
      <c r="L1264" s="246"/>
      <c r="M1264" s="123"/>
      <c r="N1264" s="123"/>
      <c r="O1264" s="123"/>
      <c r="P1264" s="123"/>
      <c r="Q1264" t="str">
        <f t="shared" si="19"/>
        <v/>
      </c>
    </row>
    <row r="1265" spans="3:17" hidden="1">
      <c r="C1265" s="123"/>
      <c r="D1265" s="123"/>
      <c r="E1265" s="124"/>
      <c r="F1265" s="123"/>
      <c r="G1265" s="130"/>
      <c r="H1265" s="124"/>
      <c r="I1265" s="243"/>
      <c r="J1265" s="123"/>
      <c r="K1265" s="123"/>
      <c r="L1265" s="246"/>
      <c r="M1265" s="123"/>
      <c r="N1265" s="123"/>
      <c r="O1265" s="123"/>
      <c r="P1265" s="123"/>
      <c r="Q1265" t="str">
        <f t="shared" si="19"/>
        <v/>
      </c>
    </row>
    <row r="1266" spans="3:17" hidden="1">
      <c r="C1266" s="123"/>
      <c r="D1266" s="123"/>
      <c r="E1266" s="124"/>
      <c r="F1266" s="123"/>
      <c r="G1266" s="130"/>
      <c r="H1266" s="124"/>
      <c r="I1266" s="243"/>
      <c r="J1266" s="123"/>
      <c r="K1266" s="123"/>
      <c r="L1266" s="246"/>
      <c r="M1266" s="123"/>
      <c r="N1266" s="123"/>
      <c r="O1266" s="123"/>
      <c r="P1266" s="123"/>
      <c r="Q1266" t="str">
        <f t="shared" si="19"/>
        <v/>
      </c>
    </row>
    <row r="1267" spans="3:17" hidden="1">
      <c r="C1267" s="123"/>
      <c r="D1267" s="123"/>
      <c r="E1267" s="124"/>
      <c r="F1267" s="123"/>
      <c r="G1267" s="130"/>
      <c r="H1267" s="124"/>
      <c r="I1267" s="243"/>
      <c r="J1267" s="123"/>
      <c r="K1267" s="123"/>
      <c r="L1267" s="246"/>
      <c r="M1267" s="123"/>
      <c r="N1267" s="123"/>
      <c r="O1267" s="123"/>
      <c r="P1267" s="123"/>
      <c r="Q1267" t="str">
        <f t="shared" si="19"/>
        <v/>
      </c>
    </row>
    <row r="1268" spans="3:17" hidden="1">
      <c r="C1268" s="123"/>
      <c r="D1268" s="123"/>
      <c r="E1268" s="124"/>
      <c r="F1268" s="123"/>
      <c r="G1268" s="130"/>
      <c r="H1268" s="124"/>
      <c r="I1268" s="243"/>
      <c r="J1268" s="123"/>
      <c r="K1268" s="123"/>
      <c r="L1268" s="246"/>
      <c r="M1268" s="123"/>
      <c r="N1268" s="123"/>
      <c r="O1268" s="123"/>
      <c r="P1268" s="123"/>
      <c r="Q1268" t="str">
        <f t="shared" si="19"/>
        <v/>
      </c>
    </row>
    <row r="1269" spans="3:17" hidden="1">
      <c r="C1269" s="123"/>
      <c r="D1269" s="123"/>
      <c r="E1269" s="124"/>
      <c r="F1269" s="123"/>
      <c r="G1269" s="130"/>
      <c r="H1269" s="124"/>
      <c r="I1269" s="243"/>
      <c r="J1269" s="123"/>
      <c r="K1269" s="123"/>
      <c r="L1269" s="246"/>
      <c r="M1269" s="123"/>
      <c r="N1269" s="123"/>
      <c r="O1269" s="123"/>
      <c r="P1269" s="123"/>
      <c r="Q1269" t="str">
        <f t="shared" si="19"/>
        <v/>
      </c>
    </row>
    <row r="1270" spans="3:17" hidden="1">
      <c r="C1270" s="123"/>
      <c r="D1270" s="123"/>
      <c r="E1270" s="124"/>
      <c r="F1270" s="123"/>
      <c r="G1270" s="130"/>
      <c r="H1270" s="124"/>
      <c r="I1270" s="243"/>
      <c r="J1270" s="123"/>
      <c r="K1270" s="123"/>
      <c r="L1270" s="246"/>
      <c r="M1270" s="123"/>
      <c r="N1270" s="123"/>
      <c r="O1270" s="123"/>
      <c r="P1270" s="123"/>
      <c r="Q1270" t="str">
        <f t="shared" si="19"/>
        <v/>
      </c>
    </row>
    <row r="1271" spans="3:17" hidden="1">
      <c r="C1271" s="123"/>
      <c r="D1271" s="123"/>
      <c r="E1271" s="124"/>
      <c r="F1271" s="123"/>
      <c r="G1271" s="130"/>
      <c r="H1271" s="124"/>
      <c r="I1271" s="243"/>
      <c r="J1271" s="123"/>
      <c r="K1271" s="123"/>
      <c r="L1271" s="246"/>
      <c r="M1271" s="123"/>
      <c r="N1271" s="123"/>
      <c r="O1271" s="123"/>
      <c r="P1271" s="123"/>
      <c r="Q1271" t="str">
        <f t="shared" si="19"/>
        <v/>
      </c>
    </row>
    <row r="1272" spans="3:17" hidden="1">
      <c r="C1272" s="123"/>
      <c r="D1272" s="123"/>
      <c r="E1272" s="124"/>
      <c r="F1272" s="123"/>
      <c r="G1272" s="130"/>
      <c r="H1272" s="124"/>
      <c r="I1272" s="243"/>
      <c r="J1272" s="123"/>
      <c r="K1272" s="123"/>
      <c r="L1272" s="246"/>
      <c r="M1272" s="123"/>
      <c r="N1272" s="123"/>
      <c r="O1272" s="123"/>
      <c r="P1272" s="123"/>
      <c r="Q1272" t="str">
        <f t="shared" si="19"/>
        <v/>
      </c>
    </row>
    <row r="1273" spans="3:17" hidden="1">
      <c r="C1273" s="123"/>
      <c r="D1273" s="123"/>
      <c r="E1273" s="124"/>
      <c r="F1273" s="123"/>
      <c r="G1273" s="130"/>
      <c r="H1273" s="124"/>
      <c r="I1273" s="243"/>
      <c r="J1273" s="123"/>
      <c r="K1273" s="123"/>
      <c r="L1273" s="246"/>
      <c r="M1273" s="123"/>
      <c r="N1273" s="123"/>
      <c r="O1273" s="123"/>
      <c r="P1273" s="123"/>
      <c r="Q1273" t="str">
        <f t="shared" si="19"/>
        <v/>
      </c>
    </row>
    <row r="1274" spans="3:17" hidden="1">
      <c r="C1274" s="123"/>
      <c r="D1274" s="123"/>
      <c r="E1274" s="124"/>
      <c r="F1274" s="123"/>
      <c r="G1274" s="130"/>
      <c r="H1274" s="124"/>
      <c r="I1274" s="243"/>
      <c r="J1274" s="123"/>
      <c r="K1274" s="123"/>
      <c r="L1274" s="246"/>
      <c r="M1274" s="123"/>
      <c r="N1274" s="123"/>
      <c r="O1274" s="123"/>
      <c r="P1274" s="123"/>
      <c r="Q1274" t="str">
        <f t="shared" si="19"/>
        <v/>
      </c>
    </row>
    <row r="1275" spans="3:17" hidden="1">
      <c r="C1275" s="123"/>
      <c r="D1275" s="123"/>
      <c r="E1275" s="124"/>
      <c r="F1275" s="123"/>
      <c r="G1275" s="130"/>
      <c r="H1275" s="124"/>
      <c r="I1275" s="243"/>
      <c r="J1275" s="123"/>
      <c r="K1275" s="123"/>
      <c r="L1275" s="246"/>
      <c r="M1275" s="123"/>
      <c r="N1275" s="123"/>
      <c r="O1275" s="123"/>
      <c r="P1275" s="123"/>
      <c r="Q1275" t="str">
        <f t="shared" si="19"/>
        <v/>
      </c>
    </row>
    <row r="1276" spans="3:17" hidden="1">
      <c r="C1276" s="123"/>
      <c r="D1276" s="123"/>
      <c r="E1276" s="124"/>
      <c r="F1276" s="123"/>
      <c r="G1276" s="130"/>
      <c r="H1276" s="124"/>
      <c r="I1276" s="243"/>
      <c r="J1276" s="123"/>
      <c r="K1276" s="123"/>
      <c r="L1276" s="246"/>
      <c r="M1276" s="123"/>
      <c r="N1276" s="123"/>
      <c r="O1276" s="123"/>
      <c r="P1276" s="123"/>
      <c r="Q1276" t="str">
        <f t="shared" si="19"/>
        <v/>
      </c>
    </row>
    <row r="1277" spans="3:17" hidden="1">
      <c r="C1277" s="123"/>
      <c r="D1277" s="123"/>
      <c r="E1277" s="124"/>
      <c r="F1277" s="123"/>
      <c r="G1277" s="130"/>
      <c r="H1277" s="124"/>
      <c r="I1277" s="243"/>
      <c r="J1277" s="123"/>
      <c r="K1277" s="123"/>
      <c r="L1277" s="246"/>
      <c r="M1277" s="123"/>
      <c r="N1277" s="123"/>
      <c r="O1277" s="123"/>
      <c r="P1277" s="123"/>
      <c r="Q1277" t="str">
        <f t="shared" si="19"/>
        <v/>
      </c>
    </row>
    <row r="1278" spans="3:17" hidden="1">
      <c r="C1278" s="123"/>
      <c r="D1278" s="123"/>
      <c r="E1278" s="124"/>
      <c r="F1278" s="123"/>
      <c r="G1278" s="130"/>
      <c r="H1278" s="124"/>
      <c r="I1278" s="243"/>
      <c r="J1278" s="123"/>
      <c r="K1278" s="123"/>
      <c r="L1278" s="246"/>
      <c r="M1278" s="123"/>
      <c r="N1278" s="123"/>
      <c r="O1278" s="123"/>
      <c r="P1278" s="123"/>
      <c r="Q1278" t="str">
        <f t="shared" si="19"/>
        <v/>
      </c>
    </row>
    <row r="1279" spans="3:17" hidden="1">
      <c r="C1279" s="123"/>
      <c r="D1279" s="123"/>
      <c r="E1279" s="124"/>
      <c r="F1279" s="123"/>
      <c r="G1279" s="130"/>
      <c r="H1279" s="124"/>
      <c r="I1279" s="243"/>
      <c r="J1279" s="123"/>
      <c r="K1279" s="123"/>
      <c r="L1279" s="246"/>
      <c r="M1279" s="123"/>
      <c r="N1279" s="123"/>
      <c r="O1279" s="123"/>
      <c r="P1279" s="123"/>
      <c r="Q1279" t="str">
        <f t="shared" si="19"/>
        <v/>
      </c>
    </row>
    <row r="1280" spans="3:17" hidden="1">
      <c r="C1280" s="123"/>
      <c r="D1280" s="123"/>
      <c r="E1280" s="124"/>
      <c r="F1280" s="123"/>
      <c r="G1280" s="130"/>
      <c r="H1280" s="124"/>
      <c r="I1280" s="243"/>
      <c r="J1280" s="123"/>
      <c r="K1280" s="123"/>
      <c r="L1280" s="246"/>
      <c r="M1280" s="123"/>
      <c r="N1280" s="123"/>
      <c r="O1280" s="123"/>
      <c r="P1280" s="123"/>
      <c r="Q1280" t="str">
        <f t="shared" si="19"/>
        <v/>
      </c>
    </row>
    <row r="1281" spans="3:17" hidden="1">
      <c r="C1281" s="123"/>
      <c r="D1281" s="123"/>
      <c r="E1281" s="124"/>
      <c r="F1281" s="123"/>
      <c r="G1281" s="130"/>
      <c r="H1281" s="124"/>
      <c r="I1281" s="243"/>
      <c r="J1281" s="123"/>
      <c r="K1281" s="123"/>
      <c r="L1281" s="246"/>
      <c r="M1281" s="123"/>
      <c r="N1281" s="123"/>
      <c r="O1281" s="123"/>
      <c r="P1281" s="123"/>
      <c r="Q1281" t="str">
        <f t="shared" si="19"/>
        <v/>
      </c>
    </row>
    <row r="1282" spans="3:17" hidden="1">
      <c r="C1282" s="123"/>
      <c r="D1282" s="123"/>
      <c r="E1282" s="124"/>
      <c r="F1282" s="123"/>
      <c r="G1282" s="130"/>
      <c r="H1282" s="124"/>
      <c r="I1282" s="243"/>
      <c r="J1282" s="123"/>
      <c r="K1282" s="123"/>
      <c r="L1282" s="246"/>
      <c r="M1282" s="123"/>
      <c r="N1282" s="123"/>
      <c r="O1282" s="123"/>
      <c r="P1282" s="123"/>
      <c r="Q1282" t="str">
        <f t="shared" si="19"/>
        <v/>
      </c>
    </row>
    <row r="1283" spans="3:17" hidden="1">
      <c r="C1283" s="123"/>
      <c r="D1283" s="123"/>
      <c r="E1283" s="124"/>
      <c r="F1283" s="123"/>
      <c r="G1283" s="130"/>
      <c r="H1283" s="124"/>
      <c r="I1283" s="243"/>
      <c r="J1283" s="123"/>
      <c r="K1283" s="123"/>
      <c r="L1283" s="246"/>
      <c r="M1283" s="123"/>
      <c r="N1283" s="123"/>
      <c r="O1283" s="123"/>
      <c r="P1283" s="123"/>
      <c r="Q1283" t="str">
        <f t="shared" si="19"/>
        <v/>
      </c>
    </row>
    <row r="1284" spans="3:17" hidden="1">
      <c r="C1284" s="123"/>
      <c r="D1284" s="123"/>
      <c r="E1284" s="124"/>
      <c r="F1284" s="123"/>
      <c r="G1284" s="130"/>
      <c r="H1284" s="124"/>
      <c r="I1284" s="243"/>
      <c r="J1284" s="123"/>
      <c r="K1284" s="123"/>
      <c r="L1284" s="246"/>
      <c r="M1284" s="123"/>
      <c r="N1284" s="123"/>
      <c r="O1284" s="123"/>
      <c r="P1284" s="123"/>
      <c r="Q1284" t="str">
        <f t="shared" si="19"/>
        <v/>
      </c>
    </row>
    <row r="1285" spans="3:17" hidden="1">
      <c r="C1285" s="123"/>
      <c r="D1285" s="123"/>
      <c r="E1285" s="124"/>
      <c r="F1285" s="123"/>
      <c r="G1285" s="130"/>
      <c r="H1285" s="124"/>
      <c r="I1285" s="243"/>
      <c r="J1285" s="123"/>
      <c r="K1285" s="123"/>
      <c r="L1285" s="246"/>
      <c r="M1285" s="123"/>
      <c r="N1285" s="123"/>
      <c r="O1285" s="123"/>
      <c r="P1285" s="123"/>
      <c r="Q1285" t="str">
        <f t="shared" si="19"/>
        <v/>
      </c>
    </row>
    <row r="1286" spans="3:17" hidden="1">
      <c r="C1286" s="123"/>
      <c r="D1286" s="123"/>
      <c r="E1286" s="124"/>
      <c r="F1286" s="123"/>
      <c r="G1286" s="130"/>
      <c r="H1286" s="124"/>
      <c r="I1286" s="243"/>
      <c r="J1286" s="123"/>
      <c r="K1286" s="123"/>
      <c r="L1286" s="246"/>
      <c r="M1286" s="123"/>
      <c r="N1286" s="123"/>
      <c r="O1286" s="123"/>
      <c r="P1286" s="123"/>
      <c r="Q1286" t="str">
        <f t="shared" si="19"/>
        <v/>
      </c>
    </row>
    <row r="1287" spans="3:17" hidden="1">
      <c r="C1287" s="123"/>
      <c r="D1287" s="123"/>
      <c r="E1287" s="124"/>
      <c r="F1287" s="123"/>
      <c r="G1287" s="130"/>
      <c r="H1287" s="124"/>
      <c r="I1287" s="243"/>
      <c r="J1287" s="123"/>
      <c r="K1287" s="123"/>
      <c r="L1287" s="246"/>
      <c r="M1287" s="123"/>
      <c r="N1287" s="123"/>
      <c r="O1287" s="123"/>
      <c r="P1287" s="123"/>
      <c r="Q1287" t="str">
        <f t="shared" ref="Q1287:Q1350" si="20">IF(D1287="","","x")</f>
        <v/>
      </c>
    </row>
    <row r="1288" spans="3:17" hidden="1">
      <c r="C1288" s="123"/>
      <c r="D1288" s="123"/>
      <c r="E1288" s="124"/>
      <c r="F1288" s="123"/>
      <c r="G1288" s="130"/>
      <c r="H1288" s="124"/>
      <c r="I1288" s="243"/>
      <c r="J1288" s="123"/>
      <c r="K1288" s="123"/>
      <c r="L1288" s="246"/>
      <c r="M1288" s="123"/>
      <c r="N1288" s="123"/>
      <c r="O1288" s="123"/>
      <c r="P1288" s="123"/>
      <c r="Q1288" t="str">
        <f t="shared" si="20"/>
        <v/>
      </c>
    </row>
    <row r="1289" spans="3:17" hidden="1">
      <c r="C1289" s="123"/>
      <c r="D1289" s="123"/>
      <c r="E1289" s="124"/>
      <c r="F1289" s="123"/>
      <c r="G1289" s="130"/>
      <c r="H1289" s="124"/>
      <c r="I1289" s="243"/>
      <c r="J1289" s="123"/>
      <c r="K1289" s="123"/>
      <c r="L1289" s="246"/>
      <c r="M1289" s="123"/>
      <c r="N1289" s="123"/>
      <c r="O1289" s="123"/>
      <c r="P1289" s="123"/>
      <c r="Q1289" t="str">
        <f t="shared" si="20"/>
        <v/>
      </c>
    </row>
    <row r="1290" spans="3:17" hidden="1">
      <c r="C1290" s="123"/>
      <c r="D1290" s="123"/>
      <c r="E1290" s="124"/>
      <c r="F1290" s="123"/>
      <c r="G1290" s="130"/>
      <c r="H1290" s="124"/>
      <c r="I1290" s="243"/>
      <c r="J1290" s="123"/>
      <c r="K1290" s="123"/>
      <c r="L1290" s="246"/>
      <c r="M1290" s="123"/>
      <c r="N1290" s="123"/>
      <c r="O1290" s="123"/>
      <c r="P1290" s="123"/>
      <c r="Q1290" t="str">
        <f t="shared" si="20"/>
        <v/>
      </c>
    </row>
    <row r="1291" spans="3:17" hidden="1">
      <c r="C1291" s="123"/>
      <c r="D1291" s="123"/>
      <c r="E1291" s="124"/>
      <c r="F1291" s="123"/>
      <c r="G1291" s="130"/>
      <c r="H1291" s="124"/>
      <c r="I1291" s="243"/>
      <c r="J1291" s="123"/>
      <c r="K1291" s="123"/>
      <c r="L1291" s="246"/>
      <c r="M1291" s="123"/>
      <c r="N1291" s="123"/>
      <c r="O1291" s="123"/>
      <c r="P1291" s="123"/>
      <c r="Q1291" t="str">
        <f t="shared" si="20"/>
        <v/>
      </c>
    </row>
    <row r="1292" spans="3:17" hidden="1">
      <c r="C1292" s="123"/>
      <c r="D1292" s="123"/>
      <c r="E1292" s="124"/>
      <c r="F1292" s="123"/>
      <c r="G1292" s="130"/>
      <c r="H1292" s="124"/>
      <c r="I1292" s="243"/>
      <c r="J1292" s="123"/>
      <c r="K1292" s="123"/>
      <c r="L1292" s="246"/>
      <c r="M1292" s="123"/>
      <c r="N1292" s="123"/>
      <c r="O1292" s="123"/>
      <c r="P1292" s="123"/>
      <c r="Q1292" t="str">
        <f t="shared" si="20"/>
        <v/>
      </c>
    </row>
    <row r="1293" spans="3:17" hidden="1">
      <c r="C1293" s="123"/>
      <c r="D1293" s="123"/>
      <c r="E1293" s="124"/>
      <c r="F1293" s="123"/>
      <c r="G1293" s="130"/>
      <c r="H1293" s="124"/>
      <c r="I1293" s="243"/>
      <c r="J1293" s="123"/>
      <c r="K1293" s="123"/>
      <c r="L1293" s="246"/>
      <c r="M1293" s="123"/>
      <c r="N1293" s="123"/>
      <c r="O1293" s="123"/>
      <c r="P1293" s="123"/>
      <c r="Q1293" t="str">
        <f t="shared" si="20"/>
        <v/>
      </c>
    </row>
    <row r="1294" spans="3:17" hidden="1">
      <c r="C1294" s="123"/>
      <c r="D1294" s="123"/>
      <c r="E1294" s="124"/>
      <c r="F1294" s="123"/>
      <c r="G1294" s="130"/>
      <c r="H1294" s="124"/>
      <c r="I1294" s="243"/>
      <c r="J1294" s="123"/>
      <c r="K1294" s="123"/>
      <c r="L1294" s="246"/>
      <c r="M1294" s="123"/>
      <c r="N1294" s="123"/>
      <c r="O1294" s="123"/>
      <c r="P1294" s="123"/>
      <c r="Q1294" t="str">
        <f t="shared" si="20"/>
        <v/>
      </c>
    </row>
    <row r="1295" spans="3:17" hidden="1">
      <c r="C1295" s="123"/>
      <c r="D1295" s="123"/>
      <c r="E1295" s="124"/>
      <c r="F1295" s="123"/>
      <c r="G1295" s="130"/>
      <c r="H1295" s="124"/>
      <c r="I1295" s="243"/>
      <c r="J1295" s="123"/>
      <c r="K1295" s="123"/>
      <c r="L1295" s="246"/>
      <c r="M1295" s="123"/>
      <c r="N1295" s="123"/>
      <c r="O1295" s="123"/>
      <c r="P1295" s="123"/>
      <c r="Q1295" t="str">
        <f t="shared" si="20"/>
        <v/>
      </c>
    </row>
    <row r="1296" spans="3:17" hidden="1">
      <c r="C1296" s="123"/>
      <c r="D1296" s="123"/>
      <c r="E1296" s="124"/>
      <c r="F1296" s="123"/>
      <c r="G1296" s="130"/>
      <c r="H1296" s="124"/>
      <c r="I1296" s="243"/>
      <c r="J1296" s="123"/>
      <c r="K1296" s="123"/>
      <c r="L1296" s="246"/>
      <c r="M1296" s="123"/>
      <c r="N1296" s="123"/>
      <c r="O1296" s="123"/>
      <c r="P1296" s="123"/>
      <c r="Q1296" t="str">
        <f t="shared" si="20"/>
        <v/>
      </c>
    </row>
    <row r="1297" spans="3:17" hidden="1">
      <c r="C1297" s="123"/>
      <c r="D1297" s="123"/>
      <c r="E1297" s="124"/>
      <c r="F1297" s="123"/>
      <c r="G1297" s="130"/>
      <c r="H1297" s="124"/>
      <c r="I1297" s="243"/>
      <c r="J1297" s="123"/>
      <c r="K1297" s="123"/>
      <c r="L1297" s="246"/>
      <c r="M1297" s="123"/>
      <c r="N1297" s="123"/>
      <c r="O1297" s="123"/>
      <c r="P1297" s="123"/>
      <c r="Q1297" t="str">
        <f t="shared" si="20"/>
        <v/>
      </c>
    </row>
    <row r="1298" spans="3:17" hidden="1">
      <c r="C1298" s="123"/>
      <c r="D1298" s="123"/>
      <c r="E1298" s="124"/>
      <c r="F1298" s="123"/>
      <c r="G1298" s="130"/>
      <c r="H1298" s="124"/>
      <c r="I1298" s="243"/>
      <c r="J1298" s="123"/>
      <c r="K1298" s="123"/>
      <c r="L1298" s="246"/>
      <c r="M1298" s="123"/>
      <c r="N1298" s="123"/>
      <c r="O1298" s="123"/>
      <c r="P1298" s="123"/>
      <c r="Q1298" t="str">
        <f t="shared" si="20"/>
        <v/>
      </c>
    </row>
    <row r="1299" spans="3:17" hidden="1">
      <c r="C1299" s="123"/>
      <c r="D1299" s="123"/>
      <c r="E1299" s="124"/>
      <c r="F1299" s="123"/>
      <c r="G1299" s="130"/>
      <c r="H1299" s="124"/>
      <c r="I1299" s="243"/>
      <c r="J1299" s="123"/>
      <c r="K1299" s="123"/>
      <c r="L1299" s="246"/>
      <c r="M1299" s="123"/>
      <c r="N1299" s="123"/>
      <c r="O1299" s="123"/>
      <c r="P1299" s="123"/>
      <c r="Q1299" t="str">
        <f t="shared" si="20"/>
        <v/>
      </c>
    </row>
    <row r="1300" spans="3:17" hidden="1">
      <c r="C1300" s="123"/>
      <c r="D1300" s="123"/>
      <c r="E1300" s="124"/>
      <c r="F1300" s="123"/>
      <c r="G1300" s="130"/>
      <c r="H1300" s="124"/>
      <c r="I1300" s="243"/>
      <c r="J1300" s="123"/>
      <c r="K1300" s="123"/>
      <c r="L1300" s="246"/>
      <c r="M1300" s="123"/>
      <c r="N1300" s="123"/>
      <c r="O1300" s="123"/>
      <c r="P1300" s="123"/>
      <c r="Q1300" t="str">
        <f t="shared" si="20"/>
        <v/>
      </c>
    </row>
    <row r="1301" spans="3:17" hidden="1">
      <c r="C1301" s="123"/>
      <c r="D1301" s="123"/>
      <c r="E1301" s="124"/>
      <c r="F1301" s="123"/>
      <c r="G1301" s="130"/>
      <c r="H1301" s="124"/>
      <c r="I1301" s="243"/>
      <c r="J1301" s="123"/>
      <c r="K1301" s="123"/>
      <c r="L1301" s="246"/>
      <c r="M1301" s="123"/>
      <c r="N1301" s="123"/>
      <c r="O1301" s="123"/>
      <c r="P1301" s="123"/>
      <c r="Q1301" t="str">
        <f t="shared" si="20"/>
        <v/>
      </c>
    </row>
    <row r="1302" spans="3:17" hidden="1">
      <c r="C1302" s="123"/>
      <c r="D1302" s="123"/>
      <c r="E1302" s="124"/>
      <c r="F1302" s="123"/>
      <c r="G1302" s="130"/>
      <c r="H1302" s="124"/>
      <c r="I1302" s="243"/>
      <c r="J1302" s="123"/>
      <c r="K1302" s="123"/>
      <c r="L1302" s="246"/>
      <c r="M1302" s="123"/>
      <c r="N1302" s="123"/>
      <c r="O1302" s="123"/>
      <c r="P1302" s="123"/>
      <c r="Q1302" t="str">
        <f t="shared" si="20"/>
        <v/>
      </c>
    </row>
    <row r="1303" spans="3:17" hidden="1">
      <c r="C1303" s="123"/>
      <c r="D1303" s="123"/>
      <c r="E1303" s="124"/>
      <c r="F1303" s="123"/>
      <c r="G1303" s="130"/>
      <c r="H1303" s="124"/>
      <c r="I1303" s="243"/>
      <c r="J1303" s="123"/>
      <c r="K1303" s="123"/>
      <c r="L1303" s="246"/>
      <c r="M1303" s="123"/>
      <c r="N1303" s="123"/>
      <c r="O1303" s="123"/>
      <c r="P1303" s="123"/>
      <c r="Q1303" t="str">
        <f t="shared" si="20"/>
        <v/>
      </c>
    </row>
    <row r="1304" spans="3:17" hidden="1">
      <c r="C1304" s="123"/>
      <c r="D1304" s="123"/>
      <c r="E1304" s="124"/>
      <c r="F1304" s="123"/>
      <c r="G1304" s="130"/>
      <c r="H1304" s="124"/>
      <c r="I1304" s="243"/>
      <c r="J1304" s="123"/>
      <c r="K1304" s="123"/>
      <c r="L1304" s="246"/>
      <c r="M1304" s="123"/>
      <c r="N1304" s="123"/>
      <c r="O1304" s="123"/>
      <c r="P1304" s="123"/>
      <c r="Q1304" t="str">
        <f t="shared" si="20"/>
        <v/>
      </c>
    </row>
    <row r="1305" spans="3:17" hidden="1">
      <c r="C1305" s="123"/>
      <c r="D1305" s="123"/>
      <c r="E1305" s="124"/>
      <c r="F1305" s="123"/>
      <c r="G1305" s="130"/>
      <c r="H1305" s="124"/>
      <c r="I1305" s="243"/>
      <c r="J1305" s="123"/>
      <c r="K1305" s="123"/>
      <c r="L1305" s="246"/>
      <c r="M1305" s="123"/>
      <c r="N1305" s="123"/>
      <c r="O1305" s="123"/>
      <c r="P1305" s="123"/>
      <c r="Q1305" t="str">
        <f t="shared" si="20"/>
        <v/>
      </c>
    </row>
    <row r="1306" spans="3:17" hidden="1">
      <c r="C1306" s="123"/>
      <c r="D1306" s="123"/>
      <c r="E1306" s="124"/>
      <c r="F1306" s="123"/>
      <c r="G1306" s="130"/>
      <c r="H1306" s="124"/>
      <c r="I1306" s="243"/>
      <c r="J1306" s="123"/>
      <c r="K1306" s="123"/>
      <c r="L1306" s="246"/>
      <c r="M1306" s="123"/>
      <c r="N1306" s="123"/>
      <c r="O1306" s="123"/>
      <c r="P1306" s="123"/>
      <c r="Q1306" t="str">
        <f t="shared" si="20"/>
        <v/>
      </c>
    </row>
    <row r="1307" spans="3:17" hidden="1">
      <c r="C1307" s="123"/>
      <c r="D1307" s="123"/>
      <c r="E1307" s="124"/>
      <c r="F1307" s="123"/>
      <c r="G1307" s="130"/>
      <c r="H1307" s="124"/>
      <c r="I1307" s="243"/>
      <c r="J1307" s="123"/>
      <c r="K1307" s="123"/>
      <c r="L1307" s="246"/>
      <c r="M1307" s="123"/>
      <c r="N1307" s="123"/>
      <c r="O1307" s="123"/>
      <c r="P1307" s="123"/>
      <c r="Q1307" t="str">
        <f t="shared" si="20"/>
        <v/>
      </c>
    </row>
    <row r="1308" spans="3:17" hidden="1">
      <c r="C1308" s="123"/>
      <c r="D1308" s="123"/>
      <c r="E1308" s="124"/>
      <c r="F1308" s="123"/>
      <c r="G1308" s="130"/>
      <c r="H1308" s="124"/>
      <c r="I1308" s="243"/>
      <c r="J1308" s="123"/>
      <c r="K1308" s="123"/>
      <c r="L1308" s="246"/>
      <c r="M1308" s="123"/>
      <c r="N1308" s="123"/>
      <c r="O1308" s="123"/>
      <c r="P1308" s="123"/>
      <c r="Q1308" t="str">
        <f t="shared" si="20"/>
        <v/>
      </c>
    </row>
    <row r="1309" spans="3:17" hidden="1">
      <c r="C1309" s="123"/>
      <c r="D1309" s="123"/>
      <c r="E1309" s="124"/>
      <c r="F1309" s="123"/>
      <c r="G1309" s="130"/>
      <c r="H1309" s="124"/>
      <c r="I1309" s="243"/>
      <c r="J1309" s="123"/>
      <c r="K1309" s="123"/>
      <c r="L1309" s="246"/>
      <c r="M1309" s="123"/>
      <c r="N1309" s="123"/>
      <c r="O1309" s="123"/>
      <c r="P1309" s="123"/>
      <c r="Q1309" t="str">
        <f t="shared" si="20"/>
        <v/>
      </c>
    </row>
    <row r="1310" spans="3:17" hidden="1">
      <c r="C1310" s="123"/>
      <c r="D1310" s="123"/>
      <c r="E1310" s="124"/>
      <c r="F1310" s="123"/>
      <c r="G1310" s="130"/>
      <c r="H1310" s="124"/>
      <c r="I1310" s="243"/>
      <c r="J1310" s="123"/>
      <c r="K1310" s="123"/>
      <c r="L1310" s="246"/>
      <c r="M1310" s="123"/>
      <c r="N1310" s="123"/>
      <c r="O1310" s="123"/>
      <c r="P1310" s="123"/>
      <c r="Q1310" t="str">
        <f t="shared" si="20"/>
        <v/>
      </c>
    </row>
    <row r="1311" spans="3:17" hidden="1">
      <c r="C1311" s="123"/>
      <c r="D1311" s="123"/>
      <c r="E1311" s="124"/>
      <c r="F1311" s="123"/>
      <c r="G1311" s="130"/>
      <c r="H1311" s="124"/>
      <c r="I1311" s="243"/>
      <c r="J1311" s="123"/>
      <c r="K1311" s="123"/>
      <c r="L1311" s="246"/>
      <c r="M1311" s="123"/>
      <c r="N1311" s="123"/>
      <c r="O1311" s="123"/>
      <c r="P1311" s="123"/>
      <c r="Q1311" t="str">
        <f t="shared" si="20"/>
        <v/>
      </c>
    </row>
    <row r="1312" spans="3:17" hidden="1">
      <c r="C1312" s="123"/>
      <c r="D1312" s="123"/>
      <c r="E1312" s="124"/>
      <c r="F1312" s="123"/>
      <c r="G1312" s="130"/>
      <c r="H1312" s="124"/>
      <c r="I1312" s="243"/>
      <c r="J1312" s="123"/>
      <c r="K1312" s="123"/>
      <c r="L1312" s="246"/>
      <c r="M1312" s="123"/>
      <c r="N1312" s="123"/>
      <c r="O1312" s="123"/>
      <c r="P1312" s="123"/>
      <c r="Q1312" t="str">
        <f t="shared" si="20"/>
        <v/>
      </c>
    </row>
    <row r="1313" spans="3:17" hidden="1">
      <c r="C1313" s="123"/>
      <c r="D1313" s="123"/>
      <c r="E1313" s="124"/>
      <c r="F1313" s="123"/>
      <c r="G1313" s="130"/>
      <c r="H1313" s="124"/>
      <c r="I1313" s="243"/>
      <c r="J1313" s="123"/>
      <c r="K1313" s="123"/>
      <c r="L1313" s="246"/>
      <c r="M1313" s="123"/>
      <c r="N1313" s="123"/>
      <c r="O1313" s="123"/>
      <c r="P1313" s="123"/>
      <c r="Q1313" t="str">
        <f t="shared" si="20"/>
        <v/>
      </c>
    </row>
    <row r="1314" spans="3:17" hidden="1">
      <c r="C1314" s="123"/>
      <c r="D1314" s="123"/>
      <c r="E1314" s="124"/>
      <c r="F1314" s="123"/>
      <c r="G1314" s="130"/>
      <c r="H1314" s="124"/>
      <c r="I1314" s="243"/>
      <c r="J1314" s="123"/>
      <c r="K1314" s="123"/>
      <c r="L1314" s="246"/>
      <c r="M1314" s="123"/>
      <c r="N1314" s="123"/>
      <c r="O1314" s="123"/>
      <c r="P1314" s="123"/>
      <c r="Q1314" t="str">
        <f t="shared" si="20"/>
        <v/>
      </c>
    </row>
    <row r="1315" spans="3:17" hidden="1">
      <c r="C1315" s="123"/>
      <c r="D1315" s="123"/>
      <c r="E1315" s="124"/>
      <c r="F1315" s="123"/>
      <c r="G1315" s="130"/>
      <c r="H1315" s="124"/>
      <c r="I1315" s="243"/>
      <c r="J1315" s="123"/>
      <c r="K1315" s="123"/>
      <c r="L1315" s="246"/>
      <c r="M1315" s="123"/>
      <c r="N1315" s="123"/>
      <c r="O1315" s="123"/>
      <c r="P1315" s="123"/>
      <c r="Q1315" t="str">
        <f t="shared" si="20"/>
        <v/>
      </c>
    </row>
    <row r="1316" spans="3:17" hidden="1">
      <c r="C1316" s="123"/>
      <c r="D1316" s="123"/>
      <c r="E1316" s="124"/>
      <c r="F1316" s="123"/>
      <c r="G1316" s="130"/>
      <c r="H1316" s="124"/>
      <c r="I1316" s="243"/>
      <c r="J1316" s="123"/>
      <c r="K1316" s="123"/>
      <c r="L1316" s="246"/>
      <c r="M1316" s="123"/>
      <c r="N1316" s="123"/>
      <c r="O1316" s="123"/>
      <c r="P1316" s="123"/>
      <c r="Q1316" t="str">
        <f t="shared" si="20"/>
        <v/>
      </c>
    </row>
    <row r="1317" spans="3:17" hidden="1">
      <c r="C1317" s="123"/>
      <c r="D1317" s="123"/>
      <c r="E1317" s="124"/>
      <c r="F1317" s="123"/>
      <c r="G1317" s="130"/>
      <c r="H1317" s="124"/>
      <c r="I1317" s="243"/>
      <c r="J1317" s="123"/>
      <c r="K1317" s="123"/>
      <c r="L1317" s="246"/>
      <c r="M1317" s="123"/>
      <c r="N1317" s="123"/>
      <c r="O1317" s="123"/>
      <c r="P1317" s="123"/>
      <c r="Q1317" t="str">
        <f t="shared" si="20"/>
        <v/>
      </c>
    </row>
    <row r="1318" spans="3:17" hidden="1">
      <c r="C1318" s="123"/>
      <c r="D1318" s="123"/>
      <c r="E1318" s="124"/>
      <c r="F1318" s="123"/>
      <c r="G1318" s="130"/>
      <c r="H1318" s="124"/>
      <c r="I1318" s="243"/>
      <c r="J1318" s="123"/>
      <c r="K1318" s="123"/>
      <c r="L1318" s="246"/>
      <c r="M1318" s="123"/>
      <c r="N1318" s="123"/>
      <c r="O1318" s="123"/>
      <c r="P1318" s="123"/>
      <c r="Q1318" t="str">
        <f t="shared" si="20"/>
        <v/>
      </c>
    </row>
    <row r="1319" spans="3:17" hidden="1">
      <c r="C1319" s="123"/>
      <c r="D1319" s="123"/>
      <c r="E1319" s="124"/>
      <c r="F1319" s="123"/>
      <c r="G1319" s="130"/>
      <c r="H1319" s="124"/>
      <c r="I1319" s="243"/>
      <c r="J1319" s="123"/>
      <c r="K1319" s="123"/>
      <c r="L1319" s="246"/>
      <c r="M1319" s="123"/>
      <c r="N1319" s="123"/>
      <c r="O1319" s="123"/>
      <c r="P1319" s="123"/>
      <c r="Q1319" t="str">
        <f t="shared" si="20"/>
        <v/>
      </c>
    </row>
    <row r="1320" spans="3:17" hidden="1">
      <c r="C1320" s="123"/>
      <c r="D1320" s="123"/>
      <c r="E1320" s="124"/>
      <c r="F1320" s="123"/>
      <c r="G1320" s="130"/>
      <c r="H1320" s="124"/>
      <c r="I1320" s="243"/>
      <c r="J1320" s="123"/>
      <c r="K1320" s="123"/>
      <c r="L1320" s="246"/>
      <c r="M1320" s="123"/>
      <c r="N1320" s="123"/>
      <c r="O1320" s="123"/>
      <c r="P1320" s="123"/>
      <c r="Q1320" t="str">
        <f t="shared" si="20"/>
        <v/>
      </c>
    </row>
    <row r="1321" spans="3:17" hidden="1">
      <c r="C1321" s="123"/>
      <c r="D1321" s="123"/>
      <c r="E1321" s="124"/>
      <c r="F1321" s="123"/>
      <c r="G1321" s="130"/>
      <c r="H1321" s="124"/>
      <c r="I1321" s="243"/>
      <c r="J1321" s="123"/>
      <c r="K1321" s="123"/>
      <c r="L1321" s="246"/>
      <c r="M1321" s="123"/>
      <c r="N1321" s="123"/>
      <c r="O1321" s="123"/>
      <c r="P1321" s="123"/>
      <c r="Q1321" t="str">
        <f t="shared" si="20"/>
        <v/>
      </c>
    </row>
    <row r="1322" spans="3:17" hidden="1">
      <c r="C1322" s="123"/>
      <c r="D1322" s="123"/>
      <c r="E1322" s="124"/>
      <c r="F1322" s="123"/>
      <c r="G1322" s="130"/>
      <c r="H1322" s="124"/>
      <c r="I1322" s="243"/>
      <c r="J1322" s="123"/>
      <c r="K1322" s="123"/>
      <c r="L1322" s="246"/>
      <c r="M1322" s="123"/>
      <c r="N1322" s="123"/>
      <c r="O1322" s="123"/>
      <c r="P1322" s="123"/>
      <c r="Q1322" t="str">
        <f t="shared" si="20"/>
        <v/>
      </c>
    </row>
    <row r="1323" spans="3:17" hidden="1">
      <c r="C1323" s="123"/>
      <c r="D1323" s="123"/>
      <c r="E1323" s="124"/>
      <c r="F1323" s="123"/>
      <c r="G1323" s="130"/>
      <c r="H1323" s="124"/>
      <c r="I1323" s="243"/>
      <c r="J1323" s="123"/>
      <c r="K1323" s="123"/>
      <c r="L1323" s="246"/>
      <c r="M1323" s="123"/>
      <c r="N1323" s="123"/>
      <c r="O1323" s="123"/>
      <c r="P1323" s="123"/>
      <c r="Q1323" t="str">
        <f t="shared" si="20"/>
        <v/>
      </c>
    </row>
    <row r="1324" spans="3:17" hidden="1">
      <c r="C1324" s="123"/>
      <c r="D1324" s="123"/>
      <c r="E1324" s="124"/>
      <c r="F1324" s="123"/>
      <c r="G1324" s="130"/>
      <c r="H1324" s="124"/>
      <c r="I1324" s="243"/>
      <c r="J1324" s="123"/>
      <c r="K1324" s="123"/>
      <c r="L1324" s="246"/>
      <c r="M1324" s="123"/>
      <c r="N1324" s="123"/>
      <c r="O1324" s="123"/>
      <c r="P1324" s="123"/>
      <c r="Q1324" t="str">
        <f t="shared" si="20"/>
        <v/>
      </c>
    </row>
    <row r="1325" spans="3:17" hidden="1">
      <c r="C1325" s="123"/>
      <c r="D1325" s="123"/>
      <c r="E1325" s="124"/>
      <c r="F1325" s="123"/>
      <c r="G1325" s="130"/>
      <c r="H1325" s="124"/>
      <c r="I1325" s="243"/>
      <c r="J1325" s="123"/>
      <c r="K1325" s="123"/>
      <c r="L1325" s="246"/>
      <c r="M1325" s="123"/>
      <c r="N1325" s="123"/>
      <c r="O1325" s="123"/>
      <c r="P1325" s="123"/>
      <c r="Q1325" t="str">
        <f t="shared" si="20"/>
        <v/>
      </c>
    </row>
    <row r="1326" spans="3:17" hidden="1">
      <c r="C1326" s="123"/>
      <c r="D1326" s="123"/>
      <c r="E1326" s="124"/>
      <c r="F1326" s="123"/>
      <c r="G1326" s="130"/>
      <c r="H1326" s="124"/>
      <c r="I1326" s="243"/>
      <c r="J1326" s="123"/>
      <c r="K1326" s="123"/>
      <c r="L1326" s="246"/>
      <c r="M1326" s="123"/>
      <c r="N1326" s="123"/>
      <c r="O1326" s="123"/>
      <c r="P1326" s="123"/>
      <c r="Q1326" t="str">
        <f t="shared" si="20"/>
        <v/>
      </c>
    </row>
    <row r="1327" spans="3:17" hidden="1">
      <c r="C1327" s="123"/>
      <c r="D1327" s="123"/>
      <c r="E1327" s="124"/>
      <c r="F1327" s="123"/>
      <c r="G1327" s="130"/>
      <c r="H1327" s="124"/>
      <c r="I1327" s="243"/>
      <c r="J1327" s="123"/>
      <c r="K1327" s="123"/>
      <c r="L1327" s="246"/>
      <c r="M1327" s="123"/>
      <c r="N1327" s="123"/>
      <c r="O1327" s="123"/>
      <c r="P1327" s="123"/>
      <c r="Q1327" t="str">
        <f t="shared" si="20"/>
        <v/>
      </c>
    </row>
    <row r="1328" spans="3:17" hidden="1">
      <c r="C1328" s="123"/>
      <c r="D1328" s="123"/>
      <c r="E1328" s="124"/>
      <c r="F1328" s="123"/>
      <c r="G1328" s="130"/>
      <c r="H1328" s="124"/>
      <c r="I1328" s="243"/>
      <c r="J1328" s="123"/>
      <c r="K1328" s="123"/>
      <c r="L1328" s="246"/>
      <c r="M1328" s="123"/>
      <c r="N1328" s="123"/>
      <c r="O1328" s="123"/>
      <c r="P1328" s="123"/>
      <c r="Q1328" t="str">
        <f t="shared" si="20"/>
        <v/>
      </c>
    </row>
    <row r="1329" spans="3:17" hidden="1">
      <c r="C1329" s="123"/>
      <c r="D1329" s="123"/>
      <c r="E1329" s="124"/>
      <c r="F1329" s="123"/>
      <c r="G1329" s="130"/>
      <c r="H1329" s="124"/>
      <c r="I1329" s="243"/>
      <c r="J1329" s="123"/>
      <c r="K1329" s="123"/>
      <c r="L1329" s="246"/>
      <c r="M1329" s="123"/>
      <c r="N1329" s="123"/>
      <c r="O1329" s="123"/>
      <c r="P1329" s="123"/>
      <c r="Q1329" t="str">
        <f t="shared" si="20"/>
        <v/>
      </c>
    </row>
    <row r="1330" spans="3:17" hidden="1">
      <c r="C1330" s="123"/>
      <c r="D1330" s="123"/>
      <c r="E1330" s="124"/>
      <c r="F1330" s="123"/>
      <c r="G1330" s="130"/>
      <c r="H1330" s="124"/>
      <c r="I1330" s="243"/>
      <c r="J1330" s="123"/>
      <c r="K1330" s="123"/>
      <c r="L1330" s="246"/>
      <c r="M1330" s="123"/>
      <c r="N1330" s="123"/>
      <c r="O1330" s="123"/>
      <c r="P1330" s="123"/>
      <c r="Q1330" t="str">
        <f t="shared" si="20"/>
        <v/>
      </c>
    </row>
    <row r="1331" spans="3:17" hidden="1">
      <c r="C1331" s="123"/>
      <c r="D1331" s="123"/>
      <c r="E1331" s="124"/>
      <c r="F1331" s="123"/>
      <c r="G1331" s="130"/>
      <c r="H1331" s="124"/>
      <c r="I1331" s="243"/>
      <c r="J1331" s="123"/>
      <c r="K1331" s="123"/>
      <c r="L1331" s="246"/>
      <c r="M1331" s="123"/>
      <c r="N1331" s="123"/>
      <c r="O1331" s="123"/>
      <c r="P1331" s="123"/>
      <c r="Q1331" t="str">
        <f t="shared" si="20"/>
        <v/>
      </c>
    </row>
    <row r="1332" spans="3:17" hidden="1">
      <c r="C1332" s="123"/>
      <c r="D1332" s="123"/>
      <c r="E1332" s="124"/>
      <c r="F1332" s="123"/>
      <c r="G1332" s="130"/>
      <c r="H1332" s="124"/>
      <c r="I1332" s="243"/>
      <c r="J1332" s="123"/>
      <c r="K1332" s="123"/>
      <c r="L1332" s="246"/>
      <c r="M1332" s="123"/>
      <c r="N1332" s="123"/>
      <c r="O1332" s="123"/>
      <c r="P1332" s="123"/>
      <c r="Q1332" t="str">
        <f t="shared" si="20"/>
        <v/>
      </c>
    </row>
    <row r="1333" spans="3:17" hidden="1">
      <c r="C1333" s="123"/>
      <c r="D1333" s="123"/>
      <c r="E1333" s="124"/>
      <c r="F1333" s="123"/>
      <c r="G1333" s="130"/>
      <c r="H1333" s="124"/>
      <c r="I1333" s="243"/>
      <c r="J1333" s="123"/>
      <c r="K1333" s="123"/>
      <c r="L1333" s="246"/>
      <c r="M1333" s="123"/>
      <c r="N1333" s="123"/>
      <c r="O1333" s="123"/>
      <c r="P1333" s="123"/>
      <c r="Q1333" t="str">
        <f t="shared" si="20"/>
        <v/>
      </c>
    </row>
    <row r="1334" spans="3:17" hidden="1">
      <c r="C1334" s="123"/>
      <c r="D1334" s="123"/>
      <c r="E1334" s="124"/>
      <c r="F1334" s="123"/>
      <c r="G1334" s="130"/>
      <c r="H1334" s="124"/>
      <c r="I1334" s="243"/>
      <c r="J1334" s="123"/>
      <c r="K1334" s="123"/>
      <c r="L1334" s="246"/>
      <c r="M1334" s="123"/>
      <c r="N1334" s="123"/>
      <c r="O1334" s="123"/>
      <c r="P1334" s="123"/>
      <c r="Q1334" t="str">
        <f t="shared" si="20"/>
        <v/>
      </c>
    </row>
    <row r="1335" spans="3:17" hidden="1">
      <c r="C1335" s="123"/>
      <c r="D1335" s="123"/>
      <c r="E1335" s="124"/>
      <c r="F1335" s="123"/>
      <c r="G1335" s="130"/>
      <c r="H1335" s="124"/>
      <c r="I1335" s="243"/>
      <c r="J1335" s="123"/>
      <c r="K1335" s="123"/>
      <c r="L1335" s="246"/>
      <c r="M1335" s="123"/>
      <c r="N1335" s="123"/>
      <c r="O1335" s="123"/>
      <c r="P1335" s="123"/>
      <c r="Q1335" t="str">
        <f t="shared" si="20"/>
        <v/>
      </c>
    </row>
    <row r="1336" spans="3:17" hidden="1">
      <c r="C1336" s="123"/>
      <c r="D1336" s="123"/>
      <c r="E1336" s="124"/>
      <c r="F1336" s="123"/>
      <c r="G1336" s="130"/>
      <c r="H1336" s="124"/>
      <c r="I1336" s="243"/>
      <c r="J1336" s="123"/>
      <c r="K1336" s="123"/>
      <c r="L1336" s="246"/>
      <c r="M1336" s="123"/>
      <c r="N1336" s="123"/>
      <c r="O1336" s="123"/>
      <c r="P1336" s="123"/>
      <c r="Q1336" t="str">
        <f t="shared" si="20"/>
        <v/>
      </c>
    </row>
    <row r="1337" spans="3:17" hidden="1">
      <c r="C1337" s="123"/>
      <c r="D1337" s="123"/>
      <c r="E1337" s="124"/>
      <c r="F1337" s="123"/>
      <c r="G1337" s="130"/>
      <c r="H1337" s="124"/>
      <c r="I1337" s="243"/>
      <c r="J1337" s="123"/>
      <c r="K1337" s="123"/>
      <c r="L1337" s="246"/>
      <c r="M1337" s="123"/>
      <c r="N1337" s="123"/>
      <c r="O1337" s="123"/>
      <c r="P1337" s="123"/>
      <c r="Q1337" t="str">
        <f t="shared" si="20"/>
        <v/>
      </c>
    </row>
    <row r="1338" spans="3:17" hidden="1">
      <c r="C1338" s="123"/>
      <c r="D1338" s="123"/>
      <c r="E1338" s="124"/>
      <c r="F1338" s="123"/>
      <c r="G1338" s="130"/>
      <c r="H1338" s="124"/>
      <c r="I1338" s="243"/>
      <c r="J1338" s="123"/>
      <c r="K1338" s="123"/>
      <c r="L1338" s="246"/>
      <c r="M1338" s="123"/>
      <c r="N1338" s="123"/>
      <c r="O1338" s="123"/>
      <c r="P1338" s="123"/>
      <c r="Q1338" t="str">
        <f t="shared" si="20"/>
        <v/>
      </c>
    </row>
    <row r="1339" spans="3:17" hidden="1">
      <c r="C1339" s="123"/>
      <c r="D1339" s="123"/>
      <c r="E1339" s="124"/>
      <c r="F1339" s="123"/>
      <c r="G1339" s="130"/>
      <c r="H1339" s="124"/>
      <c r="I1339" s="243"/>
      <c r="J1339" s="123"/>
      <c r="K1339" s="123"/>
      <c r="L1339" s="246"/>
      <c r="M1339" s="123"/>
      <c r="N1339" s="123"/>
      <c r="O1339" s="123"/>
      <c r="P1339" s="123"/>
      <c r="Q1339" t="str">
        <f t="shared" si="20"/>
        <v/>
      </c>
    </row>
    <row r="1340" spans="3:17" hidden="1">
      <c r="C1340" s="123"/>
      <c r="D1340" s="123"/>
      <c r="E1340" s="124"/>
      <c r="F1340" s="123"/>
      <c r="G1340" s="130"/>
      <c r="H1340" s="124"/>
      <c r="I1340" s="243"/>
      <c r="J1340" s="123"/>
      <c r="K1340" s="123"/>
      <c r="L1340" s="246"/>
      <c r="M1340" s="123"/>
      <c r="N1340" s="123"/>
      <c r="O1340" s="123"/>
      <c r="P1340" s="123"/>
      <c r="Q1340" t="str">
        <f t="shared" si="20"/>
        <v/>
      </c>
    </row>
    <row r="1341" spans="3:17" hidden="1">
      <c r="C1341" s="123"/>
      <c r="D1341" s="123"/>
      <c r="E1341" s="124"/>
      <c r="F1341" s="123"/>
      <c r="G1341" s="130"/>
      <c r="H1341" s="124"/>
      <c r="I1341" s="243"/>
      <c r="J1341" s="123"/>
      <c r="K1341" s="123"/>
      <c r="L1341" s="246"/>
      <c r="M1341" s="123"/>
      <c r="N1341" s="123"/>
      <c r="O1341" s="123"/>
      <c r="P1341" s="123"/>
      <c r="Q1341" t="str">
        <f t="shared" si="20"/>
        <v/>
      </c>
    </row>
    <row r="1342" spans="3:17" hidden="1">
      <c r="C1342" s="123"/>
      <c r="D1342" s="123"/>
      <c r="E1342" s="124"/>
      <c r="F1342" s="123"/>
      <c r="G1342" s="130"/>
      <c r="H1342" s="124"/>
      <c r="I1342" s="243"/>
      <c r="J1342" s="123"/>
      <c r="K1342" s="123"/>
      <c r="L1342" s="246"/>
      <c r="M1342" s="123"/>
      <c r="N1342" s="123"/>
      <c r="O1342" s="123"/>
      <c r="P1342" s="123"/>
      <c r="Q1342" t="str">
        <f t="shared" si="20"/>
        <v/>
      </c>
    </row>
    <row r="1343" spans="3:17" hidden="1">
      <c r="C1343" s="123"/>
      <c r="D1343" s="123"/>
      <c r="E1343" s="124"/>
      <c r="F1343" s="123"/>
      <c r="G1343" s="130"/>
      <c r="H1343" s="124"/>
      <c r="I1343" s="243"/>
      <c r="J1343" s="123"/>
      <c r="K1343" s="123"/>
      <c r="L1343" s="246"/>
      <c r="M1343" s="123"/>
      <c r="N1343" s="123"/>
      <c r="O1343" s="123"/>
      <c r="P1343" s="123"/>
      <c r="Q1343" t="str">
        <f t="shared" si="20"/>
        <v/>
      </c>
    </row>
    <row r="1344" spans="3:17" hidden="1">
      <c r="C1344" s="123"/>
      <c r="D1344" s="123"/>
      <c r="E1344" s="124"/>
      <c r="F1344" s="123"/>
      <c r="G1344" s="130"/>
      <c r="H1344" s="124"/>
      <c r="I1344" s="243"/>
      <c r="J1344" s="123"/>
      <c r="K1344" s="123"/>
      <c r="L1344" s="246"/>
      <c r="M1344" s="123"/>
      <c r="N1344" s="123"/>
      <c r="O1344" s="123"/>
      <c r="P1344" s="123"/>
      <c r="Q1344" t="str">
        <f t="shared" si="20"/>
        <v/>
      </c>
    </row>
    <row r="1345" spans="3:17" hidden="1">
      <c r="C1345" s="123"/>
      <c r="D1345" s="123"/>
      <c r="E1345" s="124"/>
      <c r="F1345" s="123"/>
      <c r="G1345" s="130"/>
      <c r="H1345" s="124"/>
      <c r="I1345" s="243"/>
      <c r="J1345" s="123"/>
      <c r="K1345" s="123"/>
      <c r="L1345" s="246"/>
      <c r="M1345" s="123"/>
      <c r="N1345" s="123"/>
      <c r="O1345" s="123"/>
      <c r="P1345" s="123"/>
      <c r="Q1345" t="str">
        <f t="shared" si="20"/>
        <v/>
      </c>
    </row>
    <row r="1346" spans="3:17" hidden="1">
      <c r="C1346" s="123"/>
      <c r="D1346" s="123"/>
      <c r="E1346" s="124"/>
      <c r="F1346" s="123"/>
      <c r="G1346" s="130"/>
      <c r="H1346" s="124"/>
      <c r="I1346" s="243"/>
      <c r="J1346" s="123"/>
      <c r="K1346" s="123"/>
      <c r="L1346" s="246"/>
      <c r="M1346" s="123"/>
      <c r="N1346" s="123"/>
      <c r="O1346" s="123"/>
      <c r="P1346" s="123"/>
      <c r="Q1346" t="str">
        <f t="shared" si="20"/>
        <v/>
      </c>
    </row>
    <row r="1347" spans="3:17" hidden="1">
      <c r="C1347" s="123"/>
      <c r="D1347" s="123"/>
      <c r="E1347" s="124"/>
      <c r="F1347" s="123"/>
      <c r="G1347" s="130"/>
      <c r="H1347" s="124"/>
      <c r="I1347" s="243"/>
      <c r="J1347" s="123"/>
      <c r="K1347" s="123"/>
      <c r="L1347" s="246"/>
      <c r="M1347" s="123"/>
      <c r="N1347" s="123"/>
      <c r="O1347" s="123"/>
      <c r="P1347" s="123"/>
      <c r="Q1347" t="str">
        <f t="shared" si="20"/>
        <v/>
      </c>
    </row>
    <row r="1348" spans="3:17" hidden="1">
      <c r="C1348" s="123"/>
      <c r="D1348" s="123"/>
      <c r="E1348" s="124"/>
      <c r="F1348" s="123"/>
      <c r="G1348" s="130"/>
      <c r="H1348" s="124"/>
      <c r="I1348" s="243"/>
      <c r="J1348" s="123"/>
      <c r="K1348" s="123"/>
      <c r="L1348" s="246"/>
      <c r="M1348" s="123"/>
      <c r="N1348" s="123"/>
      <c r="O1348" s="123"/>
      <c r="P1348" s="123"/>
      <c r="Q1348" t="str">
        <f t="shared" si="20"/>
        <v/>
      </c>
    </row>
    <row r="1349" spans="3:17" hidden="1">
      <c r="C1349" s="123"/>
      <c r="D1349" s="123"/>
      <c r="E1349" s="124"/>
      <c r="F1349" s="123"/>
      <c r="G1349" s="130"/>
      <c r="H1349" s="124"/>
      <c r="I1349" s="243"/>
      <c r="J1349" s="123"/>
      <c r="K1349" s="123"/>
      <c r="L1349" s="246"/>
      <c r="M1349" s="123"/>
      <c r="N1349" s="123"/>
      <c r="O1349" s="123"/>
      <c r="P1349" s="123"/>
      <c r="Q1349" t="str">
        <f t="shared" si="20"/>
        <v/>
      </c>
    </row>
    <row r="1350" spans="3:17" hidden="1">
      <c r="C1350" s="123"/>
      <c r="D1350" s="123"/>
      <c r="E1350" s="124"/>
      <c r="F1350" s="123"/>
      <c r="G1350" s="130"/>
      <c r="H1350" s="124"/>
      <c r="I1350" s="243"/>
      <c r="J1350" s="123"/>
      <c r="K1350" s="123"/>
      <c r="L1350" s="246"/>
      <c r="M1350" s="123"/>
      <c r="N1350" s="123"/>
      <c r="O1350" s="123"/>
      <c r="P1350" s="123"/>
      <c r="Q1350" t="str">
        <f t="shared" si="20"/>
        <v/>
      </c>
    </row>
    <row r="1351" spans="3:17" hidden="1">
      <c r="C1351" s="123"/>
      <c r="D1351" s="123"/>
      <c r="E1351" s="124"/>
      <c r="F1351" s="123"/>
      <c r="G1351" s="130"/>
      <c r="H1351" s="124"/>
      <c r="I1351" s="243"/>
      <c r="J1351" s="123"/>
      <c r="K1351" s="123"/>
      <c r="L1351" s="246"/>
      <c r="M1351" s="123"/>
      <c r="N1351" s="123"/>
      <c r="O1351" s="123"/>
      <c r="P1351" s="123"/>
      <c r="Q1351" t="str">
        <f t="shared" ref="Q1351:Q1414" si="21">IF(D1351="","","x")</f>
        <v/>
      </c>
    </row>
    <row r="1352" spans="3:17" hidden="1">
      <c r="C1352" s="123"/>
      <c r="D1352" s="123"/>
      <c r="E1352" s="124"/>
      <c r="F1352" s="123"/>
      <c r="G1352" s="130"/>
      <c r="H1352" s="124"/>
      <c r="I1352" s="243"/>
      <c r="J1352" s="123"/>
      <c r="K1352" s="123"/>
      <c r="L1352" s="246"/>
      <c r="M1352" s="123"/>
      <c r="N1352" s="123"/>
      <c r="O1352" s="123"/>
      <c r="P1352" s="123"/>
      <c r="Q1352" t="str">
        <f t="shared" si="21"/>
        <v/>
      </c>
    </row>
    <row r="1353" spans="3:17" hidden="1">
      <c r="C1353" s="123"/>
      <c r="D1353" s="123"/>
      <c r="E1353" s="124"/>
      <c r="F1353" s="123"/>
      <c r="G1353" s="130"/>
      <c r="H1353" s="124"/>
      <c r="I1353" s="243"/>
      <c r="J1353" s="123"/>
      <c r="K1353" s="123"/>
      <c r="L1353" s="246"/>
      <c r="M1353" s="123"/>
      <c r="N1353" s="123"/>
      <c r="O1353" s="123"/>
      <c r="P1353" s="123"/>
      <c r="Q1353" t="str">
        <f t="shared" si="21"/>
        <v/>
      </c>
    </row>
    <row r="1354" spans="3:17" hidden="1">
      <c r="C1354" s="123"/>
      <c r="D1354" s="123"/>
      <c r="E1354" s="124"/>
      <c r="F1354" s="123"/>
      <c r="G1354" s="130"/>
      <c r="H1354" s="124"/>
      <c r="I1354" s="243"/>
      <c r="J1354" s="123"/>
      <c r="K1354" s="123"/>
      <c r="L1354" s="246"/>
      <c r="M1354" s="123"/>
      <c r="N1354" s="123"/>
      <c r="O1354" s="123"/>
      <c r="P1354" s="123"/>
      <c r="Q1354" t="str">
        <f t="shared" si="21"/>
        <v/>
      </c>
    </row>
    <row r="1355" spans="3:17" hidden="1">
      <c r="C1355" s="123"/>
      <c r="D1355" s="123"/>
      <c r="E1355" s="124"/>
      <c r="F1355" s="123"/>
      <c r="G1355" s="130"/>
      <c r="H1355" s="124"/>
      <c r="I1355" s="243"/>
      <c r="J1355" s="123"/>
      <c r="K1355" s="123"/>
      <c r="L1355" s="246"/>
      <c r="M1355" s="123"/>
      <c r="N1355" s="123"/>
      <c r="O1355" s="123"/>
      <c r="P1355" s="123"/>
      <c r="Q1355" t="str">
        <f t="shared" si="21"/>
        <v/>
      </c>
    </row>
    <row r="1356" spans="3:17" hidden="1">
      <c r="C1356" s="123"/>
      <c r="D1356" s="123"/>
      <c r="E1356" s="124"/>
      <c r="F1356" s="123"/>
      <c r="G1356" s="130"/>
      <c r="H1356" s="124"/>
      <c r="I1356" s="243"/>
      <c r="J1356" s="123"/>
      <c r="K1356" s="123"/>
      <c r="L1356" s="246"/>
      <c r="M1356" s="123"/>
      <c r="N1356" s="123"/>
      <c r="O1356" s="123"/>
      <c r="P1356" s="123"/>
      <c r="Q1356" t="str">
        <f t="shared" si="21"/>
        <v/>
      </c>
    </row>
    <row r="1357" spans="3:17" hidden="1">
      <c r="C1357" s="123"/>
      <c r="D1357" s="123"/>
      <c r="E1357" s="124"/>
      <c r="F1357" s="123"/>
      <c r="G1357" s="130"/>
      <c r="H1357" s="124"/>
      <c r="I1357" s="243"/>
      <c r="J1357" s="123"/>
      <c r="K1357" s="123"/>
      <c r="L1357" s="246"/>
      <c r="M1357" s="123"/>
      <c r="N1357" s="123"/>
      <c r="O1357" s="123"/>
      <c r="P1357" s="123"/>
      <c r="Q1357" t="str">
        <f t="shared" si="21"/>
        <v/>
      </c>
    </row>
    <row r="1358" spans="3:17" hidden="1">
      <c r="C1358" s="123"/>
      <c r="D1358" s="123"/>
      <c r="E1358" s="124"/>
      <c r="F1358" s="123"/>
      <c r="G1358" s="130"/>
      <c r="H1358" s="124"/>
      <c r="I1358" s="243"/>
      <c r="J1358" s="123"/>
      <c r="K1358" s="123"/>
      <c r="L1358" s="246"/>
      <c r="M1358" s="123"/>
      <c r="N1358" s="123"/>
      <c r="O1358" s="123"/>
      <c r="P1358" s="123"/>
      <c r="Q1358" t="str">
        <f t="shared" si="21"/>
        <v/>
      </c>
    </row>
    <row r="1359" spans="3:17" hidden="1">
      <c r="C1359" s="123"/>
      <c r="D1359" s="123"/>
      <c r="E1359" s="124"/>
      <c r="F1359" s="123"/>
      <c r="G1359" s="130"/>
      <c r="H1359" s="124"/>
      <c r="I1359" s="243"/>
      <c r="J1359" s="123"/>
      <c r="K1359" s="123"/>
      <c r="L1359" s="246"/>
      <c r="M1359" s="123"/>
      <c r="N1359" s="123"/>
      <c r="O1359" s="123"/>
      <c r="P1359" s="123"/>
      <c r="Q1359" t="str">
        <f t="shared" si="21"/>
        <v/>
      </c>
    </row>
    <row r="1360" spans="3:17" hidden="1">
      <c r="C1360" s="123"/>
      <c r="D1360" s="123"/>
      <c r="E1360" s="124"/>
      <c r="F1360" s="123"/>
      <c r="G1360" s="130"/>
      <c r="H1360" s="124"/>
      <c r="I1360" s="243"/>
      <c r="J1360" s="123"/>
      <c r="K1360" s="123"/>
      <c r="L1360" s="246"/>
      <c r="M1360" s="123"/>
      <c r="N1360" s="123"/>
      <c r="O1360" s="123"/>
      <c r="P1360" s="123"/>
      <c r="Q1360" t="str">
        <f t="shared" si="21"/>
        <v/>
      </c>
    </row>
    <row r="1361" spans="3:17" hidden="1">
      <c r="C1361" s="123"/>
      <c r="D1361" s="123"/>
      <c r="E1361" s="124"/>
      <c r="F1361" s="123"/>
      <c r="G1361" s="130"/>
      <c r="H1361" s="124"/>
      <c r="I1361" s="243"/>
      <c r="J1361" s="123"/>
      <c r="K1361" s="123"/>
      <c r="L1361" s="246"/>
      <c r="M1361" s="123"/>
      <c r="N1361" s="123"/>
      <c r="O1361" s="123"/>
      <c r="P1361" s="123"/>
      <c r="Q1361" t="str">
        <f t="shared" si="21"/>
        <v/>
      </c>
    </row>
    <row r="1362" spans="3:17" hidden="1">
      <c r="C1362" s="123"/>
      <c r="D1362" s="123"/>
      <c r="E1362" s="124"/>
      <c r="F1362" s="123"/>
      <c r="G1362" s="130"/>
      <c r="H1362" s="124"/>
      <c r="I1362" s="243"/>
      <c r="J1362" s="123"/>
      <c r="K1362" s="123"/>
      <c r="L1362" s="246"/>
      <c r="M1362" s="123"/>
      <c r="N1362" s="123"/>
      <c r="O1362" s="123"/>
      <c r="P1362" s="123"/>
      <c r="Q1362" t="str">
        <f t="shared" si="21"/>
        <v/>
      </c>
    </row>
    <row r="1363" spans="3:17" hidden="1">
      <c r="C1363" s="123"/>
      <c r="D1363" s="123"/>
      <c r="E1363" s="124"/>
      <c r="F1363" s="123"/>
      <c r="G1363" s="130"/>
      <c r="H1363" s="124"/>
      <c r="I1363" s="243"/>
      <c r="J1363" s="123"/>
      <c r="K1363" s="123"/>
      <c r="L1363" s="246"/>
      <c r="M1363" s="123"/>
      <c r="N1363" s="123"/>
      <c r="O1363" s="123"/>
      <c r="P1363" s="123"/>
      <c r="Q1363" t="str">
        <f t="shared" si="21"/>
        <v/>
      </c>
    </row>
    <row r="1364" spans="3:17" hidden="1">
      <c r="C1364" s="123"/>
      <c r="D1364" s="123"/>
      <c r="E1364" s="124"/>
      <c r="F1364" s="123"/>
      <c r="G1364" s="130"/>
      <c r="H1364" s="124"/>
      <c r="I1364" s="243"/>
      <c r="J1364" s="123"/>
      <c r="K1364" s="123"/>
      <c r="L1364" s="246"/>
      <c r="M1364" s="123"/>
      <c r="N1364" s="123"/>
      <c r="O1364" s="123"/>
      <c r="P1364" s="123"/>
      <c r="Q1364" t="str">
        <f t="shared" si="21"/>
        <v/>
      </c>
    </row>
    <row r="1365" spans="3:17" hidden="1">
      <c r="C1365" s="123"/>
      <c r="D1365" s="123"/>
      <c r="E1365" s="124"/>
      <c r="F1365" s="123"/>
      <c r="G1365" s="130"/>
      <c r="H1365" s="124"/>
      <c r="I1365" s="243"/>
      <c r="J1365" s="123"/>
      <c r="K1365" s="123"/>
      <c r="L1365" s="246"/>
      <c r="M1365" s="123"/>
      <c r="N1365" s="123"/>
      <c r="O1365" s="123"/>
      <c r="P1365" s="123"/>
      <c r="Q1365" t="str">
        <f t="shared" si="21"/>
        <v/>
      </c>
    </row>
    <row r="1366" spans="3:17" hidden="1">
      <c r="C1366" s="123"/>
      <c r="D1366" s="123"/>
      <c r="E1366" s="124"/>
      <c r="F1366" s="123"/>
      <c r="G1366" s="130"/>
      <c r="H1366" s="124"/>
      <c r="I1366" s="243"/>
      <c r="J1366" s="123"/>
      <c r="K1366" s="123"/>
      <c r="L1366" s="246"/>
      <c r="M1366" s="123"/>
      <c r="N1366" s="123"/>
      <c r="O1366" s="123"/>
      <c r="P1366" s="123"/>
      <c r="Q1366" t="str">
        <f t="shared" si="21"/>
        <v/>
      </c>
    </row>
    <row r="1367" spans="3:17" hidden="1">
      <c r="C1367" s="123"/>
      <c r="D1367" s="123"/>
      <c r="E1367" s="124"/>
      <c r="F1367" s="123"/>
      <c r="G1367" s="130"/>
      <c r="H1367" s="124"/>
      <c r="I1367" s="243"/>
      <c r="J1367" s="123"/>
      <c r="K1367" s="123"/>
      <c r="L1367" s="246"/>
      <c r="M1367" s="123"/>
      <c r="N1367" s="123"/>
      <c r="O1367" s="123"/>
      <c r="P1367" s="123"/>
      <c r="Q1367" t="str">
        <f t="shared" si="21"/>
        <v/>
      </c>
    </row>
    <row r="1368" spans="3:17" hidden="1">
      <c r="C1368" s="123"/>
      <c r="D1368" s="123"/>
      <c r="E1368" s="124"/>
      <c r="F1368" s="123"/>
      <c r="G1368" s="130"/>
      <c r="H1368" s="124"/>
      <c r="I1368" s="243"/>
      <c r="J1368" s="123"/>
      <c r="K1368" s="123"/>
      <c r="L1368" s="246"/>
      <c r="M1368" s="123"/>
      <c r="N1368" s="123"/>
      <c r="O1368" s="123"/>
      <c r="P1368" s="123"/>
      <c r="Q1368" t="str">
        <f t="shared" si="21"/>
        <v/>
      </c>
    </row>
    <row r="1369" spans="3:17" hidden="1">
      <c r="C1369" s="123"/>
      <c r="D1369" s="123"/>
      <c r="E1369" s="124"/>
      <c r="F1369" s="123"/>
      <c r="G1369" s="130"/>
      <c r="H1369" s="124"/>
      <c r="I1369" s="243"/>
      <c r="J1369" s="123"/>
      <c r="K1369" s="123"/>
      <c r="L1369" s="246"/>
      <c r="M1369" s="123"/>
      <c r="N1369" s="123"/>
      <c r="O1369" s="123"/>
      <c r="P1369" s="123"/>
      <c r="Q1369" t="str">
        <f t="shared" si="21"/>
        <v/>
      </c>
    </row>
    <row r="1370" spans="3:17" hidden="1">
      <c r="C1370" s="123"/>
      <c r="D1370" s="123"/>
      <c r="E1370" s="124"/>
      <c r="F1370" s="123"/>
      <c r="G1370" s="130"/>
      <c r="H1370" s="124"/>
      <c r="I1370" s="243"/>
      <c r="J1370" s="123"/>
      <c r="K1370" s="123"/>
      <c r="L1370" s="246"/>
      <c r="M1370" s="123"/>
      <c r="N1370" s="123"/>
      <c r="O1370" s="123"/>
      <c r="P1370" s="123"/>
      <c r="Q1370" t="str">
        <f t="shared" si="21"/>
        <v/>
      </c>
    </row>
    <row r="1371" spans="3:17" hidden="1">
      <c r="C1371" s="123"/>
      <c r="D1371" s="123"/>
      <c r="E1371" s="124"/>
      <c r="F1371" s="123"/>
      <c r="G1371" s="130"/>
      <c r="H1371" s="124"/>
      <c r="I1371" s="243"/>
      <c r="J1371" s="123"/>
      <c r="K1371" s="123"/>
      <c r="L1371" s="246"/>
      <c r="M1371" s="123"/>
      <c r="N1371" s="123"/>
      <c r="O1371" s="123"/>
      <c r="P1371" s="123"/>
      <c r="Q1371" t="str">
        <f t="shared" si="21"/>
        <v/>
      </c>
    </row>
    <row r="1372" spans="3:17" hidden="1">
      <c r="C1372" s="123"/>
      <c r="D1372" s="123"/>
      <c r="E1372" s="124"/>
      <c r="F1372" s="123"/>
      <c r="G1372" s="130"/>
      <c r="H1372" s="124"/>
      <c r="I1372" s="243"/>
      <c r="J1372" s="123"/>
      <c r="K1372" s="123"/>
      <c r="L1372" s="246"/>
      <c r="M1372" s="123"/>
      <c r="N1372" s="123"/>
      <c r="O1372" s="123"/>
      <c r="P1372" s="123"/>
      <c r="Q1372" t="str">
        <f t="shared" si="21"/>
        <v/>
      </c>
    </row>
    <row r="1373" spans="3:17" hidden="1">
      <c r="C1373" s="123"/>
      <c r="D1373" s="123"/>
      <c r="E1373" s="124"/>
      <c r="F1373" s="123"/>
      <c r="G1373" s="130"/>
      <c r="H1373" s="124"/>
      <c r="I1373" s="243"/>
      <c r="J1373" s="123"/>
      <c r="K1373" s="123"/>
      <c r="L1373" s="246"/>
      <c r="M1373" s="123"/>
      <c r="N1373" s="123"/>
      <c r="O1373" s="123"/>
      <c r="P1373" s="123"/>
      <c r="Q1373" t="str">
        <f t="shared" si="21"/>
        <v/>
      </c>
    </row>
    <row r="1374" spans="3:17" hidden="1">
      <c r="C1374" s="123"/>
      <c r="D1374" s="123"/>
      <c r="E1374" s="124"/>
      <c r="F1374" s="123"/>
      <c r="G1374" s="130"/>
      <c r="H1374" s="124"/>
      <c r="I1374" s="243"/>
      <c r="J1374" s="123"/>
      <c r="K1374" s="123"/>
      <c r="L1374" s="246"/>
      <c r="M1374" s="123"/>
      <c r="N1374" s="123"/>
      <c r="O1374" s="123"/>
      <c r="P1374" s="123"/>
      <c r="Q1374" t="str">
        <f t="shared" si="21"/>
        <v/>
      </c>
    </row>
    <row r="1375" spans="3:17" hidden="1">
      <c r="C1375" s="123"/>
      <c r="D1375" s="123"/>
      <c r="E1375" s="124"/>
      <c r="F1375" s="123"/>
      <c r="G1375" s="130"/>
      <c r="H1375" s="124"/>
      <c r="I1375" s="243"/>
      <c r="J1375" s="123"/>
      <c r="K1375" s="123"/>
      <c r="L1375" s="246"/>
      <c r="M1375" s="123"/>
      <c r="N1375" s="123"/>
      <c r="O1375" s="123"/>
      <c r="P1375" s="123"/>
      <c r="Q1375" t="str">
        <f t="shared" si="21"/>
        <v/>
      </c>
    </row>
    <row r="1376" spans="3:17" hidden="1">
      <c r="C1376" s="123"/>
      <c r="D1376" s="123"/>
      <c r="E1376" s="124"/>
      <c r="F1376" s="123"/>
      <c r="G1376" s="130"/>
      <c r="H1376" s="124"/>
      <c r="I1376" s="243"/>
      <c r="J1376" s="123"/>
      <c r="K1376" s="123"/>
      <c r="L1376" s="246"/>
      <c r="M1376" s="123"/>
      <c r="N1376" s="123"/>
      <c r="O1376" s="123"/>
      <c r="P1376" s="123"/>
      <c r="Q1376" t="str">
        <f t="shared" si="21"/>
        <v/>
      </c>
    </row>
    <row r="1377" spans="3:17" hidden="1">
      <c r="C1377" s="123"/>
      <c r="D1377" s="123"/>
      <c r="E1377" s="124"/>
      <c r="F1377" s="123"/>
      <c r="G1377" s="130"/>
      <c r="H1377" s="124"/>
      <c r="I1377" s="243"/>
      <c r="J1377" s="123"/>
      <c r="K1377" s="123"/>
      <c r="L1377" s="246"/>
      <c r="M1377" s="123"/>
      <c r="N1377" s="123"/>
      <c r="O1377" s="123"/>
      <c r="P1377" s="123"/>
      <c r="Q1377" t="str">
        <f t="shared" si="21"/>
        <v/>
      </c>
    </row>
    <row r="1378" spans="3:17" hidden="1">
      <c r="C1378" s="123"/>
      <c r="D1378" s="123"/>
      <c r="E1378" s="124"/>
      <c r="F1378" s="123"/>
      <c r="G1378" s="130"/>
      <c r="H1378" s="124"/>
      <c r="I1378" s="243"/>
      <c r="J1378" s="123"/>
      <c r="K1378" s="123"/>
      <c r="L1378" s="246"/>
      <c r="M1378" s="123"/>
      <c r="N1378" s="123"/>
      <c r="O1378" s="123"/>
      <c r="P1378" s="123"/>
      <c r="Q1378" t="str">
        <f t="shared" si="21"/>
        <v/>
      </c>
    </row>
    <row r="1379" spans="3:17" hidden="1">
      <c r="C1379" s="123"/>
      <c r="D1379" s="123"/>
      <c r="E1379" s="124"/>
      <c r="F1379" s="123"/>
      <c r="G1379" s="130"/>
      <c r="H1379" s="124"/>
      <c r="I1379" s="243"/>
      <c r="J1379" s="123"/>
      <c r="K1379" s="123"/>
      <c r="L1379" s="246"/>
      <c r="M1379" s="123"/>
      <c r="N1379" s="123"/>
      <c r="O1379" s="123"/>
      <c r="P1379" s="123"/>
      <c r="Q1379" t="str">
        <f t="shared" si="21"/>
        <v/>
      </c>
    </row>
    <row r="1380" spans="3:17" hidden="1">
      <c r="C1380" s="123"/>
      <c r="D1380" s="123"/>
      <c r="E1380" s="124"/>
      <c r="F1380" s="123"/>
      <c r="G1380" s="130"/>
      <c r="H1380" s="124"/>
      <c r="I1380" s="243"/>
      <c r="J1380" s="123"/>
      <c r="K1380" s="123"/>
      <c r="L1380" s="246"/>
      <c r="M1380" s="123"/>
      <c r="N1380" s="123"/>
      <c r="O1380" s="123"/>
      <c r="P1380" s="123"/>
      <c r="Q1380" t="str">
        <f t="shared" si="21"/>
        <v/>
      </c>
    </row>
    <row r="1381" spans="3:17" hidden="1">
      <c r="C1381" s="123"/>
      <c r="D1381" s="123"/>
      <c r="E1381" s="124"/>
      <c r="F1381" s="123"/>
      <c r="G1381" s="130"/>
      <c r="H1381" s="124"/>
      <c r="I1381" s="243"/>
      <c r="J1381" s="123"/>
      <c r="K1381" s="123"/>
      <c r="L1381" s="246"/>
      <c r="M1381" s="123"/>
      <c r="N1381" s="123"/>
      <c r="O1381" s="123"/>
      <c r="P1381" s="123"/>
      <c r="Q1381" t="str">
        <f t="shared" si="21"/>
        <v/>
      </c>
    </row>
    <row r="1382" spans="3:17" hidden="1">
      <c r="C1382" s="123"/>
      <c r="D1382" s="123"/>
      <c r="E1382" s="124"/>
      <c r="F1382" s="123"/>
      <c r="G1382" s="130"/>
      <c r="H1382" s="124"/>
      <c r="I1382" s="243"/>
      <c r="J1382" s="123"/>
      <c r="K1382" s="123"/>
      <c r="L1382" s="246"/>
      <c r="M1382" s="123"/>
      <c r="N1382" s="123"/>
      <c r="O1382" s="123"/>
      <c r="P1382" s="123"/>
      <c r="Q1382" t="str">
        <f t="shared" si="21"/>
        <v/>
      </c>
    </row>
    <row r="1383" spans="3:17" hidden="1">
      <c r="C1383" s="123"/>
      <c r="D1383" s="123"/>
      <c r="E1383" s="124"/>
      <c r="F1383" s="123"/>
      <c r="G1383" s="130"/>
      <c r="H1383" s="124"/>
      <c r="I1383" s="243"/>
      <c r="J1383" s="123"/>
      <c r="K1383" s="123"/>
      <c r="L1383" s="246"/>
      <c r="M1383" s="123"/>
      <c r="N1383" s="123"/>
      <c r="O1383" s="123"/>
      <c r="P1383" s="123"/>
      <c r="Q1383" t="str">
        <f t="shared" si="21"/>
        <v/>
      </c>
    </row>
    <row r="1384" spans="3:17" hidden="1">
      <c r="C1384" s="123"/>
      <c r="D1384" s="123"/>
      <c r="E1384" s="124"/>
      <c r="F1384" s="123"/>
      <c r="G1384" s="130"/>
      <c r="H1384" s="124"/>
      <c r="I1384" s="243"/>
      <c r="J1384" s="123"/>
      <c r="K1384" s="123"/>
      <c r="L1384" s="246"/>
      <c r="M1384" s="123"/>
      <c r="N1384" s="123"/>
      <c r="O1384" s="123"/>
      <c r="P1384" s="123"/>
      <c r="Q1384" t="str">
        <f t="shared" si="21"/>
        <v/>
      </c>
    </row>
    <row r="1385" spans="3:17" hidden="1">
      <c r="C1385" s="123"/>
      <c r="D1385" s="123"/>
      <c r="E1385" s="124"/>
      <c r="F1385" s="123"/>
      <c r="G1385" s="130"/>
      <c r="H1385" s="124"/>
      <c r="I1385" s="243"/>
      <c r="J1385" s="123"/>
      <c r="K1385" s="123"/>
      <c r="L1385" s="246"/>
      <c r="M1385" s="123"/>
      <c r="N1385" s="123"/>
      <c r="O1385" s="123"/>
      <c r="P1385" s="123"/>
      <c r="Q1385" t="str">
        <f t="shared" si="21"/>
        <v/>
      </c>
    </row>
    <row r="1386" spans="3:17" hidden="1">
      <c r="C1386" s="123"/>
      <c r="D1386" s="123"/>
      <c r="E1386" s="124"/>
      <c r="F1386" s="123"/>
      <c r="G1386" s="130"/>
      <c r="H1386" s="124"/>
      <c r="I1386" s="243"/>
      <c r="J1386" s="123"/>
      <c r="K1386" s="123"/>
      <c r="L1386" s="246"/>
      <c r="M1386" s="123"/>
      <c r="N1386" s="123"/>
      <c r="O1386" s="123"/>
      <c r="P1386" s="123"/>
      <c r="Q1386" t="str">
        <f t="shared" si="21"/>
        <v/>
      </c>
    </row>
    <row r="1387" spans="3:17" hidden="1">
      <c r="C1387" s="123"/>
      <c r="D1387" s="123"/>
      <c r="E1387" s="124"/>
      <c r="F1387" s="123"/>
      <c r="G1387" s="130"/>
      <c r="H1387" s="124"/>
      <c r="I1387" s="243"/>
      <c r="J1387" s="123"/>
      <c r="K1387" s="123"/>
      <c r="L1387" s="246"/>
      <c r="M1387" s="123"/>
      <c r="N1387" s="123"/>
      <c r="O1387" s="123"/>
      <c r="P1387" s="123"/>
      <c r="Q1387" t="str">
        <f t="shared" si="21"/>
        <v/>
      </c>
    </row>
    <row r="1388" spans="3:17" hidden="1">
      <c r="C1388" s="123"/>
      <c r="D1388" s="123"/>
      <c r="E1388" s="124"/>
      <c r="F1388" s="123"/>
      <c r="G1388" s="130"/>
      <c r="H1388" s="124"/>
      <c r="I1388" s="243"/>
      <c r="J1388" s="123"/>
      <c r="K1388" s="123"/>
      <c r="L1388" s="246"/>
      <c r="M1388" s="123"/>
      <c r="N1388" s="123"/>
      <c r="O1388" s="123"/>
      <c r="P1388" s="123"/>
      <c r="Q1388" t="str">
        <f t="shared" si="21"/>
        <v/>
      </c>
    </row>
    <row r="1389" spans="3:17" hidden="1">
      <c r="C1389" s="123"/>
      <c r="D1389" s="123"/>
      <c r="E1389" s="124"/>
      <c r="F1389" s="123"/>
      <c r="G1389" s="130"/>
      <c r="H1389" s="124"/>
      <c r="I1389" s="243"/>
      <c r="J1389" s="123"/>
      <c r="K1389" s="123"/>
      <c r="L1389" s="246"/>
      <c r="M1389" s="123"/>
      <c r="N1389" s="123"/>
      <c r="O1389" s="123"/>
      <c r="P1389" s="123"/>
      <c r="Q1389" t="str">
        <f t="shared" si="21"/>
        <v/>
      </c>
    </row>
    <row r="1390" spans="3:17" hidden="1">
      <c r="C1390" s="123"/>
      <c r="D1390" s="123"/>
      <c r="E1390" s="124"/>
      <c r="F1390" s="123"/>
      <c r="G1390" s="130"/>
      <c r="H1390" s="124"/>
      <c r="I1390" s="243"/>
      <c r="J1390" s="123"/>
      <c r="K1390" s="123"/>
      <c r="L1390" s="246"/>
      <c r="M1390" s="123"/>
      <c r="N1390" s="123"/>
      <c r="O1390" s="123"/>
      <c r="P1390" s="123"/>
      <c r="Q1390" t="str">
        <f t="shared" si="21"/>
        <v/>
      </c>
    </row>
    <row r="1391" spans="3:17" hidden="1">
      <c r="C1391" s="123"/>
      <c r="D1391" s="123"/>
      <c r="E1391" s="124"/>
      <c r="F1391" s="123"/>
      <c r="G1391" s="130"/>
      <c r="H1391" s="124"/>
      <c r="I1391" s="243"/>
      <c r="J1391" s="123"/>
      <c r="K1391" s="123"/>
      <c r="L1391" s="246"/>
      <c r="M1391" s="123"/>
      <c r="N1391" s="123"/>
      <c r="O1391" s="123"/>
      <c r="P1391" s="123"/>
      <c r="Q1391" t="str">
        <f t="shared" si="21"/>
        <v/>
      </c>
    </row>
    <row r="1392" spans="3:17" hidden="1">
      <c r="C1392" s="123"/>
      <c r="D1392" s="123"/>
      <c r="E1392" s="124"/>
      <c r="F1392" s="123"/>
      <c r="G1392" s="130"/>
      <c r="H1392" s="124"/>
      <c r="I1392" s="243"/>
      <c r="J1392" s="123"/>
      <c r="K1392" s="123"/>
      <c r="L1392" s="246"/>
      <c r="M1392" s="123"/>
      <c r="N1392" s="123"/>
      <c r="O1392" s="123"/>
      <c r="P1392" s="123"/>
      <c r="Q1392" t="str">
        <f t="shared" si="21"/>
        <v/>
      </c>
    </row>
    <row r="1393" spans="3:17" hidden="1">
      <c r="C1393" s="123"/>
      <c r="D1393" s="123"/>
      <c r="E1393" s="124"/>
      <c r="F1393" s="123"/>
      <c r="G1393" s="130"/>
      <c r="H1393" s="124"/>
      <c r="I1393" s="243"/>
      <c r="J1393" s="123"/>
      <c r="K1393" s="123"/>
      <c r="L1393" s="246"/>
      <c r="M1393" s="123"/>
      <c r="N1393" s="123"/>
      <c r="O1393" s="123"/>
      <c r="P1393" s="123"/>
      <c r="Q1393" t="str">
        <f t="shared" si="21"/>
        <v/>
      </c>
    </row>
    <row r="1394" spans="3:17" hidden="1">
      <c r="C1394" s="123"/>
      <c r="D1394" s="123"/>
      <c r="E1394" s="124"/>
      <c r="F1394" s="123"/>
      <c r="G1394" s="130"/>
      <c r="H1394" s="124"/>
      <c r="I1394" s="243"/>
      <c r="J1394" s="123"/>
      <c r="K1394" s="123"/>
      <c r="L1394" s="246"/>
      <c r="M1394" s="123"/>
      <c r="N1394" s="123"/>
      <c r="O1394" s="123"/>
      <c r="P1394" s="123"/>
      <c r="Q1394" t="str">
        <f t="shared" si="21"/>
        <v/>
      </c>
    </row>
    <row r="1395" spans="3:17" hidden="1">
      <c r="C1395" s="123"/>
      <c r="D1395" s="123"/>
      <c r="E1395" s="124"/>
      <c r="F1395" s="123"/>
      <c r="G1395" s="130"/>
      <c r="H1395" s="124"/>
      <c r="I1395" s="243"/>
      <c r="J1395" s="123"/>
      <c r="K1395" s="123"/>
      <c r="L1395" s="246"/>
      <c r="M1395" s="123"/>
      <c r="N1395" s="123"/>
      <c r="O1395" s="123"/>
      <c r="P1395" s="123"/>
      <c r="Q1395" t="str">
        <f t="shared" si="21"/>
        <v/>
      </c>
    </row>
    <row r="1396" spans="3:17" hidden="1">
      <c r="C1396" s="123"/>
      <c r="D1396" s="123"/>
      <c r="E1396" s="124"/>
      <c r="F1396" s="123"/>
      <c r="G1396" s="130"/>
      <c r="H1396" s="124"/>
      <c r="I1396" s="243"/>
      <c r="J1396" s="123"/>
      <c r="K1396" s="123"/>
      <c r="L1396" s="246"/>
      <c r="M1396" s="123"/>
      <c r="N1396" s="123"/>
      <c r="O1396" s="123"/>
      <c r="P1396" s="123"/>
      <c r="Q1396" t="str">
        <f t="shared" si="21"/>
        <v/>
      </c>
    </row>
    <row r="1397" spans="3:17" hidden="1">
      <c r="C1397" s="123"/>
      <c r="D1397" s="123"/>
      <c r="E1397" s="124"/>
      <c r="F1397" s="123"/>
      <c r="G1397" s="130"/>
      <c r="H1397" s="124"/>
      <c r="I1397" s="243"/>
      <c r="J1397" s="123"/>
      <c r="K1397" s="123"/>
      <c r="L1397" s="246"/>
      <c r="M1397" s="123"/>
      <c r="N1397" s="123"/>
      <c r="O1397" s="123"/>
      <c r="P1397" s="123"/>
      <c r="Q1397" t="str">
        <f t="shared" si="21"/>
        <v/>
      </c>
    </row>
    <row r="1398" spans="3:17" hidden="1">
      <c r="C1398" s="123"/>
      <c r="D1398" s="123"/>
      <c r="E1398" s="124"/>
      <c r="F1398" s="123"/>
      <c r="G1398" s="130"/>
      <c r="H1398" s="124"/>
      <c r="I1398" s="243"/>
      <c r="J1398" s="123"/>
      <c r="K1398" s="123"/>
      <c r="L1398" s="246"/>
      <c r="M1398" s="123"/>
      <c r="N1398" s="123"/>
      <c r="O1398" s="123"/>
      <c r="P1398" s="123"/>
      <c r="Q1398" t="str">
        <f t="shared" si="21"/>
        <v/>
      </c>
    </row>
    <row r="1399" spans="3:17" hidden="1">
      <c r="C1399" s="123"/>
      <c r="D1399" s="123"/>
      <c r="E1399" s="124"/>
      <c r="F1399" s="123"/>
      <c r="G1399" s="130"/>
      <c r="H1399" s="124"/>
      <c r="I1399" s="243"/>
      <c r="J1399" s="123"/>
      <c r="K1399" s="123"/>
      <c r="L1399" s="246"/>
      <c r="M1399" s="123"/>
      <c r="N1399" s="123"/>
      <c r="O1399" s="123"/>
      <c r="P1399" s="123"/>
      <c r="Q1399" t="str">
        <f t="shared" si="21"/>
        <v/>
      </c>
    </row>
    <row r="1400" spans="3:17" hidden="1">
      <c r="C1400" s="123"/>
      <c r="D1400" s="123"/>
      <c r="E1400" s="124"/>
      <c r="F1400" s="123"/>
      <c r="G1400" s="130"/>
      <c r="H1400" s="124"/>
      <c r="I1400" s="243"/>
      <c r="J1400" s="123"/>
      <c r="K1400" s="123"/>
      <c r="L1400" s="246"/>
      <c r="M1400" s="123"/>
      <c r="N1400" s="123"/>
      <c r="O1400" s="123"/>
      <c r="P1400" s="123"/>
      <c r="Q1400" t="str">
        <f t="shared" si="21"/>
        <v/>
      </c>
    </row>
    <row r="1401" spans="3:17" hidden="1">
      <c r="C1401" s="123"/>
      <c r="D1401" s="123"/>
      <c r="E1401" s="124"/>
      <c r="F1401" s="123"/>
      <c r="G1401" s="130"/>
      <c r="H1401" s="124"/>
      <c r="I1401" s="243"/>
      <c r="J1401" s="123"/>
      <c r="K1401" s="123"/>
      <c r="L1401" s="246"/>
      <c r="M1401" s="123"/>
      <c r="N1401" s="123"/>
      <c r="O1401" s="123"/>
      <c r="P1401" s="123"/>
      <c r="Q1401" t="str">
        <f t="shared" si="21"/>
        <v/>
      </c>
    </row>
    <row r="1402" spans="3:17" hidden="1">
      <c r="C1402" s="123"/>
      <c r="D1402" s="123"/>
      <c r="E1402" s="124"/>
      <c r="F1402" s="123"/>
      <c r="G1402" s="130"/>
      <c r="H1402" s="124"/>
      <c r="I1402" s="243"/>
      <c r="J1402" s="123"/>
      <c r="K1402" s="123"/>
      <c r="L1402" s="246"/>
      <c r="M1402" s="123"/>
      <c r="N1402" s="123"/>
      <c r="O1402" s="123"/>
      <c r="P1402" s="123"/>
      <c r="Q1402" t="str">
        <f t="shared" si="21"/>
        <v/>
      </c>
    </row>
    <row r="1403" spans="3:17" hidden="1">
      <c r="C1403" s="123"/>
      <c r="D1403" s="123"/>
      <c r="E1403" s="124"/>
      <c r="F1403" s="123"/>
      <c r="G1403" s="130"/>
      <c r="H1403" s="124"/>
      <c r="I1403" s="243"/>
      <c r="J1403" s="123"/>
      <c r="K1403" s="123"/>
      <c r="L1403" s="246"/>
      <c r="M1403" s="123"/>
      <c r="N1403" s="123"/>
      <c r="O1403" s="123"/>
      <c r="P1403" s="123"/>
      <c r="Q1403" t="str">
        <f t="shared" si="21"/>
        <v/>
      </c>
    </row>
    <row r="1404" spans="3:17" hidden="1">
      <c r="C1404" s="123"/>
      <c r="D1404" s="123"/>
      <c r="E1404" s="124"/>
      <c r="F1404" s="123"/>
      <c r="G1404" s="130"/>
      <c r="H1404" s="124"/>
      <c r="I1404" s="243"/>
      <c r="J1404" s="123"/>
      <c r="K1404" s="123"/>
      <c r="L1404" s="246"/>
      <c r="M1404" s="123"/>
      <c r="N1404" s="123"/>
      <c r="O1404" s="123"/>
      <c r="P1404" s="123"/>
      <c r="Q1404" t="str">
        <f t="shared" si="21"/>
        <v/>
      </c>
    </row>
    <row r="1405" spans="3:17" hidden="1">
      <c r="C1405" s="123"/>
      <c r="D1405" s="123"/>
      <c r="E1405" s="124"/>
      <c r="F1405" s="123"/>
      <c r="G1405" s="130"/>
      <c r="H1405" s="124"/>
      <c r="I1405" s="243"/>
      <c r="J1405" s="123"/>
      <c r="K1405" s="123"/>
      <c r="L1405" s="246"/>
      <c r="M1405" s="123"/>
      <c r="N1405" s="123"/>
      <c r="O1405" s="123"/>
      <c r="P1405" s="123"/>
      <c r="Q1405" t="str">
        <f t="shared" si="21"/>
        <v/>
      </c>
    </row>
    <row r="1406" spans="3:17" hidden="1">
      <c r="C1406" s="123"/>
      <c r="D1406" s="123"/>
      <c r="E1406" s="124"/>
      <c r="F1406" s="123"/>
      <c r="G1406" s="130"/>
      <c r="H1406" s="124"/>
      <c r="I1406" s="243"/>
      <c r="J1406" s="123"/>
      <c r="K1406" s="123"/>
      <c r="L1406" s="246"/>
      <c r="M1406" s="123"/>
      <c r="N1406" s="123"/>
      <c r="O1406" s="123"/>
      <c r="P1406" s="123"/>
      <c r="Q1406" t="str">
        <f t="shared" si="21"/>
        <v/>
      </c>
    </row>
    <row r="1407" spans="3:17" hidden="1">
      <c r="C1407" s="123"/>
      <c r="D1407" s="123"/>
      <c r="E1407" s="124"/>
      <c r="F1407" s="123"/>
      <c r="G1407" s="130"/>
      <c r="H1407" s="124"/>
      <c r="I1407" s="243"/>
      <c r="J1407" s="123"/>
      <c r="K1407" s="123"/>
      <c r="L1407" s="246"/>
      <c r="M1407" s="123"/>
      <c r="N1407" s="123"/>
      <c r="O1407" s="123"/>
      <c r="P1407" s="123"/>
      <c r="Q1407" t="str">
        <f t="shared" si="21"/>
        <v/>
      </c>
    </row>
    <row r="1408" spans="3:17" hidden="1">
      <c r="C1408" s="123"/>
      <c r="D1408" s="123"/>
      <c r="E1408" s="124"/>
      <c r="F1408" s="123"/>
      <c r="G1408" s="130"/>
      <c r="H1408" s="124"/>
      <c r="I1408" s="243"/>
      <c r="J1408" s="123"/>
      <c r="K1408" s="123"/>
      <c r="L1408" s="246"/>
      <c r="M1408" s="123"/>
      <c r="N1408" s="123"/>
      <c r="O1408" s="123"/>
      <c r="P1408" s="123"/>
      <c r="Q1408" t="str">
        <f t="shared" si="21"/>
        <v/>
      </c>
    </row>
    <row r="1409" spans="3:17" hidden="1">
      <c r="C1409" s="123"/>
      <c r="D1409" s="123"/>
      <c r="E1409" s="124"/>
      <c r="F1409" s="123"/>
      <c r="G1409" s="130"/>
      <c r="H1409" s="124"/>
      <c r="I1409" s="243"/>
      <c r="J1409" s="123"/>
      <c r="K1409" s="123"/>
      <c r="L1409" s="246"/>
      <c r="M1409" s="123"/>
      <c r="N1409" s="123"/>
      <c r="O1409" s="123"/>
      <c r="P1409" s="123"/>
      <c r="Q1409" t="str">
        <f t="shared" si="21"/>
        <v/>
      </c>
    </row>
    <row r="1410" spans="3:17" hidden="1">
      <c r="C1410" s="123"/>
      <c r="D1410" s="123"/>
      <c r="E1410" s="124"/>
      <c r="F1410" s="123"/>
      <c r="G1410" s="130"/>
      <c r="H1410" s="124"/>
      <c r="I1410" s="243"/>
      <c r="J1410" s="123"/>
      <c r="K1410" s="123"/>
      <c r="L1410" s="246"/>
      <c r="M1410" s="123"/>
      <c r="N1410" s="123"/>
      <c r="O1410" s="123"/>
      <c r="P1410" s="123"/>
      <c r="Q1410" t="str">
        <f t="shared" si="21"/>
        <v/>
      </c>
    </row>
    <row r="1411" spans="3:17" hidden="1">
      <c r="C1411" s="123"/>
      <c r="D1411" s="123"/>
      <c r="E1411" s="124"/>
      <c r="F1411" s="123"/>
      <c r="G1411" s="130"/>
      <c r="H1411" s="124"/>
      <c r="I1411" s="243"/>
      <c r="J1411" s="123"/>
      <c r="K1411" s="123"/>
      <c r="L1411" s="246"/>
      <c r="M1411" s="123"/>
      <c r="N1411" s="123"/>
      <c r="O1411" s="123"/>
      <c r="P1411" s="123"/>
      <c r="Q1411" t="str">
        <f t="shared" si="21"/>
        <v/>
      </c>
    </row>
    <row r="1412" spans="3:17" hidden="1">
      <c r="C1412" s="123"/>
      <c r="D1412" s="123"/>
      <c r="E1412" s="124"/>
      <c r="F1412" s="123"/>
      <c r="G1412" s="130"/>
      <c r="H1412" s="124"/>
      <c r="I1412" s="243"/>
      <c r="J1412" s="123"/>
      <c r="K1412" s="123"/>
      <c r="L1412" s="246"/>
      <c r="M1412" s="123"/>
      <c r="N1412" s="123"/>
      <c r="O1412" s="123"/>
      <c r="P1412" s="123"/>
      <c r="Q1412" t="str">
        <f t="shared" si="21"/>
        <v/>
      </c>
    </row>
    <row r="1413" spans="3:17" hidden="1">
      <c r="C1413" s="123"/>
      <c r="D1413" s="123"/>
      <c r="E1413" s="124"/>
      <c r="F1413" s="123"/>
      <c r="G1413" s="130"/>
      <c r="H1413" s="124"/>
      <c r="I1413" s="243"/>
      <c r="J1413" s="123"/>
      <c r="K1413" s="123"/>
      <c r="L1413" s="246"/>
      <c r="M1413" s="123"/>
      <c r="N1413" s="123"/>
      <c r="O1413" s="123"/>
      <c r="P1413" s="123"/>
      <c r="Q1413" t="str">
        <f t="shared" si="21"/>
        <v/>
      </c>
    </row>
    <row r="1414" spans="3:17" hidden="1">
      <c r="C1414" s="123"/>
      <c r="D1414" s="123"/>
      <c r="E1414" s="124"/>
      <c r="F1414" s="123"/>
      <c r="G1414" s="130"/>
      <c r="H1414" s="124"/>
      <c r="I1414" s="243"/>
      <c r="J1414" s="123"/>
      <c r="K1414" s="123"/>
      <c r="L1414" s="246"/>
      <c r="M1414" s="123"/>
      <c r="N1414" s="123"/>
      <c r="O1414" s="123"/>
      <c r="P1414" s="123"/>
      <c r="Q1414" t="str">
        <f t="shared" si="21"/>
        <v/>
      </c>
    </row>
    <row r="1415" spans="3:17" hidden="1">
      <c r="C1415" s="123"/>
      <c r="D1415" s="123"/>
      <c r="E1415" s="124"/>
      <c r="F1415" s="123"/>
      <c r="G1415" s="130"/>
      <c r="H1415" s="124"/>
      <c r="I1415" s="243"/>
      <c r="J1415" s="123"/>
      <c r="K1415" s="123"/>
      <c r="L1415" s="246"/>
      <c r="M1415" s="123"/>
      <c r="N1415" s="123"/>
      <c r="O1415" s="123"/>
      <c r="P1415" s="123"/>
      <c r="Q1415" t="str">
        <f t="shared" ref="Q1415:Q1478" si="22">IF(D1415="","","x")</f>
        <v/>
      </c>
    </row>
    <row r="1416" spans="3:17" hidden="1">
      <c r="C1416" s="123"/>
      <c r="D1416" s="123"/>
      <c r="E1416" s="124"/>
      <c r="F1416" s="123"/>
      <c r="G1416" s="130"/>
      <c r="H1416" s="124"/>
      <c r="I1416" s="243"/>
      <c r="J1416" s="123"/>
      <c r="K1416" s="123"/>
      <c r="L1416" s="246"/>
      <c r="M1416" s="123"/>
      <c r="N1416" s="123"/>
      <c r="O1416" s="123"/>
      <c r="P1416" s="123"/>
      <c r="Q1416" t="str">
        <f t="shared" si="22"/>
        <v/>
      </c>
    </row>
    <row r="1417" spans="3:17" hidden="1">
      <c r="C1417" s="123"/>
      <c r="D1417" s="123"/>
      <c r="E1417" s="124"/>
      <c r="F1417" s="123"/>
      <c r="G1417" s="130"/>
      <c r="H1417" s="124"/>
      <c r="I1417" s="243"/>
      <c r="J1417" s="123"/>
      <c r="K1417" s="123"/>
      <c r="L1417" s="246"/>
      <c r="M1417" s="123"/>
      <c r="N1417" s="123"/>
      <c r="O1417" s="123"/>
      <c r="P1417" s="123"/>
      <c r="Q1417" t="str">
        <f t="shared" si="22"/>
        <v/>
      </c>
    </row>
    <row r="1418" spans="3:17" hidden="1">
      <c r="C1418" s="123"/>
      <c r="D1418" s="123"/>
      <c r="E1418" s="124"/>
      <c r="F1418" s="123"/>
      <c r="G1418" s="130"/>
      <c r="H1418" s="124"/>
      <c r="I1418" s="243"/>
      <c r="J1418" s="123"/>
      <c r="K1418" s="123"/>
      <c r="L1418" s="246"/>
      <c r="M1418" s="123"/>
      <c r="N1418" s="123"/>
      <c r="O1418" s="123"/>
      <c r="P1418" s="123"/>
      <c r="Q1418" t="str">
        <f t="shared" si="22"/>
        <v/>
      </c>
    </row>
    <row r="1419" spans="3:17" hidden="1">
      <c r="C1419" s="123"/>
      <c r="D1419" s="123"/>
      <c r="E1419" s="124"/>
      <c r="F1419" s="123"/>
      <c r="G1419" s="130"/>
      <c r="H1419" s="124"/>
      <c r="I1419" s="243"/>
      <c r="J1419" s="123"/>
      <c r="K1419" s="123"/>
      <c r="L1419" s="246"/>
      <c r="M1419" s="123"/>
      <c r="N1419" s="123"/>
      <c r="O1419" s="123"/>
      <c r="P1419" s="123"/>
      <c r="Q1419" t="str">
        <f t="shared" si="22"/>
        <v/>
      </c>
    </row>
    <row r="1420" spans="3:17" hidden="1">
      <c r="C1420" s="123"/>
      <c r="D1420" s="123"/>
      <c r="E1420" s="124"/>
      <c r="F1420" s="123"/>
      <c r="G1420" s="130"/>
      <c r="H1420" s="124"/>
      <c r="I1420" s="243"/>
      <c r="J1420" s="123"/>
      <c r="K1420" s="123"/>
      <c r="L1420" s="246"/>
      <c r="M1420" s="123"/>
      <c r="N1420" s="123"/>
      <c r="O1420" s="123"/>
      <c r="P1420" s="123"/>
      <c r="Q1420" t="str">
        <f t="shared" si="22"/>
        <v/>
      </c>
    </row>
    <row r="1421" spans="3:17" hidden="1">
      <c r="C1421" s="123"/>
      <c r="D1421" s="123"/>
      <c r="E1421" s="124"/>
      <c r="F1421" s="123"/>
      <c r="G1421" s="130"/>
      <c r="H1421" s="124"/>
      <c r="I1421" s="243"/>
      <c r="J1421" s="123"/>
      <c r="K1421" s="123"/>
      <c r="L1421" s="246"/>
      <c r="M1421" s="123"/>
      <c r="N1421" s="123"/>
      <c r="O1421" s="123"/>
      <c r="P1421" s="123"/>
      <c r="Q1421" t="str">
        <f t="shared" si="22"/>
        <v/>
      </c>
    </row>
    <row r="1422" spans="3:17" hidden="1">
      <c r="C1422" s="123"/>
      <c r="D1422" s="123"/>
      <c r="E1422" s="124"/>
      <c r="F1422" s="123"/>
      <c r="G1422" s="130"/>
      <c r="H1422" s="124"/>
      <c r="I1422" s="243"/>
      <c r="J1422" s="123"/>
      <c r="K1422" s="123"/>
      <c r="L1422" s="246"/>
      <c r="M1422" s="123"/>
      <c r="N1422" s="123"/>
      <c r="O1422" s="123"/>
      <c r="P1422" s="123"/>
      <c r="Q1422" t="str">
        <f t="shared" si="22"/>
        <v/>
      </c>
    </row>
    <row r="1423" spans="3:17" hidden="1">
      <c r="C1423" s="123"/>
      <c r="D1423" s="123"/>
      <c r="E1423" s="124"/>
      <c r="F1423" s="123"/>
      <c r="G1423" s="130"/>
      <c r="H1423" s="124"/>
      <c r="I1423" s="243"/>
      <c r="J1423" s="123"/>
      <c r="K1423" s="123"/>
      <c r="L1423" s="246"/>
      <c r="M1423" s="123"/>
      <c r="N1423" s="123"/>
      <c r="O1423" s="123"/>
      <c r="P1423" s="123"/>
      <c r="Q1423" t="str">
        <f t="shared" si="22"/>
        <v/>
      </c>
    </row>
    <row r="1424" spans="3:17" hidden="1">
      <c r="C1424" s="123"/>
      <c r="D1424" s="123"/>
      <c r="E1424" s="124"/>
      <c r="F1424" s="123"/>
      <c r="G1424" s="130"/>
      <c r="H1424" s="124"/>
      <c r="I1424" s="243"/>
      <c r="J1424" s="123"/>
      <c r="K1424" s="123"/>
      <c r="L1424" s="246"/>
      <c r="M1424" s="123"/>
      <c r="N1424" s="123"/>
      <c r="O1424" s="123"/>
      <c r="P1424" s="123"/>
      <c r="Q1424" t="str">
        <f t="shared" si="22"/>
        <v/>
      </c>
    </row>
    <row r="1425" spans="3:17" hidden="1">
      <c r="C1425" s="123"/>
      <c r="D1425" s="123"/>
      <c r="E1425" s="124"/>
      <c r="F1425" s="123"/>
      <c r="G1425" s="130"/>
      <c r="H1425" s="124"/>
      <c r="I1425" s="243"/>
      <c r="J1425" s="123"/>
      <c r="K1425" s="123"/>
      <c r="L1425" s="246"/>
      <c r="M1425" s="123"/>
      <c r="N1425" s="123"/>
      <c r="O1425" s="123"/>
      <c r="P1425" s="123"/>
      <c r="Q1425" t="str">
        <f t="shared" si="22"/>
        <v/>
      </c>
    </row>
    <row r="1426" spans="3:17" hidden="1">
      <c r="C1426" s="123"/>
      <c r="D1426" s="123"/>
      <c r="E1426" s="124"/>
      <c r="F1426" s="123"/>
      <c r="G1426" s="130"/>
      <c r="H1426" s="124"/>
      <c r="I1426" s="243"/>
      <c r="J1426" s="123"/>
      <c r="K1426" s="123"/>
      <c r="L1426" s="246"/>
      <c r="M1426" s="123"/>
      <c r="N1426" s="123"/>
      <c r="O1426" s="123"/>
      <c r="P1426" s="123"/>
      <c r="Q1426" t="str">
        <f t="shared" si="22"/>
        <v/>
      </c>
    </row>
    <row r="1427" spans="3:17" hidden="1">
      <c r="C1427" s="123"/>
      <c r="D1427" s="123"/>
      <c r="E1427" s="124"/>
      <c r="F1427" s="123"/>
      <c r="G1427" s="130"/>
      <c r="H1427" s="124"/>
      <c r="I1427" s="243"/>
      <c r="J1427" s="123"/>
      <c r="K1427" s="123"/>
      <c r="L1427" s="246"/>
      <c r="M1427" s="123"/>
      <c r="N1427" s="123"/>
      <c r="O1427" s="123"/>
      <c r="P1427" s="123"/>
      <c r="Q1427" t="str">
        <f t="shared" si="22"/>
        <v/>
      </c>
    </row>
    <row r="1428" spans="3:17" hidden="1">
      <c r="C1428" s="123"/>
      <c r="D1428" s="123"/>
      <c r="E1428" s="124"/>
      <c r="F1428" s="123"/>
      <c r="G1428" s="130"/>
      <c r="H1428" s="124"/>
      <c r="I1428" s="243"/>
      <c r="J1428" s="123"/>
      <c r="K1428" s="123"/>
      <c r="L1428" s="246"/>
      <c r="M1428" s="123"/>
      <c r="N1428" s="123"/>
      <c r="O1428" s="123"/>
      <c r="P1428" s="123"/>
      <c r="Q1428" t="str">
        <f t="shared" si="22"/>
        <v/>
      </c>
    </row>
    <row r="1429" spans="3:17" hidden="1">
      <c r="C1429" s="123"/>
      <c r="D1429" s="123"/>
      <c r="E1429" s="124"/>
      <c r="F1429" s="123"/>
      <c r="G1429" s="130"/>
      <c r="H1429" s="124"/>
      <c r="I1429" s="243"/>
      <c r="J1429" s="123"/>
      <c r="K1429" s="123"/>
      <c r="L1429" s="246"/>
      <c r="M1429" s="123"/>
      <c r="N1429" s="123"/>
      <c r="O1429" s="123"/>
      <c r="P1429" s="123"/>
      <c r="Q1429" t="str">
        <f t="shared" si="22"/>
        <v/>
      </c>
    </row>
    <row r="1430" spans="3:17" hidden="1">
      <c r="C1430" s="123"/>
      <c r="D1430" s="123"/>
      <c r="E1430" s="124"/>
      <c r="F1430" s="123"/>
      <c r="G1430" s="130"/>
      <c r="H1430" s="124"/>
      <c r="I1430" s="243"/>
      <c r="J1430" s="123"/>
      <c r="K1430" s="123"/>
      <c r="L1430" s="246"/>
      <c r="M1430" s="123"/>
      <c r="N1430" s="123"/>
      <c r="O1430" s="123"/>
      <c r="P1430" s="123"/>
      <c r="Q1430" t="str">
        <f t="shared" si="22"/>
        <v/>
      </c>
    </row>
    <row r="1431" spans="3:17" hidden="1">
      <c r="C1431" s="123"/>
      <c r="D1431" s="123"/>
      <c r="E1431" s="124"/>
      <c r="F1431" s="123"/>
      <c r="G1431" s="130"/>
      <c r="H1431" s="124"/>
      <c r="I1431" s="243"/>
      <c r="J1431" s="123"/>
      <c r="K1431" s="123"/>
      <c r="L1431" s="246"/>
      <c r="M1431" s="123"/>
      <c r="N1431" s="123"/>
      <c r="O1431" s="123"/>
      <c r="P1431" s="123"/>
      <c r="Q1431" t="str">
        <f t="shared" si="22"/>
        <v/>
      </c>
    </row>
    <row r="1432" spans="3:17" hidden="1">
      <c r="C1432" s="123"/>
      <c r="D1432" s="123"/>
      <c r="E1432" s="124"/>
      <c r="F1432" s="123"/>
      <c r="G1432" s="130"/>
      <c r="H1432" s="124"/>
      <c r="I1432" s="243"/>
      <c r="J1432" s="123"/>
      <c r="K1432" s="123"/>
      <c r="L1432" s="246"/>
      <c r="M1432" s="123"/>
      <c r="N1432" s="123"/>
      <c r="O1432" s="123"/>
      <c r="P1432" s="123"/>
      <c r="Q1432" t="str">
        <f t="shared" si="22"/>
        <v/>
      </c>
    </row>
    <row r="1433" spans="3:17" hidden="1">
      <c r="C1433" s="123"/>
      <c r="D1433" s="123"/>
      <c r="E1433" s="124"/>
      <c r="F1433" s="123"/>
      <c r="G1433" s="130"/>
      <c r="H1433" s="124"/>
      <c r="I1433" s="243"/>
      <c r="J1433" s="123"/>
      <c r="K1433" s="123"/>
      <c r="L1433" s="246"/>
      <c r="M1433" s="123"/>
      <c r="N1433" s="123"/>
      <c r="O1433" s="123"/>
      <c r="P1433" s="123"/>
      <c r="Q1433" t="str">
        <f t="shared" si="22"/>
        <v/>
      </c>
    </row>
    <row r="1434" spans="3:17" hidden="1">
      <c r="C1434" s="123"/>
      <c r="D1434" s="123"/>
      <c r="E1434" s="124"/>
      <c r="F1434" s="123"/>
      <c r="G1434" s="130"/>
      <c r="H1434" s="124"/>
      <c r="I1434" s="243"/>
      <c r="J1434" s="123"/>
      <c r="K1434" s="123"/>
      <c r="L1434" s="246"/>
      <c r="M1434" s="123"/>
      <c r="N1434" s="123"/>
      <c r="O1434" s="123"/>
      <c r="P1434" s="123"/>
      <c r="Q1434" t="str">
        <f t="shared" si="22"/>
        <v/>
      </c>
    </row>
    <row r="1435" spans="3:17" hidden="1">
      <c r="C1435" s="123"/>
      <c r="D1435" s="123"/>
      <c r="E1435" s="124"/>
      <c r="F1435" s="123"/>
      <c r="G1435" s="130"/>
      <c r="H1435" s="124"/>
      <c r="I1435" s="243"/>
      <c r="J1435" s="123"/>
      <c r="K1435" s="123"/>
      <c r="L1435" s="246"/>
      <c r="M1435" s="123"/>
      <c r="N1435" s="123"/>
      <c r="O1435" s="123"/>
      <c r="P1435" s="123"/>
      <c r="Q1435" t="str">
        <f t="shared" si="22"/>
        <v/>
      </c>
    </row>
    <row r="1436" spans="3:17" hidden="1">
      <c r="C1436" s="123"/>
      <c r="D1436" s="123"/>
      <c r="E1436" s="124"/>
      <c r="F1436" s="123"/>
      <c r="G1436" s="130"/>
      <c r="H1436" s="124"/>
      <c r="I1436" s="243"/>
      <c r="J1436" s="123"/>
      <c r="K1436" s="123"/>
      <c r="L1436" s="246"/>
      <c r="M1436" s="123"/>
      <c r="N1436" s="123"/>
      <c r="O1436" s="123"/>
      <c r="P1436" s="123"/>
      <c r="Q1436" t="str">
        <f t="shared" si="22"/>
        <v/>
      </c>
    </row>
    <row r="1437" spans="3:17" hidden="1">
      <c r="C1437" s="123"/>
      <c r="D1437" s="123"/>
      <c r="E1437" s="124"/>
      <c r="F1437" s="123"/>
      <c r="G1437" s="130"/>
      <c r="H1437" s="124"/>
      <c r="I1437" s="243"/>
      <c r="J1437" s="123"/>
      <c r="K1437" s="123"/>
      <c r="L1437" s="246"/>
      <c r="M1437" s="123"/>
      <c r="N1437" s="123"/>
      <c r="O1437" s="123"/>
      <c r="P1437" s="123"/>
      <c r="Q1437" t="str">
        <f t="shared" si="22"/>
        <v/>
      </c>
    </row>
    <row r="1438" spans="3:17" hidden="1">
      <c r="C1438" s="123"/>
      <c r="D1438" s="123"/>
      <c r="E1438" s="124"/>
      <c r="F1438" s="123"/>
      <c r="G1438" s="130"/>
      <c r="H1438" s="124"/>
      <c r="I1438" s="243"/>
      <c r="J1438" s="123"/>
      <c r="K1438" s="123"/>
      <c r="L1438" s="246"/>
      <c r="M1438" s="123"/>
      <c r="N1438" s="123"/>
      <c r="O1438" s="123"/>
      <c r="P1438" s="123"/>
      <c r="Q1438" t="str">
        <f t="shared" si="22"/>
        <v/>
      </c>
    </row>
    <row r="1439" spans="3:17" hidden="1">
      <c r="C1439" s="123"/>
      <c r="D1439" s="123"/>
      <c r="E1439" s="124"/>
      <c r="F1439" s="123"/>
      <c r="G1439" s="130"/>
      <c r="H1439" s="124"/>
      <c r="I1439" s="243"/>
      <c r="J1439" s="123"/>
      <c r="K1439" s="123"/>
      <c r="L1439" s="246"/>
      <c r="M1439" s="123"/>
      <c r="N1439" s="123"/>
      <c r="O1439" s="123"/>
      <c r="P1439" s="123"/>
      <c r="Q1439" t="str">
        <f t="shared" si="22"/>
        <v/>
      </c>
    </row>
    <row r="1440" spans="3:17" hidden="1">
      <c r="C1440" s="123"/>
      <c r="D1440" s="123"/>
      <c r="E1440" s="124"/>
      <c r="F1440" s="123"/>
      <c r="G1440" s="130"/>
      <c r="H1440" s="124"/>
      <c r="I1440" s="243"/>
      <c r="J1440" s="123"/>
      <c r="K1440" s="123"/>
      <c r="L1440" s="246"/>
      <c r="M1440" s="123"/>
      <c r="N1440" s="123"/>
      <c r="O1440" s="123"/>
      <c r="P1440" s="123"/>
      <c r="Q1440" t="str">
        <f t="shared" si="22"/>
        <v/>
      </c>
    </row>
    <row r="1441" spans="3:17" hidden="1">
      <c r="C1441" s="123"/>
      <c r="D1441" s="123"/>
      <c r="E1441" s="124"/>
      <c r="F1441" s="123"/>
      <c r="G1441" s="130"/>
      <c r="H1441" s="124"/>
      <c r="I1441" s="243"/>
      <c r="J1441" s="123"/>
      <c r="K1441" s="123"/>
      <c r="L1441" s="246"/>
      <c r="M1441" s="123"/>
      <c r="N1441" s="123"/>
      <c r="O1441" s="123"/>
      <c r="P1441" s="123"/>
      <c r="Q1441" t="str">
        <f t="shared" si="22"/>
        <v/>
      </c>
    </row>
    <row r="1442" spans="3:17" hidden="1">
      <c r="C1442" s="123"/>
      <c r="D1442" s="123"/>
      <c r="E1442" s="124"/>
      <c r="F1442" s="123"/>
      <c r="G1442" s="130"/>
      <c r="H1442" s="124"/>
      <c r="I1442" s="243"/>
      <c r="J1442" s="123"/>
      <c r="K1442" s="123"/>
      <c r="L1442" s="246"/>
      <c r="M1442" s="123"/>
      <c r="N1442" s="123"/>
      <c r="O1442" s="123"/>
      <c r="P1442" s="123"/>
      <c r="Q1442" t="str">
        <f t="shared" si="22"/>
        <v/>
      </c>
    </row>
    <row r="1443" spans="3:17" hidden="1">
      <c r="C1443" s="123"/>
      <c r="D1443" s="123"/>
      <c r="E1443" s="124"/>
      <c r="F1443" s="123"/>
      <c r="G1443" s="130"/>
      <c r="H1443" s="124"/>
      <c r="I1443" s="243"/>
      <c r="J1443" s="123"/>
      <c r="K1443" s="123"/>
      <c r="L1443" s="246"/>
      <c r="M1443" s="123"/>
      <c r="N1443" s="123"/>
      <c r="O1443" s="123"/>
      <c r="P1443" s="123"/>
      <c r="Q1443" t="str">
        <f t="shared" si="22"/>
        <v/>
      </c>
    </row>
    <row r="1444" spans="3:17" hidden="1">
      <c r="C1444" s="123"/>
      <c r="D1444" s="123"/>
      <c r="E1444" s="124"/>
      <c r="F1444" s="123"/>
      <c r="G1444" s="130"/>
      <c r="H1444" s="124"/>
      <c r="I1444" s="243"/>
      <c r="J1444" s="123"/>
      <c r="K1444" s="123"/>
      <c r="L1444" s="246"/>
      <c r="M1444" s="123"/>
      <c r="N1444" s="123"/>
      <c r="O1444" s="123"/>
      <c r="P1444" s="123"/>
      <c r="Q1444" t="str">
        <f t="shared" si="22"/>
        <v/>
      </c>
    </row>
    <row r="1445" spans="3:17" hidden="1">
      <c r="C1445" s="123"/>
      <c r="D1445" s="123"/>
      <c r="E1445" s="124"/>
      <c r="F1445" s="123"/>
      <c r="G1445" s="130"/>
      <c r="H1445" s="124"/>
      <c r="I1445" s="243"/>
      <c r="J1445" s="123"/>
      <c r="K1445" s="123"/>
      <c r="L1445" s="246"/>
      <c r="M1445" s="123"/>
      <c r="N1445" s="123"/>
      <c r="O1445" s="123"/>
      <c r="P1445" s="123"/>
      <c r="Q1445" t="str">
        <f t="shared" si="22"/>
        <v/>
      </c>
    </row>
    <row r="1446" spans="3:17" hidden="1">
      <c r="C1446" s="123"/>
      <c r="D1446" s="123"/>
      <c r="E1446" s="124"/>
      <c r="F1446" s="123"/>
      <c r="G1446" s="130"/>
      <c r="H1446" s="124"/>
      <c r="I1446" s="243"/>
      <c r="J1446" s="123"/>
      <c r="K1446" s="123"/>
      <c r="L1446" s="246"/>
      <c r="M1446" s="123"/>
      <c r="N1446" s="123"/>
      <c r="O1446" s="123"/>
      <c r="P1446" s="123"/>
      <c r="Q1446" t="str">
        <f t="shared" si="22"/>
        <v/>
      </c>
    </row>
    <row r="1447" spans="3:17" hidden="1">
      <c r="C1447" s="123"/>
      <c r="D1447" s="123"/>
      <c r="E1447" s="124"/>
      <c r="F1447" s="123"/>
      <c r="G1447" s="130"/>
      <c r="H1447" s="124"/>
      <c r="I1447" s="243"/>
      <c r="J1447" s="123"/>
      <c r="K1447" s="123"/>
      <c r="L1447" s="246"/>
      <c r="M1447" s="123"/>
      <c r="N1447" s="123"/>
      <c r="O1447" s="123"/>
      <c r="P1447" s="123"/>
      <c r="Q1447" t="str">
        <f t="shared" si="22"/>
        <v/>
      </c>
    </row>
    <row r="1448" spans="3:17" hidden="1">
      <c r="C1448" s="123"/>
      <c r="D1448" s="123"/>
      <c r="E1448" s="124"/>
      <c r="F1448" s="123"/>
      <c r="G1448" s="130"/>
      <c r="H1448" s="124"/>
      <c r="I1448" s="243"/>
      <c r="J1448" s="123"/>
      <c r="K1448" s="123"/>
      <c r="L1448" s="246"/>
      <c r="M1448" s="123"/>
      <c r="N1448" s="123"/>
      <c r="O1448" s="123"/>
      <c r="P1448" s="123"/>
      <c r="Q1448" t="str">
        <f t="shared" si="22"/>
        <v/>
      </c>
    </row>
    <row r="1449" spans="3:17" hidden="1">
      <c r="C1449" s="123"/>
      <c r="D1449" s="123"/>
      <c r="E1449" s="124"/>
      <c r="F1449" s="123"/>
      <c r="G1449" s="130"/>
      <c r="H1449" s="124"/>
      <c r="I1449" s="243"/>
      <c r="J1449" s="123"/>
      <c r="K1449" s="123"/>
      <c r="L1449" s="246"/>
      <c r="M1449" s="123"/>
      <c r="N1449" s="123"/>
      <c r="O1449" s="123"/>
      <c r="P1449" s="123"/>
      <c r="Q1449" t="str">
        <f t="shared" si="22"/>
        <v/>
      </c>
    </row>
    <row r="1450" spans="3:17" hidden="1">
      <c r="C1450" s="123"/>
      <c r="D1450" s="123"/>
      <c r="E1450" s="124"/>
      <c r="F1450" s="123"/>
      <c r="G1450" s="130"/>
      <c r="H1450" s="124"/>
      <c r="I1450" s="243"/>
      <c r="J1450" s="123"/>
      <c r="K1450" s="123"/>
      <c r="L1450" s="246"/>
      <c r="M1450" s="123"/>
      <c r="N1450" s="123"/>
      <c r="O1450" s="123"/>
      <c r="P1450" s="123"/>
      <c r="Q1450" t="str">
        <f t="shared" si="22"/>
        <v/>
      </c>
    </row>
    <row r="1451" spans="3:17" hidden="1">
      <c r="C1451" s="123"/>
      <c r="D1451" s="123"/>
      <c r="E1451" s="124"/>
      <c r="F1451" s="123"/>
      <c r="G1451" s="130"/>
      <c r="H1451" s="124"/>
      <c r="I1451" s="243"/>
      <c r="J1451" s="123"/>
      <c r="K1451" s="123"/>
      <c r="L1451" s="246"/>
      <c r="M1451" s="123"/>
      <c r="N1451" s="123"/>
      <c r="O1451" s="123"/>
      <c r="P1451" s="123"/>
      <c r="Q1451" t="str">
        <f t="shared" si="22"/>
        <v/>
      </c>
    </row>
    <row r="1452" spans="3:17" hidden="1">
      <c r="C1452" s="123"/>
      <c r="D1452" s="123"/>
      <c r="E1452" s="124"/>
      <c r="F1452" s="123"/>
      <c r="G1452" s="130"/>
      <c r="H1452" s="124"/>
      <c r="I1452" s="243"/>
      <c r="J1452" s="123"/>
      <c r="K1452" s="123"/>
      <c r="L1452" s="246"/>
      <c r="M1452" s="123"/>
      <c r="N1452" s="123"/>
      <c r="O1452" s="123"/>
      <c r="P1452" s="123"/>
      <c r="Q1452" t="str">
        <f t="shared" si="22"/>
        <v/>
      </c>
    </row>
    <row r="1453" spans="3:17" hidden="1">
      <c r="C1453" s="123"/>
      <c r="D1453" s="123"/>
      <c r="E1453" s="124"/>
      <c r="F1453" s="123"/>
      <c r="G1453" s="130"/>
      <c r="H1453" s="124"/>
      <c r="I1453" s="243"/>
      <c r="J1453" s="123"/>
      <c r="K1453" s="123"/>
      <c r="L1453" s="246"/>
      <c r="M1453" s="123"/>
      <c r="N1453" s="123"/>
      <c r="O1453" s="123"/>
      <c r="P1453" s="123"/>
      <c r="Q1453" t="str">
        <f t="shared" si="22"/>
        <v/>
      </c>
    </row>
    <row r="1454" spans="3:17" hidden="1">
      <c r="C1454" s="123"/>
      <c r="D1454" s="123"/>
      <c r="E1454" s="124"/>
      <c r="F1454" s="123"/>
      <c r="G1454" s="130"/>
      <c r="H1454" s="124"/>
      <c r="I1454" s="243"/>
      <c r="J1454" s="123"/>
      <c r="K1454" s="123"/>
      <c r="L1454" s="246"/>
      <c r="M1454" s="123"/>
      <c r="N1454" s="123"/>
      <c r="O1454" s="123"/>
      <c r="P1454" s="123"/>
      <c r="Q1454" t="str">
        <f t="shared" si="22"/>
        <v/>
      </c>
    </row>
    <row r="1455" spans="3:17" hidden="1">
      <c r="C1455" s="123"/>
      <c r="D1455" s="123"/>
      <c r="E1455" s="124"/>
      <c r="F1455" s="123"/>
      <c r="G1455" s="130"/>
      <c r="H1455" s="124"/>
      <c r="I1455" s="243"/>
      <c r="J1455" s="123"/>
      <c r="K1455" s="123"/>
      <c r="L1455" s="246"/>
      <c r="M1455" s="123"/>
      <c r="N1455" s="123"/>
      <c r="O1455" s="123"/>
      <c r="P1455" s="123"/>
      <c r="Q1455" t="str">
        <f t="shared" si="22"/>
        <v/>
      </c>
    </row>
    <row r="1456" spans="3:17" hidden="1">
      <c r="C1456" s="123"/>
      <c r="D1456" s="123"/>
      <c r="E1456" s="124"/>
      <c r="F1456" s="123"/>
      <c r="G1456" s="130"/>
      <c r="H1456" s="124"/>
      <c r="I1456" s="243"/>
      <c r="J1456" s="123"/>
      <c r="K1456" s="123"/>
      <c r="L1456" s="246"/>
      <c r="M1456" s="123"/>
      <c r="N1456" s="123"/>
      <c r="O1456" s="123"/>
      <c r="P1456" s="123"/>
      <c r="Q1456" t="str">
        <f t="shared" si="22"/>
        <v/>
      </c>
    </row>
    <row r="1457" spans="3:17" hidden="1">
      <c r="C1457" s="123"/>
      <c r="D1457" s="123"/>
      <c r="E1457" s="124"/>
      <c r="F1457" s="123"/>
      <c r="G1457" s="130"/>
      <c r="H1457" s="124"/>
      <c r="I1457" s="243"/>
      <c r="J1457" s="123"/>
      <c r="K1457" s="123"/>
      <c r="L1457" s="246"/>
      <c r="M1457" s="123"/>
      <c r="N1457" s="123"/>
      <c r="O1457" s="123"/>
      <c r="P1457" s="123"/>
      <c r="Q1457" t="str">
        <f t="shared" si="22"/>
        <v/>
      </c>
    </row>
    <row r="1458" spans="3:17" hidden="1">
      <c r="C1458" s="123"/>
      <c r="D1458" s="123"/>
      <c r="E1458" s="124"/>
      <c r="F1458" s="123"/>
      <c r="G1458" s="130"/>
      <c r="H1458" s="124"/>
      <c r="I1458" s="243"/>
      <c r="J1458" s="123"/>
      <c r="K1458" s="123"/>
      <c r="L1458" s="246"/>
      <c r="M1458" s="123"/>
      <c r="N1458" s="123"/>
      <c r="O1458" s="123"/>
      <c r="P1458" s="123"/>
      <c r="Q1458" t="str">
        <f t="shared" si="22"/>
        <v/>
      </c>
    </row>
    <row r="1459" spans="3:17" hidden="1">
      <c r="C1459" s="123"/>
      <c r="D1459" s="123"/>
      <c r="E1459" s="124"/>
      <c r="F1459" s="123"/>
      <c r="G1459" s="130"/>
      <c r="H1459" s="124"/>
      <c r="I1459" s="243"/>
      <c r="J1459" s="123"/>
      <c r="K1459" s="123"/>
      <c r="L1459" s="246"/>
      <c r="M1459" s="123"/>
      <c r="N1459" s="123"/>
      <c r="O1459" s="123"/>
      <c r="P1459" s="123"/>
      <c r="Q1459" t="str">
        <f t="shared" si="22"/>
        <v/>
      </c>
    </row>
    <row r="1460" spans="3:17" hidden="1">
      <c r="C1460" s="123"/>
      <c r="D1460" s="123"/>
      <c r="E1460" s="124"/>
      <c r="F1460" s="123"/>
      <c r="G1460" s="130"/>
      <c r="H1460" s="124"/>
      <c r="I1460" s="243"/>
      <c r="J1460" s="123"/>
      <c r="K1460" s="123"/>
      <c r="L1460" s="246"/>
      <c r="M1460" s="123"/>
      <c r="N1460" s="123"/>
      <c r="O1460" s="123"/>
      <c r="P1460" s="123"/>
      <c r="Q1460" t="str">
        <f t="shared" si="22"/>
        <v/>
      </c>
    </row>
    <row r="1461" spans="3:17" hidden="1">
      <c r="C1461" s="123"/>
      <c r="D1461" s="123"/>
      <c r="E1461" s="124"/>
      <c r="F1461" s="123"/>
      <c r="G1461" s="130"/>
      <c r="H1461" s="124"/>
      <c r="I1461" s="243"/>
      <c r="J1461" s="123"/>
      <c r="K1461" s="123"/>
      <c r="L1461" s="246"/>
      <c r="M1461" s="123"/>
      <c r="N1461" s="123"/>
      <c r="O1461" s="123"/>
      <c r="P1461" s="123"/>
      <c r="Q1461" t="str">
        <f t="shared" si="22"/>
        <v/>
      </c>
    </row>
    <row r="1462" spans="3:17" hidden="1">
      <c r="C1462" s="123"/>
      <c r="D1462" s="123"/>
      <c r="E1462" s="124"/>
      <c r="F1462" s="123"/>
      <c r="G1462" s="130"/>
      <c r="H1462" s="124"/>
      <c r="I1462" s="243"/>
      <c r="J1462" s="123"/>
      <c r="K1462" s="123"/>
      <c r="L1462" s="246"/>
      <c r="M1462" s="123"/>
      <c r="N1462" s="123"/>
      <c r="O1462" s="123"/>
      <c r="P1462" s="123"/>
      <c r="Q1462" t="str">
        <f t="shared" si="22"/>
        <v/>
      </c>
    </row>
    <row r="1463" spans="3:17" hidden="1">
      <c r="C1463" s="123"/>
      <c r="D1463" s="123"/>
      <c r="E1463" s="124"/>
      <c r="F1463" s="123"/>
      <c r="G1463" s="130"/>
      <c r="H1463" s="124"/>
      <c r="I1463" s="243"/>
      <c r="J1463" s="123"/>
      <c r="K1463" s="123"/>
      <c r="L1463" s="246"/>
      <c r="M1463" s="123"/>
      <c r="N1463" s="123"/>
      <c r="O1463" s="123"/>
      <c r="P1463" s="123"/>
      <c r="Q1463" t="str">
        <f t="shared" si="22"/>
        <v/>
      </c>
    </row>
    <row r="1464" spans="3:17" hidden="1">
      <c r="C1464" s="123"/>
      <c r="D1464" s="123"/>
      <c r="E1464" s="124"/>
      <c r="F1464" s="123"/>
      <c r="G1464" s="130"/>
      <c r="H1464" s="124"/>
      <c r="I1464" s="243"/>
      <c r="J1464" s="123"/>
      <c r="K1464" s="123"/>
      <c r="L1464" s="246"/>
      <c r="M1464" s="123"/>
      <c r="N1464" s="123"/>
      <c r="O1464" s="123"/>
      <c r="P1464" s="123"/>
      <c r="Q1464" t="str">
        <f t="shared" si="22"/>
        <v/>
      </c>
    </row>
    <row r="1465" spans="3:17" hidden="1">
      <c r="C1465" s="123"/>
      <c r="D1465" s="123"/>
      <c r="E1465" s="124"/>
      <c r="F1465" s="123"/>
      <c r="G1465" s="130"/>
      <c r="H1465" s="124"/>
      <c r="I1465" s="243"/>
      <c r="J1465" s="123"/>
      <c r="K1465" s="123"/>
      <c r="L1465" s="246"/>
      <c r="M1465" s="123"/>
      <c r="N1465" s="123"/>
      <c r="O1465" s="123"/>
      <c r="P1465" s="123"/>
      <c r="Q1465" t="str">
        <f t="shared" si="22"/>
        <v/>
      </c>
    </row>
    <row r="1466" spans="3:17" hidden="1">
      <c r="C1466" s="123"/>
      <c r="D1466" s="123"/>
      <c r="E1466" s="124"/>
      <c r="F1466" s="123"/>
      <c r="G1466" s="130"/>
      <c r="H1466" s="124"/>
      <c r="I1466" s="243"/>
      <c r="J1466" s="123"/>
      <c r="K1466" s="123"/>
      <c r="L1466" s="246"/>
      <c r="M1466" s="123"/>
      <c r="N1466" s="123"/>
      <c r="O1466" s="123"/>
      <c r="P1466" s="123"/>
      <c r="Q1466" t="str">
        <f t="shared" si="22"/>
        <v/>
      </c>
    </row>
    <row r="1467" spans="3:17" hidden="1">
      <c r="C1467" s="123"/>
      <c r="D1467" s="123"/>
      <c r="E1467" s="124"/>
      <c r="F1467" s="123"/>
      <c r="G1467" s="130"/>
      <c r="H1467" s="124"/>
      <c r="I1467" s="243"/>
      <c r="J1467" s="123"/>
      <c r="K1467" s="123"/>
      <c r="L1467" s="246"/>
      <c r="M1467" s="123"/>
      <c r="N1467" s="123"/>
      <c r="O1467" s="123"/>
      <c r="P1467" s="123"/>
      <c r="Q1467" t="str">
        <f t="shared" si="22"/>
        <v/>
      </c>
    </row>
    <row r="1468" spans="3:17" hidden="1">
      <c r="C1468" s="123"/>
      <c r="D1468" s="123"/>
      <c r="E1468" s="124"/>
      <c r="F1468" s="123"/>
      <c r="G1468" s="130"/>
      <c r="H1468" s="124"/>
      <c r="I1468" s="243"/>
      <c r="J1468" s="123"/>
      <c r="K1468" s="123"/>
      <c r="L1468" s="246"/>
      <c r="M1468" s="123"/>
      <c r="N1468" s="123"/>
      <c r="O1468" s="123"/>
      <c r="P1468" s="123"/>
      <c r="Q1468" t="str">
        <f t="shared" si="22"/>
        <v/>
      </c>
    </row>
    <row r="1469" spans="3:17" hidden="1">
      <c r="C1469" s="123"/>
      <c r="D1469" s="123"/>
      <c r="E1469" s="124"/>
      <c r="F1469" s="123"/>
      <c r="G1469" s="130"/>
      <c r="H1469" s="124"/>
      <c r="I1469" s="243"/>
      <c r="J1469" s="123"/>
      <c r="K1469" s="123"/>
      <c r="L1469" s="246"/>
      <c r="M1469" s="123"/>
      <c r="N1469" s="123"/>
      <c r="O1469" s="123"/>
      <c r="P1469" s="123"/>
      <c r="Q1469" t="str">
        <f t="shared" si="22"/>
        <v/>
      </c>
    </row>
    <row r="1470" spans="3:17" hidden="1">
      <c r="C1470" s="123"/>
      <c r="D1470" s="123"/>
      <c r="E1470" s="124"/>
      <c r="F1470" s="123"/>
      <c r="G1470" s="130"/>
      <c r="H1470" s="124"/>
      <c r="I1470" s="243"/>
      <c r="J1470" s="123"/>
      <c r="K1470" s="123"/>
      <c r="L1470" s="246"/>
      <c r="M1470" s="123"/>
      <c r="N1470" s="123"/>
      <c r="O1470" s="123"/>
      <c r="P1470" s="123"/>
      <c r="Q1470" t="str">
        <f t="shared" si="22"/>
        <v/>
      </c>
    </row>
    <row r="1471" spans="3:17" hidden="1">
      <c r="C1471" s="123"/>
      <c r="D1471" s="123"/>
      <c r="E1471" s="124"/>
      <c r="F1471" s="123"/>
      <c r="G1471" s="130"/>
      <c r="H1471" s="124"/>
      <c r="I1471" s="243"/>
      <c r="J1471" s="123"/>
      <c r="K1471" s="123"/>
      <c r="L1471" s="246"/>
      <c r="M1471" s="123"/>
      <c r="N1471" s="123"/>
      <c r="O1471" s="123"/>
      <c r="P1471" s="123"/>
      <c r="Q1471" t="str">
        <f t="shared" si="22"/>
        <v/>
      </c>
    </row>
    <row r="1472" spans="3:17" hidden="1">
      <c r="C1472" s="123"/>
      <c r="D1472" s="123"/>
      <c r="E1472" s="124"/>
      <c r="F1472" s="123"/>
      <c r="G1472" s="130"/>
      <c r="H1472" s="124"/>
      <c r="I1472" s="243"/>
      <c r="J1472" s="123"/>
      <c r="K1472" s="123"/>
      <c r="L1472" s="246"/>
      <c r="M1472" s="123"/>
      <c r="N1472" s="123"/>
      <c r="O1472" s="123"/>
      <c r="P1472" s="123"/>
      <c r="Q1472" t="str">
        <f t="shared" si="22"/>
        <v/>
      </c>
    </row>
    <row r="1473" spans="3:17" hidden="1">
      <c r="C1473" s="123"/>
      <c r="D1473" s="123"/>
      <c r="E1473" s="124"/>
      <c r="F1473" s="123"/>
      <c r="G1473" s="130"/>
      <c r="H1473" s="124"/>
      <c r="I1473" s="243"/>
      <c r="J1473" s="123"/>
      <c r="K1473" s="123"/>
      <c r="L1473" s="246"/>
      <c r="M1473" s="123"/>
      <c r="N1473" s="123"/>
      <c r="O1473" s="123"/>
      <c r="P1473" s="123"/>
      <c r="Q1473" t="str">
        <f t="shared" si="22"/>
        <v/>
      </c>
    </row>
    <row r="1474" spans="3:17" hidden="1">
      <c r="C1474" s="123"/>
      <c r="D1474" s="123"/>
      <c r="E1474" s="124"/>
      <c r="F1474" s="123"/>
      <c r="G1474" s="130"/>
      <c r="H1474" s="124"/>
      <c r="I1474" s="243"/>
      <c r="J1474" s="123"/>
      <c r="K1474" s="123"/>
      <c r="L1474" s="246"/>
      <c r="M1474" s="123"/>
      <c r="N1474" s="123"/>
      <c r="O1474" s="123"/>
      <c r="P1474" s="123"/>
      <c r="Q1474" t="str">
        <f t="shared" si="22"/>
        <v/>
      </c>
    </row>
    <row r="1475" spans="3:17" hidden="1">
      <c r="C1475" s="123"/>
      <c r="D1475" s="123"/>
      <c r="E1475" s="124"/>
      <c r="F1475" s="123"/>
      <c r="G1475" s="130"/>
      <c r="H1475" s="124"/>
      <c r="I1475" s="243"/>
      <c r="J1475" s="123"/>
      <c r="K1475" s="123"/>
      <c r="L1475" s="246"/>
      <c r="M1475" s="123"/>
      <c r="N1475" s="123"/>
      <c r="O1475" s="123"/>
      <c r="P1475" s="123"/>
      <c r="Q1475" t="str">
        <f t="shared" si="22"/>
        <v/>
      </c>
    </row>
    <row r="1476" spans="3:17" hidden="1">
      <c r="C1476" s="123"/>
      <c r="D1476" s="123"/>
      <c r="E1476" s="124"/>
      <c r="F1476" s="123"/>
      <c r="G1476" s="130"/>
      <c r="H1476" s="124"/>
      <c r="I1476" s="243"/>
      <c r="J1476" s="123"/>
      <c r="K1476" s="123"/>
      <c r="L1476" s="246"/>
      <c r="M1476" s="123"/>
      <c r="N1476" s="123"/>
      <c r="O1476" s="123"/>
      <c r="P1476" s="123"/>
      <c r="Q1476" t="str">
        <f t="shared" si="22"/>
        <v/>
      </c>
    </row>
    <row r="1477" spans="3:17" hidden="1">
      <c r="C1477" s="123"/>
      <c r="D1477" s="123"/>
      <c r="E1477" s="124"/>
      <c r="F1477" s="123"/>
      <c r="G1477" s="130"/>
      <c r="H1477" s="124"/>
      <c r="I1477" s="243"/>
      <c r="J1477" s="123"/>
      <c r="K1477" s="123"/>
      <c r="L1477" s="246"/>
      <c r="M1477" s="123"/>
      <c r="N1477" s="123"/>
      <c r="O1477" s="123"/>
      <c r="P1477" s="123"/>
      <c r="Q1477" t="str">
        <f t="shared" si="22"/>
        <v/>
      </c>
    </row>
    <row r="1478" spans="3:17" hidden="1">
      <c r="C1478" s="123"/>
      <c r="D1478" s="123"/>
      <c r="E1478" s="124"/>
      <c r="F1478" s="123"/>
      <c r="G1478" s="130"/>
      <c r="H1478" s="124"/>
      <c r="I1478" s="243"/>
      <c r="J1478" s="123"/>
      <c r="K1478" s="123"/>
      <c r="L1478" s="246"/>
      <c r="M1478" s="123"/>
      <c r="N1478" s="123"/>
      <c r="O1478" s="123"/>
      <c r="P1478" s="123"/>
      <c r="Q1478" t="str">
        <f t="shared" si="22"/>
        <v/>
      </c>
    </row>
    <row r="1479" spans="3:17" hidden="1">
      <c r="C1479" s="123"/>
      <c r="D1479" s="123"/>
      <c r="E1479" s="124"/>
      <c r="F1479" s="123"/>
      <c r="G1479" s="130"/>
      <c r="H1479" s="124"/>
      <c r="I1479" s="243"/>
      <c r="J1479" s="123"/>
      <c r="K1479" s="123"/>
      <c r="L1479" s="246"/>
      <c r="M1479" s="123"/>
      <c r="N1479" s="123"/>
      <c r="O1479" s="123"/>
      <c r="P1479" s="123"/>
      <c r="Q1479" t="str">
        <f t="shared" ref="Q1479:Q1542" si="23">IF(D1479="","","x")</f>
        <v/>
      </c>
    </row>
    <row r="1480" spans="3:17" hidden="1">
      <c r="C1480" s="123"/>
      <c r="D1480" s="123"/>
      <c r="E1480" s="124"/>
      <c r="F1480" s="123"/>
      <c r="G1480" s="130"/>
      <c r="H1480" s="124"/>
      <c r="I1480" s="243"/>
      <c r="J1480" s="123"/>
      <c r="K1480" s="123"/>
      <c r="L1480" s="246"/>
      <c r="M1480" s="123"/>
      <c r="N1480" s="123"/>
      <c r="O1480" s="123"/>
      <c r="P1480" s="123"/>
      <c r="Q1480" t="str">
        <f t="shared" si="23"/>
        <v/>
      </c>
    </row>
    <row r="1481" spans="3:17" hidden="1">
      <c r="C1481" s="123"/>
      <c r="D1481" s="123"/>
      <c r="E1481" s="124"/>
      <c r="F1481" s="123"/>
      <c r="G1481" s="130"/>
      <c r="H1481" s="124"/>
      <c r="I1481" s="243"/>
      <c r="J1481" s="123"/>
      <c r="K1481" s="123"/>
      <c r="L1481" s="246"/>
      <c r="M1481" s="123"/>
      <c r="N1481" s="123"/>
      <c r="O1481" s="123"/>
      <c r="P1481" s="123"/>
      <c r="Q1481" t="str">
        <f t="shared" si="23"/>
        <v/>
      </c>
    </row>
    <row r="1482" spans="3:17" hidden="1">
      <c r="C1482" s="123"/>
      <c r="D1482" s="123"/>
      <c r="E1482" s="124"/>
      <c r="F1482" s="123"/>
      <c r="G1482" s="130"/>
      <c r="H1482" s="124"/>
      <c r="I1482" s="243"/>
      <c r="J1482" s="123"/>
      <c r="K1482" s="123"/>
      <c r="L1482" s="246"/>
      <c r="M1482" s="123"/>
      <c r="N1482" s="123"/>
      <c r="O1482" s="123"/>
      <c r="P1482" s="123"/>
      <c r="Q1482" t="str">
        <f t="shared" si="23"/>
        <v/>
      </c>
    </row>
    <row r="1483" spans="3:17" hidden="1">
      <c r="C1483" s="123"/>
      <c r="D1483" s="123"/>
      <c r="E1483" s="124"/>
      <c r="F1483" s="123"/>
      <c r="G1483" s="130"/>
      <c r="H1483" s="124"/>
      <c r="I1483" s="243"/>
      <c r="J1483" s="123"/>
      <c r="K1483" s="123"/>
      <c r="L1483" s="246"/>
      <c r="M1483" s="123"/>
      <c r="N1483" s="123"/>
      <c r="O1483" s="123"/>
      <c r="P1483" s="123"/>
      <c r="Q1483" t="str">
        <f t="shared" si="23"/>
        <v/>
      </c>
    </row>
    <row r="1484" spans="3:17" hidden="1">
      <c r="C1484" s="123"/>
      <c r="D1484" s="123"/>
      <c r="E1484" s="124"/>
      <c r="F1484" s="123"/>
      <c r="G1484" s="130"/>
      <c r="H1484" s="124"/>
      <c r="I1484" s="243"/>
      <c r="J1484" s="123"/>
      <c r="K1484" s="123"/>
      <c r="L1484" s="246"/>
      <c r="M1484" s="123"/>
      <c r="N1484" s="123"/>
      <c r="O1484" s="123"/>
      <c r="P1484" s="123"/>
      <c r="Q1484" t="str">
        <f t="shared" si="23"/>
        <v/>
      </c>
    </row>
    <row r="1485" spans="3:17" hidden="1">
      <c r="C1485" s="123"/>
      <c r="D1485" s="123"/>
      <c r="E1485" s="124"/>
      <c r="F1485" s="123"/>
      <c r="G1485" s="130"/>
      <c r="H1485" s="124"/>
      <c r="I1485" s="243"/>
      <c r="J1485" s="123"/>
      <c r="K1485" s="123"/>
      <c r="L1485" s="246"/>
      <c r="M1485" s="123"/>
      <c r="N1485" s="123"/>
      <c r="O1485" s="123"/>
      <c r="P1485" s="123"/>
      <c r="Q1485" t="str">
        <f t="shared" si="23"/>
        <v/>
      </c>
    </row>
    <row r="1486" spans="3:17" hidden="1">
      <c r="C1486" s="123"/>
      <c r="D1486" s="123"/>
      <c r="E1486" s="124"/>
      <c r="F1486" s="123"/>
      <c r="G1486" s="130"/>
      <c r="H1486" s="124"/>
      <c r="I1486" s="243"/>
      <c r="J1486" s="123"/>
      <c r="K1486" s="123"/>
      <c r="L1486" s="246"/>
      <c r="M1486" s="123"/>
      <c r="N1486" s="123"/>
      <c r="O1486" s="123"/>
      <c r="P1486" s="123"/>
      <c r="Q1486" t="str">
        <f t="shared" si="23"/>
        <v/>
      </c>
    </row>
    <row r="1487" spans="3:17" hidden="1">
      <c r="C1487" s="123"/>
      <c r="D1487" s="123"/>
      <c r="E1487" s="124"/>
      <c r="F1487" s="123"/>
      <c r="G1487" s="130"/>
      <c r="H1487" s="124"/>
      <c r="I1487" s="243"/>
      <c r="J1487" s="123"/>
      <c r="K1487" s="123"/>
      <c r="L1487" s="246"/>
      <c r="M1487" s="123"/>
      <c r="N1487" s="123"/>
      <c r="O1487" s="123"/>
      <c r="P1487" s="123"/>
      <c r="Q1487" t="str">
        <f t="shared" si="23"/>
        <v/>
      </c>
    </row>
    <row r="1488" spans="3:17" hidden="1">
      <c r="C1488" s="123"/>
      <c r="D1488" s="123"/>
      <c r="E1488" s="124"/>
      <c r="F1488" s="123"/>
      <c r="G1488" s="130"/>
      <c r="H1488" s="124"/>
      <c r="I1488" s="243"/>
      <c r="J1488" s="123"/>
      <c r="K1488" s="123"/>
      <c r="L1488" s="246"/>
      <c r="M1488" s="123"/>
      <c r="N1488" s="123"/>
      <c r="O1488" s="123"/>
      <c r="P1488" s="123"/>
      <c r="Q1488" t="str">
        <f t="shared" si="23"/>
        <v/>
      </c>
    </row>
    <row r="1489" spans="3:17" hidden="1">
      <c r="C1489" s="123"/>
      <c r="D1489" s="123"/>
      <c r="E1489" s="124"/>
      <c r="F1489" s="123"/>
      <c r="G1489" s="130"/>
      <c r="H1489" s="124"/>
      <c r="I1489" s="243"/>
      <c r="J1489" s="123"/>
      <c r="K1489" s="123"/>
      <c r="L1489" s="246"/>
      <c r="M1489" s="123"/>
      <c r="N1489" s="123"/>
      <c r="O1489" s="123"/>
      <c r="P1489" s="123"/>
      <c r="Q1489" t="str">
        <f t="shared" si="23"/>
        <v/>
      </c>
    </row>
    <row r="1490" spans="3:17" hidden="1">
      <c r="C1490" s="123"/>
      <c r="D1490" s="123"/>
      <c r="E1490" s="124"/>
      <c r="F1490" s="123"/>
      <c r="G1490" s="130"/>
      <c r="H1490" s="124"/>
      <c r="I1490" s="243"/>
      <c r="J1490" s="123"/>
      <c r="K1490" s="123"/>
      <c r="L1490" s="246"/>
      <c r="M1490" s="123"/>
      <c r="N1490" s="123"/>
      <c r="O1490" s="123"/>
      <c r="P1490" s="123"/>
      <c r="Q1490" t="str">
        <f t="shared" si="23"/>
        <v/>
      </c>
    </row>
    <row r="1491" spans="3:17" hidden="1">
      <c r="C1491" s="123"/>
      <c r="D1491" s="123"/>
      <c r="E1491" s="124"/>
      <c r="F1491" s="123"/>
      <c r="G1491" s="130"/>
      <c r="H1491" s="124"/>
      <c r="I1491" s="243"/>
      <c r="J1491" s="123"/>
      <c r="K1491" s="123"/>
      <c r="L1491" s="246"/>
      <c r="M1491" s="123"/>
      <c r="N1491" s="123"/>
      <c r="O1491" s="123"/>
      <c r="P1491" s="123"/>
      <c r="Q1491" t="str">
        <f t="shared" si="23"/>
        <v/>
      </c>
    </row>
    <row r="1492" spans="3:17" hidden="1">
      <c r="C1492" s="123"/>
      <c r="D1492" s="123"/>
      <c r="E1492" s="124"/>
      <c r="F1492" s="123"/>
      <c r="G1492" s="130"/>
      <c r="H1492" s="124"/>
      <c r="I1492" s="243"/>
      <c r="J1492" s="123"/>
      <c r="K1492" s="123"/>
      <c r="L1492" s="246"/>
      <c r="M1492" s="123"/>
      <c r="N1492" s="123"/>
      <c r="O1492" s="123"/>
      <c r="P1492" s="123"/>
      <c r="Q1492" t="str">
        <f t="shared" si="23"/>
        <v/>
      </c>
    </row>
    <row r="1493" spans="3:17" hidden="1">
      <c r="C1493" s="123"/>
      <c r="D1493" s="123"/>
      <c r="E1493" s="124"/>
      <c r="F1493" s="123"/>
      <c r="G1493" s="130"/>
      <c r="H1493" s="124"/>
      <c r="I1493" s="243"/>
      <c r="J1493" s="123"/>
      <c r="K1493" s="123"/>
      <c r="L1493" s="246"/>
      <c r="M1493" s="123"/>
      <c r="N1493" s="123"/>
      <c r="O1493" s="123"/>
      <c r="P1493" s="123"/>
      <c r="Q1493" t="str">
        <f t="shared" si="23"/>
        <v/>
      </c>
    </row>
    <row r="1494" spans="3:17" hidden="1">
      <c r="C1494" s="123"/>
      <c r="D1494" s="123"/>
      <c r="E1494" s="124"/>
      <c r="F1494" s="123"/>
      <c r="G1494" s="130"/>
      <c r="H1494" s="124"/>
      <c r="I1494" s="243"/>
      <c r="J1494" s="123"/>
      <c r="K1494" s="123"/>
      <c r="L1494" s="246"/>
      <c r="M1494" s="123"/>
      <c r="N1494" s="123"/>
      <c r="O1494" s="123"/>
      <c r="P1494" s="123"/>
      <c r="Q1494" t="str">
        <f t="shared" si="23"/>
        <v/>
      </c>
    </row>
    <row r="1495" spans="3:17" hidden="1">
      <c r="C1495" s="123"/>
      <c r="D1495" s="123"/>
      <c r="E1495" s="124"/>
      <c r="F1495" s="123"/>
      <c r="G1495" s="130"/>
      <c r="H1495" s="124"/>
      <c r="I1495" s="243"/>
      <c r="J1495" s="123"/>
      <c r="K1495" s="123"/>
      <c r="L1495" s="246"/>
      <c r="M1495" s="123"/>
      <c r="N1495" s="123"/>
      <c r="O1495" s="123"/>
      <c r="P1495" s="123"/>
      <c r="Q1495" t="str">
        <f t="shared" si="23"/>
        <v/>
      </c>
    </row>
    <row r="1496" spans="3:17" hidden="1">
      <c r="C1496" s="123"/>
      <c r="D1496" s="123"/>
      <c r="E1496" s="124"/>
      <c r="F1496" s="123"/>
      <c r="G1496" s="130"/>
      <c r="H1496" s="124"/>
      <c r="I1496" s="243"/>
      <c r="J1496" s="123"/>
      <c r="K1496" s="123"/>
      <c r="L1496" s="246"/>
      <c r="M1496" s="123"/>
      <c r="N1496" s="123"/>
      <c r="O1496" s="123"/>
      <c r="P1496" s="123"/>
      <c r="Q1496" t="str">
        <f t="shared" si="23"/>
        <v/>
      </c>
    </row>
    <row r="1497" spans="3:17" hidden="1">
      <c r="C1497" s="123"/>
      <c r="D1497" s="123"/>
      <c r="E1497" s="124"/>
      <c r="F1497" s="123"/>
      <c r="G1497" s="130"/>
      <c r="H1497" s="124"/>
      <c r="I1497" s="243"/>
      <c r="J1497" s="123"/>
      <c r="K1497" s="123"/>
      <c r="L1497" s="246"/>
      <c r="M1497" s="123"/>
      <c r="N1497" s="123"/>
      <c r="O1497" s="123"/>
      <c r="P1497" s="123"/>
      <c r="Q1497" t="str">
        <f t="shared" si="23"/>
        <v/>
      </c>
    </row>
    <row r="1498" spans="3:17" hidden="1">
      <c r="C1498" s="123"/>
      <c r="D1498" s="123"/>
      <c r="E1498" s="124"/>
      <c r="F1498" s="123"/>
      <c r="G1498" s="130"/>
      <c r="H1498" s="124"/>
      <c r="I1498" s="243"/>
      <c r="J1498" s="123"/>
      <c r="K1498" s="123"/>
      <c r="L1498" s="246"/>
      <c r="M1498" s="123"/>
      <c r="N1498" s="123"/>
      <c r="O1498" s="123"/>
      <c r="P1498" s="123"/>
      <c r="Q1498" t="str">
        <f t="shared" si="23"/>
        <v/>
      </c>
    </row>
    <row r="1499" spans="3:17" hidden="1">
      <c r="C1499" s="123"/>
      <c r="D1499" s="123"/>
      <c r="E1499" s="124"/>
      <c r="F1499" s="123"/>
      <c r="G1499" s="130"/>
      <c r="H1499" s="124"/>
      <c r="I1499" s="243"/>
      <c r="J1499" s="123"/>
      <c r="K1499" s="123"/>
      <c r="L1499" s="246"/>
      <c r="M1499" s="123"/>
      <c r="N1499" s="123"/>
      <c r="O1499" s="123"/>
      <c r="P1499" s="123"/>
      <c r="Q1499" t="str">
        <f t="shared" si="23"/>
        <v/>
      </c>
    </row>
    <row r="1500" spans="3:17" hidden="1">
      <c r="C1500" s="123"/>
      <c r="D1500" s="123"/>
      <c r="E1500" s="124"/>
      <c r="F1500" s="123"/>
      <c r="G1500" s="130"/>
      <c r="H1500" s="124"/>
      <c r="I1500" s="243"/>
      <c r="J1500" s="123"/>
      <c r="K1500" s="123"/>
      <c r="L1500" s="246"/>
      <c r="M1500" s="123"/>
      <c r="N1500" s="123"/>
      <c r="O1500" s="123"/>
      <c r="P1500" s="123"/>
      <c r="Q1500" t="str">
        <f t="shared" si="23"/>
        <v/>
      </c>
    </row>
    <row r="1501" spans="3:17" hidden="1">
      <c r="C1501" s="123"/>
      <c r="D1501" s="123"/>
      <c r="E1501" s="124"/>
      <c r="F1501" s="123"/>
      <c r="G1501" s="130"/>
      <c r="H1501" s="124"/>
      <c r="I1501" s="243"/>
      <c r="J1501" s="123"/>
      <c r="K1501" s="123"/>
      <c r="L1501" s="246"/>
      <c r="M1501" s="123"/>
      <c r="N1501" s="123"/>
      <c r="O1501" s="123"/>
      <c r="P1501" s="123"/>
      <c r="Q1501" t="str">
        <f t="shared" si="23"/>
        <v/>
      </c>
    </row>
    <row r="1502" spans="3:17" hidden="1">
      <c r="C1502" s="123"/>
      <c r="D1502" s="123"/>
      <c r="E1502" s="124"/>
      <c r="F1502" s="123"/>
      <c r="G1502" s="130"/>
      <c r="H1502" s="124"/>
      <c r="I1502" s="243"/>
      <c r="J1502" s="123"/>
      <c r="K1502" s="123"/>
      <c r="L1502" s="246"/>
      <c r="M1502" s="123"/>
      <c r="N1502" s="123"/>
      <c r="O1502" s="123"/>
      <c r="P1502" s="123"/>
      <c r="Q1502" t="str">
        <f t="shared" si="23"/>
        <v/>
      </c>
    </row>
    <row r="1503" spans="3:17" hidden="1">
      <c r="C1503" s="123"/>
      <c r="D1503" s="123"/>
      <c r="E1503" s="124"/>
      <c r="F1503" s="123"/>
      <c r="G1503" s="130"/>
      <c r="H1503" s="124"/>
      <c r="I1503" s="243"/>
      <c r="J1503" s="123"/>
      <c r="K1503" s="123"/>
      <c r="L1503" s="246"/>
      <c r="M1503" s="123"/>
      <c r="N1503" s="123"/>
      <c r="O1503" s="123"/>
      <c r="P1503" s="123"/>
      <c r="Q1503" t="str">
        <f t="shared" si="23"/>
        <v/>
      </c>
    </row>
    <row r="1504" spans="3:17" hidden="1">
      <c r="C1504" s="123"/>
      <c r="D1504" s="123"/>
      <c r="E1504" s="124"/>
      <c r="F1504" s="123"/>
      <c r="G1504" s="130"/>
      <c r="H1504" s="124"/>
      <c r="I1504" s="243"/>
      <c r="J1504" s="123"/>
      <c r="K1504" s="123"/>
      <c r="L1504" s="246"/>
      <c r="M1504" s="123"/>
      <c r="N1504" s="123"/>
      <c r="O1504" s="123"/>
      <c r="P1504" s="123"/>
      <c r="Q1504" t="str">
        <f t="shared" si="23"/>
        <v/>
      </c>
    </row>
    <row r="1505" spans="3:17" hidden="1">
      <c r="C1505" s="123"/>
      <c r="D1505" s="123"/>
      <c r="E1505" s="124"/>
      <c r="F1505" s="123"/>
      <c r="G1505" s="130"/>
      <c r="H1505" s="124"/>
      <c r="I1505" s="243"/>
      <c r="J1505" s="123"/>
      <c r="K1505" s="123"/>
      <c r="L1505" s="246"/>
      <c r="M1505" s="123"/>
      <c r="N1505" s="123"/>
      <c r="O1505" s="123"/>
      <c r="P1505" s="123"/>
      <c r="Q1505" t="str">
        <f t="shared" si="23"/>
        <v/>
      </c>
    </row>
    <row r="1506" spans="3:17" hidden="1">
      <c r="C1506" s="123"/>
      <c r="D1506" s="123"/>
      <c r="E1506" s="124"/>
      <c r="F1506" s="123"/>
      <c r="G1506" s="130"/>
      <c r="H1506" s="124"/>
      <c r="I1506" s="243"/>
      <c r="J1506" s="123"/>
      <c r="K1506" s="123"/>
      <c r="L1506" s="246"/>
      <c r="M1506" s="123"/>
      <c r="N1506" s="123"/>
      <c r="O1506" s="123"/>
      <c r="P1506" s="123"/>
      <c r="Q1506" t="str">
        <f t="shared" si="23"/>
        <v/>
      </c>
    </row>
    <row r="1507" spans="3:17" hidden="1">
      <c r="C1507" s="123"/>
      <c r="D1507" s="123"/>
      <c r="E1507" s="124"/>
      <c r="F1507" s="123"/>
      <c r="G1507" s="130"/>
      <c r="H1507" s="124"/>
      <c r="I1507" s="243"/>
      <c r="J1507" s="123"/>
      <c r="K1507" s="123"/>
      <c r="L1507" s="246"/>
      <c r="M1507" s="123"/>
      <c r="N1507" s="123"/>
      <c r="O1507" s="123"/>
      <c r="P1507" s="123"/>
      <c r="Q1507" t="str">
        <f t="shared" si="23"/>
        <v/>
      </c>
    </row>
    <row r="1508" spans="3:17" hidden="1">
      <c r="C1508" s="123"/>
      <c r="D1508" s="123"/>
      <c r="E1508" s="124"/>
      <c r="F1508" s="123"/>
      <c r="G1508" s="130"/>
      <c r="H1508" s="124"/>
      <c r="I1508" s="243"/>
      <c r="J1508" s="123"/>
      <c r="K1508" s="123"/>
      <c r="L1508" s="246"/>
      <c r="M1508" s="123"/>
      <c r="N1508" s="123"/>
      <c r="O1508" s="123"/>
      <c r="P1508" s="123"/>
      <c r="Q1508" t="str">
        <f t="shared" si="23"/>
        <v/>
      </c>
    </row>
    <row r="1509" spans="3:17" hidden="1">
      <c r="C1509" s="123"/>
      <c r="D1509" s="123"/>
      <c r="E1509" s="124"/>
      <c r="F1509" s="123"/>
      <c r="G1509" s="130"/>
      <c r="H1509" s="124"/>
      <c r="I1509" s="243"/>
      <c r="J1509" s="123"/>
      <c r="K1509" s="123"/>
      <c r="L1509" s="246"/>
      <c r="M1509" s="123"/>
      <c r="N1509" s="123"/>
      <c r="O1509" s="123"/>
      <c r="P1509" s="123"/>
      <c r="Q1509" t="str">
        <f t="shared" si="23"/>
        <v/>
      </c>
    </row>
    <row r="1510" spans="3:17" hidden="1">
      <c r="C1510" s="123"/>
      <c r="D1510" s="123"/>
      <c r="E1510" s="124"/>
      <c r="F1510" s="123"/>
      <c r="G1510" s="130"/>
      <c r="H1510" s="124"/>
      <c r="I1510" s="243"/>
      <c r="J1510" s="123"/>
      <c r="K1510" s="123"/>
      <c r="L1510" s="246"/>
      <c r="M1510" s="123"/>
      <c r="N1510" s="123"/>
      <c r="O1510" s="123"/>
      <c r="P1510" s="123"/>
      <c r="Q1510" t="str">
        <f t="shared" si="23"/>
        <v/>
      </c>
    </row>
    <row r="1511" spans="3:17" hidden="1">
      <c r="C1511" s="123"/>
      <c r="D1511" s="123"/>
      <c r="E1511" s="124"/>
      <c r="F1511" s="123"/>
      <c r="G1511" s="130"/>
      <c r="H1511" s="124"/>
      <c r="I1511" s="243"/>
      <c r="J1511" s="123"/>
      <c r="K1511" s="123"/>
      <c r="L1511" s="246"/>
      <c r="M1511" s="123"/>
      <c r="N1511" s="123"/>
      <c r="O1511" s="123"/>
      <c r="P1511" s="123"/>
      <c r="Q1511" t="str">
        <f t="shared" si="23"/>
        <v/>
      </c>
    </row>
    <row r="1512" spans="3:17" hidden="1">
      <c r="C1512" s="123"/>
      <c r="D1512" s="123"/>
      <c r="E1512" s="124"/>
      <c r="F1512" s="123"/>
      <c r="G1512" s="130"/>
      <c r="H1512" s="124"/>
      <c r="I1512" s="243"/>
      <c r="J1512" s="123"/>
      <c r="K1512" s="123"/>
      <c r="L1512" s="246"/>
      <c r="M1512" s="123"/>
      <c r="N1512" s="123"/>
      <c r="O1512" s="123"/>
      <c r="P1512" s="123"/>
      <c r="Q1512" t="str">
        <f t="shared" si="23"/>
        <v/>
      </c>
    </row>
    <row r="1513" spans="3:17" hidden="1">
      <c r="C1513" s="123"/>
      <c r="D1513" s="123"/>
      <c r="E1513" s="124"/>
      <c r="F1513" s="123"/>
      <c r="G1513" s="130"/>
      <c r="H1513" s="124"/>
      <c r="I1513" s="243"/>
      <c r="J1513" s="123"/>
      <c r="K1513" s="123"/>
      <c r="L1513" s="246"/>
      <c r="M1513" s="123"/>
      <c r="N1513" s="123"/>
      <c r="O1513" s="123"/>
      <c r="P1513" s="123"/>
      <c r="Q1513" t="str">
        <f t="shared" si="23"/>
        <v/>
      </c>
    </row>
    <row r="1514" spans="3:17" hidden="1">
      <c r="C1514" s="123"/>
      <c r="D1514" s="123"/>
      <c r="E1514" s="124"/>
      <c r="F1514" s="123"/>
      <c r="G1514" s="130"/>
      <c r="H1514" s="124"/>
      <c r="I1514" s="243"/>
      <c r="J1514" s="123"/>
      <c r="K1514" s="123"/>
      <c r="L1514" s="246"/>
      <c r="M1514" s="123"/>
      <c r="N1514" s="123"/>
      <c r="O1514" s="123"/>
      <c r="P1514" s="123"/>
      <c r="Q1514" t="str">
        <f t="shared" si="23"/>
        <v/>
      </c>
    </row>
    <row r="1515" spans="3:17" hidden="1">
      <c r="C1515" s="123"/>
      <c r="D1515" s="123"/>
      <c r="E1515" s="124"/>
      <c r="F1515" s="123"/>
      <c r="G1515" s="130"/>
      <c r="H1515" s="124"/>
      <c r="I1515" s="243"/>
      <c r="J1515" s="123"/>
      <c r="K1515" s="123"/>
      <c r="L1515" s="246"/>
      <c r="M1515" s="123"/>
      <c r="N1515" s="123"/>
      <c r="O1515" s="123"/>
      <c r="P1515" s="123"/>
      <c r="Q1515" t="str">
        <f t="shared" si="23"/>
        <v/>
      </c>
    </row>
    <row r="1516" spans="3:17" hidden="1">
      <c r="C1516" s="123"/>
      <c r="D1516" s="123"/>
      <c r="E1516" s="124"/>
      <c r="F1516" s="123"/>
      <c r="G1516" s="130"/>
      <c r="H1516" s="124"/>
      <c r="I1516" s="243"/>
      <c r="J1516" s="123"/>
      <c r="K1516" s="123"/>
      <c r="L1516" s="246"/>
      <c r="M1516" s="123"/>
      <c r="N1516" s="123"/>
      <c r="O1516" s="123"/>
      <c r="P1516" s="123"/>
      <c r="Q1516" t="str">
        <f t="shared" si="23"/>
        <v/>
      </c>
    </row>
    <row r="1517" spans="3:17" hidden="1">
      <c r="C1517" s="123"/>
      <c r="D1517" s="123"/>
      <c r="E1517" s="124"/>
      <c r="F1517" s="123"/>
      <c r="G1517" s="130"/>
      <c r="H1517" s="124"/>
      <c r="I1517" s="243"/>
      <c r="J1517" s="123"/>
      <c r="K1517" s="123"/>
      <c r="L1517" s="246"/>
      <c r="M1517" s="123"/>
      <c r="N1517" s="123"/>
      <c r="O1517" s="123"/>
      <c r="P1517" s="123"/>
      <c r="Q1517" t="str">
        <f t="shared" si="23"/>
        <v/>
      </c>
    </row>
    <row r="1518" spans="3:17" hidden="1">
      <c r="C1518" s="123"/>
      <c r="D1518" s="123"/>
      <c r="E1518" s="124"/>
      <c r="F1518" s="123"/>
      <c r="G1518" s="130"/>
      <c r="H1518" s="124"/>
      <c r="I1518" s="243"/>
      <c r="J1518" s="123"/>
      <c r="K1518" s="123"/>
      <c r="L1518" s="246"/>
      <c r="M1518" s="123"/>
      <c r="N1518" s="123"/>
      <c r="O1518" s="123"/>
      <c r="P1518" s="123"/>
      <c r="Q1518" t="str">
        <f t="shared" si="23"/>
        <v/>
      </c>
    </row>
    <row r="1519" spans="3:17" hidden="1">
      <c r="C1519" s="123"/>
      <c r="D1519" s="123"/>
      <c r="E1519" s="124"/>
      <c r="F1519" s="123"/>
      <c r="G1519" s="130"/>
      <c r="H1519" s="124"/>
      <c r="I1519" s="243"/>
      <c r="J1519" s="123"/>
      <c r="K1519" s="123"/>
      <c r="L1519" s="246"/>
      <c r="M1519" s="123"/>
      <c r="N1519" s="123"/>
      <c r="O1519" s="123"/>
      <c r="P1519" s="123"/>
      <c r="Q1519" t="str">
        <f t="shared" si="23"/>
        <v/>
      </c>
    </row>
    <row r="1520" spans="3:17" hidden="1">
      <c r="C1520" s="123"/>
      <c r="D1520" s="123"/>
      <c r="E1520" s="124"/>
      <c r="F1520" s="123"/>
      <c r="G1520" s="130"/>
      <c r="H1520" s="124"/>
      <c r="I1520" s="243"/>
      <c r="J1520" s="123"/>
      <c r="K1520" s="123"/>
      <c r="L1520" s="246"/>
      <c r="M1520" s="123"/>
      <c r="N1520" s="123"/>
      <c r="O1520" s="123"/>
      <c r="P1520" s="123"/>
      <c r="Q1520" t="str">
        <f t="shared" si="23"/>
        <v/>
      </c>
    </row>
    <row r="1521" spans="3:17" hidden="1">
      <c r="C1521" s="123"/>
      <c r="D1521" s="123"/>
      <c r="E1521" s="124"/>
      <c r="F1521" s="123"/>
      <c r="G1521" s="130"/>
      <c r="H1521" s="124"/>
      <c r="I1521" s="243"/>
      <c r="J1521" s="123"/>
      <c r="K1521" s="123"/>
      <c r="L1521" s="246"/>
      <c r="M1521" s="123"/>
      <c r="N1521" s="123"/>
      <c r="O1521" s="123"/>
      <c r="P1521" s="123"/>
      <c r="Q1521" t="str">
        <f t="shared" si="23"/>
        <v/>
      </c>
    </row>
    <row r="1522" spans="3:17" hidden="1">
      <c r="C1522" s="123"/>
      <c r="D1522" s="123"/>
      <c r="E1522" s="124"/>
      <c r="F1522" s="123"/>
      <c r="G1522" s="130"/>
      <c r="H1522" s="124"/>
      <c r="I1522" s="243"/>
      <c r="J1522" s="123"/>
      <c r="K1522" s="123"/>
      <c r="L1522" s="246"/>
      <c r="M1522" s="123"/>
      <c r="N1522" s="123"/>
      <c r="O1522" s="123"/>
      <c r="P1522" s="123"/>
      <c r="Q1522" t="str">
        <f t="shared" si="23"/>
        <v/>
      </c>
    </row>
    <row r="1523" spans="3:17" hidden="1">
      <c r="C1523" s="123"/>
      <c r="D1523" s="123"/>
      <c r="E1523" s="124"/>
      <c r="F1523" s="123"/>
      <c r="G1523" s="130"/>
      <c r="H1523" s="124"/>
      <c r="I1523" s="243"/>
      <c r="J1523" s="123"/>
      <c r="K1523" s="123"/>
      <c r="L1523" s="246"/>
      <c r="M1523" s="123"/>
      <c r="N1523" s="123"/>
      <c r="O1523" s="123"/>
      <c r="P1523" s="123"/>
      <c r="Q1523" t="str">
        <f t="shared" si="23"/>
        <v/>
      </c>
    </row>
    <row r="1524" spans="3:17" hidden="1">
      <c r="C1524" s="123"/>
      <c r="D1524" s="123"/>
      <c r="E1524" s="124"/>
      <c r="F1524" s="123"/>
      <c r="G1524" s="130"/>
      <c r="H1524" s="124"/>
      <c r="I1524" s="243"/>
      <c r="J1524" s="123"/>
      <c r="K1524" s="123"/>
      <c r="L1524" s="246"/>
      <c r="M1524" s="123"/>
      <c r="N1524" s="123"/>
      <c r="O1524" s="123"/>
      <c r="P1524" s="123"/>
      <c r="Q1524" t="str">
        <f t="shared" si="23"/>
        <v/>
      </c>
    </row>
    <row r="1525" spans="3:17" hidden="1">
      <c r="C1525" s="123"/>
      <c r="D1525" s="123"/>
      <c r="E1525" s="124"/>
      <c r="F1525" s="123"/>
      <c r="G1525" s="130"/>
      <c r="H1525" s="124"/>
      <c r="I1525" s="243"/>
      <c r="J1525" s="123"/>
      <c r="K1525" s="123"/>
      <c r="L1525" s="246"/>
      <c r="M1525" s="123"/>
      <c r="N1525" s="123"/>
      <c r="O1525" s="123"/>
      <c r="P1525" s="123"/>
      <c r="Q1525" t="str">
        <f t="shared" si="23"/>
        <v/>
      </c>
    </row>
    <row r="1526" spans="3:17" hidden="1">
      <c r="C1526" s="123"/>
      <c r="D1526" s="123"/>
      <c r="E1526" s="124"/>
      <c r="F1526" s="123"/>
      <c r="G1526" s="130"/>
      <c r="H1526" s="124"/>
      <c r="I1526" s="243"/>
      <c r="J1526" s="123"/>
      <c r="K1526" s="123"/>
      <c r="L1526" s="246"/>
      <c r="M1526" s="123"/>
      <c r="N1526" s="123"/>
      <c r="O1526" s="123"/>
      <c r="P1526" s="123"/>
      <c r="Q1526" t="str">
        <f t="shared" si="23"/>
        <v/>
      </c>
    </row>
    <row r="1527" spans="3:17" hidden="1">
      <c r="C1527" s="123"/>
      <c r="D1527" s="123"/>
      <c r="E1527" s="124"/>
      <c r="F1527" s="123"/>
      <c r="G1527" s="130"/>
      <c r="H1527" s="124"/>
      <c r="I1527" s="243"/>
      <c r="J1527" s="123"/>
      <c r="K1527" s="123"/>
      <c r="L1527" s="246"/>
      <c r="M1527" s="123"/>
      <c r="N1527" s="123"/>
      <c r="O1527" s="123"/>
      <c r="P1527" s="123"/>
      <c r="Q1527" t="str">
        <f t="shared" si="23"/>
        <v/>
      </c>
    </row>
    <row r="1528" spans="3:17" hidden="1">
      <c r="C1528" s="123"/>
      <c r="D1528" s="123"/>
      <c r="E1528" s="124"/>
      <c r="F1528" s="123"/>
      <c r="G1528" s="130"/>
      <c r="H1528" s="124"/>
      <c r="I1528" s="243"/>
      <c r="J1528" s="123"/>
      <c r="K1528" s="123"/>
      <c r="L1528" s="246"/>
      <c r="M1528" s="123"/>
      <c r="N1528" s="123"/>
      <c r="O1528" s="123"/>
      <c r="P1528" s="123"/>
      <c r="Q1528" t="str">
        <f t="shared" si="23"/>
        <v/>
      </c>
    </row>
    <row r="1529" spans="3:17" hidden="1">
      <c r="C1529" s="123"/>
      <c r="D1529" s="123"/>
      <c r="E1529" s="124"/>
      <c r="F1529" s="123"/>
      <c r="G1529" s="130"/>
      <c r="H1529" s="124"/>
      <c r="I1529" s="243"/>
      <c r="J1529" s="123"/>
      <c r="K1529" s="123"/>
      <c r="L1529" s="246"/>
      <c r="M1529" s="123"/>
      <c r="N1529" s="123"/>
      <c r="O1529" s="123"/>
      <c r="P1529" s="123"/>
      <c r="Q1529" t="str">
        <f t="shared" si="23"/>
        <v/>
      </c>
    </row>
    <row r="1530" spans="3:17" hidden="1">
      <c r="C1530" s="123"/>
      <c r="D1530" s="123"/>
      <c r="E1530" s="124"/>
      <c r="F1530" s="123"/>
      <c r="G1530" s="130"/>
      <c r="H1530" s="124"/>
      <c r="I1530" s="243"/>
      <c r="J1530" s="123"/>
      <c r="K1530" s="123"/>
      <c r="L1530" s="246"/>
      <c r="M1530" s="123"/>
      <c r="N1530" s="123"/>
      <c r="O1530" s="123"/>
      <c r="P1530" s="123"/>
      <c r="Q1530" t="str">
        <f t="shared" si="23"/>
        <v/>
      </c>
    </row>
    <row r="1531" spans="3:17" hidden="1">
      <c r="C1531" s="123"/>
      <c r="D1531" s="123"/>
      <c r="E1531" s="124"/>
      <c r="F1531" s="123"/>
      <c r="G1531" s="130"/>
      <c r="H1531" s="124"/>
      <c r="I1531" s="243"/>
      <c r="J1531" s="123"/>
      <c r="K1531" s="123"/>
      <c r="L1531" s="246"/>
      <c r="M1531" s="123"/>
      <c r="N1531" s="123"/>
      <c r="O1531" s="123"/>
      <c r="P1531" s="123"/>
      <c r="Q1531" t="str">
        <f t="shared" si="23"/>
        <v/>
      </c>
    </row>
    <row r="1532" spans="3:17" hidden="1">
      <c r="C1532" s="123"/>
      <c r="D1532" s="123"/>
      <c r="E1532" s="124"/>
      <c r="F1532" s="123"/>
      <c r="G1532" s="130"/>
      <c r="H1532" s="124"/>
      <c r="I1532" s="243"/>
      <c r="J1532" s="123"/>
      <c r="K1532" s="123"/>
      <c r="L1532" s="246"/>
      <c r="M1532" s="123"/>
      <c r="N1532" s="123"/>
      <c r="O1532" s="123"/>
      <c r="P1532" s="123"/>
      <c r="Q1532" t="str">
        <f t="shared" si="23"/>
        <v/>
      </c>
    </row>
    <row r="1533" spans="3:17" hidden="1">
      <c r="C1533" s="123"/>
      <c r="D1533" s="123"/>
      <c r="E1533" s="124"/>
      <c r="F1533" s="123"/>
      <c r="G1533" s="130"/>
      <c r="H1533" s="124"/>
      <c r="I1533" s="243"/>
      <c r="J1533" s="123"/>
      <c r="K1533" s="123"/>
      <c r="L1533" s="246"/>
      <c r="M1533" s="123"/>
      <c r="N1533" s="123"/>
      <c r="O1533" s="123"/>
      <c r="P1533" s="123"/>
      <c r="Q1533" t="str">
        <f t="shared" si="23"/>
        <v/>
      </c>
    </row>
    <row r="1534" spans="3:17" hidden="1">
      <c r="C1534" s="123"/>
      <c r="D1534" s="123"/>
      <c r="E1534" s="124"/>
      <c r="F1534" s="123"/>
      <c r="G1534" s="130"/>
      <c r="H1534" s="124"/>
      <c r="I1534" s="243"/>
      <c r="J1534" s="123"/>
      <c r="K1534" s="123"/>
      <c r="L1534" s="246"/>
      <c r="M1534" s="123"/>
      <c r="N1534" s="123"/>
      <c r="O1534" s="123"/>
      <c r="P1534" s="123"/>
      <c r="Q1534" t="str">
        <f t="shared" si="23"/>
        <v/>
      </c>
    </row>
    <row r="1535" spans="3:17" hidden="1">
      <c r="C1535" s="123"/>
      <c r="D1535" s="123"/>
      <c r="E1535" s="124"/>
      <c r="F1535" s="123"/>
      <c r="G1535" s="130"/>
      <c r="H1535" s="124"/>
      <c r="I1535" s="243"/>
      <c r="J1535" s="123"/>
      <c r="K1535" s="123"/>
      <c r="L1535" s="246"/>
      <c r="M1535" s="123"/>
      <c r="N1535" s="123"/>
      <c r="O1535" s="123"/>
      <c r="P1535" s="123"/>
      <c r="Q1535" t="str">
        <f t="shared" si="23"/>
        <v/>
      </c>
    </row>
    <row r="1536" spans="3:17" hidden="1">
      <c r="C1536" s="123"/>
      <c r="D1536" s="123"/>
      <c r="E1536" s="124"/>
      <c r="F1536" s="123"/>
      <c r="G1536" s="130"/>
      <c r="H1536" s="124"/>
      <c r="I1536" s="243"/>
      <c r="J1536" s="123"/>
      <c r="K1536" s="123"/>
      <c r="L1536" s="246"/>
      <c r="M1536" s="123"/>
      <c r="N1536" s="123"/>
      <c r="O1536" s="123"/>
      <c r="P1536" s="123"/>
      <c r="Q1536" t="str">
        <f t="shared" si="23"/>
        <v/>
      </c>
    </row>
    <row r="1537" spans="3:17" hidden="1">
      <c r="C1537" s="123"/>
      <c r="D1537" s="123"/>
      <c r="E1537" s="124"/>
      <c r="F1537" s="123"/>
      <c r="G1537" s="130"/>
      <c r="H1537" s="124"/>
      <c r="I1537" s="243"/>
      <c r="J1537" s="123"/>
      <c r="K1537" s="123"/>
      <c r="L1537" s="246"/>
      <c r="M1537" s="123"/>
      <c r="N1537" s="123"/>
      <c r="O1537" s="123"/>
      <c r="P1537" s="123"/>
      <c r="Q1537" t="str">
        <f t="shared" si="23"/>
        <v/>
      </c>
    </row>
    <row r="1538" spans="3:17" hidden="1">
      <c r="C1538" s="123"/>
      <c r="D1538" s="123"/>
      <c r="E1538" s="124"/>
      <c r="F1538" s="123"/>
      <c r="G1538" s="130"/>
      <c r="H1538" s="124"/>
      <c r="I1538" s="243"/>
      <c r="J1538" s="123"/>
      <c r="K1538" s="123"/>
      <c r="L1538" s="246"/>
      <c r="M1538" s="123"/>
      <c r="N1538" s="123"/>
      <c r="O1538" s="123"/>
      <c r="P1538" s="123"/>
      <c r="Q1538" t="str">
        <f t="shared" si="23"/>
        <v/>
      </c>
    </row>
    <row r="1539" spans="3:17" hidden="1">
      <c r="C1539" s="123"/>
      <c r="D1539" s="123"/>
      <c r="E1539" s="124"/>
      <c r="F1539" s="123"/>
      <c r="G1539" s="130"/>
      <c r="H1539" s="124"/>
      <c r="I1539" s="243"/>
      <c r="J1539" s="123"/>
      <c r="K1539" s="123"/>
      <c r="L1539" s="246"/>
      <c r="M1539" s="123"/>
      <c r="N1539" s="123"/>
      <c r="O1539" s="123"/>
      <c r="P1539" s="123"/>
      <c r="Q1539" t="str">
        <f t="shared" si="23"/>
        <v/>
      </c>
    </row>
    <row r="1540" spans="3:17" hidden="1">
      <c r="C1540" s="123"/>
      <c r="D1540" s="123"/>
      <c r="E1540" s="124"/>
      <c r="F1540" s="123"/>
      <c r="G1540" s="130"/>
      <c r="H1540" s="124"/>
      <c r="I1540" s="243"/>
      <c r="J1540" s="123"/>
      <c r="K1540" s="123"/>
      <c r="L1540" s="246"/>
      <c r="M1540" s="123"/>
      <c r="N1540" s="123"/>
      <c r="O1540" s="123"/>
      <c r="P1540" s="123"/>
      <c r="Q1540" t="str">
        <f t="shared" si="23"/>
        <v/>
      </c>
    </row>
    <row r="1541" spans="3:17" hidden="1">
      <c r="C1541" s="123"/>
      <c r="D1541" s="123"/>
      <c r="E1541" s="124"/>
      <c r="F1541" s="123"/>
      <c r="G1541" s="130"/>
      <c r="H1541" s="124"/>
      <c r="I1541" s="243"/>
      <c r="J1541" s="123"/>
      <c r="K1541" s="123"/>
      <c r="L1541" s="246"/>
      <c r="M1541" s="123"/>
      <c r="N1541" s="123"/>
      <c r="O1541" s="123"/>
      <c r="P1541" s="123"/>
      <c r="Q1541" t="str">
        <f t="shared" si="23"/>
        <v/>
      </c>
    </row>
    <row r="1542" spans="3:17" hidden="1">
      <c r="C1542" s="123"/>
      <c r="D1542" s="123"/>
      <c r="E1542" s="124"/>
      <c r="F1542" s="123"/>
      <c r="G1542" s="130"/>
      <c r="H1542" s="124"/>
      <c r="I1542" s="243"/>
      <c r="J1542" s="123"/>
      <c r="K1542" s="123"/>
      <c r="L1542" s="246"/>
      <c r="M1542" s="123"/>
      <c r="N1542" s="123"/>
      <c r="O1542" s="123"/>
      <c r="P1542" s="123"/>
      <c r="Q1542" t="str">
        <f t="shared" si="23"/>
        <v/>
      </c>
    </row>
    <row r="1543" spans="3:17" hidden="1">
      <c r="C1543" s="123"/>
      <c r="D1543" s="123"/>
      <c r="E1543" s="124"/>
      <c r="F1543" s="123"/>
      <c r="G1543" s="130"/>
      <c r="H1543" s="124"/>
      <c r="I1543" s="243"/>
      <c r="J1543" s="123"/>
      <c r="K1543" s="123"/>
      <c r="L1543" s="246"/>
      <c r="M1543" s="123"/>
      <c r="N1543" s="123"/>
      <c r="O1543" s="123"/>
      <c r="P1543" s="123"/>
      <c r="Q1543" t="str">
        <f t="shared" ref="Q1543:Q1606" si="24">IF(D1543="","","x")</f>
        <v/>
      </c>
    </row>
    <row r="1544" spans="3:17" hidden="1">
      <c r="C1544" s="123"/>
      <c r="D1544" s="123"/>
      <c r="E1544" s="124"/>
      <c r="F1544" s="123"/>
      <c r="G1544" s="130"/>
      <c r="H1544" s="124"/>
      <c r="I1544" s="243"/>
      <c r="J1544" s="123"/>
      <c r="K1544" s="123"/>
      <c r="L1544" s="246"/>
      <c r="M1544" s="123"/>
      <c r="N1544" s="123"/>
      <c r="O1544" s="123"/>
      <c r="P1544" s="123"/>
      <c r="Q1544" t="str">
        <f t="shared" si="24"/>
        <v/>
      </c>
    </row>
    <row r="1545" spans="3:17" hidden="1">
      <c r="C1545" s="123"/>
      <c r="D1545" s="123"/>
      <c r="E1545" s="124"/>
      <c r="F1545" s="123"/>
      <c r="G1545" s="130"/>
      <c r="H1545" s="124"/>
      <c r="I1545" s="243"/>
      <c r="J1545" s="123"/>
      <c r="K1545" s="123"/>
      <c r="L1545" s="246"/>
      <c r="M1545" s="123"/>
      <c r="N1545" s="123"/>
      <c r="O1545" s="123"/>
      <c r="P1545" s="123"/>
      <c r="Q1545" t="str">
        <f t="shared" si="24"/>
        <v/>
      </c>
    </row>
    <row r="1546" spans="3:17" hidden="1">
      <c r="C1546" s="123"/>
      <c r="D1546" s="123"/>
      <c r="E1546" s="124"/>
      <c r="F1546" s="123"/>
      <c r="G1546" s="130"/>
      <c r="H1546" s="124"/>
      <c r="I1546" s="243"/>
      <c r="J1546" s="123"/>
      <c r="K1546" s="123"/>
      <c r="L1546" s="246"/>
      <c r="M1546" s="123"/>
      <c r="N1546" s="123"/>
      <c r="O1546" s="123"/>
      <c r="P1546" s="123"/>
      <c r="Q1546" t="str">
        <f t="shared" si="24"/>
        <v/>
      </c>
    </row>
    <row r="1547" spans="3:17" hidden="1">
      <c r="C1547" s="123"/>
      <c r="D1547" s="123"/>
      <c r="E1547" s="124"/>
      <c r="F1547" s="123"/>
      <c r="G1547" s="130"/>
      <c r="H1547" s="124"/>
      <c r="I1547" s="243"/>
      <c r="J1547" s="123"/>
      <c r="K1547" s="123"/>
      <c r="L1547" s="246"/>
      <c r="M1547" s="123"/>
      <c r="N1547" s="123"/>
      <c r="O1547" s="123"/>
      <c r="P1547" s="123"/>
      <c r="Q1547" t="str">
        <f t="shared" si="24"/>
        <v/>
      </c>
    </row>
    <row r="1548" spans="3:17" hidden="1">
      <c r="C1548" s="123"/>
      <c r="D1548" s="123"/>
      <c r="E1548" s="124"/>
      <c r="F1548" s="123"/>
      <c r="G1548" s="130"/>
      <c r="H1548" s="124"/>
      <c r="I1548" s="243"/>
      <c r="J1548" s="123"/>
      <c r="K1548" s="123"/>
      <c r="L1548" s="246"/>
      <c r="M1548" s="123"/>
      <c r="N1548" s="123"/>
      <c r="O1548" s="123"/>
      <c r="P1548" s="123"/>
      <c r="Q1548" t="str">
        <f t="shared" si="24"/>
        <v/>
      </c>
    </row>
    <row r="1549" spans="3:17" hidden="1">
      <c r="C1549" s="123"/>
      <c r="D1549" s="123"/>
      <c r="E1549" s="124"/>
      <c r="F1549" s="123"/>
      <c r="G1549" s="130"/>
      <c r="H1549" s="124"/>
      <c r="I1549" s="243"/>
      <c r="J1549" s="123"/>
      <c r="K1549" s="123"/>
      <c r="L1549" s="246"/>
      <c r="M1549" s="123"/>
      <c r="N1549" s="123"/>
      <c r="O1549" s="123"/>
      <c r="P1549" s="123"/>
      <c r="Q1549" t="str">
        <f t="shared" si="24"/>
        <v/>
      </c>
    </row>
    <row r="1550" spans="3:17" hidden="1">
      <c r="C1550" s="123"/>
      <c r="D1550" s="123"/>
      <c r="E1550" s="124"/>
      <c r="F1550" s="123"/>
      <c r="G1550" s="130"/>
      <c r="H1550" s="124"/>
      <c r="I1550" s="243"/>
      <c r="J1550" s="123"/>
      <c r="K1550" s="123"/>
      <c r="L1550" s="246"/>
      <c r="M1550" s="123"/>
      <c r="N1550" s="123"/>
      <c r="O1550" s="123"/>
      <c r="P1550" s="123"/>
      <c r="Q1550" t="str">
        <f t="shared" si="24"/>
        <v/>
      </c>
    </row>
    <row r="1551" spans="3:17" hidden="1">
      <c r="C1551" s="123"/>
      <c r="D1551" s="123"/>
      <c r="E1551" s="124"/>
      <c r="F1551" s="123"/>
      <c r="G1551" s="130"/>
      <c r="H1551" s="124"/>
      <c r="I1551" s="243"/>
      <c r="J1551" s="123"/>
      <c r="K1551" s="123"/>
      <c r="L1551" s="246"/>
      <c r="M1551" s="123"/>
      <c r="N1551" s="123"/>
      <c r="O1551" s="123"/>
      <c r="P1551" s="123"/>
      <c r="Q1551" t="str">
        <f t="shared" si="24"/>
        <v/>
      </c>
    </row>
    <row r="1552" spans="3:17" hidden="1">
      <c r="C1552" s="123"/>
      <c r="D1552" s="123"/>
      <c r="E1552" s="124"/>
      <c r="F1552" s="123"/>
      <c r="G1552" s="130"/>
      <c r="H1552" s="124"/>
      <c r="I1552" s="243"/>
      <c r="J1552" s="123"/>
      <c r="K1552" s="123"/>
      <c r="L1552" s="246"/>
      <c r="M1552" s="123"/>
      <c r="N1552" s="123"/>
      <c r="O1552" s="123"/>
      <c r="P1552" s="123"/>
      <c r="Q1552" t="str">
        <f t="shared" si="24"/>
        <v/>
      </c>
    </row>
    <row r="1553" spans="3:17" hidden="1">
      <c r="C1553" s="123"/>
      <c r="D1553" s="123"/>
      <c r="E1553" s="124"/>
      <c r="F1553" s="123"/>
      <c r="G1553" s="130"/>
      <c r="H1553" s="124"/>
      <c r="I1553" s="243"/>
      <c r="J1553" s="123"/>
      <c r="K1553" s="123"/>
      <c r="L1553" s="246"/>
      <c r="M1553" s="123"/>
      <c r="N1553" s="123"/>
      <c r="O1553" s="123"/>
      <c r="P1553" s="123"/>
      <c r="Q1553" t="str">
        <f t="shared" si="24"/>
        <v/>
      </c>
    </row>
    <row r="1554" spans="3:17" hidden="1">
      <c r="C1554" s="123"/>
      <c r="D1554" s="123"/>
      <c r="E1554" s="124"/>
      <c r="F1554" s="123"/>
      <c r="G1554" s="130"/>
      <c r="H1554" s="124"/>
      <c r="I1554" s="243"/>
      <c r="J1554" s="123"/>
      <c r="K1554" s="123"/>
      <c r="L1554" s="246"/>
      <c r="M1554" s="123"/>
      <c r="N1554" s="123"/>
      <c r="O1554" s="123"/>
      <c r="P1554" s="123"/>
      <c r="Q1554" t="str">
        <f t="shared" si="24"/>
        <v/>
      </c>
    </row>
    <row r="1555" spans="3:17" hidden="1">
      <c r="C1555" s="123"/>
      <c r="D1555" s="123"/>
      <c r="E1555" s="124"/>
      <c r="F1555" s="123"/>
      <c r="G1555" s="130"/>
      <c r="H1555" s="124"/>
      <c r="I1555" s="243"/>
      <c r="J1555" s="123"/>
      <c r="K1555" s="123"/>
      <c r="L1555" s="246"/>
      <c r="M1555" s="123"/>
      <c r="N1555" s="123"/>
      <c r="O1555" s="123"/>
      <c r="P1555" s="123"/>
      <c r="Q1555" t="str">
        <f t="shared" si="24"/>
        <v/>
      </c>
    </row>
    <row r="1556" spans="3:17" hidden="1">
      <c r="C1556" s="123"/>
      <c r="D1556" s="123"/>
      <c r="E1556" s="124"/>
      <c r="F1556" s="123"/>
      <c r="G1556" s="130"/>
      <c r="H1556" s="124"/>
      <c r="I1556" s="243"/>
      <c r="J1556" s="123"/>
      <c r="K1556" s="123"/>
      <c r="L1556" s="246"/>
      <c r="M1556" s="123"/>
      <c r="N1556" s="123"/>
      <c r="O1556" s="123"/>
      <c r="P1556" s="123"/>
      <c r="Q1556" t="str">
        <f t="shared" si="24"/>
        <v/>
      </c>
    </row>
    <row r="1557" spans="3:17" hidden="1">
      <c r="C1557" s="123"/>
      <c r="D1557" s="123"/>
      <c r="E1557" s="124"/>
      <c r="F1557" s="123"/>
      <c r="G1557" s="130"/>
      <c r="H1557" s="124"/>
      <c r="I1557" s="243"/>
      <c r="J1557" s="123"/>
      <c r="K1557" s="123"/>
      <c r="L1557" s="246"/>
      <c r="M1557" s="123"/>
      <c r="N1557" s="123"/>
      <c r="O1557" s="123"/>
      <c r="P1557" s="123"/>
      <c r="Q1557" t="str">
        <f t="shared" si="24"/>
        <v/>
      </c>
    </row>
    <row r="1558" spans="3:17" hidden="1">
      <c r="C1558" s="123"/>
      <c r="D1558" s="123"/>
      <c r="E1558" s="124"/>
      <c r="F1558" s="123"/>
      <c r="G1558" s="130"/>
      <c r="H1558" s="124"/>
      <c r="I1558" s="243"/>
      <c r="J1558" s="123"/>
      <c r="K1558" s="123"/>
      <c r="L1558" s="246"/>
      <c r="M1558" s="123"/>
      <c r="N1558" s="123"/>
      <c r="O1558" s="123"/>
      <c r="P1558" s="123"/>
      <c r="Q1558" t="str">
        <f t="shared" si="24"/>
        <v/>
      </c>
    </row>
    <row r="1559" spans="3:17" hidden="1">
      <c r="C1559" s="123"/>
      <c r="D1559" s="123"/>
      <c r="E1559" s="124"/>
      <c r="F1559" s="123"/>
      <c r="G1559" s="130"/>
      <c r="H1559" s="124"/>
      <c r="I1559" s="243"/>
      <c r="J1559" s="123"/>
      <c r="K1559" s="123"/>
      <c r="L1559" s="246"/>
      <c r="M1559" s="123"/>
      <c r="N1559" s="123"/>
      <c r="O1559" s="123"/>
      <c r="P1559" s="123"/>
      <c r="Q1559" t="str">
        <f t="shared" si="24"/>
        <v/>
      </c>
    </row>
    <row r="1560" spans="3:17" hidden="1">
      <c r="C1560" s="123"/>
      <c r="D1560" s="123"/>
      <c r="E1560" s="124"/>
      <c r="F1560" s="123"/>
      <c r="G1560" s="130"/>
      <c r="H1560" s="124"/>
      <c r="I1560" s="243"/>
      <c r="J1560" s="123"/>
      <c r="K1560" s="123"/>
      <c r="L1560" s="246"/>
      <c r="M1560" s="123"/>
      <c r="N1560" s="123"/>
      <c r="O1560" s="123"/>
      <c r="P1560" s="123"/>
      <c r="Q1560" t="str">
        <f t="shared" si="24"/>
        <v/>
      </c>
    </row>
    <row r="1561" spans="3:17" hidden="1">
      <c r="C1561" s="123"/>
      <c r="D1561" s="123"/>
      <c r="E1561" s="124"/>
      <c r="F1561" s="123"/>
      <c r="G1561" s="130"/>
      <c r="H1561" s="124"/>
      <c r="I1561" s="243"/>
      <c r="J1561" s="123"/>
      <c r="K1561" s="123"/>
      <c r="L1561" s="246"/>
      <c r="M1561" s="123"/>
      <c r="N1561" s="123"/>
      <c r="O1561" s="123"/>
      <c r="P1561" s="123"/>
      <c r="Q1561" t="str">
        <f t="shared" si="24"/>
        <v/>
      </c>
    </row>
    <row r="1562" spans="3:17" hidden="1">
      <c r="C1562" s="123"/>
      <c r="D1562" s="123"/>
      <c r="E1562" s="124"/>
      <c r="F1562" s="123"/>
      <c r="G1562" s="130"/>
      <c r="H1562" s="124"/>
      <c r="I1562" s="243"/>
      <c r="J1562" s="123"/>
      <c r="K1562" s="123"/>
      <c r="L1562" s="246"/>
      <c r="M1562" s="123"/>
      <c r="N1562" s="123"/>
      <c r="O1562" s="123"/>
      <c r="P1562" s="123"/>
      <c r="Q1562" t="str">
        <f t="shared" si="24"/>
        <v/>
      </c>
    </row>
    <row r="1563" spans="3:17" hidden="1">
      <c r="C1563" s="123"/>
      <c r="D1563" s="123"/>
      <c r="E1563" s="124"/>
      <c r="F1563" s="123"/>
      <c r="G1563" s="130"/>
      <c r="H1563" s="124"/>
      <c r="I1563" s="243"/>
      <c r="J1563" s="123"/>
      <c r="K1563" s="123"/>
      <c r="L1563" s="246"/>
      <c r="M1563" s="123"/>
      <c r="N1563" s="123"/>
      <c r="O1563" s="123"/>
      <c r="P1563" s="123"/>
      <c r="Q1563" t="str">
        <f t="shared" si="24"/>
        <v/>
      </c>
    </row>
    <row r="1564" spans="3:17" hidden="1">
      <c r="C1564" s="123"/>
      <c r="D1564" s="123"/>
      <c r="E1564" s="124"/>
      <c r="F1564" s="123"/>
      <c r="G1564" s="130"/>
      <c r="H1564" s="124"/>
      <c r="I1564" s="243"/>
      <c r="J1564" s="123"/>
      <c r="K1564" s="123"/>
      <c r="L1564" s="246"/>
      <c r="M1564" s="123"/>
      <c r="N1564" s="123"/>
      <c r="O1564" s="123"/>
      <c r="P1564" s="123"/>
      <c r="Q1564" t="str">
        <f t="shared" si="24"/>
        <v/>
      </c>
    </row>
    <row r="1565" spans="3:17" hidden="1">
      <c r="C1565" s="123"/>
      <c r="D1565" s="123"/>
      <c r="E1565" s="124"/>
      <c r="F1565" s="123"/>
      <c r="G1565" s="130"/>
      <c r="H1565" s="124"/>
      <c r="I1565" s="243"/>
      <c r="J1565" s="123"/>
      <c r="K1565" s="123"/>
      <c r="L1565" s="246"/>
      <c r="M1565" s="123"/>
      <c r="N1565" s="123"/>
      <c r="O1565" s="123"/>
      <c r="P1565" s="123"/>
      <c r="Q1565" t="str">
        <f t="shared" si="24"/>
        <v/>
      </c>
    </row>
    <row r="1566" spans="3:17" hidden="1">
      <c r="C1566" s="123"/>
      <c r="D1566" s="123"/>
      <c r="E1566" s="124"/>
      <c r="F1566" s="123"/>
      <c r="G1566" s="130"/>
      <c r="H1566" s="124"/>
      <c r="I1566" s="243"/>
      <c r="J1566" s="123"/>
      <c r="K1566" s="123"/>
      <c r="L1566" s="246"/>
      <c r="M1566" s="123"/>
      <c r="N1566" s="123"/>
      <c r="O1566" s="123"/>
      <c r="P1566" s="123"/>
      <c r="Q1566" t="str">
        <f t="shared" si="24"/>
        <v/>
      </c>
    </row>
    <row r="1567" spans="3:17" hidden="1">
      <c r="C1567" s="123"/>
      <c r="D1567" s="123"/>
      <c r="E1567" s="124"/>
      <c r="F1567" s="123"/>
      <c r="G1567" s="130"/>
      <c r="H1567" s="124"/>
      <c r="I1567" s="243"/>
      <c r="J1567" s="123"/>
      <c r="K1567" s="123"/>
      <c r="L1567" s="246"/>
      <c r="M1567" s="123"/>
      <c r="N1567" s="123"/>
      <c r="O1567" s="123"/>
      <c r="P1567" s="123"/>
      <c r="Q1567" t="str">
        <f t="shared" si="24"/>
        <v/>
      </c>
    </row>
    <row r="1568" spans="3:17" hidden="1">
      <c r="C1568" s="123"/>
      <c r="D1568" s="123"/>
      <c r="E1568" s="124"/>
      <c r="F1568" s="123"/>
      <c r="G1568" s="130"/>
      <c r="H1568" s="124"/>
      <c r="I1568" s="243"/>
      <c r="J1568" s="123"/>
      <c r="K1568" s="123"/>
      <c r="L1568" s="246"/>
      <c r="M1568" s="123"/>
      <c r="N1568" s="123"/>
      <c r="O1568" s="123"/>
      <c r="P1568" s="123"/>
      <c r="Q1568" t="str">
        <f t="shared" si="24"/>
        <v/>
      </c>
    </row>
    <row r="1569" spans="3:17" hidden="1">
      <c r="C1569" s="123"/>
      <c r="D1569" s="123"/>
      <c r="E1569" s="124"/>
      <c r="F1569" s="123"/>
      <c r="G1569" s="130"/>
      <c r="H1569" s="124"/>
      <c r="I1569" s="243"/>
      <c r="J1569" s="123"/>
      <c r="K1569" s="123"/>
      <c r="L1569" s="246"/>
      <c r="M1569" s="123"/>
      <c r="N1569" s="123"/>
      <c r="O1569" s="123"/>
      <c r="P1569" s="123"/>
      <c r="Q1569" t="str">
        <f t="shared" si="24"/>
        <v/>
      </c>
    </row>
    <row r="1570" spans="3:17" hidden="1">
      <c r="C1570" s="123"/>
      <c r="D1570" s="123"/>
      <c r="E1570" s="124"/>
      <c r="F1570" s="123"/>
      <c r="G1570" s="130"/>
      <c r="H1570" s="124"/>
      <c r="I1570" s="243"/>
      <c r="J1570" s="123"/>
      <c r="K1570" s="123"/>
      <c r="L1570" s="246"/>
      <c r="M1570" s="123"/>
      <c r="N1570" s="123"/>
      <c r="O1570" s="123"/>
      <c r="P1570" s="123"/>
      <c r="Q1570" t="str">
        <f t="shared" si="24"/>
        <v/>
      </c>
    </row>
    <row r="1571" spans="3:17" hidden="1">
      <c r="C1571" s="123"/>
      <c r="D1571" s="123"/>
      <c r="E1571" s="124"/>
      <c r="F1571" s="123"/>
      <c r="G1571" s="130"/>
      <c r="H1571" s="124"/>
      <c r="I1571" s="243"/>
      <c r="J1571" s="123"/>
      <c r="K1571" s="123"/>
      <c r="L1571" s="246"/>
      <c r="M1571" s="123"/>
      <c r="N1571" s="123"/>
      <c r="O1571" s="123"/>
      <c r="P1571" s="123"/>
      <c r="Q1571" t="str">
        <f t="shared" si="24"/>
        <v/>
      </c>
    </row>
    <row r="1572" spans="3:17" hidden="1">
      <c r="C1572" s="123"/>
      <c r="D1572" s="123"/>
      <c r="E1572" s="124"/>
      <c r="F1572" s="123"/>
      <c r="G1572" s="130"/>
      <c r="H1572" s="124"/>
      <c r="I1572" s="243"/>
      <c r="J1572" s="123"/>
      <c r="K1572" s="123"/>
      <c r="L1572" s="246"/>
      <c r="M1572" s="123"/>
      <c r="N1572" s="123"/>
      <c r="O1572" s="123"/>
      <c r="P1572" s="123"/>
      <c r="Q1572" t="str">
        <f t="shared" si="24"/>
        <v/>
      </c>
    </row>
    <row r="1573" spans="3:17" hidden="1">
      <c r="C1573" s="123"/>
      <c r="D1573" s="123"/>
      <c r="E1573" s="124"/>
      <c r="F1573" s="123"/>
      <c r="G1573" s="130"/>
      <c r="H1573" s="124"/>
      <c r="I1573" s="243"/>
      <c r="J1573" s="123"/>
      <c r="K1573" s="123"/>
      <c r="L1573" s="246"/>
      <c r="M1573" s="123"/>
      <c r="N1573" s="123"/>
      <c r="O1573" s="123"/>
      <c r="P1573" s="123"/>
      <c r="Q1573" t="str">
        <f t="shared" si="24"/>
        <v/>
      </c>
    </row>
    <row r="1574" spans="3:17" hidden="1">
      <c r="C1574" s="123"/>
      <c r="D1574" s="123"/>
      <c r="E1574" s="124"/>
      <c r="F1574" s="123"/>
      <c r="G1574" s="130"/>
      <c r="H1574" s="124"/>
      <c r="I1574" s="243"/>
      <c r="J1574" s="123"/>
      <c r="K1574" s="123"/>
      <c r="L1574" s="246"/>
      <c r="M1574" s="123"/>
      <c r="N1574" s="123"/>
      <c r="O1574" s="123"/>
      <c r="P1574" s="123"/>
      <c r="Q1574" t="str">
        <f t="shared" si="24"/>
        <v/>
      </c>
    </row>
    <row r="1575" spans="3:17" hidden="1">
      <c r="C1575" s="123"/>
      <c r="D1575" s="123"/>
      <c r="E1575" s="124"/>
      <c r="F1575" s="123"/>
      <c r="G1575" s="130"/>
      <c r="H1575" s="124"/>
      <c r="I1575" s="243"/>
      <c r="J1575" s="123"/>
      <c r="K1575" s="123"/>
      <c r="L1575" s="246"/>
      <c r="M1575" s="123"/>
      <c r="N1575" s="123"/>
      <c r="O1575" s="123"/>
      <c r="P1575" s="123"/>
      <c r="Q1575" t="str">
        <f t="shared" si="24"/>
        <v/>
      </c>
    </row>
    <row r="1576" spans="3:17" hidden="1">
      <c r="C1576" s="123"/>
      <c r="D1576" s="123"/>
      <c r="E1576" s="124"/>
      <c r="F1576" s="123"/>
      <c r="G1576" s="130"/>
      <c r="H1576" s="124"/>
      <c r="I1576" s="243"/>
      <c r="J1576" s="123"/>
      <c r="K1576" s="123"/>
      <c r="L1576" s="246"/>
      <c r="M1576" s="123"/>
      <c r="N1576" s="123"/>
      <c r="O1576" s="123"/>
      <c r="P1576" s="123"/>
      <c r="Q1576" t="str">
        <f t="shared" si="24"/>
        <v/>
      </c>
    </row>
    <row r="1577" spans="3:17" hidden="1">
      <c r="C1577" s="123"/>
      <c r="D1577" s="123"/>
      <c r="E1577" s="124"/>
      <c r="F1577" s="123"/>
      <c r="G1577" s="130"/>
      <c r="H1577" s="124"/>
      <c r="I1577" s="243"/>
      <c r="J1577" s="123"/>
      <c r="K1577" s="123"/>
      <c r="L1577" s="246"/>
      <c r="M1577" s="123"/>
      <c r="N1577" s="123"/>
      <c r="O1577" s="123"/>
      <c r="P1577" s="123"/>
      <c r="Q1577" t="str">
        <f t="shared" si="24"/>
        <v/>
      </c>
    </row>
    <row r="1578" spans="3:17" hidden="1">
      <c r="C1578" s="123"/>
      <c r="D1578" s="123"/>
      <c r="E1578" s="124"/>
      <c r="F1578" s="123"/>
      <c r="G1578" s="130"/>
      <c r="H1578" s="124"/>
      <c r="I1578" s="243"/>
      <c r="J1578" s="123"/>
      <c r="K1578" s="123"/>
      <c r="L1578" s="246"/>
      <c r="M1578" s="123"/>
      <c r="N1578" s="123"/>
      <c r="O1578" s="123"/>
      <c r="P1578" s="123"/>
      <c r="Q1578" t="str">
        <f t="shared" si="24"/>
        <v/>
      </c>
    </row>
    <row r="1579" spans="3:17" hidden="1">
      <c r="C1579" s="123"/>
      <c r="D1579" s="123"/>
      <c r="E1579" s="124"/>
      <c r="F1579" s="123"/>
      <c r="G1579" s="130"/>
      <c r="H1579" s="124"/>
      <c r="I1579" s="243"/>
      <c r="J1579" s="123"/>
      <c r="K1579" s="123"/>
      <c r="L1579" s="246"/>
      <c r="M1579" s="123"/>
      <c r="N1579" s="123"/>
      <c r="O1579" s="123"/>
      <c r="P1579" s="123"/>
      <c r="Q1579" t="str">
        <f t="shared" si="24"/>
        <v/>
      </c>
    </row>
    <row r="1580" spans="3:17" hidden="1">
      <c r="C1580" s="123"/>
      <c r="D1580" s="123"/>
      <c r="E1580" s="124"/>
      <c r="F1580" s="123"/>
      <c r="G1580" s="130"/>
      <c r="H1580" s="124"/>
      <c r="I1580" s="243"/>
      <c r="J1580" s="123"/>
      <c r="K1580" s="123"/>
      <c r="L1580" s="246"/>
      <c r="M1580" s="123"/>
      <c r="N1580" s="123"/>
      <c r="O1580" s="123"/>
      <c r="P1580" s="123"/>
      <c r="Q1580" t="str">
        <f t="shared" si="24"/>
        <v/>
      </c>
    </row>
    <row r="1581" spans="3:17" hidden="1">
      <c r="C1581" s="123"/>
      <c r="D1581" s="123"/>
      <c r="E1581" s="124"/>
      <c r="F1581" s="123"/>
      <c r="G1581" s="130"/>
      <c r="H1581" s="124"/>
      <c r="I1581" s="243"/>
      <c r="J1581" s="123"/>
      <c r="K1581" s="123"/>
      <c r="L1581" s="246"/>
      <c r="M1581" s="123"/>
      <c r="N1581" s="123"/>
      <c r="O1581" s="123"/>
      <c r="P1581" s="123"/>
      <c r="Q1581" t="str">
        <f t="shared" si="24"/>
        <v/>
      </c>
    </row>
    <row r="1582" spans="3:17" hidden="1">
      <c r="C1582" s="123"/>
      <c r="D1582" s="123"/>
      <c r="E1582" s="124"/>
      <c r="F1582" s="123"/>
      <c r="G1582" s="130"/>
      <c r="H1582" s="124"/>
      <c r="I1582" s="243"/>
      <c r="J1582" s="123"/>
      <c r="K1582" s="123"/>
      <c r="L1582" s="246"/>
      <c r="M1582" s="123"/>
      <c r="N1582" s="123"/>
      <c r="O1582" s="123"/>
      <c r="P1582" s="123"/>
      <c r="Q1582" t="str">
        <f t="shared" si="24"/>
        <v/>
      </c>
    </row>
    <row r="1583" spans="3:17" hidden="1">
      <c r="C1583" s="123"/>
      <c r="D1583" s="123"/>
      <c r="E1583" s="124"/>
      <c r="F1583" s="123"/>
      <c r="G1583" s="130"/>
      <c r="H1583" s="124"/>
      <c r="I1583" s="243"/>
      <c r="J1583" s="123"/>
      <c r="K1583" s="123"/>
      <c r="L1583" s="246"/>
      <c r="M1583" s="123"/>
      <c r="N1583" s="123"/>
      <c r="O1583" s="123"/>
      <c r="P1583" s="123"/>
      <c r="Q1583" t="str">
        <f t="shared" si="24"/>
        <v/>
      </c>
    </row>
    <row r="1584" spans="3:17" hidden="1">
      <c r="C1584" s="123"/>
      <c r="D1584" s="123"/>
      <c r="E1584" s="124"/>
      <c r="F1584" s="123"/>
      <c r="G1584" s="130"/>
      <c r="H1584" s="124"/>
      <c r="I1584" s="243"/>
      <c r="J1584" s="123"/>
      <c r="K1584" s="123"/>
      <c r="L1584" s="246"/>
      <c r="M1584" s="123"/>
      <c r="N1584" s="123"/>
      <c r="O1584" s="123"/>
      <c r="P1584" s="123"/>
      <c r="Q1584" t="str">
        <f t="shared" si="24"/>
        <v/>
      </c>
    </row>
    <row r="1585" spans="3:17" hidden="1">
      <c r="C1585" s="123"/>
      <c r="D1585" s="123"/>
      <c r="E1585" s="124"/>
      <c r="F1585" s="123"/>
      <c r="G1585" s="130"/>
      <c r="H1585" s="124"/>
      <c r="I1585" s="243"/>
      <c r="J1585" s="123"/>
      <c r="K1585" s="123"/>
      <c r="L1585" s="246"/>
      <c r="M1585" s="123"/>
      <c r="N1585" s="123"/>
      <c r="O1585" s="123"/>
      <c r="P1585" s="123"/>
      <c r="Q1585" t="str">
        <f t="shared" si="24"/>
        <v/>
      </c>
    </row>
    <row r="1586" spans="3:17" hidden="1">
      <c r="C1586" s="123"/>
      <c r="D1586" s="123"/>
      <c r="E1586" s="124"/>
      <c r="F1586" s="123"/>
      <c r="G1586" s="130"/>
      <c r="H1586" s="124"/>
      <c r="I1586" s="243"/>
      <c r="J1586" s="123"/>
      <c r="K1586" s="123"/>
      <c r="L1586" s="246"/>
      <c r="M1586" s="123"/>
      <c r="N1586" s="123"/>
      <c r="O1586" s="123"/>
      <c r="P1586" s="123"/>
      <c r="Q1586" t="str">
        <f t="shared" si="24"/>
        <v/>
      </c>
    </row>
    <row r="1587" spans="3:17" hidden="1">
      <c r="C1587" s="123"/>
      <c r="D1587" s="123"/>
      <c r="E1587" s="124"/>
      <c r="F1587" s="123"/>
      <c r="G1587" s="130"/>
      <c r="H1587" s="124"/>
      <c r="I1587" s="243"/>
      <c r="J1587" s="123"/>
      <c r="K1587" s="123"/>
      <c r="L1587" s="246"/>
      <c r="M1587" s="123"/>
      <c r="N1587" s="123"/>
      <c r="O1587" s="123"/>
      <c r="P1587" s="123"/>
      <c r="Q1587" t="str">
        <f t="shared" si="24"/>
        <v/>
      </c>
    </row>
    <row r="1588" spans="3:17" hidden="1">
      <c r="C1588" s="123"/>
      <c r="D1588" s="123"/>
      <c r="E1588" s="124"/>
      <c r="F1588" s="123"/>
      <c r="G1588" s="130"/>
      <c r="H1588" s="124"/>
      <c r="I1588" s="243"/>
      <c r="J1588" s="123"/>
      <c r="K1588" s="123"/>
      <c r="L1588" s="246"/>
      <c r="M1588" s="123"/>
      <c r="N1588" s="123"/>
      <c r="O1588" s="123"/>
      <c r="P1588" s="123"/>
      <c r="Q1588" t="str">
        <f t="shared" si="24"/>
        <v/>
      </c>
    </row>
    <row r="1589" spans="3:17" hidden="1">
      <c r="C1589" s="123"/>
      <c r="D1589" s="123"/>
      <c r="E1589" s="124"/>
      <c r="F1589" s="123"/>
      <c r="G1589" s="130"/>
      <c r="H1589" s="124"/>
      <c r="I1589" s="243"/>
      <c r="J1589" s="123"/>
      <c r="K1589" s="123"/>
      <c r="L1589" s="246"/>
      <c r="M1589" s="123"/>
      <c r="N1589" s="123"/>
      <c r="O1589" s="123"/>
      <c r="P1589" s="123"/>
      <c r="Q1589" t="str">
        <f t="shared" si="24"/>
        <v/>
      </c>
    </row>
    <row r="1590" spans="3:17" hidden="1">
      <c r="C1590" s="123"/>
      <c r="D1590" s="123"/>
      <c r="E1590" s="124"/>
      <c r="F1590" s="123"/>
      <c r="G1590" s="130"/>
      <c r="H1590" s="124"/>
      <c r="I1590" s="243"/>
      <c r="J1590" s="123"/>
      <c r="K1590" s="123"/>
      <c r="L1590" s="246"/>
      <c r="M1590" s="123"/>
      <c r="N1590" s="123"/>
      <c r="O1590" s="123"/>
      <c r="P1590" s="123"/>
      <c r="Q1590" t="str">
        <f t="shared" si="24"/>
        <v/>
      </c>
    </row>
    <row r="1591" spans="3:17" hidden="1">
      <c r="C1591" s="123"/>
      <c r="D1591" s="123"/>
      <c r="E1591" s="124"/>
      <c r="F1591" s="123"/>
      <c r="G1591" s="130"/>
      <c r="H1591" s="124"/>
      <c r="I1591" s="243"/>
      <c r="J1591" s="123"/>
      <c r="K1591" s="123"/>
      <c r="L1591" s="246"/>
      <c r="M1591" s="123"/>
      <c r="N1591" s="123"/>
      <c r="O1591" s="123"/>
      <c r="P1591" s="123"/>
      <c r="Q1591" t="str">
        <f t="shared" si="24"/>
        <v/>
      </c>
    </row>
    <row r="1592" spans="3:17" hidden="1">
      <c r="C1592" s="123"/>
      <c r="D1592" s="123"/>
      <c r="E1592" s="124"/>
      <c r="F1592" s="123"/>
      <c r="G1592" s="130"/>
      <c r="H1592" s="124"/>
      <c r="I1592" s="243"/>
      <c r="J1592" s="123"/>
      <c r="K1592" s="123"/>
      <c r="L1592" s="246"/>
      <c r="M1592" s="123"/>
      <c r="N1592" s="123"/>
      <c r="O1592" s="123"/>
      <c r="P1592" s="123"/>
      <c r="Q1592" t="str">
        <f t="shared" si="24"/>
        <v/>
      </c>
    </row>
    <row r="1593" spans="3:17" hidden="1">
      <c r="C1593" s="123"/>
      <c r="D1593" s="123"/>
      <c r="E1593" s="124"/>
      <c r="F1593" s="123"/>
      <c r="G1593" s="130"/>
      <c r="H1593" s="124"/>
      <c r="I1593" s="243"/>
      <c r="J1593" s="123"/>
      <c r="K1593" s="123"/>
      <c r="L1593" s="246"/>
      <c r="M1593" s="123"/>
      <c r="N1593" s="123"/>
      <c r="O1593" s="123"/>
      <c r="P1593" s="123"/>
      <c r="Q1593" t="str">
        <f t="shared" si="24"/>
        <v/>
      </c>
    </row>
    <row r="1594" spans="3:17" hidden="1">
      <c r="C1594" s="123"/>
      <c r="D1594" s="123"/>
      <c r="E1594" s="124"/>
      <c r="F1594" s="123"/>
      <c r="G1594" s="130"/>
      <c r="H1594" s="124"/>
      <c r="I1594" s="243"/>
      <c r="J1594" s="123"/>
      <c r="K1594" s="123"/>
      <c r="L1594" s="246"/>
      <c r="M1594" s="123"/>
      <c r="N1594" s="123"/>
      <c r="O1594" s="123"/>
      <c r="P1594" s="123"/>
      <c r="Q1594" t="str">
        <f t="shared" si="24"/>
        <v/>
      </c>
    </row>
    <row r="1595" spans="3:17" hidden="1">
      <c r="C1595" s="123"/>
      <c r="D1595" s="123"/>
      <c r="E1595" s="124"/>
      <c r="F1595" s="123"/>
      <c r="G1595" s="130"/>
      <c r="H1595" s="124"/>
      <c r="I1595" s="243"/>
      <c r="J1595" s="123"/>
      <c r="K1595" s="123"/>
      <c r="L1595" s="246"/>
      <c r="M1595" s="123"/>
      <c r="N1595" s="123"/>
      <c r="O1595" s="123"/>
      <c r="P1595" s="123"/>
      <c r="Q1595" t="str">
        <f t="shared" si="24"/>
        <v/>
      </c>
    </row>
    <row r="1596" spans="3:17" hidden="1">
      <c r="C1596" s="123"/>
      <c r="D1596" s="123"/>
      <c r="E1596" s="124"/>
      <c r="F1596" s="123"/>
      <c r="G1596" s="130"/>
      <c r="H1596" s="124"/>
      <c r="I1596" s="243"/>
      <c r="J1596" s="123"/>
      <c r="K1596" s="123"/>
      <c r="L1596" s="246"/>
      <c r="M1596" s="123"/>
      <c r="N1596" s="123"/>
      <c r="O1596" s="123"/>
      <c r="P1596" s="123"/>
      <c r="Q1596" t="str">
        <f t="shared" si="24"/>
        <v/>
      </c>
    </row>
    <row r="1597" spans="3:17" hidden="1">
      <c r="C1597" s="123"/>
      <c r="D1597" s="123"/>
      <c r="E1597" s="124"/>
      <c r="F1597" s="123"/>
      <c r="G1597" s="130"/>
      <c r="H1597" s="124"/>
      <c r="I1597" s="243"/>
      <c r="J1597" s="123"/>
      <c r="K1597" s="123"/>
      <c r="L1597" s="246"/>
      <c r="M1597" s="123"/>
      <c r="N1597" s="123"/>
      <c r="O1597" s="123"/>
      <c r="P1597" s="123"/>
      <c r="Q1597" t="str">
        <f t="shared" si="24"/>
        <v/>
      </c>
    </row>
    <row r="1598" spans="3:17" hidden="1">
      <c r="C1598" s="123"/>
      <c r="D1598" s="123"/>
      <c r="E1598" s="124"/>
      <c r="F1598" s="123"/>
      <c r="G1598" s="130"/>
      <c r="H1598" s="124"/>
      <c r="I1598" s="243"/>
      <c r="J1598" s="123"/>
      <c r="K1598" s="123"/>
      <c r="L1598" s="246"/>
      <c r="M1598" s="123"/>
      <c r="N1598" s="123"/>
      <c r="O1598" s="123"/>
      <c r="P1598" s="123"/>
      <c r="Q1598" t="str">
        <f t="shared" si="24"/>
        <v/>
      </c>
    </row>
    <row r="1599" spans="3:17" hidden="1">
      <c r="C1599" s="123"/>
      <c r="D1599" s="123"/>
      <c r="E1599" s="124"/>
      <c r="F1599" s="123"/>
      <c r="G1599" s="130"/>
      <c r="H1599" s="124"/>
      <c r="I1599" s="243"/>
      <c r="J1599" s="123"/>
      <c r="K1599" s="123"/>
      <c r="L1599" s="246"/>
      <c r="M1599" s="123"/>
      <c r="N1599" s="123"/>
      <c r="O1599" s="123"/>
      <c r="P1599" s="123"/>
      <c r="Q1599" t="str">
        <f t="shared" si="24"/>
        <v/>
      </c>
    </row>
    <row r="1600" spans="3:17" hidden="1">
      <c r="C1600" s="123"/>
      <c r="D1600" s="123"/>
      <c r="E1600" s="124"/>
      <c r="F1600" s="123"/>
      <c r="G1600" s="130"/>
      <c r="H1600" s="124"/>
      <c r="I1600" s="243"/>
      <c r="J1600" s="123"/>
      <c r="K1600" s="123"/>
      <c r="L1600" s="246"/>
      <c r="M1600" s="123"/>
      <c r="N1600" s="123"/>
      <c r="O1600" s="123"/>
      <c r="P1600" s="123"/>
      <c r="Q1600" t="str">
        <f t="shared" si="24"/>
        <v/>
      </c>
    </row>
    <row r="1601" spans="3:17" hidden="1">
      <c r="C1601" s="123"/>
      <c r="D1601" s="123"/>
      <c r="E1601" s="124"/>
      <c r="F1601" s="123"/>
      <c r="G1601" s="130"/>
      <c r="H1601" s="124"/>
      <c r="I1601" s="243"/>
      <c r="J1601" s="123"/>
      <c r="K1601" s="123"/>
      <c r="L1601" s="246"/>
      <c r="M1601" s="123"/>
      <c r="N1601" s="123"/>
      <c r="O1601" s="123"/>
      <c r="P1601" s="123"/>
      <c r="Q1601" t="str">
        <f t="shared" si="24"/>
        <v/>
      </c>
    </row>
    <row r="1602" spans="3:17" hidden="1">
      <c r="C1602" s="123"/>
      <c r="D1602" s="123"/>
      <c r="E1602" s="124"/>
      <c r="F1602" s="123"/>
      <c r="G1602" s="130"/>
      <c r="H1602" s="124"/>
      <c r="I1602" s="243"/>
      <c r="J1602" s="123"/>
      <c r="K1602" s="123"/>
      <c r="L1602" s="246"/>
      <c r="M1602" s="123"/>
      <c r="N1602" s="123"/>
      <c r="O1602" s="123"/>
      <c r="P1602" s="123"/>
      <c r="Q1602" t="str">
        <f t="shared" si="24"/>
        <v/>
      </c>
    </row>
    <row r="1603" spans="3:17" hidden="1">
      <c r="C1603" s="123"/>
      <c r="D1603" s="123"/>
      <c r="E1603" s="124"/>
      <c r="F1603" s="123"/>
      <c r="G1603" s="130"/>
      <c r="H1603" s="124"/>
      <c r="I1603" s="243"/>
      <c r="J1603" s="123"/>
      <c r="K1603" s="123"/>
      <c r="L1603" s="246"/>
      <c r="M1603" s="123"/>
      <c r="N1603" s="123"/>
      <c r="O1603" s="123"/>
      <c r="P1603" s="123"/>
      <c r="Q1603" t="str">
        <f t="shared" si="24"/>
        <v/>
      </c>
    </row>
    <row r="1604" spans="3:17" hidden="1">
      <c r="C1604" s="123"/>
      <c r="D1604" s="123"/>
      <c r="E1604" s="124"/>
      <c r="F1604" s="123"/>
      <c r="G1604" s="130"/>
      <c r="H1604" s="124"/>
      <c r="I1604" s="243"/>
      <c r="J1604" s="123"/>
      <c r="K1604" s="123"/>
      <c r="L1604" s="246"/>
      <c r="M1604" s="123"/>
      <c r="N1604" s="123"/>
      <c r="O1604" s="123"/>
      <c r="P1604" s="123"/>
      <c r="Q1604" t="str">
        <f t="shared" si="24"/>
        <v/>
      </c>
    </row>
    <row r="1605" spans="3:17" hidden="1">
      <c r="C1605" s="123"/>
      <c r="D1605" s="123"/>
      <c r="E1605" s="124"/>
      <c r="F1605" s="123"/>
      <c r="G1605" s="130"/>
      <c r="H1605" s="124"/>
      <c r="I1605" s="243"/>
      <c r="J1605" s="123"/>
      <c r="K1605" s="123"/>
      <c r="L1605" s="246"/>
      <c r="M1605" s="123"/>
      <c r="N1605" s="123"/>
      <c r="O1605" s="123"/>
      <c r="P1605" s="123"/>
      <c r="Q1605" t="str">
        <f t="shared" si="24"/>
        <v/>
      </c>
    </row>
    <row r="1606" spans="3:17" hidden="1">
      <c r="C1606" s="123"/>
      <c r="D1606" s="123"/>
      <c r="E1606" s="124"/>
      <c r="F1606" s="123"/>
      <c r="G1606" s="130"/>
      <c r="H1606" s="124"/>
      <c r="I1606" s="243"/>
      <c r="J1606" s="123"/>
      <c r="K1606" s="123"/>
      <c r="L1606" s="246"/>
      <c r="M1606" s="123"/>
      <c r="N1606" s="123"/>
      <c r="O1606" s="123"/>
      <c r="P1606" s="123"/>
      <c r="Q1606" t="str">
        <f t="shared" si="24"/>
        <v/>
      </c>
    </row>
    <row r="1607" spans="3:17" hidden="1">
      <c r="C1607" s="123"/>
      <c r="D1607" s="123"/>
      <c r="E1607" s="124"/>
      <c r="F1607" s="123"/>
      <c r="G1607" s="130"/>
      <c r="H1607" s="124"/>
      <c r="I1607" s="243"/>
      <c r="J1607" s="123"/>
      <c r="K1607" s="123"/>
      <c r="L1607" s="246"/>
      <c r="M1607" s="123"/>
      <c r="N1607" s="123"/>
      <c r="O1607" s="123"/>
      <c r="P1607" s="123"/>
      <c r="Q1607" t="str">
        <f t="shared" ref="Q1607:Q1670" si="25">IF(D1607="","","x")</f>
        <v/>
      </c>
    </row>
    <row r="1608" spans="3:17" hidden="1">
      <c r="C1608" s="123"/>
      <c r="D1608" s="123"/>
      <c r="E1608" s="124"/>
      <c r="F1608" s="123"/>
      <c r="G1608" s="130"/>
      <c r="H1608" s="124"/>
      <c r="I1608" s="243"/>
      <c r="J1608" s="123"/>
      <c r="K1608" s="123"/>
      <c r="L1608" s="246"/>
      <c r="M1608" s="123"/>
      <c r="N1608" s="123"/>
      <c r="O1608" s="123"/>
      <c r="P1608" s="123"/>
      <c r="Q1608" t="str">
        <f t="shared" si="25"/>
        <v/>
      </c>
    </row>
    <row r="1609" spans="3:17" hidden="1">
      <c r="C1609" s="123"/>
      <c r="D1609" s="123"/>
      <c r="E1609" s="124"/>
      <c r="F1609" s="123"/>
      <c r="G1609" s="130"/>
      <c r="H1609" s="124"/>
      <c r="I1609" s="243"/>
      <c r="J1609" s="123"/>
      <c r="K1609" s="123"/>
      <c r="L1609" s="246"/>
      <c r="M1609" s="123"/>
      <c r="N1609" s="123"/>
      <c r="O1609" s="123"/>
      <c r="P1609" s="123"/>
      <c r="Q1609" t="str">
        <f t="shared" si="25"/>
        <v/>
      </c>
    </row>
    <row r="1610" spans="3:17" hidden="1">
      <c r="C1610" s="123"/>
      <c r="D1610" s="123"/>
      <c r="E1610" s="124"/>
      <c r="F1610" s="123"/>
      <c r="G1610" s="130"/>
      <c r="H1610" s="124"/>
      <c r="I1610" s="243"/>
      <c r="J1610" s="123"/>
      <c r="K1610" s="123"/>
      <c r="L1610" s="246"/>
      <c r="M1610" s="123"/>
      <c r="N1610" s="123"/>
      <c r="O1610" s="123"/>
      <c r="P1610" s="123"/>
      <c r="Q1610" t="str">
        <f t="shared" si="25"/>
        <v/>
      </c>
    </row>
    <row r="1611" spans="3:17" hidden="1">
      <c r="C1611" s="123"/>
      <c r="D1611" s="123"/>
      <c r="E1611" s="124"/>
      <c r="F1611" s="123"/>
      <c r="G1611" s="130"/>
      <c r="H1611" s="124"/>
      <c r="I1611" s="243"/>
      <c r="J1611" s="123"/>
      <c r="K1611" s="123"/>
      <c r="L1611" s="246"/>
      <c r="M1611" s="123"/>
      <c r="N1611" s="123"/>
      <c r="O1611" s="123"/>
      <c r="P1611" s="123"/>
      <c r="Q1611" t="str">
        <f t="shared" si="25"/>
        <v/>
      </c>
    </row>
    <row r="1612" spans="3:17" hidden="1">
      <c r="C1612" s="123"/>
      <c r="D1612" s="123"/>
      <c r="E1612" s="124"/>
      <c r="F1612" s="123"/>
      <c r="G1612" s="130"/>
      <c r="H1612" s="124"/>
      <c r="I1612" s="243"/>
      <c r="J1612" s="123"/>
      <c r="K1612" s="123"/>
      <c r="L1612" s="246"/>
      <c r="M1612" s="123"/>
      <c r="N1612" s="123"/>
      <c r="O1612" s="123"/>
      <c r="P1612" s="123"/>
      <c r="Q1612" t="str">
        <f t="shared" si="25"/>
        <v/>
      </c>
    </row>
    <row r="1613" spans="3:17" hidden="1">
      <c r="C1613" s="123"/>
      <c r="D1613" s="123"/>
      <c r="E1613" s="124"/>
      <c r="F1613" s="123"/>
      <c r="G1613" s="130"/>
      <c r="H1613" s="124"/>
      <c r="I1613" s="243"/>
      <c r="J1613" s="123"/>
      <c r="K1613" s="123"/>
      <c r="L1613" s="246"/>
      <c r="M1613" s="123"/>
      <c r="N1613" s="123"/>
      <c r="O1613" s="123"/>
      <c r="P1613" s="123"/>
      <c r="Q1613" t="str">
        <f t="shared" si="25"/>
        <v/>
      </c>
    </row>
    <row r="1614" spans="3:17" hidden="1">
      <c r="C1614" s="123"/>
      <c r="D1614" s="123"/>
      <c r="E1614" s="124"/>
      <c r="F1614" s="123"/>
      <c r="G1614" s="130"/>
      <c r="H1614" s="124"/>
      <c r="I1614" s="243"/>
      <c r="J1614" s="123"/>
      <c r="K1614" s="123"/>
      <c r="L1614" s="246"/>
      <c r="M1614" s="123"/>
      <c r="N1614" s="123"/>
      <c r="O1614" s="123"/>
      <c r="P1614" s="123"/>
      <c r="Q1614" t="str">
        <f t="shared" si="25"/>
        <v/>
      </c>
    </row>
    <row r="1615" spans="3:17" hidden="1">
      <c r="C1615" s="123"/>
      <c r="D1615" s="123"/>
      <c r="E1615" s="124"/>
      <c r="F1615" s="123"/>
      <c r="G1615" s="130"/>
      <c r="H1615" s="124"/>
      <c r="I1615" s="243"/>
      <c r="J1615" s="123"/>
      <c r="K1615" s="123"/>
      <c r="L1615" s="246"/>
      <c r="M1615" s="123"/>
      <c r="N1615" s="123"/>
      <c r="O1615" s="123"/>
      <c r="P1615" s="123"/>
      <c r="Q1615" t="str">
        <f t="shared" si="25"/>
        <v/>
      </c>
    </row>
    <row r="1616" spans="3:17" hidden="1">
      <c r="C1616" s="123"/>
      <c r="D1616" s="123"/>
      <c r="E1616" s="124"/>
      <c r="F1616" s="123"/>
      <c r="G1616" s="130"/>
      <c r="H1616" s="124"/>
      <c r="I1616" s="243"/>
      <c r="J1616" s="123"/>
      <c r="K1616" s="123"/>
      <c r="L1616" s="246"/>
      <c r="M1616" s="123"/>
      <c r="N1616" s="123"/>
      <c r="O1616" s="123"/>
      <c r="P1616" s="123"/>
      <c r="Q1616" t="str">
        <f t="shared" si="25"/>
        <v/>
      </c>
    </row>
    <row r="1617" spans="3:17" hidden="1">
      <c r="C1617" s="123"/>
      <c r="D1617" s="123"/>
      <c r="E1617" s="124"/>
      <c r="F1617" s="123"/>
      <c r="G1617" s="130"/>
      <c r="H1617" s="124"/>
      <c r="I1617" s="243"/>
      <c r="J1617" s="123"/>
      <c r="K1617" s="123"/>
      <c r="L1617" s="246"/>
      <c r="M1617" s="123"/>
      <c r="N1617" s="123"/>
      <c r="O1617" s="123"/>
      <c r="P1617" s="123"/>
      <c r="Q1617" t="str">
        <f t="shared" si="25"/>
        <v/>
      </c>
    </row>
    <row r="1618" spans="3:17" hidden="1">
      <c r="C1618" s="123"/>
      <c r="D1618" s="123"/>
      <c r="E1618" s="124"/>
      <c r="F1618" s="123"/>
      <c r="G1618" s="130"/>
      <c r="H1618" s="124"/>
      <c r="I1618" s="243"/>
      <c r="J1618" s="123"/>
      <c r="K1618" s="123"/>
      <c r="L1618" s="246"/>
      <c r="M1618" s="123"/>
      <c r="N1618" s="123"/>
      <c r="O1618" s="123"/>
      <c r="P1618" s="123"/>
      <c r="Q1618" t="str">
        <f t="shared" si="25"/>
        <v/>
      </c>
    </row>
    <row r="1619" spans="3:17" hidden="1">
      <c r="C1619" s="123"/>
      <c r="D1619" s="123"/>
      <c r="E1619" s="124"/>
      <c r="F1619" s="123"/>
      <c r="G1619" s="130"/>
      <c r="H1619" s="124"/>
      <c r="I1619" s="243"/>
      <c r="J1619" s="123"/>
      <c r="K1619" s="123"/>
      <c r="L1619" s="246"/>
      <c r="M1619" s="123"/>
      <c r="N1619" s="123"/>
      <c r="O1619" s="123"/>
      <c r="P1619" s="123"/>
      <c r="Q1619" t="str">
        <f t="shared" si="25"/>
        <v/>
      </c>
    </row>
    <row r="1620" spans="3:17" hidden="1">
      <c r="C1620" s="123"/>
      <c r="D1620" s="123"/>
      <c r="E1620" s="124"/>
      <c r="F1620" s="123"/>
      <c r="G1620" s="130"/>
      <c r="H1620" s="124"/>
      <c r="I1620" s="243"/>
      <c r="J1620" s="123"/>
      <c r="K1620" s="123"/>
      <c r="L1620" s="246"/>
      <c r="M1620" s="123"/>
      <c r="N1620" s="123"/>
      <c r="O1620" s="123"/>
      <c r="P1620" s="123"/>
      <c r="Q1620" t="str">
        <f t="shared" si="25"/>
        <v/>
      </c>
    </row>
    <row r="1621" spans="3:17" hidden="1">
      <c r="C1621" s="123"/>
      <c r="D1621" s="123"/>
      <c r="E1621" s="124"/>
      <c r="F1621" s="123"/>
      <c r="G1621" s="130"/>
      <c r="H1621" s="124"/>
      <c r="I1621" s="243"/>
      <c r="J1621" s="123"/>
      <c r="K1621" s="123"/>
      <c r="L1621" s="246"/>
      <c r="M1621" s="123"/>
      <c r="N1621" s="123"/>
      <c r="O1621" s="123"/>
      <c r="P1621" s="123"/>
      <c r="Q1621" t="str">
        <f t="shared" si="25"/>
        <v/>
      </c>
    </row>
    <row r="1622" spans="3:17" hidden="1">
      <c r="C1622" s="123"/>
      <c r="D1622" s="123"/>
      <c r="E1622" s="124"/>
      <c r="F1622" s="123"/>
      <c r="G1622" s="130"/>
      <c r="H1622" s="124"/>
      <c r="I1622" s="243"/>
      <c r="J1622" s="123"/>
      <c r="K1622" s="123"/>
      <c r="L1622" s="246"/>
      <c r="M1622" s="123"/>
      <c r="N1622" s="123"/>
      <c r="O1622" s="123"/>
      <c r="P1622" s="123"/>
      <c r="Q1622" t="str">
        <f t="shared" si="25"/>
        <v/>
      </c>
    </row>
    <row r="1623" spans="3:17" hidden="1">
      <c r="C1623" s="123"/>
      <c r="D1623" s="123"/>
      <c r="E1623" s="124"/>
      <c r="F1623" s="123"/>
      <c r="G1623" s="130"/>
      <c r="H1623" s="124"/>
      <c r="I1623" s="243"/>
      <c r="J1623" s="123"/>
      <c r="K1623" s="123"/>
      <c r="L1623" s="246"/>
      <c r="M1623" s="123"/>
      <c r="N1623" s="123"/>
      <c r="O1623" s="123"/>
      <c r="P1623" s="123"/>
      <c r="Q1623" t="str">
        <f t="shared" si="25"/>
        <v/>
      </c>
    </row>
    <row r="1624" spans="3:17" hidden="1">
      <c r="C1624" s="123"/>
      <c r="D1624" s="123"/>
      <c r="E1624" s="124"/>
      <c r="F1624" s="123"/>
      <c r="G1624" s="130"/>
      <c r="H1624" s="124"/>
      <c r="I1624" s="243"/>
      <c r="J1624" s="123"/>
      <c r="K1624" s="123"/>
      <c r="L1624" s="246"/>
      <c r="M1624" s="123"/>
      <c r="N1624" s="123"/>
      <c r="O1624" s="123"/>
      <c r="P1624" s="123"/>
      <c r="Q1624" t="str">
        <f t="shared" si="25"/>
        <v/>
      </c>
    </row>
    <row r="1625" spans="3:17" hidden="1">
      <c r="C1625" s="123"/>
      <c r="D1625" s="123"/>
      <c r="E1625" s="124"/>
      <c r="F1625" s="123"/>
      <c r="G1625" s="130"/>
      <c r="H1625" s="124"/>
      <c r="I1625" s="243"/>
      <c r="J1625" s="123"/>
      <c r="K1625" s="123"/>
      <c r="L1625" s="246"/>
      <c r="M1625" s="123"/>
      <c r="N1625" s="123"/>
      <c r="O1625" s="123"/>
      <c r="P1625" s="123"/>
      <c r="Q1625" t="str">
        <f t="shared" si="25"/>
        <v/>
      </c>
    </row>
    <row r="1626" spans="3:17" hidden="1">
      <c r="C1626" s="123"/>
      <c r="D1626" s="123"/>
      <c r="E1626" s="124"/>
      <c r="F1626" s="123"/>
      <c r="G1626" s="130"/>
      <c r="H1626" s="124"/>
      <c r="I1626" s="243"/>
      <c r="J1626" s="123"/>
      <c r="K1626" s="123"/>
      <c r="L1626" s="246"/>
      <c r="M1626" s="123"/>
      <c r="N1626" s="123"/>
      <c r="O1626" s="123"/>
      <c r="P1626" s="123"/>
      <c r="Q1626" t="str">
        <f t="shared" si="25"/>
        <v/>
      </c>
    </row>
    <row r="1627" spans="3:17" hidden="1">
      <c r="C1627" s="123"/>
      <c r="D1627" s="123"/>
      <c r="E1627" s="124"/>
      <c r="F1627" s="123"/>
      <c r="G1627" s="130"/>
      <c r="H1627" s="124"/>
      <c r="I1627" s="243"/>
      <c r="J1627" s="123"/>
      <c r="K1627" s="123"/>
      <c r="L1627" s="246"/>
      <c r="M1627" s="123"/>
      <c r="N1627" s="123"/>
      <c r="O1627" s="123"/>
      <c r="P1627" s="123"/>
      <c r="Q1627" t="str">
        <f t="shared" si="25"/>
        <v/>
      </c>
    </row>
    <row r="1628" spans="3:17" hidden="1">
      <c r="C1628" s="123"/>
      <c r="D1628" s="123"/>
      <c r="E1628" s="124"/>
      <c r="F1628" s="123"/>
      <c r="G1628" s="130"/>
      <c r="H1628" s="124"/>
      <c r="I1628" s="243"/>
      <c r="J1628" s="123"/>
      <c r="K1628" s="123"/>
      <c r="L1628" s="246"/>
      <c r="M1628" s="123"/>
      <c r="N1628" s="123"/>
      <c r="O1628" s="123"/>
      <c r="P1628" s="123"/>
      <c r="Q1628" t="str">
        <f t="shared" si="25"/>
        <v/>
      </c>
    </row>
    <row r="1629" spans="3:17" hidden="1">
      <c r="C1629" s="123"/>
      <c r="D1629" s="123"/>
      <c r="E1629" s="124"/>
      <c r="F1629" s="123"/>
      <c r="G1629" s="130"/>
      <c r="H1629" s="124"/>
      <c r="I1629" s="243"/>
      <c r="J1629" s="123"/>
      <c r="K1629" s="123"/>
      <c r="L1629" s="246"/>
      <c r="M1629" s="123"/>
      <c r="N1629" s="123"/>
      <c r="O1629" s="123"/>
      <c r="P1629" s="123"/>
      <c r="Q1629" t="str">
        <f t="shared" si="25"/>
        <v/>
      </c>
    </row>
    <row r="1630" spans="3:17" hidden="1">
      <c r="C1630" s="123"/>
      <c r="D1630" s="123"/>
      <c r="E1630" s="124"/>
      <c r="F1630" s="123"/>
      <c r="G1630" s="130"/>
      <c r="H1630" s="124"/>
      <c r="I1630" s="243"/>
      <c r="J1630" s="123"/>
      <c r="K1630" s="123"/>
      <c r="L1630" s="246"/>
      <c r="M1630" s="123"/>
      <c r="N1630" s="123"/>
      <c r="O1630" s="123"/>
      <c r="P1630" s="123"/>
      <c r="Q1630" t="str">
        <f t="shared" si="25"/>
        <v/>
      </c>
    </row>
    <row r="1631" spans="3:17" hidden="1">
      <c r="C1631" s="123"/>
      <c r="D1631" s="123"/>
      <c r="E1631" s="124"/>
      <c r="F1631" s="123"/>
      <c r="G1631" s="130"/>
      <c r="H1631" s="124"/>
      <c r="I1631" s="243"/>
      <c r="J1631" s="123"/>
      <c r="K1631" s="123"/>
      <c r="L1631" s="246"/>
      <c r="M1631" s="123"/>
      <c r="N1631" s="123"/>
      <c r="O1631" s="123"/>
      <c r="P1631" s="123"/>
      <c r="Q1631" t="str">
        <f t="shared" si="25"/>
        <v/>
      </c>
    </row>
    <row r="1632" spans="3:17" hidden="1">
      <c r="C1632" s="123"/>
      <c r="D1632" s="123"/>
      <c r="E1632" s="124"/>
      <c r="F1632" s="123"/>
      <c r="G1632" s="130"/>
      <c r="H1632" s="124"/>
      <c r="I1632" s="243"/>
      <c r="J1632" s="123"/>
      <c r="K1632" s="123"/>
      <c r="L1632" s="246"/>
      <c r="M1632" s="123"/>
      <c r="N1632" s="123"/>
      <c r="O1632" s="123"/>
      <c r="P1632" s="123"/>
      <c r="Q1632" t="str">
        <f t="shared" si="25"/>
        <v/>
      </c>
    </row>
    <row r="1633" spans="3:17" hidden="1">
      <c r="C1633" s="123"/>
      <c r="D1633" s="123"/>
      <c r="E1633" s="124"/>
      <c r="F1633" s="123"/>
      <c r="G1633" s="130"/>
      <c r="H1633" s="124"/>
      <c r="I1633" s="243"/>
      <c r="J1633" s="123"/>
      <c r="K1633" s="123"/>
      <c r="L1633" s="246"/>
      <c r="M1633" s="123"/>
      <c r="N1633" s="123"/>
      <c r="O1633" s="123"/>
      <c r="P1633" s="123"/>
      <c r="Q1633" t="str">
        <f t="shared" si="25"/>
        <v/>
      </c>
    </row>
    <row r="1634" spans="3:17" hidden="1">
      <c r="C1634" s="123"/>
      <c r="D1634" s="123"/>
      <c r="E1634" s="124"/>
      <c r="F1634" s="123"/>
      <c r="G1634" s="130"/>
      <c r="H1634" s="124"/>
      <c r="I1634" s="243"/>
      <c r="J1634" s="123"/>
      <c r="K1634" s="123"/>
      <c r="L1634" s="246"/>
      <c r="M1634" s="123"/>
      <c r="N1634" s="123"/>
      <c r="O1634" s="123"/>
      <c r="P1634" s="123"/>
      <c r="Q1634" t="str">
        <f t="shared" si="25"/>
        <v/>
      </c>
    </row>
    <row r="1635" spans="3:17" hidden="1">
      <c r="C1635" s="123"/>
      <c r="D1635" s="123"/>
      <c r="E1635" s="124"/>
      <c r="F1635" s="123"/>
      <c r="G1635" s="130"/>
      <c r="H1635" s="124"/>
      <c r="I1635" s="243"/>
      <c r="J1635" s="123"/>
      <c r="K1635" s="123"/>
      <c r="L1635" s="246"/>
      <c r="M1635" s="123"/>
      <c r="N1635" s="123"/>
      <c r="O1635" s="123"/>
      <c r="P1635" s="123"/>
      <c r="Q1635" t="str">
        <f t="shared" si="25"/>
        <v/>
      </c>
    </row>
    <row r="1636" spans="3:17" hidden="1">
      <c r="C1636" s="123"/>
      <c r="D1636" s="123"/>
      <c r="E1636" s="124"/>
      <c r="F1636" s="123"/>
      <c r="G1636" s="130"/>
      <c r="H1636" s="124"/>
      <c r="I1636" s="243"/>
      <c r="J1636" s="123"/>
      <c r="K1636" s="123"/>
      <c r="L1636" s="246"/>
      <c r="M1636" s="123"/>
      <c r="N1636" s="123"/>
      <c r="O1636" s="123"/>
      <c r="P1636" s="123"/>
      <c r="Q1636" t="str">
        <f t="shared" si="25"/>
        <v/>
      </c>
    </row>
    <row r="1637" spans="3:17" hidden="1">
      <c r="C1637" s="123"/>
      <c r="D1637" s="123"/>
      <c r="E1637" s="124"/>
      <c r="F1637" s="123"/>
      <c r="G1637" s="130"/>
      <c r="H1637" s="124"/>
      <c r="I1637" s="243"/>
      <c r="J1637" s="123"/>
      <c r="K1637" s="123"/>
      <c r="L1637" s="246"/>
      <c r="M1637" s="123"/>
      <c r="N1637" s="123"/>
      <c r="O1637" s="123"/>
      <c r="P1637" s="123"/>
      <c r="Q1637" t="str">
        <f t="shared" si="25"/>
        <v/>
      </c>
    </row>
    <row r="1638" spans="3:17" hidden="1">
      <c r="C1638" s="123"/>
      <c r="D1638" s="123"/>
      <c r="E1638" s="124"/>
      <c r="F1638" s="123"/>
      <c r="G1638" s="130"/>
      <c r="H1638" s="124"/>
      <c r="I1638" s="243"/>
      <c r="J1638" s="123"/>
      <c r="K1638" s="123"/>
      <c r="L1638" s="246"/>
      <c r="M1638" s="123"/>
      <c r="N1638" s="123"/>
      <c r="O1638" s="123"/>
      <c r="P1638" s="123"/>
      <c r="Q1638" t="str">
        <f t="shared" si="25"/>
        <v/>
      </c>
    </row>
    <row r="1639" spans="3:17" hidden="1">
      <c r="C1639" s="123"/>
      <c r="D1639" s="123"/>
      <c r="E1639" s="124"/>
      <c r="F1639" s="123"/>
      <c r="G1639" s="130"/>
      <c r="H1639" s="124"/>
      <c r="I1639" s="243"/>
      <c r="J1639" s="123"/>
      <c r="K1639" s="123"/>
      <c r="L1639" s="246"/>
      <c r="M1639" s="123"/>
      <c r="N1639" s="123"/>
      <c r="O1639" s="123"/>
      <c r="P1639" s="123"/>
      <c r="Q1639" t="str">
        <f t="shared" si="25"/>
        <v/>
      </c>
    </row>
    <row r="1640" spans="3:17" hidden="1">
      <c r="C1640" s="123"/>
      <c r="D1640" s="123"/>
      <c r="E1640" s="124"/>
      <c r="F1640" s="123"/>
      <c r="G1640" s="130"/>
      <c r="H1640" s="124"/>
      <c r="I1640" s="243"/>
      <c r="J1640" s="123"/>
      <c r="K1640" s="123"/>
      <c r="L1640" s="246"/>
      <c r="M1640" s="123"/>
      <c r="N1640" s="123"/>
      <c r="O1640" s="123"/>
      <c r="P1640" s="123"/>
      <c r="Q1640" t="str">
        <f t="shared" si="25"/>
        <v/>
      </c>
    </row>
    <row r="1641" spans="3:17" hidden="1">
      <c r="C1641" s="123"/>
      <c r="D1641" s="123"/>
      <c r="E1641" s="124"/>
      <c r="F1641" s="123"/>
      <c r="G1641" s="130"/>
      <c r="H1641" s="124"/>
      <c r="I1641" s="243"/>
      <c r="J1641" s="123"/>
      <c r="K1641" s="123"/>
      <c r="L1641" s="246"/>
      <c r="M1641" s="123"/>
      <c r="N1641" s="123"/>
      <c r="O1641" s="123"/>
      <c r="P1641" s="123"/>
      <c r="Q1641" t="str">
        <f t="shared" si="25"/>
        <v/>
      </c>
    </row>
    <row r="1642" spans="3:17" hidden="1">
      <c r="C1642" s="123"/>
      <c r="D1642" s="123"/>
      <c r="E1642" s="124"/>
      <c r="F1642" s="123"/>
      <c r="G1642" s="130"/>
      <c r="H1642" s="124"/>
      <c r="I1642" s="243"/>
      <c r="J1642" s="123"/>
      <c r="K1642" s="123"/>
      <c r="L1642" s="246"/>
      <c r="M1642" s="123"/>
      <c r="N1642" s="123"/>
      <c r="O1642" s="123"/>
      <c r="P1642" s="123"/>
      <c r="Q1642" t="str">
        <f t="shared" si="25"/>
        <v/>
      </c>
    </row>
    <row r="1643" spans="3:17" hidden="1">
      <c r="C1643" s="123"/>
      <c r="D1643" s="123"/>
      <c r="E1643" s="124"/>
      <c r="F1643" s="123"/>
      <c r="G1643" s="130"/>
      <c r="H1643" s="124"/>
      <c r="I1643" s="243"/>
      <c r="J1643" s="123"/>
      <c r="K1643" s="123"/>
      <c r="L1643" s="246"/>
      <c r="M1643" s="123"/>
      <c r="N1643" s="123"/>
      <c r="O1643" s="123"/>
      <c r="P1643" s="123"/>
      <c r="Q1643" t="str">
        <f t="shared" si="25"/>
        <v/>
      </c>
    </row>
    <row r="1644" spans="3:17" hidden="1">
      <c r="C1644" s="123"/>
      <c r="D1644" s="123"/>
      <c r="E1644" s="124"/>
      <c r="F1644" s="123"/>
      <c r="G1644" s="130"/>
      <c r="H1644" s="124"/>
      <c r="I1644" s="243"/>
      <c r="J1644" s="123"/>
      <c r="K1644" s="123"/>
      <c r="L1644" s="246"/>
      <c r="M1644" s="123"/>
      <c r="N1644" s="123"/>
      <c r="O1644" s="123"/>
      <c r="P1644" s="123"/>
      <c r="Q1644" t="str">
        <f t="shared" si="25"/>
        <v/>
      </c>
    </row>
    <row r="1645" spans="3:17" hidden="1">
      <c r="C1645" s="123"/>
      <c r="D1645" s="123"/>
      <c r="E1645" s="124"/>
      <c r="F1645" s="123"/>
      <c r="G1645" s="130"/>
      <c r="H1645" s="124"/>
      <c r="I1645" s="243"/>
      <c r="J1645" s="123"/>
      <c r="K1645" s="123"/>
      <c r="L1645" s="246"/>
      <c r="M1645" s="123"/>
      <c r="N1645" s="123"/>
      <c r="O1645" s="123"/>
      <c r="P1645" s="123"/>
      <c r="Q1645" t="str">
        <f t="shared" si="25"/>
        <v/>
      </c>
    </row>
    <row r="1646" spans="3:17" hidden="1">
      <c r="C1646" s="123"/>
      <c r="D1646" s="123"/>
      <c r="E1646" s="124"/>
      <c r="F1646" s="123"/>
      <c r="G1646" s="130"/>
      <c r="H1646" s="124"/>
      <c r="I1646" s="243"/>
      <c r="J1646" s="123"/>
      <c r="K1646" s="123"/>
      <c r="L1646" s="246"/>
      <c r="M1646" s="123"/>
      <c r="N1646" s="123"/>
      <c r="O1646" s="123"/>
      <c r="P1646" s="123"/>
      <c r="Q1646" t="str">
        <f t="shared" si="25"/>
        <v/>
      </c>
    </row>
    <row r="1647" spans="3:17" hidden="1">
      <c r="C1647" s="123"/>
      <c r="D1647" s="123"/>
      <c r="E1647" s="124"/>
      <c r="F1647" s="123"/>
      <c r="G1647" s="130"/>
      <c r="H1647" s="124"/>
      <c r="I1647" s="243"/>
      <c r="J1647" s="123"/>
      <c r="K1647" s="123"/>
      <c r="L1647" s="246"/>
      <c r="M1647" s="123"/>
      <c r="N1647" s="123"/>
      <c r="O1647" s="123"/>
      <c r="P1647" s="123"/>
      <c r="Q1647" t="str">
        <f t="shared" si="25"/>
        <v/>
      </c>
    </row>
    <row r="1648" spans="3:17" hidden="1">
      <c r="C1648" s="123"/>
      <c r="D1648" s="123"/>
      <c r="E1648" s="124"/>
      <c r="F1648" s="123"/>
      <c r="G1648" s="130"/>
      <c r="H1648" s="124"/>
      <c r="I1648" s="243"/>
      <c r="J1648" s="123"/>
      <c r="K1648" s="123"/>
      <c r="L1648" s="246"/>
      <c r="M1648" s="123"/>
      <c r="N1648" s="123"/>
      <c r="O1648" s="123"/>
      <c r="P1648" s="123"/>
      <c r="Q1648" t="str">
        <f t="shared" si="25"/>
        <v/>
      </c>
    </row>
    <row r="1649" spans="3:17" hidden="1">
      <c r="C1649" s="123"/>
      <c r="D1649" s="123"/>
      <c r="E1649" s="124"/>
      <c r="F1649" s="123"/>
      <c r="G1649" s="130"/>
      <c r="H1649" s="124"/>
      <c r="I1649" s="243"/>
      <c r="J1649" s="123"/>
      <c r="K1649" s="123"/>
      <c r="L1649" s="246"/>
      <c r="M1649" s="123"/>
      <c r="N1649" s="123"/>
      <c r="O1649" s="123"/>
      <c r="P1649" s="123"/>
      <c r="Q1649" t="str">
        <f t="shared" si="25"/>
        <v/>
      </c>
    </row>
    <row r="1650" spans="3:17" hidden="1">
      <c r="C1650" s="123"/>
      <c r="D1650" s="123"/>
      <c r="E1650" s="124"/>
      <c r="F1650" s="123"/>
      <c r="G1650" s="130"/>
      <c r="H1650" s="124"/>
      <c r="I1650" s="243"/>
      <c r="J1650" s="123"/>
      <c r="K1650" s="123"/>
      <c r="L1650" s="246"/>
      <c r="M1650" s="123"/>
      <c r="N1650" s="123"/>
      <c r="O1650" s="123"/>
      <c r="P1650" s="123"/>
      <c r="Q1650" t="str">
        <f t="shared" si="25"/>
        <v/>
      </c>
    </row>
    <row r="1651" spans="3:17" hidden="1">
      <c r="C1651" s="123"/>
      <c r="D1651" s="123"/>
      <c r="E1651" s="124"/>
      <c r="F1651" s="123"/>
      <c r="G1651" s="130"/>
      <c r="H1651" s="124"/>
      <c r="I1651" s="243"/>
      <c r="J1651" s="123"/>
      <c r="K1651" s="123"/>
      <c r="L1651" s="246"/>
      <c r="M1651" s="123"/>
      <c r="N1651" s="123"/>
      <c r="O1651" s="123"/>
      <c r="P1651" s="123"/>
      <c r="Q1651" t="str">
        <f t="shared" si="25"/>
        <v/>
      </c>
    </row>
    <row r="1652" spans="3:17" hidden="1">
      <c r="C1652" s="123"/>
      <c r="D1652" s="123"/>
      <c r="E1652" s="124"/>
      <c r="F1652" s="123"/>
      <c r="G1652" s="130"/>
      <c r="H1652" s="124"/>
      <c r="I1652" s="243"/>
      <c r="J1652" s="123"/>
      <c r="K1652" s="123"/>
      <c r="L1652" s="246"/>
      <c r="M1652" s="123"/>
      <c r="N1652" s="123"/>
      <c r="O1652" s="123"/>
      <c r="P1652" s="123"/>
      <c r="Q1652" t="str">
        <f t="shared" si="25"/>
        <v/>
      </c>
    </row>
    <row r="1653" spans="3:17" hidden="1">
      <c r="C1653" s="123"/>
      <c r="D1653" s="123"/>
      <c r="E1653" s="124"/>
      <c r="F1653" s="123"/>
      <c r="G1653" s="130"/>
      <c r="H1653" s="124"/>
      <c r="I1653" s="243"/>
      <c r="J1653" s="123"/>
      <c r="K1653" s="123"/>
      <c r="L1653" s="246"/>
      <c r="M1653" s="123"/>
      <c r="N1653" s="123"/>
      <c r="O1653" s="123"/>
      <c r="P1653" s="123"/>
      <c r="Q1653" t="str">
        <f t="shared" si="25"/>
        <v/>
      </c>
    </row>
    <row r="1654" spans="3:17" hidden="1">
      <c r="C1654" s="123"/>
      <c r="D1654" s="123"/>
      <c r="E1654" s="124"/>
      <c r="F1654" s="123"/>
      <c r="G1654" s="130"/>
      <c r="H1654" s="124"/>
      <c r="I1654" s="243"/>
      <c r="J1654" s="123"/>
      <c r="K1654" s="123"/>
      <c r="L1654" s="246"/>
      <c r="M1654" s="123"/>
      <c r="N1654" s="123"/>
      <c r="O1654" s="123"/>
      <c r="P1654" s="123"/>
      <c r="Q1654" t="str">
        <f t="shared" si="25"/>
        <v/>
      </c>
    </row>
    <row r="1655" spans="3:17" hidden="1">
      <c r="C1655" s="123"/>
      <c r="D1655" s="123"/>
      <c r="E1655" s="124"/>
      <c r="F1655" s="123"/>
      <c r="G1655" s="130"/>
      <c r="H1655" s="124"/>
      <c r="I1655" s="243"/>
      <c r="J1655" s="123"/>
      <c r="K1655" s="123"/>
      <c r="L1655" s="246"/>
      <c r="M1655" s="123"/>
      <c r="N1655" s="123"/>
      <c r="O1655" s="123"/>
      <c r="P1655" s="123"/>
      <c r="Q1655" t="str">
        <f t="shared" si="25"/>
        <v/>
      </c>
    </row>
    <row r="1656" spans="3:17" hidden="1">
      <c r="C1656" s="123"/>
      <c r="D1656" s="123"/>
      <c r="E1656" s="124"/>
      <c r="F1656" s="123"/>
      <c r="G1656" s="130"/>
      <c r="H1656" s="124"/>
      <c r="I1656" s="243"/>
      <c r="J1656" s="123"/>
      <c r="K1656" s="123"/>
      <c r="L1656" s="246"/>
      <c r="M1656" s="123"/>
      <c r="N1656" s="123"/>
      <c r="O1656" s="123"/>
      <c r="P1656" s="123"/>
      <c r="Q1656" t="str">
        <f t="shared" si="25"/>
        <v/>
      </c>
    </row>
    <row r="1657" spans="3:17" hidden="1">
      <c r="C1657" s="123"/>
      <c r="D1657" s="123"/>
      <c r="E1657" s="124"/>
      <c r="F1657" s="123"/>
      <c r="G1657" s="130"/>
      <c r="H1657" s="124"/>
      <c r="I1657" s="243"/>
      <c r="J1657" s="123"/>
      <c r="K1657" s="123"/>
      <c r="L1657" s="246"/>
      <c r="M1657" s="123"/>
      <c r="N1657" s="123"/>
      <c r="O1657" s="123"/>
      <c r="P1657" s="123"/>
      <c r="Q1657" t="str">
        <f t="shared" si="25"/>
        <v/>
      </c>
    </row>
    <row r="1658" spans="3:17" hidden="1">
      <c r="C1658" s="123"/>
      <c r="D1658" s="123"/>
      <c r="E1658" s="124"/>
      <c r="F1658" s="123"/>
      <c r="G1658" s="130"/>
      <c r="H1658" s="124"/>
      <c r="I1658" s="243"/>
      <c r="J1658" s="123"/>
      <c r="K1658" s="123"/>
      <c r="L1658" s="246"/>
      <c r="M1658" s="123"/>
      <c r="N1658" s="123"/>
      <c r="O1658" s="123"/>
      <c r="P1658" s="123"/>
      <c r="Q1658" t="str">
        <f t="shared" si="25"/>
        <v/>
      </c>
    </row>
    <row r="1659" spans="3:17" hidden="1">
      <c r="C1659" s="123"/>
      <c r="D1659" s="123"/>
      <c r="E1659" s="124"/>
      <c r="F1659" s="123"/>
      <c r="G1659" s="130"/>
      <c r="H1659" s="124"/>
      <c r="I1659" s="243"/>
      <c r="J1659" s="123"/>
      <c r="K1659" s="123"/>
      <c r="L1659" s="246"/>
      <c r="M1659" s="123"/>
      <c r="N1659" s="123"/>
      <c r="O1659" s="123"/>
      <c r="P1659" s="123"/>
      <c r="Q1659" t="str">
        <f t="shared" si="25"/>
        <v/>
      </c>
    </row>
    <row r="1660" spans="3:17" hidden="1">
      <c r="C1660" s="123"/>
      <c r="D1660" s="123"/>
      <c r="E1660" s="124"/>
      <c r="F1660" s="123"/>
      <c r="G1660" s="130"/>
      <c r="H1660" s="124"/>
      <c r="I1660" s="243"/>
      <c r="J1660" s="123"/>
      <c r="K1660" s="123"/>
      <c r="L1660" s="246"/>
      <c r="M1660" s="123"/>
      <c r="N1660" s="123"/>
      <c r="O1660" s="123"/>
      <c r="P1660" s="123"/>
      <c r="Q1660" t="str">
        <f t="shared" si="25"/>
        <v/>
      </c>
    </row>
    <row r="1661" spans="3:17" hidden="1">
      <c r="C1661" s="123"/>
      <c r="D1661" s="123"/>
      <c r="E1661" s="124"/>
      <c r="F1661" s="123"/>
      <c r="G1661" s="130"/>
      <c r="H1661" s="124"/>
      <c r="I1661" s="243"/>
      <c r="J1661" s="123"/>
      <c r="K1661" s="123"/>
      <c r="L1661" s="246"/>
      <c r="M1661" s="123"/>
      <c r="N1661" s="123"/>
      <c r="O1661" s="123"/>
      <c r="P1661" s="123"/>
      <c r="Q1661" t="str">
        <f t="shared" si="25"/>
        <v/>
      </c>
    </row>
    <row r="1662" spans="3:17" hidden="1">
      <c r="C1662" s="123"/>
      <c r="D1662" s="123"/>
      <c r="E1662" s="124"/>
      <c r="F1662" s="123"/>
      <c r="G1662" s="130"/>
      <c r="H1662" s="124"/>
      <c r="I1662" s="243"/>
      <c r="J1662" s="123"/>
      <c r="K1662" s="123"/>
      <c r="L1662" s="246"/>
      <c r="M1662" s="123"/>
      <c r="N1662" s="123"/>
      <c r="O1662" s="123"/>
      <c r="P1662" s="123"/>
      <c r="Q1662" t="str">
        <f t="shared" si="25"/>
        <v/>
      </c>
    </row>
    <row r="1663" spans="3:17" hidden="1">
      <c r="C1663" s="123"/>
      <c r="D1663" s="123"/>
      <c r="E1663" s="124"/>
      <c r="F1663" s="123"/>
      <c r="G1663" s="130"/>
      <c r="H1663" s="124"/>
      <c r="I1663" s="243"/>
      <c r="J1663" s="123"/>
      <c r="K1663" s="123"/>
      <c r="L1663" s="246"/>
      <c r="M1663" s="123"/>
      <c r="N1663" s="123"/>
      <c r="O1663" s="123"/>
      <c r="P1663" s="123"/>
      <c r="Q1663" t="str">
        <f t="shared" si="25"/>
        <v/>
      </c>
    </row>
    <row r="1664" spans="3:17" hidden="1">
      <c r="C1664" s="123"/>
      <c r="D1664" s="123"/>
      <c r="E1664" s="124"/>
      <c r="F1664" s="123"/>
      <c r="G1664" s="130"/>
      <c r="H1664" s="124"/>
      <c r="I1664" s="243"/>
      <c r="J1664" s="123"/>
      <c r="K1664" s="123"/>
      <c r="L1664" s="246"/>
      <c r="M1664" s="123"/>
      <c r="N1664" s="123"/>
      <c r="O1664" s="123"/>
      <c r="P1664" s="123"/>
      <c r="Q1664" t="str">
        <f t="shared" si="25"/>
        <v/>
      </c>
    </row>
    <row r="1665" spans="3:17" hidden="1">
      <c r="C1665" s="123"/>
      <c r="D1665" s="123"/>
      <c r="E1665" s="124"/>
      <c r="F1665" s="123"/>
      <c r="G1665" s="130"/>
      <c r="H1665" s="124"/>
      <c r="I1665" s="243"/>
      <c r="J1665" s="123"/>
      <c r="K1665" s="123"/>
      <c r="L1665" s="246"/>
      <c r="M1665" s="123"/>
      <c r="N1665" s="123"/>
      <c r="O1665" s="123"/>
      <c r="P1665" s="123"/>
      <c r="Q1665" t="str">
        <f t="shared" si="25"/>
        <v/>
      </c>
    </row>
    <row r="1666" spans="3:17" hidden="1">
      <c r="C1666" s="123"/>
      <c r="D1666" s="123"/>
      <c r="E1666" s="124"/>
      <c r="F1666" s="123"/>
      <c r="G1666" s="130"/>
      <c r="H1666" s="124"/>
      <c r="I1666" s="243"/>
      <c r="J1666" s="123"/>
      <c r="K1666" s="123"/>
      <c r="L1666" s="246"/>
      <c r="M1666" s="123"/>
      <c r="N1666" s="123"/>
      <c r="O1666" s="123"/>
      <c r="P1666" s="123"/>
      <c r="Q1666" t="str">
        <f t="shared" si="25"/>
        <v/>
      </c>
    </row>
    <row r="1667" spans="3:17" hidden="1">
      <c r="C1667" s="123"/>
      <c r="D1667" s="123"/>
      <c r="E1667" s="124"/>
      <c r="F1667" s="123"/>
      <c r="G1667" s="130"/>
      <c r="H1667" s="124"/>
      <c r="I1667" s="243"/>
      <c r="J1667" s="123"/>
      <c r="K1667" s="123"/>
      <c r="L1667" s="246"/>
      <c r="M1667" s="123"/>
      <c r="N1667" s="123"/>
      <c r="O1667" s="123"/>
      <c r="P1667" s="123"/>
      <c r="Q1667" t="str">
        <f t="shared" si="25"/>
        <v/>
      </c>
    </row>
    <row r="1668" spans="3:17" hidden="1">
      <c r="C1668" s="123"/>
      <c r="D1668" s="123"/>
      <c r="E1668" s="124"/>
      <c r="F1668" s="123"/>
      <c r="G1668" s="130"/>
      <c r="H1668" s="124"/>
      <c r="I1668" s="243"/>
      <c r="J1668" s="123"/>
      <c r="K1668" s="123"/>
      <c r="L1668" s="246"/>
      <c r="M1668" s="123"/>
      <c r="N1668" s="123"/>
      <c r="O1668" s="123"/>
      <c r="P1668" s="123"/>
      <c r="Q1668" t="str">
        <f t="shared" si="25"/>
        <v/>
      </c>
    </row>
    <row r="1669" spans="3:17" hidden="1">
      <c r="C1669" s="123"/>
      <c r="D1669" s="123"/>
      <c r="E1669" s="124"/>
      <c r="F1669" s="123"/>
      <c r="G1669" s="130"/>
      <c r="H1669" s="124"/>
      <c r="I1669" s="243"/>
      <c r="J1669" s="123"/>
      <c r="K1669" s="123"/>
      <c r="L1669" s="246"/>
      <c r="M1669" s="123"/>
      <c r="N1669" s="123"/>
      <c r="O1669" s="123"/>
      <c r="P1669" s="123"/>
      <c r="Q1669" t="str">
        <f t="shared" si="25"/>
        <v/>
      </c>
    </row>
    <row r="1670" spans="3:17" hidden="1">
      <c r="C1670" s="123"/>
      <c r="D1670" s="123"/>
      <c r="E1670" s="124"/>
      <c r="F1670" s="123"/>
      <c r="G1670" s="130"/>
      <c r="H1670" s="124"/>
      <c r="I1670" s="243"/>
      <c r="J1670" s="123"/>
      <c r="K1670" s="123"/>
      <c r="L1670" s="246"/>
      <c r="M1670" s="123"/>
      <c r="N1670" s="123"/>
      <c r="O1670" s="123"/>
      <c r="P1670" s="123"/>
      <c r="Q1670" t="str">
        <f t="shared" si="25"/>
        <v/>
      </c>
    </row>
    <row r="1671" spans="3:17" hidden="1">
      <c r="C1671" s="123"/>
      <c r="D1671" s="123"/>
      <c r="E1671" s="124"/>
      <c r="F1671" s="123"/>
      <c r="G1671" s="130"/>
      <c r="H1671" s="124"/>
      <c r="I1671" s="243"/>
      <c r="J1671" s="123"/>
      <c r="K1671" s="123"/>
      <c r="L1671" s="246"/>
      <c r="M1671" s="123"/>
      <c r="N1671" s="123"/>
      <c r="O1671" s="123"/>
      <c r="P1671" s="123"/>
      <c r="Q1671" t="str">
        <f t="shared" ref="Q1671:Q1734" si="26">IF(D1671="","","x")</f>
        <v/>
      </c>
    </row>
    <row r="1672" spans="3:17" hidden="1">
      <c r="C1672" s="123"/>
      <c r="D1672" s="123"/>
      <c r="E1672" s="124"/>
      <c r="F1672" s="123"/>
      <c r="G1672" s="130"/>
      <c r="H1672" s="124"/>
      <c r="I1672" s="243"/>
      <c r="J1672" s="123"/>
      <c r="K1672" s="123"/>
      <c r="L1672" s="246"/>
      <c r="M1672" s="123"/>
      <c r="N1672" s="123"/>
      <c r="O1672" s="123"/>
      <c r="P1672" s="123"/>
      <c r="Q1672" t="str">
        <f t="shared" si="26"/>
        <v/>
      </c>
    </row>
    <row r="1673" spans="3:17" hidden="1">
      <c r="C1673" s="123"/>
      <c r="D1673" s="123"/>
      <c r="E1673" s="124"/>
      <c r="F1673" s="123"/>
      <c r="G1673" s="130"/>
      <c r="H1673" s="124"/>
      <c r="I1673" s="243"/>
      <c r="J1673" s="123"/>
      <c r="K1673" s="123"/>
      <c r="L1673" s="246"/>
      <c r="M1673" s="123"/>
      <c r="N1673" s="123"/>
      <c r="O1673" s="123"/>
      <c r="P1673" s="123"/>
      <c r="Q1673" t="str">
        <f t="shared" si="26"/>
        <v/>
      </c>
    </row>
    <row r="1674" spans="3:17" hidden="1">
      <c r="C1674" s="123"/>
      <c r="D1674" s="123"/>
      <c r="E1674" s="124"/>
      <c r="F1674" s="123"/>
      <c r="G1674" s="130"/>
      <c r="H1674" s="124"/>
      <c r="I1674" s="243"/>
      <c r="J1674" s="123"/>
      <c r="K1674" s="123"/>
      <c r="L1674" s="246"/>
      <c r="M1674" s="123"/>
      <c r="N1674" s="123"/>
      <c r="O1674" s="123"/>
      <c r="P1674" s="123"/>
      <c r="Q1674" t="str">
        <f t="shared" si="26"/>
        <v/>
      </c>
    </row>
    <row r="1675" spans="3:17" hidden="1">
      <c r="C1675" s="123"/>
      <c r="D1675" s="123"/>
      <c r="E1675" s="124"/>
      <c r="F1675" s="123"/>
      <c r="G1675" s="130"/>
      <c r="H1675" s="124"/>
      <c r="I1675" s="243"/>
      <c r="J1675" s="123"/>
      <c r="K1675" s="123"/>
      <c r="L1675" s="246"/>
      <c r="M1675" s="123"/>
      <c r="N1675" s="123"/>
      <c r="O1675" s="123"/>
      <c r="P1675" s="123"/>
      <c r="Q1675" t="str">
        <f t="shared" si="26"/>
        <v/>
      </c>
    </row>
    <row r="1676" spans="3:17" hidden="1">
      <c r="C1676" s="123"/>
      <c r="D1676" s="123"/>
      <c r="E1676" s="124"/>
      <c r="F1676" s="123"/>
      <c r="G1676" s="130"/>
      <c r="H1676" s="124"/>
      <c r="I1676" s="243"/>
      <c r="J1676" s="123"/>
      <c r="K1676" s="123"/>
      <c r="L1676" s="246"/>
      <c r="M1676" s="123"/>
      <c r="N1676" s="123"/>
      <c r="O1676" s="123"/>
      <c r="P1676" s="123"/>
      <c r="Q1676" t="str">
        <f t="shared" si="26"/>
        <v/>
      </c>
    </row>
    <row r="1677" spans="3:17" hidden="1">
      <c r="C1677" s="123"/>
      <c r="D1677" s="123"/>
      <c r="E1677" s="124"/>
      <c r="F1677" s="123"/>
      <c r="G1677" s="130"/>
      <c r="H1677" s="124"/>
      <c r="I1677" s="243"/>
      <c r="J1677" s="123"/>
      <c r="K1677" s="123"/>
      <c r="L1677" s="246"/>
      <c r="M1677" s="123"/>
      <c r="N1677" s="123"/>
      <c r="O1677" s="123"/>
      <c r="P1677" s="123"/>
      <c r="Q1677" t="str">
        <f t="shared" si="26"/>
        <v/>
      </c>
    </row>
    <row r="1678" spans="3:17" hidden="1">
      <c r="C1678" s="123"/>
      <c r="D1678" s="123"/>
      <c r="E1678" s="124"/>
      <c r="F1678" s="123"/>
      <c r="G1678" s="130"/>
      <c r="H1678" s="124"/>
      <c r="I1678" s="243"/>
      <c r="J1678" s="123"/>
      <c r="K1678" s="123"/>
      <c r="L1678" s="246"/>
      <c r="M1678" s="123"/>
      <c r="N1678" s="123"/>
      <c r="O1678" s="123"/>
      <c r="P1678" s="123"/>
      <c r="Q1678" t="str">
        <f t="shared" si="26"/>
        <v/>
      </c>
    </row>
    <row r="1679" spans="3:17" hidden="1">
      <c r="C1679" s="123"/>
      <c r="D1679" s="123"/>
      <c r="E1679" s="124"/>
      <c r="F1679" s="123"/>
      <c r="G1679" s="130"/>
      <c r="H1679" s="124"/>
      <c r="I1679" s="243"/>
      <c r="J1679" s="123"/>
      <c r="K1679" s="123"/>
      <c r="L1679" s="246"/>
      <c r="M1679" s="123"/>
      <c r="N1679" s="123"/>
      <c r="O1679" s="123"/>
      <c r="P1679" s="123"/>
      <c r="Q1679" t="str">
        <f t="shared" si="26"/>
        <v/>
      </c>
    </row>
    <row r="1680" spans="3:17" hidden="1">
      <c r="C1680" s="123"/>
      <c r="D1680" s="123"/>
      <c r="E1680" s="124"/>
      <c r="F1680" s="123"/>
      <c r="G1680" s="130"/>
      <c r="H1680" s="124"/>
      <c r="I1680" s="243"/>
      <c r="J1680" s="123"/>
      <c r="K1680" s="123"/>
      <c r="L1680" s="246"/>
      <c r="M1680" s="123"/>
      <c r="N1680" s="123"/>
      <c r="O1680" s="123"/>
      <c r="P1680" s="123"/>
      <c r="Q1680" t="str">
        <f t="shared" si="26"/>
        <v/>
      </c>
    </row>
    <row r="1681" spans="3:17" hidden="1">
      <c r="C1681" s="123"/>
      <c r="D1681" s="123"/>
      <c r="E1681" s="124"/>
      <c r="F1681" s="123"/>
      <c r="G1681" s="130"/>
      <c r="H1681" s="124"/>
      <c r="I1681" s="243"/>
      <c r="J1681" s="123"/>
      <c r="K1681" s="123"/>
      <c r="L1681" s="246"/>
      <c r="M1681" s="123"/>
      <c r="N1681" s="123"/>
      <c r="O1681" s="123"/>
      <c r="P1681" s="123"/>
      <c r="Q1681" t="str">
        <f t="shared" si="26"/>
        <v/>
      </c>
    </row>
    <row r="1682" spans="3:17" hidden="1">
      <c r="C1682" s="123"/>
      <c r="D1682" s="123"/>
      <c r="E1682" s="124"/>
      <c r="F1682" s="123"/>
      <c r="G1682" s="130"/>
      <c r="H1682" s="124"/>
      <c r="I1682" s="243"/>
      <c r="J1682" s="123"/>
      <c r="K1682" s="123"/>
      <c r="L1682" s="246"/>
      <c r="M1682" s="123"/>
      <c r="N1682" s="123"/>
      <c r="O1682" s="123"/>
      <c r="P1682" s="123"/>
      <c r="Q1682" t="str">
        <f t="shared" si="26"/>
        <v/>
      </c>
    </row>
    <row r="1683" spans="3:17" hidden="1">
      <c r="C1683" s="123"/>
      <c r="D1683" s="123"/>
      <c r="E1683" s="124"/>
      <c r="F1683" s="123"/>
      <c r="G1683" s="130"/>
      <c r="H1683" s="124"/>
      <c r="I1683" s="243"/>
      <c r="J1683" s="123"/>
      <c r="K1683" s="123"/>
      <c r="L1683" s="246"/>
      <c r="M1683" s="123"/>
      <c r="N1683" s="123"/>
      <c r="O1683" s="123"/>
      <c r="P1683" s="123"/>
      <c r="Q1683" t="str">
        <f t="shared" si="26"/>
        <v/>
      </c>
    </row>
    <row r="1684" spans="3:17" hidden="1">
      <c r="C1684" s="123"/>
      <c r="D1684" s="123"/>
      <c r="E1684" s="124"/>
      <c r="F1684" s="123"/>
      <c r="G1684" s="130"/>
      <c r="H1684" s="124"/>
      <c r="I1684" s="243"/>
      <c r="J1684" s="123"/>
      <c r="K1684" s="123"/>
      <c r="L1684" s="246"/>
      <c r="M1684" s="123"/>
      <c r="N1684" s="123"/>
      <c r="O1684" s="123"/>
      <c r="P1684" s="123"/>
      <c r="Q1684" t="str">
        <f t="shared" si="26"/>
        <v/>
      </c>
    </row>
    <row r="1685" spans="3:17" hidden="1">
      <c r="C1685" s="123"/>
      <c r="D1685" s="123"/>
      <c r="E1685" s="124"/>
      <c r="F1685" s="123"/>
      <c r="G1685" s="130"/>
      <c r="H1685" s="124"/>
      <c r="I1685" s="243"/>
      <c r="J1685" s="123"/>
      <c r="K1685" s="123"/>
      <c r="L1685" s="246"/>
      <c r="M1685" s="123"/>
      <c r="N1685" s="123"/>
      <c r="O1685" s="123"/>
      <c r="P1685" s="123"/>
      <c r="Q1685" t="str">
        <f t="shared" si="26"/>
        <v/>
      </c>
    </row>
    <row r="1686" spans="3:17" hidden="1">
      <c r="C1686" s="123"/>
      <c r="D1686" s="123"/>
      <c r="E1686" s="124"/>
      <c r="F1686" s="123"/>
      <c r="G1686" s="130"/>
      <c r="H1686" s="124"/>
      <c r="I1686" s="243"/>
      <c r="J1686" s="123"/>
      <c r="K1686" s="123"/>
      <c r="L1686" s="246"/>
      <c r="M1686" s="123"/>
      <c r="N1686" s="123"/>
      <c r="O1686" s="123"/>
      <c r="P1686" s="123"/>
      <c r="Q1686" t="str">
        <f t="shared" si="26"/>
        <v/>
      </c>
    </row>
    <row r="1687" spans="3:17" hidden="1">
      <c r="C1687" s="123"/>
      <c r="D1687" s="123"/>
      <c r="E1687" s="124"/>
      <c r="F1687" s="123"/>
      <c r="G1687" s="130"/>
      <c r="H1687" s="124"/>
      <c r="I1687" s="243"/>
      <c r="J1687" s="123"/>
      <c r="K1687" s="123"/>
      <c r="L1687" s="246"/>
      <c r="M1687" s="123"/>
      <c r="N1687" s="123"/>
      <c r="O1687" s="123"/>
      <c r="P1687" s="123"/>
      <c r="Q1687" t="str">
        <f t="shared" si="26"/>
        <v/>
      </c>
    </row>
    <row r="1688" spans="3:17" hidden="1">
      <c r="C1688" s="123"/>
      <c r="D1688" s="123"/>
      <c r="E1688" s="124"/>
      <c r="F1688" s="123"/>
      <c r="G1688" s="130"/>
      <c r="H1688" s="124"/>
      <c r="I1688" s="243"/>
      <c r="J1688" s="123"/>
      <c r="K1688" s="123"/>
      <c r="L1688" s="246"/>
      <c r="M1688" s="123"/>
      <c r="N1688" s="123"/>
      <c r="O1688" s="123"/>
      <c r="P1688" s="123"/>
      <c r="Q1688" t="str">
        <f t="shared" si="26"/>
        <v/>
      </c>
    </row>
    <row r="1689" spans="3:17" hidden="1">
      <c r="C1689" s="123"/>
      <c r="D1689" s="123"/>
      <c r="E1689" s="124"/>
      <c r="F1689" s="123"/>
      <c r="G1689" s="130"/>
      <c r="H1689" s="124"/>
      <c r="I1689" s="243"/>
      <c r="J1689" s="123"/>
      <c r="K1689" s="123"/>
      <c r="L1689" s="246"/>
      <c r="M1689" s="123"/>
      <c r="N1689" s="123"/>
      <c r="O1689" s="123"/>
      <c r="P1689" s="123"/>
      <c r="Q1689" t="str">
        <f t="shared" si="26"/>
        <v/>
      </c>
    </row>
    <row r="1690" spans="3:17" hidden="1">
      <c r="C1690" s="123"/>
      <c r="D1690" s="123"/>
      <c r="E1690" s="124"/>
      <c r="F1690" s="123"/>
      <c r="G1690" s="130"/>
      <c r="H1690" s="124"/>
      <c r="I1690" s="243"/>
      <c r="J1690" s="123"/>
      <c r="K1690" s="123"/>
      <c r="L1690" s="246"/>
      <c r="M1690" s="123"/>
      <c r="N1690" s="123"/>
      <c r="O1690" s="123"/>
      <c r="P1690" s="123"/>
      <c r="Q1690" t="str">
        <f t="shared" si="26"/>
        <v/>
      </c>
    </row>
    <row r="1691" spans="3:17" hidden="1">
      <c r="C1691" s="123"/>
      <c r="D1691" s="123"/>
      <c r="E1691" s="124"/>
      <c r="F1691" s="123"/>
      <c r="G1691" s="130"/>
      <c r="H1691" s="124"/>
      <c r="I1691" s="243"/>
      <c r="J1691" s="123"/>
      <c r="K1691" s="123"/>
      <c r="L1691" s="246"/>
      <c r="M1691" s="123"/>
      <c r="N1691" s="123"/>
      <c r="O1691" s="123"/>
      <c r="P1691" s="123"/>
      <c r="Q1691" t="str">
        <f t="shared" si="26"/>
        <v/>
      </c>
    </row>
    <row r="1692" spans="3:17" hidden="1">
      <c r="C1692" s="123"/>
      <c r="D1692" s="123"/>
      <c r="E1692" s="124"/>
      <c r="F1692" s="123"/>
      <c r="G1692" s="130"/>
      <c r="H1692" s="124"/>
      <c r="I1692" s="243"/>
      <c r="J1692" s="123"/>
      <c r="K1692" s="123"/>
      <c r="L1692" s="246"/>
      <c r="M1692" s="123"/>
      <c r="N1692" s="123"/>
      <c r="O1692" s="123"/>
      <c r="P1692" s="123"/>
      <c r="Q1692" t="str">
        <f t="shared" si="26"/>
        <v/>
      </c>
    </row>
    <row r="1693" spans="3:17" hidden="1">
      <c r="C1693" s="123"/>
      <c r="D1693" s="123"/>
      <c r="E1693" s="124"/>
      <c r="F1693" s="123"/>
      <c r="G1693" s="130"/>
      <c r="H1693" s="124"/>
      <c r="I1693" s="243"/>
      <c r="J1693" s="123"/>
      <c r="K1693" s="123"/>
      <c r="L1693" s="246"/>
      <c r="M1693" s="123"/>
      <c r="N1693" s="123"/>
      <c r="O1693" s="123"/>
      <c r="P1693" s="123"/>
      <c r="Q1693" t="str">
        <f t="shared" si="26"/>
        <v/>
      </c>
    </row>
    <row r="1694" spans="3:17" hidden="1">
      <c r="C1694" s="123"/>
      <c r="D1694" s="123"/>
      <c r="E1694" s="124"/>
      <c r="F1694" s="123"/>
      <c r="G1694" s="130"/>
      <c r="H1694" s="124"/>
      <c r="I1694" s="243"/>
      <c r="J1694" s="123"/>
      <c r="K1694" s="123"/>
      <c r="L1694" s="246"/>
      <c r="M1694" s="123"/>
      <c r="N1694" s="123"/>
      <c r="O1694" s="123"/>
      <c r="P1694" s="123"/>
      <c r="Q1694" t="str">
        <f t="shared" si="26"/>
        <v/>
      </c>
    </row>
    <row r="1695" spans="3:17" hidden="1">
      <c r="C1695" s="123"/>
      <c r="D1695" s="123"/>
      <c r="E1695" s="124"/>
      <c r="F1695" s="123"/>
      <c r="G1695" s="130"/>
      <c r="H1695" s="124"/>
      <c r="I1695" s="243"/>
      <c r="J1695" s="123"/>
      <c r="K1695" s="123"/>
      <c r="L1695" s="246"/>
      <c r="M1695" s="123"/>
      <c r="N1695" s="123"/>
      <c r="O1695" s="123"/>
      <c r="P1695" s="123"/>
      <c r="Q1695" t="str">
        <f t="shared" si="26"/>
        <v/>
      </c>
    </row>
    <row r="1696" spans="3:17" hidden="1">
      <c r="C1696" s="123"/>
      <c r="D1696" s="123"/>
      <c r="E1696" s="124"/>
      <c r="F1696" s="123"/>
      <c r="G1696" s="130"/>
      <c r="H1696" s="124"/>
      <c r="I1696" s="243"/>
      <c r="J1696" s="123"/>
      <c r="K1696" s="123"/>
      <c r="L1696" s="246"/>
      <c r="M1696" s="123"/>
      <c r="N1696" s="123"/>
      <c r="O1696" s="123"/>
      <c r="P1696" s="123"/>
      <c r="Q1696" t="str">
        <f t="shared" si="26"/>
        <v/>
      </c>
    </row>
    <row r="1697" spans="3:17" hidden="1">
      <c r="C1697" s="123"/>
      <c r="D1697" s="123"/>
      <c r="E1697" s="124"/>
      <c r="F1697" s="123"/>
      <c r="G1697" s="130"/>
      <c r="H1697" s="124"/>
      <c r="I1697" s="243"/>
      <c r="J1697" s="123"/>
      <c r="K1697" s="123"/>
      <c r="L1697" s="246"/>
      <c r="M1697" s="123"/>
      <c r="N1697" s="123"/>
      <c r="O1697" s="123"/>
      <c r="P1697" s="123"/>
      <c r="Q1697" t="str">
        <f t="shared" si="26"/>
        <v/>
      </c>
    </row>
    <row r="1698" spans="3:17" hidden="1">
      <c r="C1698" s="123"/>
      <c r="D1698" s="123"/>
      <c r="E1698" s="124"/>
      <c r="F1698" s="123"/>
      <c r="G1698" s="130"/>
      <c r="H1698" s="124"/>
      <c r="I1698" s="243"/>
      <c r="J1698" s="123"/>
      <c r="K1698" s="123"/>
      <c r="L1698" s="246"/>
      <c r="M1698" s="123"/>
      <c r="N1698" s="123"/>
      <c r="O1698" s="123"/>
      <c r="P1698" s="123"/>
      <c r="Q1698" t="str">
        <f t="shared" si="26"/>
        <v/>
      </c>
    </row>
    <row r="1699" spans="3:17" hidden="1">
      <c r="C1699" s="123"/>
      <c r="D1699" s="123"/>
      <c r="E1699" s="124"/>
      <c r="F1699" s="123"/>
      <c r="G1699" s="130"/>
      <c r="H1699" s="124"/>
      <c r="I1699" s="243"/>
      <c r="J1699" s="123"/>
      <c r="K1699" s="123"/>
      <c r="L1699" s="246"/>
      <c r="M1699" s="123"/>
      <c r="N1699" s="123"/>
      <c r="O1699" s="123"/>
      <c r="P1699" s="123"/>
      <c r="Q1699" t="str">
        <f t="shared" si="26"/>
        <v/>
      </c>
    </row>
    <row r="1700" spans="3:17" hidden="1">
      <c r="C1700" s="123"/>
      <c r="D1700" s="123"/>
      <c r="E1700" s="124"/>
      <c r="F1700" s="123"/>
      <c r="G1700" s="130"/>
      <c r="H1700" s="124"/>
      <c r="I1700" s="243"/>
      <c r="J1700" s="123"/>
      <c r="K1700" s="123"/>
      <c r="L1700" s="246"/>
      <c r="M1700" s="123"/>
      <c r="N1700" s="123"/>
      <c r="O1700" s="123"/>
      <c r="P1700" s="123"/>
      <c r="Q1700" t="str">
        <f t="shared" si="26"/>
        <v/>
      </c>
    </row>
    <row r="1701" spans="3:17" hidden="1">
      <c r="C1701" s="123"/>
      <c r="D1701" s="123"/>
      <c r="E1701" s="124"/>
      <c r="F1701" s="123"/>
      <c r="G1701" s="130"/>
      <c r="H1701" s="124"/>
      <c r="I1701" s="243"/>
      <c r="J1701" s="123"/>
      <c r="K1701" s="123"/>
      <c r="L1701" s="246"/>
      <c r="M1701" s="123"/>
      <c r="N1701" s="123"/>
      <c r="O1701" s="123"/>
      <c r="P1701" s="123"/>
      <c r="Q1701" t="str">
        <f t="shared" si="26"/>
        <v/>
      </c>
    </row>
    <row r="1702" spans="3:17" hidden="1">
      <c r="C1702" s="123"/>
      <c r="D1702" s="123"/>
      <c r="E1702" s="124"/>
      <c r="F1702" s="123"/>
      <c r="G1702" s="130"/>
      <c r="H1702" s="124"/>
      <c r="I1702" s="243"/>
      <c r="J1702" s="123"/>
      <c r="K1702" s="123"/>
      <c r="L1702" s="246"/>
      <c r="M1702" s="123"/>
      <c r="N1702" s="123"/>
      <c r="O1702" s="123"/>
      <c r="P1702" s="123"/>
      <c r="Q1702" t="str">
        <f t="shared" si="26"/>
        <v/>
      </c>
    </row>
    <row r="1703" spans="3:17" hidden="1">
      <c r="C1703" s="123"/>
      <c r="D1703" s="123"/>
      <c r="E1703" s="124"/>
      <c r="F1703" s="123"/>
      <c r="G1703" s="130"/>
      <c r="H1703" s="124"/>
      <c r="I1703" s="243"/>
      <c r="J1703" s="123"/>
      <c r="K1703" s="123"/>
      <c r="L1703" s="246"/>
      <c r="M1703" s="123"/>
      <c r="N1703" s="123"/>
      <c r="O1703" s="123"/>
      <c r="P1703" s="123"/>
      <c r="Q1703" t="str">
        <f t="shared" si="26"/>
        <v/>
      </c>
    </row>
    <row r="1704" spans="3:17" hidden="1">
      <c r="C1704" s="123"/>
      <c r="D1704" s="123"/>
      <c r="E1704" s="124"/>
      <c r="F1704" s="123"/>
      <c r="G1704" s="130"/>
      <c r="H1704" s="124"/>
      <c r="I1704" s="243"/>
      <c r="J1704" s="123"/>
      <c r="K1704" s="123"/>
      <c r="L1704" s="246"/>
      <c r="M1704" s="123"/>
      <c r="N1704" s="123"/>
      <c r="O1704" s="123"/>
      <c r="P1704" s="123"/>
      <c r="Q1704" t="str">
        <f t="shared" si="26"/>
        <v/>
      </c>
    </row>
    <row r="1705" spans="3:17" hidden="1">
      <c r="C1705" s="123"/>
      <c r="D1705" s="123"/>
      <c r="E1705" s="124"/>
      <c r="F1705" s="123"/>
      <c r="G1705" s="130"/>
      <c r="H1705" s="124"/>
      <c r="I1705" s="243"/>
      <c r="J1705" s="123"/>
      <c r="K1705" s="123"/>
      <c r="L1705" s="246"/>
      <c r="M1705" s="123"/>
      <c r="N1705" s="123"/>
      <c r="O1705" s="123"/>
      <c r="P1705" s="123"/>
      <c r="Q1705" t="str">
        <f t="shared" si="26"/>
        <v/>
      </c>
    </row>
    <row r="1706" spans="3:17" hidden="1">
      <c r="C1706" s="123"/>
      <c r="D1706" s="123"/>
      <c r="E1706" s="124"/>
      <c r="F1706" s="123"/>
      <c r="G1706" s="130"/>
      <c r="H1706" s="124"/>
      <c r="I1706" s="243"/>
      <c r="J1706" s="123"/>
      <c r="K1706" s="123"/>
      <c r="L1706" s="246"/>
      <c r="M1706" s="123"/>
      <c r="N1706" s="123"/>
      <c r="O1706" s="123"/>
      <c r="P1706" s="123"/>
      <c r="Q1706" t="str">
        <f t="shared" si="26"/>
        <v/>
      </c>
    </row>
    <row r="1707" spans="3:17" hidden="1">
      <c r="C1707" s="123"/>
      <c r="D1707" s="123"/>
      <c r="E1707" s="124"/>
      <c r="F1707" s="123"/>
      <c r="G1707" s="130"/>
      <c r="H1707" s="124"/>
      <c r="I1707" s="243"/>
      <c r="J1707" s="123"/>
      <c r="K1707" s="123"/>
      <c r="L1707" s="246"/>
      <c r="M1707" s="123"/>
      <c r="N1707" s="123"/>
      <c r="O1707" s="123"/>
      <c r="P1707" s="123"/>
      <c r="Q1707" t="str">
        <f t="shared" si="26"/>
        <v/>
      </c>
    </row>
    <row r="1708" spans="3:17" hidden="1">
      <c r="C1708" s="123"/>
      <c r="D1708" s="123"/>
      <c r="E1708" s="124"/>
      <c r="F1708" s="123"/>
      <c r="G1708" s="130"/>
      <c r="H1708" s="124"/>
      <c r="I1708" s="243"/>
      <c r="J1708" s="123"/>
      <c r="K1708" s="123"/>
      <c r="L1708" s="246"/>
      <c r="M1708" s="123"/>
      <c r="N1708" s="123"/>
      <c r="O1708" s="123"/>
      <c r="P1708" s="123"/>
      <c r="Q1708" t="str">
        <f t="shared" si="26"/>
        <v/>
      </c>
    </row>
    <row r="1709" spans="3:17" hidden="1">
      <c r="C1709" s="123"/>
      <c r="D1709" s="123"/>
      <c r="E1709" s="124"/>
      <c r="F1709" s="123"/>
      <c r="G1709" s="130"/>
      <c r="H1709" s="124"/>
      <c r="I1709" s="243"/>
      <c r="J1709" s="123"/>
      <c r="K1709" s="123"/>
      <c r="L1709" s="246"/>
      <c r="M1709" s="123"/>
      <c r="N1709" s="123"/>
      <c r="O1709" s="123"/>
      <c r="P1709" s="123"/>
      <c r="Q1709" t="str">
        <f t="shared" si="26"/>
        <v/>
      </c>
    </row>
    <row r="1710" spans="3:17" hidden="1">
      <c r="C1710" s="123"/>
      <c r="D1710" s="123"/>
      <c r="E1710" s="124"/>
      <c r="F1710" s="123"/>
      <c r="G1710" s="130"/>
      <c r="H1710" s="124"/>
      <c r="I1710" s="243"/>
      <c r="J1710" s="123"/>
      <c r="K1710" s="123"/>
      <c r="L1710" s="246"/>
      <c r="M1710" s="123"/>
      <c r="N1710" s="123"/>
      <c r="O1710" s="123"/>
      <c r="P1710" s="123"/>
      <c r="Q1710" t="str">
        <f t="shared" si="26"/>
        <v/>
      </c>
    </row>
    <row r="1711" spans="3:17" hidden="1">
      <c r="C1711" s="123"/>
      <c r="D1711" s="123"/>
      <c r="E1711" s="124"/>
      <c r="F1711" s="123"/>
      <c r="G1711" s="130"/>
      <c r="H1711" s="124"/>
      <c r="I1711" s="243"/>
      <c r="J1711" s="123"/>
      <c r="K1711" s="123"/>
      <c r="L1711" s="246"/>
      <c r="M1711" s="123"/>
      <c r="N1711" s="123"/>
      <c r="O1711" s="123"/>
      <c r="P1711" s="123"/>
      <c r="Q1711" t="str">
        <f t="shared" si="26"/>
        <v/>
      </c>
    </row>
    <row r="1712" spans="3:17" hidden="1">
      <c r="C1712" s="123"/>
      <c r="D1712" s="123"/>
      <c r="E1712" s="124"/>
      <c r="F1712" s="123"/>
      <c r="G1712" s="130"/>
      <c r="H1712" s="124"/>
      <c r="I1712" s="243"/>
      <c r="J1712" s="123"/>
      <c r="K1712" s="123"/>
      <c r="L1712" s="246"/>
      <c r="M1712" s="123"/>
      <c r="N1712" s="123"/>
      <c r="O1712" s="123"/>
      <c r="P1712" s="123"/>
      <c r="Q1712" t="str">
        <f t="shared" si="26"/>
        <v/>
      </c>
    </row>
    <row r="1713" spans="3:17" hidden="1">
      <c r="C1713" s="123"/>
      <c r="D1713" s="123"/>
      <c r="E1713" s="124"/>
      <c r="F1713" s="123"/>
      <c r="G1713" s="130"/>
      <c r="H1713" s="124"/>
      <c r="I1713" s="243"/>
      <c r="J1713" s="123"/>
      <c r="K1713" s="123"/>
      <c r="L1713" s="246"/>
      <c r="M1713" s="123"/>
      <c r="N1713" s="123"/>
      <c r="O1713" s="123"/>
      <c r="P1713" s="123"/>
      <c r="Q1713" t="str">
        <f t="shared" si="26"/>
        <v/>
      </c>
    </row>
    <row r="1714" spans="3:17" hidden="1">
      <c r="C1714" s="123"/>
      <c r="D1714" s="123"/>
      <c r="E1714" s="124"/>
      <c r="F1714" s="123"/>
      <c r="G1714" s="130"/>
      <c r="H1714" s="124"/>
      <c r="I1714" s="243"/>
      <c r="J1714" s="123"/>
      <c r="K1714" s="123"/>
      <c r="L1714" s="246"/>
      <c r="M1714" s="123"/>
      <c r="N1714" s="123"/>
      <c r="O1714" s="123"/>
      <c r="P1714" s="123"/>
      <c r="Q1714" t="str">
        <f t="shared" si="26"/>
        <v/>
      </c>
    </row>
    <row r="1715" spans="3:17" hidden="1">
      <c r="C1715" s="123"/>
      <c r="D1715" s="123"/>
      <c r="E1715" s="124"/>
      <c r="F1715" s="123"/>
      <c r="G1715" s="130"/>
      <c r="H1715" s="124"/>
      <c r="I1715" s="243"/>
      <c r="J1715" s="123"/>
      <c r="K1715" s="123"/>
      <c r="L1715" s="246"/>
      <c r="M1715" s="123"/>
      <c r="N1715" s="123"/>
      <c r="O1715" s="123"/>
      <c r="P1715" s="123"/>
      <c r="Q1715" t="str">
        <f t="shared" si="26"/>
        <v/>
      </c>
    </row>
    <row r="1716" spans="3:17" hidden="1">
      <c r="C1716" s="123"/>
      <c r="D1716" s="123"/>
      <c r="E1716" s="124"/>
      <c r="F1716" s="123"/>
      <c r="G1716" s="130"/>
      <c r="H1716" s="124"/>
      <c r="I1716" s="243"/>
      <c r="J1716" s="123"/>
      <c r="K1716" s="123"/>
      <c r="L1716" s="246"/>
      <c r="M1716" s="123"/>
      <c r="N1716" s="123"/>
      <c r="O1716" s="123"/>
      <c r="P1716" s="123"/>
      <c r="Q1716" t="str">
        <f t="shared" si="26"/>
        <v/>
      </c>
    </row>
    <row r="1717" spans="3:17" hidden="1">
      <c r="C1717" s="123"/>
      <c r="D1717" s="123"/>
      <c r="E1717" s="124"/>
      <c r="F1717" s="123"/>
      <c r="G1717" s="130"/>
      <c r="H1717" s="124"/>
      <c r="I1717" s="243"/>
      <c r="J1717" s="123"/>
      <c r="K1717" s="123"/>
      <c r="L1717" s="246"/>
      <c r="M1717" s="123"/>
      <c r="N1717" s="123"/>
      <c r="O1717" s="123"/>
      <c r="P1717" s="123"/>
      <c r="Q1717" t="str">
        <f t="shared" si="26"/>
        <v/>
      </c>
    </row>
    <row r="1718" spans="3:17" hidden="1">
      <c r="C1718" s="123"/>
      <c r="D1718" s="123"/>
      <c r="E1718" s="124"/>
      <c r="F1718" s="123"/>
      <c r="G1718" s="130"/>
      <c r="H1718" s="124"/>
      <c r="I1718" s="243"/>
      <c r="J1718" s="123"/>
      <c r="K1718" s="123"/>
      <c r="L1718" s="246"/>
      <c r="M1718" s="123"/>
      <c r="N1718" s="123"/>
      <c r="O1718" s="123"/>
      <c r="P1718" s="123"/>
      <c r="Q1718" t="str">
        <f t="shared" si="26"/>
        <v/>
      </c>
    </row>
    <row r="1719" spans="3:17" hidden="1">
      <c r="C1719" s="123"/>
      <c r="D1719" s="123"/>
      <c r="E1719" s="124"/>
      <c r="F1719" s="123"/>
      <c r="G1719" s="130"/>
      <c r="H1719" s="124"/>
      <c r="I1719" s="243"/>
      <c r="J1719" s="123"/>
      <c r="K1719" s="123"/>
      <c r="L1719" s="246"/>
      <c r="M1719" s="123"/>
      <c r="N1719" s="123"/>
      <c r="O1719" s="123"/>
      <c r="P1719" s="123"/>
      <c r="Q1719" t="str">
        <f t="shared" si="26"/>
        <v/>
      </c>
    </row>
    <row r="1720" spans="3:17" hidden="1">
      <c r="C1720" s="123"/>
      <c r="D1720" s="123"/>
      <c r="E1720" s="124"/>
      <c r="F1720" s="123"/>
      <c r="G1720" s="130"/>
      <c r="H1720" s="124"/>
      <c r="I1720" s="243"/>
      <c r="J1720" s="123"/>
      <c r="K1720" s="123"/>
      <c r="L1720" s="246"/>
      <c r="M1720" s="123"/>
      <c r="N1720" s="123"/>
      <c r="O1720" s="123"/>
      <c r="P1720" s="123"/>
      <c r="Q1720" t="str">
        <f t="shared" si="26"/>
        <v/>
      </c>
    </row>
    <row r="1721" spans="3:17" hidden="1">
      <c r="C1721" s="123"/>
      <c r="D1721" s="123"/>
      <c r="E1721" s="124"/>
      <c r="F1721" s="123"/>
      <c r="G1721" s="130"/>
      <c r="H1721" s="124"/>
      <c r="I1721" s="243"/>
      <c r="J1721" s="123"/>
      <c r="K1721" s="123"/>
      <c r="L1721" s="246"/>
      <c r="M1721" s="123"/>
      <c r="N1721" s="123"/>
      <c r="O1721" s="123"/>
      <c r="P1721" s="123"/>
      <c r="Q1721" t="str">
        <f t="shared" si="26"/>
        <v/>
      </c>
    </row>
    <row r="1722" spans="3:17" hidden="1">
      <c r="C1722" s="123"/>
      <c r="D1722" s="123"/>
      <c r="E1722" s="124"/>
      <c r="F1722" s="123"/>
      <c r="G1722" s="130"/>
      <c r="H1722" s="124"/>
      <c r="I1722" s="243"/>
      <c r="J1722" s="123"/>
      <c r="K1722" s="123"/>
      <c r="L1722" s="246"/>
      <c r="M1722" s="123"/>
      <c r="N1722" s="123"/>
      <c r="O1722" s="123"/>
      <c r="P1722" s="123"/>
      <c r="Q1722" t="str">
        <f t="shared" si="26"/>
        <v/>
      </c>
    </row>
    <row r="1723" spans="3:17" hidden="1">
      <c r="C1723" s="123"/>
      <c r="D1723" s="123"/>
      <c r="E1723" s="124"/>
      <c r="F1723" s="123"/>
      <c r="G1723" s="130"/>
      <c r="H1723" s="124"/>
      <c r="I1723" s="243"/>
      <c r="J1723" s="123"/>
      <c r="K1723" s="123"/>
      <c r="L1723" s="246"/>
      <c r="M1723" s="123"/>
      <c r="N1723" s="123"/>
      <c r="O1723" s="123"/>
      <c r="P1723" s="123"/>
      <c r="Q1723" t="str">
        <f t="shared" si="26"/>
        <v/>
      </c>
    </row>
    <row r="1724" spans="3:17" hidden="1">
      <c r="C1724" s="123"/>
      <c r="D1724" s="123"/>
      <c r="E1724" s="124"/>
      <c r="F1724" s="123"/>
      <c r="G1724" s="130"/>
      <c r="H1724" s="124"/>
      <c r="I1724" s="243"/>
      <c r="J1724" s="123"/>
      <c r="K1724" s="123"/>
      <c r="L1724" s="246"/>
      <c r="M1724" s="123"/>
      <c r="N1724" s="123"/>
      <c r="O1724" s="123"/>
      <c r="P1724" s="123"/>
      <c r="Q1724" t="str">
        <f t="shared" si="26"/>
        <v/>
      </c>
    </row>
    <row r="1725" spans="3:17" hidden="1">
      <c r="C1725" s="123"/>
      <c r="D1725" s="123"/>
      <c r="E1725" s="124"/>
      <c r="F1725" s="123"/>
      <c r="G1725" s="130"/>
      <c r="H1725" s="124"/>
      <c r="I1725" s="243"/>
      <c r="J1725" s="123"/>
      <c r="K1725" s="123"/>
      <c r="L1725" s="246"/>
      <c r="M1725" s="123"/>
      <c r="N1725" s="123"/>
      <c r="O1725" s="123"/>
      <c r="P1725" s="123"/>
      <c r="Q1725" t="str">
        <f t="shared" si="26"/>
        <v/>
      </c>
    </row>
    <row r="1726" spans="3:17" hidden="1">
      <c r="C1726" s="123"/>
      <c r="D1726" s="123"/>
      <c r="E1726" s="124"/>
      <c r="F1726" s="123"/>
      <c r="G1726" s="130"/>
      <c r="H1726" s="124"/>
      <c r="I1726" s="243"/>
      <c r="J1726" s="123"/>
      <c r="K1726" s="123"/>
      <c r="L1726" s="246"/>
      <c r="M1726" s="123"/>
      <c r="N1726" s="123"/>
      <c r="O1726" s="123"/>
      <c r="P1726" s="123"/>
      <c r="Q1726" t="str">
        <f t="shared" si="26"/>
        <v/>
      </c>
    </row>
    <row r="1727" spans="3:17" hidden="1">
      <c r="C1727" s="123"/>
      <c r="D1727" s="123"/>
      <c r="E1727" s="124"/>
      <c r="F1727" s="123"/>
      <c r="G1727" s="130"/>
      <c r="H1727" s="124"/>
      <c r="I1727" s="243"/>
      <c r="J1727" s="123"/>
      <c r="K1727" s="123"/>
      <c r="L1727" s="246"/>
      <c r="M1727" s="123"/>
      <c r="N1727" s="123"/>
      <c r="O1727" s="123"/>
      <c r="P1727" s="123"/>
      <c r="Q1727" t="str">
        <f t="shared" si="26"/>
        <v/>
      </c>
    </row>
    <row r="1728" spans="3:17" hidden="1">
      <c r="C1728" s="123"/>
      <c r="D1728" s="123"/>
      <c r="E1728" s="124"/>
      <c r="F1728" s="123"/>
      <c r="G1728" s="130"/>
      <c r="H1728" s="124"/>
      <c r="I1728" s="243"/>
      <c r="J1728" s="123"/>
      <c r="K1728" s="123"/>
      <c r="L1728" s="246"/>
      <c r="M1728" s="123"/>
      <c r="N1728" s="123"/>
      <c r="O1728" s="123"/>
      <c r="P1728" s="123"/>
      <c r="Q1728" t="str">
        <f t="shared" si="26"/>
        <v/>
      </c>
    </row>
    <row r="1729" spans="3:17" hidden="1">
      <c r="C1729" s="123"/>
      <c r="D1729" s="123"/>
      <c r="E1729" s="124"/>
      <c r="F1729" s="123"/>
      <c r="G1729" s="130"/>
      <c r="H1729" s="124"/>
      <c r="I1729" s="243"/>
      <c r="J1729" s="123"/>
      <c r="K1729" s="123"/>
      <c r="L1729" s="246"/>
      <c r="M1729" s="123"/>
      <c r="N1729" s="123"/>
      <c r="O1729" s="123"/>
      <c r="P1729" s="123"/>
      <c r="Q1729" t="str">
        <f t="shared" si="26"/>
        <v/>
      </c>
    </row>
    <row r="1730" spans="3:17" hidden="1">
      <c r="C1730" s="123"/>
      <c r="D1730" s="123"/>
      <c r="E1730" s="124"/>
      <c r="F1730" s="123"/>
      <c r="G1730" s="130"/>
      <c r="H1730" s="124"/>
      <c r="I1730" s="243"/>
      <c r="J1730" s="123"/>
      <c r="K1730" s="123"/>
      <c r="L1730" s="246"/>
      <c r="M1730" s="123"/>
      <c r="N1730" s="123"/>
      <c r="O1730" s="123"/>
      <c r="P1730" s="123"/>
      <c r="Q1730" t="str">
        <f t="shared" si="26"/>
        <v/>
      </c>
    </row>
    <row r="1731" spans="3:17" hidden="1">
      <c r="C1731" s="123"/>
      <c r="D1731" s="123"/>
      <c r="E1731" s="124"/>
      <c r="F1731" s="123"/>
      <c r="G1731" s="130"/>
      <c r="H1731" s="124"/>
      <c r="I1731" s="243"/>
      <c r="J1731" s="123"/>
      <c r="K1731" s="123"/>
      <c r="L1731" s="246"/>
      <c r="M1731" s="123"/>
      <c r="N1731" s="123"/>
      <c r="O1731" s="123"/>
      <c r="P1731" s="123"/>
      <c r="Q1731" t="str">
        <f t="shared" si="26"/>
        <v/>
      </c>
    </row>
    <row r="1732" spans="3:17" hidden="1">
      <c r="C1732" s="123"/>
      <c r="D1732" s="123"/>
      <c r="E1732" s="124"/>
      <c r="F1732" s="123"/>
      <c r="G1732" s="130"/>
      <c r="H1732" s="124"/>
      <c r="I1732" s="243"/>
      <c r="J1732" s="123"/>
      <c r="K1732" s="123"/>
      <c r="L1732" s="246"/>
      <c r="M1732" s="123"/>
      <c r="N1732" s="123"/>
      <c r="O1732" s="123"/>
      <c r="P1732" s="123"/>
      <c r="Q1732" t="str">
        <f t="shared" si="26"/>
        <v/>
      </c>
    </row>
    <row r="1733" spans="3:17" hidden="1">
      <c r="C1733" s="123"/>
      <c r="D1733" s="123"/>
      <c r="E1733" s="124"/>
      <c r="F1733" s="123"/>
      <c r="G1733" s="130"/>
      <c r="H1733" s="124"/>
      <c r="I1733" s="243"/>
      <c r="J1733" s="123"/>
      <c r="K1733" s="123"/>
      <c r="L1733" s="246"/>
      <c r="M1733" s="123"/>
      <c r="N1733" s="123"/>
      <c r="O1733" s="123"/>
      <c r="P1733" s="123"/>
      <c r="Q1733" t="str">
        <f t="shared" si="26"/>
        <v/>
      </c>
    </row>
    <row r="1734" spans="3:17" hidden="1">
      <c r="C1734" s="123"/>
      <c r="D1734" s="123"/>
      <c r="E1734" s="124"/>
      <c r="F1734" s="123"/>
      <c r="G1734" s="130"/>
      <c r="H1734" s="124"/>
      <c r="I1734" s="243"/>
      <c r="J1734" s="123"/>
      <c r="K1734" s="123"/>
      <c r="L1734" s="246"/>
      <c r="M1734" s="123"/>
      <c r="N1734" s="123"/>
      <c r="O1734" s="123"/>
      <c r="P1734" s="123"/>
      <c r="Q1734" t="str">
        <f t="shared" si="26"/>
        <v/>
      </c>
    </row>
    <row r="1735" spans="3:17" hidden="1">
      <c r="C1735" s="123"/>
      <c r="D1735" s="123"/>
      <c r="E1735" s="124"/>
      <c r="F1735" s="123"/>
      <c r="G1735" s="130"/>
      <c r="H1735" s="124"/>
      <c r="I1735" s="243"/>
      <c r="J1735" s="123"/>
      <c r="K1735" s="123"/>
      <c r="L1735" s="246"/>
      <c r="M1735" s="123"/>
      <c r="N1735" s="123"/>
      <c r="O1735" s="123"/>
      <c r="P1735" s="123"/>
      <c r="Q1735" t="str">
        <f t="shared" ref="Q1735:Q1798" si="27">IF(D1735="","","x")</f>
        <v/>
      </c>
    </row>
    <row r="1736" spans="3:17" hidden="1">
      <c r="C1736" s="123"/>
      <c r="D1736" s="123"/>
      <c r="E1736" s="124"/>
      <c r="F1736" s="123"/>
      <c r="G1736" s="130"/>
      <c r="H1736" s="124"/>
      <c r="I1736" s="243"/>
      <c r="J1736" s="123"/>
      <c r="K1736" s="123"/>
      <c r="L1736" s="246"/>
      <c r="M1736" s="123"/>
      <c r="N1736" s="123"/>
      <c r="O1736" s="123"/>
      <c r="P1736" s="123"/>
      <c r="Q1736" t="str">
        <f t="shared" si="27"/>
        <v/>
      </c>
    </row>
    <row r="1737" spans="3:17" hidden="1">
      <c r="C1737" s="123"/>
      <c r="D1737" s="123"/>
      <c r="E1737" s="124"/>
      <c r="F1737" s="123"/>
      <c r="G1737" s="130"/>
      <c r="H1737" s="124"/>
      <c r="I1737" s="243"/>
      <c r="J1737" s="123"/>
      <c r="K1737" s="123"/>
      <c r="L1737" s="246"/>
      <c r="M1737" s="123"/>
      <c r="N1737" s="123"/>
      <c r="O1737" s="123"/>
      <c r="P1737" s="123"/>
      <c r="Q1737" t="str">
        <f t="shared" si="27"/>
        <v/>
      </c>
    </row>
    <row r="1738" spans="3:17" hidden="1">
      <c r="C1738" s="123"/>
      <c r="D1738" s="123"/>
      <c r="E1738" s="124"/>
      <c r="F1738" s="123"/>
      <c r="G1738" s="130"/>
      <c r="H1738" s="124"/>
      <c r="I1738" s="243"/>
      <c r="J1738" s="123"/>
      <c r="K1738" s="123"/>
      <c r="L1738" s="246"/>
      <c r="M1738" s="123"/>
      <c r="N1738" s="123"/>
      <c r="O1738" s="123"/>
      <c r="P1738" s="123"/>
      <c r="Q1738" t="str">
        <f t="shared" si="27"/>
        <v/>
      </c>
    </row>
    <row r="1739" spans="3:17" hidden="1">
      <c r="C1739" s="123"/>
      <c r="D1739" s="123"/>
      <c r="E1739" s="124"/>
      <c r="F1739" s="123"/>
      <c r="G1739" s="130"/>
      <c r="H1739" s="124"/>
      <c r="I1739" s="243"/>
      <c r="J1739" s="123"/>
      <c r="K1739" s="123"/>
      <c r="L1739" s="246"/>
      <c r="M1739" s="123"/>
      <c r="N1739" s="123"/>
      <c r="O1739" s="123"/>
      <c r="P1739" s="123"/>
      <c r="Q1739" t="str">
        <f t="shared" si="27"/>
        <v/>
      </c>
    </row>
    <row r="1740" spans="3:17" hidden="1">
      <c r="C1740" s="123"/>
      <c r="D1740" s="123"/>
      <c r="E1740" s="124"/>
      <c r="F1740" s="123"/>
      <c r="G1740" s="130"/>
      <c r="H1740" s="124"/>
      <c r="I1740" s="243"/>
      <c r="J1740" s="123"/>
      <c r="K1740" s="123"/>
      <c r="L1740" s="246"/>
      <c r="M1740" s="123"/>
      <c r="N1740" s="123"/>
      <c r="O1740" s="123"/>
      <c r="P1740" s="123"/>
      <c r="Q1740" t="str">
        <f t="shared" si="27"/>
        <v/>
      </c>
    </row>
    <row r="1741" spans="3:17" hidden="1">
      <c r="C1741" s="123"/>
      <c r="D1741" s="123"/>
      <c r="E1741" s="124"/>
      <c r="F1741" s="123"/>
      <c r="G1741" s="130"/>
      <c r="H1741" s="124"/>
      <c r="I1741" s="243"/>
      <c r="J1741" s="123"/>
      <c r="K1741" s="123"/>
      <c r="L1741" s="246"/>
      <c r="M1741" s="123"/>
      <c r="N1741" s="123"/>
      <c r="O1741" s="123"/>
      <c r="P1741" s="123"/>
      <c r="Q1741" t="str">
        <f t="shared" si="27"/>
        <v/>
      </c>
    </row>
    <row r="1742" spans="3:17" hidden="1">
      <c r="C1742" s="123"/>
      <c r="D1742" s="123"/>
      <c r="E1742" s="124"/>
      <c r="F1742" s="123"/>
      <c r="G1742" s="130"/>
      <c r="H1742" s="124"/>
      <c r="I1742" s="243"/>
      <c r="J1742" s="123"/>
      <c r="K1742" s="123"/>
      <c r="L1742" s="246"/>
      <c r="M1742" s="123"/>
      <c r="N1742" s="123"/>
      <c r="O1742" s="123"/>
      <c r="P1742" s="123"/>
      <c r="Q1742" t="str">
        <f t="shared" si="27"/>
        <v/>
      </c>
    </row>
    <row r="1743" spans="3:17" hidden="1">
      <c r="C1743" s="123"/>
      <c r="D1743" s="123"/>
      <c r="E1743" s="124"/>
      <c r="F1743" s="123"/>
      <c r="G1743" s="130"/>
      <c r="H1743" s="124"/>
      <c r="I1743" s="243"/>
      <c r="J1743" s="123"/>
      <c r="K1743" s="123"/>
      <c r="L1743" s="246"/>
      <c r="M1743" s="123"/>
      <c r="N1743" s="123"/>
      <c r="O1743" s="123"/>
      <c r="P1743" s="123"/>
      <c r="Q1743" t="str">
        <f t="shared" si="27"/>
        <v/>
      </c>
    </row>
    <row r="1744" spans="3:17" hidden="1">
      <c r="C1744" s="123"/>
      <c r="D1744" s="123"/>
      <c r="E1744" s="124"/>
      <c r="F1744" s="123"/>
      <c r="G1744" s="130"/>
      <c r="H1744" s="124"/>
      <c r="I1744" s="243"/>
      <c r="J1744" s="123"/>
      <c r="K1744" s="123"/>
      <c r="L1744" s="246"/>
      <c r="M1744" s="123"/>
      <c r="N1744" s="123"/>
      <c r="O1744" s="123"/>
      <c r="P1744" s="123"/>
      <c r="Q1744" t="str">
        <f t="shared" si="27"/>
        <v/>
      </c>
    </row>
    <row r="1745" spans="3:17" hidden="1">
      <c r="C1745" s="123"/>
      <c r="D1745" s="123"/>
      <c r="E1745" s="124"/>
      <c r="F1745" s="123"/>
      <c r="G1745" s="130"/>
      <c r="H1745" s="124"/>
      <c r="I1745" s="243"/>
      <c r="J1745" s="123"/>
      <c r="K1745" s="123"/>
      <c r="L1745" s="246"/>
      <c r="M1745" s="123"/>
      <c r="N1745" s="123"/>
      <c r="O1745" s="123"/>
      <c r="P1745" s="123"/>
      <c r="Q1745" t="str">
        <f t="shared" si="27"/>
        <v/>
      </c>
    </row>
    <row r="1746" spans="3:17" hidden="1">
      <c r="C1746" s="123"/>
      <c r="D1746" s="123"/>
      <c r="E1746" s="124"/>
      <c r="F1746" s="123"/>
      <c r="G1746" s="130"/>
      <c r="H1746" s="124"/>
      <c r="I1746" s="243"/>
      <c r="J1746" s="123"/>
      <c r="K1746" s="123"/>
      <c r="L1746" s="246"/>
      <c r="M1746" s="123"/>
      <c r="N1746" s="123"/>
      <c r="O1746" s="123"/>
      <c r="P1746" s="123"/>
      <c r="Q1746" t="str">
        <f t="shared" si="27"/>
        <v/>
      </c>
    </row>
    <row r="1747" spans="3:17" hidden="1">
      <c r="C1747" s="123"/>
      <c r="D1747" s="123"/>
      <c r="E1747" s="124"/>
      <c r="F1747" s="123"/>
      <c r="G1747" s="130"/>
      <c r="H1747" s="124"/>
      <c r="I1747" s="243"/>
      <c r="J1747" s="123"/>
      <c r="K1747" s="123"/>
      <c r="L1747" s="246"/>
      <c r="M1747" s="123"/>
      <c r="N1747" s="123"/>
      <c r="O1747" s="123"/>
      <c r="P1747" s="123"/>
      <c r="Q1747" t="str">
        <f t="shared" si="27"/>
        <v/>
      </c>
    </row>
    <row r="1748" spans="3:17" hidden="1">
      <c r="C1748" s="123"/>
      <c r="D1748" s="123"/>
      <c r="E1748" s="124"/>
      <c r="F1748" s="123"/>
      <c r="G1748" s="130"/>
      <c r="H1748" s="124"/>
      <c r="I1748" s="243"/>
      <c r="J1748" s="123"/>
      <c r="K1748" s="123"/>
      <c r="L1748" s="246"/>
      <c r="M1748" s="123"/>
      <c r="N1748" s="123"/>
      <c r="O1748" s="123"/>
      <c r="P1748" s="123"/>
      <c r="Q1748" t="str">
        <f t="shared" si="27"/>
        <v/>
      </c>
    </row>
    <row r="1749" spans="3:17" hidden="1">
      <c r="C1749" s="123"/>
      <c r="D1749" s="123"/>
      <c r="E1749" s="124"/>
      <c r="F1749" s="123"/>
      <c r="G1749" s="130"/>
      <c r="H1749" s="124"/>
      <c r="I1749" s="243"/>
      <c r="J1749" s="123"/>
      <c r="K1749" s="123"/>
      <c r="L1749" s="246"/>
      <c r="M1749" s="123"/>
      <c r="N1749" s="123"/>
      <c r="O1749" s="123"/>
      <c r="P1749" s="123"/>
      <c r="Q1749" t="str">
        <f t="shared" si="27"/>
        <v/>
      </c>
    </row>
    <row r="1750" spans="3:17" hidden="1">
      <c r="C1750" s="123"/>
      <c r="D1750" s="123"/>
      <c r="E1750" s="124"/>
      <c r="F1750" s="123"/>
      <c r="G1750" s="130"/>
      <c r="H1750" s="124"/>
      <c r="I1750" s="243"/>
      <c r="J1750" s="123"/>
      <c r="K1750" s="123"/>
      <c r="L1750" s="246"/>
      <c r="M1750" s="123"/>
      <c r="N1750" s="123"/>
      <c r="O1750" s="123"/>
      <c r="P1750" s="123"/>
      <c r="Q1750" t="str">
        <f t="shared" si="27"/>
        <v/>
      </c>
    </row>
    <row r="1751" spans="3:17" hidden="1">
      <c r="C1751" s="123"/>
      <c r="D1751" s="123"/>
      <c r="E1751" s="124"/>
      <c r="F1751" s="123"/>
      <c r="G1751" s="130"/>
      <c r="H1751" s="124"/>
      <c r="I1751" s="243"/>
      <c r="J1751" s="123"/>
      <c r="K1751" s="123"/>
      <c r="L1751" s="246"/>
      <c r="M1751" s="123"/>
      <c r="N1751" s="123"/>
      <c r="O1751" s="123"/>
      <c r="P1751" s="123"/>
      <c r="Q1751" t="str">
        <f t="shared" si="27"/>
        <v/>
      </c>
    </row>
    <row r="1752" spans="3:17" hidden="1">
      <c r="C1752" s="123"/>
      <c r="D1752" s="123"/>
      <c r="E1752" s="124"/>
      <c r="F1752" s="123"/>
      <c r="G1752" s="130"/>
      <c r="H1752" s="124"/>
      <c r="I1752" s="243"/>
      <c r="J1752" s="123"/>
      <c r="K1752" s="123"/>
      <c r="L1752" s="246"/>
      <c r="M1752" s="123"/>
      <c r="N1752" s="123"/>
      <c r="O1752" s="123"/>
      <c r="P1752" s="123"/>
      <c r="Q1752" t="str">
        <f t="shared" si="27"/>
        <v/>
      </c>
    </row>
    <row r="1753" spans="3:17" hidden="1">
      <c r="C1753" s="123"/>
      <c r="D1753" s="123"/>
      <c r="E1753" s="124"/>
      <c r="F1753" s="123"/>
      <c r="G1753" s="130"/>
      <c r="H1753" s="124"/>
      <c r="I1753" s="243"/>
      <c r="J1753" s="123"/>
      <c r="K1753" s="123"/>
      <c r="L1753" s="246"/>
      <c r="M1753" s="123"/>
      <c r="N1753" s="123"/>
      <c r="O1753" s="123"/>
      <c r="P1753" s="123"/>
      <c r="Q1753" t="str">
        <f t="shared" si="27"/>
        <v/>
      </c>
    </row>
    <row r="1754" spans="3:17" hidden="1">
      <c r="C1754" s="123"/>
      <c r="D1754" s="123"/>
      <c r="E1754" s="124"/>
      <c r="F1754" s="123"/>
      <c r="G1754" s="130"/>
      <c r="H1754" s="124"/>
      <c r="I1754" s="243"/>
      <c r="J1754" s="123"/>
      <c r="K1754" s="123"/>
      <c r="L1754" s="246"/>
      <c r="M1754" s="123"/>
      <c r="N1754" s="123"/>
      <c r="O1754" s="123"/>
      <c r="P1754" s="123"/>
      <c r="Q1754" t="str">
        <f t="shared" si="27"/>
        <v/>
      </c>
    </row>
    <row r="1755" spans="3:17" hidden="1">
      <c r="C1755" s="123"/>
      <c r="D1755" s="123"/>
      <c r="E1755" s="124"/>
      <c r="F1755" s="123"/>
      <c r="G1755" s="130"/>
      <c r="H1755" s="124"/>
      <c r="I1755" s="243"/>
      <c r="J1755" s="123"/>
      <c r="K1755" s="123"/>
      <c r="L1755" s="246"/>
      <c r="M1755" s="123"/>
      <c r="N1755" s="123"/>
      <c r="O1755" s="123"/>
      <c r="P1755" s="123"/>
      <c r="Q1755" t="str">
        <f t="shared" si="27"/>
        <v/>
      </c>
    </row>
    <row r="1756" spans="3:17" hidden="1">
      <c r="C1756" s="123"/>
      <c r="D1756" s="123"/>
      <c r="E1756" s="124"/>
      <c r="F1756" s="123"/>
      <c r="G1756" s="130"/>
      <c r="H1756" s="124"/>
      <c r="I1756" s="243"/>
      <c r="J1756" s="123"/>
      <c r="K1756" s="123"/>
      <c r="L1756" s="246"/>
      <c r="M1756" s="123"/>
      <c r="N1756" s="123"/>
      <c r="O1756" s="123"/>
      <c r="P1756" s="123"/>
      <c r="Q1756" t="str">
        <f t="shared" si="27"/>
        <v/>
      </c>
    </row>
    <row r="1757" spans="3:17" hidden="1">
      <c r="C1757" s="123"/>
      <c r="D1757" s="123"/>
      <c r="E1757" s="124"/>
      <c r="F1757" s="123"/>
      <c r="G1757" s="130"/>
      <c r="H1757" s="124"/>
      <c r="I1757" s="243"/>
      <c r="J1757" s="123"/>
      <c r="K1757" s="123"/>
      <c r="L1757" s="246"/>
      <c r="M1757" s="123"/>
      <c r="N1757" s="123"/>
      <c r="O1757" s="123"/>
      <c r="P1757" s="123"/>
      <c r="Q1757" t="str">
        <f t="shared" si="27"/>
        <v/>
      </c>
    </row>
    <row r="1758" spans="3:17" hidden="1">
      <c r="C1758" s="123"/>
      <c r="D1758" s="123"/>
      <c r="E1758" s="124"/>
      <c r="F1758" s="123"/>
      <c r="G1758" s="130"/>
      <c r="H1758" s="124"/>
      <c r="I1758" s="243"/>
      <c r="J1758" s="123"/>
      <c r="K1758" s="123"/>
      <c r="L1758" s="246"/>
      <c r="M1758" s="123"/>
      <c r="N1758" s="123"/>
      <c r="O1758" s="123"/>
      <c r="P1758" s="123"/>
      <c r="Q1758" t="str">
        <f t="shared" si="27"/>
        <v/>
      </c>
    </row>
    <row r="1759" spans="3:17" hidden="1">
      <c r="C1759" s="123"/>
      <c r="D1759" s="123"/>
      <c r="E1759" s="124"/>
      <c r="F1759" s="123"/>
      <c r="G1759" s="130"/>
      <c r="H1759" s="124"/>
      <c r="I1759" s="243"/>
      <c r="J1759" s="123"/>
      <c r="K1759" s="123"/>
      <c r="L1759" s="246"/>
      <c r="M1759" s="123"/>
      <c r="N1759" s="123"/>
      <c r="O1759" s="123"/>
      <c r="P1759" s="123"/>
      <c r="Q1759" t="str">
        <f t="shared" si="27"/>
        <v/>
      </c>
    </row>
    <row r="1760" spans="3:17" hidden="1">
      <c r="C1760" s="123"/>
      <c r="D1760" s="123"/>
      <c r="E1760" s="124"/>
      <c r="F1760" s="123"/>
      <c r="G1760" s="130"/>
      <c r="H1760" s="124"/>
      <c r="I1760" s="243"/>
      <c r="J1760" s="123"/>
      <c r="K1760" s="123"/>
      <c r="L1760" s="246"/>
      <c r="M1760" s="123"/>
      <c r="N1760" s="123"/>
      <c r="O1760" s="123"/>
      <c r="P1760" s="123"/>
      <c r="Q1760" t="str">
        <f t="shared" si="27"/>
        <v/>
      </c>
    </row>
    <row r="1761" spans="3:17" hidden="1">
      <c r="C1761" s="123"/>
      <c r="D1761" s="123"/>
      <c r="E1761" s="124"/>
      <c r="F1761" s="123"/>
      <c r="G1761" s="130"/>
      <c r="H1761" s="124"/>
      <c r="I1761" s="243"/>
      <c r="J1761" s="123"/>
      <c r="K1761" s="123"/>
      <c r="L1761" s="246"/>
      <c r="M1761" s="123"/>
      <c r="N1761" s="123"/>
      <c r="O1761" s="123"/>
      <c r="P1761" s="123"/>
      <c r="Q1761" t="str">
        <f t="shared" si="27"/>
        <v/>
      </c>
    </row>
    <row r="1762" spans="3:17" hidden="1">
      <c r="C1762" s="123"/>
      <c r="D1762" s="123"/>
      <c r="E1762" s="124"/>
      <c r="F1762" s="123"/>
      <c r="G1762" s="130"/>
      <c r="H1762" s="124"/>
      <c r="I1762" s="243"/>
      <c r="J1762" s="123"/>
      <c r="K1762" s="123"/>
      <c r="L1762" s="246"/>
      <c r="M1762" s="123"/>
      <c r="N1762" s="123"/>
      <c r="O1762" s="123"/>
      <c r="P1762" s="123"/>
      <c r="Q1762" t="str">
        <f t="shared" si="27"/>
        <v/>
      </c>
    </row>
    <row r="1763" spans="3:17" hidden="1">
      <c r="C1763" s="123"/>
      <c r="D1763" s="123"/>
      <c r="E1763" s="124"/>
      <c r="F1763" s="123"/>
      <c r="G1763" s="130"/>
      <c r="H1763" s="124"/>
      <c r="I1763" s="243"/>
      <c r="J1763" s="123"/>
      <c r="K1763" s="123"/>
      <c r="L1763" s="246"/>
      <c r="M1763" s="123"/>
      <c r="N1763" s="123"/>
      <c r="O1763" s="123"/>
      <c r="P1763" s="123"/>
      <c r="Q1763" t="str">
        <f t="shared" si="27"/>
        <v/>
      </c>
    </row>
    <row r="1764" spans="3:17" hidden="1">
      <c r="C1764" s="123"/>
      <c r="D1764" s="123"/>
      <c r="E1764" s="124"/>
      <c r="F1764" s="123"/>
      <c r="G1764" s="130"/>
      <c r="H1764" s="124"/>
      <c r="I1764" s="243"/>
      <c r="J1764" s="123"/>
      <c r="K1764" s="123"/>
      <c r="L1764" s="246"/>
      <c r="M1764" s="123"/>
      <c r="N1764" s="123"/>
      <c r="O1764" s="123"/>
      <c r="P1764" s="123"/>
      <c r="Q1764" t="str">
        <f t="shared" si="27"/>
        <v/>
      </c>
    </row>
    <row r="1765" spans="3:17" hidden="1">
      <c r="C1765" s="123"/>
      <c r="D1765" s="123"/>
      <c r="E1765" s="124"/>
      <c r="F1765" s="123"/>
      <c r="G1765" s="130"/>
      <c r="H1765" s="124"/>
      <c r="I1765" s="243"/>
      <c r="J1765" s="123"/>
      <c r="K1765" s="123"/>
      <c r="L1765" s="246"/>
      <c r="M1765" s="123"/>
      <c r="N1765" s="123"/>
      <c r="O1765" s="123"/>
      <c r="P1765" s="123"/>
      <c r="Q1765" t="str">
        <f t="shared" si="27"/>
        <v/>
      </c>
    </row>
    <row r="1766" spans="3:17" hidden="1">
      <c r="C1766" s="123"/>
      <c r="D1766" s="123"/>
      <c r="E1766" s="124"/>
      <c r="F1766" s="123"/>
      <c r="G1766" s="130"/>
      <c r="H1766" s="124"/>
      <c r="I1766" s="243"/>
      <c r="J1766" s="123"/>
      <c r="K1766" s="123"/>
      <c r="L1766" s="246"/>
      <c r="M1766" s="123"/>
      <c r="N1766" s="123"/>
      <c r="O1766" s="123"/>
      <c r="P1766" s="123"/>
      <c r="Q1766" t="str">
        <f t="shared" si="27"/>
        <v/>
      </c>
    </row>
    <row r="1767" spans="3:17" hidden="1">
      <c r="C1767" s="123"/>
      <c r="D1767" s="123"/>
      <c r="E1767" s="124"/>
      <c r="F1767" s="123"/>
      <c r="G1767" s="130"/>
      <c r="H1767" s="124"/>
      <c r="I1767" s="243"/>
      <c r="J1767" s="123"/>
      <c r="K1767" s="123"/>
      <c r="L1767" s="246"/>
      <c r="M1767" s="123"/>
      <c r="N1767" s="123"/>
      <c r="O1767" s="123"/>
      <c r="P1767" s="123"/>
      <c r="Q1767" t="str">
        <f t="shared" si="27"/>
        <v/>
      </c>
    </row>
    <row r="1768" spans="3:17" hidden="1">
      <c r="C1768" s="123"/>
      <c r="D1768" s="123"/>
      <c r="E1768" s="124"/>
      <c r="F1768" s="123"/>
      <c r="G1768" s="130"/>
      <c r="H1768" s="124"/>
      <c r="I1768" s="243"/>
      <c r="J1768" s="123"/>
      <c r="K1768" s="123"/>
      <c r="L1768" s="246"/>
      <c r="M1768" s="123"/>
      <c r="N1768" s="123"/>
      <c r="O1768" s="123"/>
      <c r="P1768" s="123"/>
      <c r="Q1768" t="str">
        <f t="shared" si="27"/>
        <v/>
      </c>
    </row>
    <row r="1769" spans="3:17" hidden="1">
      <c r="C1769" s="123"/>
      <c r="D1769" s="123"/>
      <c r="E1769" s="124"/>
      <c r="F1769" s="123"/>
      <c r="G1769" s="130"/>
      <c r="H1769" s="124"/>
      <c r="I1769" s="243"/>
      <c r="J1769" s="123"/>
      <c r="K1769" s="123"/>
      <c r="L1769" s="246"/>
      <c r="M1769" s="123"/>
      <c r="N1769" s="123"/>
      <c r="O1769" s="123"/>
      <c r="P1769" s="123"/>
      <c r="Q1769" t="str">
        <f t="shared" si="27"/>
        <v/>
      </c>
    </row>
    <row r="1770" spans="3:17" hidden="1">
      <c r="C1770" s="123"/>
      <c r="D1770" s="123"/>
      <c r="E1770" s="124"/>
      <c r="F1770" s="123"/>
      <c r="G1770" s="130"/>
      <c r="H1770" s="124"/>
      <c r="I1770" s="243"/>
      <c r="J1770" s="123"/>
      <c r="K1770" s="123"/>
      <c r="L1770" s="246"/>
      <c r="M1770" s="123"/>
      <c r="N1770" s="123"/>
      <c r="O1770" s="123"/>
      <c r="P1770" s="123"/>
      <c r="Q1770" t="str">
        <f t="shared" si="27"/>
        <v/>
      </c>
    </row>
    <row r="1771" spans="3:17" hidden="1">
      <c r="C1771" s="123"/>
      <c r="D1771" s="123"/>
      <c r="E1771" s="124"/>
      <c r="F1771" s="123"/>
      <c r="G1771" s="130"/>
      <c r="H1771" s="124"/>
      <c r="I1771" s="243"/>
      <c r="J1771" s="123"/>
      <c r="K1771" s="123"/>
      <c r="L1771" s="246"/>
      <c r="M1771" s="123"/>
      <c r="N1771" s="123"/>
      <c r="O1771" s="123"/>
      <c r="P1771" s="123"/>
      <c r="Q1771" t="str">
        <f t="shared" si="27"/>
        <v/>
      </c>
    </row>
    <row r="1772" spans="3:17" hidden="1">
      <c r="C1772" s="123"/>
      <c r="D1772" s="123"/>
      <c r="E1772" s="124"/>
      <c r="F1772" s="123"/>
      <c r="G1772" s="130"/>
      <c r="H1772" s="124"/>
      <c r="I1772" s="243"/>
      <c r="J1772" s="123"/>
      <c r="K1772" s="123"/>
      <c r="L1772" s="246"/>
      <c r="M1772" s="123"/>
      <c r="N1772" s="123"/>
      <c r="O1772" s="123"/>
      <c r="P1772" s="123"/>
      <c r="Q1772" t="str">
        <f t="shared" si="27"/>
        <v/>
      </c>
    </row>
    <row r="1773" spans="3:17" hidden="1">
      <c r="C1773" s="123"/>
      <c r="D1773" s="123"/>
      <c r="E1773" s="124"/>
      <c r="F1773" s="123"/>
      <c r="G1773" s="130"/>
      <c r="H1773" s="124"/>
      <c r="I1773" s="243"/>
      <c r="J1773" s="123"/>
      <c r="K1773" s="123"/>
      <c r="L1773" s="246"/>
      <c r="M1773" s="123"/>
      <c r="N1773" s="123"/>
      <c r="O1773" s="123"/>
      <c r="P1773" s="123"/>
      <c r="Q1773" t="str">
        <f t="shared" si="27"/>
        <v/>
      </c>
    </row>
    <row r="1774" spans="3:17" hidden="1">
      <c r="C1774" s="123"/>
      <c r="D1774" s="123"/>
      <c r="E1774" s="124"/>
      <c r="F1774" s="123"/>
      <c r="G1774" s="130"/>
      <c r="H1774" s="124"/>
      <c r="I1774" s="243"/>
      <c r="J1774" s="123"/>
      <c r="K1774" s="123"/>
      <c r="L1774" s="246"/>
      <c r="M1774" s="123"/>
      <c r="N1774" s="123"/>
      <c r="O1774" s="123"/>
      <c r="P1774" s="123"/>
      <c r="Q1774" t="str">
        <f t="shared" si="27"/>
        <v/>
      </c>
    </row>
    <row r="1775" spans="3:17" hidden="1">
      <c r="C1775" s="123"/>
      <c r="D1775" s="123"/>
      <c r="E1775" s="124"/>
      <c r="F1775" s="123"/>
      <c r="G1775" s="130"/>
      <c r="H1775" s="124"/>
      <c r="I1775" s="243"/>
      <c r="J1775" s="123"/>
      <c r="K1775" s="123"/>
      <c r="L1775" s="246"/>
      <c r="M1775" s="123"/>
      <c r="N1775" s="123"/>
      <c r="O1775" s="123"/>
      <c r="P1775" s="123"/>
      <c r="Q1775" t="str">
        <f t="shared" si="27"/>
        <v/>
      </c>
    </row>
    <row r="1776" spans="3:17" hidden="1">
      <c r="C1776" s="123"/>
      <c r="D1776" s="123"/>
      <c r="E1776" s="124"/>
      <c r="F1776" s="123"/>
      <c r="G1776" s="130"/>
      <c r="H1776" s="124"/>
      <c r="I1776" s="243"/>
      <c r="J1776" s="123"/>
      <c r="K1776" s="123"/>
      <c r="L1776" s="246"/>
      <c r="M1776" s="123"/>
      <c r="N1776" s="123"/>
      <c r="O1776" s="123"/>
      <c r="P1776" s="123"/>
      <c r="Q1776" t="str">
        <f t="shared" si="27"/>
        <v/>
      </c>
    </row>
    <row r="1777" spans="3:17" hidden="1">
      <c r="C1777" s="123"/>
      <c r="D1777" s="123"/>
      <c r="E1777" s="124"/>
      <c r="F1777" s="123"/>
      <c r="G1777" s="130"/>
      <c r="H1777" s="124"/>
      <c r="I1777" s="243"/>
      <c r="J1777" s="123"/>
      <c r="K1777" s="123"/>
      <c r="L1777" s="246"/>
      <c r="M1777" s="123"/>
      <c r="N1777" s="123"/>
      <c r="O1777" s="123"/>
      <c r="P1777" s="123"/>
      <c r="Q1777" t="str">
        <f t="shared" si="27"/>
        <v/>
      </c>
    </row>
    <row r="1778" spans="3:17" hidden="1">
      <c r="C1778" s="123"/>
      <c r="D1778" s="123"/>
      <c r="E1778" s="124"/>
      <c r="F1778" s="123"/>
      <c r="G1778" s="130"/>
      <c r="H1778" s="124"/>
      <c r="I1778" s="243"/>
      <c r="J1778" s="123"/>
      <c r="K1778" s="123"/>
      <c r="L1778" s="246"/>
      <c r="M1778" s="123"/>
      <c r="N1778" s="123"/>
      <c r="O1778" s="123"/>
      <c r="P1778" s="123"/>
      <c r="Q1778" t="str">
        <f t="shared" si="27"/>
        <v/>
      </c>
    </row>
    <row r="1779" spans="3:17" hidden="1">
      <c r="C1779" s="123"/>
      <c r="D1779" s="123"/>
      <c r="E1779" s="124"/>
      <c r="F1779" s="123"/>
      <c r="G1779" s="130"/>
      <c r="H1779" s="124"/>
      <c r="I1779" s="243"/>
      <c r="J1779" s="123"/>
      <c r="K1779" s="123"/>
      <c r="L1779" s="246"/>
      <c r="M1779" s="123"/>
      <c r="N1779" s="123"/>
      <c r="O1779" s="123"/>
      <c r="P1779" s="123"/>
      <c r="Q1779" t="str">
        <f t="shared" si="27"/>
        <v/>
      </c>
    </row>
    <row r="1780" spans="3:17" hidden="1">
      <c r="C1780" s="123"/>
      <c r="D1780" s="123"/>
      <c r="E1780" s="124"/>
      <c r="F1780" s="123"/>
      <c r="G1780" s="130"/>
      <c r="H1780" s="124"/>
      <c r="I1780" s="243"/>
      <c r="J1780" s="123"/>
      <c r="K1780" s="123"/>
      <c r="L1780" s="246"/>
      <c r="M1780" s="123"/>
      <c r="N1780" s="123"/>
      <c r="O1780" s="123"/>
      <c r="P1780" s="123"/>
      <c r="Q1780" t="str">
        <f t="shared" si="27"/>
        <v/>
      </c>
    </row>
    <row r="1781" spans="3:17" hidden="1">
      <c r="C1781" s="123"/>
      <c r="D1781" s="123"/>
      <c r="E1781" s="124"/>
      <c r="F1781" s="123"/>
      <c r="G1781" s="130"/>
      <c r="H1781" s="124"/>
      <c r="I1781" s="243"/>
      <c r="J1781" s="123"/>
      <c r="K1781" s="123"/>
      <c r="L1781" s="246"/>
      <c r="M1781" s="123"/>
      <c r="N1781" s="123"/>
      <c r="O1781" s="123"/>
      <c r="P1781" s="123"/>
      <c r="Q1781" t="str">
        <f t="shared" si="27"/>
        <v/>
      </c>
    </row>
    <row r="1782" spans="3:17" hidden="1">
      <c r="C1782" s="123"/>
      <c r="D1782" s="123"/>
      <c r="E1782" s="124"/>
      <c r="F1782" s="123"/>
      <c r="G1782" s="130"/>
      <c r="H1782" s="124"/>
      <c r="I1782" s="243"/>
      <c r="J1782" s="123"/>
      <c r="K1782" s="123"/>
      <c r="L1782" s="246"/>
      <c r="M1782" s="123"/>
      <c r="N1782" s="123"/>
      <c r="O1782" s="123"/>
      <c r="P1782" s="123"/>
      <c r="Q1782" t="str">
        <f t="shared" si="27"/>
        <v/>
      </c>
    </row>
    <row r="1783" spans="3:17" hidden="1">
      <c r="C1783" s="123"/>
      <c r="D1783" s="123"/>
      <c r="E1783" s="124"/>
      <c r="F1783" s="123"/>
      <c r="G1783" s="130"/>
      <c r="H1783" s="124"/>
      <c r="I1783" s="243"/>
      <c r="J1783" s="123"/>
      <c r="K1783" s="123"/>
      <c r="L1783" s="246"/>
      <c r="M1783" s="123"/>
      <c r="N1783" s="123"/>
      <c r="O1783" s="123"/>
      <c r="P1783" s="123"/>
      <c r="Q1783" t="str">
        <f t="shared" si="27"/>
        <v/>
      </c>
    </row>
    <row r="1784" spans="3:17" hidden="1">
      <c r="C1784" s="123"/>
      <c r="D1784" s="123"/>
      <c r="E1784" s="124"/>
      <c r="F1784" s="123"/>
      <c r="G1784" s="130"/>
      <c r="H1784" s="124"/>
      <c r="I1784" s="243"/>
      <c r="J1784" s="123"/>
      <c r="K1784" s="123"/>
      <c r="L1784" s="246"/>
      <c r="M1784" s="123"/>
      <c r="N1784" s="123"/>
      <c r="O1784" s="123"/>
      <c r="P1784" s="123"/>
      <c r="Q1784" t="str">
        <f t="shared" si="27"/>
        <v/>
      </c>
    </row>
    <row r="1785" spans="3:17" hidden="1">
      <c r="C1785" s="123"/>
      <c r="D1785" s="123"/>
      <c r="E1785" s="124"/>
      <c r="F1785" s="123"/>
      <c r="G1785" s="130"/>
      <c r="H1785" s="124"/>
      <c r="I1785" s="243"/>
      <c r="J1785" s="123"/>
      <c r="K1785" s="123"/>
      <c r="L1785" s="246"/>
      <c r="M1785" s="123"/>
      <c r="N1785" s="123"/>
      <c r="O1785" s="123"/>
      <c r="P1785" s="123"/>
      <c r="Q1785" t="str">
        <f t="shared" si="27"/>
        <v/>
      </c>
    </row>
    <row r="1786" spans="3:17" hidden="1">
      <c r="C1786" s="123"/>
      <c r="D1786" s="123"/>
      <c r="E1786" s="124"/>
      <c r="F1786" s="123"/>
      <c r="G1786" s="130"/>
      <c r="H1786" s="124"/>
      <c r="I1786" s="243"/>
      <c r="J1786" s="123"/>
      <c r="K1786" s="123"/>
      <c r="L1786" s="246"/>
      <c r="M1786" s="123"/>
      <c r="N1786" s="123"/>
      <c r="O1786" s="123"/>
      <c r="P1786" s="123"/>
      <c r="Q1786" t="str">
        <f t="shared" si="27"/>
        <v/>
      </c>
    </row>
    <row r="1787" spans="3:17" hidden="1">
      <c r="C1787" s="123"/>
      <c r="D1787" s="123"/>
      <c r="E1787" s="124"/>
      <c r="F1787" s="123"/>
      <c r="G1787" s="130"/>
      <c r="H1787" s="124"/>
      <c r="I1787" s="243"/>
      <c r="J1787" s="123"/>
      <c r="K1787" s="123"/>
      <c r="L1787" s="246"/>
      <c r="M1787" s="123"/>
      <c r="N1787" s="123"/>
      <c r="O1787" s="123"/>
      <c r="P1787" s="123"/>
      <c r="Q1787" t="str">
        <f t="shared" si="27"/>
        <v/>
      </c>
    </row>
    <row r="1788" spans="3:17" hidden="1">
      <c r="C1788" s="123"/>
      <c r="D1788" s="123"/>
      <c r="E1788" s="124"/>
      <c r="F1788" s="123"/>
      <c r="G1788" s="130"/>
      <c r="H1788" s="124"/>
      <c r="I1788" s="243"/>
      <c r="J1788" s="123"/>
      <c r="K1788" s="123"/>
      <c r="L1788" s="246"/>
      <c r="M1788" s="123"/>
      <c r="N1788" s="123"/>
      <c r="O1788" s="123"/>
      <c r="P1788" s="123"/>
      <c r="Q1788" t="str">
        <f t="shared" si="27"/>
        <v/>
      </c>
    </row>
    <row r="1789" spans="3:17" hidden="1">
      <c r="C1789" s="123"/>
      <c r="D1789" s="123"/>
      <c r="E1789" s="124"/>
      <c r="F1789" s="123"/>
      <c r="G1789" s="130"/>
      <c r="H1789" s="124"/>
      <c r="I1789" s="243"/>
      <c r="J1789" s="123"/>
      <c r="K1789" s="123"/>
      <c r="L1789" s="246"/>
      <c r="M1789" s="123"/>
      <c r="N1789" s="123"/>
      <c r="O1789" s="123"/>
      <c r="P1789" s="123"/>
      <c r="Q1789" t="str">
        <f t="shared" si="27"/>
        <v/>
      </c>
    </row>
    <row r="1790" spans="3:17" hidden="1">
      <c r="C1790" s="123"/>
      <c r="D1790" s="123"/>
      <c r="E1790" s="124"/>
      <c r="F1790" s="123"/>
      <c r="G1790" s="130"/>
      <c r="H1790" s="124"/>
      <c r="I1790" s="243"/>
      <c r="J1790" s="123"/>
      <c r="K1790" s="123"/>
      <c r="L1790" s="246"/>
      <c r="M1790" s="123"/>
      <c r="N1790" s="123"/>
      <c r="O1790" s="123"/>
      <c r="P1790" s="123"/>
      <c r="Q1790" t="str">
        <f t="shared" si="27"/>
        <v/>
      </c>
    </row>
    <row r="1791" spans="3:17" hidden="1">
      <c r="C1791" s="123"/>
      <c r="D1791" s="123"/>
      <c r="E1791" s="124"/>
      <c r="F1791" s="123"/>
      <c r="G1791" s="130"/>
      <c r="H1791" s="124"/>
      <c r="I1791" s="243"/>
      <c r="J1791" s="123"/>
      <c r="K1791" s="123"/>
      <c r="L1791" s="246"/>
      <c r="M1791" s="123"/>
      <c r="N1791" s="123"/>
      <c r="O1791" s="123"/>
      <c r="P1791" s="123"/>
      <c r="Q1791" t="str">
        <f t="shared" si="27"/>
        <v/>
      </c>
    </row>
    <row r="1792" spans="3:17" hidden="1">
      <c r="C1792" s="123"/>
      <c r="D1792" s="123"/>
      <c r="E1792" s="124"/>
      <c r="F1792" s="123"/>
      <c r="G1792" s="130"/>
      <c r="H1792" s="124"/>
      <c r="I1792" s="243"/>
      <c r="J1792" s="123"/>
      <c r="K1792" s="123"/>
      <c r="L1792" s="246"/>
      <c r="M1792" s="123"/>
      <c r="N1792" s="123"/>
      <c r="O1792" s="123"/>
      <c r="P1792" s="123"/>
      <c r="Q1792" t="str">
        <f t="shared" si="27"/>
        <v/>
      </c>
    </row>
    <row r="1793" spans="3:17" hidden="1">
      <c r="C1793" s="123"/>
      <c r="D1793" s="123"/>
      <c r="E1793" s="124"/>
      <c r="F1793" s="123"/>
      <c r="G1793" s="130"/>
      <c r="H1793" s="124"/>
      <c r="I1793" s="243"/>
      <c r="J1793" s="123"/>
      <c r="K1793" s="123"/>
      <c r="L1793" s="246"/>
      <c r="M1793" s="123"/>
      <c r="N1793" s="123"/>
      <c r="O1793" s="123"/>
      <c r="P1793" s="123"/>
      <c r="Q1793" t="str">
        <f t="shared" si="27"/>
        <v/>
      </c>
    </row>
    <row r="1794" spans="3:17" hidden="1">
      <c r="C1794" s="123"/>
      <c r="D1794" s="123"/>
      <c r="E1794" s="124"/>
      <c r="F1794" s="123"/>
      <c r="G1794" s="130"/>
      <c r="H1794" s="124"/>
      <c r="I1794" s="243"/>
      <c r="J1794" s="123"/>
      <c r="K1794" s="123"/>
      <c r="L1794" s="246"/>
      <c r="M1794" s="123"/>
      <c r="N1794" s="123"/>
      <c r="O1794" s="123"/>
      <c r="P1794" s="123"/>
      <c r="Q1794" t="str">
        <f t="shared" si="27"/>
        <v/>
      </c>
    </row>
    <row r="1795" spans="3:17" hidden="1">
      <c r="C1795" s="123"/>
      <c r="D1795" s="123"/>
      <c r="E1795" s="124"/>
      <c r="F1795" s="123"/>
      <c r="G1795" s="130"/>
      <c r="H1795" s="124"/>
      <c r="I1795" s="243"/>
      <c r="J1795" s="123"/>
      <c r="K1795" s="123"/>
      <c r="L1795" s="246"/>
      <c r="M1795" s="123"/>
      <c r="N1795" s="123"/>
      <c r="O1795" s="123"/>
      <c r="P1795" s="123"/>
      <c r="Q1795" t="str">
        <f t="shared" si="27"/>
        <v/>
      </c>
    </row>
    <row r="1796" spans="3:17" hidden="1">
      <c r="C1796" s="123"/>
      <c r="D1796" s="123"/>
      <c r="E1796" s="124"/>
      <c r="F1796" s="123"/>
      <c r="G1796" s="130"/>
      <c r="H1796" s="124"/>
      <c r="I1796" s="243"/>
      <c r="J1796" s="123"/>
      <c r="K1796" s="123"/>
      <c r="L1796" s="246"/>
      <c r="M1796" s="123"/>
      <c r="N1796" s="123"/>
      <c r="O1796" s="123"/>
      <c r="P1796" s="123"/>
      <c r="Q1796" t="str">
        <f t="shared" si="27"/>
        <v/>
      </c>
    </row>
    <row r="1797" spans="3:17" hidden="1">
      <c r="C1797" s="123"/>
      <c r="D1797" s="123"/>
      <c r="E1797" s="124"/>
      <c r="F1797" s="123"/>
      <c r="G1797" s="130"/>
      <c r="H1797" s="124"/>
      <c r="I1797" s="243"/>
      <c r="J1797" s="123"/>
      <c r="K1797" s="123"/>
      <c r="L1797" s="246"/>
      <c r="M1797" s="123"/>
      <c r="N1797" s="123"/>
      <c r="O1797" s="123"/>
      <c r="P1797" s="123"/>
      <c r="Q1797" t="str">
        <f t="shared" si="27"/>
        <v/>
      </c>
    </row>
    <row r="1798" spans="3:17" hidden="1">
      <c r="C1798" s="123"/>
      <c r="D1798" s="123"/>
      <c r="E1798" s="124"/>
      <c r="F1798" s="123"/>
      <c r="G1798" s="130"/>
      <c r="H1798" s="124"/>
      <c r="I1798" s="243"/>
      <c r="J1798" s="123"/>
      <c r="K1798" s="123"/>
      <c r="L1798" s="246"/>
      <c r="M1798" s="123"/>
      <c r="N1798" s="123"/>
      <c r="O1798" s="123"/>
      <c r="P1798" s="123"/>
      <c r="Q1798" t="str">
        <f t="shared" si="27"/>
        <v/>
      </c>
    </row>
    <row r="1799" spans="3:17" hidden="1">
      <c r="C1799" s="123"/>
      <c r="D1799" s="123"/>
      <c r="E1799" s="124"/>
      <c r="F1799" s="123"/>
      <c r="G1799" s="130"/>
      <c r="H1799" s="124"/>
      <c r="I1799" s="243"/>
      <c r="J1799" s="123"/>
      <c r="K1799" s="123"/>
      <c r="L1799" s="246"/>
      <c r="M1799" s="123"/>
      <c r="N1799" s="123"/>
      <c r="O1799" s="123"/>
      <c r="P1799" s="123"/>
      <c r="Q1799" t="str">
        <f t="shared" ref="Q1799:Q1862" si="28">IF(D1799="","","x")</f>
        <v/>
      </c>
    </row>
    <row r="1800" spans="3:17" hidden="1">
      <c r="C1800" s="123"/>
      <c r="D1800" s="123"/>
      <c r="E1800" s="124"/>
      <c r="F1800" s="123"/>
      <c r="G1800" s="130"/>
      <c r="H1800" s="124"/>
      <c r="I1800" s="243"/>
      <c r="J1800" s="123"/>
      <c r="K1800" s="123"/>
      <c r="L1800" s="246"/>
      <c r="M1800" s="123"/>
      <c r="N1800" s="123"/>
      <c r="O1800" s="123"/>
      <c r="P1800" s="123"/>
      <c r="Q1800" t="str">
        <f t="shared" si="28"/>
        <v/>
      </c>
    </row>
    <row r="1801" spans="3:17" hidden="1">
      <c r="C1801" s="123"/>
      <c r="D1801" s="123"/>
      <c r="E1801" s="124"/>
      <c r="F1801" s="123"/>
      <c r="G1801" s="130"/>
      <c r="H1801" s="124"/>
      <c r="I1801" s="243"/>
      <c r="J1801" s="123"/>
      <c r="K1801" s="123"/>
      <c r="L1801" s="246"/>
      <c r="M1801" s="123"/>
      <c r="N1801" s="123"/>
      <c r="O1801" s="123"/>
      <c r="P1801" s="123"/>
      <c r="Q1801" t="str">
        <f t="shared" si="28"/>
        <v/>
      </c>
    </row>
    <row r="1802" spans="3:17" hidden="1">
      <c r="C1802" s="123"/>
      <c r="D1802" s="123"/>
      <c r="E1802" s="124"/>
      <c r="F1802" s="123"/>
      <c r="G1802" s="130"/>
      <c r="H1802" s="124"/>
      <c r="I1802" s="243"/>
      <c r="J1802" s="123"/>
      <c r="K1802" s="123"/>
      <c r="L1802" s="246"/>
      <c r="M1802" s="123"/>
      <c r="N1802" s="123"/>
      <c r="O1802" s="123"/>
      <c r="P1802" s="123"/>
      <c r="Q1802" t="str">
        <f t="shared" si="28"/>
        <v/>
      </c>
    </row>
    <row r="1803" spans="3:17" hidden="1">
      <c r="C1803" s="123"/>
      <c r="D1803" s="123"/>
      <c r="E1803" s="124"/>
      <c r="F1803" s="123"/>
      <c r="G1803" s="130"/>
      <c r="H1803" s="124"/>
      <c r="I1803" s="243"/>
      <c r="J1803" s="123"/>
      <c r="K1803" s="123"/>
      <c r="L1803" s="246"/>
      <c r="M1803" s="123"/>
      <c r="N1803" s="123"/>
      <c r="O1803" s="123"/>
      <c r="P1803" s="123"/>
      <c r="Q1803" t="str">
        <f t="shared" si="28"/>
        <v/>
      </c>
    </row>
    <row r="1804" spans="3:17" hidden="1">
      <c r="C1804" s="123"/>
      <c r="D1804" s="123"/>
      <c r="E1804" s="124"/>
      <c r="F1804" s="123"/>
      <c r="G1804" s="130"/>
      <c r="H1804" s="124"/>
      <c r="I1804" s="243"/>
      <c r="J1804" s="123"/>
      <c r="K1804" s="123"/>
      <c r="L1804" s="246"/>
      <c r="M1804" s="123"/>
      <c r="N1804" s="123"/>
      <c r="O1804" s="123"/>
      <c r="P1804" s="123"/>
      <c r="Q1804" t="str">
        <f t="shared" si="28"/>
        <v/>
      </c>
    </row>
    <row r="1805" spans="3:17" hidden="1">
      <c r="C1805" s="123"/>
      <c r="D1805" s="123"/>
      <c r="E1805" s="124"/>
      <c r="F1805" s="123"/>
      <c r="G1805" s="130"/>
      <c r="H1805" s="124"/>
      <c r="I1805" s="243"/>
      <c r="J1805" s="123"/>
      <c r="K1805" s="123"/>
      <c r="L1805" s="246"/>
      <c r="M1805" s="123"/>
      <c r="N1805" s="123"/>
      <c r="O1805" s="123"/>
      <c r="P1805" s="123"/>
      <c r="Q1805" t="str">
        <f t="shared" si="28"/>
        <v/>
      </c>
    </row>
    <row r="1806" spans="3:17" hidden="1">
      <c r="C1806" s="123"/>
      <c r="D1806" s="123"/>
      <c r="E1806" s="124"/>
      <c r="F1806" s="123"/>
      <c r="G1806" s="130"/>
      <c r="H1806" s="124"/>
      <c r="I1806" s="243"/>
      <c r="J1806" s="123"/>
      <c r="K1806" s="123"/>
      <c r="L1806" s="246"/>
      <c r="M1806" s="123"/>
      <c r="N1806" s="123"/>
      <c r="O1806" s="123"/>
      <c r="P1806" s="123"/>
      <c r="Q1806" t="str">
        <f t="shared" si="28"/>
        <v/>
      </c>
    </row>
    <row r="1807" spans="3:17" hidden="1">
      <c r="C1807" s="123"/>
      <c r="D1807" s="123"/>
      <c r="E1807" s="124"/>
      <c r="F1807" s="123"/>
      <c r="G1807" s="130"/>
      <c r="H1807" s="124"/>
      <c r="I1807" s="243"/>
      <c r="J1807" s="123"/>
      <c r="K1807" s="123"/>
      <c r="L1807" s="246"/>
      <c r="M1807" s="123"/>
      <c r="N1807" s="123"/>
      <c r="O1807" s="123"/>
      <c r="P1807" s="123"/>
      <c r="Q1807" t="str">
        <f t="shared" si="28"/>
        <v/>
      </c>
    </row>
    <row r="1808" spans="3:17" hidden="1">
      <c r="C1808" s="123"/>
      <c r="D1808" s="123"/>
      <c r="E1808" s="124"/>
      <c r="F1808" s="123"/>
      <c r="G1808" s="130"/>
      <c r="H1808" s="124"/>
      <c r="I1808" s="243"/>
      <c r="J1808" s="123"/>
      <c r="K1808" s="123"/>
      <c r="L1808" s="246"/>
      <c r="M1808" s="123"/>
      <c r="N1808" s="123"/>
      <c r="O1808" s="123"/>
      <c r="P1808" s="123"/>
      <c r="Q1808" t="str">
        <f t="shared" si="28"/>
        <v/>
      </c>
    </row>
    <row r="1809" spans="3:17" hidden="1">
      <c r="C1809" s="123"/>
      <c r="D1809" s="123"/>
      <c r="E1809" s="124"/>
      <c r="F1809" s="123"/>
      <c r="G1809" s="130"/>
      <c r="H1809" s="124"/>
      <c r="I1809" s="243"/>
      <c r="J1809" s="123"/>
      <c r="K1809" s="123"/>
      <c r="L1809" s="246"/>
      <c r="M1809" s="123"/>
      <c r="N1809" s="123"/>
      <c r="O1809" s="123"/>
      <c r="P1809" s="123"/>
      <c r="Q1809" t="str">
        <f t="shared" si="28"/>
        <v/>
      </c>
    </row>
    <row r="1810" spans="3:17" hidden="1">
      <c r="C1810" s="123"/>
      <c r="D1810" s="123"/>
      <c r="E1810" s="124"/>
      <c r="F1810" s="123"/>
      <c r="G1810" s="130"/>
      <c r="H1810" s="124"/>
      <c r="I1810" s="243"/>
      <c r="J1810" s="123"/>
      <c r="K1810" s="123"/>
      <c r="L1810" s="246"/>
      <c r="M1810" s="123"/>
      <c r="N1810" s="123"/>
      <c r="O1810" s="123"/>
      <c r="P1810" s="123"/>
      <c r="Q1810" t="str">
        <f t="shared" si="28"/>
        <v/>
      </c>
    </row>
    <row r="1811" spans="3:17" hidden="1">
      <c r="C1811" s="123"/>
      <c r="D1811" s="123"/>
      <c r="E1811" s="124"/>
      <c r="F1811" s="123"/>
      <c r="G1811" s="130"/>
      <c r="H1811" s="124"/>
      <c r="I1811" s="243"/>
      <c r="J1811" s="123"/>
      <c r="K1811" s="123"/>
      <c r="L1811" s="246"/>
      <c r="M1811" s="123"/>
      <c r="N1811" s="123"/>
      <c r="O1811" s="123"/>
      <c r="P1811" s="123"/>
      <c r="Q1811" t="str">
        <f t="shared" si="28"/>
        <v/>
      </c>
    </row>
    <row r="1812" spans="3:17" hidden="1">
      <c r="C1812" s="123"/>
      <c r="D1812" s="123"/>
      <c r="E1812" s="124"/>
      <c r="F1812" s="123"/>
      <c r="G1812" s="130"/>
      <c r="H1812" s="124"/>
      <c r="I1812" s="243"/>
      <c r="J1812" s="123"/>
      <c r="K1812" s="123"/>
      <c r="L1812" s="246"/>
      <c r="M1812" s="123"/>
      <c r="N1812" s="123"/>
      <c r="O1812" s="123"/>
      <c r="P1812" s="123"/>
      <c r="Q1812" t="str">
        <f t="shared" si="28"/>
        <v/>
      </c>
    </row>
    <row r="1813" spans="3:17" hidden="1">
      <c r="C1813" s="123"/>
      <c r="D1813" s="123"/>
      <c r="E1813" s="124"/>
      <c r="F1813" s="123"/>
      <c r="G1813" s="130"/>
      <c r="H1813" s="124"/>
      <c r="I1813" s="243"/>
      <c r="J1813" s="123"/>
      <c r="K1813" s="123"/>
      <c r="L1813" s="246"/>
      <c r="M1813" s="123"/>
      <c r="N1813" s="123"/>
      <c r="O1813" s="123"/>
      <c r="P1813" s="123"/>
      <c r="Q1813" t="str">
        <f t="shared" si="28"/>
        <v/>
      </c>
    </row>
    <row r="1814" spans="3:17" hidden="1">
      <c r="C1814" s="123"/>
      <c r="D1814" s="123"/>
      <c r="E1814" s="124"/>
      <c r="F1814" s="123"/>
      <c r="G1814" s="130"/>
      <c r="H1814" s="124"/>
      <c r="I1814" s="243"/>
      <c r="J1814" s="123"/>
      <c r="K1814" s="123"/>
      <c r="L1814" s="246"/>
      <c r="M1814" s="123"/>
      <c r="N1814" s="123"/>
      <c r="O1814" s="123"/>
      <c r="P1814" s="123"/>
      <c r="Q1814" t="str">
        <f t="shared" si="28"/>
        <v/>
      </c>
    </row>
    <row r="1815" spans="3:17" hidden="1">
      <c r="C1815" s="123"/>
      <c r="D1815" s="123"/>
      <c r="E1815" s="124"/>
      <c r="F1815" s="123"/>
      <c r="G1815" s="130"/>
      <c r="H1815" s="124"/>
      <c r="I1815" s="243"/>
      <c r="J1815" s="123"/>
      <c r="K1815" s="123"/>
      <c r="L1815" s="246"/>
      <c r="M1815" s="123"/>
      <c r="N1815" s="123"/>
      <c r="O1815" s="123"/>
      <c r="P1815" s="123"/>
      <c r="Q1815" t="str">
        <f t="shared" si="28"/>
        <v/>
      </c>
    </row>
    <row r="1816" spans="3:17" hidden="1">
      <c r="C1816" s="123"/>
      <c r="D1816" s="123"/>
      <c r="E1816" s="124"/>
      <c r="F1816" s="123"/>
      <c r="G1816" s="130"/>
      <c r="H1816" s="124"/>
      <c r="I1816" s="243"/>
      <c r="J1816" s="123"/>
      <c r="K1816" s="123"/>
      <c r="L1816" s="246"/>
      <c r="M1816" s="123"/>
      <c r="N1816" s="123"/>
      <c r="O1816" s="123"/>
      <c r="P1816" s="123"/>
      <c r="Q1816" t="str">
        <f t="shared" si="28"/>
        <v/>
      </c>
    </row>
    <row r="1817" spans="3:17" hidden="1">
      <c r="C1817" s="123"/>
      <c r="D1817" s="123"/>
      <c r="E1817" s="124"/>
      <c r="F1817" s="123"/>
      <c r="G1817" s="130"/>
      <c r="H1817" s="124"/>
      <c r="I1817" s="243"/>
      <c r="J1817" s="123"/>
      <c r="K1817" s="123"/>
      <c r="L1817" s="246"/>
      <c r="M1817" s="123"/>
      <c r="N1817" s="123"/>
      <c r="O1817" s="123"/>
      <c r="P1817" s="123"/>
      <c r="Q1817" t="str">
        <f t="shared" si="28"/>
        <v/>
      </c>
    </row>
    <row r="1818" spans="3:17" hidden="1">
      <c r="C1818" s="123"/>
      <c r="D1818" s="123"/>
      <c r="E1818" s="124"/>
      <c r="F1818" s="123"/>
      <c r="G1818" s="130"/>
      <c r="H1818" s="124"/>
      <c r="I1818" s="243"/>
      <c r="J1818" s="123"/>
      <c r="K1818" s="123"/>
      <c r="L1818" s="246"/>
      <c r="M1818" s="123"/>
      <c r="N1818" s="123"/>
      <c r="O1818" s="123"/>
      <c r="P1818" s="123"/>
      <c r="Q1818" t="str">
        <f t="shared" si="28"/>
        <v/>
      </c>
    </row>
    <row r="1819" spans="3:17" hidden="1">
      <c r="C1819" s="123"/>
      <c r="D1819" s="123"/>
      <c r="E1819" s="124"/>
      <c r="F1819" s="123"/>
      <c r="G1819" s="130"/>
      <c r="H1819" s="124"/>
      <c r="I1819" s="243"/>
      <c r="J1819" s="123"/>
      <c r="K1819" s="123"/>
      <c r="L1819" s="246"/>
      <c r="M1819" s="123"/>
      <c r="N1819" s="123"/>
      <c r="O1819" s="123"/>
      <c r="P1819" s="123"/>
      <c r="Q1819" t="str">
        <f t="shared" si="28"/>
        <v/>
      </c>
    </row>
    <row r="1820" spans="3:17" hidden="1">
      <c r="C1820" s="123"/>
      <c r="D1820" s="123"/>
      <c r="E1820" s="124"/>
      <c r="F1820" s="123"/>
      <c r="G1820" s="130"/>
      <c r="H1820" s="124"/>
      <c r="I1820" s="243"/>
      <c r="J1820" s="123"/>
      <c r="K1820" s="123"/>
      <c r="L1820" s="246"/>
      <c r="M1820" s="123"/>
      <c r="N1820" s="123"/>
      <c r="O1820" s="123"/>
      <c r="P1820" s="123"/>
      <c r="Q1820" t="str">
        <f t="shared" si="28"/>
        <v/>
      </c>
    </row>
    <row r="1821" spans="3:17" hidden="1">
      <c r="C1821" s="123"/>
      <c r="D1821" s="123"/>
      <c r="E1821" s="124"/>
      <c r="F1821" s="123"/>
      <c r="G1821" s="130"/>
      <c r="H1821" s="124"/>
      <c r="I1821" s="243"/>
      <c r="J1821" s="123"/>
      <c r="K1821" s="123"/>
      <c r="L1821" s="246"/>
      <c r="M1821" s="123"/>
      <c r="N1821" s="123"/>
      <c r="O1821" s="123"/>
      <c r="P1821" s="123"/>
      <c r="Q1821" t="str">
        <f t="shared" si="28"/>
        <v/>
      </c>
    </row>
    <row r="1822" spans="3:17" hidden="1">
      <c r="C1822" s="123"/>
      <c r="D1822" s="123"/>
      <c r="E1822" s="124"/>
      <c r="F1822" s="123"/>
      <c r="G1822" s="130"/>
      <c r="H1822" s="124"/>
      <c r="I1822" s="243"/>
      <c r="J1822" s="123"/>
      <c r="K1822" s="123"/>
      <c r="L1822" s="246"/>
      <c r="M1822" s="123"/>
      <c r="N1822" s="123"/>
      <c r="O1822" s="123"/>
      <c r="P1822" s="123"/>
      <c r="Q1822" t="str">
        <f t="shared" si="28"/>
        <v/>
      </c>
    </row>
    <row r="1823" spans="3:17" hidden="1">
      <c r="C1823" s="123"/>
      <c r="D1823" s="123"/>
      <c r="E1823" s="124"/>
      <c r="F1823" s="123"/>
      <c r="G1823" s="130"/>
      <c r="H1823" s="124"/>
      <c r="I1823" s="243"/>
      <c r="J1823" s="123"/>
      <c r="K1823" s="123"/>
      <c r="L1823" s="246"/>
      <c r="M1823" s="123"/>
      <c r="N1823" s="123"/>
      <c r="O1823" s="123"/>
      <c r="P1823" s="123"/>
      <c r="Q1823" t="str">
        <f t="shared" si="28"/>
        <v/>
      </c>
    </row>
    <row r="1824" spans="3:17" hidden="1">
      <c r="C1824" s="123"/>
      <c r="D1824" s="123"/>
      <c r="E1824" s="124"/>
      <c r="F1824" s="123"/>
      <c r="G1824" s="130"/>
      <c r="H1824" s="124"/>
      <c r="I1824" s="243"/>
      <c r="J1824" s="123"/>
      <c r="K1824" s="123"/>
      <c r="L1824" s="246"/>
      <c r="M1824" s="123"/>
      <c r="N1824" s="123"/>
      <c r="O1824" s="123"/>
      <c r="P1824" s="123"/>
      <c r="Q1824" t="str">
        <f t="shared" si="28"/>
        <v/>
      </c>
    </row>
    <row r="1825" spans="3:17" hidden="1">
      <c r="C1825" s="123"/>
      <c r="D1825" s="123"/>
      <c r="E1825" s="124"/>
      <c r="F1825" s="123"/>
      <c r="G1825" s="130"/>
      <c r="H1825" s="124"/>
      <c r="I1825" s="243"/>
      <c r="J1825" s="123"/>
      <c r="K1825" s="123"/>
      <c r="L1825" s="246"/>
      <c r="M1825" s="123"/>
      <c r="N1825" s="123"/>
      <c r="O1825" s="123"/>
      <c r="P1825" s="123"/>
      <c r="Q1825" t="str">
        <f t="shared" si="28"/>
        <v/>
      </c>
    </row>
    <row r="1826" spans="3:17" hidden="1">
      <c r="C1826" s="123"/>
      <c r="D1826" s="123"/>
      <c r="E1826" s="124"/>
      <c r="F1826" s="123"/>
      <c r="G1826" s="130"/>
      <c r="H1826" s="124"/>
      <c r="I1826" s="243"/>
      <c r="J1826" s="123"/>
      <c r="K1826" s="123"/>
      <c r="L1826" s="246"/>
      <c r="M1826" s="123"/>
      <c r="N1826" s="123"/>
      <c r="O1826" s="123"/>
      <c r="P1826" s="123"/>
      <c r="Q1826" t="str">
        <f t="shared" si="28"/>
        <v/>
      </c>
    </row>
    <row r="1827" spans="3:17" hidden="1">
      <c r="C1827" s="123"/>
      <c r="D1827" s="123"/>
      <c r="E1827" s="124"/>
      <c r="F1827" s="123"/>
      <c r="G1827" s="130"/>
      <c r="H1827" s="124"/>
      <c r="I1827" s="243"/>
      <c r="J1827" s="123"/>
      <c r="K1827" s="123"/>
      <c r="L1827" s="246"/>
      <c r="M1827" s="123"/>
      <c r="N1827" s="123"/>
      <c r="O1827" s="123"/>
      <c r="P1827" s="123"/>
      <c r="Q1827" t="str">
        <f t="shared" si="28"/>
        <v/>
      </c>
    </row>
    <row r="1828" spans="3:17" hidden="1">
      <c r="C1828" s="123"/>
      <c r="D1828" s="123"/>
      <c r="E1828" s="124"/>
      <c r="F1828" s="123"/>
      <c r="G1828" s="130"/>
      <c r="H1828" s="124"/>
      <c r="I1828" s="243"/>
      <c r="J1828" s="123"/>
      <c r="K1828" s="123"/>
      <c r="L1828" s="246"/>
      <c r="M1828" s="123"/>
      <c r="N1828" s="123"/>
      <c r="O1828" s="123"/>
      <c r="P1828" s="123"/>
      <c r="Q1828" t="str">
        <f t="shared" si="28"/>
        <v/>
      </c>
    </row>
    <row r="1829" spans="3:17" hidden="1">
      <c r="C1829" s="123"/>
      <c r="D1829" s="123"/>
      <c r="E1829" s="124"/>
      <c r="F1829" s="123"/>
      <c r="G1829" s="130"/>
      <c r="H1829" s="124"/>
      <c r="I1829" s="243"/>
      <c r="J1829" s="123"/>
      <c r="K1829" s="123"/>
      <c r="L1829" s="246"/>
      <c r="M1829" s="123"/>
      <c r="N1829" s="123"/>
      <c r="O1829" s="123"/>
      <c r="P1829" s="123"/>
      <c r="Q1829" t="str">
        <f t="shared" si="28"/>
        <v/>
      </c>
    </row>
    <row r="1830" spans="3:17" hidden="1">
      <c r="C1830" s="123"/>
      <c r="D1830" s="123"/>
      <c r="E1830" s="124"/>
      <c r="F1830" s="123"/>
      <c r="G1830" s="130"/>
      <c r="H1830" s="124"/>
      <c r="I1830" s="243"/>
      <c r="J1830" s="123"/>
      <c r="K1830" s="123"/>
      <c r="L1830" s="246"/>
      <c r="M1830" s="123"/>
      <c r="N1830" s="123"/>
      <c r="O1830" s="123"/>
      <c r="P1830" s="123"/>
      <c r="Q1830" t="str">
        <f t="shared" si="28"/>
        <v/>
      </c>
    </row>
    <row r="1831" spans="3:17" hidden="1">
      <c r="C1831" s="123"/>
      <c r="D1831" s="123"/>
      <c r="E1831" s="124"/>
      <c r="F1831" s="123"/>
      <c r="G1831" s="130"/>
      <c r="H1831" s="124"/>
      <c r="I1831" s="243"/>
      <c r="J1831" s="123"/>
      <c r="K1831" s="123"/>
      <c r="L1831" s="246"/>
      <c r="M1831" s="123"/>
      <c r="N1831" s="123"/>
      <c r="O1831" s="123"/>
      <c r="P1831" s="123"/>
      <c r="Q1831" t="str">
        <f t="shared" si="28"/>
        <v/>
      </c>
    </row>
    <row r="1832" spans="3:17" hidden="1">
      <c r="C1832" s="123"/>
      <c r="D1832" s="123"/>
      <c r="E1832" s="124"/>
      <c r="F1832" s="123"/>
      <c r="G1832" s="130"/>
      <c r="H1832" s="124"/>
      <c r="I1832" s="243"/>
      <c r="J1832" s="123"/>
      <c r="K1832" s="123"/>
      <c r="L1832" s="246"/>
      <c r="M1832" s="123"/>
      <c r="N1832" s="123"/>
      <c r="O1832" s="123"/>
      <c r="P1832" s="123"/>
      <c r="Q1832" t="str">
        <f t="shared" si="28"/>
        <v/>
      </c>
    </row>
    <row r="1833" spans="3:17" hidden="1">
      <c r="C1833" s="123"/>
      <c r="D1833" s="123"/>
      <c r="E1833" s="124"/>
      <c r="F1833" s="123"/>
      <c r="G1833" s="130"/>
      <c r="H1833" s="124"/>
      <c r="I1833" s="243"/>
      <c r="J1833" s="123"/>
      <c r="K1833" s="123"/>
      <c r="L1833" s="246"/>
      <c r="M1833" s="123"/>
      <c r="N1833" s="123"/>
      <c r="O1833" s="123"/>
      <c r="P1833" s="123"/>
      <c r="Q1833" t="str">
        <f t="shared" si="28"/>
        <v/>
      </c>
    </row>
    <row r="1834" spans="3:17" hidden="1">
      <c r="C1834" s="123"/>
      <c r="D1834" s="123"/>
      <c r="E1834" s="124"/>
      <c r="F1834" s="123"/>
      <c r="G1834" s="130"/>
      <c r="H1834" s="124"/>
      <c r="I1834" s="243"/>
      <c r="J1834" s="123"/>
      <c r="K1834" s="123"/>
      <c r="L1834" s="246"/>
      <c r="M1834" s="123"/>
      <c r="N1834" s="123"/>
      <c r="O1834" s="123"/>
      <c r="P1834" s="123"/>
      <c r="Q1834" t="str">
        <f t="shared" si="28"/>
        <v/>
      </c>
    </row>
    <row r="1835" spans="3:17" hidden="1">
      <c r="C1835" s="123"/>
      <c r="D1835" s="123"/>
      <c r="E1835" s="124"/>
      <c r="F1835" s="123"/>
      <c r="G1835" s="130"/>
      <c r="H1835" s="124"/>
      <c r="I1835" s="243"/>
      <c r="J1835" s="123"/>
      <c r="K1835" s="123"/>
      <c r="L1835" s="246"/>
      <c r="M1835" s="123"/>
      <c r="N1835" s="123"/>
      <c r="O1835" s="123"/>
      <c r="P1835" s="123"/>
      <c r="Q1835" t="str">
        <f t="shared" si="28"/>
        <v/>
      </c>
    </row>
    <row r="1836" spans="3:17" hidden="1">
      <c r="C1836" s="123"/>
      <c r="D1836" s="123"/>
      <c r="E1836" s="124"/>
      <c r="F1836" s="123"/>
      <c r="G1836" s="130"/>
      <c r="H1836" s="124"/>
      <c r="I1836" s="243"/>
      <c r="J1836" s="123"/>
      <c r="K1836" s="123"/>
      <c r="L1836" s="246"/>
      <c r="M1836" s="123"/>
      <c r="N1836" s="123"/>
      <c r="O1836" s="123"/>
      <c r="P1836" s="123"/>
      <c r="Q1836" t="str">
        <f t="shared" si="28"/>
        <v/>
      </c>
    </row>
    <row r="1837" spans="3:17" hidden="1">
      <c r="C1837" s="123"/>
      <c r="D1837" s="123"/>
      <c r="E1837" s="124"/>
      <c r="F1837" s="123"/>
      <c r="G1837" s="130"/>
      <c r="H1837" s="124"/>
      <c r="I1837" s="243"/>
      <c r="J1837" s="123"/>
      <c r="K1837" s="123"/>
      <c r="L1837" s="246"/>
      <c r="M1837" s="123"/>
      <c r="N1837" s="123"/>
      <c r="O1837" s="123"/>
      <c r="P1837" s="123"/>
      <c r="Q1837" t="str">
        <f t="shared" si="28"/>
        <v/>
      </c>
    </row>
    <row r="1838" spans="3:17" hidden="1">
      <c r="C1838" s="123"/>
      <c r="D1838" s="123"/>
      <c r="E1838" s="124"/>
      <c r="F1838" s="123"/>
      <c r="G1838" s="130"/>
      <c r="H1838" s="124"/>
      <c r="I1838" s="243"/>
      <c r="J1838" s="123"/>
      <c r="K1838" s="123"/>
      <c r="L1838" s="246"/>
      <c r="M1838" s="123"/>
      <c r="N1838" s="123"/>
      <c r="O1838" s="123"/>
      <c r="P1838" s="123"/>
      <c r="Q1838" t="str">
        <f t="shared" si="28"/>
        <v/>
      </c>
    </row>
    <row r="1839" spans="3:17" hidden="1">
      <c r="C1839" s="123"/>
      <c r="D1839" s="123"/>
      <c r="E1839" s="124"/>
      <c r="F1839" s="123"/>
      <c r="G1839" s="130"/>
      <c r="H1839" s="124"/>
      <c r="I1839" s="243"/>
      <c r="J1839" s="123"/>
      <c r="K1839" s="123"/>
      <c r="L1839" s="246"/>
      <c r="M1839" s="123"/>
      <c r="N1839" s="123"/>
      <c r="O1839" s="123"/>
      <c r="P1839" s="123"/>
      <c r="Q1839" t="str">
        <f t="shared" si="28"/>
        <v/>
      </c>
    </row>
    <row r="1840" spans="3:17" hidden="1">
      <c r="C1840" s="123"/>
      <c r="D1840" s="123"/>
      <c r="E1840" s="124"/>
      <c r="F1840" s="123"/>
      <c r="G1840" s="130"/>
      <c r="H1840" s="124"/>
      <c r="I1840" s="243"/>
      <c r="J1840" s="123"/>
      <c r="K1840" s="123"/>
      <c r="L1840" s="246"/>
      <c r="M1840" s="123"/>
      <c r="N1840" s="123"/>
      <c r="O1840" s="123"/>
      <c r="P1840" s="123"/>
      <c r="Q1840" t="str">
        <f t="shared" si="28"/>
        <v/>
      </c>
    </row>
    <row r="1841" spans="3:17" hidden="1">
      <c r="C1841" s="123"/>
      <c r="D1841" s="123"/>
      <c r="E1841" s="124"/>
      <c r="F1841" s="123"/>
      <c r="G1841" s="130"/>
      <c r="H1841" s="124"/>
      <c r="I1841" s="243"/>
      <c r="J1841" s="123"/>
      <c r="K1841" s="123"/>
      <c r="L1841" s="246"/>
      <c r="M1841" s="123"/>
      <c r="N1841" s="123"/>
      <c r="O1841" s="123"/>
      <c r="P1841" s="123"/>
      <c r="Q1841" t="str">
        <f t="shared" si="28"/>
        <v/>
      </c>
    </row>
    <row r="1842" spans="3:17" hidden="1">
      <c r="C1842" s="123"/>
      <c r="D1842" s="123"/>
      <c r="E1842" s="124"/>
      <c r="F1842" s="123"/>
      <c r="G1842" s="130"/>
      <c r="H1842" s="124"/>
      <c r="I1842" s="243"/>
      <c r="J1842" s="123"/>
      <c r="K1842" s="123"/>
      <c r="L1842" s="246"/>
      <c r="M1842" s="123"/>
      <c r="N1842" s="123"/>
      <c r="O1842" s="123"/>
      <c r="P1842" s="123"/>
      <c r="Q1842" t="str">
        <f t="shared" si="28"/>
        <v/>
      </c>
    </row>
    <row r="1843" spans="3:17" hidden="1">
      <c r="C1843" s="123"/>
      <c r="D1843" s="123"/>
      <c r="E1843" s="124"/>
      <c r="F1843" s="123"/>
      <c r="G1843" s="130"/>
      <c r="H1843" s="124"/>
      <c r="I1843" s="243"/>
      <c r="J1843" s="123"/>
      <c r="K1843" s="123"/>
      <c r="L1843" s="246"/>
      <c r="M1843" s="123"/>
      <c r="N1843" s="123"/>
      <c r="O1843" s="123"/>
      <c r="P1843" s="123"/>
      <c r="Q1843" t="str">
        <f t="shared" si="28"/>
        <v/>
      </c>
    </row>
    <row r="1844" spans="3:17" hidden="1">
      <c r="C1844" s="123"/>
      <c r="D1844" s="123"/>
      <c r="E1844" s="124"/>
      <c r="F1844" s="123"/>
      <c r="G1844" s="130"/>
      <c r="H1844" s="124"/>
      <c r="I1844" s="243"/>
      <c r="J1844" s="123"/>
      <c r="K1844" s="123"/>
      <c r="L1844" s="246"/>
      <c r="M1844" s="123"/>
      <c r="N1844" s="123"/>
      <c r="O1844" s="123"/>
      <c r="P1844" s="123"/>
      <c r="Q1844" t="str">
        <f t="shared" si="28"/>
        <v/>
      </c>
    </row>
    <row r="1845" spans="3:17" hidden="1">
      <c r="C1845" s="123"/>
      <c r="D1845" s="123"/>
      <c r="E1845" s="124"/>
      <c r="F1845" s="123"/>
      <c r="G1845" s="130"/>
      <c r="H1845" s="124"/>
      <c r="I1845" s="243"/>
      <c r="J1845" s="123"/>
      <c r="K1845" s="123"/>
      <c r="L1845" s="246"/>
      <c r="M1845" s="123"/>
      <c r="N1845" s="123"/>
      <c r="O1845" s="123"/>
      <c r="P1845" s="123"/>
      <c r="Q1845" t="str">
        <f t="shared" si="28"/>
        <v/>
      </c>
    </row>
    <row r="1846" spans="3:17" hidden="1">
      <c r="C1846" s="123"/>
      <c r="D1846" s="123"/>
      <c r="E1846" s="124"/>
      <c r="F1846" s="123"/>
      <c r="G1846" s="130"/>
      <c r="H1846" s="124"/>
      <c r="I1846" s="243"/>
      <c r="J1846" s="123"/>
      <c r="K1846" s="123"/>
      <c r="L1846" s="246"/>
      <c r="M1846" s="123"/>
      <c r="N1846" s="123"/>
      <c r="O1846" s="123"/>
      <c r="P1846" s="123"/>
      <c r="Q1846" t="str">
        <f t="shared" si="28"/>
        <v/>
      </c>
    </row>
    <row r="1847" spans="3:17" hidden="1">
      <c r="C1847" s="123"/>
      <c r="D1847" s="123"/>
      <c r="E1847" s="124"/>
      <c r="F1847" s="123"/>
      <c r="G1847" s="130"/>
      <c r="H1847" s="124"/>
      <c r="I1847" s="243"/>
      <c r="J1847" s="123"/>
      <c r="K1847" s="123"/>
      <c r="L1847" s="246"/>
      <c r="M1847" s="123"/>
      <c r="N1847" s="123"/>
      <c r="O1847" s="123"/>
      <c r="P1847" s="123"/>
      <c r="Q1847" t="str">
        <f t="shared" si="28"/>
        <v/>
      </c>
    </row>
    <row r="1848" spans="3:17" hidden="1">
      <c r="C1848" s="123"/>
      <c r="D1848" s="123"/>
      <c r="E1848" s="124"/>
      <c r="F1848" s="123"/>
      <c r="G1848" s="130"/>
      <c r="H1848" s="124"/>
      <c r="I1848" s="243"/>
      <c r="J1848" s="123"/>
      <c r="K1848" s="123"/>
      <c r="L1848" s="246"/>
      <c r="M1848" s="123"/>
      <c r="N1848" s="123"/>
      <c r="O1848" s="123"/>
      <c r="P1848" s="123"/>
      <c r="Q1848" t="str">
        <f t="shared" si="28"/>
        <v/>
      </c>
    </row>
    <row r="1849" spans="3:17" hidden="1">
      <c r="C1849" s="123"/>
      <c r="D1849" s="123"/>
      <c r="E1849" s="124"/>
      <c r="F1849" s="123"/>
      <c r="G1849" s="130"/>
      <c r="H1849" s="124"/>
      <c r="I1849" s="243"/>
      <c r="J1849" s="123"/>
      <c r="K1849" s="123"/>
      <c r="L1849" s="246"/>
      <c r="M1849" s="123"/>
      <c r="N1849" s="123"/>
      <c r="O1849" s="123"/>
      <c r="P1849" s="123"/>
      <c r="Q1849" t="str">
        <f t="shared" si="28"/>
        <v/>
      </c>
    </row>
    <row r="1850" spans="3:17" hidden="1">
      <c r="C1850" s="123"/>
      <c r="D1850" s="123"/>
      <c r="E1850" s="124"/>
      <c r="F1850" s="123"/>
      <c r="G1850" s="130"/>
      <c r="H1850" s="124"/>
      <c r="I1850" s="243"/>
      <c r="J1850" s="123"/>
      <c r="K1850" s="123"/>
      <c r="L1850" s="246"/>
      <c r="M1850" s="123"/>
      <c r="N1850" s="123"/>
      <c r="O1850" s="123"/>
      <c r="P1850" s="123"/>
      <c r="Q1850" t="str">
        <f t="shared" si="28"/>
        <v/>
      </c>
    </row>
    <row r="1851" spans="3:17" hidden="1">
      <c r="C1851" s="123"/>
      <c r="D1851" s="123"/>
      <c r="E1851" s="124"/>
      <c r="F1851" s="123"/>
      <c r="G1851" s="130"/>
      <c r="H1851" s="124"/>
      <c r="I1851" s="243"/>
      <c r="J1851" s="123"/>
      <c r="K1851" s="123"/>
      <c r="L1851" s="246"/>
      <c r="M1851" s="123"/>
      <c r="N1851" s="123"/>
      <c r="O1851" s="123"/>
      <c r="P1851" s="123"/>
      <c r="Q1851" t="str">
        <f t="shared" si="28"/>
        <v/>
      </c>
    </row>
    <row r="1852" spans="3:17" hidden="1">
      <c r="C1852" s="123"/>
      <c r="D1852" s="123"/>
      <c r="E1852" s="124"/>
      <c r="F1852" s="123"/>
      <c r="G1852" s="130"/>
      <c r="H1852" s="124"/>
      <c r="I1852" s="243"/>
      <c r="J1852" s="123"/>
      <c r="K1852" s="123"/>
      <c r="L1852" s="246"/>
      <c r="M1852" s="123"/>
      <c r="N1852" s="123"/>
      <c r="O1852" s="123"/>
      <c r="P1852" s="123"/>
      <c r="Q1852" t="str">
        <f t="shared" si="28"/>
        <v/>
      </c>
    </row>
    <row r="1853" spans="3:17" hidden="1">
      <c r="C1853" s="123"/>
      <c r="D1853" s="123"/>
      <c r="E1853" s="124"/>
      <c r="F1853" s="123"/>
      <c r="G1853" s="130"/>
      <c r="H1853" s="124"/>
      <c r="I1853" s="243"/>
      <c r="J1853" s="123"/>
      <c r="K1853" s="123"/>
      <c r="L1853" s="246"/>
      <c r="M1853" s="123"/>
      <c r="N1853" s="123"/>
      <c r="O1853" s="123"/>
      <c r="P1853" s="123"/>
      <c r="Q1853" t="str">
        <f t="shared" si="28"/>
        <v/>
      </c>
    </row>
    <row r="1854" spans="3:17" hidden="1">
      <c r="C1854" s="123"/>
      <c r="D1854" s="123"/>
      <c r="E1854" s="124"/>
      <c r="F1854" s="123"/>
      <c r="G1854" s="130"/>
      <c r="H1854" s="124"/>
      <c r="I1854" s="243"/>
      <c r="J1854" s="123"/>
      <c r="K1854" s="123"/>
      <c r="L1854" s="246"/>
      <c r="M1854" s="123"/>
      <c r="N1854" s="123"/>
      <c r="O1854" s="123"/>
      <c r="P1854" s="123"/>
      <c r="Q1854" t="str">
        <f t="shared" si="28"/>
        <v/>
      </c>
    </row>
    <row r="1855" spans="3:17" hidden="1">
      <c r="C1855" s="123"/>
      <c r="D1855" s="123"/>
      <c r="E1855" s="124"/>
      <c r="F1855" s="123"/>
      <c r="G1855" s="130"/>
      <c r="H1855" s="124"/>
      <c r="I1855" s="243"/>
      <c r="J1855" s="123"/>
      <c r="K1855" s="123"/>
      <c r="L1855" s="246"/>
      <c r="M1855" s="123"/>
      <c r="N1855" s="123"/>
      <c r="O1855" s="123"/>
      <c r="P1855" s="123"/>
      <c r="Q1855" t="str">
        <f t="shared" si="28"/>
        <v/>
      </c>
    </row>
    <row r="1856" spans="3:17" hidden="1">
      <c r="C1856" s="123"/>
      <c r="D1856" s="123"/>
      <c r="E1856" s="124"/>
      <c r="F1856" s="123"/>
      <c r="G1856" s="130"/>
      <c r="H1856" s="124"/>
      <c r="I1856" s="243"/>
      <c r="J1856" s="123"/>
      <c r="K1856" s="123"/>
      <c r="L1856" s="246"/>
      <c r="M1856" s="123"/>
      <c r="N1856" s="123"/>
      <c r="O1856" s="123"/>
      <c r="P1856" s="123"/>
      <c r="Q1856" t="str">
        <f t="shared" si="28"/>
        <v/>
      </c>
    </row>
    <row r="1857" spans="3:17" hidden="1">
      <c r="C1857" s="123"/>
      <c r="D1857" s="123"/>
      <c r="E1857" s="124"/>
      <c r="F1857" s="123"/>
      <c r="G1857" s="130"/>
      <c r="H1857" s="124"/>
      <c r="I1857" s="243"/>
      <c r="J1857" s="123"/>
      <c r="K1857" s="123"/>
      <c r="L1857" s="246"/>
      <c r="M1857" s="123"/>
      <c r="N1857" s="123"/>
      <c r="O1857" s="123"/>
      <c r="P1857" s="123"/>
      <c r="Q1857" t="str">
        <f t="shared" si="28"/>
        <v/>
      </c>
    </row>
    <row r="1858" spans="3:17" hidden="1">
      <c r="C1858" s="123"/>
      <c r="D1858" s="123"/>
      <c r="E1858" s="124"/>
      <c r="F1858" s="123"/>
      <c r="G1858" s="130"/>
      <c r="H1858" s="124"/>
      <c r="I1858" s="243"/>
      <c r="J1858" s="123"/>
      <c r="K1858" s="123"/>
      <c r="L1858" s="246"/>
      <c r="M1858" s="123"/>
      <c r="N1858" s="123"/>
      <c r="O1858" s="123"/>
      <c r="P1858" s="123"/>
      <c r="Q1858" t="str">
        <f t="shared" si="28"/>
        <v/>
      </c>
    </row>
    <row r="1859" spans="3:17" hidden="1">
      <c r="C1859" s="123"/>
      <c r="D1859" s="123"/>
      <c r="E1859" s="124"/>
      <c r="F1859" s="123"/>
      <c r="G1859" s="130"/>
      <c r="H1859" s="124"/>
      <c r="I1859" s="243"/>
      <c r="J1859" s="123"/>
      <c r="K1859" s="123"/>
      <c r="L1859" s="246"/>
      <c r="M1859" s="123"/>
      <c r="N1859" s="123"/>
      <c r="O1859" s="123"/>
      <c r="P1859" s="123"/>
      <c r="Q1859" t="str">
        <f t="shared" si="28"/>
        <v/>
      </c>
    </row>
    <row r="1860" spans="3:17" hidden="1">
      <c r="C1860" s="123"/>
      <c r="D1860" s="123"/>
      <c r="E1860" s="124"/>
      <c r="F1860" s="123"/>
      <c r="G1860" s="130"/>
      <c r="H1860" s="124"/>
      <c r="I1860" s="243"/>
      <c r="J1860" s="123"/>
      <c r="K1860" s="123"/>
      <c r="L1860" s="246"/>
      <c r="M1860" s="123"/>
      <c r="N1860" s="123"/>
      <c r="O1860" s="123"/>
      <c r="P1860" s="123"/>
      <c r="Q1860" t="str">
        <f t="shared" si="28"/>
        <v/>
      </c>
    </row>
    <row r="1861" spans="3:17" hidden="1">
      <c r="C1861" s="123"/>
      <c r="D1861" s="123"/>
      <c r="E1861" s="124"/>
      <c r="F1861" s="123"/>
      <c r="G1861" s="130"/>
      <c r="H1861" s="124"/>
      <c r="I1861" s="243"/>
      <c r="J1861" s="123"/>
      <c r="K1861" s="123"/>
      <c r="L1861" s="246"/>
      <c r="M1861" s="123"/>
      <c r="N1861" s="123"/>
      <c r="O1861" s="123"/>
      <c r="P1861" s="123"/>
      <c r="Q1861" t="str">
        <f t="shared" si="28"/>
        <v/>
      </c>
    </row>
    <row r="1862" spans="3:17" hidden="1">
      <c r="C1862" s="123"/>
      <c r="D1862" s="123"/>
      <c r="E1862" s="124"/>
      <c r="F1862" s="123"/>
      <c r="G1862" s="130"/>
      <c r="H1862" s="124"/>
      <c r="I1862" s="243"/>
      <c r="J1862" s="123"/>
      <c r="K1862" s="123"/>
      <c r="L1862" s="246"/>
      <c r="M1862" s="123"/>
      <c r="N1862" s="123"/>
      <c r="O1862" s="123"/>
      <c r="P1862" s="123"/>
      <c r="Q1862" t="str">
        <f t="shared" si="28"/>
        <v/>
      </c>
    </row>
    <row r="1863" spans="3:17" hidden="1">
      <c r="C1863" s="123"/>
      <c r="D1863" s="123"/>
      <c r="E1863" s="124"/>
      <c r="F1863" s="123"/>
      <c r="G1863" s="130"/>
      <c r="H1863" s="124"/>
      <c r="I1863" s="243"/>
      <c r="J1863" s="123"/>
      <c r="K1863" s="123"/>
      <c r="L1863" s="246"/>
      <c r="M1863" s="123"/>
      <c r="N1863" s="123"/>
      <c r="O1863" s="123"/>
      <c r="P1863" s="123"/>
      <c r="Q1863" t="str">
        <f t="shared" ref="Q1863:Q1926" si="29">IF(D1863="","","x")</f>
        <v/>
      </c>
    </row>
    <row r="1864" spans="3:17" hidden="1">
      <c r="C1864" s="123"/>
      <c r="D1864" s="123"/>
      <c r="E1864" s="124"/>
      <c r="F1864" s="123"/>
      <c r="G1864" s="130"/>
      <c r="H1864" s="124"/>
      <c r="I1864" s="243"/>
      <c r="J1864" s="123"/>
      <c r="K1864" s="123"/>
      <c r="L1864" s="246"/>
      <c r="M1864" s="123"/>
      <c r="N1864" s="123"/>
      <c r="O1864" s="123"/>
      <c r="P1864" s="123"/>
      <c r="Q1864" t="str">
        <f t="shared" si="29"/>
        <v/>
      </c>
    </row>
    <row r="1865" spans="3:17" hidden="1">
      <c r="C1865" s="123"/>
      <c r="D1865" s="123"/>
      <c r="E1865" s="124"/>
      <c r="F1865" s="123"/>
      <c r="G1865" s="130"/>
      <c r="H1865" s="124"/>
      <c r="I1865" s="243"/>
      <c r="J1865" s="123"/>
      <c r="K1865" s="123"/>
      <c r="L1865" s="246"/>
      <c r="M1865" s="123"/>
      <c r="N1865" s="123"/>
      <c r="O1865" s="123"/>
      <c r="P1865" s="123"/>
      <c r="Q1865" t="str">
        <f t="shared" si="29"/>
        <v/>
      </c>
    </row>
    <row r="1866" spans="3:17" hidden="1">
      <c r="C1866" s="123"/>
      <c r="D1866" s="123"/>
      <c r="E1866" s="124"/>
      <c r="F1866" s="123"/>
      <c r="G1866" s="130"/>
      <c r="H1866" s="124"/>
      <c r="I1866" s="243"/>
      <c r="J1866" s="123"/>
      <c r="K1866" s="123"/>
      <c r="L1866" s="246"/>
      <c r="M1866" s="123"/>
      <c r="N1866" s="123"/>
      <c r="O1866" s="123"/>
      <c r="P1866" s="123"/>
      <c r="Q1866" t="str">
        <f t="shared" si="29"/>
        <v/>
      </c>
    </row>
    <row r="1867" spans="3:17" hidden="1">
      <c r="C1867" s="123"/>
      <c r="D1867" s="123"/>
      <c r="E1867" s="124"/>
      <c r="F1867" s="123"/>
      <c r="G1867" s="130"/>
      <c r="H1867" s="124"/>
      <c r="I1867" s="243"/>
      <c r="J1867" s="123"/>
      <c r="K1867" s="123"/>
      <c r="L1867" s="246"/>
      <c r="M1867" s="123"/>
      <c r="N1867" s="123"/>
      <c r="O1867" s="123"/>
      <c r="P1867" s="123"/>
      <c r="Q1867" t="str">
        <f t="shared" si="29"/>
        <v/>
      </c>
    </row>
    <row r="1868" spans="3:17" hidden="1">
      <c r="C1868" s="123"/>
      <c r="D1868" s="123"/>
      <c r="E1868" s="124"/>
      <c r="F1868" s="123"/>
      <c r="G1868" s="130"/>
      <c r="H1868" s="124"/>
      <c r="I1868" s="243"/>
      <c r="J1868" s="123"/>
      <c r="K1868" s="123"/>
      <c r="L1868" s="246"/>
      <c r="M1868" s="123"/>
      <c r="N1868" s="123"/>
      <c r="O1868" s="123"/>
      <c r="P1868" s="123"/>
      <c r="Q1868" t="str">
        <f t="shared" si="29"/>
        <v/>
      </c>
    </row>
    <row r="1869" spans="3:17" hidden="1">
      <c r="C1869" s="123"/>
      <c r="D1869" s="123"/>
      <c r="E1869" s="124"/>
      <c r="F1869" s="123"/>
      <c r="G1869" s="130"/>
      <c r="H1869" s="124"/>
      <c r="I1869" s="243"/>
      <c r="J1869" s="123"/>
      <c r="K1869" s="123"/>
      <c r="L1869" s="246"/>
      <c r="M1869" s="123"/>
      <c r="N1869" s="123"/>
      <c r="O1869" s="123"/>
      <c r="P1869" s="123"/>
      <c r="Q1869" t="str">
        <f t="shared" si="29"/>
        <v/>
      </c>
    </row>
    <row r="1870" spans="3:17" hidden="1">
      <c r="C1870" s="123"/>
      <c r="D1870" s="123"/>
      <c r="E1870" s="124"/>
      <c r="F1870" s="123"/>
      <c r="G1870" s="130"/>
      <c r="H1870" s="124"/>
      <c r="I1870" s="243"/>
      <c r="J1870" s="123"/>
      <c r="K1870" s="123"/>
      <c r="L1870" s="246"/>
      <c r="M1870" s="123"/>
      <c r="N1870" s="123"/>
      <c r="O1870" s="123"/>
      <c r="P1870" s="123"/>
      <c r="Q1870" t="str">
        <f t="shared" si="29"/>
        <v/>
      </c>
    </row>
    <row r="1871" spans="3:17" hidden="1">
      <c r="C1871" s="123"/>
      <c r="D1871" s="123"/>
      <c r="E1871" s="124"/>
      <c r="F1871" s="123"/>
      <c r="G1871" s="130"/>
      <c r="H1871" s="124"/>
      <c r="I1871" s="243"/>
      <c r="J1871" s="123"/>
      <c r="K1871" s="123"/>
      <c r="L1871" s="246"/>
      <c r="M1871" s="123"/>
      <c r="N1871" s="123"/>
      <c r="O1871" s="123"/>
      <c r="P1871" s="123"/>
      <c r="Q1871" t="str">
        <f t="shared" si="29"/>
        <v/>
      </c>
    </row>
    <row r="1872" spans="3:17" hidden="1">
      <c r="C1872" s="123"/>
      <c r="D1872" s="123"/>
      <c r="E1872" s="124"/>
      <c r="F1872" s="123"/>
      <c r="G1872" s="130"/>
      <c r="H1872" s="124"/>
      <c r="I1872" s="243"/>
      <c r="J1872" s="123"/>
      <c r="K1872" s="123"/>
      <c r="L1872" s="246"/>
      <c r="M1872" s="123"/>
      <c r="N1872" s="123"/>
      <c r="O1872" s="123"/>
      <c r="P1872" s="123"/>
      <c r="Q1872" t="str">
        <f t="shared" si="29"/>
        <v/>
      </c>
    </row>
    <row r="1873" spans="3:17" hidden="1">
      <c r="C1873" s="123"/>
      <c r="D1873" s="123"/>
      <c r="E1873" s="124"/>
      <c r="F1873" s="123"/>
      <c r="G1873" s="130"/>
      <c r="H1873" s="124"/>
      <c r="I1873" s="243"/>
      <c r="J1873" s="123"/>
      <c r="K1873" s="123"/>
      <c r="L1873" s="246"/>
      <c r="M1873" s="123"/>
      <c r="N1873" s="123"/>
      <c r="O1873" s="123"/>
      <c r="P1873" s="123"/>
      <c r="Q1873" t="str">
        <f t="shared" si="29"/>
        <v/>
      </c>
    </row>
    <row r="1874" spans="3:17" hidden="1">
      <c r="C1874" s="123"/>
      <c r="D1874" s="123"/>
      <c r="E1874" s="124"/>
      <c r="F1874" s="123"/>
      <c r="G1874" s="130"/>
      <c r="H1874" s="124"/>
      <c r="I1874" s="243"/>
      <c r="J1874" s="123"/>
      <c r="K1874" s="123"/>
      <c r="L1874" s="246"/>
      <c r="M1874" s="123"/>
      <c r="N1874" s="123"/>
      <c r="O1874" s="123"/>
      <c r="P1874" s="123"/>
      <c r="Q1874" t="str">
        <f t="shared" si="29"/>
        <v/>
      </c>
    </row>
    <row r="1875" spans="3:17" hidden="1">
      <c r="C1875" s="123"/>
      <c r="D1875" s="123"/>
      <c r="E1875" s="124"/>
      <c r="F1875" s="123"/>
      <c r="G1875" s="130"/>
      <c r="H1875" s="124"/>
      <c r="I1875" s="243"/>
      <c r="J1875" s="123"/>
      <c r="K1875" s="123"/>
      <c r="L1875" s="246"/>
      <c r="M1875" s="123"/>
      <c r="N1875" s="123"/>
      <c r="O1875" s="123"/>
      <c r="P1875" s="123"/>
      <c r="Q1875" t="str">
        <f t="shared" si="29"/>
        <v/>
      </c>
    </row>
    <row r="1876" spans="3:17" hidden="1">
      <c r="C1876" s="123"/>
      <c r="D1876" s="123"/>
      <c r="E1876" s="124"/>
      <c r="F1876" s="123"/>
      <c r="G1876" s="130"/>
      <c r="H1876" s="124"/>
      <c r="I1876" s="243"/>
      <c r="J1876" s="123"/>
      <c r="K1876" s="123"/>
      <c r="L1876" s="246"/>
      <c r="M1876" s="123"/>
      <c r="N1876" s="123"/>
      <c r="O1876" s="123"/>
      <c r="P1876" s="123"/>
      <c r="Q1876" t="str">
        <f t="shared" si="29"/>
        <v/>
      </c>
    </row>
    <row r="1877" spans="3:17" hidden="1">
      <c r="C1877" s="123"/>
      <c r="D1877" s="123"/>
      <c r="E1877" s="124"/>
      <c r="F1877" s="123"/>
      <c r="G1877" s="130"/>
      <c r="H1877" s="124"/>
      <c r="I1877" s="243"/>
      <c r="J1877" s="123"/>
      <c r="K1877" s="123"/>
      <c r="L1877" s="246"/>
      <c r="M1877" s="123"/>
      <c r="N1877" s="123"/>
      <c r="O1877" s="123"/>
      <c r="P1877" s="123"/>
      <c r="Q1877" t="str">
        <f t="shared" si="29"/>
        <v/>
      </c>
    </row>
    <row r="1878" spans="3:17" hidden="1">
      <c r="C1878" s="123"/>
      <c r="D1878" s="123"/>
      <c r="E1878" s="124"/>
      <c r="F1878" s="123"/>
      <c r="G1878" s="130"/>
      <c r="H1878" s="124"/>
      <c r="I1878" s="243"/>
      <c r="J1878" s="123"/>
      <c r="K1878" s="123"/>
      <c r="L1878" s="246"/>
      <c r="M1878" s="123"/>
      <c r="N1878" s="123"/>
      <c r="O1878" s="123"/>
      <c r="P1878" s="123"/>
      <c r="Q1878" t="str">
        <f t="shared" si="29"/>
        <v/>
      </c>
    </row>
    <row r="1879" spans="3:17" hidden="1">
      <c r="C1879" s="123"/>
      <c r="D1879" s="123"/>
      <c r="E1879" s="124"/>
      <c r="F1879" s="123"/>
      <c r="G1879" s="130"/>
      <c r="H1879" s="124"/>
      <c r="I1879" s="243"/>
      <c r="J1879" s="123"/>
      <c r="K1879" s="123"/>
      <c r="L1879" s="246"/>
      <c r="M1879" s="123"/>
      <c r="N1879" s="123"/>
      <c r="O1879" s="123"/>
      <c r="P1879" s="123"/>
      <c r="Q1879" t="str">
        <f t="shared" si="29"/>
        <v/>
      </c>
    </row>
    <row r="1880" spans="3:17" hidden="1">
      <c r="C1880" s="123"/>
      <c r="D1880" s="123"/>
      <c r="E1880" s="124"/>
      <c r="F1880" s="123"/>
      <c r="G1880" s="130"/>
      <c r="H1880" s="124"/>
      <c r="I1880" s="243"/>
      <c r="J1880" s="123"/>
      <c r="K1880" s="123"/>
      <c r="L1880" s="246"/>
      <c r="M1880" s="123"/>
      <c r="N1880" s="123"/>
      <c r="O1880" s="123"/>
      <c r="P1880" s="123"/>
      <c r="Q1880" t="str">
        <f t="shared" si="29"/>
        <v/>
      </c>
    </row>
    <row r="1881" spans="3:17" hidden="1">
      <c r="C1881" s="123"/>
      <c r="D1881" s="123"/>
      <c r="E1881" s="124"/>
      <c r="F1881" s="123"/>
      <c r="G1881" s="130"/>
      <c r="H1881" s="124"/>
      <c r="I1881" s="243"/>
      <c r="J1881" s="123"/>
      <c r="K1881" s="123"/>
      <c r="L1881" s="246"/>
      <c r="M1881" s="123"/>
      <c r="N1881" s="123"/>
      <c r="O1881" s="123"/>
      <c r="P1881" s="123"/>
      <c r="Q1881" t="str">
        <f t="shared" si="29"/>
        <v/>
      </c>
    </row>
    <row r="1882" spans="3:17" hidden="1">
      <c r="C1882" s="123"/>
      <c r="D1882" s="123"/>
      <c r="E1882" s="124"/>
      <c r="F1882" s="123"/>
      <c r="G1882" s="130"/>
      <c r="H1882" s="124"/>
      <c r="I1882" s="243"/>
      <c r="J1882" s="123"/>
      <c r="K1882" s="123"/>
      <c r="L1882" s="246"/>
      <c r="M1882" s="123"/>
      <c r="N1882" s="123"/>
      <c r="O1882" s="123"/>
      <c r="P1882" s="123"/>
      <c r="Q1882" t="str">
        <f t="shared" si="29"/>
        <v/>
      </c>
    </row>
    <row r="1883" spans="3:17" hidden="1">
      <c r="C1883" s="123"/>
      <c r="D1883" s="123"/>
      <c r="E1883" s="124"/>
      <c r="F1883" s="123"/>
      <c r="G1883" s="130"/>
      <c r="H1883" s="124"/>
      <c r="I1883" s="243"/>
      <c r="J1883" s="123"/>
      <c r="K1883" s="123"/>
      <c r="L1883" s="246"/>
      <c r="M1883" s="123"/>
      <c r="N1883" s="123"/>
      <c r="O1883" s="123"/>
      <c r="P1883" s="123"/>
      <c r="Q1883" t="str">
        <f t="shared" si="29"/>
        <v/>
      </c>
    </row>
    <row r="1884" spans="3:17" hidden="1">
      <c r="C1884" s="123"/>
      <c r="D1884" s="123"/>
      <c r="E1884" s="124"/>
      <c r="F1884" s="123"/>
      <c r="G1884" s="130"/>
      <c r="H1884" s="124"/>
      <c r="I1884" s="243"/>
      <c r="J1884" s="123"/>
      <c r="K1884" s="123"/>
      <c r="L1884" s="246"/>
      <c r="M1884" s="123"/>
      <c r="N1884" s="123"/>
      <c r="O1884" s="123"/>
      <c r="P1884" s="123"/>
      <c r="Q1884" t="str">
        <f t="shared" si="29"/>
        <v/>
      </c>
    </row>
    <row r="1885" spans="3:17" hidden="1">
      <c r="C1885" s="123"/>
      <c r="D1885" s="123"/>
      <c r="E1885" s="124"/>
      <c r="F1885" s="123"/>
      <c r="G1885" s="130"/>
      <c r="H1885" s="124"/>
      <c r="I1885" s="243"/>
      <c r="J1885" s="123"/>
      <c r="K1885" s="123"/>
      <c r="L1885" s="246"/>
      <c r="M1885" s="123"/>
      <c r="N1885" s="123"/>
      <c r="O1885" s="123"/>
      <c r="P1885" s="123"/>
      <c r="Q1885" t="str">
        <f t="shared" si="29"/>
        <v/>
      </c>
    </row>
    <row r="1886" spans="3:17" hidden="1">
      <c r="C1886" s="123"/>
      <c r="D1886" s="123"/>
      <c r="E1886" s="124"/>
      <c r="F1886" s="123"/>
      <c r="G1886" s="130"/>
      <c r="H1886" s="124"/>
      <c r="I1886" s="243"/>
      <c r="J1886" s="123"/>
      <c r="K1886" s="123"/>
      <c r="L1886" s="246"/>
      <c r="M1886" s="123"/>
      <c r="N1886" s="123"/>
      <c r="O1886" s="123"/>
      <c r="P1886" s="123"/>
      <c r="Q1886" t="str">
        <f t="shared" si="29"/>
        <v/>
      </c>
    </row>
    <row r="1887" spans="3:17" hidden="1">
      <c r="C1887" s="123"/>
      <c r="D1887" s="123"/>
      <c r="E1887" s="124"/>
      <c r="F1887" s="123"/>
      <c r="G1887" s="130"/>
      <c r="H1887" s="124"/>
      <c r="I1887" s="243"/>
      <c r="J1887" s="123"/>
      <c r="K1887" s="123"/>
      <c r="L1887" s="246"/>
      <c r="M1887" s="123"/>
      <c r="N1887" s="123"/>
      <c r="O1887" s="123"/>
      <c r="P1887" s="123"/>
      <c r="Q1887" t="str">
        <f t="shared" si="29"/>
        <v/>
      </c>
    </row>
    <row r="1888" spans="3:17" hidden="1">
      <c r="C1888" s="123"/>
      <c r="D1888" s="123"/>
      <c r="E1888" s="124"/>
      <c r="F1888" s="123"/>
      <c r="G1888" s="130"/>
      <c r="H1888" s="124"/>
      <c r="I1888" s="243"/>
      <c r="J1888" s="123"/>
      <c r="K1888" s="123"/>
      <c r="L1888" s="246"/>
      <c r="M1888" s="123"/>
      <c r="N1888" s="123"/>
      <c r="O1888" s="123"/>
      <c r="P1888" s="123"/>
      <c r="Q1888" t="str">
        <f t="shared" si="29"/>
        <v/>
      </c>
    </row>
    <row r="1889" spans="3:17" hidden="1">
      <c r="C1889" s="123"/>
      <c r="D1889" s="123"/>
      <c r="E1889" s="124"/>
      <c r="F1889" s="123"/>
      <c r="G1889" s="130"/>
      <c r="H1889" s="124"/>
      <c r="I1889" s="243"/>
      <c r="J1889" s="123"/>
      <c r="K1889" s="123"/>
      <c r="L1889" s="246"/>
      <c r="M1889" s="123"/>
      <c r="N1889" s="123"/>
      <c r="O1889" s="123"/>
      <c r="P1889" s="123"/>
      <c r="Q1889" t="str">
        <f t="shared" si="29"/>
        <v/>
      </c>
    </row>
    <row r="1890" spans="3:17" hidden="1">
      <c r="C1890" s="123"/>
      <c r="D1890" s="123"/>
      <c r="E1890" s="124"/>
      <c r="F1890" s="123"/>
      <c r="G1890" s="130"/>
      <c r="H1890" s="124"/>
      <c r="I1890" s="243"/>
      <c r="J1890" s="123"/>
      <c r="K1890" s="123"/>
      <c r="L1890" s="246"/>
      <c r="M1890" s="123"/>
      <c r="N1890" s="123"/>
      <c r="O1890" s="123"/>
      <c r="P1890" s="123"/>
      <c r="Q1890" t="str">
        <f t="shared" si="29"/>
        <v/>
      </c>
    </row>
    <row r="1891" spans="3:17" hidden="1">
      <c r="C1891" s="123"/>
      <c r="D1891" s="123"/>
      <c r="E1891" s="124"/>
      <c r="F1891" s="123"/>
      <c r="G1891" s="130"/>
      <c r="H1891" s="124"/>
      <c r="I1891" s="243"/>
      <c r="J1891" s="123"/>
      <c r="K1891" s="123"/>
      <c r="L1891" s="246"/>
      <c r="M1891" s="123"/>
      <c r="N1891" s="123"/>
      <c r="O1891" s="123"/>
      <c r="P1891" s="123"/>
      <c r="Q1891" t="str">
        <f t="shared" si="29"/>
        <v/>
      </c>
    </row>
    <row r="1892" spans="3:17" hidden="1">
      <c r="C1892" s="123"/>
      <c r="D1892" s="123"/>
      <c r="E1892" s="124"/>
      <c r="F1892" s="123"/>
      <c r="G1892" s="130"/>
      <c r="H1892" s="124"/>
      <c r="I1892" s="243"/>
      <c r="J1892" s="123"/>
      <c r="K1892" s="123"/>
      <c r="L1892" s="246"/>
      <c r="M1892" s="123"/>
      <c r="N1892" s="123"/>
      <c r="O1892" s="123"/>
      <c r="P1892" s="123"/>
      <c r="Q1892" t="str">
        <f t="shared" si="29"/>
        <v/>
      </c>
    </row>
    <row r="1893" spans="3:17" hidden="1">
      <c r="C1893" s="123"/>
      <c r="D1893" s="123"/>
      <c r="E1893" s="124"/>
      <c r="F1893" s="123"/>
      <c r="G1893" s="130"/>
      <c r="H1893" s="124"/>
      <c r="I1893" s="243"/>
      <c r="J1893" s="123"/>
      <c r="K1893" s="123"/>
      <c r="L1893" s="246"/>
      <c r="M1893" s="123"/>
      <c r="N1893" s="123"/>
      <c r="O1893" s="123"/>
      <c r="P1893" s="123"/>
      <c r="Q1893" t="str">
        <f t="shared" si="29"/>
        <v/>
      </c>
    </row>
    <row r="1894" spans="3:17" hidden="1">
      <c r="C1894" s="123"/>
      <c r="D1894" s="123"/>
      <c r="E1894" s="124"/>
      <c r="F1894" s="123"/>
      <c r="G1894" s="130"/>
      <c r="H1894" s="124"/>
      <c r="I1894" s="243"/>
      <c r="J1894" s="123"/>
      <c r="K1894" s="123"/>
      <c r="L1894" s="246"/>
      <c r="M1894" s="123"/>
      <c r="N1894" s="123"/>
      <c r="O1894" s="123"/>
      <c r="P1894" s="123"/>
      <c r="Q1894" t="str">
        <f t="shared" si="29"/>
        <v/>
      </c>
    </row>
    <row r="1895" spans="3:17" hidden="1">
      <c r="C1895" s="123"/>
      <c r="D1895" s="123"/>
      <c r="E1895" s="124"/>
      <c r="F1895" s="123"/>
      <c r="G1895" s="130"/>
      <c r="H1895" s="124"/>
      <c r="I1895" s="243"/>
      <c r="J1895" s="123"/>
      <c r="K1895" s="123"/>
      <c r="L1895" s="246"/>
      <c r="M1895" s="123"/>
      <c r="N1895" s="123"/>
      <c r="O1895" s="123"/>
      <c r="P1895" s="123"/>
      <c r="Q1895" t="str">
        <f t="shared" si="29"/>
        <v/>
      </c>
    </row>
    <row r="1896" spans="3:17" hidden="1">
      <c r="C1896" s="123"/>
      <c r="D1896" s="123"/>
      <c r="E1896" s="124"/>
      <c r="F1896" s="123"/>
      <c r="G1896" s="130"/>
      <c r="H1896" s="124"/>
      <c r="I1896" s="243"/>
      <c r="J1896" s="123"/>
      <c r="K1896" s="123"/>
      <c r="L1896" s="246"/>
      <c r="M1896" s="123"/>
      <c r="N1896" s="123"/>
      <c r="O1896" s="123"/>
      <c r="P1896" s="123"/>
      <c r="Q1896" t="str">
        <f t="shared" si="29"/>
        <v/>
      </c>
    </row>
    <row r="1897" spans="3:17" hidden="1">
      <c r="C1897" s="123"/>
      <c r="D1897" s="123"/>
      <c r="E1897" s="124"/>
      <c r="F1897" s="123"/>
      <c r="G1897" s="130"/>
      <c r="H1897" s="124"/>
      <c r="I1897" s="243"/>
      <c r="J1897" s="123"/>
      <c r="K1897" s="123"/>
      <c r="L1897" s="246"/>
      <c r="M1897" s="123"/>
      <c r="N1897" s="123"/>
      <c r="O1897" s="123"/>
      <c r="P1897" s="123"/>
      <c r="Q1897" t="str">
        <f t="shared" si="29"/>
        <v/>
      </c>
    </row>
    <row r="1898" spans="3:17" hidden="1">
      <c r="C1898" s="123"/>
      <c r="D1898" s="123"/>
      <c r="E1898" s="124"/>
      <c r="F1898" s="123"/>
      <c r="G1898" s="130"/>
      <c r="H1898" s="124"/>
      <c r="I1898" s="243"/>
      <c r="J1898" s="123"/>
      <c r="K1898" s="123"/>
      <c r="L1898" s="246"/>
      <c r="M1898" s="123"/>
      <c r="N1898" s="123"/>
      <c r="O1898" s="123"/>
      <c r="P1898" s="123"/>
      <c r="Q1898" t="str">
        <f t="shared" si="29"/>
        <v/>
      </c>
    </row>
    <row r="1899" spans="3:17" hidden="1">
      <c r="C1899" s="123"/>
      <c r="D1899" s="123"/>
      <c r="E1899" s="124"/>
      <c r="F1899" s="123"/>
      <c r="G1899" s="130"/>
      <c r="H1899" s="124"/>
      <c r="I1899" s="243"/>
      <c r="J1899" s="123"/>
      <c r="K1899" s="123"/>
      <c r="L1899" s="246"/>
      <c r="M1899" s="123"/>
      <c r="N1899" s="123"/>
      <c r="O1899" s="123"/>
      <c r="P1899" s="123"/>
      <c r="Q1899" t="str">
        <f t="shared" si="29"/>
        <v/>
      </c>
    </row>
    <row r="1900" spans="3:17" hidden="1">
      <c r="C1900" s="123"/>
      <c r="D1900" s="123"/>
      <c r="E1900" s="124"/>
      <c r="F1900" s="123"/>
      <c r="G1900" s="130"/>
      <c r="H1900" s="124"/>
      <c r="I1900" s="243"/>
      <c r="J1900" s="123"/>
      <c r="K1900" s="123"/>
      <c r="L1900" s="246"/>
      <c r="M1900" s="123"/>
      <c r="N1900" s="123"/>
      <c r="O1900" s="123"/>
      <c r="P1900" s="123"/>
      <c r="Q1900" t="str">
        <f t="shared" si="29"/>
        <v/>
      </c>
    </row>
    <row r="1901" spans="3:17" hidden="1">
      <c r="C1901" s="123"/>
      <c r="D1901" s="123"/>
      <c r="E1901" s="124"/>
      <c r="F1901" s="123"/>
      <c r="G1901" s="130"/>
      <c r="H1901" s="124"/>
      <c r="I1901" s="243"/>
      <c r="J1901" s="123"/>
      <c r="K1901" s="123"/>
      <c r="L1901" s="246"/>
      <c r="M1901" s="123"/>
      <c r="N1901" s="123"/>
      <c r="O1901" s="123"/>
      <c r="P1901" s="123"/>
      <c r="Q1901" t="str">
        <f t="shared" si="29"/>
        <v/>
      </c>
    </row>
    <row r="1902" spans="3:17" hidden="1">
      <c r="C1902" s="123"/>
      <c r="D1902" s="123"/>
      <c r="E1902" s="124"/>
      <c r="F1902" s="123"/>
      <c r="G1902" s="130"/>
      <c r="H1902" s="124"/>
      <c r="I1902" s="243"/>
      <c r="J1902" s="123"/>
      <c r="K1902" s="123"/>
      <c r="L1902" s="246"/>
      <c r="M1902" s="123"/>
      <c r="N1902" s="123"/>
      <c r="O1902" s="123"/>
      <c r="P1902" s="123"/>
      <c r="Q1902" t="str">
        <f t="shared" si="29"/>
        <v/>
      </c>
    </row>
    <row r="1903" spans="3:17" hidden="1">
      <c r="C1903" s="123"/>
      <c r="D1903" s="123"/>
      <c r="E1903" s="124"/>
      <c r="F1903" s="123"/>
      <c r="G1903" s="130"/>
      <c r="H1903" s="124"/>
      <c r="I1903" s="243"/>
      <c r="J1903" s="123"/>
      <c r="K1903" s="123"/>
      <c r="L1903" s="246"/>
      <c r="M1903" s="123"/>
      <c r="N1903" s="123"/>
      <c r="O1903" s="123"/>
      <c r="P1903" s="123"/>
      <c r="Q1903" t="str">
        <f t="shared" si="29"/>
        <v/>
      </c>
    </row>
    <row r="1904" spans="3:17" hidden="1">
      <c r="C1904" s="123"/>
      <c r="D1904" s="123"/>
      <c r="E1904" s="124"/>
      <c r="F1904" s="123"/>
      <c r="G1904" s="130"/>
      <c r="H1904" s="124"/>
      <c r="I1904" s="243"/>
      <c r="J1904" s="123"/>
      <c r="K1904" s="123"/>
      <c r="L1904" s="246"/>
      <c r="M1904" s="123"/>
      <c r="N1904" s="123"/>
      <c r="O1904" s="123"/>
      <c r="P1904" s="123"/>
      <c r="Q1904" t="str">
        <f t="shared" si="29"/>
        <v/>
      </c>
    </row>
    <row r="1905" spans="3:17" hidden="1">
      <c r="C1905" s="123"/>
      <c r="D1905" s="123"/>
      <c r="E1905" s="124"/>
      <c r="F1905" s="123"/>
      <c r="G1905" s="130"/>
      <c r="H1905" s="124"/>
      <c r="I1905" s="243"/>
      <c r="J1905" s="123"/>
      <c r="K1905" s="123"/>
      <c r="L1905" s="246"/>
      <c r="M1905" s="123"/>
      <c r="N1905" s="123"/>
      <c r="O1905" s="123"/>
      <c r="P1905" s="123"/>
      <c r="Q1905" t="str">
        <f t="shared" si="29"/>
        <v/>
      </c>
    </row>
    <row r="1906" spans="3:17" hidden="1">
      <c r="C1906" s="123"/>
      <c r="D1906" s="123"/>
      <c r="E1906" s="124"/>
      <c r="F1906" s="123"/>
      <c r="G1906" s="130"/>
      <c r="H1906" s="124"/>
      <c r="I1906" s="243"/>
      <c r="J1906" s="123"/>
      <c r="K1906" s="123"/>
      <c r="L1906" s="246"/>
      <c r="M1906" s="123"/>
      <c r="N1906" s="123"/>
      <c r="O1906" s="123"/>
      <c r="P1906" s="123"/>
      <c r="Q1906" t="str">
        <f t="shared" si="29"/>
        <v/>
      </c>
    </row>
    <row r="1907" spans="3:17" hidden="1">
      <c r="C1907" s="123"/>
      <c r="D1907" s="123"/>
      <c r="E1907" s="124"/>
      <c r="F1907" s="123"/>
      <c r="G1907" s="130"/>
      <c r="H1907" s="124"/>
      <c r="I1907" s="243"/>
      <c r="J1907" s="123"/>
      <c r="K1907" s="123"/>
      <c r="L1907" s="246"/>
      <c r="M1907" s="123"/>
      <c r="N1907" s="123"/>
      <c r="O1907" s="123"/>
      <c r="P1907" s="123"/>
      <c r="Q1907" t="str">
        <f t="shared" si="29"/>
        <v/>
      </c>
    </row>
    <row r="1908" spans="3:17" hidden="1">
      <c r="C1908" s="123"/>
      <c r="D1908" s="123"/>
      <c r="E1908" s="124"/>
      <c r="F1908" s="123"/>
      <c r="G1908" s="130"/>
      <c r="H1908" s="124"/>
      <c r="I1908" s="243"/>
      <c r="J1908" s="123"/>
      <c r="K1908" s="123"/>
      <c r="L1908" s="246"/>
      <c r="M1908" s="123"/>
      <c r="N1908" s="123"/>
      <c r="O1908" s="123"/>
      <c r="P1908" s="123"/>
      <c r="Q1908" t="str">
        <f t="shared" si="29"/>
        <v/>
      </c>
    </row>
    <row r="1909" spans="3:17" hidden="1">
      <c r="C1909" s="123"/>
      <c r="D1909" s="123"/>
      <c r="E1909" s="124"/>
      <c r="F1909" s="123"/>
      <c r="G1909" s="130"/>
      <c r="H1909" s="124"/>
      <c r="I1909" s="243"/>
      <c r="J1909" s="123"/>
      <c r="K1909" s="123"/>
      <c r="L1909" s="246"/>
      <c r="M1909" s="123"/>
      <c r="N1909" s="123"/>
      <c r="O1909" s="123"/>
      <c r="P1909" s="123"/>
      <c r="Q1909" t="str">
        <f t="shared" si="29"/>
        <v/>
      </c>
    </row>
    <row r="1910" spans="3:17" hidden="1">
      <c r="C1910" s="123"/>
      <c r="D1910" s="123"/>
      <c r="E1910" s="124"/>
      <c r="F1910" s="123"/>
      <c r="G1910" s="130"/>
      <c r="H1910" s="124"/>
      <c r="I1910" s="243"/>
      <c r="J1910" s="123"/>
      <c r="K1910" s="123"/>
      <c r="L1910" s="246"/>
      <c r="M1910" s="123"/>
      <c r="N1910" s="123"/>
      <c r="O1910" s="123"/>
      <c r="P1910" s="123"/>
      <c r="Q1910" t="str">
        <f t="shared" si="29"/>
        <v/>
      </c>
    </row>
    <row r="1911" spans="3:17" hidden="1">
      <c r="C1911" s="123"/>
      <c r="D1911" s="123"/>
      <c r="E1911" s="124"/>
      <c r="F1911" s="123"/>
      <c r="G1911" s="130"/>
      <c r="H1911" s="124"/>
      <c r="I1911" s="243"/>
      <c r="J1911" s="123"/>
      <c r="K1911" s="123"/>
      <c r="L1911" s="246"/>
      <c r="M1911" s="123"/>
      <c r="N1911" s="123"/>
      <c r="O1911" s="123"/>
      <c r="P1911" s="123"/>
      <c r="Q1911" t="str">
        <f t="shared" si="29"/>
        <v/>
      </c>
    </row>
    <row r="1912" spans="3:17" hidden="1">
      <c r="C1912" s="123"/>
      <c r="D1912" s="123"/>
      <c r="E1912" s="124"/>
      <c r="F1912" s="123"/>
      <c r="G1912" s="130"/>
      <c r="H1912" s="124"/>
      <c r="I1912" s="243"/>
      <c r="J1912" s="123"/>
      <c r="K1912" s="123"/>
      <c r="L1912" s="246"/>
      <c r="M1912" s="123"/>
      <c r="N1912" s="123"/>
      <c r="O1912" s="123"/>
      <c r="P1912" s="123"/>
      <c r="Q1912" t="str">
        <f t="shared" si="29"/>
        <v/>
      </c>
    </row>
    <row r="1913" spans="3:17" hidden="1">
      <c r="C1913" s="123"/>
      <c r="D1913" s="123"/>
      <c r="E1913" s="124"/>
      <c r="F1913" s="123"/>
      <c r="G1913" s="130"/>
      <c r="H1913" s="124"/>
      <c r="I1913" s="243"/>
      <c r="J1913" s="123"/>
      <c r="K1913" s="123"/>
      <c r="L1913" s="246"/>
      <c r="M1913" s="123"/>
      <c r="N1913" s="123"/>
      <c r="O1913" s="123"/>
      <c r="P1913" s="123"/>
      <c r="Q1913" t="str">
        <f t="shared" si="29"/>
        <v/>
      </c>
    </row>
    <row r="1914" spans="3:17" hidden="1">
      <c r="C1914" s="123"/>
      <c r="D1914" s="123"/>
      <c r="E1914" s="124"/>
      <c r="F1914" s="123"/>
      <c r="G1914" s="130"/>
      <c r="H1914" s="124"/>
      <c r="I1914" s="243"/>
      <c r="J1914" s="123"/>
      <c r="K1914" s="123"/>
      <c r="L1914" s="246"/>
      <c r="M1914" s="123"/>
      <c r="N1914" s="123"/>
      <c r="O1914" s="123"/>
      <c r="P1914" s="123"/>
      <c r="Q1914" t="str">
        <f t="shared" si="29"/>
        <v/>
      </c>
    </row>
    <row r="1915" spans="3:17" hidden="1">
      <c r="C1915" s="123"/>
      <c r="D1915" s="123"/>
      <c r="E1915" s="124"/>
      <c r="F1915" s="123"/>
      <c r="G1915" s="130"/>
      <c r="H1915" s="124"/>
      <c r="I1915" s="243"/>
      <c r="J1915" s="123"/>
      <c r="K1915" s="123"/>
      <c r="L1915" s="246"/>
      <c r="M1915" s="123"/>
      <c r="N1915" s="123"/>
      <c r="O1915" s="123"/>
      <c r="P1915" s="123"/>
      <c r="Q1915" t="str">
        <f t="shared" si="29"/>
        <v/>
      </c>
    </row>
    <row r="1916" spans="3:17" hidden="1">
      <c r="C1916" s="123"/>
      <c r="D1916" s="123"/>
      <c r="E1916" s="124"/>
      <c r="F1916" s="123"/>
      <c r="G1916" s="130"/>
      <c r="H1916" s="124"/>
      <c r="I1916" s="243"/>
      <c r="J1916" s="123"/>
      <c r="K1916" s="123"/>
      <c r="L1916" s="246"/>
      <c r="M1916" s="123"/>
      <c r="N1916" s="123"/>
      <c r="O1916" s="123"/>
      <c r="P1916" s="123"/>
      <c r="Q1916" t="str">
        <f t="shared" si="29"/>
        <v/>
      </c>
    </row>
    <row r="1917" spans="3:17" hidden="1">
      <c r="C1917" s="123"/>
      <c r="D1917" s="123"/>
      <c r="E1917" s="124"/>
      <c r="F1917" s="123"/>
      <c r="G1917" s="130"/>
      <c r="H1917" s="124"/>
      <c r="I1917" s="243"/>
      <c r="J1917" s="123"/>
      <c r="K1917" s="123"/>
      <c r="L1917" s="246"/>
      <c r="M1917" s="123"/>
      <c r="N1917" s="123"/>
      <c r="O1917" s="123"/>
      <c r="P1917" s="123"/>
      <c r="Q1917" t="str">
        <f t="shared" si="29"/>
        <v/>
      </c>
    </row>
    <row r="1918" spans="3:17" hidden="1">
      <c r="C1918" s="123"/>
      <c r="D1918" s="123"/>
      <c r="E1918" s="124"/>
      <c r="F1918" s="123"/>
      <c r="G1918" s="130"/>
      <c r="H1918" s="124"/>
      <c r="I1918" s="243"/>
      <c r="J1918" s="123"/>
      <c r="K1918" s="123"/>
      <c r="L1918" s="246"/>
      <c r="M1918" s="123"/>
      <c r="N1918" s="123"/>
      <c r="O1918" s="123"/>
      <c r="P1918" s="123"/>
      <c r="Q1918" t="str">
        <f t="shared" si="29"/>
        <v/>
      </c>
    </row>
    <row r="1919" spans="3:17" hidden="1">
      <c r="C1919" s="123"/>
      <c r="D1919" s="123"/>
      <c r="E1919" s="124"/>
      <c r="F1919" s="123"/>
      <c r="G1919" s="130"/>
      <c r="H1919" s="124"/>
      <c r="I1919" s="243"/>
      <c r="J1919" s="123"/>
      <c r="K1919" s="123"/>
      <c r="L1919" s="246"/>
      <c r="M1919" s="123"/>
      <c r="N1919" s="123"/>
      <c r="O1919" s="123"/>
      <c r="P1919" s="123"/>
      <c r="Q1919" t="str">
        <f t="shared" si="29"/>
        <v/>
      </c>
    </row>
    <row r="1920" spans="3:17" hidden="1">
      <c r="C1920" s="123"/>
      <c r="D1920" s="123"/>
      <c r="E1920" s="124"/>
      <c r="F1920" s="123"/>
      <c r="G1920" s="130"/>
      <c r="H1920" s="124"/>
      <c r="I1920" s="243"/>
      <c r="J1920" s="123"/>
      <c r="K1920" s="123"/>
      <c r="L1920" s="246"/>
      <c r="M1920" s="123"/>
      <c r="N1920" s="123"/>
      <c r="O1920" s="123"/>
      <c r="P1920" s="123"/>
      <c r="Q1920" t="str">
        <f t="shared" si="29"/>
        <v/>
      </c>
    </row>
    <row r="1921" spans="3:17" hidden="1">
      <c r="C1921" s="123"/>
      <c r="D1921" s="123"/>
      <c r="E1921" s="124"/>
      <c r="F1921" s="123"/>
      <c r="G1921" s="130"/>
      <c r="H1921" s="124"/>
      <c r="I1921" s="243"/>
      <c r="J1921" s="123"/>
      <c r="K1921" s="123"/>
      <c r="L1921" s="246"/>
      <c r="M1921" s="123"/>
      <c r="N1921" s="123"/>
      <c r="O1921" s="123"/>
      <c r="P1921" s="123"/>
      <c r="Q1921" t="str">
        <f t="shared" si="29"/>
        <v/>
      </c>
    </row>
    <row r="1922" spans="3:17" hidden="1">
      <c r="C1922" s="123"/>
      <c r="D1922" s="123"/>
      <c r="E1922" s="124"/>
      <c r="F1922" s="123"/>
      <c r="G1922" s="130"/>
      <c r="H1922" s="124"/>
      <c r="I1922" s="243"/>
      <c r="J1922" s="123"/>
      <c r="K1922" s="123"/>
      <c r="L1922" s="246"/>
      <c r="M1922" s="123"/>
      <c r="N1922" s="123"/>
      <c r="O1922" s="123"/>
      <c r="P1922" s="123"/>
      <c r="Q1922" t="str">
        <f t="shared" si="29"/>
        <v/>
      </c>
    </row>
    <row r="1923" spans="3:17" hidden="1">
      <c r="C1923" s="123"/>
      <c r="D1923" s="123"/>
      <c r="E1923" s="124"/>
      <c r="F1923" s="123"/>
      <c r="G1923" s="130"/>
      <c r="H1923" s="124"/>
      <c r="I1923" s="243"/>
      <c r="J1923" s="123"/>
      <c r="K1923" s="123"/>
      <c r="L1923" s="246"/>
      <c r="M1923" s="123"/>
      <c r="N1923" s="123"/>
      <c r="O1923" s="123"/>
      <c r="P1923" s="123"/>
      <c r="Q1923" t="str">
        <f t="shared" si="29"/>
        <v/>
      </c>
    </row>
    <row r="1924" spans="3:17" hidden="1">
      <c r="C1924" s="123"/>
      <c r="D1924" s="123"/>
      <c r="E1924" s="124"/>
      <c r="F1924" s="123"/>
      <c r="G1924" s="130"/>
      <c r="H1924" s="124"/>
      <c r="I1924" s="243"/>
      <c r="J1924" s="123"/>
      <c r="K1924" s="123"/>
      <c r="L1924" s="246"/>
      <c r="M1924" s="123"/>
      <c r="N1924" s="123"/>
      <c r="O1924" s="123"/>
      <c r="P1924" s="123"/>
      <c r="Q1924" t="str">
        <f t="shared" si="29"/>
        <v/>
      </c>
    </row>
    <row r="1925" spans="3:17" hidden="1">
      <c r="C1925" s="123"/>
      <c r="D1925" s="123"/>
      <c r="E1925" s="124"/>
      <c r="F1925" s="123"/>
      <c r="G1925" s="130"/>
      <c r="H1925" s="124"/>
      <c r="I1925" s="243"/>
      <c r="J1925" s="123"/>
      <c r="K1925" s="123"/>
      <c r="L1925" s="246"/>
      <c r="M1925" s="123"/>
      <c r="N1925" s="123"/>
      <c r="O1925" s="123"/>
      <c r="P1925" s="123"/>
      <c r="Q1925" t="str">
        <f t="shared" si="29"/>
        <v/>
      </c>
    </row>
    <row r="1926" spans="3:17" hidden="1">
      <c r="C1926" s="123"/>
      <c r="D1926" s="123"/>
      <c r="E1926" s="124"/>
      <c r="F1926" s="123"/>
      <c r="G1926" s="130"/>
      <c r="H1926" s="124"/>
      <c r="I1926" s="243"/>
      <c r="J1926" s="123"/>
      <c r="K1926" s="123"/>
      <c r="L1926" s="246"/>
      <c r="M1926" s="123"/>
      <c r="N1926" s="123"/>
      <c r="O1926" s="123"/>
      <c r="P1926" s="123"/>
      <c r="Q1926" t="str">
        <f t="shared" si="29"/>
        <v/>
      </c>
    </row>
    <row r="1927" spans="3:17" hidden="1">
      <c r="C1927" s="123"/>
      <c r="D1927" s="123"/>
      <c r="E1927" s="124"/>
      <c r="F1927" s="123"/>
      <c r="G1927" s="130"/>
      <c r="H1927" s="124"/>
      <c r="I1927" s="243"/>
      <c r="J1927" s="123"/>
      <c r="K1927" s="123"/>
      <c r="L1927" s="246"/>
      <c r="M1927" s="123"/>
      <c r="N1927" s="123"/>
      <c r="O1927" s="123"/>
      <c r="P1927" s="123"/>
      <c r="Q1927" t="str">
        <f t="shared" ref="Q1927:Q1990" si="30">IF(D1927="","","x")</f>
        <v/>
      </c>
    </row>
    <row r="1928" spans="3:17" hidden="1">
      <c r="C1928" s="123"/>
      <c r="D1928" s="123"/>
      <c r="E1928" s="124"/>
      <c r="F1928" s="123"/>
      <c r="G1928" s="130"/>
      <c r="H1928" s="124"/>
      <c r="I1928" s="243"/>
      <c r="J1928" s="123"/>
      <c r="K1928" s="123"/>
      <c r="L1928" s="246"/>
      <c r="M1928" s="123"/>
      <c r="N1928" s="123"/>
      <c r="O1928" s="123"/>
      <c r="P1928" s="123"/>
      <c r="Q1928" t="str">
        <f t="shared" si="30"/>
        <v/>
      </c>
    </row>
    <row r="1929" spans="3:17" hidden="1">
      <c r="C1929" s="123"/>
      <c r="D1929" s="123"/>
      <c r="E1929" s="124"/>
      <c r="F1929" s="123"/>
      <c r="G1929" s="130"/>
      <c r="H1929" s="124"/>
      <c r="I1929" s="243"/>
      <c r="J1929" s="123"/>
      <c r="K1929" s="123"/>
      <c r="L1929" s="246"/>
      <c r="M1929" s="123"/>
      <c r="N1929" s="123"/>
      <c r="O1929" s="123"/>
      <c r="P1929" s="123"/>
      <c r="Q1929" t="str">
        <f t="shared" si="30"/>
        <v/>
      </c>
    </row>
    <row r="1930" spans="3:17" hidden="1">
      <c r="C1930" s="123"/>
      <c r="D1930" s="123"/>
      <c r="E1930" s="124"/>
      <c r="F1930" s="123"/>
      <c r="G1930" s="130"/>
      <c r="H1930" s="124"/>
      <c r="I1930" s="243"/>
      <c r="J1930" s="123"/>
      <c r="K1930" s="123"/>
      <c r="L1930" s="246"/>
      <c r="M1930" s="123"/>
      <c r="N1930" s="123"/>
      <c r="O1930" s="123"/>
      <c r="P1930" s="123"/>
      <c r="Q1930" t="str">
        <f t="shared" si="30"/>
        <v/>
      </c>
    </row>
    <row r="1931" spans="3:17" hidden="1">
      <c r="C1931" s="123"/>
      <c r="D1931" s="123"/>
      <c r="E1931" s="124"/>
      <c r="F1931" s="123"/>
      <c r="G1931" s="130"/>
      <c r="H1931" s="124"/>
      <c r="I1931" s="243"/>
      <c r="J1931" s="123"/>
      <c r="K1931" s="123"/>
      <c r="L1931" s="246"/>
      <c r="M1931" s="123"/>
      <c r="N1931" s="123"/>
      <c r="O1931" s="123"/>
      <c r="P1931" s="123"/>
      <c r="Q1931" t="str">
        <f t="shared" si="30"/>
        <v/>
      </c>
    </row>
    <row r="1932" spans="3:17" hidden="1">
      <c r="C1932" s="123"/>
      <c r="D1932" s="123"/>
      <c r="E1932" s="124"/>
      <c r="F1932" s="123"/>
      <c r="G1932" s="130"/>
      <c r="H1932" s="124"/>
      <c r="I1932" s="243"/>
      <c r="J1932" s="123"/>
      <c r="K1932" s="123"/>
      <c r="L1932" s="246"/>
      <c r="M1932" s="123"/>
      <c r="N1932" s="123"/>
      <c r="O1932" s="123"/>
      <c r="P1932" s="123"/>
      <c r="Q1932" t="str">
        <f t="shared" si="30"/>
        <v/>
      </c>
    </row>
    <row r="1933" spans="3:17" hidden="1">
      <c r="C1933" s="123"/>
      <c r="D1933" s="123"/>
      <c r="E1933" s="124"/>
      <c r="F1933" s="123"/>
      <c r="G1933" s="130"/>
      <c r="H1933" s="124"/>
      <c r="I1933" s="243"/>
      <c r="J1933" s="123"/>
      <c r="K1933" s="123"/>
      <c r="L1933" s="246"/>
      <c r="M1933" s="123"/>
      <c r="N1933" s="123"/>
      <c r="O1933" s="123"/>
      <c r="P1933" s="123"/>
      <c r="Q1933" t="str">
        <f t="shared" si="30"/>
        <v/>
      </c>
    </row>
    <row r="1934" spans="3:17" hidden="1">
      <c r="C1934" s="123"/>
      <c r="D1934" s="123"/>
      <c r="E1934" s="124"/>
      <c r="F1934" s="123"/>
      <c r="G1934" s="130"/>
      <c r="H1934" s="124"/>
      <c r="I1934" s="243"/>
      <c r="J1934" s="123"/>
      <c r="K1934" s="123"/>
      <c r="L1934" s="246"/>
      <c r="M1934" s="123"/>
      <c r="N1934" s="123"/>
      <c r="O1934" s="123"/>
      <c r="P1934" s="123"/>
      <c r="Q1934" t="str">
        <f t="shared" si="30"/>
        <v/>
      </c>
    </row>
    <row r="1935" spans="3:17" hidden="1">
      <c r="C1935" s="123"/>
      <c r="D1935" s="123"/>
      <c r="E1935" s="124"/>
      <c r="F1935" s="123"/>
      <c r="G1935" s="130"/>
      <c r="H1935" s="124"/>
      <c r="I1935" s="243"/>
      <c r="J1935" s="123"/>
      <c r="K1935" s="123"/>
      <c r="L1935" s="246"/>
      <c r="M1935" s="123"/>
      <c r="N1935" s="123"/>
      <c r="O1935" s="123"/>
      <c r="P1935" s="123"/>
      <c r="Q1935" t="str">
        <f t="shared" si="30"/>
        <v/>
      </c>
    </row>
    <row r="1936" spans="3:17" hidden="1">
      <c r="C1936" s="123"/>
      <c r="D1936" s="123"/>
      <c r="E1936" s="124"/>
      <c r="F1936" s="123"/>
      <c r="G1936" s="130"/>
      <c r="H1936" s="124"/>
      <c r="I1936" s="243"/>
      <c r="J1936" s="123"/>
      <c r="K1936" s="123"/>
      <c r="L1936" s="246"/>
      <c r="M1936" s="123"/>
      <c r="N1936" s="123"/>
      <c r="O1936" s="123"/>
      <c r="P1936" s="123"/>
      <c r="Q1936" t="str">
        <f t="shared" si="30"/>
        <v/>
      </c>
    </row>
    <row r="1937" spans="3:17" hidden="1">
      <c r="C1937" s="123"/>
      <c r="D1937" s="123"/>
      <c r="E1937" s="124"/>
      <c r="F1937" s="123"/>
      <c r="G1937" s="130"/>
      <c r="H1937" s="124"/>
      <c r="I1937" s="243"/>
      <c r="J1937" s="123"/>
      <c r="K1937" s="123"/>
      <c r="L1937" s="246"/>
      <c r="M1937" s="123"/>
      <c r="N1937" s="123"/>
      <c r="O1937" s="123"/>
      <c r="P1937" s="123"/>
      <c r="Q1937" t="str">
        <f t="shared" si="30"/>
        <v/>
      </c>
    </row>
    <row r="1938" spans="3:17" hidden="1">
      <c r="C1938" s="123"/>
      <c r="D1938" s="123"/>
      <c r="E1938" s="124"/>
      <c r="F1938" s="123"/>
      <c r="G1938" s="130"/>
      <c r="H1938" s="124"/>
      <c r="I1938" s="243"/>
      <c r="J1938" s="123"/>
      <c r="K1938" s="123"/>
      <c r="L1938" s="246"/>
      <c r="M1938" s="123"/>
      <c r="N1938" s="123"/>
      <c r="O1938" s="123"/>
      <c r="P1938" s="123"/>
      <c r="Q1938" t="str">
        <f t="shared" si="30"/>
        <v/>
      </c>
    </row>
    <row r="1939" spans="3:17" hidden="1">
      <c r="C1939" s="123"/>
      <c r="D1939" s="123"/>
      <c r="E1939" s="124"/>
      <c r="F1939" s="123"/>
      <c r="G1939" s="130"/>
      <c r="H1939" s="124"/>
      <c r="I1939" s="243"/>
      <c r="J1939" s="123"/>
      <c r="K1939" s="123"/>
      <c r="L1939" s="246"/>
      <c r="M1939" s="123"/>
      <c r="N1939" s="123"/>
      <c r="O1939" s="123"/>
      <c r="P1939" s="123"/>
      <c r="Q1939" t="str">
        <f t="shared" si="30"/>
        <v/>
      </c>
    </row>
    <row r="1940" spans="3:17" hidden="1">
      <c r="C1940" s="123"/>
      <c r="D1940" s="123"/>
      <c r="E1940" s="124"/>
      <c r="F1940" s="123"/>
      <c r="G1940" s="130"/>
      <c r="H1940" s="124"/>
      <c r="I1940" s="243"/>
      <c r="J1940" s="123"/>
      <c r="K1940" s="123"/>
      <c r="L1940" s="246"/>
      <c r="M1940" s="123"/>
      <c r="N1940" s="123"/>
      <c r="O1940" s="123"/>
      <c r="P1940" s="123"/>
      <c r="Q1940" t="str">
        <f t="shared" si="30"/>
        <v/>
      </c>
    </row>
    <row r="1941" spans="3:17" hidden="1">
      <c r="C1941" s="123"/>
      <c r="D1941" s="123"/>
      <c r="E1941" s="124"/>
      <c r="F1941" s="123"/>
      <c r="G1941" s="130"/>
      <c r="H1941" s="124"/>
      <c r="I1941" s="243"/>
      <c r="J1941" s="123"/>
      <c r="K1941" s="123"/>
      <c r="L1941" s="246"/>
      <c r="M1941" s="123"/>
      <c r="N1941" s="123"/>
      <c r="O1941" s="123"/>
      <c r="P1941" s="123"/>
      <c r="Q1941" t="str">
        <f t="shared" si="30"/>
        <v/>
      </c>
    </row>
    <row r="1942" spans="3:17" hidden="1">
      <c r="C1942" s="123"/>
      <c r="D1942" s="123"/>
      <c r="E1942" s="124"/>
      <c r="F1942" s="123"/>
      <c r="G1942" s="130"/>
      <c r="H1942" s="124"/>
      <c r="I1942" s="243"/>
      <c r="J1942" s="123"/>
      <c r="K1942" s="123"/>
      <c r="L1942" s="246"/>
      <c r="M1942" s="123"/>
      <c r="N1942" s="123"/>
      <c r="O1942" s="123"/>
      <c r="P1942" s="123"/>
      <c r="Q1942" t="str">
        <f t="shared" si="30"/>
        <v/>
      </c>
    </row>
    <row r="1943" spans="3:17" hidden="1">
      <c r="C1943" s="123"/>
      <c r="D1943" s="123"/>
      <c r="E1943" s="124"/>
      <c r="F1943" s="123"/>
      <c r="G1943" s="130"/>
      <c r="H1943" s="124"/>
      <c r="I1943" s="243"/>
      <c r="J1943" s="123"/>
      <c r="K1943" s="123"/>
      <c r="L1943" s="246"/>
      <c r="M1943" s="123"/>
      <c r="N1943" s="123"/>
      <c r="O1943" s="123"/>
      <c r="P1943" s="123"/>
      <c r="Q1943" t="str">
        <f t="shared" si="30"/>
        <v/>
      </c>
    </row>
    <row r="1944" spans="3:17" hidden="1">
      <c r="C1944" s="123"/>
      <c r="D1944" s="123"/>
      <c r="E1944" s="124"/>
      <c r="F1944" s="123"/>
      <c r="G1944" s="130"/>
      <c r="H1944" s="124"/>
      <c r="I1944" s="243"/>
      <c r="J1944" s="123"/>
      <c r="K1944" s="123"/>
      <c r="L1944" s="246"/>
      <c r="M1944" s="123"/>
      <c r="N1944" s="123"/>
      <c r="O1944" s="123"/>
      <c r="P1944" s="123"/>
      <c r="Q1944" t="str">
        <f t="shared" si="30"/>
        <v/>
      </c>
    </row>
    <row r="1945" spans="3:17" hidden="1">
      <c r="C1945" s="123"/>
      <c r="D1945" s="123"/>
      <c r="E1945" s="124"/>
      <c r="F1945" s="123"/>
      <c r="G1945" s="130"/>
      <c r="H1945" s="124"/>
      <c r="I1945" s="243"/>
      <c r="J1945" s="123"/>
      <c r="K1945" s="123"/>
      <c r="L1945" s="246"/>
      <c r="M1945" s="123"/>
      <c r="N1945" s="123"/>
      <c r="O1945" s="123"/>
      <c r="P1945" s="123"/>
      <c r="Q1945" t="str">
        <f t="shared" si="30"/>
        <v/>
      </c>
    </row>
    <row r="1946" spans="3:17" hidden="1">
      <c r="C1946" s="123"/>
      <c r="D1946" s="123"/>
      <c r="E1946" s="124"/>
      <c r="F1946" s="123"/>
      <c r="G1946" s="130"/>
      <c r="H1946" s="124"/>
      <c r="I1946" s="243"/>
      <c r="J1946" s="123"/>
      <c r="K1946" s="123"/>
      <c r="L1946" s="246"/>
      <c r="M1946" s="123"/>
      <c r="N1946" s="123"/>
      <c r="O1946" s="123"/>
      <c r="P1946" s="123"/>
      <c r="Q1946" t="str">
        <f t="shared" si="30"/>
        <v/>
      </c>
    </row>
    <row r="1947" spans="3:17" hidden="1">
      <c r="C1947" s="123"/>
      <c r="D1947" s="123"/>
      <c r="E1947" s="124"/>
      <c r="F1947" s="123"/>
      <c r="G1947" s="130"/>
      <c r="H1947" s="124"/>
      <c r="I1947" s="243"/>
      <c r="J1947" s="123"/>
      <c r="K1947" s="123"/>
      <c r="L1947" s="246"/>
      <c r="M1947" s="123"/>
      <c r="N1947" s="123"/>
      <c r="O1947" s="123"/>
      <c r="P1947" s="123"/>
      <c r="Q1947" t="str">
        <f t="shared" si="30"/>
        <v/>
      </c>
    </row>
    <row r="1948" spans="3:17" hidden="1">
      <c r="C1948" s="123"/>
      <c r="D1948" s="123"/>
      <c r="E1948" s="124"/>
      <c r="F1948" s="123"/>
      <c r="G1948" s="130"/>
      <c r="H1948" s="124"/>
      <c r="I1948" s="243"/>
      <c r="J1948" s="123"/>
      <c r="K1948" s="123"/>
      <c r="L1948" s="246"/>
      <c r="M1948" s="123"/>
      <c r="N1948" s="123"/>
      <c r="O1948" s="123"/>
      <c r="P1948" s="123"/>
      <c r="Q1948" t="str">
        <f t="shared" si="30"/>
        <v/>
      </c>
    </row>
    <row r="1949" spans="3:17" hidden="1">
      <c r="C1949" s="123"/>
      <c r="D1949" s="123"/>
      <c r="E1949" s="124"/>
      <c r="F1949" s="123"/>
      <c r="G1949" s="130"/>
      <c r="H1949" s="124"/>
      <c r="I1949" s="243"/>
      <c r="J1949" s="123"/>
      <c r="K1949" s="123"/>
      <c r="L1949" s="246"/>
      <c r="M1949" s="123"/>
      <c r="N1949" s="123"/>
      <c r="O1949" s="123"/>
      <c r="P1949" s="123"/>
      <c r="Q1949" t="str">
        <f t="shared" si="30"/>
        <v/>
      </c>
    </row>
    <row r="1950" spans="3:17" hidden="1">
      <c r="C1950" s="123"/>
      <c r="D1950" s="123"/>
      <c r="E1950" s="124"/>
      <c r="F1950" s="123"/>
      <c r="G1950" s="130"/>
      <c r="H1950" s="124"/>
      <c r="I1950" s="243"/>
      <c r="J1950" s="123"/>
      <c r="K1950" s="123"/>
      <c r="L1950" s="246"/>
      <c r="M1950" s="123"/>
      <c r="N1950" s="123"/>
      <c r="O1950" s="123"/>
      <c r="P1950" s="123"/>
      <c r="Q1950" t="str">
        <f t="shared" si="30"/>
        <v/>
      </c>
    </row>
    <row r="1951" spans="3:17" hidden="1">
      <c r="C1951" s="123"/>
      <c r="D1951" s="123"/>
      <c r="E1951" s="124"/>
      <c r="F1951" s="123"/>
      <c r="G1951" s="130"/>
      <c r="H1951" s="124"/>
      <c r="I1951" s="243"/>
      <c r="J1951" s="123"/>
      <c r="K1951" s="123"/>
      <c r="L1951" s="246"/>
      <c r="M1951" s="123"/>
      <c r="N1951" s="123"/>
      <c r="O1951" s="123"/>
      <c r="P1951" s="123"/>
      <c r="Q1951" t="str">
        <f t="shared" si="30"/>
        <v/>
      </c>
    </row>
    <row r="1952" spans="3:17" hidden="1">
      <c r="C1952" s="123"/>
      <c r="D1952" s="123"/>
      <c r="E1952" s="124"/>
      <c r="F1952" s="123"/>
      <c r="G1952" s="130"/>
      <c r="H1952" s="124"/>
      <c r="I1952" s="243"/>
      <c r="J1952" s="123"/>
      <c r="K1952" s="123"/>
      <c r="L1952" s="246"/>
      <c r="M1952" s="123"/>
      <c r="N1952" s="123"/>
      <c r="O1952" s="123"/>
      <c r="P1952" s="123"/>
      <c r="Q1952" t="str">
        <f t="shared" si="30"/>
        <v/>
      </c>
    </row>
    <row r="1953" spans="3:17" hidden="1">
      <c r="C1953" s="123"/>
      <c r="D1953" s="123"/>
      <c r="E1953" s="124"/>
      <c r="F1953" s="123"/>
      <c r="G1953" s="130"/>
      <c r="H1953" s="124"/>
      <c r="I1953" s="243"/>
      <c r="J1953" s="123"/>
      <c r="K1953" s="123"/>
      <c r="L1953" s="246"/>
      <c r="M1953" s="123"/>
      <c r="N1953" s="123"/>
      <c r="O1953" s="123"/>
      <c r="P1953" s="123"/>
      <c r="Q1953" t="str">
        <f t="shared" si="30"/>
        <v/>
      </c>
    </row>
    <row r="1954" spans="3:17" hidden="1">
      <c r="C1954" s="123"/>
      <c r="D1954" s="123"/>
      <c r="E1954" s="124"/>
      <c r="F1954" s="123"/>
      <c r="G1954" s="130"/>
      <c r="H1954" s="124"/>
      <c r="I1954" s="243"/>
      <c r="J1954" s="123"/>
      <c r="K1954" s="123"/>
      <c r="L1954" s="246"/>
      <c r="M1954" s="123"/>
      <c r="N1954" s="123"/>
      <c r="O1954" s="123"/>
      <c r="P1954" s="123"/>
      <c r="Q1954" t="str">
        <f t="shared" si="30"/>
        <v/>
      </c>
    </row>
    <row r="1955" spans="3:17" hidden="1">
      <c r="C1955" s="123"/>
      <c r="D1955" s="123"/>
      <c r="E1955" s="124"/>
      <c r="F1955" s="123"/>
      <c r="G1955" s="130"/>
      <c r="H1955" s="124"/>
      <c r="I1955" s="243"/>
      <c r="J1955" s="123"/>
      <c r="K1955" s="123"/>
      <c r="L1955" s="246"/>
      <c r="M1955" s="123"/>
      <c r="N1955" s="123"/>
      <c r="O1955" s="123"/>
      <c r="P1955" s="123"/>
      <c r="Q1955" t="str">
        <f t="shared" si="30"/>
        <v/>
      </c>
    </row>
    <row r="1956" spans="3:17" hidden="1">
      <c r="C1956" s="123"/>
      <c r="D1956" s="123"/>
      <c r="E1956" s="124"/>
      <c r="F1956" s="123"/>
      <c r="G1956" s="130"/>
      <c r="H1956" s="124"/>
      <c r="I1956" s="243"/>
      <c r="J1956" s="123"/>
      <c r="K1956" s="123"/>
      <c r="L1956" s="246"/>
      <c r="M1956" s="123"/>
      <c r="N1956" s="123"/>
      <c r="O1956" s="123"/>
      <c r="P1956" s="123"/>
      <c r="Q1956" t="str">
        <f t="shared" si="30"/>
        <v/>
      </c>
    </row>
    <row r="1957" spans="3:17" hidden="1">
      <c r="C1957" s="123"/>
      <c r="D1957" s="123"/>
      <c r="E1957" s="124"/>
      <c r="F1957" s="123"/>
      <c r="G1957" s="130"/>
      <c r="H1957" s="124"/>
      <c r="I1957" s="243"/>
      <c r="J1957" s="123"/>
      <c r="K1957" s="123"/>
      <c r="L1957" s="246"/>
      <c r="M1957" s="123"/>
      <c r="N1957" s="123"/>
      <c r="O1957" s="123"/>
      <c r="P1957" s="123"/>
      <c r="Q1957" t="str">
        <f t="shared" si="30"/>
        <v/>
      </c>
    </row>
    <row r="1958" spans="3:17" hidden="1">
      <c r="C1958" s="123"/>
      <c r="D1958" s="123"/>
      <c r="E1958" s="124"/>
      <c r="F1958" s="123"/>
      <c r="G1958" s="130"/>
      <c r="H1958" s="124"/>
      <c r="I1958" s="243"/>
      <c r="J1958" s="123"/>
      <c r="K1958" s="123"/>
      <c r="L1958" s="246"/>
      <c r="M1958" s="123"/>
      <c r="N1958" s="123"/>
      <c r="O1958" s="123"/>
      <c r="P1958" s="123"/>
      <c r="Q1958" t="str">
        <f t="shared" si="30"/>
        <v/>
      </c>
    </row>
    <row r="1959" spans="3:17" hidden="1">
      <c r="C1959" s="123"/>
      <c r="D1959" s="123"/>
      <c r="E1959" s="124"/>
      <c r="F1959" s="123"/>
      <c r="G1959" s="130"/>
      <c r="H1959" s="124"/>
      <c r="I1959" s="243"/>
      <c r="J1959" s="123"/>
      <c r="K1959" s="123"/>
      <c r="L1959" s="246"/>
      <c r="M1959" s="123"/>
      <c r="N1959" s="123"/>
      <c r="O1959" s="123"/>
      <c r="P1959" s="123"/>
      <c r="Q1959" t="str">
        <f t="shared" si="30"/>
        <v/>
      </c>
    </row>
    <row r="1960" spans="3:17" hidden="1">
      <c r="C1960" s="123"/>
      <c r="D1960" s="123"/>
      <c r="E1960" s="124"/>
      <c r="F1960" s="123"/>
      <c r="G1960" s="130"/>
      <c r="H1960" s="124"/>
      <c r="I1960" s="243"/>
      <c r="J1960" s="123"/>
      <c r="K1960" s="123"/>
      <c r="L1960" s="246"/>
      <c r="M1960" s="123"/>
      <c r="N1960" s="123"/>
      <c r="O1960" s="123"/>
      <c r="P1960" s="123"/>
      <c r="Q1960" t="str">
        <f t="shared" si="30"/>
        <v/>
      </c>
    </row>
    <row r="1961" spans="3:17" hidden="1">
      <c r="C1961" s="123"/>
      <c r="D1961" s="123"/>
      <c r="E1961" s="124"/>
      <c r="F1961" s="123"/>
      <c r="G1961" s="130"/>
      <c r="H1961" s="124"/>
      <c r="I1961" s="243"/>
      <c r="J1961" s="123"/>
      <c r="K1961" s="123"/>
      <c r="L1961" s="246"/>
      <c r="M1961" s="123"/>
      <c r="N1961" s="123"/>
      <c r="O1961" s="123"/>
      <c r="P1961" s="123"/>
      <c r="Q1961" t="str">
        <f t="shared" si="30"/>
        <v/>
      </c>
    </row>
    <row r="1962" spans="3:17" hidden="1">
      <c r="C1962" s="123"/>
      <c r="D1962" s="123"/>
      <c r="E1962" s="124"/>
      <c r="F1962" s="123"/>
      <c r="G1962" s="130"/>
      <c r="H1962" s="124"/>
      <c r="I1962" s="243"/>
      <c r="J1962" s="123"/>
      <c r="K1962" s="123"/>
      <c r="L1962" s="246"/>
      <c r="M1962" s="123"/>
      <c r="N1962" s="123"/>
      <c r="O1962" s="123"/>
      <c r="P1962" s="123"/>
      <c r="Q1962" t="str">
        <f t="shared" si="30"/>
        <v/>
      </c>
    </row>
    <row r="1963" spans="3:17" hidden="1">
      <c r="C1963" s="123"/>
      <c r="D1963" s="123"/>
      <c r="E1963" s="124"/>
      <c r="F1963" s="123"/>
      <c r="G1963" s="130"/>
      <c r="H1963" s="124"/>
      <c r="I1963" s="243"/>
      <c r="J1963" s="123"/>
      <c r="K1963" s="123"/>
      <c r="L1963" s="246"/>
      <c r="M1963" s="123"/>
      <c r="N1963" s="123"/>
      <c r="O1963" s="123"/>
      <c r="P1963" s="123"/>
      <c r="Q1963" t="str">
        <f t="shared" si="30"/>
        <v/>
      </c>
    </row>
    <row r="1964" spans="3:17" hidden="1">
      <c r="C1964" s="123"/>
      <c r="D1964" s="123"/>
      <c r="E1964" s="124"/>
      <c r="F1964" s="123"/>
      <c r="G1964" s="130"/>
      <c r="H1964" s="124"/>
      <c r="I1964" s="243"/>
      <c r="J1964" s="123"/>
      <c r="K1964" s="123"/>
      <c r="L1964" s="246"/>
      <c r="M1964" s="123"/>
      <c r="N1964" s="123"/>
      <c r="O1964" s="123"/>
      <c r="P1964" s="123"/>
      <c r="Q1964" t="str">
        <f t="shared" si="30"/>
        <v/>
      </c>
    </row>
    <row r="1965" spans="3:17" hidden="1">
      <c r="C1965" s="123"/>
      <c r="D1965" s="123"/>
      <c r="E1965" s="124"/>
      <c r="F1965" s="123"/>
      <c r="G1965" s="130"/>
      <c r="H1965" s="124"/>
      <c r="I1965" s="243"/>
      <c r="J1965" s="123"/>
      <c r="K1965" s="123"/>
      <c r="L1965" s="246"/>
      <c r="M1965" s="123"/>
      <c r="N1965" s="123"/>
      <c r="O1965" s="123"/>
      <c r="P1965" s="123"/>
      <c r="Q1965" t="str">
        <f t="shared" si="30"/>
        <v/>
      </c>
    </row>
    <row r="1966" spans="3:17" hidden="1">
      <c r="C1966" s="123"/>
      <c r="D1966" s="123"/>
      <c r="E1966" s="124"/>
      <c r="F1966" s="123"/>
      <c r="G1966" s="130"/>
      <c r="H1966" s="124"/>
      <c r="I1966" s="243"/>
      <c r="J1966" s="123"/>
      <c r="K1966" s="123"/>
      <c r="L1966" s="246"/>
      <c r="M1966" s="123"/>
      <c r="N1966" s="123"/>
      <c r="O1966" s="123"/>
      <c r="P1966" s="123"/>
      <c r="Q1966" t="str">
        <f t="shared" si="30"/>
        <v/>
      </c>
    </row>
    <row r="1967" spans="3:17" hidden="1">
      <c r="C1967" s="123"/>
      <c r="D1967" s="123"/>
      <c r="E1967" s="124"/>
      <c r="F1967" s="123"/>
      <c r="G1967" s="130"/>
      <c r="H1967" s="124"/>
      <c r="I1967" s="243"/>
      <c r="J1967" s="123"/>
      <c r="K1967" s="123"/>
      <c r="L1967" s="246"/>
      <c r="M1967" s="123"/>
      <c r="N1967" s="123"/>
      <c r="O1967" s="123"/>
      <c r="P1967" s="123"/>
      <c r="Q1967" t="str">
        <f t="shared" si="30"/>
        <v/>
      </c>
    </row>
    <row r="1968" spans="3:17" hidden="1">
      <c r="C1968" s="123"/>
      <c r="D1968" s="123"/>
      <c r="E1968" s="124"/>
      <c r="F1968" s="123"/>
      <c r="G1968" s="130"/>
      <c r="H1968" s="124"/>
      <c r="I1968" s="243"/>
      <c r="J1968" s="123"/>
      <c r="K1968" s="123"/>
      <c r="L1968" s="246"/>
      <c r="M1968" s="123"/>
      <c r="N1968" s="123"/>
      <c r="O1968" s="123"/>
      <c r="P1968" s="123"/>
      <c r="Q1968" t="str">
        <f t="shared" si="30"/>
        <v/>
      </c>
    </row>
    <row r="1969" spans="3:17" hidden="1">
      <c r="C1969" s="123"/>
      <c r="D1969" s="123"/>
      <c r="E1969" s="124"/>
      <c r="F1969" s="123"/>
      <c r="G1969" s="130"/>
      <c r="H1969" s="124"/>
      <c r="I1969" s="243"/>
      <c r="J1969" s="123"/>
      <c r="K1969" s="123"/>
      <c r="L1969" s="246"/>
      <c r="M1969" s="123"/>
      <c r="N1969" s="123"/>
      <c r="O1969" s="123"/>
      <c r="P1969" s="123"/>
      <c r="Q1969" t="str">
        <f t="shared" si="30"/>
        <v/>
      </c>
    </row>
    <row r="1970" spans="3:17" hidden="1">
      <c r="C1970" s="123"/>
      <c r="D1970" s="123"/>
      <c r="E1970" s="124"/>
      <c r="F1970" s="123"/>
      <c r="G1970" s="130"/>
      <c r="H1970" s="124"/>
      <c r="I1970" s="243"/>
      <c r="J1970" s="123"/>
      <c r="K1970" s="123"/>
      <c r="L1970" s="246"/>
      <c r="M1970" s="123"/>
      <c r="N1970" s="123"/>
      <c r="O1970" s="123"/>
      <c r="P1970" s="123"/>
      <c r="Q1970" t="str">
        <f t="shared" si="30"/>
        <v/>
      </c>
    </row>
    <row r="1971" spans="3:17" hidden="1">
      <c r="C1971" s="123"/>
      <c r="D1971" s="123"/>
      <c r="E1971" s="124"/>
      <c r="F1971" s="123"/>
      <c r="G1971" s="130"/>
      <c r="H1971" s="124"/>
      <c r="I1971" s="243"/>
      <c r="J1971" s="123"/>
      <c r="K1971" s="123"/>
      <c r="L1971" s="246"/>
      <c r="M1971" s="123"/>
      <c r="N1971" s="123"/>
      <c r="O1971" s="123"/>
      <c r="P1971" s="123"/>
      <c r="Q1971" t="str">
        <f t="shared" si="30"/>
        <v/>
      </c>
    </row>
    <row r="1972" spans="3:17" hidden="1">
      <c r="C1972" s="123"/>
      <c r="D1972" s="123"/>
      <c r="E1972" s="124"/>
      <c r="F1972" s="123"/>
      <c r="G1972" s="130"/>
      <c r="H1972" s="124"/>
      <c r="I1972" s="243"/>
      <c r="J1972" s="123"/>
      <c r="K1972" s="123"/>
      <c r="L1972" s="246"/>
      <c r="M1972" s="123"/>
      <c r="N1972" s="123"/>
      <c r="O1972" s="123"/>
      <c r="P1972" s="123"/>
      <c r="Q1972" t="str">
        <f t="shared" si="30"/>
        <v/>
      </c>
    </row>
    <row r="1973" spans="3:17" hidden="1">
      <c r="C1973" s="123"/>
      <c r="D1973" s="123"/>
      <c r="E1973" s="124"/>
      <c r="F1973" s="123"/>
      <c r="G1973" s="130"/>
      <c r="H1973" s="124"/>
      <c r="I1973" s="243"/>
      <c r="J1973" s="123"/>
      <c r="K1973" s="123"/>
      <c r="L1973" s="246"/>
      <c r="M1973" s="123"/>
      <c r="N1973" s="123"/>
      <c r="O1973" s="123"/>
      <c r="P1973" s="123"/>
      <c r="Q1973" t="str">
        <f t="shared" si="30"/>
        <v/>
      </c>
    </row>
    <row r="1974" spans="3:17" hidden="1">
      <c r="C1974" s="123"/>
      <c r="D1974" s="123"/>
      <c r="E1974" s="124"/>
      <c r="F1974" s="123"/>
      <c r="G1974" s="130"/>
      <c r="H1974" s="124"/>
      <c r="I1974" s="243"/>
      <c r="J1974" s="123"/>
      <c r="K1974" s="123"/>
      <c r="L1974" s="246"/>
      <c r="M1974" s="123"/>
      <c r="N1974" s="123"/>
      <c r="O1974" s="123"/>
      <c r="P1974" s="123"/>
      <c r="Q1974" t="str">
        <f t="shared" si="30"/>
        <v/>
      </c>
    </row>
    <row r="1975" spans="3:17" hidden="1">
      <c r="C1975" s="123"/>
      <c r="D1975" s="123"/>
      <c r="E1975" s="124"/>
      <c r="F1975" s="123"/>
      <c r="G1975" s="130"/>
      <c r="H1975" s="124"/>
      <c r="I1975" s="243"/>
      <c r="J1975" s="123"/>
      <c r="K1975" s="123"/>
      <c r="L1975" s="246"/>
      <c r="M1975" s="123"/>
      <c r="N1975" s="123"/>
      <c r="O1975" s="123"/>
      <c r="P1975" s="123"/>
      <c r="Q1975" t="str">
        <f t="shared" si="30"/>
        <v/>
      </c>
    </row>
    <row r="1976" spans="3:17" hidden="1">
      <c r="C1976" s="123"/>
      <c r="D1976" s="123"/>
      <c r="E1976" s="124"/>
      <c r="F1976" s="123"/>
      <c r="G1976" s="130"/>
      <c r="H1976" s="124"/>
      <c r="I1976" s="243"/>
      <c r="J1976" s="123"/>
      <c r="K1976" s="123"/>
      <c r="L1976" s="246"/>
      <c r="M1976" s="123"/>
      <c r="N1976" s="123"/>
      <c r="O1976" s="123"/>
      <c r="P1976" s="123"/>
      <c r="Q1976" t="str">
        <f t="shared" si="30"/>
        <v/>
      </c>
    </row>
    <row r="1977" spans="3:17" hidden="1">
      <c r="C1977" s="123"/>
      <c r="D1977" s="123"/>
      <c r="E1977" s="124"/>
      <c r="F1977" s="123"/>
      <c r="G1977" s="130"/>
      <c r="H1977" s="124"/>
      <c r="I1977" s="243"/>
      <c r="J1977" s="123"/>
      <c r="K1977" s="123"/>
      <c r="L1977" s="246"/>
      <c r="M1977" s="123"/>
      <c r="N1977" s="123"/>
      <c r="O1977" s="123"/>
      <c r="P1977" s="123"/>
      <c r="Q1977" t="str">
        <f t="shared" si="30"/>
        <v/>
      </c>
    </row>
    <row r="1978" spans="3:17" hidden="1">
      <c r="C1978" s="123"/>
      <c r="D1978" s="123"/>
      <c r="E1978" s="124"/>
      <c r="F1978" s="123"/>
      <c r="G1978" s="130"/>
      <c r="H1978" s="124"/>
      <c r="I1978" s="243"/>
      <c r="J1978" s="123"/>
      <c r="K1978" s="123"/>
      <c r="L1978" s="246"/>
      <c r="M1978" s="123"/>
      <c r="N1978" s="123"/>
      <c r="O1978" s="123"/>
      <c r="P1978" s="123"/>
      <c r="Q1978" t="str">
        <f t="shared" si="30"/>
        <v/>
      </c>
    </row>
    <row r="1979" spans="3:17" hidden="1">
      <c r="C1979" s="123"/>
      <c r="D1979" s="123"/>
      <c r="E1979" s="124"/>
      <c r="F1979" s="123"/>
      <c r="G1979" s="130"/>
      <c r="H1979" s="124"/>
      <c r="I1979" s="243"/>
      <c r="J1979" s="123"/>
      <c r="K1979" s="123"/>
      <c r="L1979" s="246"/>
      <c r="M1979" s="123"/>
      <c r="N1979" s="123"/>
      <c r="O1979" s="123"/>
      <c r="P1979" s="123"/>
      <c r="Q1979" t="str">
        <f t="shared" si="30"/>
        <v/>
      </c>
    </row>
    <row r="1980" spans="3:17" hidden="1">
      <c r="C1980" s="123"/>
      <c r="D1980" s="123"/>
      <c r="E1980" s="124"/>
      <c r="F1980" s="123"/>
      <c r="G1980" s="130"/>
      <c r="H1980" s="124"/>
      <c r="I1980" s="243"/>
      <c r="J1980" s="123"/>
      <c r="K1980" s="123"/>
      <c r="L1980" s="246"/>
      <c r="M1980" s="123"/>
      <c r="N1980" s="123"/>
      <c r="O1980" s="123"/>
      <c r="P1980" s="123"/>
      <c r="Q1980" t="str">
        <f t="shared" si="30"/>
        <v/>
      </c>
    </row>
    <row r="1981" spans="3:17" hidden="1">
      <c r="C1981" s="123"/>
      <c r="D1981" s="123"/>
      <c r="E1981" s="124"/>
      <c r="F1981" s="123"/>
      <c r="G1981" s="130"/>
      <c r="H1981" s="124"/>
      <c r="I1981" s="243"/>
      <c r="J1981" s="123"/>
      <c r="K1981" s="123"/>
      <c r="L1981" s="246"/>
      <c r="M1981" s="123"/>
      <c r="N1981" s="123"/>
      <c r="O1981" s="123"/>
      <c r="P1981" s="123"/>
      <c r="Q1981" t="str">
        <f t="shared" si="30"/>
        <v/>
      </c>
    </row>
    <row r="1982" spans="3:17" hidden="1">
      <c r="C1982" s="123"/>
      <c r="D1982" s="123"/>
      <c r="E1982" s="124"/>
      <c r="F1982" s="123"/>
      <c r="G1982" s="130"/>
      <c r="H1982" s="124"/>
      <c r="I1982" s="243"/>
      <c r="J1982" s="123"/>
      <c r="K1982" s="123"/>
      <c r="L1982" s="246"/>
      <c r="M1982" s="123"/>
      <c r="N1982" s="123"/>
      <c r="O1982" s="123"/>
      <c r="P1982" s="123"/>
      <c r="Q1982" t="str">
        <f t="shared" si="30"/>
        <v/>
      </c>
    </row>
    <row r="1983" spans="3:17" hidden="1">
      <c r="C1983" s="123"/>
      <c r="D1983" s="123"/>
      <c r="E1983" s="124"/>
      <c r="F1983" s="123"/>
      <c r="G1983" s="130"/>
      <c r="H1983" s="124"/>
      <c r="I1983" s="243"/>
      <c r="J1983" s="123"/>
      <c r="K1983" s="123"/>
      <c r="L1983" s="246"/>
      <c r="M1983" s="123"/>
      <c r="N1983" s="123"/>
      <c r="O1983" s="123"/>
      <c r="P1983" s="123"/>
      <c r="Q1983" t="str">
        <f t="shared" si="30"/>
        <v/>
      </c>
    </row>
    <row r="1984" spans="3:17" hidden="1">
      <c r="C1984" s="123"/>
      <c r="D1984" s="123"/>
      <c r="E1984" s="124"/>
      <c r="F1984" s="123"/>
      <c r="G1984" s="130"/>
      <c r="H1984" s="124"/>
      <c r="I1984" s="243"/>
      <c r="J1984" s="123"/>
      <c r="K1984" s="123"/>
      <c r="L1984" s="246"/>
      <c r="M1984" s="123"/>
      <c r="N1984" s="123"/>
      <c r="O1984" s="123"/>
      <c r="P1984" s="123"/>
      <c r="Q1984" t="str">
        <f t="shared" si="30"/>
        <v/>
      </c>
    </row>
    <row r="1985" spans="3:17" hidden="1">
      <c r="C1985" s="123"/>
      <c r="D1985" s="123"/>
      <c r="E1985" s="124"/>
      <c r="F1985" s="123"/>
      <c r="G1985" s="130"/>
      <c r="H1985" s="124"/>
      <c r="I1985" s="243"/>
      <c r="J1985" s="123"/>
      <c r="K1985" s="123"/>
      <c r="L1985" s="246"/>
      <c r="M1985" s="123"/>
      <c r="N1985" s="123"/>
      <c r="O1985" s="123"/>
      <c r="P1985" s="123"/>
      <c r="Q1985" t="str">
        <f t="shared" si="30"/>
        <v/>
      </c>
    </row>
    <row r="1986" spans="3:17" hidden="1">
      <c r="C1986" s="123"/>
      <c r="D1986" s="123"/>
      <c r="E1986" s="124"/>
      <c r="F1986" s="123"/>
      <c r="G1986" s="130"/>
      <c r="H1986" s="124"/>
      <c r="I1986" s="243"/>
      <c r="J1986" s="123"/>
      <c r="K1986" s="123"/>
      <c r="L1986" s="246"/>
      <c r="M1986" s="123"/>
      <c r="N1986" s="123"/>
      <c r="O1986" s="123"/>
      <c r="P1986" s="123"/>
      <c r="Q1986" t="str">
        <f t="shared" si="30"/>
        <v/>
      </c>
    </row>
    <row r="1987" spans="3:17" hidden="1">
      <c r="C1987" s="123"/>
      <c r="D1987" s="123"/>
      <c r="E1987" s="124"/>
      <c r="F1987" s="123"/>
      <c r="G1987" s="130"/>
      <c r="H1987" s="124"/>
      <c r="I1987" s="243"/>
      <c r="J1987" s="123"/>
      <c r="K1987" s="123"/>
      <c r="L1987" s="246"/>
      <c r="M1987" s="123"/>
      <c r="N1987" s="123"/>
      <c r="O1987" s="123"/>
      <c r="P1987" s="123"/>
      <c r="Q1987" t="str">
        <f t="shared" si="30"/>
        <v/>
      </c>
    </row>
    <row r="1988" spans="3:17" hidden="1">
      <c r="C1988" s="123"/>
      <c r="D1988" s="123"/>
      <c r="E1988" s="124"/>
      <c r="F1988" s="123"/>
      <c r="G1988" s="130"/>
      <c r="H1988" s="124"/>
      <c r="I1988" s="243"/>
      <c r="J1988" s="123"/>
      <c r="K1988" s="123"/>
      <c r="L1988" s="246"/>
      <c r="M1988" s="123"/>
      <c r="N1988" s="123"/>
      <c r="O1988" s="123"/>
      <c r="P1988" s="123"/>
      <c r="Q1988" t="str">
        <f t="shared" si="30"/>
        <v/>
      </c>
    </row>
    <row r="1989" spans="3:17" hidden="1">
      <c r="C1989" s="123"/>
      <c r="D1989" s="123"/>
      <c r="E1989" s="124"/>
      <c r="F1989" s="123"/>
      <c r="G1989" s="130"/>
      <c r="H1989" s="124"/>
      <c r="I1989" s="243"/>
      <c r="J1989" s="123"/>
      <c r="K1989" s="123"/>
      <c r="L1989" s="246"/>
      <c r="M1989" s="123"/>
      <c r="N1989" s="123"/>
      <c r="O1989" s="123"/>
      <c r="P1989" s="123"/>
      <c r="Q1989" t="str">
        <f t="shared" si="30"/>
        <v/>
      </c>
    </row>
    <row r="1990" spans="3:17" hidden="1">
      <c r="C1990" s="123"/>
      <c r="D1990" s="123"/>
      <c r="E1990" s="124"/>
      <c r="F1990" s="123"/>
      <c r="G1990" s="130"/>
      <c r="H1990" s="124"/>
      <c r="I1990" s="243"/>
      <c r="J1990" s="123"/>
      <c r="K1990" s="123"/>
      <c r="L1990" s="246"/>
      <c r="M1990" s="123"/>
      <c r="N1990" s="123"/>
      <c r="O1990" s="123"/>
      <c r="P1990" s="123"/>
      <c r="Q1990" t="str">
        <f t="shared" si="30"/>
        <v/>
      </c>
    </row>
    <row r="1991" spans="3:17" hidden="1">
      <c r="C1991" s="123"/>
      <c r="D1991" s="123"/>
      <c r="E1991" s="124"/>
      <c r="F1991" s="123"/>
      <c r="G1991" s="130"/>
      <c r="H1991" s="124"/>
      <c r="I1991" s="243"/>
      <c r="J1991" s="123"/>
      <c r="K1991" s="123"/>
      <c r="L1991" s="246"/>
      <c r="M1991" s="123"/>
      <c r="N1991" s="123"/>
      <c r="O1991" s="123"/>
      <c r="P1991" s="123"/>
      <c r="Q1991" t="str">
        <f t="shared" ref="Q1991:Q2004" si="31">IF(D1991="","","x")</f>
        <v/>
      </c>
    </row>
    <row r="1992" spans="3:17" hidden="1">
      <c r="C1992" s="123"/>
      <c r="D1992" s="123"/>
      <c r="E1992" s="124"/>
      <c r="F1992" s="123"/>
      <c r="G1992" s="130"/>
      <c r="H1992" s="124"/>
      <c r="I1992" s="243"/>
      <c r="J1992" s="123"/>
      <c r="K1992" s="123"/>
      <c r="L1992" s="246"/>
      <c r="M1992" s="123"/>
      <c r="N1992" s="123"/>
      <c r="O1992" s="123"/>
      <c r="P1992" s="123"/>
      <c r="Q1992" t="str">
        <f t="shared" si="31"/>
        <v/>
      </c>
    </row>
    <row r="1993" spans="3:17" hidden="1">
      <c r="C1993" s="123"/>
      <c r="D1993" s="123"/>
      <c r="E1993" s="124"/>
      <c r="F1993" s="123"/>
      <c r="G1993" s="130"/>
      <c r="H1993" s="124"/>
      <c r="I1993" s="243"/>
      <c r="J1993" s="123"/>
      <c r="K1993" s="123"/>
      <c r="L1993" s="246"/>
      <c r="M1993" s="123"/>
      <c r="N1993" s="123"/>
      <c r="O1993" s="123"/>
      <c r="P1993" s="123"/>
      <c r="Q1993" t="str">
        <f t="shared" si="31"/>
        <v/>
      </c>
    </row>
    <row r="1994" spans="3:17" hidden="1">
      <c r="C1994" s="123"/>
      <c r="D1994" s="123"/>
      <c r="E1994" s="124"/>
      <c r="F1994" s="123"/>
      <c r="G1994" s="130"/>
      <c r="H1994" s="124"/>
      <c r="I1994" s="243"/>
      <c r="J1994" s="123"/>
      <c r="K1994" s="123"/>
      <c r="L1994" s="246"/>
      <c r="M1994" s="123"/>
      <c r="N1994" s="123"/>
      <c r="O1994" s="123"/>
      <c r="P1994" s="123"/>
      <c r="Q1994" t="str">
        <f t="shared" si="31"/>
        <v/>
      </c>
    </row>
    <row r="1995" spans="3:17" hidden="1">
      <c r="C1995" s="123"/>
      <c r="D1995" s="123"/>
      <c r="E1995" s="124"/>
      <c r="F1995" s="123"/>
      <c r="G1995" s="130"/>
      <c r="H1995" s="124"/>
      <c r="I1995" s="243"/>
      <c r="J1995" s="123"/>
      <c r="K1995" s="123"/>
      <c r="L1995" s="246"/>
      <c r="M1995" s="123"/>
      <c r="N1995" s="123"/>
      <c r="O1995" s="123"/>
      <c r="P1995" s="123"/>
      <c r="Q1995" t="str">
        <f t="shared" si="31"/>
        <v/>
      </c>
    </row>
    <row r="1996" spans="3:17" hidden="1">
      <c r="C1996" s="123"/>
      <c r="D1996" s="123"/>
      <c r="E1996" s="124"/>
      <c r="F1996" s="123"/>
      <c r="G1996" s="130"/>
      <c r="H1996" s="124"/>
      <c r="I1996" s="243"/>
      <c r="J1996" s="123"/>
      <c r="K1996" s="123"/>
      <c r="L1996" s="246"/>
      <c r="M1996" s="123"/>
      <c r="N1996" s="123"/>
      <c r="O1996" s="123"/>
      <c r="P1996" s="123"/>
      <c r="Q1996" t="str">
        <f t="shared" si="31"/>
        <v/>
      </c>
    </row>
    <row r="1997" spans="3:17" hidden="1">
      <c r="C1997" s="123"/>
      <c r="D1997" s="123"/>
      <c r="E1997" s="124"/>
      <c r="F1997" s="123"/>
      <c r="G1997" s="130"/>
      <c r="H1997" s="124"/>
      <c r="I1997" s="243"/>
      <c r="J1997" s="123"/>
      <c r="K1997" s="123"/>
      <c r="L1997" s="246"/>
      <c r="M1997" s="123"/>
      <c r="N1997" s="123"/>
      <c r="O1997" s="123"/>
      <c r="P1997" s="123"/>
      <c r="Q1997" t="str">
        <f t="shared" si="31"/>
        <v/>
      </c>
    </row>
    <row r="1998" spans="3:17" hidden="1">
      <c r="C1998" s="123"/>
      <c r="D1998" s="123"/>
      <c r="E1998" s="124"/>
      <c r="F1998" s="123"/>
      <c r="G1998" s="130"/>
      <c r="H1998" s="124"/>
      <c r="I1998" s="243"/>
      <c r="J1998" s="123"/>
      <c r="K1998" s="123"/>
      <c r="L1998" s="246"/>
      <c r="M1998" s="123"/>
      <c r="N1998" s="123"/>
      <c r="O1998" s="123"/>
      <c r="P1998" s="123"/>
      <c r="Q1998" t="str">
        <f t="shared" si="31"/>
        <v/>
      </c>
    </row>
    <row r="1999" spans="3:17" hidden="1">
      <c r="C1999" s="123"/>
      <c r="D1999" s="123"/>
      <c r="E1999" s="124"/>
      <c r="F1999" s="123"/>
      <c r="G1999" s="130"/>
      <c r="H1999" s="124"/>
      <c r="I1999" s="243"/>
      <c r="J1999" s="123"/>
      <c r="K1999" s="123"/>
      <c r="L1999" s="246"/>
      <c r="M1999" s="123"/>
      <c r="N1999" s="123"/>
      <c r="O1999" s="123"/>
      <c r="P1999" s="123"/>
      <c r="Q1999" t="str">
        <f t="shared" si="31"/>
        <v/>
      </c>
    </row>
    <row r="2000" spans="3:17" hidden="1">
      <c r="C2000" s="123"/>
      <c r="D2000" s="123"/>
      <c r="E2000" s="124"/>
      <c r="F2000" s="123"/>
      <c r="G2000" s="130"/>
      <c r="H2000" s="124"/>
      <c r="I2000" s="243"/>
      <c r="J2000" s="123"/>
      <c r="K2000" s="123"/>
      <c r="L2000" s="246"/>
      <c r="M2000" s="123"/>
      <c r="N2000" s="123"/>
      <c r="O2000" s="123"/>
      <c r="P2000" s="123"/>
      <c r="Q2000" t="str">
        <f t="shared" si="31"/>
        <v/>
      </c>
    </row>
    <row r="2001" spans="3:17" hidden="1">
      <c r="C2001" s="123"/>
      <c r="D2001" s="123"/>
      <c r="E2001" s="124"/>
      <c r="F2001" s="123"/>
      <c r="G2001" s="130"/>
      <c r="H2001" s="124"/>
      <c r="I2001" s="243"/>
      <c r="J2001" s="123"/>
      <c r="K2001" s="123"/>
      <c r="L2001" s="246"/>
      <c r="M2001" s="123"/>
      <c r="N2001" s="123"/>
      <c r="O2001" s="123"/>
      <c r="P2001" s="123"/>
      <c r="Q2001" t="str">
        <f t="shared" si="31"/>
        <v/>
      </c>
    </row>
    <row r="2002" spans="3:17" hidden="1">
      <c r="C2002" s="123"/>
      <c r="D2002" s="123"/>
      <c r="E2002" s="124"/>
      <c r="F2002" s="123"/>
      <c r="G2002" s="130"/>
      <c r="H2002" s="124"/>
      <c r="I2002" s="243"/>
      <c r="J2002" s="123"/>
      <c r="K2002" s="123"/>
      <c r="L2002" s="246"/>
      <c r="M2002" s="123"/>
      <c r="N2002" s="123"/>
      <c r="O2002" s="123"/>
      <c r="P2002" s="123"/>
      <c r="Q2002" t="str">
        <f t="shared" si="31"/>
        <v/>
      </c>
    </row>
    <row r="2003" spans="3:17" hidden="1">
      <c r="C2003" s="123"/>
      <c r="D2003" s="123"/>
      <c r="E2003" s="124"/>
      <c r="F2003" s="123"/>
      <c r="G2003" s="130"/>
      <c r="H2003" s="124"/>
      <c r="I2003" s="243"/>
      <c r="J2003" s="123"/>
      <c r="K2003" s="123"/>
      <c r="L2003" s="246"/>
      <c r="M2003" s="123"/>
      <c r="N2003" s="123"/>
      <c r="O2003" s="123"/>
      <c r="P2003" s="123"/>
      <c r="Q2003" t="str">
        <f t="shared" si="31"/>
        <v/>
      </c>
    </row>
    <row r="2004" spans="3:17" ht="21.75" customHeight="1">
      <c r="C2004" s="130"/>
      <c r="D2004" s="130"/>
      <c r="E2004" s="124"/>
      <c r="F2004" s="123"/>
      <c r="G2004" s="130"/>
      <c r="H2004" s="124"/>
      <c r="I2004" s="243"/>
      <c r="J2004" s="123"/>
      <c r="K2004" s="123"/>
      <c r="L2004" s="246"/>
      <c r="M2004" s="123"/>
      <c r="N2004" s="123"/>
      <c r="O2004" s="123"/>
      <c r="P2004" s="123"/>
      <c r="Q2004" t="str">
        <f t="shared" si="31"/>
        <v/>
      </c>
    </row>
    <row r="2005" spans="3:17" ht="20.45" customHeight="1">
      <c r="C2005" s="145"/>
      <c r="D2005" s="265"/>
      <c r="E2005" s="262"/>
      <c r="F2005" s="125"/>
      <c r="G2005" s="265"/>
      <c r="H2005" s="262"/>
      <c r="I2005" s="244"/>
      <c r="J2005" s="125"/>
      <c r="K2005" s="125"/>
      <c r="L2005" s="247"/>
      <c r="M2005" s="125"/>
      <c r="N2005" s="125"/>
      <c r="O2005" s="125"/>
      <c r="P2005" s="125"/>
    </row>
  </sheetData>
  <autoFilter ref="C7:Q2004">
    <filterColumn colId="14">
      <customFilters>
        <customFilter operator="notEqual" val=" "/>
      </customFilters>
    </filterColumn>
  </autoFilter>
  <mergeCells count="13">
    <mergeCell ref="C1:P1"/>
    <mergeCell ref="C2:D2"/>
    <mergeCell ref="C3:D3"/>
    <mergeCell ref="C4:D4"/>
    <mergeCell ref="E2:F2"/>
    <mergeCell ref="E3:F3"/>
    <mergeCell ref="E4:F4"/>
    <mergeCell ref="M5:N5"/>
    <mergeCell ref="O5:P5"/>
    <mergeCell ref="D5:D6"/>
    <mergeCell ref="E5:E6"/>
    <mergeCell ref="C5:C6"/>
    <mergeCell ref="F5:L5"/>
  </mergeCells>
  <dataValidations count="1">
    <dataValidation type="list" allowBlank="1" showInputMessage="1" showErrorMessage="1" sqref="E3">
      <formula1>OFFSET(#REF!,0,0,COUNTA($G$8:$G$2005))</formula1>
    </dataValidation>
  </dataValidations>
  <pageMargins left="0.31496062992125984" right="0.31496062992125984" top="0.55118110236220474" bottom="0.55118110236220474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</xm:sqref>
        </x14:dataValidation>
        <x14:dataValidation type="list" allowBlank="1" showInputMessage="1" showErrorMessage="1">
          <x14:formula1>
            <xm:f>OFFSET(Setting!$G$3,0,0,COUNTA(Setting!$G$3:$G$317))</xm:f>
          </x14:formula1>
          <xm:sqref>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  <pageSetUpPr fitToPage="1"/>
  </sheetPr>
  <dimension ref="C1:T1998"/>
  <sheetViews>
    <sheetView showGridLines="0" zoomScale="85" zoomScaleNormal="85" workbookViewId="0">
      <pane ySplit="4" topLeftCell="A5" activePane="bottomLeft" state="frozen"/>
      <selection pane="bottomLeft" activeCell="B6" sqref="B6"/>
    </sheetView>
  </sheetViews>
  <sheetFormatPr defaultColWidth="9" defaultRowHeight="15.75"/>
  <cols>
    <col min="1" max="1" width="9.75" style="44" customWidth="1"/>
    <col min="2" max="2" width="12" style="44" customWidth="1"/>
    <col min="3" max="3" width="5.25" style="198" customWidth="1"/>
    <col min="4" max="4" width="8.25" style="43" customWidth="1"/>
    <col min="5" max="5" width="10" style="40" customWidth="1"/>
    <col min="6" max="6" width="10.25" style="41" customWidth="1"/>
    <col min="7" max="7" width="13.875" style="42" customWidth="1"/>
    <col min="8" max="8" width="9.75" style="40" customWidth="1"/>
    <col min="9" max="9" width="35.75" style="185" customWidth="1"/>
    <col min="10" max="10" width="10.875" style="175" customWidth="1"/>
    <col min="11" max="11" width="18.125" style="41" customWidth="1"/>
    <col min="12" max="12" width="9.875" style="43" customWidth="1"/>
    <col min="13" max="13" width="32" style="182" customWidth="1"/>
    <col min="14" max="14" width="12" style="169" bestFit="1" customWidth="1"/>
    <col min="15" max="15" width="9" style="45"/>
    <col min="16" max="16" width="9.125" style="44" customWidth="1"/>
    <col min="17" max="17" width="6" style="84" customWidth="1"/>
    <col min="18" max="18" width="15.125" style="44" customWidth="1"/>
    <col min="19" max="19" width="6.5" style="84" customWidth="1"/>
    <col min="20" max="20" width="15.75" style="44" customWidth="1"/>
    <col min="21" max="16384" width="9" style="44"/>
  </cols>
  <sheetData>
    <row r="1" spans="3:20" ht="30" customHeight="1">
      <c r="C1" s="336" t="s">
        <v>57</v>
      </c>
      <c r="D1" s="336"/>
      <c r="E1" s="336"/>
      <c r="F1" s="336"/>
      <c r="G1" s="336"/>
      <c r="H1" s="336"/>
      <c r="I1" s="336"/>
      <c r="J1" s="336"/>
      <c r="K1" s="336"/>
      <c r="L1" s="336"/>
      <c r="M1" s="336"/>
      <c r="N1" s="336"/>
      <c r="O1" s="336"/>
      <c r="P1" s="336"/>
      <c r="Q1" s="336"/>
      <c r="R1" s="336"/>
      <c r="S1" s="336"/>
      <c r="T1" s="336"/>
    </row>
    <row r="2" spans="3:20" ht="19.5" customHeight="1">
      <c r="C2" s="339" t="s">
        <v>0</v>
      </c>
      <c r="D2" s="341" t="s">
        <v>18</v>
      </c>
      <c r="E2" s="343" t="s">
        <v>29</v>
      </c>
      <c r="F2" s="341" t="s">
        <v>5</v>
      </c>
      <c r="G2" s="341"/>
      <c r="H2" s="341"/>
      <c r="I2" s="341"/>
      <c r="J2" s="341"/>
      <c r="K2" s="341"/>
      <c r="L2" s="337" t="s">
        <v>3</v>
      </c>
      <c r="M2" s="337" t="s">
        <v>86</v>
      </c>
      <c r="N2" s="337"/>
      <c r="O2" s="337"/>
      <c r="P2" s="337"/>
      <c r="Q2" s="337" t="s">
        <v>83</v>
      </c>
      <c r="R2" s="337"/>
      <c r="S2" s="337" t="s">
        <v>85</v>
      </c>
      <c r="T2" s="338"/>
    </row>
    <row r="3" spans="3:20" ht="42" customHeight="1">
      <c r="C3" s="340"/>
      <c r="D3" s="342"/>
      <c r="E3" s="344"/>
      <c r="F3" s="134" t="s">
        <v>17</v>
      </c>
      <c r="G3" s="135" t="s">
        <v>19</v>
      </c>
      <c r="H3" s="136" t="s">
        <v>28</v>
      </c>
      <c r="I3" s="167" t="s">
        <v>20</v>
      </c>
      <c r="J3" s="176" t="s">
        <v>21</v>
      </c>
      <c r="K3" s="137" t="s">
        <v>22</v>
      </c>
      <c r="L3" s="345"/>
      <c r="M3" s="167" t="s">
        <v>60</v>
      </c>
      <c r="N3" s="170" t="s">
        <v>25</v>
      </c>
      <c r="O3" s="135" t="s">
        <v>26</v>
      </c>
      <c r="P3" s="137" t="s">
        <v>27</v>
      </c>
      <c r="Q3" s="138" t="s">
        <v>40</v>
      </c>
      <c r="R3" s="137" t="s">
        <v>84</v>
      </c>
      <c r="S3" s="138" t="s">
        <v>40</v>
      </c>
      <c r="T3" s="139" t="s">
        <v>84</v>
      </c>
    </row>
    <row r="4" spans="3:20" ht="27" customHeight="1">
      <c r="C4" s="131">
        <v>1</v>
      </c>
      <c r="D4" s="132">
        <v>2</v>
      </c>
      <c r="E4" s="132">
        <v>3</v>
      </c>
      <c r="F4" s="132">
        <v>4</v>
      </c>
      <c r="G4" s="132">
        <v>5</v>
      </c>
      <c r="H4" s="132">
        <v>6</v>
      </c>
      <c r="I4" s="132">
        <v>7</v>
      </c>
      <c r="J4" s="177">
        <v>8</v>
      </c>
      <c r="K4" s="132">
        <v>9</v>
      </c>
      <c r="L4" s="132">
        <v>10</v>
      </c>
      <c r="M4" s="132">
        <v>11</v>
      </c>
      <c r="N4" s="171">
        <v>12</v>
      </c>
      <c r="O4" s="132">
        <v>13</v>
      </c>
      <c r="P4" s="132">
        <v>14</v>
      </c>
      <c r="Q4" s="132">
        <v>15</v>
      </c>
      <c r="R4" s="132">
        <v>16</v>
      </c>
      <c r="S4" s="132">
        <v>17</v>
      </c>
      <c r="T4" s="133">
        <v>18</v>
      </c>
    </row>
    <row r="5" spans="3:20" s="161" customFormat="1" ht="39.75" customHeight="1">
      <c r="C5" s="196">
        <v>2</v>
      </c>
      <c r="D5" s="164" t="s">
        <v>150</v>
      </c>
      <c r="E5" s="153">
        <v>44201</v>
      </c>
      <c r="F5" s="162" t="s">
        <v>6</v>
      </c>
      <c r="G5" s="163" t="s">
        <v>182</v>
      </c>
      <c r="H5" s="153">
        <v>44196</v>
      </c>
      <c r="I5" s="162" t="s">
        <v>183</v>
      </c>
      <c r="J5" s="179" t="s">
        <v>184</v>
      </c>
      <c r="K5" s="154" t="s">
        <v>181</v>
      </c>
      <c r="L5" s="164" t="s">
        <v>1</v>
      </c>
      <c r="M5" s="183" t="s">
        <v>185</v>
      </c>
      <c r="N5" s="172" t="s">
        <v>131</v>
      </c>
      <c r="O5" s="159" t="s">
        <v>175</v>
      </c>
      <c r="P5" s="158" t="s">
        <v>149</v>
      </c>
      <c r="Q5" s="160">
        <v>1</v>
      </c>
      <c r="R5" s="158" t="s">
        <v>90</v>
      </c>
      <c r="S5" s="160">
        <v>1</v>
      </c>
      <c r="T5" s="158" t="s">
        <v>127</v>
      </c>
    </row>
    <row r="6" spans="3:20" s="161" customFormat="1" ht="39.75" customHeight="1">
      <c r="C6" s="196">
        <v>3</v>
      </c>
      <c r="D6" s="157" t="s">
        <v>179</v>
      </c>
      <c r="E6" s="155">
        <v>44267</v>
      </c>
      <c r="F6" s="156" t="s">
        <v>5</v>
      </c>
      <c r="G6" s="155" t="s">
        <v>176</v>
      </c>
      <c r="H6" s="155">
        <v>44264</v>
      </c>
      <c r="I6" s="165" t="s">
        <v>177</v>
      </c>
      <c r="J6" s="178" t="s">
        <v>144</v>
      </c>
      <c r="K6" s="156" t="s">
        <v>178</v>
      </c>
      <c r="L6" s="157" t="s">
        <v>1</v>
      </c>
      <c r="M6" s="183" t="s">
        <v>180</v>
      </c>
      <c r="N6" s="172" t="s">
        <v>128</v>
      </c>
      <c r="O6" s="159">
        <v>44273</v>
      </c>
      <c r="P6" s="158" t="s">
        <v>30</v>
      </c>
      <c r="Q6" s="160"/>
      <c r="R6" s="158"/>
      <c r="S6" s="160">
        <v>1</v>
      </c>
      <c r="T6" s="158" t="s">
        <v>127</v>
      </c>
    </row>
    <row r="7" spans="3:20" s="161" customFormat="1" ht="39.75" customHeight="1">
      <c r="C7" s="196">
        <v>4</v>
      </c>
      <c r="D7" s="157" t="s">
        <v>222</v>
      </c>
      <c r="E7" s="155">
        <v>44268</v>
      </c>
      <c r="F7" s="156" t="s">
        <v>5</v>
      </c>
      <c r="G7" s="155" t="s">
        <v>176</v>
      </c>
      <c r="H7" s="155">
        <v>44265</v>
      </c>
      <c r="I7" s="165" t="s">
        <v>223</v>
      </c>
      <c r="J7" s="178" t="s">
        <v>144</v>
      </c>
      <c r="K7" s="156" t="s">
        <v>178</v>
      </c>
      <c r="L7" s="157" t="s">
        <v>1</v>
      </c>
      <c r="M7" s="183" t="s">
        <v>180</v>
      </c>
      <c r="N7" s="172" t="s">
        <v>128</v>
      </c>
      <c r="O7" s="159">
        <v>44274</v>
      </c>
      <c r="P7" s="158" t="s">
        <v>30</v>
      </c>
      <c r="Q7" s="160"/>
      <c r="R7" s="158"/>
      <c r="S7" s="160">
        <v>2</v>
      </c>
      <c r="T7" s="158" t="s">
        <v>127</v>
      </c>
    </row>
    <row r="8" spans="3:20" s="161" customFormat="1" ht="39.75" customHeight="1">
      <c r="C8" s="196">
        <v>5</v>
      </c>
      <c r="D8" s="157" t="s">
        <v>224</v>
      </c>
      <c r="E8" s="155">
        <v>44269</v>
      </c>
      <c r="F8" s="156" t="s">
        <v>5</v>
      </c>
      <c r="G8" s="155" t="s">
        <v>176</v>
      </c>
      <c r="H8" s="155">
        <v>44266</v>
      </c>
      <c r="I8" s="165" t="s">
        <v>225</v>
      </c>
      <c r="J8" s="178" t="s">
        <v>144</v>
      </c>
      <c r="K8" s="156" t="s">
        <v>178</v>
      </c>
      <c r="L8" s="157" t="s">
        <v>1</v>
      </c>
      <c r="M8" s="183" t="s">
        <v>180</v>
      </c>
      <c r="N8" s="172" t="s">
        <v>128</v>
      </c>
      <c r="O8" s="159">
        <v>44275</v>
      </c>
      <c r="P8" s="158" t="s">
        <v>30</v>
      </c>
      <c r="Q8" s="160"/>
      <c r="R8" s="158"/>
      <c r="S8" s="160">
        <v>3</v>
      </c>
      <c r="T8" s="158" t="s">
        <v>127</v>
      </c>
    </row>
    <row r="9" spans="3:20" s="161" customFormat="1" ht="39.75" customHeight="1">
      <c r="C9" s="196">
        <v>6</v>
      </c>
      <c r="D9" s="157" t="s">
        <v>226</v>
      </c>
      <c r="E9" s="155">
        <v>44270</v>
      </c>
      <c r="F9" s="156" t="s">
        <v>5</v>
      </c>
      <c r="G9" s="155" t="s">
        <v>176</v>
      </c>
      <c r="H9" s="155">
        <v>44267</v>
      </c>
      <c r="I9" s="165" t="s">
        <v>227</v>
      </c>
      <c r="J9" s="178" t="s">
        <v>144</v>
      </c>
      <c r="K9" s="156" t="s">
        <v>178</v>
      </c>
      <c r="L9" s="157" t="s">
        <v>1</v>
      </c>
      <c r="M9" s="183" t="s">
        <v>180</v>
      </c>
      <c r="N9" s="172" t="s">
        <v>128</v>
      </c>
      <c r="O9" s="159">
        <v>44276</v>
      </c>
      <c r="P9" s="158" t="s">
        <v>30</v>
      </c>
      <c r="Q9" s="160"/>
      <c r="R9" s="158"/>
      <c r="S9" s="160">
        <v>4</v>
      </c>
      <c r="T9" s="158" t="s">
        <v>127</v>
      </c>
    </row>
    <row r="10" spans="3:20" s="161" customFormat="1" ht="39.75" customHeight="1">
      <c r="C10" s="196">
        <v>7</v>
      </c>
      <c r="D10" s="157" t="s">
        <v>228</v>
      </c>
      <c r="E10" s="155">
        <v>44271</v>
      </c>
      <c r="F10" s="156" t="s">
        <v>5</v>
      </c>
      <c r="G10" s="155" t="s">
        <v>176</v>
      </c>
      <c r="H10" s="155">
        <v>44268</v>
      </c>
      <c r="I10" s="165" t="s">
        <v>229</v>
      </c>
      <c r="J10" s="178" t="s">
        <v>144</v>
      </c>
      <c r="K10" s="156" t="s">
        <v>178</v>
      </c>
      <c r="L10" s="157" t="s">
        <v>1</v>
      </c>
      <c r="M10" s="183" t="s">
        <v>180</v>
      </c>
      <c r="N10" s="172" t="s">
        <v>128</v>
      </c>
      <c r="O10" s="159">
        <v>44277</v>
      </c>
      <c r="P10" s="158" t="s">
        <v>30</v>
      </c>
      <c r="Q10" s="160"/>
      <c r="R10" s="158"/>
      <c r="S10" s="160">
        <v>5</v>
      </c>
      <c r="T10" s="158" t="s">
        <v>127</v>
      </c>
    </row>
    <row r="11" spans="3:20" s="161" customFormat="1" ht="39.75" customHeight="1">
      <c r="C11" s="196">
        <v>8</v>
      </c>
      <c r="D11" s="157" t="s">
        <v>230</v>
      </c>
      <c r="E11" s="155">
        <v>44272</v>
      </c>
      <c r="F11" s="156" t="s">
        <v>5</v>
      </c>
      <c r="G11" s="155" t="s">
        <v>176</v>
      </c>
      <c r="H11" s="155">
        <v>44269</v>
      </c>
      <c r="I11" s="165" t="s">
        <v>231</v>
      </c>
      <c r="J11" s="178" t="s">
        <v>144</v>
      </c>
      <c r="K11" s="156" t="s">
        <v>178</v>
      </c>
      <c r="L11" s="157" t="s">
        <v>1</v>
      </c>
      <c r="M11" s="183" t="s">
        <v>180</v>
      </c>
      <c r="N11" s="172" t="s">
        <v>128</v>
      </c>
      <c r="O11" s="159">
        <v>44278</v>
      </c>
      <c r="P11" s="158" t="s">
        <v>30</v>
      </c>
      <c r="Q11" s="160"/>
      <c r="R11" s="158"/>
      <c r="S11" s="160">
        <v>6</v>
      </c>
      <c r="T11" s="158" t="s">
        <v>127</v>
      </c>
    </row>
    <row r="12" spans="3:20" s="161" customFormat="1" ht="39.75" customHeight="1">
      <c r="C12" s="196">
        <v>9</v>
      </c>
      <c r="D12" s="157" t="s">
        <v>232</v>
      </c>
      <c r="E12" s="155">
        <v>44273</v>
      </c>
      <c r="F12" s="156" t="s">
        <v>5</v>
      </c>
      <c r="G12" s="155" t="s">
        <v>176</v>
      </c>
      <c r="H12" s="155">
        <v>44270</v>
      </c>
      <c r="I12" s="165" t="s">
        <v>233</v>
      </c>
      <c r="J12" s="178" t="s">
        <v>144</v>
      </c>
      <c r="K12" s="156" t="s">
        <v>178</v>
      </c>
      <c r="L12" s="157" t="s">
        <v>1</v>
      </c>
      <c r="M12" s="183" t="s">
        <v>180</v>
      </c>
      <c r="N12" s="172" t="s">
        <v>128</v>
      </c>
      <c r="O12" s="159">
        <v>44279</v>
      </c>
      <c r="P12" s="158" t="s">
        <v>30</v>
      </c>
      <c r="Q12" s="160"/>
      <c r="R12" s="158"/>
      <c r="S12" s="160">
        <v>7</v>
      </c>
      <c r="T12" s="158" t="s">
        <v>127</v>
      </c>
    </row>
    <row r="13" spans="3:20" s="161" customFormat="1" ht="39.75" customHeight="1">
      <c r="C13" s="196">
        <v>10</v>
      </c>
      <c r="D13" s="157" t="s">
        <v>234</v>
      </c>
      <c r="E13" s="155">
        <v>44274</v>
      </c>
      <c r="F13" s="156" t="s">
        <v>5</v>
      </c>
      <c r="G13" s="155" t="s">
        <v>176</v>
      </c>
      <c r="H13" s="155">
        <v>44271</v>
      </c>
      <c r="I13" s="165" t="s">
        <v>235</v>
      </c>
      <c r="J13" s="178" t="s">
        <v>144</v>
      </c>
      <c r="K13" s="156" t="s">
        <v>178</v>
      </c>
      <c r="L13" s="157" t="s">
        <v>1</v>
      </c>
      <c r="M13" s="183" t="s">
        <v>180</v>
      </c>
      <c r="N13" s="172" t="s">
        <v>128</v>
      </c>
      <c r="O13" s="159">
        <v>44280</v>
      </c>
      <c r="P13" s="158" t="s">
        <v>30</v>
      </c>
      <c r="Q13" s="160"/>
      <c r="R13" s="158"/>
      <c r="S13" s="160">
        <v>8</v>
      </c>
      <c r="T13" s="158" t="s">
        <v>127</v>
      </c>
    </row>
    <row r="14" spans="3:20" ht="39.75" customHeight="1">
      <c r="C14" s="196">
        <v>11</v>
      </c>
      <c r="D14" s="157" t="s">
        <v>236</v>
      </c>
      <c r="E14" s="155">
        <v>44275</v>
      </c>
      <c r="F14" s="156" t="s">
        <v>5</v>
      </c>
      <c r="G14" s="155" t="s">
        <v>176</v>
      </c>
      <c r="H14" s="155">
        <v>44272</v>
      </c>
      <c r="I14" s="165" t="s">
        <v>237</v>
      </c>
      <c r="J14" s="178" t="s">
        <v>144</v>
      </c>
      <c r="K14" s="156" t="s">
        <v>178</v>
      </c>
      <c r="L14" s="157" t="s">
        <v>1</v>
      </c>
      <c r="M14" s="183" t="s">
        <v>180</v>
      </c>
      <c r="N14" s="172" t="s">
        <v>128</v>
      </c>
      <c r="O14" s="159">
        <v>44281</v>
      </c>
      <c r="P14" s="158" t="s">
        <v>30</v>
      </c>
      <c r="Q14" s="160"/>
      <c r="R14" s="158"/>
      <c r="S14" s="160">
        <v>9</v>
      </c>
      <c r="T14" s="158" t="s">
        <v>127</v>
      </c>
    </row>
    <row r="15" spans="3:20" ht="39.75" customHeight="1">
      <c r="C15" s="196">
        <v>12</v>
      </c>
      <c r="D15" s="157" t="s">
        <v>238</v>
      </c>
      <c r="E15" s="155">
        <v>44276</v>
      </c>
      <c r="F15" s="156" t="s">
        <v>5</v>
      </c>
      <c r="G15" s="155" t="s">
        <v>176</v>
      </c>
      <c r="H15" s="155">
        <v>44273</v>
      </c>
      <c r="I15" s="165" t="s">
        <v>239</v>
      </c>
      <c r="J15" s="178" t="s">
        <v>144</v>
      </c>
      <c r="K15" s="156" t="s">
        <v>178</v>
      </c>
      <c r="L15" s="157" t="s">
        <v>1</v>
      </c>
      <c r="M15" s="183" t="s">
        <v>180</v>
      </c>
      <c r="N15" s="172" t="s">
        <v>128</v>
      </c>
      <c r="O15" s="159">
        <v>44282</v>
      </c>
      <c r="P15" s="158" t="s">
        <v>30</v>
      </c>
      <c r="Q15" s="160"/>
      <c r="R15" s="158"/>
      <c r="S15" s="160">
        <v>10</v>
      </c>
      <c r="T15" s="158" t="s">
        <v>127</v>
      </c>
    </row>
    <row r="16" spans="3:20" ht="39.75" customHeight="1">
      <c r="C16" s="196">
        <v>13</v>
      </c>
      <c r="D16" s="157" t="s">
        <v>240</v>
      </c>
      <c r="E16" s="155">
        <v>44277</v>
      </c>
      <c r="F16" s="156" t="s">
        <v>5</v>
      </c>
      <c r="G16" s="155" t="s">
        <v>176</v>
      </c>
      <c r="H16" s="155">
        <v>44274</v>
      </c>
      <c r="I16" s="165" t="s">
        <v>241</v>
      </c>
      <c r="J16" s="178" t="s">
        <v>144</v>
      </c>
      <c r="K16" s="156" t="s">
        <v>178</v>
      </c>
      <c r="L16" s="157" t="s">
        <v>1</v>
      </c>
      <c r="M16" s="183" t="s">
        <v>180</v>
      </c>
      <c r="N16" s="172" t="s">
        <v>128</v>
      </c>
      <c r="O16" s="159">
        <v>44283</v>
      </c>
      <c r="P16" s="158" t="s">
        <v>30</v>
      </c>
      <c r="Q16" s="160"/>
      <c r="R16" s="158"/>
      <c r="S16" s="160">
        <v>11</v>
      </c>
      <c r="T16" s="158" t="s">
        <v>127</v>
      </c>
    </row>
    <row r="17" spans="3:20" ht="39.75" customHeight="1">
      <c r="C17" s="196">
        <v>14</v>
      </c>
      <c r="D17" s="157" t="s">
        <v>242</v>
      </c>
      <c r="E17" s="155">
        <v>44278</v>
      </c>
      <c r="F17" s="156" t="s">
        <v>5</v>
      </c>
      <c r="G17" s="155" t="s">
        <v>176</v>
      </c>
      <c r="H17" s="155">
        <v>44275</v>
      </c>
      <c r="I17" s="165" t="s">
        <v>243</v>
      </c>
      <c r="J17" s="178" t="s">
        <v>144</v>
      </c>
      <c r="K17" s="156" t="s">
        <v>178</v>
      </c>
      <c r="L17" s="157" t="s">
        <v>1</v>
      </c>
      <c r="M17" s="183" t="s">
        <v>180</v>
      </c>
      <c r="N17" s="172" t="s">
        <v>128</v>
      </c>
      <c r="O17" s="159">
        <v>44284</v>
      </c>
      <c r="P17" s="158" t="s">
        <v>30</v>
      </c>
      <c r="Q17" s="160"/>
      <c r="R17" s="158"/>
      <c r="S17" s="160">
        <v>12</v>
      </c>
      <c r="T17" s="158" t="s">
        <v>127</v>
      </c>
    </row>
    <row r="18" spans="3:20" ht="39.75" customHeight="1">
      <c r="C18" s="196">
        <v>15</v>
      </c>
      <c r="D18" s="157" t="s">
        <v>244</v>
      </c>
      <c r="E18" s="155">
        <v>44279</v>
      </c>
      <c r="F18" s="156" t="s">
        <v>5</v>
      </c>
      <c r="G18" s="155" t="s">
        <v>176</v>
      </c>
      <c r="H18" s="155">
        <v>44276</v>
      </c>
      <c r="I18" s="165" t="s">
        <v>245</v>
      </c>
      <c r="J18" s="178" t="s">
        <v>144</v>
      </c>
      <c r="K18" s="156" t="s">
        <v>178</v>
      </c>
      <c r="L18" s="157" t="s">
        <v>1</v>
      </c>
      <c r="M18" s="183" t="s">
        <v>180</v>
      </c>
      <c r="N18" s="172" t="s">
        <v>128</v>
      </c>
      <c r="O18" s="159">
        <v>44285</v>
      </c>
      <c r="P18" s="158" t="s">
        <v>30</v>
      </c>
      <c r="Q18" s="160"/>
      <c r="R18" s="158"/>
      <c r="S18" s="160">
        <v>13</v>
      </c>
      <c r="T18" s="158" t="s">
        <v>127</v>
      </c>
    </row>
    <row r="19" spans="3:20" ht="39.75" customHeight="1">
      <c r="C19" s="196">
        <v>16</v>
      </c>
      <c r="D19" s="157" t="s">
        <v>246</v>
      </c>
      <c r="E19" s="155">
        <v>44280</v>
      </c>
      <c r="F19" s="156" t="s">
        <v>5</v>
      </c>
      <c r="G19" s="155" t="s">
        <v>176</v>
      </c>
      <c r="H19" s="155">
        <v>44277</v>
      </c>
      <c r="I19" s="165" t="s">
        <v>247</v>
      </c>
      <c r="J19" s="178" t="s">
        <v>144</v>
      </c>
      <c r="K19" s="156" t="s">
        <v>178</v>
      </c>
      <c r="L19" s="157" t="s">
        <v>1</v>
      </c>
      <c r="M19" s="183" t="s">
        <v>180</v>
      </c>
      <c r="N19" s="172" t="s">
        <v>128</v>
      </c>
      <c r="O19" s="159">
        <v>44286</v>
      </c>
      <c r="P19" s="158" t="s">
        <v>30</v>
      </c>
      <c r="Q19" s="160"/>
      <c r="R19" s="158"/>
      <c r="S19" s="160">
        <v>14</v>
      </c>
      <c r="T19" s="158" t="s">
        <v>127</v>
      </c>
    </row>
    <row r="20" spans="3:20" ht="39.75" customHeight="1">
      <c r="C20" s="196">
        <v>17</v>
      </c>
      <c r="D20" s="157" t="s">
        <v>248</v>
      </c>
      <c r="E20" s="155">
        <v>44281</v>
      </c>
      <c r="F20" s="156" t="s">
        <v>5</v>
      </c>
      <c r="G20" s="155" t="s">
        <v>176</v>
      </c>
      <c r="H20" s="155">
        <v>44278</v>
      </c>
      <c r="I20" s="165" t="s">
        <v>249</v>
      </c>
      <c r="J20" s="178" t="s">
        <v>144</v>
      </c>
      <c r="K20" s="156" t="s">
        <v>178</v>
      </c>
      <c r="L20" s="157" t="s">
        <v>1</v>
      </c>
      <c r="M20" s="183" t="s">
        <v>180</v>
      </c>
      <c r="N20" s="172" t="s">
        <v>128</v>
      </c>
      <c r="O20" s="159">
        <v>44287</v>
      </c>
      <c r="P20" s="158" t="s">
        <v>30</v>
      </c>
      <c r="Q20" s="160"/>
      <c r="R20" s="158"/>
      <c r="S20" s="160">
        <v>15</v>
      </c>
      <c r="T20" s="158" t="s">
        <v>127</v>
      </c>
    </row>
    <row r="21" spans="3:20" ht="39.75" customHeight="1">
      <c r="C21" s="196">
        <v>18</v>
      </c>
      <c r="D21" s="157" t="s">
        <v>250</v>
      </c>
      <c r="E21" s="155">
        <v>44282</v>
      </c>
      <c r="F21" s="156" t="s">
        <v>5</v>
      </c>
      <c r="G21" s="155" t="s">
        <v>176</v>
      </c>
      <c r="H21" s="155">
        <v>44279</v>
      </c>
      <c r="I21" s="165" t="s">
        <v>251</v>
      </c>
      <c r="J21" s="178" t="s">
        <v>144</v>
      </c>
      <c r="K21" s="156" t="s">
        <v>178</v>
      </c>
      <c r="L21" s="157" t="s">
        <v>1</v>
      </c>
      <c r="M21" s="183" t="s">
        <v>180</v>
      </c>
      <c r="N21" s="172" t="s">
        <v>128</v>
      </c>
      <c r="O21" s="159">
        <v>44288</v>
      </c>
      <c r="P21" s="158" t="s">
        <v>30</v>
      </c>
      <c r="Q21" s="160"/>
      <c r="R21" s="158"/>
      <c r="S21" s="160">
        <v>16</v>
      </c>
      <c r="T21" s="158" t="s">
        <v>127</v>
      </c>
    </row>
    <row r="22" spans="3:20" ht="39.75" customHeight="1">
      <c r="C22" s="196">
        <v>19</v>
      </c>
      <c r="D22" s="157" t="s">
        <v>252</v>
      </c>
      <c r="E22" s="155">
        <v>44283</v>
      </c>
      <c r="F22" s="156" t="s">
        <v>5</v>
      </c>
      <c r="G22" s="155" t="s">
        <v>176</v>
      </c>
      <c r="H22" s="155">
        <v>44280</v>
      </c>
      <c r="I22" s="165" t="s">
        <v>253</v>
      </c>
      <c r="J22" s="178" t="s">
        <v>144</v>
      </c>
      <c r="K22" s="156" t="s">
        <v>178</v>
      </c>
      <c r="L22" s="157" t="s">
        <v>1</v>
      </c>
      <c r="M22" s="183" t="s">
        <v>180</v>
      </c>
      <c r="N22" s="172" t="s">
        <v>128</v>
      </c>
      <c r="O22" s="159">
        <v>44289</v>
      </c>
      <c r="P22" s="158" t="s">
        <v>30</v>
      </c>
      <c r="Q22" s="160"/>
      <c r="R22" s="158"/>
      <c r="S22" s="160">
        <v>17</v>
      </c>
      <c r="T22" s="158" t="s">
        <v>127</v>
      </c>
    </row>
    <row r="23" spans="3:20" ht="39.75" customHeight="1">
      <c r="C23" s="196">
        <v>20</v>
      </c>
      <c r="D23" s="157" t="s">
        <v>254</v>
      </c>
      <c r="E23" s="155">
        <v>44284</v>
      </c>
      <c r="F23" s="156" t="s">
        <v>5</v>
      </c>
      <c r="G23" s="155" t="s">
        <v>176</v>
      </c>
      <c r="H23" s="155">
        <v>44281</v>
      </c>
      <c r="I23" s="165" t="s">
        <v>255</v>
      </c>
      <c r="J23" s="178" t="s">
        <v>144</v>
      </c>
      <c r="K23" s="156" t="s">
        <v>178</v>
      </c>
      <c r="L23" s="157" t="s">
        <v>1</v>
      </c>
      <c r="M23" s="183" t="s">
        <v>180</v>
      </c>
      <c r="N23" s="172" t="s">
        <v>128</v>
      </c>
      <c r="O23" s="159">
        <v>44290</v>
      </c>
      <c r="P23" s="158" t="s">
        <v>30</v>
      </c>
      <c r="Q23" s="160"/>
      <c r="R23" s="158"/>
      <c r="S23" s="160">
        <v>18</v>
      </c>
      <c r="T23" s="158" t="s">
        <v>127</v>
      </c>
    </row>
    <row r="24" spans="3:20" ht="39.75" customHeight="1">
      <c r="C24" s="196">
        <v>21</v>
      </c>
      <c r="D24" s="157" t="s">
        <v>256</v>
      </c>
      <c r="E24" s="155">
        <v>44285</v>
      </c>
      <c r="F24" s="156" t="s">
        <v>5</v>
      </c>
      <c r="G24" s="155" t="s">
        <v>176</v>
      </c>
      <c r="H24" s="155">
        <v>44282</v>
      </c>
      <c r="I24" s="165" t="s">
        <v>257</v>
      </c>
      <c r="J24" s="178" t="s">
        <v>144</v>
      </c>
      <c r="K24" s="156" t="s">
        <v>178</v>
      </c>
      <c r="L24" s="157" t="s">
        <v>1</v>
      </c>
      <c r="M24" s="183" t="s">
        <v>180</v>
      </c>
      <c r="N24" s="172" t="s">
        <v>128</v>
      </c>
      <c r="O24" s="159">
        <v>44291</v>
      </c>
      <c r="P24" s="158" t="s">
        <v>30</v>
      </c>
      <c r="Q24" s="160"/>
      <c r="R24" s="158"/>
      <c r="S24" s="160">
        <v>19</v>
      </c>
      <c r="T24" s="158" t="s">
        <v>127</v>
      </c>
    </row>
    <row r="25" spans="3:20" ht="39.75" customHeight="1">
      <c r="C25" s="196">
        <v>22</v>
      </c>
      <c r="D25" s="157" t="s">
        <v>258</v>
      </c>
      <c r="E25" s="155">
        <v>44286</v>
      </c>
      <c r="F25" s="156" t="s">
        <v>5</v>
      </c>
      <c r="G25" s="155" t="s">
        <v>176</v>
      </c>
      <c r="H25" s="155">
        <v>44283</v>
      </c>
      <c r="I25" s="165" t="s">
        <v>259</v>
      </c>
      <c r="J25" s="178" t="s">
        <v>144</v>
      </c>
      <c r="K25" s="156" t="s">
        <v>178</v>
      </c>
      <c r="L25" s="157" t="s">
        <v>1</v>
      </c>
      <c r="M25" s="183" t="s">
        <v>180</v>
      </c>
      <c r="N25" s="172" t="s">
        <v>128</v>
      </c>
      <c r="O25" s="159">
        <v>44292</v>
      </c>
      <c r="P25" s="158" t="s">
        <v>30</v>
      </c>
      <c r="Q25" s="160"/>
      <c r="R25" s="158"/>
      <c r="S25" s="160">
        <v>20</v>
      </c>
      <c r="T25" s="158" t="s">
        <v>127</v>
      </c>
    </row>
    <row r="26" spans="3:20" ht="39.75" customHeight="1">
      <c r="C26" s="196">
        <v>23</v>
      </c>
      <c r="D26" s="157" t="s">
        <v>260</v>
      </c>
      <c r="E26" s="155">
        <v>44287</v>
      </c>
      <c r="F26" s="156" t="s">
        <v>5</v>
      </c>
      <c r="G26" s="155" t="s">
        <v>176</v>
      </c>
      <c r="H26" s="155">
        <v>44284</v>
      </c>
      <c r="I26" s="165" t="s">
        <v>261</v>
      </c>
      <c r="J26" s="178" t="s">
        <v>144</v>
      </c>
      <c r="K26" s="156" t="s">
        <v>178</v>
      </c>
      <c r="L26" s="157" t="s">
        <v>1</v>
      </c>
      <c r="M26" s="183" t="s">
        <v>180</v>
      </c>
      <c r="N26" s="172" t="s">
        <v>128</v>
      </c>
      <c r="O26" s="159">
        <v>44293</v>
      </c>
      <c r="P26" s="158" t="s">
        <v>30</v>
      </c>
      <c r="Q26" s="160"/>
      <c r="R26" s="158"/>
      <c r="S26" s="160">
        <v>21</v>
      </c>
      <c r="T26" s="158" t="s">
        <v>127</v>
      </c>
    </row>
    <row r="27" spans="3:20" ht="39.75" customHeight="1">
      <c r="C27" s="196">
        <v>24</v>
      </c>
      <c r="D27" s="157" t="s">
        <v>262</v>
      </c>
      <c r="E27" s="155">
        <v>44288</v>
      </c>
      <c r="F27" s="156" t="s">
        <v>5</v>
      </c>
      <c r="G27" s="155" t="s">
        <v>176</v>
      </c>
      <c r="H27" s="155">
        <v>44285</v>
      </c>
      <c r="I27" s="165" t="s">
        <v>263</v>
      </c>
      <c r="J27" s="178" t="s">
        <v>144</v>
      </c>
      <c r="K27" s="156" t="s">
        <v>178</v>
      </c>
      <c r="L27" s="157" t="s">
        <v>1</v>
      </c>
      <c r="M27" s="183" t="s">
        <v>180</v>
      </c>
      <c r="N27" s="172" t="s">
        <v>128</v>
      </c>
      <c r="O27" s="159">
        <v>44294</v>
      </c>
      <c r="P27" s="158" t="s">
        <v>30</v>
      </c>
      <c r="Q27" s="160"/>
      <c r="R27" s="158"/>
      <c r="S27" s="160">
        <v>22</v>
      </c>
      <c r="T27" s="158" t="s">
        <v>127</v>
      </c>
    </row>
    <row r="28" spans="3:20" ht="39.75" customHeight="1">
      <c r="C28" s="196">
        <v>25</v>
      </c>
      <c r="D28" s="157" t="s">
        <v>264</v>
      </c>
      <c r="E28" s="155">
        <v>44289</v>
      </c>
      <c r="F28" s="156" t="s">
        <v>5</v>
      </c>
      <c r="G28" s="155" t="s">
        <v>176</v>
      </c>
      <c r="H28" s="155">
        <v>44286</v>
      </c>
      <c r="I28" s="165" t="s">
        <v>265</v>
      </c>
      <c r="J28" s="178" t="s">
        <v>144</v>
      </c>
      <c r="K28" s="156" t="s">
        <v>178</v>
      </c>
      <c r="L28" s="157" t="s">
        <v>1</v>
      </c>
      <c r="M28" s="183" t="s">
        <v>180</v>
      </c>
      <c r="N28" s="172" t="s">
        <v>128</v>
      </c>
      <c r="O28" s="159">
        <v>44295</v>
      </c>
      <c r="P28" s="158" t="s">
        <v>30</v>
      </c>
      <c r="Q28" s="160"/>
      <c r="R28" s="158"/>
      <c r="S28" s="160">
        <v>23</v>
      </c>
      <c r="T28" s="158" t="s">
        <v>127</v>
      </c>
    </row>
    <row r="29" spans="3:20" ht="39.75" customHeight="1">
      <c r="C29" s="196">
        <v>26</v>
      </c>
      <c r="D29" s="157" t="s">
        <v>266</v>
      </c>
      <c r="E29" s="155">
        <v>44290</v>
      </c>
      <c r="F29" s="156" t="s">
        <v>5</v>
      </c>
      <c r="G29" s="155" t="s">
        <v>176</v>
      </c>
      <c r="H29" s="155">
        <v>44287</v>
      </c>
      <c r="I29" s="165" t="s">
        <v>267</v>
      </c>
      <c r="J29" s="178" t="s">
        <v>144</v>
      </c>
      <c r="K29" s="156" t="s">
        <v>178</v>
      </c>
      <c r="L29" s="157" t="s">
        <v>1</v>
      </c>
      <c r="M29" s="183" t="s">
        <v>180</v>
      </c>
      <c r="N29" s="172" t="s">
        <v>128</v>
      </c>
      <c r="O29" s="159">
        <v>44296</v>
      </c>
      <c r="P29" s="158" t="s">
        <v>30</v>
      </c>
      <c r="Q29" s="160"/>
      <c r="R29" s="158"/>
      <c r="S29" s="160">
        <v>24</v>
      </c>
      <c r="T29" s="158" t="s">
        <v>127</v>
      </c>
    </row>
    <row r="30" spans="3:20" ht="39.75" customHeight="1">
      <c r="C30" s="196">
        <v>27</v>
      </c>
      <c r="D30" s="157" t="s">
        <v>268</v>
      </c>
      <c r="E30" s="155">
        <v>44291</v>
      </c>
      <c r="F30" s="156" t="s">
        <v>5</v>
      </c>
      <c r="G30" s="155" t="s">
        <v>176</v>
      </c>
      <c r="H30" s="155">
        <v>44288</v>
      </c>
      <c r="I30" s="165" t="s">
        <v>269</v>
      </c>
      <c r="J30" s="178" t="s">
        <v>144</v>
      </c>
      <c r="K30" s="156" t="s">
        <v>178</v>
      </c>
      <c r="L30" s="157" t="s">
        <v>1</v>
      </c>
      <c r="M30" s="183" t="s">
        <v>180</v>
      </c>
      <c r="N30" s="172" t="s">
        <v>128</v>
      </c>
      <c r="O30" s="159">
        <v>44297</v>
      </c>
      <c r="P30" s="158" t="s">
        <v>30</v>
      </c>
      <c r="Q30" s="160"/>
      <c r="R30" s="158"/>
      <c r="S30" s="160">
        <v>25</v>
      </c>
      <c r="T30" s="158" t="s">
        <v>127</v>
      </c>
    </row>
    <row r="31" spans="3:20" ht="39.75" customHeight="1">
      <c r="C31" s="196">
        <v>28</v>
      </c>
      <c r="D31" s="157" t="s">
        <v>270</v>
      </c>
      <c r="E31" s="155">
        <v>44292</v>
      </c>
      <c r="F31" s="156" t="s">
        <v>5</v>
      </c>
      <c r="G31" s="155" t="s">
        <v>176</v>
      </c>
      <c r="H31" s="155">
        <v>44289</v>
      </c>
      <c r="I31" s="165" t="s">
        <v>271</v>
      </c>
      <c r="J31" s="178" t="s">
        <v>144</v>
      </c>
      <c r="K31" s="156" t="s">
        <v>178</v>
      </c>
      <c r="L31" s="157" t="s">
        <v>1</v>
      </c>
      <c r="M31" s="183" t="s">
        <v>180</v>
      </c>
      <c r="N31" s="172" t="s">
        <v>128</v>
      </c>
      <c r="O31" s="159">
        <v>44298</v>
      </c>
      <c r="P31" s="158" t="s">
        <v>30</v>
      </c>
      <c r="Q31" s="160"/>
      <c r="R31" s="158"/>
      <c r="S31" s="160">
        <v>26</v>
      </c>
      <c r="T31" s="158" t="s">
        <v>127</v>
      </c>
    </row>
    <row r="32" spans="3:20" ht="39.75" customHeight="1">
      <c r="C32" s="196">
        <v>29</v>
      </c>
      <c r="D32" s="157" t="s">
        <v>272</v>
      </c>
      <c r="E32" s="155">
        <v>44293</v>
      </c>
      <c r="F32" s="156" t="s">
        <v>5</v>
      </c>
      <c r="G32" s="155" t="s">
        <v>176</v>
      </c>
      <c r="H32" s="155">
        <v>44290</v>
      </c>
      <c r="I32" s="165" t="s">
        <v>273</v>
      </c>
      <c r="J32" s="178" t="s">
        <v>144</v>
      </c>
      <c r="K32" s="156" t="s">
        <v>178</v>
      </c>
      <c r="L32" s="157" t="s">
        <v>1</v>
      </c>
      <c r="M32" s="183" t="s">
        <v>180</v>
      </c>
      <c r="N32" s="172" t="s">
        <v>128</v>
      </c>
      <c r="O32" s="159">
        <v>44299</v>
      </c>
      <c r="P32" s="158" t="s">
        <v>30</v>
      </c>
      <c r="Q32" s="160"/>
      <c r="R32" s="158"/>
      <c r="S32" s="160">
        <v>27</v>
      </c>
      <c r="T32" s="158" t="s">
        <v>127</v>
      </c>
    </row>
    <row r="33" spans="3:20" ht="39.75" customHeight="1">
      <c r="C33" s="196">
        <v>30</v>
      </c>
      <c r="D33" s="157" t="s">
        <v>274</v>
      </c>
      <c r="E33" s="155">
        <v>44294</v>
      </c>
      <c r="F33" s="156" t="s">
        <v>5</v>
      </c>
      <c r="G33" s="155" t="s">
        <v>176</v>
      </c>
      <c r="H33" s="155">
        <v>44291</v>
      </c>
      <c r="I33" s="165" t="s">
        <v>275</v>
      </c>
      <c r="J33" s="178" t="s">
        <v>144</v>
      </c>
      <c r="K33" s="156" t="s">
        <v>178</v>
      </c>
      <c r="L33" s="157" t="s">
        <v>1</v>
      </c>
      <c r="M33" s="183" t="s">
        <v>180</v>
      </c>
      <c r="N33" s="172" t="s">
        <v>128</v>
      </c>
      <c r="O33" s="159">
        <v>44300</v>
      </c>
      <c r="P33" s="158" t="s">
        <v>30</v>
      </c>
      <c r="Q33" s="160"/>
      <c r="R33" s="158"/>
      <c r="S33" s="160">
        <v>28</v>
      </c>
      <c r="T33" s="158" t="s">
        <v>127</v>
      </c>
    </row>
    <row r="34" spans="3:20" ht="39.75" customHeight="1">
      <c r="C34" s="196">
        <v>31</v>
      </c>
      <c r="D34" s="157" t="s">
        <v>276</v>
      </c>
      <c r="E34" s="155">
        <v>44295</v>
      </c>
      <c r="F34" s="156" t="s">
        <v>5</v>
      </c>
      <c r="G34" s="155" t="s">
        <v>176</v>
      </c>
      <c r="H34" s="155">
        <v>44292</v>
      </c>
      <c r="I34" s="165" t="s">
        <v>277</v>
      </c>
      <c r="J34" s="178" t="s">
        <v>144</v>
      </c>
      <c r="K34" s="156" t="s">
        <v>178</v>
      </c>
      <c r="L34" s="157" t="s">
        <v>1</v>
      </c>
      <c r="M34" s="183" t="s">
        <v>180</v>
      </c>
      <c r="N34" s="172" t="s">
        <v>128</v>
      </c>
      <c r="O34" s="159">
        <v>44301</v>
      </c>
      <c r="P34" s="158" t="s">
        <v>30</v>
      </c>
      <c r="Q34" s="160"/>
      <c r="R34" s="158"/>
      <c r="S34" s="160">
        <v>29</v>
      </c>
      <c r="T34" s="158" t="s">
        <v>127</v>
      </c>
    </row>
    <row r="35" spans="3:20" ht="39.75" customHeight="1">
      <c r="C35" s="196">
        <v>32</v>
      </c>
      <c r="D35" s="157" t="s">
        <v>278</v>
      </c>
      <c r="E35" s="155">
        <v>44296</v>
      </c>
      <c r="F35" s="156" t="s">
        <v>5</v>
      </c>
      <c r="G35" s="155" t="s">
        <v>176</v>
      </c>
      <c r="H35" s="155">
        <v>44293</v>
      </c>
      <c r="I35" s="165" t="s">
        <v>279</v>
      </c>
      <c r="J35" s="178" t="s">
        <v>144</v>
      </c>
      <c r="K35" s="156" t="s">
        <v>178</v>
      </c>
      <c r="L35" s="157" t="s">
        <v>1</v>
      </c>
      <c r="M35" s="183" t="s">
        <v>180</v>
      </c>
      <c r="N35" s="172" t="s">
        <v>128</v>
      </c>
      <c r="O35" s="159">
        <v>44302</v>
      </c>
      <c r="P35" s="158" t="s">
        <v>30</v>
      </c>
      <c r="Q35" s="160"/>
      <c r="R35" s="158"/>
      <c r="S35" s="160">
        <v>30</v>
      </c>
      <c r="T35" s="158" t="s">
        <v>127</v>
      </c>
    </row>
    <row r="36" spans="3:20" ht="39.75" customHeight="1">
      <c r="C36" s="196">
        <v>33</v>
      </c>
      <c r="D36" s="157" t="s">
        <v>280</v>
      </c>
      <c r="E36" s="155">
        <v>44297</v>
      </c>
      <c r="F36" s="156" t="s">
        <v>5</v>
      </c>
      <c r="G36" s="155" t="s">
        <v>176</v>
      </c>
      <c r="H36" s="155">
        <v>44294</v>
      </c>
      <c r="I36" s="165" t="s">
        <v>281</v>
      </c>
      <c r="J36" s="178" t="s">
        <v>144</v>
      </c>
      <c r="K36" s="156" t="s">
        <v>178</v>
      </c>
      <c r="L36" s="157" t="s">
        <v>1</v>
      </c>
      <c r="M36" s="183" t="s">
        <v>180</v>
      </c>
      <c r="N36" s="172" t="s">
        <v>128</v>
      </c>
      <c r="O36" s="159">
        <v>44303</v>
      </c>
      <c r="P36" s="158" t="s">
        <v>30</v>
      </c>
      <c r="Q36" s="160"/>
      <c r="R36" s="158"/>
      <c r="S36" s="160">
        <v>31</v>
      </c>
      <c r="T36" s="158" t="s">
        <v>127</v>
      </c>
    </row>
    <row r="37" spans="3:20" ht="39.75" customHeight="1">
      <c r="C37" s="196">
        <v>34</v>
      </c>
      <c r="D37" s="157" t="s">
        <v>282</v>
      </c>
      <c r="E37" s="155">
        <v>44298</v>
      </c>
      <c r="F37" s="156" t="s">
        <v>5</v>
      </c>
      <c r="G37" s="155" t="s">
        <v>176</v>
      </c>
      <c r="H37" s="155">
        <v>44295</v>
      </c>
      <c r="I37" s="165" t="s">
        <v>283</v>
      </c>
      <c r="J37" s="178" t="s">
        <v>144</v>
      </c>
      <c r="K37" s="156" t="s">
        <v>178</v>
      </c>
      <c r="L37" s="157" t="s">
        <v>1</v>
      </c>
      <c r="M37" s="183" t="s">
        <v>180</v>
      </c>
      <c r="N37" s="172" t="s">
        <v>128</v>
      </c>
      <c r="O37" s="159">
        <v>44304</v>
      </c>
      <c r="P37" s="158" t="s">
        <v>30</v>
      </c>
      <c r="Q37" s="160"/>
      <c r="R37" s="158"/>
      <c r="S37" s="160">
        <v>32</v>
      </c>
      <c r="T37" s="158" t="s">
        <v>127</v>
      </c>
    </row>
    <row r="38" spans="3:20" ht="39.75" customHeight="1">
      <c r="C38" s="196">
        <v>35</v>
      </c>
      <c r="D38" s="157" t="s">
        <v>284</v>
      </c>
      <c r="E38" s="155">
        <v>44299</v>
      </c>
      <c r="F38" s="156" t="s">
        <v>5</v>
      </c>
      <c r="G38" s="155" t="s">
        <v>176</v>
      </c>
      <c r="H38" s="155">
        <v>44296</v>
      </c>
      <c r="I38" s="165" t="s">
        <v>285</v>
      </c>
      <c r="J38" s="178" t="s">
        <v>144</v>
      </c>
      <c r="K38" s="156" t="s">
        <v>178</v>
      </c>
      <c r="L38" s="157" t="s">
        <v>1</v>
      </c>
      <c r="M38" s="183" t="s">
        <v>180</v>
      </c>
      <c r="N38" s="172" t="s">
        <v>128</v>
      </c>
      <c r="O38" s="159">
        <v>44305</v>
      </c>
      <c r="P38" s="158" t="s">
        <v>30</v>
      </c>
      <c r="Q38" s="160"/>
      <c r="R38" s="158"/>
      <c r="S38" s="160">
        <v>33</v>
      </c>
      <c r="T38" s="158" t="s">
        <v>127</v>
      </c>
    </row>
    <row r="39" spans="3:20" ht="39.75" customHeight="1">
      <c r="C39" s="196">
        <v>36</v>
      </c>
      <c r="D39" s="157" t="s">
        <v>286</v>
      </c>
      <c r="E39" s="155">
        <v>44300</v>
      </c>
      <c r="F39" s="156" t="s">
        <v>5</v>
      </c>
      <c r="G39" s="155" t="s">
        <v>176</v>
      </c>
      <c r="H39" s="155">
        <v>44297</v>
      </c>
      <c r="I39" s="165" t="s">
        <v>287</v>
      </c>
      <c r="J39" s="178" t="s">
        <v>144</v>
      </c>
      <c r="K39" s="156" t="s">
        <v>178</v>
      </c>
      <c r="L39" s="157" t="s">
        <v>1</v>
      </c>
      <c r="M39" s="183" t="s">
        <v>180</v>
      </c>
      <c r="N39" s="172" t="s">
        <v>128</v>
      </c>
      <c r="O39" s="159">
        <v>44306</v>
      </c>
      <c r="P39" s="158" t="s">
        <v>30</v>
      </c>
      <c r="Q39" s="160"/>
      <c r="R39" s="158"/>
      <c r="S39" s="160">
        <v>34</v>
      </c>
      <c r="T39" s="158" t="s">
        <v>127</v>
      </c>
    </row>
    <row r="40" spans="3:20" ht="39.75" customHeight="1">
      <c r="C40" s="196">
        <v>37</v>
      </c>
      <c r="D40" s="157" t="s">
        <v>288</v>
      </c>
      <c r="E40" s="155">
        <v>44301</v>
      </c>
      <c r="F40" s="156" t="s">
        <v>5</v>
      </c>
      <c r="G40" s="155" t="s">
        <v>176</v>
      </c>
      <c r="H40" s="155">
        <v>44298</v>
      </c>
      <c r="I40" s="165" t="s">
        <v>289</v>
      </c>
      <c r="J40" s="178" t="s">
        <v>144</v>
      </c>
      <c r="K40" s="156" t="s">
        <v>178</v>
      </c>
      <c r="L40" s="157" t="s">
        <v>1</v>
      </c>
      <c r="M40" s="183" t="s">
        <v>180</v>
      </c>
      <c r="N40" s="172" t="s">
        <v>128</v>
      </c>
      <c r="O40" s="159">
        <v>44307</v>
      </c>
      <c r="P40" s="158" t="s">
        <v>30</v>
      </c>
      <c r="Q40" s="160"/>
      <c r="R40" s="158"/>
      <c r="S40" s="160">
        <v>35</v>
      </c>
      <c r="T40" s="158" t="s">
        <v>127</v>
      </c>
    </row>
    <row r="41" spans="3:20" ht="39.75" customHeight="1">
      <c r="C41" s="196">
        <v>38</v>
      </c>
      <c r="D41" s="157" t="s">
        <v>290</v>
      </c>
      <c r="E41" s="155">
        <v>44302</v>
      </c>
      <c r="F41" s="156" t="s">
        <v>5</v>
      </c>
      <c r="G41" s="155" t="s">
        <v>176</v>
      </c>
      <c r="H41" s="155">
        <v>44299</v>
      </c>
      <c r="I41" s="165" t="s">
        <v>291</v>
      </c>
      <c r="J41" s="178" t="s">
        <v>144</v>
      </c>
      <c r="K41" s="156" t="s">
        <v>178</v>
      </c>
      <c r="L41" s="157" t="s">
        <v>1</v>
      </c>
      <c r="M41" s="183" t="s">
        <v>180</v>
      </c>
      <c r="N41" s="172" t="s">
        <v>128</v>
      </c>
      <c r="O41" s="159">
        <v>44308</v>
      </c>
      <c r="P41" s="158" t="s">
        <v>30</v>
      </c>
      <c r="Q41" s="160"/>
      <c r="R41" s="158"/>
      <c r="S41" s="160">
        <v>36</v>
      </c>
      <c r="T41" s="158" t="s">
        <v>127</v>
      </c>
    </row>
    <row r="42" spans="3:20" ht="39.75" customHeight="1">
      <c r="C42" s="196">
        <v>39</v>
      </c>
      <c r="D42" s="157" t="s">
        <v>292</v>
      </c>
      <c r="E42" s="155">
        <v>44303</v>
      </c>
      <c r="F42" s="156" t="s">
        <v>5</v>
      </c>
      <c r="G42" s="155" t="s">
        <v>176</v>
      </c>
      <c r="H42" s="155">
        <v>44300</v>
      </c>
      <c r="I42" s="165" t="s">
        <v>293</v>
      </c>
      <c r="J42" s="178" t="s">
        <v>144</v>
      </c>
      <c r="K42" s="156" t="s">
        <v>178</v>
      </c>
      <c r="L42" s="157" t="s">
        <v>1</v>
      </c>
      <c r="M42" s="183" t="s">
        <v>180</v>
      </c>
      <c r="N42" s="172" t="s">
        <v>128</v>
      </c>
      <c r="O42" s="159">
        <v>44309</v>
      </c>
      <c r="P42" s="158" t="s">
        <v>30</v>
      </c>
      <c r="Q42" s="160"/>
      <c r="R42" s="158"/>
      <c r="S42" s="160">
        <v>37</v>
      </c>
      <c r="T42" s="158" t="s">
        <v>127</v>
      </c>
    </row>
    <row r="43" spans="3:20" ht="39.75" customHeight="1">
      <c r="C43" s="196">
        <v>40</v>
      </c>
      <c r="D43" s="157" t="s">
        <v>294</v>
      </c>
      <c r="E43" s="155">
        <v>44304</v>
      </c>
      <c r="F43" s="156" t="s">
        <v>5</v>
      </c>
      <c r="G43" s="155" t="s">
        <v>176</v>
      </c>
      <c r="H43" s="155">
        <v>44301</v>
      </c>
      <c r="I43" s="165" t="s">
        <v>295</v>
      </c>
      <c r="J43" s="178" t="s">
        <v>144</v>
      </c>
      <c r="K43" s="156" t="s">
        <v>178</v>
      </c>
      <c r="L43" s="157" t="s">
        <v>1</v>
      </c>
      <c r="M43" s="183" t="s">
        <v>180</v>
      </c>
      <c r="N43" s="172" t="s">
        <v>128</v>
      </c>
      <c r="O43" s="159">
        <v>44310</v>
      </c>
      <c r="P43" s="158" t="s">
        <v>30</v>
      </c>
      <c r="Q43" s="160"/>
      <c r="R43" s="158"/>
      <c r="S43" s="160">
        <v>38</v>
      </c>
      <c r="T43" s="158" t="s">
        <v>127</v>
      </c>
    </row>
    <row r="44" spans="3:20" ht="39.75" customHeight="1">
      <c r="C44" s="196">
        <v>41</v>
      </c>
      <c r="D44" s="157" t="s">
        <v>296</v>
      </c>
      <c r="E44" s="155">
        <v>44305</v>
      </c>
      <c r="F44" s="156" t="s">
        <v>5</v>
      </c>
      <c r="G44" s="155" t="s">
        <v>176</v>
      </c>
      <c r="H44" s="155">
        <v>44302</v>
      </c>
      <c r="I44" s="165" t="s">
        <v>297</v>
      </c>
      <c r="J44" s="178" t="s">
        <v>144</v>
      </c>
      <c r="K44" s="156" t="s">
        <v>178</v>
      </c>
      <c r="L44" s="157" t="s">
        <v>1</v>
      </c>
      <c r="M44" s="183" t="s">
        <v>180</v>
      </c>
      <c r="N44" s="172" t="s">
        <v>128</v>
      </c>
      <c r="O44" s="159">
        <v>44311</v>
      </c>
      <c r="P44" s="158" t="s">
        <v>30</v>
      </c>
      <c r="Q44" s="160"/>
      <c r="R44" s="158"/>
      <c r="S44" s="160">
        <v>39</v>
      </c>
      <c r="T44" s="158" t="s">
        <v>127</v>
      </c>
    </row>
    <row r="45" spans="3:20" ht="39.75" customHeight="1">
      <c r="C45" s="196">
        <v>42</v>
      </c>
      <c r="D45" s="157" t="s">
        <v>298</v>
      </c>
      <c r="E45" s="155">
        <v>44306</v>
      </c>
      <c r="F45" s="156" t="s">
        <v>5</v>
      </c>
      <c r="G45" s="155" t="s">
        <v>176</v>
      </c>
      <c r="H45" s="155">
        <v>44303</v>
      </c>
      <c r="I45" s="165" t="s">
        <v>299</v>
      </c>
      <c r="J45" s="178" t="s">
        <v>144</v>
      </c>
      <c r="K45" s="156" t="s">
        <v>178</v>
      </c>
      <c r="L45" s="157" t="s">
        <v>1</v>
      </c>
      <c r="M45" s="183" t="s">
        <v>180</v>
      </c>
      <c r="N45" s="172" t="s">
        <v>128</v>
      </c>
      <c r="O45" s="159">
        <v>44312</v>
      </c>
      <c r="P45" s="158" t="s">
        <v>30</v>
      </c>
      <c r="Q45" s="160"/>
      <c r="R45" s="158"/>
      <c r="S45" s="160">
        <v>40</v>
      </c>
      <c r="T45" s="158" t="s">
        <v>127</v>
      </c>
    </row>
    <row r="46" spans="3:20" ht="39.75" customHeight="1">
      <c r="C46" s="196">
        <v>43</v>
      </c>
      <c r="D46" s="157" t="s">
        <v>300</v>
      </c>
      <c r="E46" s="155">
        <v>44307</v>
      </c>
      <c r="F46" s="156" t="s">
        <v>5</v>
      </c>
      <c r="G46" s="155" t="s">
        <v>176</v>
      </c>
      <c r="H46" s="155">
        <v>44304</v>
      </c>
      <c r="I46" s="165" t="s">
        <v>301</v>
      </c>
      <c r="J46" s="178" t="s">
        <v>144</v>
      </c>
      <c r="K46" s="156" t="s">
        <v>178</v>
      </c>
      <c r="L46" s="157" t="s">
        <v>1</v>
      </c>
      <c r="M46" s="183" t="s">
        <v>180</v>
      </c>
      <c r="N46" s="172" t="s">
        <v>128</v>
      </c>
      <c r="O46" s="159">
        <v>44313</v>
      </c>
      <c r="P46" s="158" t="s">
        <v>30</v>
      </c>
      <c r="Q46" s="160"/>
      <c r="R46" s="158"/>
      <c r="S46" s="160">
        <v>41</v>
      </c>
      <c r="T46" s="158" t="s">
        <v>127</v>
      </c>
    </row>
    <row r="47" spans="3:20" ht="39.75" customHeight="1">
      <c r="C47" s="196">
        <v>44</v>
      </c>
      <c r="D47" s="157" t="s">
        <v>302</v>
      </c>
      <c r="E47" s="155">
        <v>44308</v>
      </c>
      <c r="F47" s="156" t="s">
        <v>5</v>
      </c>
      <c r="G47" s="155" t="s">
        <v>176</v>
      </c>
      <c r="H47" s="155">
        <v>44305</v>
      </c>
      <c r="I47" s="165" t="s">
        <v>303</v>
      </c>
      <c r="J47" s="178" t="s">
        <v>144</v>
      </c>
      <c r="K47" s="156" t="s">
        <v>178</v>
      </c>
      <c r="L47" s="157" t="s">
        <v>1</v>
      </c>
      <c r="M47" s="183" t="s">
        <v>180</v>
      </c>
      <c r="N47" s="172" t="s">
        <v>128</v>
      </c>
      <c r="O47" s="159">
        <v>44314</v>
      </c>
      <c r="P47" s="158" t="s">
        <v>30</v>
      </c>
      <c r="Q47" s="160"/>
      <c r="R47" s="158"/>
      <c r="S47" s="160">
        <v>42</v>
      </c>
      <c r="T47" s="158" t="s">
        <v>127</v>
      </c>
    </row>
    <row r="48" spans="3:20" ht="39.75" customHeight="1">
      <c r="C48" s="196">
        <v>45</v>
      </c>
      <c r="D48" s="157" t="s">
        <v>304</v>
      </c>
      <c r="E48" s="155">
        <v>44309</v>
      </c>
      <c r="F48" s="156" t="s">
        <v>5</v>
      </c>
      <c r="G48" s="155" t="s">
        <v>176</v>
      </c>
      <c r="H48" s="155">
        <v>44306</v>
      </c>
      <c r="I48" s="165" t="s">
        <v>305</v>
      </c>
      <c r="J48" s="178" t="s">
        <v>144</v>
      </c>
      <c r="K48" s="156" t="s">
        <v>178</v>
      </c>
      <c r="L48" s="157" t="s">
        <v>1</v>
      </c>
      <c r="M48" s="183" t="s">
        <v>180</v>
      </c>
      <c r="N48" s="172" t="s">
        <v>128</v>
      </c>
      <c r="O48" s="159">
        <v>44315</v>
      </c>
      <c r="P48" s="158" t="s">
        <v>30</v>
      </c>
      <c r="Q48" s="160"/>
      <c r="R48" s="158"/>
      <c r="S48" s="160">
        <v>43</v>
      </c>
      <c r="T48" s="158" t="s">
        <v>127</v>
      </c>
    </row>
    <row r="49" spans="3:20" ht="39.75" customHeight="1">
      <c r="C49" s="196">
        <v>46</v>
      </c>
      <c r="D49" s="157" t="s">
        <v>306</v>
      </c>
      <c r="E49" s="155">
        <v>44310</v>
      </c>
      <c r="F49" s="156" t="s">
        <v>5</v>
      </c>
      <c r="G49" s="155" t="s">
        <v>176</v>
      </c>
      <c r="H49" s="155">
        <v>44307</v>
      </c>
      <c r="I49" s="165" t="s">
        <v>307</v>
      </c>
      <c r="J49" s="178" t="s">
        <v>144</v>
      </c>
      <c r="K49" s="156" t="s">
        <v>178</v>
      </c>
      <c r="L49" s="157" t="s">
        <v>1</v>
      </c>
      <c r="M49" s="183" t="s">
        <v>180</v>
      </c>
      <c r="N49" s="172" t="s">
        <v>128</v>
      </c>
      <c r="O49" s="159">
        <v>44316</v>
      </c>
      <c r="P49" s="158" t="s">
        <v>30</v>
      </c>
      <c r="Q49" s="160"/>
      <c r="R49" s="158"/>
      <c r="S49" s="160">
        <v>44</v>
      </c>
      <c r="T49" s="158" t="s">
        <v>127</v>
      </c>
    </row>
    <row r="50" spans="3:20" ht="39.75" customHeight="1">
      <c r="C50" s="196">
        <v>47</v>
      </c>
      <c r="D50" s="157" t="s">
        <v>308</v>
      </c>
      <c r="E50" s="155">
        <v>44311</v>
      </c>
      <c r="F50" s="156" t="s">
        <v>5</v>
      </c>
      <c r="G50" s="155" t="s">
        <v>176</v>
      </c>
      <c r="H50" s="155">
        <v>44308</v>
      </c>
      <c r="I50" s="165" t="s">
        <v>309</v>
      </c>
      <c r="J50" s="178" t="s">
        <v>144</v>
      </c>
      <c r="K50" s="156" t="s">
        <v>178</v>
      </c>
      <c r="L50" s="157" t="s">
        <v>1</v>
      </c>
      <c r="M50" s="183" t="s">
        <v>180</v>
      </c>
      <c r="N50" s="172" t="s">
        <v>128</v>
      </c>
      <c r="O50" s="159">
        <v>44317</v>
      </c>
      <c r="P50" s="158" t="s">
        <v>30</v>
      </c>
      <c r="Q50" s="160"/>
      <c r="R50" s="158"/>
      <c r="S50" s="160">
        <v>45</v>
      </c>
      <c r="T50" s="158" t="s">
        <v>127</v>
      </c>
    </row>
    <row r="51" spans="3:20" ht="39.75" customHeight="1">
      <c r="C51" s="196">
        <v>48</v>
      </c>
      <c r="D51" s="157" t="s">
        <v>310</v>
      </c>
      <c r="E51" s="155">
        <v>44312</v>
      </c>
      <c r="F51" s="156" t="s">
        <v>5</v>
      </c>
      <c r="G51" s="155" t="s">
        <v>176</v>
      </c>
      <c r="H51" s="155">
        <v>44309</v>
      </c>
      <c r="I51" s="165" t="s">
        <v>311</v>
      </c>
      <c r="J51" s="178" t="s">
        <v>144</v>
      </c>
      <c r="K51" s="156" t="s">
        <v>178</v>
      </c>
      <c r="L51" s="157" t="s">
        <v>1</v>
      </c>
      <c r="M51" s="183" t="s">
        <v>180</v>
      </c>
      <c r="N51" s="172" t="s">
        <v>128</v>
      </c>
      <c r="O51" s="159">
        <v>44318</v>
      </c>
      <c r="P51" s="158" t="s">
        <v>30</v>
      </c>
      <c r="Q51" s="160"/>
      <c r="R51" s="158"/>
      <c r="S51" s="160">
        <v>46</v>
      </c>
      <c r="T51" s="158" t="s">
        <v>127</v>
      </c>
    </row>
    <row r="52" spans="3:20" ht="39.75" customHeight="1">
      <c r="C52" s="196">
        <v>49</v>
      </c>
      <c r="D52" s="157" t="s">
        <v>312</v>
      </c>
      <c r="E52" s="155">
        <v>44313</v>
      </c>
      <c r="F52" s="156" t="s">
        <v>5</v>
      </c>
      <c r="G52" s="155" t="s">
        <v>176</v>
      </c>
      <c r="H52" s="155">
        <v>44310</v>
      </c>
      <c r="I52" s="165" t="s">
        <v>313</v>
      </c>
      <c r="J52" s="178" t="s">
        <v>144</v>
      </c>
      <c r="K52" s="156" t="s">
        <v>178</v>
      </c>
      <c r="L52" s="157" t="s">
        <v>1</v>
      </c>
      <c r="M52" s="183" t="s">
        <v>180</v>
      </c>
      <c r="N52" s="172" t="s">
        <v>128</v>
      </c>
      <c r="O52" s="159">
        <v>44319</v>
      </c>
      <c r="P52" s="158" t="s">
        <v>30</v>
      </c>
      <c r="Q52" s="160"/>
      <c r="R52" s="158"/>
      <c r="S52" s="160">
        <v>47</v>
      </c>
      <c r="T52" s="158" t="s">
        <v>127</v>
      </c>
    </row>
    <row r="53" spans="3:20" ht="39.75" customHeight="1">
      <c r="C53" s="196">
        <v>50</v>
      </c>
      <c r="D53" s="157" t="s">
        <v>314</v>
      </c>
      <c r="E53" s="155">
        <v>44314</v>
      </c>
      <c r="F53" s="156" t="s">
        <v>5</v>
      </c>
      <c r="G53" s="155" t="s">
        <v>176</v>
      </c>
      <c r="H53" s="155">
        <v>44311</v>
      </c>
      <c r="I53" s="165" t="s">
        <v>315</v>
      </c>
      <c r="J53" s="178" t="s">
        <v>144</v>
      </c>
      <c r="K53" s="156" t="s">
        <v>178</v>
      </c>
      <c r="L53" s="157" t="s">
        <v>1</v>
      </c>
      <c r="M53" s="183" t="s">
        <v>180</v>
      </c>
      <c r="N53" s="172" t="s">
        <v>128</v>
      </c>
      <c r="O53" s="159">
        <v>44320</v>
      </c>
      <c r="P53" s="158" t="s">
        <v>30</v>
      </c>
      <c r="Q53" s="160"/>
      <c r="R53" s="158"/>
      <c r="S53" s="160">
        <v>48</v>
      </c>
      <c r="T53" s="158" t="s">
        <v>127</v>
      </c>
    </row>
    <row r="54" spans="3:20" ht="39.75" customHeight="1">
      <c r="C54" s="196">
        <v>51</v>
      </c>
      <c r="D54" s="157" t="s">
        <v>316</v>
      </c>
      <c r="E54" s="155">
        <v>44315</v>
      </c>
      <c r="F54" s="156" t="s">
        <v>5</v>
      </c>
      <c r="G54" s="155" t="s">
        <v>176</v>
      </c>
      <c r="H54" s="155">
        <v>44312</v>
      </c>
      <c r="I54" s="165" t="s">
        <v>317</v>
      </c>
      <c r="J54" s="178" t="s">
        <v>144</v>
      </c>
      <c r="K54" s="156" t="s">
        <v>178</v>
      </c>
      <c r="L54" s="157" t="s">
        <v>1</v>
      </c>
      <c r="M54" s="183" t="s">
        <v>180</v>
      </c>
      <c r="N54" s="172" t="s">
        <v>128</v>
      </c>
      <c r="O54" s="159">
        <v>44321</v>
      </c>
      <c r="P54" s="158" t="s">
        <v>30</v>
      </c>
      <c r="Q54" s="160"/>
      <c r="R54" s="158"/>
      <c r="S54" s="160">
        <v>49</v>
      </c>
      <c r="T54" s="158" t="s">
        <v>127</v>
      </c>
    </row>
    <row r="55" spans="3:20" ht="39.75" customHeight="1">
      <c r="C55" s="196">
        <v>52</v>
      </c>
      <c r="D55" s="157" t="s">
        <v>318</v>
      </c>
      <c r="E55" s="155">
        <v>44316</v>
      </c>
      <c r="F55" s="156" t="s">
        <v>5</v>
      </c>
      <c r="G55" s="155" t="s">
        <v>176</v>
      </c>
      <c r="H55" s="155">
        <v>44313</v>
      </c>
      <c r="I55" s="165" t="s">
        <v>319</v>
      </c>
      <c r="J55" s="178" t="s">
        <v>144</v>
      </c>
      <c r="K55" s="156" t="s">
        <v>178</v>
      </c>
      <c r="L55" s="157" t="s">
        <v>1</v>
      </c>
      <c r="M55" s="183" t="s">
        <v>180</v>
      </c>
      <c r="N55" s="172" t="s">
        <v>128</v>
      </c>
      <c r="O55" s="159">
        <v>44322</v>
      </c>
      <c r="P55" s="158" t="s">
        <v>30</v>
      </c>
      <c r="Q55" s="160"/>
      <c r="R55" s="158"/>
      <c r="S55" s="160">
        <v>50</v>
      </c>
      <c r="T55" s="158" t="s">
        <v>127</v>
      </c>
    </row>
    <row r="56" spans="3:20" ht="39.75" customHeight="1">
      <c r="C56" s="196">
        <v>53</v>
      </c>
      <c r="D56" s="157" t="s">
        <v>320</v>
      </c>
      <c r="E56" s="155">
        <v>44317</v>
      </c>
      <c r="F56" s="156" t="s">
        <v>5</v>
      </c>
      <c r="G56" s="155" t="s">
        <v>176</v>
      </c>
      <c r="H56" s="155">
        <v>44314</v>
      </c>
      <c r="I56" s="165" t="s">
        <v>321</v>
      </c>
      <c r="J56" s="178" t="s">
        <v>144</v>
      </c>
      <c r="K56" s="156" t="s">
        <v>178</v>
      </c>
      <c r="L56" s="157" t="s">
        <v>1</v>
      </c>
      <c r="M56" s="183" t="s">
        <v>180</v>
      </c>
      <c r="N56" s="172" t="s">
        <v>128</v>
      </c>
      <c r="O56" s="159">
        <v>44323</v>
      </c>
      <c r="P56" s="158" t="s">
        <v>30</v>
      </c>
      <c r="Q56" s="160"/>
      <c r="R56" s="158"/>
      <c r="S56" s="160">
        <v>51</v>
      </c>
      <c r="T56" s="158" t="s">
        <v>127</v>
      </c>
    </row>
    <row r="57" spans="3:20" ht="39.75" customHeight="1">
      <c r="C57" s="196">
        <v>54</v>
      </c>
      <c r="D57" s="157" t="s">
        <v>322</v>
      </c>
      <c r="E57" s="155">
        <v>44318</v>
      </c>
      <c r="F57" s="156" t="s">
        <v>5</v>
      </c>
      <c r="G57" s="155" t="s">
        <v>176</v>
      </c>
      <c r="H57" s="155">
        <v>44315</v>
      </c>
      <c r="I57" s="165" t="s">
        <v>323</v>
      </c>
      <c r="J57" s="178" t="s">
        <v>144</v>
      </c>
      <c r="K57" s="156" t="s">
        <v>178</v>
      </c>
      <c r="L57" s="157" t="s">
        <v>1</v>
      </c>
      <c r="M57" s="183" t="s">
        <v>180</v>
      </c>
      <c r="N57" s="172" t="s">
        <v>128</v>
      </c>
      <c r="O57" s="159">
        <v>44324</v>
      </c>
      <c r="P57" s="158" t="s">
        <v>30</v>
      </c>
      <c r="Q57" s="160"/>
      <c r="R57" s="158"/>
      <c r="S57" s="160">
        <v>52</v>
      </c>
      <c r="T57" s="158" t="s">
        <v>127</v>
      </c>
    </row>
    <row r="58" spans="3:20" ht="39.75" customHeight="1">
      <c r="C58" s="196">
        <v>55</v>
      </c>
      <c r="D58" s="157" t="s">
        <v>324</v>
      </c>
      <c r="E58" s="155">
        <v>44319</v>
      </c>
      <c r="F58" s="156" t="s">
        <v>5</v>
      </c>
      <c r="G58" s="155" t="s">
        <v>176</v>
      </c>
      <c r="H58" s="155">
        <v>44316</v>
      </c>
      <c r="I58" s="165" t="s">
        <v>325</v>
      </c>
      <c r="J58" s="178" t="s">
        <v>144</v>
      </c>
      <c r="K58" s="156" t="s">
        <v>178</v>
      </c>
      <c r="L58" s="157" t="s">
        <v>1</v>
      </c>
      <c r="M58" s="183" t="s">
        <v>180</v>
      </c>
      <c r="N58" s="172" t="s">
        <v>128</v>
      </c>
      <c r="O58" s="159">
        <v>44325</v>
      </c>
      <c r="P58" s="158" t="s">
        <v>30</v>
      </c>
      <c r="Q58" s="160"/>
      <c r="R58" s="158"/>
      <c r="S58" s="160">
        <v>53</v>
      </c>
      <c r="T58" s="158" t="s">
        <v>127</v>
      </c>
    </row>
    <row r="59" spans="3:20" ht="39.75" customHeight="1">
      <c r="C59" s="196">
        <v>56</v>
      </c>
      <c r="D59" s="157" t="s">
        <v>326</v>
      </c>
      <c r="E59" s="155">
        <v>44320</v>
      </c>
      <c r="F59" s="156" t="s">
        <v>5</v>
      </c>
      <c r="G59" s="155" t="s">
        <v>176</v>
      </c>
      <c r="H59" s="155">
        <v>44317</v>
      </c>
      <c r="I59" s="165" t="s">
        <v>327</v>
      </c>
      <c r="J59" s="178" t="s">
        <v>144</v>
      </c>
      <c r="K59" s="156" t="s">
        <v>178</v>
      </c>
      <c r="L59" s="157" t="s">
        <v>1</v>
      </c>
      <c r="M59" s="183" t="s">
        <v>180</v>
      </c>
      <c r="N59" s="172" t="s">
        <v>128</v>
      </c>
      <c r="O59" s="159">
        <v>44326</v>
      </c>
      <c r="P59" s="158" t="s">
        <v>30</v>
      </c>
      <c r="Q59" s="160"/>
      <c r="R59" s="158"/>
      <c r="S59" s="160">
        <v>54</v>
      </c>
      <c r="T59" s="158" t="s">
        <v>127</v>
      </c>
    </row>
    <row r="60" spans="3:20" ht="39.75" customHeight="1">
      <c r="C60" s="196">
        <v>57</v>
      </c>
      <c r="D60" s="157" t="s">
        <v>328</v>
      </c>
      <c r="E60" s="155">
        <v>44321</v>
      </c>
      <c r="F60" s="156" t="s">
        <v>5</v>
      </c>
      <c r="G60" s="155" t="s">
        <v>176</v>
      </c>
      <c r="H60" s="155">
        <v>44318</v>
      </c>
      <c r="I60" s="165" t="s">
        <v>329</v>
      </c>
      <c r="J60" s="178" t="s">
        <v>144</v>
      </c>
      <c r="K60" s="156" t="s">
        <v>178</v>
      </c>
      <c r="L60" s="157" t="s">
        <v>1</v>
      </c>
      <c r="M60" s="183" t="s">
        <v>180</v>
      </c>
      <c r="N60" s="172" t="s">
        <v>128</v>
      </c>
      <c r="O60" s="159">
        <v>44327</v>
      </c>
      <c r="P60" s="158" t="s">
        <v>30</v>
      </c>
      <c r="Q60" s="160"/>
      <c r="R60" s="158"/>
      <c r="S60" s="160">
        <v>55</v>
      </c>
      <c r="T60" s="158" t="s">
        <v>127</v>
      </c>
    </row>
    <row r="61" spans="3:20" ht="39.75" customHeight="1">
      <c r="C61" s="196">
        <v>58</v>
      </c>
      <c r="D61" s="157" t="s">
        <v>330</v>
      </c>
      <c r="E61" s="155">
        <v>44322</v>
      </c>
      <c r="F61" s="156" t="s">
        <v>5</v>
      </c>
      <c r="G61" s="155" t="s">
        <v>176</v>
      </c>
      <c r="H61" s="155">
        <v>44319</v>
      </c>
      <c r="I61" s="165" t="s">
        <v>331</v>
      </c>
      <c r="J61" s="178" t="s">
        <v>144</v>
      </c>
      <c r="K61" s="156" t="s">
        <v>178</v>
      </c>
      <c r="L61" s="157" t="s">
        <v>1</v>
      </c>
      <c r="M61" s="183" t="s">
        <v>180</v>
      </c>
      <c r="N61" s="172" t="s">
        <v>128</v>
      </c>
      <c r="O61" s="159">
        <v>44328</v>
      </c>
      <c r="P61" s="158" t="s">
        <v>30</v>
      </c>
      <c r="Q61" s="160"/>
      <c r="R61" s="158"/>
      <c r="S61" s="160">
        <v>56</v>
      </c>
      <c r="T61" s="158" t="s">
        <v>127</v>
      </c>
    </row>
    <row r="62" spans="3:20" ht="39.75" customHeight="1">
      <c r="C62" s="196">
        <v>59</v>
      </c>
      <c r="D62" s="157" t="s">
        <v>332</v>
      </c>
      <c r="E62" s="155">
        <v>44323</v>
      </c>
      <c r="F62" s="156" t="s">
        <v>5</v>
      </c>
      <c r="G62" s="155" t="s">
        <v>176</v>
      </c>
      <c r="H62" s="155">
        <v>44320</v>
      </c>
      <c r="I62" s="165" t="s">
        <v>333</v>
      </c>
      <c r="J62" s="178" t="s">
        <v>144</v>
      </c>
      <c r="K62" s="156" t="s">
        <v>178</v>
      </c>
      <c r="L62" s="157" t="s">
        <v>1</v>
      </c>
      <c r="M62" s="183" t="s">
        <v>180</v>
      </c>
      <c r="N62" s="172" t="s">
        <v>128</v>
      </c>
      <c r="O62" s="159">
        <v>44329</v>
      </c>
      <c r="P62" s="158" t="s">
        <v>30</v>
      </c>
      <c r="Q62" s="160"/>
      <c r="R62" s="158"/>
      <c r="S62" s="160">
        <v>57</v>
      </c>
      <c r="T62" s="158" t="s">
        <v>127</v>
      </c>
    </row>
    <row r="63" spans="3:20" ht="39.75" customHeight="1">
      <c r="C63" s="196">
        <v>60</v>
      </c>
      <c r="D63" s="127"/>
      <c r="E63" s="129"/>
      <c r="F63" s="128"/>
      <c r="G63" s="129"/>
      <c r="H63" s="129"/>
      <c r="I63" s="166"/>
      <c r="J63" s="180"/>
      <c r="K63" s="128"/>
      <c r="L63" s="127"/>
      <c r="M63" s="168"/>
      <c r="N63" s="173"/>
      <c r="O63" s="141"/>
      <c r="P63" s="140"/>
      <c r="Q63" s="142"/>
      <c r="R63" s="140"/>
      <c r="S63" s="142"/>
      <c r="T63" s="140"/>
    </row>
    <row r="64" spans="3:20" ht="39.75" customHeight="1">
      <c r="C64" s="196">
        <v>61</v>
      </c>
      <c r="D64" s="127"/>
      <c r="E64" s="129"/>
      <c r="F64" s="128"/>
      <c r="G64" s="129"/>
      <c r="H64" s="129"/>
      <c r="I64" s="166"/>
      <c r="J64" s="180"/>
      <c r="K64" s="128"/>
      <c r="L64" s="127"/>
      <c r="M64" s="168"/>
      <c r="N64" s="173"/>
      <c r="O64" s="141"/>
      <c r="P64" s="140"/>
      <c r="Q64" s="142"/>
      <c r="R64" s="140"/>
      <c r="S64" s="142"/>
      <c r="T64" s="140"/>
    </row>
    <row r="65" spans="3:20" ht="39.75" customHeight="1">
      <c r="C65" s="196">
        <v>62</v>
      </c>
      <c r="D65" s="127"/>
      <c r="E65" s="129"/>
      <c r="F65" s="128"/>
      <c r="G65" s="129"/>
      <c r="H65" s="129"/>
      <c r="I65" s="166"/>
      <c r="J65" s="180"/>
      <c r="K65" s="128"/>
      <c r="L65" s="127"/>
      <c r="M65" s="168"/>
      <c r="N65" s="173"/>
      <c r="O65" s="141"/>
      <c r="P65" s="140"/>
      <c r="Q65" s="142"/>
      <c r="R65" s="140"/>
      <c r="S65" s="142"/>
      <c r="T65" s="140"/>
    </row>
    <row r="66" spans="3:20" ht="39.75" customHeight="1">
      <c r="C66" s="196">
        <v>63</v>
      </c>
      <c r="D66" s="127"/>
      <c r="E66" s="129"/>
      <c r="F66" s="128"/>
      <c r="G66" s="129"/>
      <c r="H66" s="129"/>
      <c r="I66" s="166"/>
      <c r="J66" s="180"/>
      <c r="K66" s="128"/>
      <c r="L66" s="127"/>
      <c r="M66" s="168"/>
      <c r="N66" s="173"/>
      <c r="O66" s="141"/>
      <c r="P66" s="140"/>
      <c r="Q66" s="142"/>
      <c r="R66" s="140"/>
      <c r="S66" s="142"/>
      <c r="T66" s="140"/>
    </row>
    <row r="67" spans="3:20" ht="39.75" customHeight="1">
      <c r="C67" s="196">
        <v>64</v>
      </c>
      <c r="D67" s="127"/>
      <c r="E67" s="129"/>
      <c r="F67" s="128"/>
      <c r="G67" s="129"/>
      <c r="H67" s="129"/>
      <c r="I67" s="166"/>
      <c r="J67" s="180"/>
      <c r="K67" s="128"/>
      <c r="L67" s="127"/>
      <c r="M67" s="168"/>
      <c r="N67" s="173"/>
      <c r="O67" s="141"/>
      <c r="P67" s="140"/>
      <c r="Q67" s="142"/>
      <c r="R67" s="140"/>
      <c r="S67" s="142"/>
      <c r="T67" s="140"/>
    </row>
    <row r="68" spans="3:20" ht="39.75" customHeight="1">
      <c r="C68" s="196">
        <v>65</v>
      </c>
      <c r="D68" s="127"/>
      <c r="E68" s="129"/>
      <c r="F68" s="128"/>
      <c r="G68" s="129"/>
      <c r="H68" s="129"/>
      <c r="I68" s="166"/>
      <c r="J68" s="180"/>
      <c r="K68" s="128"/>
      <c r="L68" s="127"/>
      <c r="M68" s="168"/>
      <c r="N68" s="173"/>
      <c r="O68" s="141"/>
      <c r="P68" s="140"/>
      <c r="Q68" s="142"/>
      <c r="R68" s="140"/>
      <c r="S68" s="142"/>
      <c r="T68" s="140"/>
    </row>
    <row r="69" spans="3:20" ht="39.75" customHeight="1">
      <c r="C69" s="196">
        <v>66</v>
      </c>
      <c r="D69" s="127"/>
      <c r="E69" s="129"/>
      <c r="F69" s="128"/>
      <c r="G69" s="129"/>
      <c r="H69" s="129"/>
      <c r="I69" s="166"/>
      <c r="J69" s="180"/>
      <c r="K69" s="128"/>
      <c r="L69" s="127"/>
      <c r="M69" s="168"/>
      <c r="N69" s="173"/>
      <c r="O69" s="141"/>
      <c r="P69" s="140"/>
      <c r="Q69" s="142"/>
      <c r="R69" s="140"/>
      <c r="S69" s="142"/>
      <c r="T69" s="140"/>
    </row>
    <row r="70" spans="3:20" ht="39.75" customHeight="1">
      <c r="C70" s="196">
        <v>67</v>
      </c>
      <c r="D70" s="127"/>
      <c r="E70" s="129"/>
      <c r="F70" s="128"/>
      <c r="G70" s="129"/>
      <c r="H70" s="129"/>
      <c r="I70" s="166"/>
      <c r="J70" s="180"/>
      <c r="K70" s="128"/>
      <c r="L70" s="127"/>
      <c r="M70" s="168"/>
      <c r="N70" s="173"/>
      <c r="O70" s="141"/>
      <c r="P70" s="140"/>
      <c r="Q70" s="142"/>
      <c r="R70" s="140"/>
      <c r="S70" s="142"/>
      <c r="T70" s="140"/>
    </row>
    <row r="71" spans="3:20" ht="39.75" customHeight="1">
      <c r="C71" s="196">
        <v>68</v>
      </c>
      <c r="D71" s="127"/>
      <c r="E71" s="129"/>
      <c r="F71" s="128"/>
      <c r="G71" s="129"/>
      <c r="H71" s="129"/>
      <c r="I71" s="166"/>
      <c r="J71" s="180"/>
      <c r="K71" s="128"/>
      <c r="L71" s="127"/>
      <c r="M71" s="168"/>
      <c r="N71" s="173"/>
      <c r="O71" s="141"/>
      <c r="P71" s="140"/>
      <c r="Q71" s="142"/>
      <c r="R71" s="140"/>
      <c r="S71" s="142"/>
      <c r="T71" s="140"/>
    </row>
    <row r="72" spans="3:20" ht="39.75" customHeight="1">
      <c r="C72" s="196">
        <v>69</v>
      </c>
      <c r="D72" s="127"/>
      <c r="E72" s="129"/>
      <c r="F72" s="128"/>
      <c r="G72" s="129"/>
      <c r="H72" s="129"/>
      <c r="I72" s="166"/>
      <c r="J72" s="180"/>
      <c r="K72" s="128"/>
      <c r="L72" s="127"/>
      <c r="M72" s="168"/>
      <c r="N72" s="173"/>
      <c r="O72" s="141"/>
      <c r="P72" s="140"/>
      <c r="Q72" s="142"/>
      <c r="R72" s="140"/>
      <c r="S72" s="142"/>
      <c r="T72" s="140"/>
    </row>
    <row r="73" spans="3:20" ht="39.75" customHeight="1">
      <c r="C73" s="196">
        <v>70</v>
      </c>
      <c r="D73" s="127"/>
      <c r="E73" s="129"/>
      <c r="F73" s="128"/>
      <c r="G73" s="129"/>
      <c r="H73" s="129"/>
      <c r="I73" s="166"/>
      <c r="J73" s="180"/>
      <c r="K73" s="128"/>
      <c r="L73" s="127"/>
      <c r="M73" s="168"/>
      <c r="N73" s="173"/>
      <c r="O73" s="141"/>
      <c r="P73" s="140"/>
      <c r="Q73" s="142"/>
      <c r="R73" s="140"/>
      <c r="S73" s="142"/>
      <c r="T73" s="140"/>
    </row>
    <row r="74" spans="3:20" ht="39.75" customHeight="1">
      <c r="C74" s="196">
        <v>71</v>
      </c>
      <c r="D74" s="127"/>
      <c r="E74" s="129"/>
      <c r="F74" s="128"/>
      <c r="G74" s="129"/>
      <c r="H74" s="129"/>
      <c r="I74" s="166"/>
      <c r="J74" s="180"/>
      <c r="K74" s="128"/>
      <c r="L74" s="127"/>
      <c r="M74" s="168"/>
      <c r="N74" s="173"/>
      <c r="O74" s="141"/>
      <c r="P74" s="140"/>
      <c r="Q74" s="142"/>
      <c r="R74" s="140"/>
      <c r="S74" s="142"/>
      <c r="T74" s="140"/>
    </row>
    <row r="75" spans="3:20" ht="39.75" customHeight="1">
      <c r="C75" s="196">
        <v>72</v>
      </c>
      <c r="D75" s="127"/>
      <c r="E75" s="129"/>
      <c r="F75" s="128"/>
      <c r="G75" s="129"/>
      <c r="H75" s="129"/>
      <c r="I75" s="166"/>
      <c r="J75" s="180"/>
      <c r="K75" s="128"/>
      <c r="L75" s="127"/>
      <c r="M75" s="168"/>
      <c r="N75" s="173"/>
      <c r="O75" s="141"/>
      <c r="P75" s="140"/>
      <c r="Q75" s="142"/>
      <c r="R75" s="140"/>
      <c r="S75" s="142"/>
      <c r="T75" s="140"/>
    </row>
    <row r="76" spans="3:20" ht="39.75" customHeight="1">
      <c r="C76" s="196">
        <v>73</v>
      </c>
      <c r="D76" s="127"/>
      <c r="E76" s="129"/>
      <c r="F76" s="128"/>
      <c r="G76" s="129"/>
      <c r="H76" s="129"/>
      <c r="I76" s="166"/>
      <c r="J76" s="180"/>
      <c r="K76" s="128"/>
      <c r="L76" s="127"/>
      <c r="M76" s="168"/>
      <c r="N76" s="173"/>
      <c r="O76" s="141"/>
      <c r="P76" s="140"/>
      <c r="Q76" s="142"/>
      <c r="R76" s="140"/>
      <c r="S76" s="142"/>
      <c r="T76" s="140"/>
    </row>
    <row r="77" spans="3:20" ht="39.75" customHeight="1">
      <c r="C77" s="196">
        <v>74</v>
      </c>
      <c r="D77" s="127"/>
      <c r="E77" s="129"/>
      <c r="F77" s="128"/>
      <c r="G77" s="129"/>
      <c r="H77" s="129"/>
      <c r="I77" s="166"/>
      <c r="J77" s="180"/>
      <c r="K77" s="128"/>
      <c r="L77" s="127"/>
      <c r="M77" s="168"/>
      <c r="N77" s="173"/>
      <c r="O77" s="141"/>
      <c r="P77" s="140"/>
      <c r="Q77" s="142"/>
      <c r="R77" s="140"/>
      <c r="S77" s="142"/>
      <c r="T77" s="140"/>
    </row>
    <row r="78" spans="3:20" ht="39.75" customHeight="1">
      <c r="C78" s="196">
        <v>75</v>
      </c>
      <c r="D78" s="127"/>
      <c r="E78" s="129"/>
      <c r="F78" s="128"/>
      <c r="G78" s="129"/>
      <c r="H78" s="129"/>
      <c r="I78" s="166"/>
      <c r="J78" s="180"/>
      <c r="K78" s="128"/>
      <c r="L78" s="127"/>
      <c r="M78" s="168"/>
      <c r="N78" s="173"/>
      <c r="O78" s="141"/>
      <c r="P78" s="140"/>
      <c r="Q78" s="142"/>
      <c r="R78" s="140"/>
      <c r="S78" s="142"/>
      <c r="T78" s="140"/>
    </row>
    <row r="79" spans="3:20" ht="39.75" customHeight="1">
      <c r="C79" s="196">
        <v>76</v>
      </c>
      <c r="D79" s="127"/>
      <c r="E79" s="129"/>
      <c r="F79" s="128"/>
      <c r="G79" s="129"/>
      <c r="H79" s="129"/>
      <c r="I79" s="166"/>
      <c r="J79" s="180"/>
      <c r="K79" s="128"/>
      <c r="L79" s="127"/>
      <c r="M79" s="168"/>
      <c r="N79" s="173"/>
      <c r="O79" s="141"/>
      <c r="P79" s="140"/>
      <c r="Q79" s="142"/>
      <c r="R79" s="140"/>
      <c r="S79" s="142"/>
      <c r="T79" s="140"/>
    </row>
    <row r="80" spans="3:20" ht="39.75" customHeight="1">
      <c r="C80" s="196">
        <v>77</v>
      </c>
      <c r="D80" s="127"/>
      <c r="E80" s="129"/>
      <c r="F80" s="128"/>
      <c r="G80" s="129"/>
      <c r="H80" s="129"/>
      <c r="I80" s="166"/>
      <c r="J80" s="180"/>
      <c r="K80" s="128"/>
      <c r="L80" s="127"/>
      <c r="M80" s="168"/>
      <c r="N80" s="173"/>
      <c r="O80" s="141"/>
      <c r="P80" s="140"/>
      <c r="Q80" s="142"/>
      <c r="R80" s="140"/>
      <c r="S80" s="142"/>
      <c r="T80" s="140"/>
    </row>
    <row r="81" spans="3:20" ht="39.75" customHeight="1">
      <c r="C81" s="196">
        <v>78</v>
      </c>
      <c r="D81" s="127"/>
      <c r="E81" s="129"/>
      <c r="F81" s="128"/>
      <c r="G81" s="129"/>
      <c r="H81" s="129"/>
      <c r="I81" s="166"/>
      <c r="J81" s="180"/>
      <c r="K81" s="128"/>
      <c r="L81" s="127"/>
      <c r="M81" s="168"/>
      <c r="N81" s="173"/>
      <c r="O81" s="141"/>
      <c r="P81" s="140"/>
      <c r="Q81" s="142"/>
      <c r="R81" s="140"/>
      <c r="S81" s="142"/>
      <c r="T81" s="140"/>
    </row>
    <row r="82" spans="3:20" ht="39.75" customHeight="1">
      <c r="C82" s="196">
        <v>79</v>
      </c>
      <c r="D82" s="127"/>
      <c r="E82" s="129"/>
      <c r="F82" s="128"/>
      <c r="G82" s="129"/>
      <c r="H82" s="129"/>
      <c r="I82" s="166"/>
      <c r="J82" s="180"/>
      <c r="K82" s="128"/>
      <c r="L82" s="127"/>
      <c r="M82" s="168"/>
      <c r="N82" s="173"/>
      <c r="O82" s="141"/>
      <c r="P82" s="140"/>
      <c r="Q82" s="142"/>
      <c r="R82" s="140"/>
      <c r="S82" s="142"/>
      <c r="T82" s="140"/>
    </row>
    <row r="83" spans="3:20" ht="39.75" customHeight="1">
      <c r="C83" s="196">
        <v>80</v>
      </c>
      <c r="D83" s="127"/>
      <c r="E83" s="129"/>
      <c r="F83" s="128"/>
      <c r="G83" s="129"/>
      <c r="H83" s="129"/>
      <c r="I83" s="166"/>
      <c r="J83" s="180"/>
      <c r="K83" s="128"/>
      <c r="L83" s="127"/>
      <c r="M83" s="168"/>
      <c r="N83" s="173"/>
      <c r="O83" s="141"/>
      <c r="P83" s="140"/>
      <c r="Q83" s="142"/>
      <c r="R83" s="140"/>
      <c r="S83" s="142"/>
      <c r="T83" s="140"/>
    </row>
    <row r="84" spans="3:20" ht="39.75" customHeight="1">
      <c r="C84" s="196">
        <v>81</v>
      </c>
      <c r="D84" s="127"/>
      <c r="E84" s="129"/>
      <c r="F84" s="128"/>
      <c r="G84" s="129"/>
      <c r="H84" s="129"/>
      <c r="I84" s="166"/>
      <c r="J84" s="180"/>
      <c r="K84" s="128"/>
      <c r="L84" s="127"/>
      <c r="M84" s="168"/>
      <c r="N84" s="173"/>
      <c r="O84" s="141"/>
      <c r="P84" s="140"/>
      <c r="Q84" s="142"/>
      <c r="R84" s="140"/>
      <c r="S84" s="142"/>
      <c r="T84" s="140"/>
    </row>
    <row r="85" spans="3:20" ht="39.75" customHeight="1">
      <c r="C85" s="196">
        <v>82</v>
      </c>
      <c r="D85" s="127"/>
      <c r="E85" s="129"/>
      <c r="F85" s="128"/>
      <c r="G85" s="129"/>
      <c r="H85" s="129"/>
      <c r="I85" s="166"/>
      <c r="J85" s="180"/>
      <c r="K85" s="128"/>
      <c r="L85" s="127"/>
      <c r="M85" s="168"/>
      <c r="N85" s="173"/>
      <c r="O85" s="141"/>
      <c r="P85" s="140"/>
      <c r="Q85" s="142"/>
      <c r="R85" s="140"/>
      <c r="S85" s="142"/>
      <c r="T85" s="140"/>
    </row>
    <row r="86" spans="3:20" ht="39.75" customHeight="1">
      <c r="C86" s="196">
        <v>83</v>
      </c>
      <c r="D86" s="127"/>
      <c r="E86" s="129"/>
      <c r="F86" s="128"/>
      <c r="G86" s="129"/>
      <c r="H86" s="129"/>
      <c r="I86" s="166"/>
      <c r="J86" s="180"/>
      <c r="K86" s="128"/>
      <c r="L86" s="127"/>
      <c r="M86" s="168"/>
      <c r="N86" s="173"/>
      <c r="O86" s="141"/>
      <c r="P86" s="140"/>
      <c r="Q86" s="142"/>
      <c r="R86" s="140"/>
      <c r="S86" s="142"/>
      <c r="T86" s="140"/>
    </row>
    <row r="87" spans="3:20" ht="39.75" customHeight="1">
      <c r="C87" s="196">
        <v>84</v>
      </c>
      <c r="D87" s="127"/>
      <c r="E87" s="129"/>
      <c r="F87" s="128"/>
      <c r="G87" s="129"/>
      <c r="H87" s="129"/>
      <c r="I87" s="166"/>
      <c r="J87" s="180"/>
      <c r="K87" s="128"/>
      <c r="L87" s="127"/>
      <c r="M87" s="168"/>
      <c r="N87" s="173"/>
      <c r="O87" s="141"/>
      <c r="P87" s="140"/>
      <c r="Q87" s="142"/>
      <c r="R87" s="140"/>
      <c r="S87" s="142"/>
      <c r="T87" s="140"/>
    </row>
    <row r="88" spans="3:20" ht="39.75" customHeight="1">
      <c r="C88" s="196">
        <v>85</v>
      </c>
      <c r="D88" s="127"/>
      <c r="E88" s="129"/>
      <c r="F88" s="128"/>
      <c r="G88" s="129"/>
      <c r="H88" s="129"/>
      <c r="I88" s="166"/>
      <c r="J88" s="180"/>
      <c r="K88" s="128"/>
      <c r="L88" s="127"/>
      <c r="M88" s="168"/>
      <c r="N88" s="173"/>
      <c r="O88" s="141"/>
      <c r="P88" s="140"/>
      <c r="Q88" s="142"/>
      <c r="R88" s="140"/>
      <c r="S88" s="142"/>
      <c r="T88" s="140"/>
    </row>
    <row r="89" spans="3:20" ht="39.75" customHeight="1">
      <c r="C89" s="196">
        <v>86</v>
      </c>
      <c r="D89" s="127"/>
      <c r="E89" s="129"/>
      <c r="F89" s="128"/>
      <c r="G89" s="129"/>
      <c r="H89" s="129"/>
      <c r="I89" s="166"/>
      <c r="J89" s="180"/>
      <c r="K89" s="128"/>
      <c r="L89" s="127"/>
      <c r="M89" s="168"/>
      <c r="N89" s="173"/>
      <c r="O89" s="141"/>
      <c r="P89" s="140"/>
      <c r="Q89" s="142"/>
      <c r="R89" s="140"/>
      <c r="S89" s="142"/>
      <c r="T89" s="140"/>
    </row>
    <row r="90" spans="3:20" ht="39.75" customHeight="1">
      <c r="C90" s="196">
        <v>87</v>
      </c>
      <c r="D90" s="127"/>
      <c r="E90" s="129"/>
      <c r="F90" s="128"/>
      <c r="G90" s="129"/>
      <c r="H90" s="129"/>
      <c r="I90" s="166"/>
      <c r="J90" s="180"/>
      <c r="K90" s="128"/>
      <c r="L90" s="127"/>
      <c r="M90" s="168"/>
      <c r="N90" s="173"/>
      <c r="O90" s="141"/>
      <c r="P90" s="140"/>
      <c r="Q90" s="142"/>
      <c r="R90" s="140"/>
      <c r="S90" s="142"/>
      <c r="T90" s="140"/>
    </row>
    <row r="91" spans="3:20" ht="39.75" customHeight="1">
      <c r="C91" s="196">
        <v>88</v>
      </c>
      <c r="D91" s="127"/>
      <c r="E91" s="129"/>
      <c r="F91" s="128"/>
      <c r="G91" s="129"/>
      <c r="H91" s="129"/>
      <c r="I91" s="166"/>
      <c r="J91" s="180"/>
      <c r="K91" s="128"/>
      <c r="L91" s="127"/>
      <c r="M91" s="168"/>
      <c r="N91" s="173"/>
      <c r="O91" s="141"/>
      <c r="P91" s="140"/>
      <c r="Q91" s="142"/>
      <c r="R91" s="140"/>
      <c r="S91" s="142"/>
      <c r="T91" s="140"/>
    </row>
    <row r="92" spans="3:20" ht="39.75" customHeight="1">
      <c r="C92" s="196">
        <v>89</v>
      </c>
      <c r="D92" s="127"/>
      <c r="E92" s="129"/>
      <c r="F92" s="128"/>
      <c r="G92" s="129"/>
      <c r="H92" s="129"/>
      <c r="I92" s="166"/>
      <c r="J92" s="180"/>
      <c r="K92" s="128"/>
      <c r="L92" s="127"/>
      <c r="M92" s="168"/>
      <c r="N92" s="173"/>
      <c r="O92" s="141"/>
      <c r="P92" s="140"/>
      <c r="Q92" s="142"/>
      <c r="R92" s="140"/>
      <c r="S92" s="142"/>
      <c r="T92" s="140"/>
    </row>
    <row r="93" spans="3:20" ht="39.75" customHeight="1">
      <c r="C93" s="196">
        <v>90</v>
      </c>
      <c r="D93" s="127"/>
      <c r="E93" s="129"/>
      <c r="F93" s="128"/>
      <c r="G93" s="129"/>
      <c r="H93" s="129"/>
      <c r="I93" s="166"/>
      <c r="J93" s="180"/>
      <c r="K93" s="128"/>
      <c r="L93" s="127"/>
      <c r="M93" s="168"/>
      <c r="N93" s="173"/>
      <c r="O93" s="141"/>
      <c r="P93" s="140"/>
      <c r="Q93" s="142"/>
      <c r="R93" s="140"/>
      <c r="S93" s="142"/>
      <c r="T93" s="140"/>
    </row>
    <row r="94" spans="3:20" ht="39.75" customHeight="1">
      <c r="C94" s="196">
        <v>91</v>
      </c>
      <c r="D94" s="127"/>
      <c r="E94" s="129"/>
      <c r="F94" s="128"/>
      <c r="G94" s="129"/>
      <c r="H94" s="129"/>
      <c r="I94" s="166"/>
      <c r="J94" s="180"/>
      <c r="K94" s="128"/>
      <c r="L94" s="127"/>
      <c r="M94" s="168"/>
      <c r="N94" s="173"/>
      <c r="O94" s="141"/>
      <c r="P94" s="140"/>
      <c r="Q94" s="142"/>
      <c r="R94" s="140"/>
      <c r="S94" s="142"/>
      <c r="T94" s="140"/>
    </row>
    <row r="95" spans="3:20" ht="39.75" customHeight="1">
      <c r="C95" s="196">
        <v>92</v>
      </c>
      <c r="D95" s="127"/>
      <c r="E95" s="129"/>
      <c r="F95" s="128"/>
      <c r="G95" s="129"/>
      <c r="H95" s="129"/>
      <c r="I95" s="166"/>
      <c r="J95" s="180"/>
      <c r="K95" s="128"/>
      <c r="L95" s="127"/>
      <c r="M95" s="168"/>
      <c r="N95" s="173"/>
      <c r="O95" s="141"/>
      <c r="P95" s="140"/>
      <c r="Q95" s="142"/>
      <c r="R95" s="140"/>
      <c r="S95" s="142"/>
      <c r="T95" s="140"/>
    </row>
    <row r="96" spans="3:20" ht="39.75" customHeight="1">
      <c r="C96" s="196">
        <v>93</v>
      </c>
      <c r="D96" s="127"/>
      <c r="E96" s="129"/>
      <c r="F96" s="128"/>
      <c r="G96" s="129"/>
      <c r="H96" s="129"/>
      <c r="I96" s="166"/>
      <c r="J96" s="180"/>
      <c r="K96" s="128"/>
      <c r="L96" s="127"/>
      <c r="M96" s="168"/>
      <c r="N96" s="173"/>
      <c r="O96" s="141"/>
      <c r="P96" s="140"/>
      <c r="Q96" s="142"/>
      <c r="R96" s="140"/>
      <c r="S96" s="142"/>
      <c r="T96" s="140"/>
    </row>
    <row r="97" spans="3:20" ht="39.75" customHeight="1">
      <c r="C97" s="196">
        <v>94</v>
      </c>
      <c r="D97" s="127"/>
      <c r="E97" s="129"/>
      <c r="F97" s="128"/>
      <c r="G97" s="129"/>
      <c r="H97" s="129"/>
      <c r="I97" s="166"/>
      <c r="J97" s="180"/>
      <c r="K97" s="128"/>
      <c r="L97" s="127"/>
      <c r="M97" s="168"/>
      <c r="N97" s="173"/>
      <c r="O97" s="141"/>
      <c r="P97" s="140"/>
      <c r="Q97" s="142"/>
      <c r="R97" s="140"/>
      <c r="S97" s="142"/>
      <c r="T97" s="140"/>
    </row>
    <row r="98" spans="3:20" ht="39.75" customHeight="1">
      <c r="C98" s="196">
        <v>95</v>
      </c>
      <c r="D98" s="127"/>
      <c r="E98" s="129"/>
      <c r="F98" s="128"/>
      <c r="G98" s="129"/>
      <c r="H98" s="129"/>
      <c r="I98" s="166"/>
      <c r="J98" s="180"/>
      <c r="K98" s="128"/>
      <c r="L98" s="127"/>
      <c r="M98" s="168"/>
      <c r="N98" s="173"/>
      <c r="O98" s="141"/>
      <c r="P98" s="140"/>
      <c r="Q98" s="142"/>
      <c r="R98" s="140"/>
      <c r="S98" s="142"/>
      <c r="T98" s="140"/>
    </row>
    <row r="99" spans="3:20" ht="39.75" customHeight="1">
      <c r="C99" s="196">
        <v>96</v>
      </c>
      <c r="D99" s="127"/>
      <c r="E99" s="129"/>
      <c r="F99" s="128"/>
      <c r="G99" s="129"/>
      <c r="H99" s="129"/>
      <c r="I99" s="166"/>
      <c r="J99" s="180"/>
      <c r="K99" s="128"/>
      <c r="L99" s="127"/>
      <c r="M99" s="168"/>
      <c r="N99" s="173"/>
      <c r="O99" s="141"/>
      <c r="P99" s="140"/>
      <c r="Q99" s="142"/>
      <c r="R99" s="140"/>
      <c r="S99" s="142"/>
      <c r="T99" s="140"/>
    </row>
    <row r="100" spans="3:20" ht="39.75" customHeight="1">
      <c r="C100" s="196">
        <v>97</v>
      </c>
      <c r="D100" s="127"/>
      <c r="E100" s="129"/>
      <c r="F100" s="128"/>
      <c r="G100" s="129"/>
      <c r="H100" s="129"/>
      <c r="I100" s="166"/>
      <c r="J100" s="180"/>
      <c r="K100" s="128"/>
      <c r="L100" s="127"/>
      <c r="M100" s="168"/>
      <c r="N100" s="173"/>
      <c r="O100" s="141"/>
      <c r="P100" s="140"/>
      <c r="Q100" s="142"/>
      <c r="R100" s="140"/>
      <c r="S100" s="142"/>
      <c r="T100" s="140"/>
    </row>
    <row r="101" spans="3:20" ht="39.75" customHeight="1">
      <c r="C101" s="196">
        <v>98</v>
      </c>
      <c r="D101" s="127"/>
      <c r="E101" s="129"/>
      <c r="F101" s="128"/>
      <c r="G101" s="129"/>
      <c r="H101" s="129"/>
      <c r="I101" s="166"/>
      <c r="J101" s="180"/>
      <c r="K101" s="128"/>
      <c r="L101" s="127"/>
      <c r="M101" s="168"/>
      <c r="N101" s="173"/>
      <c r="O101" s="141"/>
      <c r="P101" s="140"/>
      <c r="Q101" s="142"/>
      <c r="R101" s="140"/>
      <c r="S101" s="142"/>
      <c r="T101" s="140"/>
    </row>
    <row r="102" spans="3:20" ht="39.75" customHeight="1">
      <c r="C102" s="196">
        <v>99</v>
      </c>
      <c r="D102" s="127"/>
      <c r="E102" s="129"/>
      <c r="F102" s="128"/>
      <c r="G102" s="129"/>
      <c r="H102" s="129"/>
      <c r="I102" s="166"/>
      <c r="J102" s="180"/>
      <c r="K102" s="128"/>
      <c r="L102" s="127"/>
      <c r="M102" s="168"/>
      <c r="N102" s="173"/>
      <c r="O102" s="141"/>
      <c r="P102" s="140"/>
      <c r="Q102" s="142"/>
      <c r="R102" s="140"/>
      <c r="S102" s="142"/>
      <c r="T102" s="140"/>
    </row>
    <row r="103" spans="3:20" ht="39.75" customHeight="1">
      <c r="C103" s="196">
        <v>100</v>
      </c>
      <c r="D103" s="127"/>
      <c r="E103" s="129"/>
      <c r="F103" s="128"/>
      <c r="G103" s="129"/>
      <c r="H103" s="129"/>
      <c r="I103" s="166"/>
      <c r="J103" s="180"/>
      <c r="K103" s="128"/>
      <c r="L103" s="127"/>
      <c r="M103" s="168"/>
      <c r="N103" s="173"/>
      <c r="O103" s="141"/>
      <c r="P103" s="140"/>
      <c r="Q103" s="142"/>
      <c r="R103" s="140"/>
      <c r="S103" s="142"/>
      <c r="T103" s="140"/>
    </row>
    <row r="104" spans="3:20" ht="39.75" customHeight="1">
      <c r="C104" s="196">
        <v>101</v>
      </c>
      <c r="D104" s="127"/>
      <c r="E104" s="129"/>
      <c r="F104" s="128"/>
      <c r="G104" s="129"/>
      <c r="H104" s="129"/>
      <c r="I104" s="166"/>
      <c r="J104" s="180"/>
      <c r="K104" s="128"/>
      <c r="L104" s="127"/>
      <c r="M104" s="168"/>
      <c r="N104" s="173"/>
      <c r="O104" s="141"/>
      <c r="P104" s="140"/>
      <c r="Q104" s="142"/>
      <c r="R104" s="140"/>
      <c r="S104" s="142"/>
      <c r="T104" s="140"/>
    </row>
    <row r="105" spans="3:20" ht="39.75" customHeight="1">
      <c r="C105" s="196">
        <v>102</v>
      </c>
      <c r="D105" s="127"/>
      <c r="E105" s="129"/>
      <c r="F105" s="128"/>
      <c r="G105" s="129"/>
      <c r="H105" s="129"/>
      <c r="I105" s="166"/>
      <c r="J105" s="180"/>
      <c r="K105" s="128"/>
      <c r="L105" s="127"/>
      <c r="M105" s="168"/>
      <c r="N105" s="173"/>
      <c r="O105" s="141"/>
      <c r="P105" s="140"/>
      <c r="Q105" s="142"/>
      <c r="R105" s="140"/>
      <c r="S105" s="142"/>
      <c r="T105" s="140"/>
    </row>
    <row r="106" spans="3:20" ht="39.75" customHeight="1">
      <c r="C106" s="196">
        <v>103</v>
      </c>
      <c r="D106" s="127"/>
      <c r="E106" s="129"/>
      <c r="F106" s="128"/>
      <c r="G106" s="129"/>
      <c r="H106" s="129"/>
      <c r="I106" s="166"/>
      <c r="J106" s="180"/>
      <c r="K106" s="128"/>
      <c r="L106" s="127"/>
      <c r="M106" s="168"/>
      <c r="N106" s="173"/>
      <c r="O106" s="141"/>
      <c r="P106" s="140"/>
      <c r="Q106" s="142"/>
      <c r="R106" s="140"/>
      <c r="S106" s="142"/>
      <c r="T106" s="140"/>
    </row>
    <row r="107" spans="3:20" ht="39.75" customHeight="1">
      <c r="C107" s="196">
        <v>104</v>
      </c>
      <c r="D107" s="127"/>
      <c r="E107" s="129"/>
      <c r="F107" s="128"/>
      <c r="G107" s="129"/>
      <c r="H107" s="129"/>
      <c r="I107" s="166"/>
      <c r="J107" s="180"/>
      <c r="K107" s="128"/>
      <c r="L107" s="127"/>
      <c r="M107" s="168"/>
      <c r="N107" s="173"/>
      <c r="O107" s="141"/>
      <c r="P107" s="140"/>
      <c r="Q107" s="142"/>
      <c r="R107" s="140"/>
      <c r="S107" s="142"/>
      <c r="T107" s="140"/>
    </row>
    <row r="108" spans="3:20" ht="39.75" customHeight="1">
      <c r="C108" s="196">
        <v>105</v>
      </c>
      <c r="D108" s="127"/>
      <c r="E108" s="129"/>
      <c r="F108" s="128"/>
      <c r="G108" s="129"/>
      <c r="H108" s="129"/>
      <c r="I108" s="166"/>
      <c r="J108" s="180"/>
      <c r="K108" s="128"/>
      <c r="L108" s="127"/>
      <c r="M108" s="168"/>
      <c r="N108" s="173"/>
      <c r="O108" s="141"/>
      <c r="P108" s="140"/>
      <c r="Q108" s="142"/>
      <c r="R108" s="140"/>
      <c r="S108" s="142"/>
      <c r="T108" s="140"/>
    </row>
    <row r="109" spans="3:20" ht="39.75" customHeight="1">
      <c r="C109" s="196">
        <v>106</v>
      </c>
      <c r="D109" s="127"/>
      <c r="E109" s="129"/>
      <c r="F109" s="128"/>
      <c r="G109" s="129"/>
      <c r="H109" s="129"/>
      <c r="I109" s="166"/>
      <c r="J109" s="180"/>
      <c r="K109" s="128"/>
      <c r="L109" s="127"/>
      <c r="M109" s="168"/>
      <c r="N109" s="173"/>
      <c r="O109" s="141"/>
      <c r="P109" s="140"/>
      <c r="Q109" s="142"/>
      <c r="R109" s="140"/>
      <c r="S109" s="142"/>
      <c r="T109" s="140"/>
    </row>
    <row r="110" spans="3:20" ht="39.75" customHeight="1">
      <c r="C110" s="196">
        <v>107</v>
      </c>
      <c r="D110" s="127"/>
      <c r="E110" s="129"/>
      <c r="F110" s="128"/>
      <c r="G110" s="129"/>
      <c r="H110" s="129"/>
      <c r="I110" s="166"/>
      <c r="J110" s="180"/>
      <c r="K110" s="128"/>
      <c r="L110" s="127"/>
      <c r="M110" s="168"/>
      <c r="N110" s="173"/>
      <c r="O110" s="141"/>
      <c r="P110" s="140"/>
      <c r="Q110" s="142"/>
      <c r="R110" s="140"/>
      <c r="S110" s="142"/>
      <c r="T110" s="140"/>
    </row>
    <row r="111" spans="3:20" ht="39.75" customHeight="1">
      <c r="C111" s="196">
        <v>108</v>
      </c>
      <c r="D111" s="127"/>
      <c r="E111" s="129"/>
      <c r="F111" s="128"/>
      <c r="G111" s="129"/>
      <c r="H111" s="129"/>
      <c r="I111" s="166"/>
      <c r="J111" s="180"/>
      <c r="K111" s="128"/>
      <c r="L111" s="127"/>
      <c r="M111" s="168"/>
      <c r="N111" s="173"/>
      <c r="O111" s="141"/>
      <c r="P111" s="140"/>
      <c r="Q111" s="142"/>
      <c r="R111" s="140"/>
      <c r="S111" s="142"/>
      <c r="T111" s="140"/>
    </row>
    <row r="112" spans="3:20" ht="39.75" customHeight="1">
      <c r="C112" s="196">
        <v>109</v>
      </c>
      <c r="D112" s="127"/>
      <c r="E112" s="129"/>
      <c r="F112" s="128"/>
      <c r="G112" s="129"/>
      <c r="H112" s="129"/>
      <c r="I112" s="166"/>
      <c r="J112" s="180"/>
      <c r="K112" s="128"/>
      <c r="L112" s="127"/>
      <c r="M112" s="168"/>
      <c r="N112" s="173"/>
      <c r="O112" s="141"/>
      <c r="P112" s="140"/>
      <c r="Q112" s="142"/>
      <c r="R112" s="140"/>
      <c r="S112" s="142"/>
      <c r="T112" s="140"/>
    </row>
    <row r="113" spans="3:20" ht="39.75" customHeight="1">
      <c r="C113" s="196">
        <v>110</v>
      </c>
      <c r="D113" s="127"/>
      <c r="E113" s="129"/>
      <c r="F113" s="128"/>
      <c r="G113" s="129"/>
      <c r="H113" s="129"/>
      <c r="I113" s="166"/>
      <c r="J113" s="180"/>
      <c r="K113" s="128"/>
      <c r="L113" s="127"/>
      <c r="M113" s="168"/>
      <c r="N113" s="173"/>
      <c r="O113" s="141"/>
      <c r="P113" s="140"/>
      <c r="Q113" s="142"/>
      <c r="R113" s="140"/>
      <c r="S113" s="142"/>
      <c r="T113" s="140"/>
    </row>
    <row r="114" spans="3:20" ht="39.75" customHeight="1">
      <c r="C114" s="196">
        <v>111</v>
      </c>
      <c r="D114" s="127"/>
      <c r="E114" s="129"/>
      <c r="F114" s="128"/>
      <c r="G114" s="129"/>
      <c r="H114" s="129"/>
      <c r="I114" s="166"/>
      <c r="J114" s="180"/>
      <c r="K114" s="128"/>
      <c r="L114" s="127"/>
      <c r="M114" s="168"/>
      <c r="N114" s="173"/>
      <c r="O114" s="141"/>
      <c r="P114" s="140"/>
      <c r="Q114" s="142"/>
      <c r="R114" s="140"/>
      <c r="S114" s="142"/>
      <c r="T114" s="140"/>
    </row>
    <row r="115" spans="3:20" ht="39.75" customHeight="1">
      <c r="C115" s="196">
        <v>112</v>
      </c>
      <c r="D115" s="127"/>
      <c r="E115" s="129"/>
      <c r="F115" s="128"/>
      <c r="G115" s="129"/>
      <c r="H115" s="129"/>
      <c r="I115" s="166"/>
      <c r="J115" s="180"/>
      <c r="K115" s="128"/>
      <c r="L115" s="127"/>
      <c r="M115" s="168"/>
      <c r="N115" s="173"/>
      <c r="O115" s="141"/>
      <c r="P115" s="140"/>
      <c r="Q115" s="142"/>
      <c r="R115" s="140"/>
      <c r="S115" s="142"/>
      <c r="T115" s="140"/>
    </row>
    <row r="116" spans="3:20" ht="39.75" customHeight="1">
      <c r="C116" s="196">
        <v>113</v>
      </c>
      <c r="D116" s="127"/>
      <c r="E116" s="129"/>
      <c r="F116" s="128"/>
      <c r="G116" s="129"/>
      <c r="H116" s="129"/>
      <c r="I116" s="166"/>
      <c r="J116" s="180"/>
      <c r="K116" s="128"/>
      <c r="L116" s="127"/>
      <c r="M116" s="168"/>
      <c r="N116" s="173"/>
      <c r="O116" s="141"/>
      <c r="P116" s="140"/>
      <c r="Q116" s="142"/>
      <c r="R116" s="140"/>
      <c r="S116" s="142"/>
      <c r="T116" s="140"/>
    </row>
    <row r="117" spans="3:20" ht="39.75" customHeight="1">
      <c r="C117" s="196">
        <v>114</v>
      </c>
      <c r="D117" s="127"/>
      <c r="E117" s="129"/>
      <c r="F117" s="128"/>
      <c r="G117" s="129"/>
      <c r="H117" s="129"/>
      <c r="I117" s="166"/>
      <c r="J117" s="180"/>
      <c r="K117" s="128"/>
      <c r="L117" s="127"/>
      <c r="M117" s="168"/>
      <c r="N117" s="173"/>
      <c r="O117" s="141"/>
      <c r="P117" s="140"/>
      <c r="Q117" s="142"/>
      <c r="R117" s="140"/>
      <c r="S117" s="142"/>
      <c r="T117" s="140"/>
    </row>
    <row r="118" spans="3:20" ht="39.75" customHeight="1">
      <c r="C118" s="196">
        <v>115</v>
      </c>
      <c r="D118" s="127"/>
      <c r="E118" s="129"/>
      <c r="F118" s="128"/>
      <c r="G118" s="129"/>
      <c r="H118" s="129"/>
      <c r="I118" s="166"/>
      <c r="J118" s="180"/>
      <c r="K118" s="128"/>
      <c r="L118" s="127"/>
      <c r="M118" s="168"/>
      <c r="N118" s="173"/>
      <c r="O118" s="141"/>
      <c r="P118" s="140"/>
      <c r="Q118" s="142"/>
      <c r="R118" s="140"/>
      <c r="S118" s="142"/>
      <c r="T118" s="140"/>
    </row>
    <row r="119" spans="3:20" ht="39.75" customHeight="1">
      <c r="C119" s="196">
        <v>116</v>
      </c>
      <c r="D119" s="127"/>
      <c r="E119" s="129"/>
      <c r="F119" s="128"/>
      <c r="G119" s="129"/>
      <c r="H119" s="129"/>
      <c r="I119" s="166"/>
      <c r="J119" s="180"/>
      <c r="K119" s="128"/>
      <c r="L119" s="127"/>
      <c r="M119" s="168"/>
      <c r="N119" s="173"/>
      <c r="O119" s="141"/>
      <c r="P119" s="140"/>
      <c r="Q119" s="142"/>
      <c r="R119" s="140"/>
      <c r="S119" s="142"/>
      <c r="T119" s="140"/>
    </row>
    <row r="120" spans="3:20" ht="39.75" customHeight="1">
      <c r="C120" s="196">
        <v>117</v>
      </c>
      <c r="D120" s="127"/>
      <c r="E120" s="129"/>
      <c r="F120" s="128"/>
      <c r="G120" s="129"/>
      <c r="H120" s="129"/>
      <c r="I120" s="166"/>
      <c r="J120" s="180"/>
      <c r="K120" s="128"/>
      <c r="L120" s="127"/>
      <c r="M120" s="168"/>
      <c r="N120" s="173"/>
      <c r="O120" s="141"/>
      <c r="P120" s="140"/>
      <c r="Q120" s="142"/>
      <c r="R120" s="140"/>
      <c r="S120" s="142"/>
      <c r="T120" s="140"/>
    </row>
    <row r="121" spans="3:20" ht="39.75" customHeight="1">
      <c r="C121" s="196">
        <v>118</v>
      </c>
      <c r="D121" s="127"/>
      <c r="E121" s="129"/>
      <c r="F121" s="128"/>
      <c r="G121" s="129"/>
      <c r="H121" s="129"/>
      <c r="I121" s="166"/>
      <c r="J121" s="180"/>
      <c r="K121" s="128"/>
      <c r="L121" s="127"/>
      <c r="M121" s="168"/>
      <c r="N121" s="173"/>
      <c r="O121" s="141"/>
      <c r="P121" s="140"/>
      <c r="Q121" s="142"/>
      <c r="R121" s="140"/>
      <c r="S121" s="142"/>
      <c r="T121" s="140"/>
    </row>
    <row r="122" spans="3:20" ht="39.75" customHeight="1">
      <c r="C122" s="196">
        <v>119</v>
      </c>
      <c r="D122" s="127"/>
      <c r="E122" s="129"/>
      <c r="F122" s="128"/>
      <c r="G122" s="129"/>
      <c r="H122" s="129"/>
      <c r="I122" s="166"/>
      <c r="J122" s="180"/>
      <c r="K122" s="128"/>
      <c r="L122" s="127"/>
      <c r="M122" s="168"/>
      <c r="N122" s="173"/>
      <c r="O122" s="141"/>
      <c r="P122" s="140"/>
      <c r="Q122" s="142"/>
      <c r="R122" s="140"/>
      <c r="S122" s="142"/>
      <c r="T122" s="140"/>
    </row>
    <row r="123" spans="3:20" ht="39.75" customHeight="1">
      <c r="C123" s="196">
        <v>120</v>
      </c>
      <c r="D123" s="127"/>
      <c r="E123" s="129"/>
      <c r="F123" s="128"/>
      <c r="G123" s="129"/>
      <c r="H123" s="129"/>
      <c r="I123" s="166"/>
      <c r="J123" s="180"/>
      <c r="K123" s="128"/>
      <c r="L123" s="127"/>
      <c r="M123" s="168"/>
      <c r="N123" s="173"/>
      <c r="O123" s="141"/>
      <c r="P123" s="140"/>
      <c r="Q123" s="142"/>
      <c r="R123" s="140"/>
      <c r="S123" s="142"/>
      <c r="T123" s="140"/>
    </row>
    <row r="124" spans="3:20" ht="39.75" customHeight="1">
      <c r="C124" s="196">
        <v>121</v>
      </c>
      <c r="D124" s="127"/>
      <c r="E124" s="129"/>
      <c r="F124" s="128"/>
      <c r="G124" s="129"/>
      <c r="H124" s="129"/>
      <c r="I124" s="166"/>
      <c r="J124" s="180"/>
      <c r="K124" s="128"/>
      <c r="L124" s="127"/>
      <c r="M124" s="168"/>
      <c r="N124" s="173"/>
      <c r="O124" s="141"/>
      <c r="P124" s="140"/>
      <c r="Q124" s="142"/>
      <c r="R124" s="140"/>
      <c r="S124" s="142"/>
      <c r="T124" s="140"/>
    </row>
    <row r="125" spans="3:20" ht="39.75" customHeight="1">
      <c r="C125" s="196">
        <v>122</v>
      </c>
      <c r="D125" s="127"/>
      <c r="E125" s="129"/>
      <c r="F125" s="128"/>
      <c r="G125" s="129"/>
      <c r="H125" s="129"/>
      <c r="I125" s="166"/>
      <c r="J125" s="180"/>
      <c r="K125" s="128"/>
      <c r="L125" s="127"/>
      <c r="M125" s="168"/>
      <c r="N125" s="173"/>
      <c r="O125" s="141"/>
      <c r="P125" s="140"/>
      <c r="Q125" s="142"/>
      <c r="R125" s="140"/>
      <c r="S125" s="142"/>
      <c r="T125" s="140"/>
    </row>
    <row r="126" spans="3:20" ht="39.75" customHeight="1">
      <c r="C126" s="196">
        <v>123</v>
      </c>
      <c r="D126" s="127"/>
      <c r="E126" s="129"/>
      <c r="F126" s="128"/>
      <c r="G126" s="129"/>
      <c r="H126" s="129"/>
      <c r="I126" s="166"/>
      <c r="J126" s="180"/>
      <c r="K126" s="128"/>
      <c r="L126" s="127"/>
      <c r="M126" s="168"/>
      <c r="N126" s="173"/>
      <c r="O126" s="141"/>
      <c r="P126" s="140"/>
      <c r="Q126" s="142"/>
      <c r="R126" s="140"/>
      <c r="S126" s="142"/>
      <c r="T126" s="140"/>
    </row>
    <row r="127" spans="3:20" ht="39.75" customHeight="1">
      <c r="C127" s="196">
        <v>124</v>
      </c>
      <c r="D127" s="127"/>
      <c r="E127" s="129"/>
      <c r="F127" s="128"/>
      <c r="G127" s="129"/>
      <c r="H127" s="129"/>
      <c r="I127" s="166"/>
      <c r="J127" s="180"/>
      <c r="K127" s="128"/>
      <c r="L127" s="127"/>
      <c r="M127" s="168"/>
      <c r="N127" s="173"/>
      <c r="O127" s="141"/>
      <c r="P127" s="140"/>
      <c r="Q127" s="142"/>
      <c r="R127" s="140"/>
      <c r="S127" s="142"/>
      <c r="T127" s="140"/>
    </row>
    <row r="128" spans="3:20" ht="39.75" customHeight="1">
      <c r="C128" s="196">
        <v>125</v>
      </c>
      <c r="D128" s="127"/>
      <c r="E128" s="129"/>
      <c r="F128" s="128"/>
      <c r="G128" s="129"/>
      <c r="H128" s="129"/>
      <c r="I128" s="166"/>
      <c r="J128" s="180"/>
      <c r="K128" s="128"/>
      <c r="L128" s="127"/>
      <c r="M128" s="168"/>
      <c r="N128" s="173"/>
      <c r="O128" s="141"/>
      <c r="P128" s="140"/>
      <c r="Q128" s="142"/>
      <c r="R128" s="140"/>
      <c r="S128" s="142"/>
      <c r="T128" s="140"/>
    </row>
    <row r="129" spans="3:20" ht="39.75" customHeight="1">
      <c r="C129" s="196">
        <v>126</v>
      </c>
      <c r="D129" s="127"/>
      <c r="E129" s="129"/>
      <c r="F129" s="128"/>
      <c r="G129" s="129"/>
      <c r="H129" s="129"/>
      <c r="I129" s="166"/>
      <c r="J129" s="180"/>
      <c r="K129" s="128"/>
      <c r="L129" s="127"/>
      <c r="M129" s="168"/>
      <c r="N129" s="173"/>
      <c r="O129" s="141"/>
      <c r="P129" s="140"/>
      <c r="Q129" s="142"/>
      <c r="R129" s="140"/>
      <c r="S129" s="142"/>
      <c r="T129" s="140"/>
    </row>
    <row r="130" spans="3:20" ht="39.75" customHeight="1">
      <c r="C130" s="196">
        <v>127</v>
      </c>
      <c r="D130" s="127"/>
      <c r="E130" s="129"/>
      <c r="F130" s="128"/>
      <c r="G130" s="129"/>
      <c r="H130" s="129"/>
      <c r="I130" s="166"/>
      <c r="J130" s="180"/>
      <c r="K130" s="128"/>
      <c r="L130" s="127"/>
      <c r="M130" s="168"/>
      <c r="N130" s="173"/>
      <c r="O130" s="141"/>
      <c r="P130" s="140"/>
      <c r="Q130" s="142"/>
      <c r="R130" s="140"/>
      <c r="S130" s="142"/>
      <c r="T130" s="140"/>
    </row>
    <row r="131" spans="3:20" ht="39.75" customHeight="1">
      <c r="C131" s="196">
        <v>128</v>
      </c>
      <c r="D131" s="127"/>
      <c r="E131" s="129"/>
      <c r="F131" s="128"/>
      <c r="G131" s="129"/>
      <c r="H131" s="129"/>
      <c r="I131" s="166"/>
      <c r="J131" s="180"/>
      <c r="K131" s="128"/>
      <c r="L131" s="127"/>
      <c r="M131" s="168"/>
      <c r="N131" s="173"/>
      <c r="O131" s="141"/>
      <c r="P131" s="140"/>
      <c r="Q131" s="142"/>
      <c r="R131" s="140"/>
      <c r="S131" s="142"/>
      <c r="T131" s="140"/>
    </row>
    <row r="132" spans="3:20" ht="39.75" customHeight="1">
      <c r="C132" s="196">
        <v>129</v>
      </c>
      <c r="D132" s="127"/>
      <c r="E132" s="129"/>
      <c r="F132" s="128"/>
      <c r="G132" s="129"/>
      <c r="H132" s="129"/>
      <c r="I132" s="166"/>
      <c r="J132" s="180"/>
      <c r="K132" s="128"/>
      <c r="L132" s="127"/>
      <c r="M132" s="168"/>
      <c r="N132" s="173"/>
      <c r="O132" s="141"/>
      <c r="P132" s="140"/>
      <c r="Q132" s="142"/>
      <c r="R132" s="140"/>
      <c r="S132" s="142"/>
      <c r="T132" s="140"/>
    </row>
    <row r="133" spans="3:20" ht="39.75" customHeight="1">
      <c r="C133" s="196">
        <v>130</v>
      </c>
      <c r="D133" s="127"/>
      <c r="E133" s="129"/>
      <c r="F133" s="128"/>
      <c r="G133" s="129"/>
      <c r="H133" s="129"/>
      <c r="I133" s="166"/>
      <c r="J133" s="180"/>
      <c r="K133" s="128"/>
      <c r="L133" s="127"/>
      <c r="M133" s="168"/>
      <c r="N133" s="173"/>
      <c r="O133" s="141"/>
      <c r="P133" s="140"/>
      <c r="Q133" s="142"/>
      <c r="R133" s="140"/>
      <c r="S133" s="142"/>
      <c r="T133" s="140"/>
    </row>
    <row r="134" spans="3:20" ht="39.75" customHeight="1">
      <c r="C134" s="196">
        <v>131</v>
      </c>
      <c r="D134" s="127"/>
      <c r="E134" s="129"/>
      <c r="F134" s="128"/>
      <c r="G134" s="129"/>
      <c r="H134" s="129"/>
      <c r="I134" s="166"/>
      <c r="J134" s="180"/>
      <c r="K134" s="128"/>
      <c r="L134" s="127"/>
      <c r="M134" s="168"/>
      <c r="N134" s="173"/>
      <c r="O134" s="141"/>
      <c r="P134" s="140"/>
      <c r="Q134" s="142"/>
      <c r="R134" s="140"/>
      <c r="S134" s="142"/>
      <c r="T134" s="140"/>
    </row>
    <row r="135" spans="3:20" ht="39.75" customHeight="1">
      <c r="C135" s="196">
        <v>132</v>
      </c>
      <c r="D135" s="127"/>
      <c r="E135" s="129"/>
      <c r="F135" s="128"/>
      <c r="G135" s="129"/>
      <c r="H135" s="129"/>
      <c r="I135" s="166"/>
      <c r="J135" s="180"/>
      <c r="K135" s="128"/>
      <c r="L135" s="127"/>
      <c r="M135" s="168"/>
      <c r="N135" s="173"/>
      <c r="O135" s="141"/>
      <c r="P135" s="140"/>
      <c r="Q135" s="142"/>
      <c r="R135" s="140"/>
      <c r="S135" s="142"/>
      <c r="T135" s="140"/>
    </row>
    <row r="136" spans="3:20" ht="39.75" customHeight="1">
      <c r="C136" s="196">
        <v>133</v>
      </c>
      <c r="D136" s="127"/>
      <c r="E136" s="129"/>
      <c r="F136" s="128"/>
      <c r="G136" s="129"/>
      <c r="H136" s="129"/>
      <c r="I136" s="166"/>
      <c r="J136" s="180"/>
      <c r="K136" s="128"/>
      <c r="L136" s="127"/>
      <c r="M136" s="168"/>
      <c r="N136" s="173"/>
      <c r="O136" s="141"/>
      <c r="P136" s="140"/>
      <c r="Q136" s="142"/>
      <c r="R136" s="140"/>
      <c r="S136" s="142"/>
      <c r="T136" s="140"/>
    </row>
    <row r="137" spans="3:20" ht="39.75" customHeight="1">
      <c r="C137" s="196">
        <v>134</v>
      </c>
      <c r="D137" s="127"/>
      <c r="E137" s="129"/>
      <c r="F137" s="128"/>
      <c r="G137" s="129"/>
      <c r="H137" s="129"/>
      <c r="I137" s="166"/>
      <c r="J137" s="180"/>
      <c r="K137" s="128"/>
      <c r="L137" s="127"/>
      <c r="M137" s="168"/>
      <c r="N137" s="173"/>
      <c r="O137" s="141"/>
      <c r="P137" s="140"/>
      <c r="Q137" s="142"/>
      <c r="R137" s="140"/>
      <c r="S137" s="142"/>
      <c r="T137" s="140"/>
    </row>
    <row r="138" spans="3:20" ht="39.75" customHeight="1">
      <c r="C138" s="196">
        <v>135</v>
      </c>
      <c r="D138" s="127"/>
      <c r="E138" s="129"/>
      <c r="F138" s="128"/>
      <c r="G138" s="129"/>
      <c r="H138" s="129"/>
      <c r="I138" s="166"/>
      <c r="J138" s="180"/>
      <c r="K138" s="128"/>
      <c r="L138" s="127"/>
      <c r="M138" s="168"/>
      <c r="N138" s="173"/>
      <c r="O138" s="141"/>
      <c r="P138" s="140"/>
      <c r="Q138" s="142"/>
      <c r="R138" s="140"/>
      <c r="S138" s="142"/>
      <c r="T138" s="140"/>
    </row>
    <row r="139" spans="3:20" ht="39.75" customHeight="1">
      <c r="C139" s="196">
        <v>136</v>
      </c>
      <c r="D139" s="127"/>
      <c r="E139" s="129"/>
      <c r="F139" s="128"/>
      <c r="G139" s="129"/>
      <c r="H139" s="129"/>
      <c r="I139" s="166"/>
      <c r="J139" s="180"/>
      <c r="K139" s="128"/>
      <c r="L139" s="127"/>
      <c r="M139" s="168"/>
      <c r="N139" s="173"/>
      <c r="O139" s="141"/>
      <c r="P139" s="140"/>
      <c r="Q139" s="142"/>
      <c r="R139" s="140"/>
      <c r="S139" s="142"/>
      <c r="T139" s="140"/>
    </row>
    <row r="140" spans="3:20" ht="39.75" customHeight="1">
      <c r="C140" s="196">
        <v>137</v>
      </c>
      <c r="D140" s="127"/>
      <c r="E140" s="129"/>
      <c r="F140" s="128"/>
      <c r="G140" s="129"/>
      <c r="H140" s="129"/>
      <c r="I140" s="166"/>
      <c r="J140" s="180"/>
      <c r="K140" s="128"/>
      <c r="L140" s="127"/>
      <c r="M140" s="168"/>
      <c r="N140" s="173"/>
      <c r="O140" s="141"/>
      <c r="P140" s="140"/>
      <c r="Q140" s="142"/>
      <c r="R140" s="140"/>
      <c r="S140" s="142"/>
      <c r="T140" s="140"/>
    </row>
    <row r="141" spans="3:20" ht="39.75" customHeight="1">
      <c r="C141" s="196">
        <v>138</v>
      </c>
      <c r="D141" s="127"/>
      <c r="E141" s="129"/>
      <c r="F141" s="128"/>
      <c r="G141" s="129"/>
      <c r="H141" s="129"/>
      <c r="I141" s="166"/>
      <c r="J141" s="180"/>
      <c r="K141" s="128"/>
      <c r="L141" s="127"/>
      <c r="M141" s="168"/>
      <c r="N141" s="173"/>
      <c r="O141" s="141"/>
      <c r="P141" s="140"/>
      <c r="Q141" s="142"/>
      <c r="R141" s="140"/>
      <c r="S141" s="142"/>
      <c r="T141" s="140"/>
    </row>
    <row r="142" spans="3:20" ht="39.75" customHeight="1">
      <c r="C142" s="196">
        <v>139</v>
      </c>
      <c r="D142" s="127"/>
      <c r="E142" s="129"/>
      <c r="F142" s="128"/>
      <c r="G142" s="129"/>
      <c r="H142" s="129"/>
      <c r="I142" s="166"/>
      <c r="J142" s="180"/>
      <c r="K142" s="128"/>
      <c r="L142" s="127"/>
      <c r="M142" s="168"/>
      <c r="N142" s="173"/>
      <c r="O142" s="141"/>
      <c r="P142" s="140"/>
      <c r="Q142" s="142"/>
      <c r="R142" s="140"/>
      <c r="S142" s="142"/>
      <c r="T142" s="140"/>
    </row>
    <row r="143" spans="3:20" ht="39.75" customHeight="1">
      <c r="C143" s="196">
        <v>140</v>
      </c>
      <c r="D143" s="127"/>
      <c r="E143" s="129"/>
      <c r="F143" s="128"/>
      <c r="G143" s="129"/>
      <c r="H143" s="129"/>
      <c r="I143" s="166"/>
      <c r="J143" s="180"/>
      <c r="K143" s="128"/>
      <c r="L143" s="127"/>
      <c r="M143" s="168"/>
      <c r="N143" s="173"/>
      <c r="O143" s="141"/>
      <c r="P143" s="140"/>
      <c r="Q143" s="142"/>
      <c r="R143" s="140"/>
      <c r="S143" s="142"/>
      <c r="T143" s="140"/>
    </row>
    <row r="144" spans="3:20" ht="39.75" customHeight="1">
      <c r="C144" s="196">
        <v>141</v>
      </c>
      <c r="D144" s="127"/>
      <c r="E144" s="129"/>
      <c r="F144" s="128"/>
      <c r="G144" s="129"/>
      <c r="H144" s="129"/>
      <c r="I144" s="166"/>
      <c r="J144" s="180"/>
      <c r="K144" s="128"/>
      <c r="L144" s="127"/>
      <c r="M144" s="168"/>
      <c r="N144" s="173"/>
      <c r="O144" s="141"/>
      <c r="P144" s="140"/>
      <c r="Q144" s="142"/>
      <c r="R144" s="140"/>
      <c r="S144" s="142"/>
      <c r="T144" s="140"/>
    </row>
    <row r="145" spans="3:20" ht="39.75" customHeight="1">
      <c r="C145" s="196">
        <v>142</v>
      </c>
      <c r="D145" s="127"/>
      <c r="E145" s="129"/>
      <c r="F145" s="128"/>
      <c r="G145" s="129"/>
      <c r="H145" s="129"/>
      <c r="I145" s="166"/>
      <c r="J145" s="180"/>
      <c r="K145" s="128"/>
      <c r="L145" s="127"/>
      <c r="M145" s="168"/>
      <c r="N145" s="173"/>
      <c r="O145" s="141"/>
      <c r="P145" s="140"/>
      <c r="Q145" s="142"/>
      <c r="R145" s="140"/>
      <c r="S145" s="142"/>
      <c r="T145" s="140"/>
    </row>
    <row r="146" spans="3:20" ht="39.75" customHeight="1">
      <c r="C146" s="196">
        <v>143</v>
      </c>
      <c r="D146" s="127"/>
      <c r="E146" s="129"/>
      <c r="F146" s="128"/>
      <c r="G146" s="129"/>
      <c r="H146" s="129"/>
      <c r="I146" s="166"/>
      <c r="J146" s="180"/>
      <c r="K146" s="128"/>
      <c r="L146" s="127"/>
      <c r="M146" s="168"/>
      <c r="N146" s="173"/>
      <c r="O146" s="141"/>
      <c r="P146" s="140"/>
      <c r="Q146" s="142"/>
      <c r="R146" s="140"/>
      <c r="S146" s="142"/>
      <c r="T146" s="140"/>
    </row>
    <row r="147" spans="3:20" ht="39.75" customHeight="1">
      <c r="C147" s="196">
        <v>144</v>
      </c>
      <c r="D147" s="127"/>
      <c r="E147" s="129"/>
      <c r="F147" s="128"/>
      <c r="G147" s="129"/>
      <c r="H147" s="129"/>
      <c r="I147" s="166"/>
      <c r="J147" s="180"/>
      <c r="K147" s="128"/>
      <c r="L147" s="127"/>
      <c r="M147" s="168"/>
      <c r="N147" s="173"/>
      <c r="O147" s="141"/>
      <c r="P147" s="140"/>
      <c r="Q147" s="142"/>
      <c r="R147" s="140"/>
      <c r="S147" s="142"/>
      <c r="T147" s="140"/>
    </row>
    <row r="148" spans="3:20" ht="39.75" customHeight="1">
      <c r="C148" s="196">
        <v>145</v>
      </c>
      <c r="D148" s="127"/>
      <c r="E148" s="129"/>
      <c r="F148" s="128"/>
      <c r="G148" s="129"/>
      <c r="H148" s="129"/>
      <c r="I148" s="166"/>
      <c r="J148" s="180"/>
      <c r="K148" s="128"/>
      <c r="L148" s="127"/>
      <c r="M148" s="168"/>
      <c r="N148" s="173"/>
      <c r="O148" s="141"/>
      <c r="P148" s="140"/>
      <c r="Q148" s="142"/>
      <c r="R148" s="140"/>
      <c r="S148" s="142"/>
      <c r="T148" s="140"/>
    </row>
    <row r="149" spans="3:20" ht="39.75" customHeight="1">
      <c r="C149" s="196">
        <v>146</v>
      </c>
      <c r="D149" s="127"/>
      <c r="E149" s="129"/>
      <c r="F149" s="128"/>
      <c r="G149" s="129"/>
      <c r="H149" s="129"/>
      <c r="I149" s="166"/>
      <c r="J149" s="180"/>
      <c r="K149" s="128"/>
      <c r="L149" s="127"/>
      <c r="M149" s="168"/>
      <c r="N149" s="173"/>
      <c r="O149" s="141"/>
      <c r="P149" s="140"/>
      <c r="Q149" s="142"/>
      <c r="R149" s="140"/>
      <c r="S149" s="142"/>
      <c r="T149" s="140"/>
    </row>
    <row r="150" spans="3:20" ht="39.75" customHeight="1">
      <c r="C150" s="196">
        <v>147</v>
      </c>
      <c r="D150" s="127"/>
      <c r="E150" s="129"/>
      <c r="F150" s="128"/>
      <c r="G150" s="129"/>
      <c r="H150" s="129"/>
      <c r="I150" s="166"/>
      <c r="J150" s="180"/>
      <c r="K150" s="128"/>
      <c r="L150" s="127"/>
      <c r="M150" s="168"/>
      <c r="N150" s="173"/>
      <c r="O150" s="141"/>
      <c r="P150" s="140"/>
      <c r="Q150" s="142"/>
      <c r="R150" s="140"/>
      <c r="S150" s="142"/>
      <c r="T150" s="140"/>
    </row>
    <row r="151" spans="3:20" ht="39.75" customHeight="1">
      <c r="C151" s="196">
        <v>148</v>
      </c>
      <c r="D151" s="127"/>
      <c r="E151" s="129"/>
      <c r="F151" s="128"/>
      <c r="G151" s="129"/>
      <c r="H151" s="129"/>
      <c r="I151" s="166"/>
      <c r="J151" s="180"/>
      <c r="K151" s="128"/>
      <c r="L151" s="127"/>
      <c r="M151" s="168"/>
      <c r="N151" s="173"/>
      <c r="O151" s="141"/>
      <c r="P151" s="140"/>
      <c r="Q151" s="142"/>
      <c r="R151" s="140"/>
      <c r="S151" s="142"/>
      <c r="T151" s="140"/>
    </row>
    <row r="152" spans="3:20" ht="39.75" customHeight="1">
      <c r="C152" s="196">
        <v>149</v>
      </c>
      <c r="D152" s="127"/>
      <c r="E152" s="129"/>
      <c r="F152" s="128"/>
      <c r="G152" s="129"/>
      <c r="H152" s="129"/>
      <c r="I152" s="166"/>
      <c r="J152" s="180"/>
      <c r="K152" s="128"/>
      <c r="L152" s="127"/>
      <c r="M152" s="168"/>
      <c r="N152" s="173"/>
      <c r="O152" s="141"/>
      <c r="P152" s="140"/>
      <c r="Q152" s="142"/>
      <c r="R152" s="140"/>
      <c r="S152" s="142"/>
      <c r="T152" s="140"/>
    </row>
    <row r="153" spans="3:20" ht="39.75" customHeight="1">
      <c r="C153" s="196">
        <v>150</v>
      </c>
      <c r="D153" s="127"/>
      <c r="E153" s="129"/>
      <c r="F153" s="128"/>
      <c r="G153" s="129"/>
      <c r="H153" s="129"/>
      <c r="I153" s="166"/>
      <c r="J153" s="180"/>
      <c r="K153" s="128"/>
      <c r="L153" s="127"/>
      <c r="M153" s="168"/>
      <c r="N153" s="173"/>
      <c r="O153" s="141"/>
      <c r="P153" s="140"/>
      <c r="Q153" s="142"/>
      <c r="R153" s="140"/>
      <c r="S153" s="142"/>
      <c r="T153" s="140"/>
    </row>
    <row r="154" spans="3:20" ht="39.75" customHeight="1">
      <c r="C154" s="196">
        <v>151</v>
      </c>
      <c r="D154" s="127"/>
      <c r="E154" s="129"/>
      <c r="F154" s="128"/>
      <c r="G154" s="129"/>
      <c r="H154" s="129"/>
      <c r="I154" s="166"/>
      <c r="J154" s="180"/>
      <c r="K154" s="128"/>
      <c r="L154" s="127"/>
      <c r="M154" s="168"/>
      <c r="N154" s="173"/>
      <c r="O154" s="141"/>
      <c r="P154" s="140"/>
      <c r="Q154" s="142"/>
      <c r="R154" s="140"/>
      <c r="S154" s="142"/>
      <c r="T154" s="140"/>
    </row>
    <row r="155" spans="3:20" ht="39.75" customHeight="1">
      <c r="C155" s="196">
        <v>152</v>
      </c>
      <c r="D155" s="127"/>
      <c r="E155" s="129"/>
      <c r="F155" s="128"/>
      <c r="G155" s="129"/>
      <c r="H155" s="129"/>
      <c r="I155" s="166"/>
      <c r="J155" s="180"/>
      <c r="K155" s="128"/>
      <c r="L155" s="127"/>
      <c r="M155" s="168"/>
      <c r="N155" s="173"/>
      <c r="O155" s="141"/>
      <c r="P155" s="140"/>
      <c r="Q155" s="142"/>
      <c r="R155" s="140"/>
      <c r="S155" s="142"/>
      <c r="T155" s="140"/>
    </row>
    <row r="156" spans="3:20" ht="39.75" customHeight="1">
      <c r="C156" s="196">
        <v>153</v>
      </c>
      <c r="D156" s="127"/>
      <c r="E156" s="129"/>
      <c r="F156" s="128"/>
      <c r="G156" s="129"/>
      <c r="H156" s="129"/>
      <c r="I156" s="166"/>
      <c r="J156" s="180"/>
      <c r="K156" s="128"/>
      <c r="L156" s="127"/>
      <c r="M156" s="168"/>
      <c r="N156" s="173"/>
      <c r="O156" s="141"/>
      <c r="P156" s="140"/>
      <c r="Q156" s="142"/>
      <c r="R156" s="140"/>
      <c r="S156" s="142"/>
      <c r="T156" s="140"/>
    </row>
    <row r="157" spans="3:20" ht="39.75" customHeight="1">
      <c r="C157" s="196">
        <v>154</v>
      </c>
      <c r="D157" s="127"/>
      <c r="E157" s="129"/>
      <c r="F157" s="128"/>
      <c r="G157" s="129"/>
      <c r="H157" s="129"/>
      <c r="I157" s="166"/>
      <c r="J157" s="180"/>
      <c r="K157" s="128"/>
      <c r="L157" s="127"/>
      <c r="M157" s="168"/>
      <c r="N157" s="173"/>
      <c r="O157" s="141"/>
      <c r="P157" s="140"/>
      <c r="Q157" s="142"/>
      <c r="R157" s="140"/>
      <c r="S157" s="142"/>
      <c r="T157" s="140"/>
    </row>
    <row r="158" spans="3:20" ht="39.75" customHeight="1">
      <c r="C158" s="196">
        <v>155</v>
      </c>
      <c r="D158" s="127"/>
      <c r="E158" s="129"/>
      <c r="F158" s="128"/>
      <c r="G158" s="129"/>
      <c r="H158" s="129"/>
      <c r="I158" s="166"/>
      <c r="J158" s="180"/>
      <c r="K158" s="128"/>
      <c r="L158" s="127"/>
      <c r="M158" s="168"/>
      <c r="N158" s="173"/>
      <c r="O158" s="141"/>
      <c r="P158" s="140"/>
      <c r="Q158" s="142"/>
      <c r="R158" s="140"/>
      <c r="S158" s="142"/>
      <c r="T158" s="140"/>
    </row>
    <row r="159" spans="3:20" ht="39.75" customHeight="1">
      <c r="C159" s="196">
        <v>156</v>
      </c>
      <c r="D159" s="127"/>
      <c r="E159" s="129"/>
      <c r="F159" s="128"/>
      <c r="G159" s="129"/>
      <c r="H159" s="129"/>
      <c r="I159" s="166"/>
      <c r="J159" s="180"/>
      <c r="K159" s="128"/>
      <c r="L159" s="127"/>
      <c r="M159" s="168"/>
      <c r="N159" s="173"/>
      <c r="O159" s="141"/>
      <c r="P159" s="140"/>
      <c r="Q159" s="142"/>
      <c r="R159" s="140"/>
      <c r="S159" s="142"/>
      <c r="T159" s="140"/>
    </row>
    <row r="160" spans="3:20" ht="39.75" customHeight="1">
      <c r="C160" s="196">
        <v>157</v>
      </c>
      <c r="D160" s="127"/>
      <c r="E160" s="129"/>
      <c r="F160" s="128"/>
      <c r="G160" s="129"/>
      <c r="H160" s="129"/>
      <c r="I160" s="166"/>
      <c r="J160" s="180"/>
      <c r="K160" s="128"/>
      <c r="L160" s="127"/>
      <c r="M160" s="168"/>
      <c r="N160" s="173"/>
      <c r="O160" s="141"/>
      <c r="P160" s="140"/>
      <c r="Q160" s="142"/>
      <c r="R160" s="140"/>
      <c r="S160" s="142"/>
      <c r="T160" s="140"/>
    </row>
    <row r="161" spans="3:20" ht="39.75" customHeight="1">
      <c r="C161" s="196">
        <v>158</v>
      </c>
      <c r="D161" s="127"/>
      <c r="E161" s="129"/>
      <c r="F161" s="128"/>
      <c r="G161" s="129"/>
      <c r="H161" s="129"/>
      <c r="I161" s="166"/>
      <c r="J161" s="180"/>
      <c r="K161" s="128"/>
      <c r="L161" s="127"/>
      <c r="M161" s="168"/>
      <c r="N161" s="173"/>
      <c r="O161" s="141"/>
      <c r="P161" s="140"/>
      <c r="Q161" s="142"/>
      <c r="R161" s="140"/>
      <c r="S161" s="142"/>
      <c r="T161" s="140"/>
    </row>
    <row r="162" spans="3:20" ht="39.75" customHeight="1">
      <c r="C162" s="196">
        <v>159</v>
      </c>
      <c r="D162" s="127"/>
      <c r="E162" s="129"/>
      <c r="F162" s="128"/>
      <c r="G162" s="129"/>
      <c r="H162" s="129"/>
      <c r="I162" s="166"/>
      <c r="J162" s="180"/>
      <c r="K162" s="128"/>
      <c r="L162" s="127"/>
      <c r="M162" s="168"/>
      <c r="N162" s="173"/>
      <c r="O162" s="141"/>
      <c r="P162" s="140"/>
      <c r="Q162" s="142"/>
      <c r="R162" s="140"/>
      <c r="S162" s="142"/>
      <c r="T162" s="140"/>
    </row>
    <row r="163" spans="3:20" ht="39.75" customHeight="1">
      <c r="C163" s="196">
        <v>160</v>
      </c>
      <c r="D163" s="127"/>
      <c r="E163" s="129"/>
      <c r="F163" s="128"/>
      <c r="G163" s="129"/>
      <c r="H163" s="129"/>
      <c r="I163" s="166"/>
      <c r="J163" s="180"/>
      <c r="K163" s="128"/>
      <c r="L163" s="127"/>
      <c r="M163" s="168"/>
      <c r="N163" s="173"/>
      <c r="O163" s="141"/>
      <c r="P163" s="140"/>
      <c r="Q163" s="142"/>
      <c r="R163" s="140"/>
      <c r="S163" s="142"/>
      <c r="T163" s="140"/>
    </row>
    <row r="164" spans="3:20" ht="39.75" customHeight="1">
      <c r="C164" s="196">
        <v>161</v>
      </c>
      <c r="D164" s="127"/>
      <c r="E164" s="129"/>
      <c r="F164" s="128"/>
      <c r="G164" s="129"/>
      <c r="H164" s="129"/>
      <c r="I164" s="166"/>
      <c r="J164" s="180"/>
      <c r="K164" s="128"/>
      <c r="L164" s="127"/>
      <c r="M164" s="168"/>
      <c r="N164" s="173"/>
      <c r="O164" s="141"/>
      <c r="P164" s="140"/>
      <c r="Q164" s="142"/>
      <c r="R164" s="140"/>
      <c r="S164" s="142"/>
      <c r="T164" s="140"/>
    </row>
    <row r="165" spans="3:20" ht="39.75" customHeight="1">
      <c r="C165" s="196">
        <v>162</v>
      </c>
      <c r="D165" s="127"/>
      <c r="E165" s="129"/>
      <c r="F165" s="128"/>
      <c r="G165" s="129"/>
      <c r="H165" s="129"/>
      <c r="I165" s="166"/>
      <c r="J165" s="180"/>
      <c r="K165" s="128"/>
      <c r="L165" s="127"/>
      <c r="M165" s="168"/>
      <c r="N165" s="173"/>
      <c r="O165" s="141"/>
      <c r="P165" s="140"/>
      <c r="Q165" s="142"/>
      <c r="R165" s="140"/>
      <c r="S165" s="142"/>
      <c r="T165" s="140"/>
    </row>
    <row r="166" spans="3:20" ht="39.75" customHeight="1">
      <c r="C166" s="196">
        <v>163</v>
      </c>
      <c r="D166" s="127"/>
      <c r="E166" s="129"/>
      <c r="F166" s="128"/>
      <c r="G166" s="129"/>
      <c r="H166" s="129"/>
      <c r="I166" s="166"/>
      <c r="J166" s="180"/>
      <c r="K166" s="128"/>
      <c r="L166" s="127"/>
      <c r="M166" s="168"/>
      <c r="N166" s="173"/>
      <c r="O166" s="141"/>
      <c r="P166" s="140"/>
      <c r="Q166" s="142"/>
      <c r="R166" s="140"/>
      <c r="S166" s="142"/>
      <c r="T166" s="140"/>
    </row>
    <row r="167" spans="3:20" ht="39.75" customHeight="1">
      <c r="C167" s="196">
        <v>164</v>
      </c>
      <c r="D167" s="127"/>
      <c r="E167" s="129"/>
      <c r="F167" s="128"/>
      <c r="G167" s="129"/>
      <c r="H167" s="129"/>
      <c r="I167" s="166"/>
      <c r="J167" s="180"/>
      <c r="K167" s="128"/>
      <c r="L167" s="127"/>
      <c r="M167" s="168"/>
      <c r="N167" s="173"/>
      <c r="O167" s="141"/>
      <c r="P167" s="140"/>
      <c r="Q167" s="142"/>
      <c r="R167" s="140"/>
      <c r="S167" s="142"/>
      <c r="T167" s="140"/>
    </row>
    <row r="168" spans="3:20" ht="39.75" customHeight="1">
      <c r="C168" s="196">
        <v>165</v>
      </c>
      <c r="D168" s="127"/>
      <c r="E168" s="129"/>
      <c r="F168" s="128"/>
      <c r="G168" s="129"/>
      <c r="H168" s="129"/>
      <c r="I168" s="166"/>
      <c r="J168" s="180"/>
      <c r="K168" s="128"/>
      <c r="L168" s="127"/>
      <c r="M168" s="168"/>
      <c r="N168" s="173"/>
      <c r="O168" s="141"/>
      <c r="P168" s="140"/>
      <c r="Q168" s="142"/>
      <c r="R168" s="140"/>
      <c r="S168" s="142"/>
      <c r="T168" s="140"/>
    </row>
    <row r="169" spans="3:20" ht="39.75" customHeight="1">
      <c r="C169" s="196">
        <v>166</v>
      </c>
      <c r="D169" s="127"/>
      <c r="E169" s="129"/>
      <c r="F169" s="128"/>
      <c r="G169" s="129"/>
      <c r="H169" s="129"/>
      <c r="I169" s="166"/>
      <c r="J169" s="180"/>
      <c r="K169" s="128"/>
      <c r="L169" s="127"/>
      <c r="M169" s="168"/>
      <c r="N169" s="173"/>
      <c r="O169" s="141"/>
      <c r="P169" s="140"/>
      <c r="Q169" s="142"/>
      <c r="R169" s="140"/>
      <c r="S169" s="142"/>
      <c r="T169" s="140"/>
    </row>
    <row r="170" spans="3:20" ht="39.75" customHeight="1">
      <c r="C170" s="196">
        <v>167</v>
      </c>
      <c r="D170" s="127"/>
      <c r="E170" s="129"/>
      <c r="F170" s="128"/>
      <c r="G170" s="129"/>
      <c r="H170" s="129"/>
      <c r="I170" s="166"/>
      <c r="J170" s="180"/>
      <c r="K170" s="128"/>
      <c r="L170" s="127"/>
      <c r="M170" s="168"/>
      <c r="N170" s="173"/>
      <c r="O170" s="141"/>
      <c r="P170" s="140"/>
      <c r="Q170" s="142"/>
      <c r="R170" s="140"/>
      <c r="S170" s="142"/>
      <c r="T170" s="140"/>
    </row>
    <row r="171" spans="3:20" ht="39.75" customHeight="1">
      <c r="C171" s="196">
        <v>168</v>
      </c>
      <c r="D171" s="127"/>
      <c r="E171" s="129"/>
      <c r="F171" s="128"/>
      <c r="G171" s="129"/>
      <c r="H171" s="129"/>
      <c r="I171" s="166"/>
      <c r="J171" s="180"/>
      <c r="K171" s="128"/>
      <c r="L171" s="127"/>
      <c r="M171" s="168"/>
      <c r="N171" s="173"/>
      <c r="O171" s="141"/>
      <c r="P171" s="140"/>
      <c r="Q171" s="142"/>
      <c r="R171" s="140"/>
      <c r="S171" s="142"/>
      <c r="T171" s="140"/>
    </row>
    <row r="172" spans="3:20" ht="39.75" customHeight="1">
      <c r="C172" s="196">
        <v>169</v>
      </c>
      <c r="D172" s="127"/>
      <c r="E172" s="129"/>
      <c r="F172" s="128"/>
      <c r="G172" s="129"/>
      <c r="H172" s="129"/>
      <c r="I172" s="166"/>
      <c r="J172" s="180"/>
      <c r="K172" s="128"/>
      <c r="L172" s="127"/>
      <c r="M172" s="168"/>
      <c r="N172" s="173"/>
      <c r="O172" s="141"/>
      <c r="P172" s="140"/>
      <c r="Q172" s="142"/>
      <c r="R172" s="140"/>
      <c r="S172" s="142"/>
      <c r="T172" s="140"/>
    </row>
    <row r="173" spans="3:20" ht="39.75" customHeight="1">
      <c r="C173" s="196">
        <v>170</v>
      </c>
      <c r="D173" s="127"/>
      <c r="E173" s="129"/>
      <c r="F173" s="128"/>
      <c r="G173" s="129"/>
      <c r="H173" s="129"/>
      <c r="I173" s="166"/>
      <c r="J173" s="180"/>
      <c r="K173" s="128"/>
      <c r="L173" s="127"/>
      <c r="M173" s="168"/>
      <c r="N173" s="173"/>
      <c r="O173" s="141"/>
      <c r="P173" s="140"/>
      <c r="Q173" s="142"/>
      <c r="R173" s="140"/>
      <c r="S173" s="142"/>
      <c r="T173" s="140"/>
    </row>
    <row r="174" spans="3:20" ht="39.75" customHeight="1">
      <c r="C174" s="196">
        <v>171</v>
      </c>
      <c r="D174" s="127"/>
      <c r="E174" s="129"/>
      <c r="F174" s="128"/>
      <c r="G174" s="129"/>
      <c r="H174" s="129"/>
      <c r="I174" s="166"/>
      <c r="J174" s="180"/>
      <c r="K174" s="128"/>
      <c r="L174" s="127"/>
      <c r="M174" s="168"/>
      <c r="N174" s="173"/>
      <c r="O174" s="141"/>
      <c r="P174" s="140"/>
      <c r="Q174" s="142"/>
      <c r="R174" s="140"/>
      <c r="S174" s="142"/>
      <c r="T174" s="140"/>
    </row>
    <row r="175" spans="3:20" ht="39.75" customHeight="1">
      <c r="C175" s="196">
        <v>172</v>
      </c>
      <c r="D175" s="127"/>
      <c r="E175" s="129"/>
      <c r="F175" s="128"/>
      <c r="G175" s="129"/>
      <c r="H175" s="129"/>
      <c r="I175" s="166"/>
      <c r="J175" s="180"/>
      <c r="K175" s="128"/>
      <c r="L175" s="127"/>
      <c r="M175" s="168"/>
      <c r="N175" s="173"/>
      <c r="O175" s="141"/>
      <c r="P175" s="140"/>
      <c r="Q175" s="142"/>
      <c r="R175" s="140"/>
      <c r="S175" s="142"/>
      <c r="T175" s="140"/>
    </row>
    <row r="176" spans="3:20" ht="39.75" customHeight="1">
      <c r="C176" s="196">
        <v>173</v>
      </c>
      <c r="D176" s="127"/>
      <c r="E176" s="129"/>
      <c r="F176" s="128"/>
      <c r="G176" s="129"/>
      <c r="H176" s="129"/>
      <c r="I176" s="166"/>
      <c r="J176" s="180"/>
      <c r="K176" s="128"/>
      <c r="L176" s="127"/>
      <c r="M176" s="168"/>
      <c r="N176" s="173"/>
      <c r="O176" s="141"/>
      <c r="P176" s="140"/>
      <c r="Q176" s="142"/>
      <c r="R176" s="140"/>
      <c r="S176" s="142"/>
      <c r="T176" s="140"/>
    </row>
    <row r="177" spans="3:20" ht="39.75" customHeight="1">
      <c r="C177" s="196">
        <v>174</v>
      </c>
      <c r="D177" s="127"/>
      <c r="E177" s="129"/>
      <c r="F177" s="128"/>
      <c r="G177" s="129"/>
      <c r="H177" s="129"/>
      <c r="I177" s="166"/>
      <c r="J177" s="180"/>
      <c r="K177" s="128"/>
      <c r="L177" s="127"/>
      <c r="M177" s="168"/>
      <c r="N177" s="173"/>
      <c r="O177" s="141"/>
      <c r="P177" s="140"/>
      <c r="Q177" s="142"/>
      <c r="R177" s="140"/>
      <c r="S177" s="142"/>
      <c r="T177" s="140"/>
    </row>
    <row r="178" spans="3:20" ht="39.75" customHeight="1">
      <c r="C178" s="196">
        <v>175</v>
      </c>
      <c r="D178" s="127"/>
      <c r="E178" s="129"/>
      <c r="F178" s="128"/>
      <c r="G178" s="129"/>
      <c r="H178" s="129"/>
      <c r="I178" s="166"/>
      <c r="J178" s="180"/>
      <c r="K178" s="128"/>
      <c r="L178" s="127"/>
      <c r="M178" s="168"/>
      <c r="N178" s="173"/>
      <c r="O178" s="141"/>
      <c r="P178" s="140"/>
      <c r="Q178" s="142"/>
      <c r="R178" s="140"/>
      <c r="S178" s="142"/>
      <c r="T178" s="140"/>
    </row>
    <row r="179" spans="3:20" ht="39.75" customHeight="1">
      <c r="C179" s="196">
        <v>176</v>
      </c>
      <c r="D179" s="127"/>
      <c r="E179" s="129"/>
      <c r="F179" s="128"/>
      <c r="G179" s="129"/>
      <c r="H179" s="129"/>
      <c r="I179" s="166"/>
      <c r="J179" s="180"/>
      <c r="K179" s="128"/>
      <c r="L179" s="127"/>
      <c r="M179" s="168"/>
      <c r="N179" s="173"/>
      <c r="O179" s="141"/>
      <c r="P179" s="140"/>
      <c r="Q179" s="142"/>
      <c r="R179" s="140"/>
      <c r="S179" s="142"/>
      <c r="T179" s="140"/>
    </row>
    <row r="180" spans="3:20" ht="39.75" customHeight="1">
      <c r="C180" s="196">
        <v>177</v>
      </c>
      <c r="D180" s="127"/>
      <c r="E180" s="129"/>
      <c r="F180" s="128"/>
      <c r="G180" s="129"/>
      <c r="H180" s="129"/>
      <c r="I180" s="166"/>
      <c r="J180" s="180"/>
      <c r="K180" s="128"/>
      <c r="L180" s="127"/>
      <c r="M180" s="168"/>
      <c r="N180" s="173"/>
      <c r="O180" s="141"/>
      <c r="P180" s="140"/>
      <c r="Q180" s="142"/>
      <c r="R180" s="140"/>
      <c r="S180" s="142"/>
      <c r="T180" s="140"/>
    </row>
    <row r="181" spans="3:20" ht="39.75" customHeight="1">
      <c r="C181" s="196">
        <v>178</v>
      </c>
      <c r="D181" s="127"/>
      <c r="E181" s="129"/>
      <c r="F181" s="128"/>
      <c r="G181" s="129"/>
      <c r="H181" s="129"/>
      <c r="I181" s="166"/>
      <c r="J181" s="180"/>
      <c r="K181" s="128"/>
      <c r="L181" s="127"/>
      <c r="M181" s="168"/>
      <c r="N181" s="173"/>
      <c r="O181" s="141"/>
      <c r="P181" s="140"/>
      <c r="Q181" s="142"/>
      <c r="R181" s="140"/>
      <c r="S181" s="142"/>
      <c r="T181" s="140"/>
    </row>
    <row r="182" spans="3:20" ht="39.75" customHeight="1">
      <c r="C182" s="196">
        <v>179</v>
      </c>
      <c r="D182" s="127"/>
      <c r="E182" s="129"/>
      <c r="F182" s="128"/>
      <c r="G182" s="129"/>
      <c r="H182" s="129"/>
      <c r="I182" s="166"/>
      <c r="J182" s="180"/>
      <c r="K182" s="128"/>
      <c r="L182" s="127"/>
      <c r="M182" s="168"/>
      <c r="N182" s="173"/>
      <c r="O182" s="141"/>
      <c r="P182" s="140"/>
      <c r="Q182" s="142"/>
      <c r="R182" s="140"/>
      <c r="S182" s="142"/>
      <c r="T182" s="140"/>
    </row>
    <row r="183" spans="3:20" ht="39.75" customHeight="1">
      <c r="C183" s="196">
        <v>180</v>
      </c>
      <c r="D183" s="127"/>
      <c r="E183" s="129"/>
      <c r="F183" s="128"/>
      <c r="G183" s="129"/>
      <c r="H183" s="129"/>
      <c r="I183" s="166"/>
      <c r="J183" s="180"/>
      <c r="K183" s="128"/>
      <c r="L183" s="127"/>
      <c r="M183" s="168"/>
      <c r="N183" s="173"/>
      <c r="O183" s="141"/>
      <c r="P183" s="140"/>
      <c r="Q183" s="142"/>
      <c r="R183" s="140"/>
      <c r="S183" s="142"/>
      <c r="T183" s="140"/>
    </row>
    <row r="184" spans="3:20" ht="39.75" customHeight="1">
      <c r="C184" s="196">
        <v>181</v>
      </c>
      <c r="D184" s="127"/>
      <c r="E184" s="129"/>
      <c r="F184" s="128"/>
      <c r="G184" s="129"/>
      <c r="H184" s="129"/>
      <c r="I184" s="166"/>
      <c r="J184" s="180"/>
      <c r="K184" s="128"/>
      <c r="L184" s="127"/>
      <c r="M184" s="168"/>
      <c r="N184" s="173"/>
      <c r="O184" s="141"/>
      <c r="P184" s="140"/>
      <c r="Q184" s="142"/>
      <c r="R184" s="140"/>
      <c r="S184" s="142"/>
      <c r="T184" s="140"/>
    </row>
    <row r="185" spans="3:20" ht="39.75" customHeight="1">
      <c r="C185" s="196">
        <v>182</v>
      </c>
      <c r="D185" s="127"/>
      <c r="E185" s="129"/>
      <c r="F185" s="128"/>
      <c r="G185" s="129"/>
      <c r="H185" s="129"/>
      <c r="I185" s="166"/>
      <c r="J185" s="180"/>
      <c r="K185" s="128"/>
      <c r="L185" s="127"/>
      <c r="M185" s="168"/>
      <c r="N185" s="173"/>
      <c r="O185" s="141"/>
      <c r="P185" s="140"/>
      <c r="Q185" s="142"/>
      <c r="R185" s="140"/>
      <c r="S185" s="142"/>
      <c r="T185" s="140"/>
    </row>
    <row r="186" spans="3:20" ht="39.75" customHeight="1">
      <c r="C186" s="196">
        <v>183</v>
      </c>
      <c r="D186" s="127"/>
      <c r="E186" s="129"/>
      <c r="F186" s="128"/>
      <c r="G186" s="129"/>
      <c r="H186" s="129"/>
      <c r="I186" s="166"/>
      <c r="J186" s="180"/>
      <c r="K186" s="128"/>
      <c r="L186" s="127"/>
      <c r="M186" s="168"/>
      <c r="N186" s="173"/>
      <c r="O186" s="141"/>
      <c r="P186" s="140"/>
      <c r="Q186" s="142"/>
      <c r="R186" s="140"/>
      <c r="S186" s="142"/>
      <c r="T186" s="140"/>
    </row>
    <row r="187" spans="3:20" ht="39.75" customHeight="1">
      <c r="C187" s="196">
        <v>184</v>
      </c>
      <c r="D187" s="127"/>
      <c r="E187" s="129"/>
      <c r="F187" s="128"/>
      <c r="G187" s="129"/>
      <c r="H187" s="129"/>
      <c r="I187" s="166"/>
      <c r="J187" s="180"/>
      <c r="K187" s="128"/>
      <c r="L187" s="127"/>
      <c r="M187" s="168"/>
      <c r="N187" s="173"/>
      <c r="O187" s="141"/>
      <c r="P187" s="140"/>
      <c r="Q187" s="142"/>
      <c r="R187" s="140"/>
      <c r="S187" s="142"/>
      <c r="T187" s="140"/>
    </row>
    <row r="188" spans="3:20" ht="39.75" customHeight="1">
      <c r="C188" s="196">
        <v>185</v>
      </c>
      <c r="D188" s="127"/>
      <c r="E188" s="129"/>
      <c r="F188" s="128"/>
      <c r="G188" s="129"/>
      <c r="H188" s="129"/>
      <c r="I188" s="166"/>
      <c r="J188" s="180"/>
      <c r="K188" s="128"/>
      <c r="L188" s="127"/>
      <c r="M188" s="168"/>
      <c r="N188" s="173"/>
      <c r="O188" s="141"/>
      <c r="P188" s="140"/>
      <c r="Q188" s="142"/>
      <c r="R188" s="140"/>
      <c r="S188" s="142"/>
      <c r="T188" s="140"/>
    </row>
    <row r="189" spans="3:20" ht="39.75" customHeight="1">
      <c r="C189" s="196">
        <v>186</v>
      </c>
      <c r="D189" s="127"/>
      <c r="E189" s="129"/>
      <c r="F189" s="128"/>
      <c r="G189" s="129"/>
      <c r="H189" s="129"/>
      <c r="I189" s="166"/>
      <c r="J189" s="180"/>
      <c r="K189" s="128"/>
      <c r="L189" s="127"/>
      <c r="M189" s="168"/>
      <c r="N189" s="173"/>
      <c r="O189" s="141"/>
      <c r="P189" s="140"/>
      <c r="Q189" s="142"/>
      <c r="R189" s="140"/>
      <c r="S189" s="142"/>
      <c r="T189" s="140"/>
    </row>
    <row r="190" spans="3:20" ht="39.75" customHeight="1">
      <c r="C190" s="196">
        <v>187</v>
      </c>
      <c r="D190" s="127"/>
      <c r="E190" s="129"/>
      <c r="F190" s="128"/>
      <c r="G190" s="129"/>
      <c r="H190" s="129"/>
      <c r="I190" s="166"/>
      <c r="J190" s="180"/>
      <c r="K190" s="128"/>
      <c r="L190" s="127"/>
      <c r="M190" s="168"/>
      <c r="N190" s="173"/>
      <c r="O190" s="141"/>
      <c r="P190" s="140"/>
      <c r="Q190" s="142"/>
      <c r="R190" s="140"/>
      <c r="S190" s="142"/>
      <c r="T190" s="140"/>
    </row>
    <row r="191" spans="3:20" ht="39.75" customHeight="1">
      <c r="C191" s="196">
        <v>188</v>
      </c>
      <c r="D191" s="127"/>
      <c r="E191" s="129"/>
      <c r="F191" s="128"/>
      <c r="G191" s="129"/>
      <c r="H191" s="129"/>
      <c r="I191" s="166"/>
      <c r="J191" s="180"/>
      <c r="K191" s="128"/>
      <c r="L191" s="127"/>
      <c r="M191" s="168"/>
      <c r="N191" s="173"/>
      <c r="O191" s="141"/>
      <c r="P191" s="140"/>
      <c r="Q191" s="142"/>
      <c r="R191" s="140"/>
      <c r="S191" s="142"/>
      <c r="T191" s="140"/>
    </row>
    <row r="192" spans="3:20" ht="39.75" customHeight="1">
      <c r="C192" s="196">
        <v>189</v>
      </c>
      <c r="D192" s="127"/>
      <c r="E192" s="129"/>
      <c r="F192" s="128"/>
      <c r="G192" s="129"/>
      <c r="H192" s="129"/>
      <c r="I192" s="166"/>
      <c r="J192" s="180"/>
      <c r="K192" s="128"/>
      <c r="L192" s="127"/>
      <c r="M192" s="168"/>
      <c r="N192" s="173"/>
      <c r="O192" s="141"/>
      <c r="P192" s="140"/>
      <c r="Q192" s="142"/>
      <c r="R192" s="140"/>
      <c r="S192" s="142"/>
      <c r="T192" s="140"/>
    </row>
    <row r="193" spans="3:20" ht="39.75" customHeight="1">
      <c r="C193" s="196">
        <v>190</v>
      </c>
      <c r="D193" s="127"/>
      <c r="E193" s="129"/>
      <c r="F193" s="128"/>
      <c r="G193" s="129"/>
      <c r="H193" s="129"/>
      <c r="I193" s="166"/>
      <c r="J193" s="180"/>
      <c r="K193" s="128"/>
      <c r="L193" s="127"/>
      <c r="M193" s="168"/>
      <c r="N193" s="173"/>
      <c r="O193" s="141"/>
      <c r="P193" s="140"/>
      <c r="Q193" s="142"/>
      <c r="R193" s="140"/>
      <c r="S193" s="142"/>
      <c r="T193" s="140"/>
    </row>
    <row r="194" spans="3:20" ht="39.75" customHeight="1">
      <c r="C194" s="196">
        <v>191</v>
      </c>
      <c r="D194" s="127"/>
      <c r="E194" s="129"/>
      <c r="F194" s="128"/>
      <c r="G194" s="129"/>
      <c r="H194" s="129"/>
      <c r="I194" s="166"/>
      <c r="J194" s="180"/>
      <c r="K194" s="128"/>
      <c r="L194" s="127"/>
      <c r="M194" s="168"/>
      <c r="N194" s="173"/>
      <c r="O194" s="141"/>
      <c r="P194" s="140"/>
      <c r="Q194" s="142"/>
      <c r="R194" s="140"/>
      <c r="S194" s="142"/>
      <c r="T194" s="140"/>
    </row>
    <row r="195" spans="3:20" ht="39.75" customHeight="1">
      <c r="C195" s="196">
        <v>192</v>
      </c>
      <c r="D195" s="127"/>
      <c r="E195" s="129"/>
      <c r="F195" s="128"/>
      <c r="G195" s="129"/>
      <c r="H195" s="129"/>
      <c r="I195" s="166"/>
      <c r="J195" s="180"/>
      <c r="K195" s="128"/>
      <c r="L195" s="127"/>
      <c r="M195" s="168"/>
      <c r="N195" s="173"/>
      <c r="O195" s="141"/>
      <c r="P195" s="140"/>
      <c r="Q195" s="142"/>
      <c r="R195" s="140"/>
      <c r="S195" s="142"/>
      <c r="T195" s="140"/>
    </row>
    <row r="196" spans="3:20" ht="39.75" customHeight="1">
      <c r="C196" s="196">
        <v>193</v>
      </c>
      <c r="D196" s="127"/>
      <c r="E196" s="129"/>
      <c r="F196" s="128"/>
      <c r="G196" s="129"/>
      <c r="H196" s="129"/>
      <c r="I196" s="166"/>
      <c r="J196" s="180"/>
      <c r="K196" s="128"/>
      <c r="L196" s="127"/>
      <c r="M196" s="168"/>
      <c r="N196" s="173"/>
      <c r="O196" s="141"/>
      <c r="P196" s="140"/>
      <c r="Q196" s="142"/>
      <c r="R196" s="140"/>
      <c r="S196" s="142"/>
      <c r="T196" s="140"/>
    </row>
    <row r="197" spans="3:20" ht="39.75" customHeight="1">
      <c r="C197" s="196">
        <v>194</v>
      </c>
      <c r="D197" s="127"/>
      <c r="E197" s="129"/>
      <c r="F197" s="128"/>
      <c r="G197" s="129"/>
      <c r="H197" s="129"/>
      <c r="I197" s="166"/>
      <c r="J197" s="180"/>
      <c r="K197" s="128"/>
      <c r="L197" s="127"/>
      <c r="M197" s="168"/>
      <c r="N197" s="173"/>
      <c r="O197" s="141"/>
      <c r="P197" s="140"/>
      <c r="Q197" s="142"/>
      <c r="R197" s="140"/>
      <c r="S197" s="142"/>
      <c r="T197" s="140"/>
    </row>
    <row r="198" spans="3:20" ht="39.75" customHeight="1">
      <c r="C198" s="196">
        <v>195</v>
      </c>
      <c r="D198" s="127"/>
      <c r="E198" s="129"/>
      <c r="F198" s="128"/>
      <c r="G198" s="129"/>
      <c r="H198" s="129"/>
      <c r="I198" s="166"/>
      <c r="J198" s="180"/>
      <c r="K198" s="128"/>
      <c r="L198" s="127"/>
      <c r="M198" s="168"/>
      <c r="N198" s="173"/>
      <c r="O198" s="141"/>
      <c r="P198" s="140"/>
      <c r="Q198" s="142"/>
      <c r="R198" s="140"/>
      <c r="S198" s="142"/>
      <c r="T198" s="140"/>
    </row>
    <row r="199" spans="3:20" ht="39.75" customHeight="1">
      <c r="C199" s="196">
        <v>196</v>
      </c>
      <c r="D199" s="127"/>
      <c r="E199" s="129"/>
      <c r="F199" s="128"/>
      <c r="G199" s="129"/>
      <c r="H199" s="129"/>
      <c r="I199" s="166"/>
      <c r="J199" s="180"/>
      <c r="K199" s="128"/>
      <c r="L199" s="127"/>
      <c r="M199" s="168"/>
      <c r="N199" s="173"/>
      <c r="O199" s="141"/>
      <c r="P199" s="140"/>
      <c r="Q199" s="142"/>
      <c r="R199" s="140"/>
      <c r="S199" s="142"/>
      <c r="T199" s="140"/>
    </row>
    <row r="200" spans="3:20" ht="39.75" customHeight="1">
      <c r="C200" s="196">
        <v>197</v>
      </c>
      <c r="D200" s="127"/>
      <c r="E200" s="129"/>
      <c r="F200" s="128"/>
      <c r="G200" s="129"/>
      <c r="H200" s="129"/>
      <c r="I200" s="166"/>
      <c r="J200" s="180"/>
      <c r="K200" s="128"/>
      <c r="L200" s="127"/>
      <c r="M200" s="168"/>
      <c r="N200" s="173"/>
      <c r="O200" s="141"/>
      <c r="P200" s="140"/>
      <c r="Q200" s="142"/>
      <c r="R200" s="140"/>
      <c r="S200" s="142"/>
      <c r="T200" s="140"/>
    </row>
    <row r="201" spans="3:20" ht="39.75" customHeight="1">
      <c r="C201" s="196">
        <v>198</v>
      </c>
      <c r="D201" s="127"/>
      <c r="E201" s="129"/>
      <c r="F201" s="128"/>
      <c r="G201" s="129"/>
      <c r="H201" s="129"/>
      <c r="I201" s="166"/>
      <c r="J201" s="180"/>
      <c r="K201" s="128"/>
      <c r="L201" s="127"/>
      <c r="M201" s="168"/>
      <c r="N201" s="173"/>
      <c r="O201" s="141"/>
      <c r="P201" s="140"/>
      <c r="Q201" s="142"/>
      <c r="R201" s="140"/>
      <c r="S201" s="142"/>
      <c r="T201" s="140"/>
    </row>
    <row r="202" spans="3:20" ht="39.75" customHeight="1">
      <c r="C202" s="196">
        <v>199</v>
      </c>
      <c r="D202" s="127"/>
      <c r="E202" s="129"/>
      <c r="F202" s="128"/>
      <c r="G202" s="129"/>
      <c r="H202" s="129"/>
      <c r="I202" s="166"/>
      <c r="J202" s="180"/>
      <c r="K202" s="128"/>
      <c r="L202" s="127"/>
      <c r="M202" s="168"/>
      <c r="N202" s="173"/>
      <c r="O202" s="141"/>
      <c r="P202" s="140"/>
      <c r="Q202" s="142"/>
      <c r="R202" s="140"/>
      <c r="S202" s="142"/>
      <c r="T202" s="140"/>
    </row>
    <row r="203" spans="3:20" ht="39.75" customHeight="1">
      <c r="C203" s="196">
        <v>200</v>
      </c>
      <c r="D203" s="127"/>
      <c r="E203" s="129"/>
      <c r="F203" s="128"/>
      <c r="G203" s="129"/>
      <c r="H203" s="129"/>
      <c r="I203" s="166"/>
      <c r="J203" s="180"/>
      <c r="K203" s="128"/>
      <c r="L203" s="127"/>
      <c r="M203" s="168"/>
      <c r="N203" s="173"/>
      <c r="O203" s="141"/>
      <c r="P203" s="140"/>
      <c r="Q203" s="142"/>
      <c r="R203" s="140"/>
      <c r="S203" s="142"/>
      <c r="T203" s="140"/>
    </row>
    <row r="204" spans="3:20" ht="39.75" customHeight="1">
      <c r="C204" s="196">
        <v>201</v>
      </c>
      <c r="D204" s="127"/>
      <c r="E204" s="129"/>
      <c r="F204" s="128"/>
      <c r="G204" s="129"/>
      <c r="H204" s="129"/>
      <c r="I204" s="166"/>
      <c r="J204" s="180"/>
      <c r="K204" s="128"/>
      <c r="L204" s="127"/>
      <c r="M204" s="168"/>
      <c r="N204" s="173"/>
      <c r="O204" s="141"/>
      <c r="P204" s="140"/>
      <c r="Q204" s="142"/>
      <c r="R204" s="140"/>
      <c r="S204" s="142"/>
      <c r="T204" s="140"/>
    </row>
    <row r="205" spans="3:20" ht="39.75" customHeight="1">
      <c r="C205" s="196">
        <v>202</v>
      </c>
      <c r="D205" s="127"/>
      <c r="E205" s="129"/>
      <c r="F205" s="128"/>
      <c r="G205" s="129"/>
      <c r="H205" s="129"/>
      <c r="I205" s="166"/>
      <c r="J205" s="180"/>
      <c r="K205" s="128"/>
      <c r="L205" s="127"/>
      <c r="M205" s="168"/>
      <c r="N205" s="173"/>
      <c r="O205" s="141"/>
      <c r="P205" s="140"/>
      <c r="Q205" s="142"/>
      <c r="R205" s="140"/>
      <c r="S205" s="142"/>
      <c r="T205" s="140"/>
    </row>
    <row r="206" spans="3:20" ht="39.75" customHeight="1">
      <c r="C206" s="196">
        <v>203</v>
      </c>
      <c r="D206" s="127"/>
      <c r="E206" s="129"/>
      <c r="F206" s="128"/>
      <c r="G206" s="129"/>
      <c r="H206" s="129"/>
      <c r="I206" s="166"/>
      <c r="J206" s="180"/>
      <c r="K206" s="128"/>
      <c r="L206" s="127"/>
      <c r="M206" s="168"/>
      <c r="N206" s="173"/>
      <c r="O206" s="141"/>
      <c r="P206" s="140"/>
      <c r="Q206" s="142"/>
      <c r="R206" s="140"/>
      <c r="S206" s="142"/>
      <c r="T206" s="140"/>
    </row>
    <row r="207" spans="3:20" ht="39.75" customHeight="1">
      <c r="C207" s="196">
        <v>204</v>
      </c>
      <c r="D207" s="127"/>
      <c r="E207" s="129"/>
      <c r="F207" s="128"/>
      <c r="G207" s="129"/>
      <c r="H207" s="129"/>
      <c r="I207" s="166"/>
      <c r="J207" s="180"/>
      <c r="K207" s="128"/>
      <c r="L207" s="127"/>
      <c r="M207" s="168"/>
      <c r="N207" s="173"/>
      <c r="O207" s="141"/>
      <c r="P207" s="140"/>
      <c r="Q207" s="142"/>
      <c r="R207" s="140"/>
      <c r="S207" s="142"/>
      <c r="T207" s="140"/>
    </row>
    <row r="208" spans="3:20" ht="39.75" customHeight="1">
      <c r="C208" s="196">
        <v>205</v>
      </c>
      <c r="D208" s="127"/>
      <c r="E208" s="129"/>
      <c r="F208" s="128"/>
      <c r="G208" s="129"/>
      <c r="H208" s="129"/>
      <c r="I208" s="166"/>
      <c r="J208" s="180"/>
      <c r="K208" s="128"/>
      <c r="L208" s="127"/>
      <c r="M208" s="168"/>
      <c r="N208" s="173"/>
      <c r="O208" s="141"/>
      <c r="P208" s="140"/>
      <c r="Q208" s="142"/>
      <c r="R208" s="140"/>
      <c r="S208" s="142"/>
      <c r="T208" s="140"/>
    </row>
    <row r="209" spans="3:20" ht="39.75" customHeight="1">
      <c r="C209" s="196">
        <v>206</v>
      </c>
      <c r="D209" s="127"/>
      <c r="E209" s="129"/>
      <c r="F209" s="128"/>
      <c r="G209" s="129"/>
      <c r="H209" s="129"/>
      <c r="I209" s="166"/>
      <c r="J209" s="180"/>
      <c r="K209" s="128"/>
      <c r="L209" s="127"/>
      <c r="M209" s="168"/>
      <c r="N209" s="173"/>
      <c r="O209" s="141"/>
      <c r="P209" s="140"/>
      <c r="Q209" s="142"/>
      <c r="R209" s="140"/>
      <c r="S209" s="142"/>
      <c r="T209" s="140"/>
    </row>
    <row r="210" spans="3:20" ht="39.75" customHeight="1">
      <c r="C210" s="196">
        <v>207</v>
      </c>
      <c r="D210" s="127"/>
      <c r="E210" s="129"/>
      <c r="F210" s="128"/>
      <c r="G210" s="129"/>
      <c r="H210" s="129"/>
      <c r="I210" s="166"/>
      <c r="J210" s="180"/>
      <c r="K210" s="128"/>
      <c r="L210" s="127"/>
      <c r="M210" s="168"/>
      <c r="N210" s="173"/>
      <c r="O210" s="141"/>
      <c r="P210" s="140"/>
      <c r="Q210" s="142"/>
      <c r="R210" s="140"/>
      <c r="S210" s="142"/>
      <c r="T210" s="140"/>
    </row>
    <row r="211" spans="3:20" ht="39.75" customHeight="1">
      <c r="C211" s="196">
        <v>208</v>
      </c>
      <c r="D211" s="127"/>
      <c r="E211" s="129"/>
      <c r="F211" s="128"/>
      <c r="G211" s="129"/>
      <c r="H211" s="129"/>
      <c r="I211" s="166"/>
      <c r="J211" s="180"/>
      <c r="K211" s="128"/>
      <c r="L211" s="127"/>
      <c r="M211" s="168"/>
      <c r="N211" s="173"/>
      <c r="O211" s="141"/>
      <c r="P211" s="140"/>
      <c r="Q211" s="142"/>
      <c r="R211" s="140"/>
      <c r="S211" s="142"/>
      <c r="T211" s="140"/>
    </row>
    <row r="212" spans="3:20" ht="39.75" customHeight="1">
      <c r="C212" s="196">
        <v>209</v>
      </c>
      <c r="D212" s="127"/>
      <c r="E212" s="129"/>
      <c r="F212" s="128"/>
      <c r="G212" s="129"/>
      <c r="H212" s="129"/>
      <c r="I212" s="166"/>
      <c r="J212" s="180"/>
      <c r="K212" s="128"/>
      <c r="L212" s="127"/>
      <c r="M212" s="168"/>
      <c r="N212" s="173"/>
      <c r="O212" s="141"/>
      <c r="P212" s="140"/>
      <c r="Q212" s="142"/>
      <c r="R212" s="140"/>
      <c r="S212" s="142"/>
      <c r="T212" s="140"/>
    </row>
    <row r="213" spans="3:20" ht="39.75" customHeight="1">
      <c r="C213" s="196">
        <v>210</v>
      </c>
      <c r="D213" s="127"/>
      <c r="E213" s="129"/>
      <c r="F213" s="128"/>
      <c r="G213" s="129"/>
      <c r="H213" s="129"/>
      <c r="I213" s="166"/>
      <c r="J213" s="180"/>
      <c r="K213" s="128"/>
      <c r="L213" s="127"/>
      <c r="M213" s="168"/>
      <c r="N213" s="173"/>
      <c r="O213" s="141"/>
      <c r="P213" s="140"/>
      <c r="Q213" s="142"/>
      <c r="R213" s="140"/>
      <c r="S213" s="142"/>
      <c r="T213" s="140"/>
    </row>
    <row r="214" spans="3:20" ht="39.75" customHeight="1">
      <c r="C214" s="196">
        <v>211</v>
      </c>
      <c r="D214" s="127"/>
      <c r="E214" s="129"/>
      <c r="F214" s="128"/>
      <c r="G214" s="129"/>
      <c r="H214" s="129"/>
      <c r="I214" s="166"/>
      <c r="J214" s="180"/>
      <c r="K214" s="128"/>
      <c r="L214" s="127"/>
      <c r="M214" s="168"/>
      <c r="N214" s="173"/>
      <c r="O214" s="141"/>
      <c r="P214" s="140"/>
      <c r="Q214" s="142"/>
      <c r="R214" s="140"/>
      <c r="S214" s="142"/>
      <c r="T214" s="140"/>
    </row>
    <row r="215" spans="3:20" ht="39.75" customHeight="1">
      <c r="C215" s="196">
        <v>212</v>
      </c>
      <c r="D215" s="127"/>
      <c r="E215" s="129"/>
      <c r="F215" s="128"/>
      <c r="G215" s="129"/>
      <c r="H215" s="129"/>
      <c r="I215" s="166"/>
      <c r="J215" s="180"/>
      <c r="K215" s="128"/>
      <c r="L215" s="127"/>
      <c r="M215" s="168"/>
      <c r="N215" s="173"/>
      <c r="O215" s="141"/>
      <c r="P215" s="140"/>
      <c r="Q215" s="142"/>
      <c r="R215" s="140"/>
      <c r="S215" s="142"/>
      <c r="T215" s="140"/>
    </row>
    <row r="216" spans="3:20" ht="39.75" customHeight="1">
      <c r="C216" s="196">
        <v>213</v>
      </c>
      <c r="D216" s="127"/>
      <c r="E216" s="129"/>
      <c r="F216" s="128"/>
      <c r="G216" s="129"/>
      <c r="H216" s="129"/>
      <c r="I216" s="166"/>
      <c r="J216" s="180"/>
      <c r="K216" s="128"/>
      <c r="L216" s="127"/>
      <c r="M216" s="168"/>
      <c r="N216" s="173"/>
      <c r="O216" s="141"/>
      <c r="P216" s="140"/>
      <c r="Q216" s="142"/>
      <c r="R216" s="140"/>
      <c r="S216" s="142"/>
      <c r="T216" s="140"/>
    </row>
    <row r="217" spans="3:20" ht="39.75" customHeight="1">
      <c r="C217" s="196">
        <v>214</v>
      </c>
      <c r="D217" s="127"/>
      <c r="E217" s="129"/>
      <c r="F217" s="128"/>
      <c r="G217" s="129"/>
      <c r="H217" s="129"/>
      <c r="I217" s="166"/>
      <c r="J217" s="180"/>
      <c r="K217" s="128"/>
      <c r="L217" s="127"/>
      <c r="M217" s="168"/>
      <c r="N217" s="173"/>
      <c r="O217" s="141"/>
      <c r="P217" s="140"/>
      <c r="Q217" s="142"/>
      <c r="R217" s="140"/>
      <c r="S217" s="142"/>
      <c r="T217" s="140"/>
    </row>
    <row r="218" spans="3:20" ht="39.75" customHeight="1">
      <c r="C218" s="196">
        <v>215</v>
      </c>
      <c r="D218" s="127"/>
      <c r="E218" s="129"/>
      <c r="F218" s="128"/>
      <c r="G218" s="129"/>
      <c r="H218" s="129"/>
      <c r="I218" s="166"/>
      <c r="J218" s="180"/>
      <c r="K218" s="128"/>
      <c r="L218" s="127"/>
      <c r="M218" s="168"/>
      <c r="N218" s="173"/>
      <c r="O218" s="141"/>
      <c r="P218" s="140"/>
      <c r="Q218" s="142"/>
      <c r="R218" s="140"/>
      <c r="S218" s="142"/>
      <c r="T218" s="140"/>
    </row>
    <row r="219" spans="3:20" ht="39.75" customHeight="1">
      <c r="C219" s="196">
        <v>216</v>
      </c>
      <c r="D219" s="127"/>
      <c r="E219" s="129"/>
      <c r="F219" s="128"/>
      <c r="G219" s="129"/>
      <c r="H219" s="129"/>
      <c r="I219" s="166"/>
      <c r="J219" s="180"/>
      <c r="K219" s="128"/>
      <c r="L219" s="127"/>
      <c r="M219" s="168"/>
      <c r="N219" s="173"/>
      <c r="O219" s="141"/>
      <c r="P219" s="140"/>
      <c r="Q219" s="142"/>
      <c r="R219" s="140"/>
      <c r="S219" s="142"/>
      <c r="T219" s="140"/>
    </row>
    <row r="220" spans="3:20" ht="39.75" customHeight="1">
      <c r="C220" s="196">
        <v>217</v>
      </c>
      <c r="D220" s="127"/>
      <c r="E220" s="129"/>
      <c r="F220" s="128"/>
      <c r="G220" s="129"/>
      <c r="H220" s="129"/>
      <c r="I220" s="166"/>
      <c r="J220" s="180"/>
      <c r="K220" s="128"/>
      <c r="L220" s="127"/>
      <c r="M220" s="168"/>
      <c r="N220" s="173"/>
      <c r="O220" s="141"/>
      <c r="P220" s="140"/>
      <c r="Q220" s="142"/>
      <c r="R220" s="140"/>
      <c r="S220" s="142"/>
      <c r="T220" s="140"/>
    </row>
    <row r="221" spans="3:20" ht="39.75" customHeight="1">
      <c r="C221" s="196">
        <v>218</v>
      </c>
      <c r="D221" s="127"/>
      <c r="E221" s="129"/>
      <c r="F221" s="128"/>
      <c r="G221" s="129"/>
      <c r="H221" s="129"/>
      <c r="I221" s="166"/>
      <c r="J221" s="180"/>
      <c r="K221" s="128"/>
      <c r="L221" s="127"/>
      <c r="M221" s="168"/>
      <c r="N221" s="173"/>
      <c r="O221" s="141"/>
      <c r="P221" s="140"/>
      <c r="Q221" s="142"/>
      <c r="R221" s="140"/>
      <c r="S221" s="142"/>
      <c r="T221" s="140"/>
    </row>
    <row r="222" spans="3:20" ht="39.75" customHeight="1">
      <c r="C222" s="196">
        <v>219</v>
      </c>
      <c r="D222" s="127"/>
      <c r="E222" s="129"/>
      <c r="F222" s="128"/>
      <c r="G222" s="129"/>
      <c r="H222" s="129"/>
      <c r="I222" s="166"/>
      <c r="J222" s="180"/>
      <c r="K222" s="128"/>
      <c r="L222" s="127"/>
      <c r="M222" s="168"/>
      <c r="N222" s="173"/>
      <c r="O222" s="141"/>
      <c r="P222" s="140"/>
      <c r="Q222" s="142"/>
      <c r="R222" s="140"/>
      <c r="S222" s="142"/>
      <c r="T222" s="140"/>
    </row>
    <row r="223" spans="3:20" ht="39.75" customHeight="1">
      <c r="C223" s="196">
        <v>220</v>
      </c>
      <c r="D223" s="127"/>
      <c r="E223" s="129"/>
      <c r="F223" s="128"/>
      <c r="G223" s="129"/>
      <c r="H223" s="129"/>
      <c r="I223" s="166"/>
      <c r="J223" s="180"/>
      <c r="K223" s="128"/>
      <c r="L223" s="127"/>
      <c r="M223" s="168"/>
      <c r="N223" s="173"/>
      <c r="O223" s="141"/>
      <c r="P223" s="140"/>
      <c r="Q223" s="142"/>
      <c r="R223" s="140"/>
      <c r="S223" s="142"/>
      <c r="T223" s="140"/>
    </row>
    <row r="224" spans="3:20" ht="39.75" customHeight="1">
      <c r="C224" s="196">
        <v>221</v>
      </c>
      <c r="D224" s="127"/>
      <c r="E224" s="129"/>
      <c r="F224" s="128"/>
      <c r="G224" s="129"/>
      <c r="H224" s="129"/>
      <c r="I224" s="166"/>
      <c r="J224" s="180"/>
      <c r="K224" s="128"/>
      <c r="L224" s="127"/>
      <c r="M224" s="168"/>
      <c r="N224" s="173"/>
      <c r="O224" s="141"/>
      <c r="P224" s="140"/>
      <c r="Q224" s="142"/>
      <c r="R224" s="140"/>
      <c r="S224" s="142"/>
      <c r="T224" s="140"/>
    </row>
    <row r="225" spans="3:20" ht="39.75" customHeight="1">
      <c r="C225" s="196">
        <v>222</v>
      </c>
      <c r="D225" s="127"/>
      <c r="E225" s="129"/>
      <c r="F225" s="128"/>
      <c r="G225" s="129"/>
      <c r="H225" s="129"/>
      <c r="I225" s="166"/>
      <c r="J225" s="180"/>
      <c r="K225" s="128"/>
      <c r="L225" s="127"/>
      <c r="M225" s="168"/>
      <c r="N225" s="173"/>
      <c r="O225" s="141"/>
      <c r="P225" s="140"/>
      <c r="Q225" s="142"/>
      <c r="R225" s="140"/>
      <c r="S225" s="142"/>
      <c r="T225" s="140"/>
    </row>
    <row r="226" spans="3:20" ht="39.75" customHeight="1">
      <c r="C226" s="196">
        <v>223</v>
      </c>
      <c r="D226" s="127"/>
      <c r="E226" s="129"/>
      <c r="F226" s="128"/>
      <c r="G226" s="129"/>
      <c r="H226" s="129"/>
      <c r="I226" s="166"/>
      <c r="J226" s="180"/>
      <c r="K226" s="128"/>
      <c r="L226" s="127"/>
      <c r="M226" s="168"/>
      <c r="N226" s="173"/>
      <c r="O226" s="141"/>
      <c r="P226" s="140"/>
      <c r="Q226" s="142"/>
      <c r="R226" s="140"/>
      <c r="S226" s="142"/>
      <c r="T226" s="140"/>
    </row>
    <row r="227" spans="3:20" ht="39.75" customHeight="1">
      <c r="C227" s="196">
        <v>224</v>
      </c>
      <c r="D227" s="127"/>
      <c r="E227" s="129"/>
      <c r="F227" s="128"/>
      <c r="G227" s="129"/>
      <c r="H227" s="129"/>
      <c r="I227" s="166"/>
      <c r="J227" s="180"/>
      <c r="K227" s="128"/>
      <c r="L227" s="127"/>
      <c r="M227" s="168"/>
      <c r="N227" s="173"/>
      <c r="O227" s="141"/>
      <c r="P227" s="140"/>
      <c r="Q227" s="142"/>
      <c r="R227" s="140"/>
      <c r="S227" s="142"/>
      <c r="T227" s="140"/>
    </row>
    <row r="228" spans="3:20" ht="39.75" customHeight="1">
      <c r="C228" s="196">
        <v>225</v>
      </c>
      <c r="D228" s="127"/>
      <c r="E228" s="129"/>
      <c r="F228" s="128"/>
      <c r="G228" s="129"/>
      <c r="H228" s="129"/>
      <c r="I228" s="166"/>
      <c r="J228" s="180"/>
      <c r="K228" s="128"/>
      <c r="L228" s="127"/>
      <c r="M228" s="168"/>
      <c r="N228" s="173"/>
      <c r="O228" s="141"/>
      <c r="P228" s="140"/>
      <c r="Q228" s="142"/>
      <c r="R228" s="140"/>
      <c r="S228" s="142"/>
      <c r="T228" s="140"/>
    </row>
    <row r="229" spans="3:20" ht="39.75" customHeight="1">
      <c r="C229" s="196">
        <v>226</v>
      </c>
      <c r="D229" s="127"/>
      <c r="E229" s="129"/>
      <c r="F229" s="128"/>
      <c r="G229" s="129"/>
      <c r="H229" s="129"/>
      <c r="I229" s="166"/>
      <c r="J229" s="180"/>
      <c r="K229" s="128"/>
      <c r="L229" s="127"/>
      <c r="M229" s="168"/>
      <c r="N229" s="173"/>
      <c r="O229" s="141"/>
      <c r="P229" s="140"/>
      <c r="Q229" s="142"/>
      <c r="R229" s="140"/>
      <c r="S229" s="142"/>
      <c r="T229" s="140"/>
    </row>
    <row r="230" spans="3:20" ht="39.75" customHeight="1">
      <c r="C230" s="196">
        <v>227</v>
      </c>
      <c r="D230" s="127"/>
      <c r="E230" s="129"/>
      <c r="F230" s="128"/>
      <c r="G230" s="129"/>
      <c r="H230" s="129"/>
      <c r="I230" s="166"/>
      <c r="J230" s="180"/>
      <c r="K230" s="128"/>
      <c r="L230" s="127"/>
      <c r="M230" s="168"/>
      <c r="N230" s="173"/>
      <c r="O230" s="141"/>
      <c r="P230" s="140"/>
      <c r="Q230" s="142"/>
      <c r="R230" s="140"/>
      <c r="S230" s="142"/>
      <c r="T230" s="140"/>
    </row>
    <row r="231" spans="3:20" ht="39.75" customHeight="1">
      <c r="C231" s="196">
        <v>228</v>
      </c>
      <c r="D231" s="127"/>
      <c r="E231" s="129"/>
      <c r="F231" s="128"/>
      <c r="G231" s="129"/>
      <c r="H231" s="129"/>
      <c r="I231" s="166"/>
      <c r="J231" s="180"/>
      <c r="K231" s="128"/>
      <c r="L231" s="127"/>
      <c r="M231" s="168"/>
      <c r="N231" s="173"/>
      <c r="O231" s="141"/>
      <c r="P231" s="140"/>
      <c r="Q231" s="142"/>
      <c r="R231" s="140"/>
      <c r="S231" s="142"/>
      <c r="T231" s="140"/>
    </row>
    <row r="232" spans="3:20" ht="39.75" customHeight="1">
      <c r="C232" s="196">
        <v>229</v>
      </c>
      <c r="D232" s="127"/>
      <c r="E232" s="129"/>
      <c r="F232" s="128"/>
      <c r="G232" s="129"/>
      <c r="H232" s="129"/>
      <c r="I232" s="166"/>
      <c r="J232" s="180"/>
      <c r="K232" s="128"/>
      <c r="L232" s="127"/>
      <c r="M232" s="168"/>
      <c r="N232" s="173"/>
      <c r="O232" s="141"/>
      <c r="P232" s="140"/>
      <c r="Q232" s="142"/>
      <c r="R232" s="140"/>
      <c r="S232" s="142"/>
      <c r="T232" s="140"/>
    </row>
    <row r="233" spans="3:20" ht="39.75" customHeight="1">
      <c r="C233" s="196">
        <v>230</v>
      </c>
      <c r="D233" s="127"/>
      <c r="E233" s="129"/>
      <c r="F233" s="128"/>
      <c r="G233" s="129"/>
      <c r="H233" s="129"/>
      <c r="I233" s="166"/>
      <c r="J233" s="180"/>
      <c r="K233" s="128"/>
      <c r="L233" s="127"/>
      <c r="M233" s="168"/>
      <c r="N233" s="173"/>
      <c r="O233" s="141"/>
      <c r="P233" s="140"/>
      <c r="Q233" s="142"/>
      <c r="R233" s="140"/>
      <c r="S233" s="142"/>
      <c r="T233" s="140"/>
    </row>
    <row r="234" spans="3:20" ht="39.75" customHeight="1">
      <c r="C234" s="196">
        <v>231</v>
      </c>
      <c r="D234" s="127"/>
      <c r="E234" s="129"/>
      <c r="F234" s="128"/>
      <c r="G234" s="129"/>
      <c r="H234" s="129"/>
      <c r="I234" s="166"/>
      <c r="J234" s="180"/>
      <c r="K234" s="128"/>
      <c r="L234" s="127"/>
      <c r="M234" s="168"/>
      <c r="N234" s="173"/>
      <c r="O234" s="141"/>
      <c r="P234" s="140"/>
      <c r="Q234" s="142"/>
      <c r="R234" s="140"/>
      <c r="S234" s="142"/>
      <c r="T234" s="140"/>
    </row>
    <row r="235" spans="3:20" ht="39.75" customHeight="1">
      <c r="C235" s="196">
        <v>232</v>
      </c>
      <c r="D235" s="127"/>
      <c r="E235" s="129"/>
      <c r="F235" s="128"/>
      <c r="G235" s="129"/>
      <c r="H235" s="129"/>
      <c r="I235" s="166"/>
      <c r="J235" s="180"/>
      <c r="K235" s="128"/>
      <c r="L235" s="127"/>
      <c r="M235" s="168"/>
      <c r="N235" s="173"/>
      <c r="O235" s="141"/>
      <c r="P235" s="140"/>
      <c r="Q235" s="142"/>
      <c r="R235" s="140"/>
      <c r="S235" s="142"/>
      <c r="T235" s="140"/>
    </row>
    <row r="236" spans="3:20" ht="39.75" customHeight="1">
      <c r="C236" s="196">
        <v>233</v>
      </c>
      <c r="D236" s="127"/>
      <c r="E236" s="129"/>
      <c r="F236" s="128"/>
      <c r="G236" s="129"/>
      <c r="H236" s="129"/>
      <c r="I236" s="166"/>
      <c r="J236" s="180"/>
      <c r="K236" s="128"/>
      <c r="L236" s="127"/>
      <c r="M236" s="168"/>
      <c r="N236" s="173"/>
      <c r="O236" s="141"/>
      <c r="P236" s="140"/>
      <c r="Q236" s="142"/>
      <c r="R236" s="140"/>
      <c r="S236" s="142"/>
      <c r="T236" s="140"/>
    </row>
    <row r="237" spans="3:20" ht="39.75" customHeight="1">
      <c r="C237" s="196">
        <v>234</v>
      </c>
      <c r="D237" s="127"/>
      <c r="E237" s="129"/>
      <c r="F237" s="128"/>
      <c r="G237" s="129"/>
      <c r="H237" s="129"/>
      <c r="I237" s="166"/>
      <c r="J237" s="180"/>
      <c r="K237" s="128"/>
      <c r="L237" s="127"/>
      <c r="M237" s="168"/>
      <c r="N237" s="173"/>
      <c r="O237" s="141"/>
      <c r="P237" s="140"/>
      <c r="Q237" s="142"/>
      <c r="R237" s="140"/>
      <c r="S237" s="142"/>
      <c r="T237" s="140"/>
    </row>
    <row r="238" spans="3:20" ht="39.75" customHeight="1">
      <c r="C238" s="196">
        <v>235</v>
      </c>
      <c r="D238" s="127"/>
      <c r="E238" s="129"/>
      <c r="F238" s="128"/>
      <c r="G238" s="129"/>
      <c r="H238" s="129"/>
      <c r="I238" s="166"/>
      <c r="J238" s="180"/>
      <c r="K238" s="128"/>
      <c r="L238" s="127"/>
      <c r="M238" s="168"/>
      <c r="N238" s="173"/>
      <c r="O238" s="141"/>
      <c r="P238" s="140"/>
      <c r="Q238" s="142"/>
      <c r="R238" s="140"/>
      <c r="S238" s="142"/>
      <c r="T238" s="140"/>
    </row>
    <row r="239" spans="3:20" ht="39.75" customHeight="1">
      <c r="C239" s="196">
        <v>236</v>
      </c>
      <c r="D239" s="127"/>
      <c r="E239" s="129"/>
      <c r="F239" s="128"/>
      <c r="G239" s="129"/>
      <c r="H239" s="129"/>
      <c r="I239" s="166"/>
      <c r="J239" s="180"/>
      <c r="K239" s="128"/>
      <c r="L239" s="127"/>
      <c r="M239" s="168"/>
      <c r="N239" s="173"/>
      <c r="O239" s="141"/>
      <c r="P239" s="140"/>
      <c r="Q239" s="142"/>
      <c r="R239" s="140"/>
      <c r="S239" s="142"/>
      <c r="T239" s="140"/>
    </row>
    <row r="240" spans="3:20" ht="39.75" customHeight="1">
      <c r="C240" s="196">
        <v>237</v>
      </c>
      <c r="D240" s="127"/>
      <c r="E240" s="129"/>
      <c r="F240" s="128"/>
      <c r="G240" s="129"/>
      <c r="H240" s="129"/>
      <c r="I240" s="166"/>
      <c r="J240" s="180"/>
      <c r="K240" s="128"/>
      <c r="L240" s="127"/>
      <c r="M240" s="168"/>
      <c r="N240" s="173"/>
      <c r="O240" s="141"/>
      <c r="P240" s="140"/>
      <c r="Q240" s="142"/>
      <c r="R240" s="140"/>
      <c r="S240" s="142"/>
      <c r="T240" s="140"/>
    </row>
    <row r="241" spans="3:20" ht="39.75" customHeight="1">
      <c r="C241" s="196">
        <v>238</v>
      </c>
      <c r="D241" s="127"/>
      <c r="E241" s="129"/>
      <c r="F241" s="128"/>
      <c r="G241" s="129"/>
      <c r="H241" s="129"/>
      <c r="I241" s="166"/>
      <c r="J241" s="180"/>
      <c r="K241" s="128"/>
      <c r="L241" s="127"/>
      <c r="M241" s="168"/>
      <c r="N241" s="173"/>
      <c r="O241" s="141"/>
      <c r="P241" s="140"/>
      <c r="Q241" s="142"/>
      <c r="R241" s="140"/>
      <c r="S241" s="142"/>
      <c r="T241" s="140"/>
    </row>
    <row r="242" spans="3:20" ht="39.75" customHeight="1">
      <c r="C242" s="196">
        <v>239</v>
      </c>
      <c r="D242" s="127"/>
      <c r="E242" s="129"/>
      <c r="F242" s="128"/>
      <c r="G242" s="129"/>
      <c r="H242" s="129"/>
      <c r="I242" s="166"/>
      <c r="J242" s="180"/>
      <c r="K242" s="128"/>
      <c r="L242" s="127"/>
      <c r="M242" s="168"/>
      <c r="N242" s="173"/>
      <c r="O242" s="141"/>
      <c r="P242" s="140"/>
      <c r="Q242" s="142"/>
      <c r="R242" s="140"/>
      <c r="S242" s="142"/>
      <c r="T242" s="140"/>
    </row>
    <row r="243" spans="3:20" ht="39.75" customHeight="1">
      <c r="C243" s="196">
        <v>240</v>
      </c>
      <c r="D243" s="127"/>
      <c r="E243" s="129"/>
      <c r="F243" s="128"/>
      <c r="G243" s="129"/>
      <c r="H243" s="129"/>
      <c r="I243" s="166"/>
      <c r="J243" s="180"/>
      <c r="K243" s="128"/>
      <c r="L243" s="127"/>
      <c r="M243" s="168"/>
      <c r="N243" s="173"/>
      <c r="O243" s="141"/>
      <c r="P243" s="140"/>
      <c r="Q243" s="142"/>
      <c r="R243" s="140"/>
      <c r="S243" s="142"/>
      <c r="T243" s="140"/>
    </row>
    <row r="244" spans="3:20" ht="39.75" customHeight="1">
      <c r="C244" s="196">
        <v>241</v>
      </c>
      <c r="D244" s="127"/>
      <c r="E244" s="129"/>
      <c r="F244" s="128"/>
      <c r="G244" s="129"/>
      <c r="H244" s="129"/>
      <c r="I244" s="166"/>
      <c r="J244" s="180"/>
      <c r="K244" s="128"/>
      <c r="L244" s="127"/>
      <c r="M244" s="168"/>
      <c r="N244" s="173"/>
      <c r="O244" s="141"/>
      <c r="P244" s="140"/>
      <c r="Q244" s="142"/>
      <c r="R244" s="140"/>
      <c r="S244" s="142"/>
      <c r="T244" s="140"/>
    </row>
    <row r="245" spans="3:20" ht="39.75" customHeight="1">
      <c r="C245" s="196">
        <v>242</v>
      </c>
      <c r="D245" s="127"/>
      <c r="E245" s="129"/>
      <c r="F245" s="128"/>
      <c r="G245" s="129"/>
      <c r="H245" s="129"/>
      <c r="I245" s="166"/>
      <c r="J245" s="180"/>
      <c r="K245" s="128"/>
      <c r="L245" s="127"/>
      <c r="M245" s="168"/>
      <c r="N245" s="173"/>
      <c r="O245" s="141"/>
      <c r="P245" s="140"/>
      <c r="Q245" s="142"/>
      <c r="R245" s="140"/>
      <c r="S245" s="142"/>
      <c r="T245" s="140"/>
    </row>
    <row r="246" spans="3:20" ht="39.75" customHeight="1">
      <c r="C246" s="196">
        <v>243</v>
      </c>
      <c r="D246" s="127"/>
      <c r="E246" s="129"/>
      <c r="F246" s="128"/>
      <c r="G246" s="129"/>
      <c r="H246" s="129"/>
      <c r="I246" s="166"/>
      <c r="J246" s="180"/>
      <c r="K246" s="128"/>
      <c r="L246" s="127"/>
      <c r="M246" s="168"/>
      <c r="N246" s="173"/>
      <c r="O246" s="141"/>
      <c r="P246" s="140"/>
      <c r="Q246" s="142"/>
      <c r="R246" s="140"/>
      <c r="S246" s="142"/>
      <c r="T246" s="140"/>
    </row>
    <row r="247" spans="3:20" ht="39.75" customHeight="1">
      <c r="C247" s="196">
        <v>244</v>
      </c>
      <c r="D247" s="127"/>
      <c r="E247" s="129"/>
      <c r="F247" s="128"/>
      <c r="G247" s="129"/>
      <c r="H247" s="129"/>
      <c r="I247" s="166"/>
      <c r="J247" s="180"/>
      <c r="K247" s="128"/>
      <c r="L247" s="127"/>
      <c r="M247" s="168"/>
      <c r="N247" s="173"/>
      <c r="O247" s="141"/>
      <c r="P247" s="140"/>
      <c r="Q247" s="142"/>
      <c r="R247" s="140"/>
      <c r="S247" s="142"/>
      <c r="T247" s="140"/>
    </row>
    <row r="248" spans="3:20" ht="39.75" customHeight="1">
      <c r="C248" s="196">
        <v>245</v>
      </c>
      <c r="D248" s="127"/>
      <c r="E248" s="129"/>
      <c r="F248" s="128"/>
      <c r="G248" s="129"/>
      <c r="H248" s="129"/>
      <c r="I248" s="166"/>
      <c r="J248" s="180"/>
      <c r="K248" s="128"/>
      <c r="L248" s="127"/>
      <c r="M248" s="168"/>
      <c r="N248" s="173"/>
      <c r="O248" s="141"/>
      <c r="P248" s="140"/>
      <c r="Q248" s="142"/>
      <c r="R248" s="140"/>
      <c r="S248" s="142"/>
      <c r="T248" s="140"/>
    </row>
    <row r="249" spans="3:20" ht="39.75" customHeight="1">
      <c r="C249" s="196">
        <v>246</v>
      </c>
      <c r="D249" s="127"/>
      <c r="E249" s="129"/>
      <c r="F249" s="128"/>
      <c r="G249" s="129"/>
      <c r="H249" s="129"/>
      <c r="I249" s="166"/>
      <c r="J249" s="180"/>
      <c r="K249" s="128"/>
      <c r="L249" s="127"/>
      <c r="M249" s="168"/>
      <c r="N249" s="173"/>
      <c r="O249" s="141"/>
      <c r="P249" s="140"/>
      <c r="Q249" s="142"/>
      <c r="R249" s="140"/>
      <c r="S249" s="142"/>
      <c r="T249" s="140"/>
    </row>
    <row r="250" spans="3:20" ht="39.75" customHeight="1">
      <c r="C250" s="196">
        <v>247</v>
      </c>
      <c r="D250" s="127"/>
      <c r="E250" s="129"/>
      <c r="F250" s="128"/>
      <c r="G250" s="129"/>
      <c r="H250" s="129"/>
      <c r="I250" s="166"/>
      <c r="J250" s="180"/>
      <c r="K250" s="128"/>
      <c r="L250" s="127"/>
      <c r="M250" s="168"/>
      <c r="N250" s="173"/>
      <c r="O250" s="141"/>
      <c r="P250" s="140"/>
      <c r="Q250" s="142"/>
      <c r="R250" s="140"/>
      <c r="S250" s="142"/>
      <c r="T250" s="140"/>
    </row>
    <row r="251" spans="3:20" ht="39.75" customHeight="1">
      <c r="C251" s="196">
        <v>248</v>
      </c>
      <c r="D251" s="127"/>
      <c r="E251" s="129"/>
      <c r="F251" s="128"/>
      <c r="G251" s="129"/>
      <c r="H251" s="129"/>
      <c r="I251" s="166"/>
      <c r="J251" s="180"/>
      <c r="K251" s="128"/>
      <c r="L251" s="127"/>
      <c r="M251" s="168"/>
      <c r="N251" s="173"/>
      <c r="O251" s="141"/>
      <c r="P251" s="140"/>
      <c r="Q251" s="142"/>
      <c r="R251" s="140"/>
      <c r="S251" s="142"/>
      <c r="T251" s="140"/>
    </row>
    <row r="252" spans="3:20" ht="39.75" customHeight="1">
      <c r="C252" s="196">
        <v>249</v>
      </c>
      <c r="D252" s="127"/>
      <c r="E252" s="129"/>
      <c r="F252" s="128"/>
      <c r="G252" s="129"/>
      <c r="H252" s="129"/>
      <c r="I252" s="166"/>
      <c r="J252" s="180"/>
      <c r="K252" s="128"/>
      <c r="L252" s="127"/>
      <c r="M252" s="168"/>
      <c r="N252" s="173"/>
      <c r="O252" s="141"/>
      <c r="P252" s="140"/>
      <c r="Q252" s="142"/>
      <c r="R252" s="140"/>
      <c r="S252" s="142"/>
      <c r="T252" s="140"/>
    </row>
    <row r="253" spans="3:20" ht="39.75" customHeight="1">
      <c r="C253" s="196">
        <v>250</v>
      </c>
      <c r="D253" s="127"/>
      <c r="E253" s="129"/>
      <c r="F253" s="128"/>
      <c r="G253" s="129"/>
      <c r="H253" s="129"/>
      <c r="I253" s="166"/>
      <c r="J253" s="180"/>
      <c r="K253" s="128"/>
      <c r="L253" s="127"/>
      <c r="M253" s="168"/>
      <c r="N253" s="173"/>
      <c r="O253" s="141"/>
      <c r="P253" s="140"/>
      <c r="Q253" s="142"/>
      <c r="R253" s="140"/>
      <c r="S253" s="142"/>
      <c r="T253" s="140"/>
    </row>
    <row r="254" spans="3:20" ht="39.75" customHeight="1">
      <c r="C254" s="196">
        <v>251</v>
      </c>
      <c r="D254" s="127"/>
      <c r="E254" s="129"/>
      <c r="F254" s="128"/>
      <c r="G254" s="129"/>
      <c r="H254" s="129"/>
      <c r="I254" s="166"/>
      <c r="J254" s="180"/>
      <c r="K254" s="128"/>
      <c r="L254" s="127"/>
      <c r="M254" s="168"/>
      <c r="N254" s="173"/>
      <c r="O254" s="141"/>
      <c r="P254" s="140"/>
      <c r="Q254" s="142"/>
      <c r="R254" s="140"/>
      <c r="S254" s="142"/>
      <c r="T254" s="140"/>
    </row>
    <row r="255" spans="3:20" ht="39.75" customHeight="1">
      <c r="C255" s="196">
        <v>252</v>
      </c>
      <c r="D255" s="127"/>
      <c r="E255" s="129"/>
      <c r="F255" s="128"/>
      <c r="G255" s="129"/>
      <c r="H255" s="129"/>
      <c r="I255" s="166"/>
      <c r="J255" s="180"/>
      <c r="K255" s="128"/>
      <c r="L255" s="127"/>
      <c r="M255" s="168"/>
      <c r="N255" s="173"/>
      <c r="O255" s="141"/>
      <c r="P255" s="140"/>
      <c r="Q255" s="142"/>
      <c r="R255" s="140"/>
      <c r="S255" s="142"/>
      <c r="T255" s="140"/>
    </row>
    <row r="256" spans="3:20" ht="39.75" customHeight="1">
      <c r="C256" s="196">
        <v>253</v>
      </c>
      <c r="D256" s="127"/>
      <c r="E256" s="129"/>
      <c r="F256" s="128"/>
      <c r="G256" s="129"/>
      <c r="H256" s="129"/>
      <c r="I256" s="166"/>
      <c r="J256" s="180"/>
      <c r="K256" s="128"/>
      <c r="L256" s="127"/>
      <c r="M256" s="168"/>
      <c r="N256" s="173"/>
      <c r="O256" s="141"/>
      <c r="P256" s="140"/>
      <c r="Q256" s="142"/>
      <c r="R256" s="140"/>
      <c r="S256" s="142"/>
      <c r="T256" s="140"/>
    </row>
    <row r="257" spans="3:20" ht="39.75" customHeight="1">
      <c r="C257" s="196">
        <v>254</v>
      </c>
      <c r="D257" s="127"/>
      <c r="E257" s="129"/>
      <c r="F257" s="128"/>
      <c r="G257" s="129"/>
      <c r="H257" s="129"/>
      <c r="I257" s="166"/>
      <c r="J257" s="180"/>
      <c r="K257" s="128"/>
      <c r="L257" s="127"/>
      <c r="M257" s="168"/>
      <c r="N257" s="173"/>
      <c r="O257" s="141"/>
      <c r="P257" s="140"/>
      <c r="Q257" s="142"/>
      <c r="R257" s="140"/>
      <c r="S257" s="142"/>
      <c r="T257" s="140"/>
    </row>
    <row r="258" spans="3:20" ht="39.75" customHeight="1">
      <c r="C258" s="196">
        <v>255</v>
      </c>
      <c r="D258" s="127"/>
      <c r="E258" s="129"/>
      <c r="F258" s="128"/>
      <c r="G258" s="129"/>
      <c r="H258" s="129"/>
      <c r="I258" s="166"/>
      <c r="J258" s="180"/>
      <c r="K258" s="128"/>
      <c r="L258" s="127"/>
      <c r="M258" s="168"/>
      <c r="N258" s="173"/>
      <c r="O258" s="141"/>
      <c r="P258" s="140"/>
      <c r="Q258" s="142"/>
      <c r="R258" s="140"/>
      <c r="S258" s="142"/>
      <c r="T258" s="140"/>
    </row>
    <row r="259" spans="3:20" ht="39.75" customHeight="1">
      <c r="C259" s="196">
        <v>256</v>
      </c>
      <c r="D259" s="127"/>
      <c r="E259" s="129"/>
      <c r="F259" s="128"/>
      <c r="G259" s="129"/>
      <c r="H259" s="129"/>
      <c r="I259" s="166"/>
      <c r="J259" s="180"/>
      <c r="K259" s="128"/>
      <c r="L259" s="127"/>
      <c r="M259" s="168"/>
      <c r="N259" s="173"/>
      <c r="O259" s="141"/>
      <c r="P259" s="140"/>
      <c r="Q259" s="142"/>
      <c r="R259" s="140"/>
      <c r="S259" s="142"/>
      <c r="T259" s="140"/>
    </row>
    <row r="260" spans="3:20" ht="39.75" customHeight="1">
      <c r="C260" s="196">
        <v>257</v>
      </c>
      <c r="D260" s="127"/>
      <c r="E260" s="129"/>
      <c r="F260" s="128"/>
      <c r="G260" s="129"/>
      <c r="H260" s="129"/>
      <c r="I260" s="166"/>
      <c r="J260" s="180"/>
      <c r="K260" s="128"/>
      <c r="L260" s="127"/>
      <c r="M260" s="168"/>
      <c r="N260" s="173"/>
      <c r="O260" s="141"/>
      <c r="P260" s="140"/>
      <c r="Q260" s="142"/>
      <c r="R260" s="140"/>
      <c r="S260" s="142"/>
      <c r="T260" s="140"/>
    </row>
    <row r="261" spans="3:20" ht="39.75" customHeight="1">
      <c r="C261" s="196">
        <v>258</v>
      </c>
      <c r="D261" s="127"/>
      <c r="E261" s="129"/>
      <c r="F261" s="128"/>
      <c r="G261" s="129"/>
      <c r="H261" s="129"/>
      <c r="I261" s="166"/>
      <c r="J261" s="180"/>
      <c r="K261" s="128"/>
      <c r="L261" s="127"/>
      <c r="M261" s="168"/>
      <c r="N261" s="173"/>
      <c r="O261" s="141"/>
      <c r="P261" s="140"/>
      <c r="Q261" s="142"/>
      <c r="R261" s="140"/>
      <c r="S261" s="142"/>
      <c r="T261" s="140"/>
    </row>
    <row r="262" spans="3:20" ht="39.75" customHeight="1">
      <c r="C262" s="196">
        <v>259</v>
      </c>
      <c r="D262" s="127"/>
      <c r="E262" s="129"/>
      <c r="F262" s="128"/>
      <c r="G262" s="129"/>
      <c r="H262" s="129"/>
      <c r="I262" s="166"/>
      <c r="J262" s="180"/>
      <c r="K262" s="128"/>
      <c r="L262" s="127"/>
      <c r="M262" s="168"/>
      <c r="N262" s="173"/>
      <c r="O262" s="141"/>
      <c r="P262" s="140"/>
      <c r="Q262" s="142"/>
      <c r="R262" s="140"/>
      <c r="S262" s="142"/>
      <c r="T262" s="140"/>
    </row>
    <row r="263" spans="3:20" ht="39.75" customHeight="1">
      <c r="C263" s="196">
        <v>260</v>
      </c>
      <c r="D263" s="127"/>
      <c r="E263" s="129"/>
      <c r="F263" s="128"/>
      <c r="G263" s="129"/>
      <c r="H263" s="129"/>
      <c r="I263" s="166"/>
      <c r="J263" s="180"/>
      <c r="K263" s="128"/>
      <c r="L263" s="127"/>
      <c r="M263" s="168"/>
      <c r="N263" s="173"/>
      <c r="O263" s="141"/>
      <c r="P263" s="140"/>
      <c r="Q263" s="142"/>
      <c r="R263" s="140"/>
      <c r="S263" s="142"/>
      <c r="T263" s="140"/>
    </row>
    <row r="264" spans="3:20" ht="39.75" customHeight="1">
      <c r="C264" s="196">
        <v>261</v>
      </c>
      <c r="D264" s="127"/>
      <c r="E264" s="129"/>
      <c r="F264" s="128"/>
      <c r="G264" s="129"/>
      <c r="H264" s="129"/>
      <c r="I264" s="166"/>
      <c r="J264" s="180"/>
      <c r="K264" s="128"/>
      <c r="L264" s="127"/>
      <c r="M264" s="168"/>
      <c r="N264" s="173"/>
      <c r="O264" s="141"/>
      <c r="P264" s="140"/>
      <c r="Q264" s="142"/>
      <c r="R264" s="140"/>
      <c r="S264" s="142"/>
      <c r="T264" s="140"/>
    </row>
    <row r="265" spans="3:20" ht="39.75" customHeight="1">
      <c r="C265" s="196">
        <v>262</v>
      </c>
      <c r="D265" s="127"/>
      <c r="E265" s="129"/>
      <c r="F265" s="128"/>
      <c r="G265" s="129"/>
      <c r="H265" s="129"/>
      <c r="I265" s="166"/>
      <c r="J265" s="180"/>
      <c r="K265" s="128"/>
      <c r="L265" s="127"/>
      <c r="M265" s="168"/>
      <c r="N265" s="173"/>
      <c r="O265" s="141"/>
      <c r="P265" s="140"/>
      <c r="Q265" s="142"/>
      <c r="R265" s="140"/>
      <c r="S265" s="142"/>
      <c r="T265" s="140"/>
    </row>
    <row r="266" spans="3:20" ht="39.75" customHeight="1">
      <c r="C266" s="196">
        <v>263</v>
      </c>
      <c r="D266" s="127"/>
      <c r="E266" s="129"/>
      <c r="F266" s="128"/>
      <c r="G266" s="129"/>
      <c r="H266" s="129"/>
      <c r="I266" s="166"/>
      <c r="J266" s="180"/>
      <c r="K266" s="128"/>
      <c r="L266" s="127"/>
      <c r="M266" s="168"/>
      <c r="N266" s="173"/>
      <c r="O266" s="141"/>
      <c r="P266" s="140"/>
      <c r="Q266" s="142"/>
      <c r="R266" s="140"/>
      <c r="S266" s="142"/>
      <c r="T266" s="140"/>
    </row>
    <row r="267" spans="3:20" ht="39.75" customHeight="1">
      <c r="C267" s="196">
        <v>264</v>
      </c>
      <c r="D267" s="127"/>
      <c r="E267" s="129"/>
      <c r="F267" s="128"/>
      <c r="G267" s="129"/>
      <c r="H267" s="129"/>
      <c r="I267" s="166"/>
      <c r="J267" s="180"/>
      <c r="K267" s="128"/>
      <c r="L267" s="127"/>
      <c r="M267" s="168"/>
      <c r="N267" s="173"/>
      <c r="O267" s="141"/>
      <c r="P267" s="140"/>
      <c r="Q267" s="142"/>
      <c r="R267" s="140"/>
      <c r="S267" s="142"/>
      <c r="T267" s="140"/>
    </row>
    <row r="268" spans="3:20" ht="39.75" customHeight="1">
      <c r="C268" s="196">
        <v>265</v>
      </c>
      <c r="D268" s="127"/>
      <c r="E268" s="129"/>
      <c r="F268" s="128"/>
      <c r="G268" s="129"/>
      <c r="H268" s="129"/>
      <c r="I268" s="166"/>
      <c r="J268" s="180"/>
      <c r="K268" s="128"/>
      <c r="L268" s="127"/>
      <c r="M268" s="168"/>
      <c r="N268" s="173"/>
      <c r="O268" s="141"/>
      <c r="P268" s="140"/>
      <c r="Q268" s="142"/>
      <c r="R268" s="140"/>
      <c r="S268" s="142"/>
      <c r="T268" s="140"/>
    </row>
    <row r="269" spans="3:20" ht="39.75" customHeight="1">
      <c r="C269" s="196">
        <v>266</v>
      </c>
      <c r="D269" s="127"/>
      <c r="E269" s="129"/>
      <c r="F269" s="128"/>
      <c r="G269" s="129"/>
      <c r="H269" s="129"/>
      <c r="I269" s="166"/>
      <c r="J269" s="180"/>
      <c r="K269" s="128"/>
      <c r="L269" s="127"/>
      <c r="M269" s="168"/>
      <c r="N269" s="173"/>
      <c r="O269" s="141"/>
      <c r="P269" s="140"/>
      <c r="Q269" s="142"/>
      <c r="R269" s="140"/>
      <c r="S269" s="142"/>
      <c r="T269" s="140"/>
    </row>
    <row r="270" spans="3:20" ht="39.75" customHeight="1">
      <c r="C270" s="196">
        <v>267</v>
      </c>
      <c r="D270" s="127"/>
      <c r="E270" s="129"/>
      <c r="F270" s="128"/>
      <c r="G270" s="129"/>
      <c r="H270" s="129"/>
      <c r="I270" s="166"/>
      <c r="J270" s="180"/>
      <c r="K270" s="128"/>
      <c r="L270" s="127"/>
      <c r="M270" s="168"/>
      <c r="N270" s="173"/>
      <c r="O270" s="141"/>
      <c r="P270" s="140"/>
      <c r="Q270" s="142"/>
      <c r="R270" s="140"/>
      <c r="S270" s="142"/>
      <c r="T270" s="140"/>
    </row>
    <row r="271" spans="3:20" ht="39.75" customHeight="1">
      <c r="C271" s="196">
        <v>268</v>
      </c>
      <c r="D271" s="127"/>
      <c r="E271" s="129"/>
      <c r="F271" s="128"/>
      <c r="G271" s="129"/>
      <c r="H271" s="129"/>
      <c r="I271" s="166"/>
      <c r="J271" s="180"/>
      <c r="K271" s="128"/>
      <c r="L271" s="127"/>
      <c r="M271" s="168"/>
      <c r="N271" s="173"/>
      <c r="O271" s="141"/>
      <c r="P271" s="140"/>
      <c r="Q271" s="142"/>
      <c r="R271" s="140"/>
      <c r="S271" s="142"/>
      <c r="T271" s="140"/>
    </row>
    <row r="272" spans="3:20" ht="39.75" customHeight="1">
      <c r="C272" s="196">
        <v>269</v>
      </c>
      <c r="D272" s="127"/>
      <c r="E272" s="129"/>
      <c r="F272" s="128"/>
      <c r="G272" s="129"/>
      <c r="H272" s="129"/>
      <c r="I272" s="166"/>
      <c r="J272" s="180"/>
      <c r="K272" s="128"/>
      <c r="L272" s="127"/>
      <c r="M272" s="168"/>
      <c r="N272" s="173"/>
      <c r="O272" s="141"/>
      <c r="P272" s="140"/>
      <c r="Q272" s="142"/>
      <c r="R272" s="140"/>
      <c r="S272" s="142"/>
      <c r="T272" s="140"/>
    </row>
    <row r="273" spans="3:20" ht="39.75" customHeight="1">
      <c r="C273" s="196">
        <v>270</v>
      </c>
      <c r="D273" s="127"/>
      <c r="E273" s="129"/>
      <c r="F273" s="128"/>
      <c r="G273" s="129"/>
      <c r="H273" s="129"/>
      <c r="I273" s="166"/>
      <c r="J273" s="180"/>
      <c r="K273" s="128"/>
      <c r="L273" s="127"/>
      <c r="M273" s="168"/>
      <c r="N273" s="173"/>
      <c r="O273" s="141"/>
      <c r="P273" s="140"/>
      <c r="Q273" s="142"/>
      <c r="R273" s="140"/>
      <c r="S273" s="142"/>
      <c r="T273" s="140"/>
    </row>
    <row r="274" spans="3:20" ht="39.75" customHeight="1">
      <c r="C274" s="196">
        <v>271</v>
      </c>
      <c r="D274" s="127"/>
      <c r="E274" s="129"/>
      <c r="F274" s="128"/>
      <c r="G274" s="129"/>
      <c r="H274" s="129"/>
      <c r="I274" s="166"/>
      <c r="J274" s="180"/>
      <c r="K274" s="128"/>
      <c r="L274" s="127"/>
      <c r="M274" s="168"/>
      <c r="N274" s="173"/>
      <c r="O274" s="141"/>
      <c r="P274" s="140"/>
      <c r="Q274" s="142"/>
      <c r="R274" s="140"/>
      <c r="S274" s="142"/>
      <c r="T274" s="140"/>
    </row>
    <row r="275" spans="3:20" ht="39.75" customHeight="1">
      <c r="C275" s="196">
        <v>272</v>
      </c>
      <c r="D275" s="127"/>
      <c r="E275" s="129"/>
      <c r="F275" s="128"/>
      <c r="G275" s="129"/>
      <c r="H275" s="129"/>
      <c r="I275" s="166"/>
      <c r="J275" s="180"/>
      <c r="K275" s="128"/>
      <c r="L275" s="127"/>
      <c r="M275" s="168"/>
      <c r="N275" s="173"/>
      <c r="O275" s="141"/>
      <c r="P275" s="140"/>
      <c r="Q275" s="142"/>
      <c r="R275" s="140"/>
      <c r="S275" s="142"/>
      <c r="T275" s="140"/>
    </row>
    <row r="276" spans="3:20" ht="39.75" customHeight="1">
      <c r="C276" s="196">
        <v>273</v>
      </c>
      <c r="D276" s="127"/>
      <c r="E276" s="129"/>
      <c r="F276" s="128"/>
      <c r="G276" s="129"/>
      <c r="H276" s="129"/>
      <c r="I276" s="166"/>
      <c r="J276" s="180"/>
      <c r="K276" s="128"/>
      <c r="L276" s="127"/>
      <c r="M276" s="168"/>
      <c r="N276" s="173"/>
      <c r="O276" s="141"/>
      <c r="P276" s="140"/>
      <c r="Q276" s="142"/>
      <c r="R276" s="140"/>
      <c r="S276" s="142"/>
      <c r="T276" s="140"/>
    </row>
    <row r="277" spans="3:20" ht="39.75" customHeight="1">
      <c r="C277" s="196">
        <v>274</v>
      </c>
      <c r="D277" s="127"/>
      <c r="E277" s="129"/>
      <c r="F277" s="128"/>
      <c r="G277" s="129"/>
      <c r="H277" s="129"/>
      <c r="I277" s="166"/>
      <c r="J277" s="180"/>
      <c r="K277" s="128"/>
      <c r="L277" s="127"/>
      <c r="M277" s="168"/>
      <c r="N277" s="173"/>
      <c r="O277" s="141"/>
      <c r="P277" s="140"/>
      <c r="Q277" s="142"/>
      <c r="R277" s="140"/>
      <c r="S277" s="142"/>
      <c r="T277" s="140"/>
    </row>
    <row r="278" spans="3:20" ht="39.75" customHeight="1">
      <c r="C278" s="196">
        <v>275</v>
      </c>
      <c r="D278" s="127"/>
      <c r="E278" s="129"/>
      <c r="F278" s="128"/>
      <c r="G278" s="129"/>
      <c r="H278" s="129"/>
      <c r="I278" s="166"/>
      <c r="J278" s="180"/>
      <c r="K278" s="128"/>
      <c r="L278" s="127"/>
      <c r="M278" s="168"/>
      <c r="N278" s="173"/>
      <c r="O278" s="141"/>
      <c r="P278" s="140"/>
      <c r="Q278" s="142"/>
      <c r="R278" s="140"/>
      <c r="S278" s="142"/>
      <c r="T278" s="140"/>
    </row>
    <row r="279" spans="3:20" ht="39.75" customHeight="1">
      <c r="C279" s="196">
        <v>276</v>
      </c>
      <c r="D279" s="127"/>
      <c r="E279" s="129"/>
      <c r="F279" s="128"/>
      <c r="G279" s="129"/>
      <c r="H279" s="129"/>
      <c r="I279" s="166"/>
      <c r="J279" s="180"/>
      <c r="K279" s="128"/>
      <c r="L279" s="127"/>
      <c r="M279" s="168"/>
      <c r="N279" s="173"/>
      <c r="O279" s="141"/>
      <c r="P279" s="140"/>
      <c r="Q279" s="142"/>
      <c r="R279" s="140"/>
      <c r="S279" s="142"/>
      <c r="T279" s="140"/>
    </row>
    <row r="280" spans="3:20" ht="39.75" customHeight="1">
      <c r="C280" s="196">
        <v>277</v>
      </c>
      <c r="D280" s="127"/>
      <c r="E280" s="129"/>
      <c r="F280" s="128"/>
      <c r="G280" s="129"/>
      <c r="H280" s="129"/>
      <c r="I280" s="166"/>
      <c r="J280" s="180"/>
      <c r="K280" s="128"/>
      <c r="L280" s="127"/>
      <c r="M280" s="168"/>
      <c r="N280" s="173"/>
      <c r="O280" s="141"/>
      <c r="P280" s="140"/>
      <c r="Q280" s="142"/>
      <c r="R280" s="140"/>
      <c r="S280" s="142"/>
      <c r="T280" s="140"/>
    </row>
    <row r="281" spans="3:20" ht="39.75" customHeight="1">
      <c r="C281" s="196">
        <v>278</v>
      </c>
      <c r="D281" s="127"/>
      <c r="E281" s="129"/>
      <c r="F281" s="128"/>
      <c r="G281" s="129"/>
      <c r="H281" s="129"/>
      <c r="I281" s="166"/>
      <c r="J281" s="180"/>
      <c r="K281" s="128"/>
      <c r="L281" s="127"/>
      <c r="M281" s="168"/>
      <c r="N281" s="173"/>
      <c r="O281" s="141"/>
      <c r="P281" s="140"/>
      <c r="Q281" s="142"/>
      <c r="R281" s="140"/>
      <c r="S281" s="142"/>
      <c r="T281" s="140"/>
    </row>
    <row r="282" spans="3:20" ht="39.75" customHeight="1">
      <c r="C282" s="196">
        <v>279</v>
      </c>
      <c r="D282" s="127"/>
      <c r="E282" s="129"/>
      <c r="F282" s="128"/>
      <c r="G282" s="129"/>
      <c r="H282" s="129"/>
      <c r="I282" s="166"/>
      <c r="J282" s="180"/>
      <c r="K282" s="128"/>
      <c r="L282" s="127"/>
      <c r="M282" s="168"/>
      <c r="N282" s="173"/>
      <c r="O282" s="141"/>
      <c r="P282" s="140"/>
      <c r="Q282" s="142"/>
      <c r="R282" s="140"/>
      <c r="S282" s="142"/>
      <c r="T282" s="140"/>
    </row>
    <row r="283" spans="3:20" ht="39.75" customHeight="1">
      <c r="C283" s="196">
        <v>280</v>
      </c>
      <c r="D283" s="127"/>
      <c r="E283" s="129"/>
      <c r="F283" s="128"/>
      <c r="G283" s="129"/>
      <c r="H283" s="129"/>
      <c r="I283" s="166"/>
      <c r="J283" s="180"/>
      <c r="K283" s="128"/>
      <c r="L283" s="127"/>
      <c r="M283" s="168"/>
      <c r="N283" s="173"/>
      <c r="O283" s="141"/>
      <c r="P283" s="140"/>
      <c r="Q283" s="142"/>
      <c r="R283" s="140"/>
      <c r="S283" s="142"/>
      <c r="T283" s="140"/>
    </row>
    <row r="284" spans="3:20" ht="39.75" customHeight="1">
      <c r="C284" s="196">
        <v>281</v>
      </c>
      <c r="D284" s="127"/>
      <c r="E284" s="129"/>
      <c r="F284" s="128"/>
      <c r="G284" s="129"/>
      <c r="H284" s="129"/>
      <c r="I284" s="166"/>
      <c r="J284" s="180"/>
      <c r="K284" s="128"/>
      <c r="L284" s="127"/>
      <c r="M284" s="168"/>
      <c r="N284" s="173"/>
      <c r="O284" s="141"/>
      <c r="P284" s="140"/>
      <c r="Q284" s="142"/>
      <c r="R284" s="140"/>
      <c r="S284" s="142"/>
      <c r="T284" s="140"/>
    </row>
    <row r="285" spans="3:20" ht="39.75" customHeight="1">
      <c r="C285" s="196">
        <v>282</v>
      </c>
      <c r="D285" s="127"/>
      <c r="E285" s="129"/>
      <c r="F285" s="128"/>
      <c r="G285" s="129"/>
      <c r="H285" s="129"/>
      <c r="I285" s="166"/>
      <c r="J285" s="180"/>
      <c r="K285" s="128"/>
      <c r="L285" s="127"/>
      <c r="M285" s="168"/>
      <c r="N285" s="173"/>
      <c r="O285" s="141"/>
      <c r="P285" s="140"/>
      <c r="Q285" s="142"/>
      <c r="R285" s="140"/>
      <c r="S285" s="142"/>
      <c r="T285" s="140"/>
    </row>
    <row r="286" spans="3:20" ht="39.75" customHeight="1">
      <c r="C286" s="196">
        <v>283</v>
      </c>
      <c r="D286" s="127"/>
      <c r="E286" s="129"/>
      <c r="F286" s="128"/>
      <c r="G286" s="129"/>
      <c r="H286" s="129"/>
      <c r="I286" s="166"/>
      <c r="J286" s="180"/>
      <c r="K286" s="128"/>
      <c r="L286" s="127"/>
      <c r="M286" s="168"/>
      <c r="N286" s="173"/>
      <c r="O286" s="141"/>
      <c r="P286" s="140"/>
      <c r="Q286" s="142"/>
      <c r="R286" s="140"/>
      <c r="S286" s="142"/>
      <c r="T286" s="140"/>
    </row>
    <row r="287" spans="3:20" ht="39.75" customHeight="1">
      <c r="C287" s="196">
        <v>284</v>
      </c>
      <c r="D287" s="127"/>
      <c r="E287" s="129"/>
      <c r="F287" s="128"/>
      <c r="G287" s="129"/>
      <c r="H287" s="129"/>
      <c r="I287" s="166"/>
      <c r="J287" s="180"/>
      <c r="K287" s="128"/>
      <c r="L287" s="127"/>
      <c r="M287" s="168"/>
      <c r="N287" s="173"/>
      <c r="O287" s="141"/>
      <c r="P287" s="140"/>
      <c r="Q287" s="142"/>
      <c r="R287" s="140"/>
      <c r="S287" s="142"/>
      <c r="T287" s="140"/>
    </row>
    <row r="288" spans="3:20" ht="39.75" customHeight="1">
      <c r="C288" s="196">
        <v>285</v>
      </c>
      <c r="D288" s="127"/>
      <c r="E288" s="129"/>
      <c r="F288" s="128"/>
      <c r="G288" s="129"/>
      <c r="H288" s="129"/>
      <c r="I288" s="166"/>
      <c r="J288" s="180"/>
      <c r="K288" s="128"/>
      <c r="L288" s="127"/>
      <c r="M288" s="168"/>
      <c r="N288" s="173"/>
      <c r="O288" s="141"/>
      <c r="P288" s="140"/>
      <c r="Q288" s="142"/>
      <c r="R288" s="140"/>
      <c r="S288" s="142"/>
      <c r="T288" s="140"/>
    </row>
    <row r="289" spans="3:20" ht="39.75" customHeight="1">
      <c r="C289" s="196">
        <v>286</v>
      </c>
      <c r="D289" s="127"/>
      <c r="E289" s="129"/>
      <c r="F289" s="128"/>
      <c r="G289" s="129"/>
      <c r="H289" s="129"/>
      <c r="I289" s="166"/>
      <c r="J289" s="180"/>
      <c r="K289" s="128"/>
      <c r="L289" s="127"/>
      <c r="M289" s="168"/>
      <c r="N289" s="173"/>
      <c r="O289" s="141"/>
      <c r="P289" s="140"/>
      <c r="Q289" s="142"/>
      <c r="R289" s="140"/>
      <c r="S289" s="142"/>
      <c r="T289" s="140"/>
    </row>
    <row r="290" spans="3:20" ht="39.75" customHeight="1">
      <c r="C290" s="196">
        <v>287</v>
      </c>
      <c r="D290" s="127"/>
      <c r="E290" s="129"/>
      <c r="F290" s="128"/>
      <c r="G290" s="129"/>
      <c r="H290" s="129"/>
      <c r="I290" s="166"/>
      <c r="J290" s="180"/>
      <c r="K290" s="128"/>
      <c r="L290" s="127"/>
      <c r="M290" s="168"/>
      <c r="N290" s="173"/>
      <c r="O290" s="141"/>
      <c r="P290" s="140"/>
      <c r="Q290" s="142"/>
      <c r="R290" s="140"/>
      <c r="S290" s="142"/>
      <c r="T290" s="140"/>
    </row>
    <row r="291" spans="3:20" ht="39.75" customHeight="1">
      <c r="C291" s="196">
        <v>288</v>
      </c>
      <c r="D291" s="127"/>
      <c r="E291" s="129"/>
      <c r="F291" s="128"/>
      <c r="G291" s="129"/>
      <c r="H291" s="129"/>
      <c r="I291" s="166"/>
      <c r="J291" s="180"/>
      <c r="K291" s="128"/>
      <c r="L291" s="127"/>
      <c r="M291" s="168"/>
      <c r="N291" s="173"/>
      <c r="O291" s="141"/>
      <c r="P291" s="140"/>
      <c r="Q291" s="142"/>
      <c r="R291" s="140"/>
      <c r="S291" s="142"/>
      <c r="T291" s="140"/>
    </row>
    <row r="292" spans="3:20" ht="39.75" customHeight="1">
      <c r="C292" s="196">
        <v>289</v>
      </c>
      <c r="D292" s="127"/>
      <c r="E292" s="129"/>
      <c r="F292" s="128"/>
      <c r="G292" s="129"/>
      <c r="H292" s="129"/>
      <c r="I292" s="166"/>
      <c r="J292" s="180"/>
      <c r="K292" s="128"/>
      <c r="L292" s="127"/>
      <c r="M292" s="168"/>
      <c r="N292" s="173"/>
      <c r="O292" s="141"/>
      <c r="P292" s="140"/>
      <c r="Q292" s="142"/>
      <c r="R292" s="140"/>
      <c r="S292" s="142"/>
      <c r="T292" s="140"/>
    </row>
    <row r="293" spans="3:20" ht="39.75" customHeight="1">
      <c r="C293" s="196">
        <v>290</v>
      </c>
      <c r="D293" s="127"/>
      <c r="E293" s="129"/>
      <c r="F293" s="128"/>
      <c r="G293" s="129"/>
      <c r="H293" s="129"/>
      <c r="I293" s="166"/>
      <c r="J293" s="180"/>
      <c r="K293" s="128"/>
      <c r="L293" s="127"/>
      <c r="M293" s="168"/>
      <c r="N293" s="173"/>
      <c r="O293" s="141"/>
      <c r="P293" s="140"/>
      <c r="Q293" s="142"/>
      <c r="R293" s="140"/>
      <c r="S293" s="142"/>
      <c r="T293" s="140"/>
    </row>
    <row r="294" spans="3:20" ht="39.75" customHeight="1">
      <c r="C294" s="196">
        <v>291</v>
      </c>
      <c r="D294" s="127"/>
      <c r="E294" s="129"/>
      <c r="F294" s="128"/>
      <c r="G294" s="129"/>
      <c r="H294" s="129"/>
      <c r="I294" s="166"/>
      <c r="J294" s="180"/>
      <c r="K294" s="128"/>
      <c r="L294" s="127"/>
      <c r="M294" s="168"/>
      <c r="N294" s="173"/>
      <c r="O294" s="141"/>
      <c r="P294" s="140"/>
      <c r="Q294" s="142"/>
      <c r="R294" s="140"/>
      <c r="S294" s="142"/>
      <c r="T294" s="140"/>
    </row>
    <row r="295" spans="3:20" ht="39.75" customHeight="1">
      <c r="C295" s="196">
        <v>292</v>
      </c>
      <c r="D295" s="127"/>
      <c r="E295" s="129"/>
      <c r="F295" s="128"/>
      <c r="G295" s="129"/>
      <c r="H295" s="129"/>
      <c r="I295" s="166"/>
      <c r="J295" s="180"/>
      <c r="K295" s="128"/>
      <c r="L295" s="127"/>
      <c r="M295" s="168"/>
      <c r="N295" s="173"/>
      <c r="O295" s="141"/>
      <c r="P295" s="140"/>
      <c r="Q295" s="142"/>
      <c r="R295" s="140"/>
      <c r="S295" s="142"/>
      <c r="T295" s="140"/>
    </row>
    <row r="296" spans="3:20" ht="39.75" customHeight="1">
      <c r="C296" s="196">
        <v>293</v>
      </c>
      <c r="D296" s="127"/>
      <c r="E296" s="129"/>
      <c r="F296" s="128"/>
      <c r="G296" s="129"/>
      <c r="H296" s="129"/>
      <c r="I296" s="166"/>
      <c r="J296" s="180"/>
      <c r="K296" s="128"/>
      <c r="L296" s="127"/>
      <c r="M296" s="168"/>
      <c r="N296" s="173"/>
      <c r="O296" s="141"/>
      <c r="P296" s="140"/>
      <c r="Q296" s="142"/>
      <c r="R296" s="140"/>
      <c r="S296" s="142"/>
      <c r="T296" s="140"/>
    </row>
    <row r="297" spans="3:20" ht="39.75" customHeight="1">
      <c r="C297" s="196">
        <v>294</v>
      </c>
      <c r="D297" s="127"/>
      <c r="E297" s="129"/>
      <c r="F297" s="128"/>
      <c r="G297" s="129"/>
      <c r="H297" s="129"/>
      <c r="I297" s="166"/>
      <c r="J297" s="180"/>
      <c r="K297" s="128"/>
      <c r="L297" s="127"/>
      <c r="M297" s="168"/>
      <c r="N297" s="173"/>
      <c r="O297" s="141"/>
      <c r="P297" s="140"/>
      <c r="Q297" s="142"/>
      <c r="R297" s="140"/>
      <c r="S297" s="142"/>
      <c r="T297" s="140"/>
    </row>
    <row r="298" spans="3:20" ht="39.75" customHeight="1">
      <c r="C298" s="196">
        <v>295</v>
      </c>
      <c r="D298" s="127"/>
      <c r="E298" s="129"/>
      <c r="F298" s="128"/>
      <c r="G298" s="129"/>
      <c r="H298" s="129"/>
      <c r="I298" s="166"/>
      <c r="J298" s="180"/>
      <c r="K298" s="128"/>
      <c r="L298" s="127"/>
      <c r="M298" s="168"/>
      <c r="N298" s="173"/>
      <c r="O298" s="141"/>
      <c r="P298" s="140"/>
      <c r="Q298" s="142"/>
      <c r="R298" s="140"/>
      <c r="S298" s="142"/>
      <c r="T298" s="140"/>
    </row>
    <row r="299" spans="3:20" ht="39.75" customHeight="1">
      <c r="C299" s="196">
        <v>296</v>
      </c>
      <c r="D299" s="127"/>
      <c r="E299" s="129"/>
      <c r="F299" s="128"/>
      <c r="G299" s="129"/>
      <c r="H299" s="129"/>
      <c r="I299" s="166"/>
      <c r="J299" s="180"/>
      <c r="K299" s="128"/>
      <c r="L299" s="127"/>
      <c r="M299" s="168"/>
      <c r="N299" s="173"/>
      <c r="O299" s="141"/>
      <c r="P299" s="140"/>
      <c r="Q299" s="142"/>
      <c r="R299" s="140"/>
      <c r="S299" s="142"/>
      <c r="T299" s="140"/>
    </row>
    <row r="300" spans="3:20" ht="39.75" customHeight="1">
      <c r="C300" s="196">
        <v>297</v>
      </c>
      <c r="D300" s="127"/>
      <c r="E300" s="129"/>
      <c r="F300" s="128"/>
      <c r="G300" s="129"/>
      <c r="H300" s="129"/>
      <c r="I300" s="166"/>
      <c r="J300" s="180"/>
      <c r="K300" s="128"/>
      <c r="L300" s="127"/>
      <c r="M300" s="168"/>
      <c r="N300" s="173"/>
      <c r="O300" s="141"/>
      <c r="P300" s="140"/>
      <c r="Q300" s="142"/>
      <c r="R300" s="140"/>
      <c r="S300" s="142"/>
      <c r="T300" s="140"/>
    </row>
    <row r="301" spans="3:20" ht="39.75" customHeight="1">
      <c r="C301" s="196">
        <v>298</v>
      </c>
      <c r="D301" s="127"/>
      <c r="E301" s="129"/>
      <c r="F301" s="128"/>
      <c r="G301" s="129"/>
      <c r="H301" s="129"/>
      <c r="I301" s="166"/>
      <c r="J301" s="180"/>
      <c r="K301" s="128"/>
      <c r="L301" s="127"/>
      <c r="M301" s="168"/>
      <c r="N301" s="173"/>
      <c r="O301" s="141"/>
      <c r="P301" s="140"/>
      <c r="Q301" s="142"/>
      <c r="R301" s="140"/>
      <c r="S301" s="142"/>
      <c r="T301" s="140"/>
    </row>
    <row r="302" spans="3:20" ht="39.75" customHeight="1">
      <c r="C302" s="196">
        <v>299</v>
      </c>
      <c r="D302" s="127"/>
      <c r="E302" s="129"/>
      <c r="F302" s="128"/>
      <c r="G302" s="129"/>
      <c r="H302" s="129"/>
      <c r="I302" s="166"/>
      <c r="J302" s="180"/>
      <c r="K302" s="128"/>
      <c r="L302" s="127"/>
      <c r="M302" s="168"/>
      <c r="N302" s="173"/>
      <c r="O302" s="141"/>
      <c r="P302" s="140"/>
      <c r="Q302" s="142"/>
      <c r="R302" s="140"/>
      <c r="S302" s="142"/>
      <c r="T302" s="140"/>
    </row>
    <row r="303" spans="3:20" ht="39.75" customHeight="1">
      <c r="C303" s="196">
        <v>300</v>
      </c>
      <c r="D303" s="127"/>
      <c r="E303" s="129"/>
      <c r="F303" s="128"/>
      <c r="G303" s="129"/>
      <c r="H303" s="129"/>
      <c r="I303" s="166"/>
      <c r="J303" s="180"/>
      <c r="K303" s="128"/>
      <c r="L303" s="127"/>
      <c r="M303" s="168"/>
      <c r="N303" s="173"/>
      <c r="O303" s="141"/>
      <c r="P303" s="140"/>
      <c r="Q303" s="142"/>
      <c r="R303" s="140"/>
      <c r="S303" s="142"/>
      <c r="T303" s="140"/>
    </row>
    <row r="304" spans="3:20" ht="39.75" customHeight="1">
      <c r="C304" s="196">
        <v>301</v>
      </c>
      <c r="D304" s="127"/>
      <c r="E304" s="129"/>
      <c r="F304" s="128"/>
      <c r="G304" s="129"/>
      <c r="H304" s="129"/>
      <c r="I304" s="166"/>
      <c r="J304" s="180"/>
      <c r="K304" s="128"/>
      <c r="L304" s="127"/>
      <c r="M304" s="168"/>
      <c r="N304" s="173"/>
      <c r="O304" s="141"/>
      <c r="P304" s="140"/>
      <c r="Q304" s="142"/>
      <c r="R304" s="140"/>
      <c r="S304" s="142"/>
      <c r="T304" s="140"/>
    </row>
    <row r="305" spans="3:20" ht="39.75" customHeight="1">
      <c r="C305" s="196">
        <v>302</v>
      </c>
      <c r="D305" s="127"/>
      <c r="E305" s="129"/>
      <c r="F305" s="128"/>
      <c r="G305" s="129"/>
      <c r="H305" s="129"/>
      <c r="I305" s="166"/>
      <c r="J305" s="180"/>
      <c r="K305" s="128"/>
      <c r="L305" s="127"/>
      <c r="M305" s="168"/>
      <c r="N305" s="173"/>
      <c r="O305" s="141"/>
      <c r="P305" s="140"/>
      <c r="Q305" s="142"/>
      <c r="R305" s="140"/>
      <c r="S305" s="142"/>
      <c r="T305" s="140"/>
    </row>
    <row r="306" spans="3:20" ht="39.75" customHeight="1">
      <c r="C306" s="196">
        <v>303</v>
      </c>
      <c r="D306" s="127"/>
      <c r="E306" s="129"/>
      <c r="F306" s="128"/>
      <c r="G306" s="129"/>
      <c r="H306" s="129"/>
      <c r="I306" s="166"/>
      <c r="J306" s="180"/>
      <c r="K306" s="128"/>
      <c r="L306" s="127"/>
      <c r="M306" s="168"/>
      <c r="N306" s="173"/>
      <c r="O306" s="141"/>
      <c r="P306" s="140"/>
      <c r="Q306" s="142"/>
      <c r="R306" s="140"/>
      <c r="S306" s="142"/>
      <c r="T306" s="140"/>
    </row>
    <row r="307" spans="3:20" ht="39.75" customHeight="1">
      <c r="C307" s="196">
        <v>304</v>
      </c>
      <c r="D307" s="127"/>
      <c r="E307" s="129"/>
      <c r="F307" s="128"/>
      <c r="G307" s="129"/>
      <c r="H307" s="129"/>
      <c r="I307" s="166"/>
      <c r="J307" s="180"/>
      <c r="K307" s="128"/>
      <c r="L307" s="127"/>
      <c r="M307" s="168"/>
      <c r="N307" s="173"/>
      <c r="O307" s="141"/>
      <c r="P307" s="140"/>
      <c r="Q307" s="142"/>
      <c r="R307" s="140"/>
      <c r="S307" s="142"/>
      <c r="T307" s="140"/>
    </row>
    <row r="308" spans="3:20" ht="39.75" customHeight="1">
      <c r="C308" s="196">
        <v>305</v>
      </c>
      <c r="D308" s="127"/>
      <c r="E308" s="129"/>
      <c r="F308" s="128"/>
      <c r="G308" s="129"/>
      <c r="H308" s="129"/>
      <c r="I308" s="166"/>
      <c r="J308" s="180"/>
      <c r="K308" s="128"/>
      <c r="L308" s="127"/>
      <c r="M308" s="168"/>
      <c r="N308" s="173"/>
      <c r="O308" s="141"/>
      <c r="P308" s="140"/>
      <c r="Q308" s="142"/>
      <c r="R308" s="140"/>
      <c r="S308" s="142"/>
      <c r="T308" s="140"/>
    </row>
    <row r="309" spans="3:20" ht="39.75" customHeight="1">
      <c r="C309" s="196">
        <v>306</v>
      </c>
      <c r="D309" s="127"/>
      <c r="E309" s="129"/>
      <c r="F309" s="128"/>
      <c r="G309" s="129"/>
      <c r="H309" s="129"/>
      <c r="I309" s="166"/>
      <c r="J309" s="180"/>
      <c r="K309" s="128"/>
      <c r="L309" s="127"/>
      <c r="M309" s="168"/>
      <c r="N309" s="173"/>
      <c r="O309" s="141"/>
      <c r="P309" s="140"/>
      <c r="Q309" s="142"/>
      <c r="R309" s="140"/>
      <c r="S309" s="142"/>
      <c r="T309" s="140"/>
    </row>
    <row r="310" spans="3:20" ht="39.75" customHeight="1">
      <c r="C310" s="196">
        <v>307</v>
      </c>
      <c r="D310" s="127"/>
      <c r="E310" s="129"/>
      <c r="F310" s="128"/>
      <c r="G310" s="129"/>
      <c r="H310" s="129"/>
      <c r="I310" s="166"/>
      <c r="J310" s="180"/>
      <c r="K310" s="128"/>
      <c r="L310" s="127"/>
      <c r="M310" s="168"/>
      <c r="N310" s="173"/>
      <c r="O310" s="141"/>
      <c r="P310" s="140"/>
      <c r="Q310" s="142"/>
      <c r="R310" s="140"/>
      <c r="S310" s="142"/>
      <c r="T310" s="140"/>
    </row>
    <row r="311" spans="3:20" ht="39.75" customHeight="1">
      <c r="C311" s="196">
        <v>308</v>
      </c>
      <c r="D311" s="127"/>
      <c r="E311" s="129"/>
      <c r="F311" s="128"/>
      <c r="G311" s="129"/>
      <c r="H311" s="129"/>
      <c r="I311" s="166"/>
      <c r="J311" s="180"/>
      <c r="K311" s="128"/>
      <c r="L311" s="127"/>
      <c r="M311" s="168"/>
      <c r="N311" s="173"/>
      <c r="O311" s="141"/>
      <c r="P311" s="140"/>
      <c r="Q311" s="142"/>
      <c r="R311" s="140"/>
      <c r="S311" s="142"/>
      <c r="T311" s="140"/>
    </row>
    <row r="312" spans="3:20" ht="39.75" customHeight="1">
      <c r="C312" s="196">
        <v>309</v>
      </c>
      <c r="D312" s="127"/>
      <c r="E312" s="129"/>
      <c r="F312" s="128"/>
      <c r="G312" s="129"/>
      <c r="H312" s="129"/>
      <c r="I312" s="166"/>
      <c r="J312" s="180"/>
      <c r="K312" s="128"/>
      <c r="L312" s="127"/>
      <c r="M312" s="168"/>
      <c r="N312" s="173"/>
      <c r="O312" s="141"/>
      <c r="P312" s="140"/>
      <c r="Q312" s="142"/>
      <c r="R312" s="140"/>
      <c r="S312" s="142"/>
      <c r="T312" s="140"/>
    </row>
    <row r="313" spans="3:20" ht="39.75" customHeight="1">
      <c r="C313" s="196">
        <v>310</v>
      </c>
      <c r="D313" s="127"/>
      <c r="E313" s="129"/>
      <c r="F313" s="128"/>
      <c r="G313" s="129"/>
      <c r="H313" s="129"/>
      <c r="I313" s="166"/>
      <c r="J313" s="180"/>
      <c r="K313" s="128"/>
      <c r="L313" s="127"/>
      <c r="M313" s="168"/>
      <c r="N313" s="173"/>
      <c r="O313" s="141"/>
      <c r="P313" s="140"/>
      <c r="Q313" s="142"/>
      <c r="R313" s="140"/>
      <c r="S313" s="142"/>
      <c r="T313" s="140"/>
    </row>
    <row r="314" spans="3:20" ht="39.75" customHeight="1">
      <c r="C314" s="196">
        <v>311</v>
      </c>
      <c r="D314" s="127"/>
      <c r="E314" s="129"/>
      <c r="F314" s="128"/>
      <c r="G314" s="129"/>
      <c r="H314" s="129"/>
      <c r="I314" s="166"/>
      <c r="J314" s="180"/>
      <c r="K314" s="128"/>
      <c r="L314" s="127"/>
      <c r="M314" s="168"/>
      <c r="N314" s="173"/>
      <c r="O314" s="141"/>
      <c r="P314" s="140"/>
      <c r="Q314" s="142"/>
      <c r="R314" s="140"/>
      <c r="S314" s="142"/>
      <c r="T314" s="140"/>
    </row>
    <row r="315" spans="3:20" ht="39.75" customHeight="1">
      <c r="C315" s="196">
        <v>312</v>
      </c>
      <c r="D315" s="127"/>
      <c r="E315" s="129"/>
      <c r="F315" s="128"/>
      <c r="G315" s="129"/>
      <c r="H315" s="129"/>
      <c r="I315" s="166"/>
      <c r="J315" s="180"/>
      <c r="K315" s="128"/>
      <c r="L315" s="127"/>
      <c r="M315" s="168"/>
      <c r="N315" s="173"/>
      <c r="O315" s="141"/>
      <c r="P315" s="140"/>
      <c r="Q315" s="142"/>
      <c r="R315" s="140"/>
      <c r="S315" s="142"/>
      <c r="T315" s="140"/>
    </row>
    <row r="316" spans="3:20" ht="39.75" customHeight="1">
      <c r="C316" s="196">
        <v>313</v>
      </c>
      <c r="D316" s="127"/>
      <c r="E316" s="129"/>
      <c r="F316" s="128"/>
      <c r="G316" s="129"/>
      <c r="H316" s="129"/>
      <c r="I316" s="166"/>
      <c r="J316" s="180"/>
      <c r="K316" s="128"/>
      <c r="L316" s="127"/>
      <c r="M316" s="168"/>
      <c r="N316" s="173"/>
      <c r="O316" s="141"/>
      <c r="P316" s="140"/>
      <c r="Q316" s="142"/>
      <c r="R316" s="140"/>
      <c r="S316" s="142"/>
      <c r="T316" s="140"/>
    </row>
    <row r="317" spans="3:20" ht="39.75" customHeight="1">
      <c r="C317" s="196">
        <v>314</v>
      </c>
      <c r="D317" s="127"/>
      <c r="E317" s="129"/>
      <c r="F317" s="128"/>
      <c r="G317" s="129"/>
      <c r="H317" s="129"/>
      <c r="I317" s="166"/>
      <c r="J317" s="180"/>
      <c r="K317" s="128"/>
      <c r="L317" s="127"/>
      <c r="M317" s="168"/>
      <c r="N317" s="173"/>
      <c r="O317" s="141"/>
      <c r="P317" s="140"/>
      <c r="Q317" s="142"/>
      <c r="R317" s="140"/>
      <c r="S317" s="142"/>
      <c r="T317" s="140"/>
    </row>
    <row r="318" spans="3:20" ht="39.75" customHeight="1">
      <c r="C318" s="196">
        <v>315</v>
      </c>
      <c r="D318" s="127"/>
      <c r="E318" s="129"/>
      <c r="F318" s="128"/>
      <c r="G318" s="129"/>
      <c r="H318" s="129"/>
      <c r="I318" s="166"/>
      <c r="J318" s="180"/>
      <c r="K318" s="128"/>
      <c r="L318" s="127"/>
      <c r="M318" s="168"/>
      <c r="N318" s="173"/>
      <c r="O318" s="141"/>
      <c r="P318" s="140"/>
      <c r="Q318" s="142"/>
      <c r="R318" s="140"/>
      <c r="S318" s="142"/>
      <c r="T318" s="140"/>
    </row>
    <row r="319" spans="3:20" ht="39.75" customHeight="1">
      <c r="C319" s="196">
        <v>316</v>
      </c>
      <c r="D319" s="127"/>
      <c r="E319" s="129"/>
      <c r="F319" s="128"/>
      <c r="G319" s="129"/>
      <c r="H319" s="129"/>
      <c r="I319" s="166"/>
      <c r="J319" s="180"/>
      <c r="K319" s="128"/>
      <c r="L319" s="127"/>
      <c r="M319" s="168"/>
      <c r="N319" s="173"/>
      <c r="O319" s="141"/>
      <c r="P319" s="140"/>
      <c r="Q319" s="142"/>
      <c r="R319" s="140"/>
      <c r="S319" s="142"/>
      <c r="T319" s="140"/>
    </row>
    <row r="320" spans="3:20" ht="39.75" customHeight="1">
      <c r="C320" s="196">
        <v>317</v>
      </c>
      <c r="D320" s="127"/>
      <c r="E320" s="129"/>
      <c r="F320" s="128"/>
      <c r="G320" s="129"/>
      <c r="H320" s="129"/>
      <c r="I320" s="166"/>
      <c r="J320" s="180"/>
      <c r="K320" s="128"/>
      <c r="L320" s="127"/>
      <c r="M320" s="168"/>
      <c r="N320" s="173"/>
      <c r="O320" s="141"/>
      <c r="P320" s="140"/>
      <c r="Q320" s="142"/>
      <c r="R320" s="140"/>
      <c r="S320" s="142"/>
      <c r="T320" s="140"/>
    </row>
    <row r="321" spans="3:20" ht="39.75" customHeight="1">
      <c r="C321" s="196">
        <v>318</v>
      </c>
      <c r="D321" s="127"/>
      <c r="E321" s="129"/>
      <c r="F321" s="128"/>
      <c r="G321" s="129"/>
      <c r="H321" s="129"/>
      <c r="I321" s="166"/>
      <c r="J321" s="180"/>
      <c r="K321" s="128"/>
      <c r="L321" s="127"/>
      <c r="M321" s="168"/>
      <c r="N321" s="173"/>
      <c r="O321" s="141"/>
      <c r="P321" s="140"/>
      <c r="Q321" s="142"/>
      <c r="R321" s="140"/>
      <c r="S321" s="142"/>
      <c r="T321" s="140"/>
    </row>
    <row r="322" spans="3:20" ht="39.75" customHeight="1">
      <c r="C322" s="196">
        <v>319</v>
      </c>
      <c r="D322" s="127"/>
      <c r="E322" s="129"/>
      <c r="F322" s="128"/>
      <c r="G322" s="129"/>
      <c r="H322" s="129"/>
      <c r="I322" s="166"/>
      <c r="J322" s="180"/>
      <c r="K322" s="128"/>
      <c r="L322" s="127"/>
      <c r="M322" s="168"/>
      <c r="N322" s="173"/>
      <c r="O322" s="141"/>
      <c r="P322" s="140"/>
      <c r="Q322" s="142"/>
      <c r="R322" s="140"/>
      <c r="S322" s="142"/>
      <c r="T322" s="140"/>
    </row>
    <row r="323" spans="3:20" ht="39.75" customHeight="1">
      <c r="C323" s="196">
        <v>320</v>
      </c>
      <c r="D323" s="127"/>
      <c r="E323" s="129"/>
      <c r="F323" s="128"/>
      <c r="G323" s="129"/>
      <c r="H323" s="129"/>
      <c r="I323" s="166"/>
      <c r="J323" s="180"/>
      <c r="K323" s="128"/>
      <c r="L323" s="127"/>
      <c r="M323" s="168"/>
      <c r="N323" s="173"/>
      <c r="O323" s="141"/>
      <c r="P323" s="140"/>
      <c r="Q323" s="142"/>
      <c r="R323" s="140"/>
      <c r="S323" s="142"/>
      <c r="T323" s="140"/>
    </row>
    <row r="324" spans="3:20" ht="39.75" customHeight="1">
      <c r="C324" s="196">
        <v>321</v>
      </c>
      <c r="D324" s="127"/>
      <c r="E324" s="129"/>
      <c r="F324" s="128"/>
      <c r="G324" s="129"/>
      <c r="H324" s="129"/>
      <c r="I324" s="166"/>
      <c r="J324" s="180"/>
      <c r="K324" s="128"/>
      <c r="L324" s="127"/>
      <c r="M324" s="168"/>
      <c r="N324" s="173"/>
      <c r="O324" s="141"/>
      <c r="P324" s="140"/>
      <c r="Q324" s="142"/>
      <c r="R324" s="140"/>
      <c r="S324" s="142"/>
      <c r="T324" s="140"/>
    </row>
    <row r="325" spans="3:20" ht="39.75" customHeight="1">
      <c r="C325" s="196">
        <v>322</v>
      </c>
      <c r="D325" s="127"/>
      <c r="E325" s="129"/>
      <c r="F325" s="128"/>
      <c r="G325" s="129"/>
      <c r="H325" s="129"/>
      <c r="I325" s="166"/>
      <c r="J325" s="180"/>
      <c r="K325" s="128"/>
      <c r="L325" s="127"/>
      <c r="M325" s="168"/>
      <c r="N325" s="173"/>
      <c r="O325" s="141"/>
      <c r="P325" s="140"/>
      <c r="Q325" s="142"/>
      <c r="R325" s="140"/>
      <c r="S325" s="142"/>
      <c r="T325" s="140"/>
    </row>
    <row r="326" spans="3:20" ht="39.75" customHeight="1">
      <c r="C326" s="196">
        <v>323</v>
      </c>
      <c r="D326" s="127"/>
      <c r="E326" s="129"/>
      <c r="F326" s="128"/>
      <c r="G326" s="129"/>
      <c r="H326" s="129"/>
      <c r="I326" s="166"/>
      <c r="J326" s="180"/>
      <c r="K326" s="128"/>
      <c r="L326" s="127"/>
      <c r="M326" s="168"/>
      <c r="N326" s="173"/>
      <c r="O326" s="141"/>
      <c r="P326" s="140"/>
      <c r="Q326" s="142"/>
      <c r="R326" s="140"/>
      <c r="S326" s="142"/>
      <c r="T326" s="140"/>
    </row>
    <row r="327" spans="3:20" ht="39.75" customHeight="1">
      <c r="C327" s="196">
        <v>324</v>
      </c>
      <c r="D327" s="127"/>
      <c r="E327" s="129"/>
      <c r="F327" s="128"/>
      <c r="G327" s="129"/>
      <c r="H327" s="129"/>
      <c r="I327" s="166"/>
      <c r="J327" s="180"/>
      <c r="K327" s="128"/>
      <c r="L327" s="127"/>
      <c r="M327" s="168"/>
      <c r="N327" s="173"/>
      <c r="O327" s="141"/>
      <c r="P327" s="140"/>
      <c r="Q327" s="142"/>
      <c r="R327" s="140"/>
      <c r="S327" s="142"/>
      <c r="T327" s="140"/>
    </row>
    <row r="328" spans="3:20" ht="39.75" customHeight="1">
      <c r="C328" s="196">
        <v>325</v>
      </c>
      <c r="D328" s="127"/>
      <c r="E328" s="129"/>
      <c r="F328" s="128"/>
      <c r="G328" s="129"/>
      <c r="H328" s="129"/>
      <c r="I328" s="166"/>
      <c r="J328" s="180"/>
      <c r="K328" s="128"/>
      <c r="L328" s="127"/>
      <c r="M328" s="168"/>
      <c r="N328" s="173"/>
      <c r="O328" s="141"/>
      <c r="P328" s="140"/>
      <c r="Q328" s="142"/>
      <c r="R328" s="140"/>
      <c r="S328" s="142"/>
      <c r="T328" s="140"/>
    </row>
    <row r="329" spans="3:20" ht="39.75" customHeight="1">
      <c r="C329" s="196">
        <v>326</v>
      </c>
      <c r="D329" s="127"/>
      <c r="E329" s="129"/>
      <c r="F329" s="128"/>
      <c r="G329" s="129"/>
      <c r="H329" s="129"/>
      <c r="I329" s="166"/>
      <c r="J329" s="180"/>
      <c r="K329" s="128"/>
      <c r="L329" s="127"/>
      <c r="M329" s="168"/>
      <c r="N329" s="173"/>
      <c r="O329" s="141"/>
      <c r="P329" s="140"/>
      <c r="Q329" s="142"/>
      <c r="R329" s="140"/>
      <c r="S329" s="142"/>
      <c r="T329" s="140"/>
    </row>
    <row r="330" spans="3:20" ht="39.75" customHeight="1">
      <c r="C330" s="196">
        <v>327</v>
      </c>
      <c r="D330" s="127"/>
      <c r="E330" s="129"/>
      <c r="F330" s="128"/>
      <c r="G330" s="129"/>
      <c r="H330" s="129"/>
      <c r="I330" s="166"/>
      <c r="J330" s="180"/>
      <c r="K330" s="128"/>
      <c r="L330" s="127"/>
      <c r="M330" s="168"/>
      <c r="N330" s="173"/>
      <c r="O330" s="141"/>
      <c r="P330" s="140"/>
      <c r="Q330" s="142"/>
      <c r="R330" s="140"/>
      <c r="S330" s="142"/>
      <c r="T330" s="140"/>
    </row>
    <row r="331" spans="3:20" ht="39.75" customHeight="1">
      <c r="C331" s="196">
        <v>328</v>
      </c>
      <c r="D331" s="127"/>
      <c r="E331" s="129"/>
      <c r="F331" s="128"/>
      <c r="G331" s="129"/>
      <c r="H331" s="129"/>
      <c r="I331" s="166"/>
      <c r="J331" s="180"/>
      <c r="K331" s="128"/>
      <c r="L331" s="127"/>
      <c r="M331" s="168"/>
      <c r="N331" s="173"/>
      <c r="O331" s="141"/>
      <c r="P331" s="140"/>
      <c r="Q331" s="142"/>
      <c r="R331" s="140"/>
      <c r="S331" s="142"/>
      <c r="T331" s="140"/>
    </row>
    <row r="332" spans="3:20" ht="39.75" customHeight="1">
      <c r="C332" s="196">
        <v>329</v>
      </c>
      <c r="D332" s="127"/>
      <c r="E332" s="129"/>
      <c r="F332" s="128"/>
      <c r="G332" s="129"/>
      <c r="H332" s="129"/>
      <c r="I332" s="166"/>
      <c r="J332" s="180"/>
      <c r="K332" s="128"/>
      <c r="L332" s="127"/>
      <c r="M332" s="168"/>
      <c r="N332" s="173"/>
      <c r="O332" s="141"/>
      <c r="P332" s="140"/>
      <c r="Q332" s="142"/>
      <c r="R332" s="140"/>
      <c r="S332" s="142"/>
      <c r="T332" s="140"/>
    </row>
    <row r="333" spans="3:20" ht="39.75" customHeight="1">
      <c r="C333" s="196">
        <v>330</v>
      </c>
      <c r="D333" s="127"/>
      <c r="E333" s="129"/>
      <c r="F333" s="128"/>
      <c r="G333" s="129"/>
      <c r="H333" s="129"/>
      <c r="I333" s="166"/>
      <c r="J333" s="180"/>
      <c r="K333" s="128"/>
      <c r="L333" s="127"/>
      <c r="M333" s="168"/>
      <c r="N333" s="173"/>
      <c r="O333" s="141"/>
      <c r="P333" s="140"/>
      <c r="Q333" s="142"/>
      <c r="R333" s="140"/>
      <c r="S333" s="142"/>
      <c r="T333" s="140"/>
    </row>
    <row r="334" spans="3:20" ht="39.75" customHeight="1">
      <c r="C334" s="196">
        <v>331</v>
      </c>
      <c r="D334" s="127"/>
      <c r="E334" s="129"/>
      <c r="F334" s="128"/>
      <c r="G334" s="129"/>
      <c r="H334" s="129"/>
      <c r="I334" s="166"/>
      <c r="J334" s="180"/>
      <c r="K334" s="128"/>
      <c r="L334" s="127"/>
      <c r="M334" s="168"/>
      <c r="N334" s="173"/>
      <c r="O334" s="141"/>
      <c r="P334" s="140"/>
      <c r="Q334" s="142"/>
      <c r="R334" s="140"/>
      <c r="S334" s="142"/>
      <c r="T334" s="140"/>
    </row>
    <row r="335" spans="3:20" ht="39.75" customHeight="1">
      <c r="C335" s="196">
        <v>332</v>
      </c>
      <c r="D335" s="127"/>
      <c r="E335" s="129"/>
      <c r="F335" s="128"/>
      <c r="G335" s="129"/>
      <c r="H335" s="129"/>
      <c r="I335" s="166"/>
      <c r="J335" s="180"/>
      <c r="K335" s="128"/>
      <c r="L335" s="127"/>
      <c r="M335" s="168"/>
      <c r="N335" s="173"/>
      <c r="O335" s="141"/>
      <c r="P335" s="140"/>
      <c r="Q335" s="142"/>
      <c r="R335" s="140"/>
      <c r="S335" s="142"/>
      <c r="T335" s="140"/>
    </row>
    <row r="336" spans="3:20" ht="39.75" customHeight="1">
      <c r="C336" s="196">
        <v>333</v>
      </c>
      <c r="D336" s="127"/>
      <c r="E336" s="129"/>
      <c r="F336" s="128"/>
      <c r="G336" s="129"/>
      <c r="H336" s="129"/>
      <c r="I336" s="166"/>
      <c r="J336" s="180"/>
      <c r="K336" s="128"/>
      <c r="L336" s="127"/>
      <c r="M336" s="168"/>
      <c r="N336" s="173"/>
      <c r="O336" s="141"/>
      <c r="P336" s="140"/>
      <c r="Q336" s="142"/>
      <c r="R336" s="140"/>
      <c r="S336" s="142"/>
      <c r="T336" s="140"/>
    </row>
    <row r="337" spans="3:20" ht="39.75" customHeight="1">
      <c r="C337" s="196">
        <v>334</v>
      </c>
      <c r="D337" s="127"/>
      <c r="E337" s="129"/>
      <c r="F337" s="128"/>
      <c r="G337" s="129"/>
      <c r="H337" s="129"/>
      <c r="I337" s="166"/>
      <c r="J337" s="180"/>
      <c r="K337" s="128"/>
      <c r="L337" s="127"/>
      <c r="M337" s="168"/>
      <c r="N337" s="173"/>
      <c r="O337" s="141"/>
      <c r="P337" s="140"/>
      <c r="Q337" s="142"/>
      <c r="R337" s="140"/>
      <c r="S337" s="142"/>
      <c r="T337" s="140"/>
    </row>
    <row r="338" spans="3:20" ht="39.75" customHeight="1">
      <c r="C338" s="196">
        <v>335</v>
      </c>
      <c r="D338" s="127"/>
      <c r="E338" s="129"/>
      <c r="F338" s="128"/>
      <c r="G338" s="129"/>
      <c r="H338" s="129"/>
      <c r="I338" s="166"/>
      <c r="J338" s="180"/>
      <c r="K338" s="128"/>
      <c r="L338" s="127"/>
      <c r="M338" s="168"/>
      <c r="N338" s="173"/>
      <c r="O338" s="141"/>
      <c r="P338" s="140"/>
      <c r="Q338" s="142"/>
      <c r="R338" s="140"/>
      <c r="S338" s="142"/>
      <c r="T338" s="140"/>
    </row>
    <row r="339" spans="3:20" ht="39.75" customHeight="1">
      <c r="C339" s="196">
        <v>336</v>
      </c>
      <c r="D339" s="127"/>
      <c r="E339" s="129"/>
      <c r="F339" s="128"/>
      <c r="G339" s="129"/>
      <c r="H339" s="129"/>
      <c r="I339" s="166"/>
      <c r="J339" s="180"/>
      <c r="K339" s="128"/>
      <c r="L339" s="127"/>
      <c r="M339" s="168"/>
      <c r="N339" s="173"/>
      <c r="O339" s="141"/>
      <c r="P339" s="140"/>
      <c r="Q339" s="142"/>
      <c r="R339" s="140"/>
      <c r="S339" s="142"/>
      <c r="T339" s="140"/>
    </row>
    <row r="340" spans="3:20" ht="39.75" customHeight="1">
      <c r="C340" s="196">
        <v>337</v>
      </c>
      <c r="D340" s="127"/>
      <c r="E340" s="129"/>
      <c r="F340" s="128"/>
      <c r="G340" s="129"/>
      <c r="H340" s="129"/>
      <c r="I340" s="166"/>
      <c r="J340" s="180"/>
      <c r="K340" s="128"/>
      <c r="L340" s="127"/>
      <c r="M340" s="168"/>
      <c r="N340" s="173"/>
      <c r="O340" s="141"/>
      <c r="P340" s="140"/>
      <c r="Q340" s="142"/>
      <c r="R340" s="140"/>
      <c r="S340" s="142"/>
      <c r="T340" s="140"/>
    </row>
    <row r="341" spans="3:20" ht="39.75" customHeight="1">
      <c r="C341" s="196">
        <v>338</v>
      </c>
      <c r="D341" s="127"/>
      <c r="E341" s="129"/>
      <c r="F341" s="128"/>
      <c r="G341" s="129"/>
      <c r="H341" s="129"/>
      <c r="I341" s="166"/>
      <c r="J341" s="180"/>
      <c r="K341" s="128"/>
      <c r="L341" s="127"/>
      <c r="M341" s="168"/>
      <c r="N341" s="173"/>
      <c r="O341" s="141"/>
      <c r="P341" s="140"/>
      <c r="Q341" s="142"/>
      <c r="R341" s="140"/>
      <c r="S341" s="142"/>
      <c r="T341" s="140"/>
    </row>
    <row r="342" spans="3:20" ht="39.75" customHeight="1">
      <c r="C342" s="196">
        <v>339</v>
      </c>
      <c r="D342" s="127"/>
      <c r="E342" s="129"/>
      <c r="F342" s="128"/>
      <c r="G342" s="129"/>
      <c r="H342" s="129"/>
      <c r="I342" s="166"/>
      <c r="J342" s="180"/>
      <c r="K342" s="128"/>
      <c r="L342" s="127"/>
      <c r="M342" s="168"/>
      <c r="N342" s="173"/>
      <c r="O342" s="141"/>
      <c r="P342" s="140"/>
      <c r="Q342" s="142"/>
      <c r="R342" s="140"/>
      <c r="S342" s="142"/>
      <c r="T342" s="140"/>
    </row>
    <row r="343" spans="3:20" ht="39.75" customHeight="1">
      <c r="C343" s="196">
        <v>340</v>
      </c>
      <c r="D343" s="127"/>
      <c r="E343" s="129"/>
      <c r="F343" s="128"/>
      <c r="G343" s="129"/>
      <c r="H343" s="129"/>
      <c r="I343" s="166"/>
      <c r="J343" s="180"/>
      <c r="K343" s="128"/>
      <c r="L343" s="127"/>
      <c r="M343" s="168"/>
      <c r="N343" s="173"/>
      <c r="O343" s="141"/>
      <c r="P343" s="140"/>
      <c r="Q343" s="142"/>
      <c r="R343" s="140"/>
      <c r="S343" s="142"/>
      <c r="T343" s="140"/>
    </row>
    <row r="344" spans="3:20" ht="39.75" customHeight="1">
      <c r="C344" s="196">
        <v>341</v>
      </c>
      <c r="D344" s="127"/>
      <c r="E344" s="129"/>
      <c r="F344" s="128"/>
      <c r="G344" s="129"/>
      <c r="H344" s="129"/>
      <c r="I344" s="166"/>
      <c r="J344" s="180"/>
      <c r="K344" s="128"/>
      <c r="L344" s="127"/>
      <c r="M344" s="168"/>
      <c r="N344" s="173"/>
      <c r="O344" s="141"/>
      <c r="P344" s="140"/>
      <c r="Q344" s="142"/>
      <c r="R344" s="140"/>
      <c r="S344" s="142"/>
      <c r="T344" s="140"/>
    </row>
    <row r="345" spans="3:20" ht="39.75" customHeight="1">
      <c r="C345" s="196">
        <v>342</v>
      </c>
      <c r="D345" s="127"/>
      <c r="E345" s="129"/>
      <c r="F345" s="128"/>
      <c r="G345" s="129"/>
      <c r="H345" s="129"/>
      <c r="I345" s="166"/>
      <c r="J345" s="180"/>
      <c r="K345" s="128"/>
      <c r="L345" s="127"/>
      <c r="M345" s="168"/>
      <c r="N345" s="173"/>
      <c r="O345" s="141"/>
      <c r="P345" s="140"/>
      <c r="Q345" s="142"/>
      <c r="R345" s="140"/>
      <c r="S345" s="142"/>
      <c r="T345" s="140"/>
    </row>
    <row r="346" spans="3:20" ht="39.75" customHeight="1">
      <c r="C346" s="196">
        <v>343</v>
      </c>
      <c r="D346" s="127"/>
      <c r="E346" s="129"/>
      <c r="F346" s="128"/>
      <c r="G346" s="129"/>
      <c r="H346" s="129"/>
      <c r="I346" s="166"/>
      <c r="J346" s="180"/>
      <c r="K346" s="128"/>
      <c r="L346" s="127"/>
      <c r="M346" s="168"/>
      <c r="N346" s="173"/>
      <c r="O346" s="141"/>
      <c r="P346" s="140"/>
      <c r="Q346" s="142"/>
      <c r="R346" s="140"/>
      <c r="S346" s="142"/>
      <c r="T346" s="140"/>
    </row>
    <row r="347" spans="3:20" ht="39.75" customHeight="1">
      <c r="C347" s="196">
        <v>344</v>
      </c>
      <c r="D347" s="127"/>
      <c r="E347" s="129"/>
      <c r="F347" s="128"/>
      <c r="G347" s="129"/>
      <c r="H347" s="129"/>
      <c r="I347" s="166"/>
      <c r="J347" s="180"/>
      <c r="K347" s="128"/>
      <c r="L347" s="127"/>
      <c r="M347" s="168"/>
      <c r="N347" s="173"/>
      <c r="O347" s="141"/>
      <c r="P347" s="140"/>
      <c r="Q347" s="142"/>
      <c r="R347" s="140"/>
      <c r="S347" s="142"/>
      <c r="T347" s="140"/>
    </row>
    <row r="348" spans="3:20" ht="39.75" customHeight="1">
      <c r="C348" s="196">
        <v>345</v>
      </c>
      <c r="D348" s="127"/>
      <c r="E348" s="129"/>
      <c r="F348" s="128"/>
      <c r="G348" s="129"/>
      <c r="H348" s="129"/>
      <c r="I348" s="166"/>
      <c r="J348" s="180"/>
      <c r="K348" s="128"/>
      <c r="L348" s="127"/>
      <c r="M348" s="168"/>
      <c r="N348" s="173"/>
      <c r="O348" s="141"/>
      <c r="P348" s="140"/>
      <c r="Q348" s="142"/>
      <c r="R348" s="140"/>
      <c r="S348" s="142"/>
      <c r="T348" s="140"/>
    </row>
    <row r="349" spans="3:20" ht="39.75" customHeight="1">
      <c r="C349" s="196">
        <v>346</v>
      </c>
      <c r="D349" s="127"/>
      <c r="E349" s="129"/>
      <c r="F349" s="128"/>
      <c r="G349" s="129"/>
      <c r="H349" s="129"/>
      <c r="I349" s="166"/>
      <c r="J349" s="180"/>
      <c r="K349" s="128"/>
      <c r="L349" s="127"/>
      <c r="M349" s="168"/>
      <c r="N349" s="173"/>
      <c r="O349" s="141"/>
      <c r="P349" s="140"/>
      <c r="Q349" s="142"/>
      <c r="R349" s="140"/>
      <c r="S349" s="142"/>
      <c r="T349" s="140"/>
    </row>
    <row r="350" spans="3:20" ht="39.75" customHeight="1">
      <c r="C350" s="196">
        <v>347</v>
      </c>
      <c r="D350" s="127"/>
      <c r="E350" s="129"/>
      <c r="F350" s="128"/>
      <c r="G350" s="129"/>
      <c r="H350" s="129"/>
      <c r="I350" s="166"/>
      <c r="J350" s="180"/>
      <c r="K350" s="128"/>
      <c r="L350" s="127"/>
      <c r="M350" s="168"/>
      <c r="N350" s="173"/>
      <c r="O350" s="141"/>
      <c r="P350" s="140"/>
      <c r="Q350" s="142"/>
      <c r="R350" s="140"/>
      <c r="S350" s="142"/>
      <c r="T350" s="140"/>
    </row>
    <row r="351" spans="3:20" ht="39.75" customHeight="1">
      <c r="C351" s="196">
        <v>348</v>
      </c>
      <c r="D351" s="127"/>
      <c r="E351" s="129"/>
      <c r="F351" s="128"/>
      <c r="G351" s="129"/>
      <c r="H351" s="129"/>
      <c r="I351" s="166"/>
      <c r="J351" s="180"/>
      <c r="K351" s="128"/>
      <c r="L351" s="127"/>
      <c r="M351" s="168"/>
      <c r="N351" s="173"/>
      <c r="O351" s="141"/>
      <c r="P351" s="140"/>
      <c r="Q351" s="142"/>
      <c r="R351" s="140"/>
      <c r="S351" s="142"/>
      <c r="T351" s="140"/>
    </row>
    <row r="352" spans="3:20" ht="39.75" customHeight="1">
      <c r="C352" s="196">
        <v>349</v>
      </c>
      <c r="D352" s="127"/>
      <c r="E352" s="129"/>
      <c r="F352" s="128"/>
      <c r="G352" s="129"/>
      <c r="H352" s="129"/>
      <c r="I352" s="166"/>
      <c r="J352" s="180"/>
      <c r="K352" s="128"/>
      <c r="L352" s="127"/>
      <c r="M352" s="168"/>
      <c r="N352" s="173"/>
      <c r="O352" s="141"/>
      <c r="P352" s="140"/>
      <c r="Q352" s="142"/>
      <c r="R352" s="140"/>
      <c r="S352" s="142"/>
      <c r="T352" s="140"/>
    </row>
    <row r="353" spans="3:20" ht="39.75" customHeight="1">
      <c r="C353" s="196">
        <v>350</v>
      </c>
      <c r="D353" s="127"/>
      <c r="E353" s="129"/>
      <c r="F353" s="128"/>
      <c r="G353" s="129"/>
      <c r="H353" s="129"/>
      <c r="I353" s="166"/>
      <c r="J353" s="180"/>
      <c r="K353" s="128"/>
      <c r="L353" s="127"/>
      <c r="M353" s="168"/>
      <c r="N353" s="173"/>
      <c r="O353" s="141"/>
      <c r="P353" s="140"/>
      <c r="Q353" s="142"/>
      <c r="R353" s="140"/>
      <c r="S353" s="142"/>
      <c r="T353" s="140"/>
    </row>
    <row r="354" spans="3:20" ht="39.75" customHeight="1">
      <c r="C354" s="196">
        <v>351</v>
      </c>
      <c r="D354" s="127"/>
      <c r="E354" s="129"/>
      <c r="F354" s="128"/>
      <c r="G354" s="129"/>
      <c r="H354" s="129"/>
      <c r="I354" s="166"/>
      <c r="J354" s="180"/>
      <c r="K354" s="128"/>
      <c r="L354" s="127"/>
      <c r="M354" s="168"/>
      <c r="N354" s="173"/>
      <c r="O354" s="141"/>
      <c r="P354" s="140"/>
      <c r="Q354" s="142"/>
      <c r="R354" s="140"/>
      <c r="S354" s="142"/>
      <c r="T354" s="140"/>
    </row>
    <row r="355" spans="3:20" ht="39.75" customHeight="1">
      <c r="C355" s="196">
        <v>352</v>
      </c>
      <c r="D355" s="127"/>
      <c r="E355" s="129"/>
      <c r="F355" s="128"/>
      <c r="G355" s="129"/>
      <c r="H355" s="129"/>
      <c r="I355" s="166"/>
      <c r="J355" s="180"/>
      <c r="K355" s="128"/>
      <c r="L355" s="127"/>
      <c r="M355" s="168"/>
      <c r="N355" s="173"/>
      <c r="O355" s="141"/>
      <c r="P355" s="140"/>
      <c r="Q355" s="142"/>
      <c r="R355" s="140"/>
      <c r="S355" s="142"/>
      <c r="T355" s="140"/>
    </row>
    <row r="356" spans="3:20" ht="39.75" customHeight="1">
      <c r="C356" s="196">
        <v>353</v>
      </c>
      <c r="D356" s="127"/>
      <c r="E356" s="129"/>
      <c r="F356" s="128"/>
      <c r="G356" s="129"/>
      <c r="H356" s="129"/>
      <c r="I356" s="166"/>
      <c r="J356" s="180"/>
      <c r="K356" s="128"/>
      <c r="L356" s="127"/>
      <c r="M356" s="168"/>
      <c r="N356" s="173"/>
      <c r="O356" s="141"/>
      <c r="P356" s="140"/>
      <c r="Q356" s="142"/>
      <c r="R356" s="140"/>
      <c r="S356" s="142"/>
      <c r="T356" s="140"/>
    </row>
    <row r="357" spans="3:20" ht="39.75" customHeight="1">
      <c r="C357" s="196">
        <v>354</v>
      </c>
      <c r="D357" s="127"/>
      <c r="E357" s="129"/>
      <c r="F357" s="128"/>
      <c r="G357" s="129"/>
      <c r="H357" s="129"/>
      <c r="I357" s="166"/>
      <c r="J357" s="180"/>
      <c r="K357" s="128"/>
      <c r="L357" s="127"/>
      <c r="M357" s="168"/>
      <c r="N357" s="173"/>
      <c r="O357" s="141"/>
      <c r="P357" s="140"/>
      <c r="Q357" s="142"/>
      <c r="R357" s="140"/>
      <c r="S357" s="142"/>
      <c r="T357" s="140"/>
    </row>
    <row r="358" spans="3:20" ht="39.75" customHeight="1">
      <c r="C358" s="196">
        <v>355</v>
      </c>
      <c r="D358" s="127"/>
      <c r="E358" s="129"/>
      <c r="F358" s="128"/>
      <c r="G358" s="129"/>
      <c r="H358" s="129"/>
      <c r="I358" s="166"/>
      <c r="J358" s="180"/>
      <c r="K358" s="128"/>
      <c r="L358" s="127"/>
      <c r="M358" s="168"/>
      <c r="N358" s="173"/>
      <c r="O358" s="141"/>
      <c r="P358" s="140"/>
      <c r="Q358" s="142"/>
      <c r="R358" s="140"/>
      <c r="S358" s="142"/>
      <c r="T358" s="140"/>
    </row>
    <row r="359" spans="3:20" ht="39.75" customHeight="1">
      <c r="C359" s="196">
        <v>356</v>
      </c>
      <c r="D359" s="127"/>
      <c r="E359" s="129"/>
      <c r="F359" s="128"/>
      <c r="G359" s="129"/>
      <c r="H359" s="129"/>
      <c r="I359" s="166"/>
      <c r="J359" s="180"/>
      <c r="K359" s="128"/>
      <c r="L359" s="127"/>
      <c r="M359" s="168"/>
      <c r="N359" s="173"/>
      <c r="O359" s="141"/>
      <c r="P359" s="140"/>
      <c r="Q359" s="142"/>
      <c r="R359" s="140"/>
      <c r="S359" s="142"/>
      <c r="T359" s="140"/>
    </row>
    <row r="360" spans="3:20" ht="39.75" customHeight="1">
      <c r="C360" s="196">
        <v>357</v>
      </c>
      <c r="D360" s="127"/>
      <c r="E360" s="129"/>
      <c r="F360" s="128"/>
      <c r="G360" s="129"/>
      <c r="H360" s="129"/>
      <c r="I360" s="166"/>
      <c r="J360" s="180"/>
      <c r="K360" s="128"/>
      <c r="L360" s="127"/>
      <c r="M360" s="168"/>
      <c r="N360" s="173"/>
      <c r="O360" s="141"/>
      <c r="P360" s="140"/>
      <c r="Q360" s="142"/>
      <c r="R360" s="140"/>
      <c r="S360" s="142"/>
      <c r="T360" s="140"/>
    </row>
    <row r="361" spans="3:20" ht="39.75" customHeight="1">
      <c r="C361" s="196">
        <v>358</v>
      </c>
      <c r="D361" s="127"/>
      <c r="E361" s="129"/>
      <c r="F361" s="128"/>
      <c r="G361" s="129"/>
      <c r="H361" s="129"/>
      <c r="I361" s="166"/>
      <c r="J361" s="180"/>
      <c r="K361" s="128"/>
      <c r="L361" s="127"/>
      <c r="M361" s="168"/>
      <c r="N361" s="173"/>
      <c r="O361" s="141"/>
      <c r="P361" s="140"/>
      <c r="Q361" s="142"/>
      <c r="R361" s="140"/>
      <c r="S361" s="142"/>
      <c r="T361" s="140"/>
    </row>
    <row r="362" spans="3:20" ht="39.75" customHeight="1">
      <c r="C362" s="196">
        <v>359</v>
      </c>
      <c r="D362" s="127"/>
      <c r="E362" s="129"/>
      <c r="F362" s="128"/>
      <c r="G362" s="129"/>
      <c r="H362" s="129"/>
      <c r="I362" s="166"/>
      <c r="J362" s="180"/>
      <c r="K362" s="128"/>
      <c r="L362" s="127"/>
      <c r="M362" s="168"/>
      <c r="N362" s="173"/>
      <c r="O362" s="141"/>
      <c r="P362" s="140"/>
      <c r="Q362" s="142"/>
      <c r="R362" s="140"/>
      <c r="S362" s="142"/>
      <c r="T362" s="140"/>
    </row>
    <row r="363" spans="3:20" ht="39.75" customHeight="1">
      <c r="C363" s="196">
        <v>360</v>
      </c>
      <c r="D363" s="127"/>
      <c r="E363" s="129"/>
      <c r="F363" s="128"/>
      <c r="G363" s="129"/>
      <c r="H363" s="129"/>
      <c r="I363" s="166"/>
      <c r="J363" s="180"/>
      <c r="K363" s="128"/>
      <c r="L363" s="127"/>
      <c r="M363" s="168"/>
      <c r="N363" s="173"/>
      <c r="O363" s="141"/>
      <c r="P363" s="140"/>
      <c r="Q363" s="142"/>
      <c r="R363" s="140"/>
      <c r="S363" s="142"/>
      <c r="T363" s="140"/>
    </row>
    <row r="364" spans="3:20" ht="39.75" customHeight="1">
      <c r="C364" s="196">
        <v>361</v>
      </c>
      <c r="D364" s="127"/>
      <c r="E364" s="129"/>
      <c r="F364" s="128"/>
      <c r="G364" s="129"/>
      <c r="H364" s="129"/>
      <c r="I364" s="166"/>
      <c r="J364" s="180"/>
      <c r="K364" s="128"/>
      <c r="L364" s="127"/>
      <c r="M364" s="168"/>
      <c r="N364" s="173"/>
      <c r="O364" s="141"/>
      <c r="P364" s="140"/>
      <c r="Q364" s="142"/>
      <c r="R364" s="140"/>
      <c r="S364" s="142"/>
      <c r="T364" s="140"/>
    </row>
    <row r="365" spans="3:20" ht="39.75" customHeight="1">
      <c r="C365" s="196">
        <v>362</v>
      </c>
      <c r="D365" s="127"/>
      <c r="E365" s="129"/>
      <c r="F365" s="128"/>
      <c r="G365" s="129"/>
      <c r="H365" s="129"/>
      <c r="I365" s="166"/>
      <c r="J365" s="180"/>
      <c r="K365" s="128"/>
      <c r="L365" s="127"/>
      <c r="M365" s="168"/>
      <c r="N365" s="173"/>
      <c r="O365" s="141"/>
      <c r="P365" s="140"/>
      <c r="Q365" s="142"/>
      <c r="R365" s="140"/>
      <c r="S365" s="142"/>
      <c r="T365" s="140"/>
    </row>
    <row r="366" spans="3:20" ht="39.75" customHeight="1">
      <c r="C366" s="196">
        <v>363</v>
      </c>
      <c r="D366" s="127"/>
      <c r="E366" s="129"/>
      <c r="F366" s="128"/>
      <c r="G366" s="129"/>
      <c r="H366" s="129"/>
      <c r="I366" s="166"/>
      <c r="J366" s="180"/>
      <c r="K366" s="128"/>
      <c r="L366" s="127"/>
      <c r="M366" s="168"/>
      <c r="N366" s="173"/>
      <c r="O366" s="141"/>
      <c r="P366" s="140"/>
      <c r="Q366" s="142"/>
      <c r="R366" s="140"/>
      <c r="S366" s="142"/>
      <c r="T366" s="140"/>
    </row>
    <row r="367" spans="3:20" ht="39.75" customHeight="1">
      <c r="C367" s="196">
        <v>364</v>
      </c>
      <c r="D367" s="127"/>
      <c r="E367" s="129"/>
      <c r="F367" s="128"/>
      <c r="G367" s="129"/>
      <c r="H367" s="129"/>
      <c r="I367" s="166"/>
      <c r="J367" s="180"/>
      <c r="K367" s="128"/>
      <c r="L367" s="127"/>
      <c r="M367" s="168"/>
      <c r="N367" s="173"/>
      <c r="O367" s="141"/>
      <c r="P367" s="140"/>
      <c r="Q367" s="142"/>
      <c r="R367" s="140"/>
      <c r="S367" s="142"/>
      <c r="T367" s="140"/>
    </row>
    <row r="368" spans="3:20" ht="39.75" customHeight="1">
      <c r="C368" s="196">
        <v>365</v>
      </c>
      <c r="D368" s="127"/>
      <c r="E368" s="129"/>
      <c r="F368" s="128"/>
      <c r="G368" s="129"/>
      <c r="H368" s="129"/>
      <c r="I368" s="166"/>
      <c r="J368" s="180"/>
      <c r="K368" s="128"/>
      <c r="L368" s="127"/>
      <c r="M368" s="168"/>
      <c r="N368" s="173"/>
      <c r="O368" s="141"/>
      <c r="P368" s="140"/>
      <c r="Q368" s="142"/>
      <c r="R368" s="140"/>
      <c r="S368" s="142"/>
      <c r="T368" s="140"/>
    </row>
    <row r="369" spans="3:20" ht="39.75" customHeight="1">
      <c r="C369" s="196">
        <v>366</v>
      </c>
      <c r="D369" s="127"/>
      <c r="E369" s="129"/>
      <c r="F369" s="128"/>
      <c r="G369" s="129"/>
      <c r="H369" s="129"/>
      <c r="I369" s="166"/>
      <c r="J369" s="180"/>
      <c r="K369" s="128"/>
      <c r="L369" s="127"/>
      <c r="M369" s="168"/>
      <c r="N369" s="173"/>
      <c r="O369" s="141"/>
      <c r="P369" s="140"/>
      <c r="Q369" s="142"/>
      <c r="R369" s="140"/>
      <c r="S369" s="142"/>
      <c r="T369" s="140"/>
    </row>
    <row r="370" spans="3:20" ht="39.75" customHeight="1">
      <c r="C370" s="196">
        <v>367</v>
      </c>
      <c r="D370" s="127"/>
      <c r="E370" s="129"/>
      <c r="F370" s="128"/>
      <c r="G370" s="129"/>
      <c r="H370" s="129"/>
      <c r="I370" s="166"/>
      <c r="J370" s="180"/>
      <c r="K370" s="128"/>
      <c r="L370" s="127"/>
      <c r="M370" s="168"/>
      <c r="N370" s="173"/>
      <c r="O370" s="141"/>
      <c r="P370" s="140"/>
      <c r="Q370" s="142"/>
      <c r="R370" s="140"/>
      <c r="S370" s="142"/>
      <c r="T370" s="140"/>
    </row>
    <row r="371" spans="3:20" ht="39.75" customHeight="1">
      <c r="C371" s="196">
        <v>368</v>
      </c>
      <c r="D371" s="127"/>
      <c r="E371" s="129"/>
      <c r="F371" s="128"/>
      <c r="G371" s="129"/>
      <c r="H371" s="129"/>
      <c r="I371" s="166"/>
      <c r="J371" s="180"/>
      <c r="K371" s="128"/>
      <c r="L371" s="127"/>
      <c r="M371" s="168"/>
      <c r="N371" s="173"/>
      <c r="O371" s="141"/>
      <c r="P371" s="140"/>
      <c r="Q371" s="142"/>
      <c r="R371" s="140"/>
      <c r="S371" s="142"/>
      <c r="T371" s="140"/>
    </row>
    <row r="372" spans="3:20" ht="39.75" customHeight="1">
      <c r="C372" s="196">
        <v>369</v>
      </c>
      <c r="D372" s="127"/>
      <c r="E372" s="129"/>
      <c r="F372" s="128"/>
      <c r="G372" s="129"/>
      <c r="H372" s="129"/>
      <c r="I372" s="166"/>
      <c r="J372" s="180"/>
      <c r="K372" s="128"/>
      <c r="L372" s="127"/>
      <c r="M372" s="168"/>
      <c r="N372" s="173"/>
      <c r="O372" s="141"/>
      <c r="P372" s="140"/>
      <c r="Q372" s="142"/>
      <c r="R372" s="140"/>
      <c r="S372" s="142"/>
      <c r="T372" s="140"/>
    </row>
    <row r="373" spans="3:20" ht="39.75" customHeight="1">
      <c r="C373" s="196">
        <v>370</v>
      </c>
      <c r="D373" s="127"/>
      <c r="E373" s="129"/>
      <c r="F373" s="128"/>
      <c r="G373" s="129"/>
      <c r="H373" s="129"/>
      <c r="I373" s="166"/>
      <c r="J373" s="180"/>
      <c r="K373" s="128"/>
      <c r="L373" s="127"/>
      <c r="M373" s="168"/>
      <c r="N373" s="173"/>
      <c r="O373" s="141"/>
      <c r="P373" s="140"/>
      <c r="Q373" s="142"/>
      <c r="R373" s="140"/>
      <c r="S373" s="142"/>
      <c r="T373" s="140"/>
    </row>
    <row r="374" spans="3:20" ht="39.75" customHeight="1">
      <c r="C374" s="196">
        <v>371</v>
      </c>
      <c r="D374" s="127"/>
      <c r="E374" s="129"/>
      <c r="F374" s="128"/>
      <c r="G374" s="129"/>
      <c r="H374" s="129"/>
      <c r="I374" s="166"/>
      <c r="J374" s="180"/>
      <c r="K374" s="128"/>
      <c r="L374" s="127"/>
      <c r="M374" s="168"/>
      <c r="N374" s="173"/>
      <c r="O374" s="141"/>
      <c r="P374" s="140"/>
      <c r="Q374" s="142"/>
      <c r="R374" s="140"/>
      <c r="S374" s="142"/>
      <c r="T374" s="140"/>
    </row>
    <row r="375" spans="3:20" ht="39.75" customHeight="1">
      <c r="C375" s="196">
        <v>372</v>
      </c>
      <c r="D375" s="127"/>
      <c r="E375" s="129"/>
      <c r="F375" s="128"/>
      <c r="G375" s="129"/>
      <c r="H375" s="129"/>
      <c r="I375" s="166"/>
      <c r="J375" s="180"/>
      <c r="K375" s="128"/>
      <c r="L375" s="127"/>
      <c r="M375" s="168"/>
      <c r="N375" s="173"/>
      <c r="O375" s="141"/>
      <c r="P375" s="140"/>
      <c r="Q375" s="142"/>
      <c r="R375" s="140"/>
      <c r="S375" s="142"/>
      <c r="T375" s="140"/>
    </row>
    <row r="376" spans="3:20" ht="39.75" customHeight="1">
      <c r="C376" s="196">
        <v>373</v>
      </c>
      <c r="D376" s="127"/>
      <c r="E376" s="129"/>
      <c r="F376" s="128"/>
      <c r="G376" s="129"/>
      <c r="H376" s="129"/>
      <c r="I376" s="166"/>
      <c r="J376" s="180"/>
      <c r="K376" s="128"/>
      <c r="L376" s="127"/>
      <c r="M376" s="168"/>
      <c r="N376" s="173"/>
      <c r="O376" s="141"/>
      <c r="P376" s="140"/>
      <c r="Q376" s="142"/>
      <c r="R376" s="140"/>
      <c r="S376" s="142"/>
      <c r="T376" s="140"/>
    </row>
    <row r="377" spans="3:20" ht="39.75" customHeight="1">
      <c r="C377" s="196">
        <v>374</v>
      </c>
      <c r="D377" s="127"/>
      <c r="E377" s="129"/>
      <c r="F377" s="128"/>
      <c r="G377" s="129"/>
      <c r="H377" s="129"/>
      <c r="I377" s="166"/>
      <c r="J377" s="180"/>
      <c r="K377" s="128"/>
      <c r="L377" s="127"/>
      <c r="M377" s="168"/>
      <c r="N377" s="173"/>
      <c r="O377" s="141"/>
      <c r="P377" s="140"/>
      <c r="Q377" s="142"/>
      <c r="R377" s="140"/>
      <c r="S377" s="142"/>
      <c r="T377" s="140"/>
    </row>
    <row r="378" spans="3:20" ht="39.75" customHeight="1">
      <c r="C378" s="196">
        <v>375</v>
      </c>
      <c r="D378" s="127"/>
      <c r="E378" s="129"/>
      <c r="F378" s="128"/>
      <c r="G378" s="129"/>
      <c r="H378" s="129"/>
      <c r="I378" s="166"/>
      <c r="J378" s="180"/>
      <c r="K378" s="128"/>
      <c r="L378" s="127"/>
      <c r="M378" s="168"/>
      <c r="N378" s="173"/>
      <c r="O378" s="141"/>
      <c r="P378" s="140"/>
      <c r="Q378" s="142"/>
      <c r="R378" s="140"/>
      <c r="S378" s="142"/>
      <c r="T378" s="140"/>
    </row>
    <row r="379" spans="3:20" ht="39.75" customHeight="1">
      <c r="C379" s="196">
        <v>376</v>
      </c>
      <c r="D379" s="127"/>
      <c r="E379" s="129"/>
      <c r="F379" s="128"/>
      <c r="G379" s="129"/>
      <c r="H379" s="129"/>
      <c r="I379" s="166"/>
      <c r="J379" s="180"/>
      <c r="K379" s="128"/>
      <c r="L379" s="127"/>
      <c r="M379" s="168"/>
      <c r="N379" s="173"/>
      <c r="O379" s="141"/>
      <c r="P379" s="140"/>
      <c r="Q379" s="142"/>
      <c r="R379" s="140"/>
      <c r="S379" s="142"/>
      <c r="T379" s="140"/>
    </row>
    <row r="380" spans="3:20" ht="39.75" customHeight="1">
      <c r="C380" s="196">
        <v>377</v>
      </c>
      <c r="D380" s="127"/>
      <c r="E380" s="129"/>
      <c r="F380" s="128"/>
      <c r="G380" s="129"/>
      <c r="H380" s="129"/>
      <c r="I380" s="166"/>
      <c r="J380" s="180"/>
      <c r="K380" s="128"/>
      <c r="L380" s="127"/>
      <c r="M380" s="168"/>
      <c r="N380" s="173"/>
      <c r="O380" s="141"/>
      <c r="P380" s="140"/>
      <c r="Q380" s="142"/>
      <c r="R380" s="140"/>
      <c r="S380" s="142"/>
      <c r="T380" s="140"/>
    </row>
    <row r="381" spans="3:20" ht="39.75" customHeight="1">
      <c r="C381" s="196">
        <v>378</v>
      </c>
      <c r="D381" s="127"/>
      <c r="E381" s="129"/>
      <c r="F381" s="128"/>
      <c r="G381" s="129"/>
      <c r="H381" s="129"/>
      <c r="I381" s="166"/>
      <c r="J381" s="180"/>
      <c r="K381" s="128"/>
      <c r="L381" s="127"/>
      <c r="M381" s="168"/>
      <c r="N381" s="173"/>
      <c r="O381" s="141"/>
      <c r="P381" s="140"/>
      <c r="Q381" s="142"/>
      <c r="R381" s="140"/>
      <c r="S381" s="142"/>
      <c r="T381" s="140"/>
    </row>
    <row r="382" spans="3:20" ht="39.75" customHeight="1">
      <c r="C382" s="196">
        <v>379</v>
      </c>
      <c r="D382" s="127"/>
      <c r="E382" s="129"/>
      <c r="F382" s="128"/>
      <c r="G382" s="129"/>
      <c r="H382" s="129"/>
      <c r="I382" s="166"/>
      <c r="J382" s="180"/>
      <c r="K382" s="128"/>
      <c r="L382" s="127"/>
      <c r="M382" s="168"/>
      <c r="N382" s="173"/>
      <c r="O382" s="141"/>
      <c r="P382" s="140"/>
      <c r="Q382" s="142"/>
      <c r="R382" s="140"/>
      <c r="S382" s="142"/>
      <c r="T382" s="140"/>
    </row>
    <row r="383" spans="3:20" ht="39.75" customHeight="1">
      <c r="C383" s="196">
        <v>380</v>
      </c>
      <c r="D383" s="127"/>
      <c r="E383" s="129"/>
      <c r="F383" s="128"/>
      <c r="G383" s="129"/>
      <c r="H383" s="129"/>
      <c r="I383" s="166"/>
      <c r="J383" s="180"/>
      <c r="K383" s="128"/>
      <c r="L383" s="127"/>
      <c r="M383" s="168"/>
      <c r="N383" s="173"/>
      <c r="O383" s="141"/>
      <c r="P383" s="140"/>
      <c r="Q383" s="142"/>
      <c r="R383" s="140"/>
      <c r="S383" s="142"/>
      <c r="T383" s="140"/>
    </row>
    <row r="384" spans="3:20" ht="39.75" customHeight="1">
      <c r="C384" s="196">
        <v>381</v>
      </c>
      <c r="D384" s="127"/>
      <c r="E384" s="129"/>
      <c r="F384" s="128"/>
      <c r="G384" s="129"/>
      <c r="H384" s="129"/>
      <c r="I384" s="166"/>
      <c r="J384" s="180"/>
      <c r="K384" s="128"/>
      <c r="L384" s="127"/>
      <c r="M384" s="168"/>
      <c r="N384" s="173"/>
      <c r="O384" s="141"/>
      <c r="P384" s="140"/>
      <c r="Q384" s="142"/>
      <c r="R384" s="140"/>
      <c r="S384" s="142"/>
      <c r="T384" s="140"/>
    </row>
    <row r="385" spans="3:20" ht="39.75" customHeight="1">
      <c r="C385" s="196">
        <v>382</v>
      </c>
      <c r="D385" s="127"/>
      <c r="E385" s="129"/>
      <c r="F385" s="128"/>
      <c r="G385" s="129"/>
      <c r="H385" s="129"/>
      <c r="I385" s="166"/>
      <c r="J385" s="180"/>
      <c r="K385" s="128"/>
      <c r="L385" s="127"/>
      <c r="M385" s="168"/>
      <c r="N385" s="173"/>
      <c r="O385" s="141"/>
      <c r="P385" s="140"/>
      <c r="Q385" s="142"/>
      <c r="R385" s="140"/>
      <c r="S385" s="142"/>
      <c r="T385" s="140"/>
    </row>
    <row r="386" spans="3:20" ht="39.75" customHeight="1">
      <c r="C386" s="196">
        <v>383</v>
      </c>
      <c r="D386" s="127"/>
      <c r="E386" s="129"/>
      <c r="F386" s="128"/>
      <c r="G386" s="129"/>
      <c r="H386" s="129"/>
      <c r="I386" s="166"/>
      <c r="J386" s="180"/>
      <c r="K386" s="128"/>
      <c r="L386" s="127"/>
      <c r="M386" s="168"/>
      <c r="N386" s="173"/>
      <c r="O386" s="141"/>
      <c r="P386" s="140"/>
      <c r="Q386" s="142"/>
      <c r="R386" s="140"/>
      <c r="S386" s="142"/>
      <c r="T386" s="140"/>
    </row>
    <row r="387" spans="3:20" ht="39.75" customHeight="1">
      <c r="C387" s="196">
        <v>384</v>
      </c>
      <c r="D387" s="127"/>
      <c r="E387" s="129"/>
      <c r="F387" s="128"/>
      <c r="G387" s="129"/>
      <c r="H387" s="129"/>
      <c r="I387" s="166"/>
      <c r="J387" s="180"/>
      <c r="K387" s="128"/>
      <c r="L387" s="127"/>
      <c r="M387" s="168"/>
      <c r="N387" s="173"/>
      <c r="O387" s="141"/>
      <c r="P387" s="140"/>
      <c r="Q387" s="142"/>
      <c r="R387" s="140"/>
      <c r="S387" s="142"/>
      <c r="T387" s="140"/>
    </row>
    <row r="388" spans="3:20" ht="39.75" customHeight="1">
      <c r="C388" s="196">
        <v>385</v>
      </c>
      <c r="D388" s="127"/>
      <c r="E388" s="129"/>
      <c r="F388" s="128"/>
      <c r="G388" s="129"/>
      <c r="H388" s="129"/>
      <c r="I388" s="166"/>
      <c r="J388" s="180"/>
      <c r="K388" s="128"/>
      <c r="L388" s="127"/>
      <c r="M388" s="168"/>
      <c r="N388" s="173"/>
      <c r="O388" s="141"/>
      <c r="P388" s="140"/>
      <c r="Q388" s="142"/>
      <c r="R388" s="140"/>
      <c r="S388" s="142"/>
      <c r="T388" s="140"/>
    </row>
    <row r="389" spans="3:20" ht="39.75" customHeight="1">
      <c r="C389" s="196">
        <v>386</v>
      </c>
      <c r="D389" s="127"/>
      <c r="E389" s="129"/>
      <c r="F389" s="128"/>
      <c r="G389" s="129"/>
      <c r="H389" s="129"/>
      <c r="I389" s="166"/>
      <c r="J389" s="180"/>
      <c r="K389" s="128"/>
      <c r="L389" s="127"/>
      <c r="M389" s="168"/>
      <c r="N389" s="173"/>
      <c r="O389" s="141"/>
      <c r="P389" s="140"/>
      <c r="Q389" s="142"/>
      <c r="R389" s="140"/>
      <c r="S389" s="142"/>
      <c r="T389" s="140"/>
    </row>
    <row r="390" spans="3:20" ht="39.75" customHeight="1">
      <c r="C390" s="196">
        <v>387</v>
      </c>
      <c r="D390" s="127"/>
      <c r="E390" s="129"/>
      <c r="F390" s="128"/>
      <c r="G390" s="129"/>
      <c r="H390" s="129"/>
      <c r="I390" s="166"/>
      <c r="J390" s="180"/>
      <c r="K390" s="128"/>
      <c r="L390" s="127"/>
      <c r="M390" s="168"/>
      <c r="N390" s="173"/>
      <c r="O390" s="141"/>
      <c r="P390" s="140"/>
      <c r="Q390" s="142"/>
      <c r="R390" s="140"/>
      <c r="S390" s="142"/>
      <c r="T390" s="140"/>
    </row>
    <row r="391" spans="3:20" ht="39.75" customHeight="1">
      <c r="C391" s="196">
        <v>388</v>
      </c>
      <c r="D391" s="127"/>
      <c r="E391" s="129"/>
      <c r="F391" s="128"/>
      <c r="G391" s="129"/>
      <c r="H391" s="129"/>
      <c r="I391" s="166"/>
      <c r="J391" s="180"/>
      <c r="K391" s="128"/>
      <c r="L391" s="127"/>
      <c r="M391" s="168"/>
      <c r="N391" s="173"/>
      <c r="O391" s="141"/>
      <c r="P391" s="140"/>
      <c r="Q391" s="142"/>
      <c r="R391" s="140"/>
      <c r="S391" s="142"/>
      <c r="T391" s="140"/>
    </row>
    <row r="392" spans="3:20" ht="39.75" customHeight="1">
      <c r="C392" s="196">
        <v>389</v>
      </c>
      <c r="D392" s="127"/>
      <c r="E392" s="129"/>
      <c r="F392" s="128"/>
      <c r="G392" s="129"/>
      <c r="H392" s="129"/>
      <c r="I392" s="166"/>
      <c r="J392" s="180"/>
      <c r="K392" s="128"/>
      <c r="L392" s="127"/>
      <c r="M392" s="168"/>
      <c r="N392" s="173"/>
      <c r="O392" s="141"/>
      <c r="P392" s="140"/>
      <c r="Q392" s="142"/>
      <c r="R392" s="140"/>
      <c r="S392" s="142"/>
      <c r="T392" s="140"/>
    </row>
    <row r="393" spans="3:20" ht="39.75" customHeight="1">
      <c r="C393" s="196">
        <v>390</v>
      </c>
      <c r="D393" s="127"/>
      <c r="E393" s="129"/>
      <c r="F393" s="128"/>
      <c r="G393" s="129"/>
      <c r="H393" s="129"/>
      <c r="I393" s="166"/>
      <c r="J393" s="180"/>
      <c r="K393" s="128"/>
      <c r="L393" s="127"/>
      <c r="M393" s="168"/>
      <c r="N393" s="173"/>
      <c r="O393" s="141"/>
      <c r="P393" s="140"/>
      <c r="Q393" s="142"/>
      <c r="R393" s="140"/>
      <c r="S393" s="142"/>
      <c r="T393" s="140"/>
    </row>
    <row r="394" spans="3:20" ht="39.75" customHeight="1">
      <c r="C394" s="196">
        <v>391</v>
      </c>
      <c r="D394" s="127"/>
      <c r="E394" s="129"/>
      <c r="F394" s="128"/>
      <c r="G394" s="129"/>
      <c r="H394" s="129"/>
      <c r="I394" s="166"/>
      <c r="J394" s="180"/>
      <c r="K394" s="128"/>
      <c r="L394" s="127"/>
      <c r="M394" s="168"/>
      <c r="N394" s="173"/>
      <c r="O394" s="141"/>
      <c r="P394" s="140"/>
      <c r="Q394" s="142"/>
      <c r="R394" s="140"/>
      <c r="S394" s="142"/>
      <c r="T394" s="140"/>
    </row>
    <row r="395" spans="3:20" ht="39.75" customHeight="1">
      <c r="C395" s="196">
        <v>392</v>
      </c>
      <c r="D395" s="127"/>
      <c r="E395" s="129"/>
      <c r="F395" s="128"/>
      <c r="G395" s="129"/>
      <c r="H395" s="129"/>
      <c r="I395" s="166"/>
      <c r="J395" s="180"/>
      <c r="K395" s="128"/>
      <c r="L395" s="127"/>
      <c r="M395" s="168"/>
      <c r="N395" s="173"/>
      <c r="O395" s="141"/>
      <c r="P395" s="140"/>
      <c r="Q395" s="142"/>
      <c r="R395" s="140"/>
      <c r="S395" s="142"/>
      <c r="T395" s="140"/>
    </row>
    <row r="396" spans="3:20" ht="39.75" customHeight="1">
      <c r="C396" s="196">
        <v>393</v>
      </c>
      <c r="D396" s="127"/>
      <c r="E396" s="129"/>
      <c r="F396" s="128"/>
      <c r="G396" s="129"/>
      <c r="H396" s="129"/>
      <c r="I396" s="166"/>
      <c r="J396" s="180"/>
      <c r="K396" s="128"/>
      <c r="L396" s="127"/>
      <c r="M396" s="168"/>
      <c r="N396" s="173"/>
      <c r="O396" s="141"/>
      <c r="P396" s="140"/>
      <c r="Q396" s="142"/>
      <c r="R396" s="140"/>
      <c r="S396" s="142"/>
      <c r="T396" s="140"/>
    </row>
    <row r="397" spans="3:20" ht="39.75" customHeight="1">
      <c r="C397" s="196">
        <v>394</v>
      </c>
      <c r="D397" s="127"/>
      <c r="E397" s="129"/>
      <c r="F397" s="128"/>
      <c r="G397" s="129"/>
      <c r="H397" s="129"/>
      <c r="I397" s="166"/>
      <c r="J397" s="180"/>
      <c r="K397" s="128"/>
      <c r="L397" s="127"/>
      <c r="M397" s="168"/>
      <c r="N397" s="173"/>
      <c r="O397" s="141"/>
      <c r="P397" s="140"/>
      <c r="Q397" s="142"/>
      <c r="R397" s="140"/>
      <c r="S397" s="142"/>
      <c r="T397" s="140"/>
    </row>
    <row r="398" spans="3:20" ht="39.75" customHeight="1">
      <c r="C398" s="196">
        <v>395</v>
      </c>
      <c r="D398" s="127"/>
      <c r="E398" s="129"/>
      <c r="F398" s="128"/>
      <c r="G398" s="129"/>
      <c r="H398" s="129"/>
      <c r="I398" s="166"/>
      <c r="J398" s="180"/>
      <c r="K398" s="128"/>
      <c r="L398" s="127"/>
      <c r="M398" s="168"/>
      <c r="N398" s="173"/>
      <c r="O398" s="141"/>
      <c r="P398" s="140"/>
      <c r="Q398" s="142"/>
      <c r="R398" s="140"/>
      <c r="S398" s="142"/>
      <c r="T398" s="140"/>
    </row>
    <row r="399" spans="3:20" ht="39.75" customHeight="1">
      <c r="C399" s="196">
        <v>396</v>
      </c>
      <c r="D399" s="127"/>
      <c r="E399" s="129"/>
      <c r="F399" s="128"/>
      <c r="G399" s="129"/>
      <c r="H399" s="129"/>
      <c r="I399" s="166"/>
      <c r="J399" s="180"/>
      <c r="K399" s="128"/>
      <c r="L399" s="127"/>
      <c r="M399" s="168"/>
      <c r="N399" s="173"/>
      <c r="O399" s="141"/>
      <c r="P399" s="140"/>
      <c r="Q399" s="142"/>
      <c r="R399" s="140"/>
      <c r="S399" s="142"/>
      <c r="T399" s="140"/>
    </row>
    <row r="400" spans="3:20" ht="39.75" customHeight="1">
      <c r="C400" s="196">
        <v>397</v>
      </c>
      <c r="D400" s="127"/>
      <c r="E400" s="129"/>
      <c r="F400" s="128"/>
      <c r="G400" s="129"/>
      <c r="H400" s="129"/>
      <c r="I400" s="166"/>
      <c r="J400" s="180"/>
      <c r="K400" s="128"/>
      <c r="L400" s="127"/>
      <c r="M400" s="168"/>
      <c r="N400" s="173"/>
      <c r="O400" s="141"/>
      <c r="P400" s="140"/>
      <c r="Q400" s="142"/>
      <c r="R400" s="140"/>
      <c r="S400" s="142"/>
      <c r="T400" s="140"/>
    </row>
    <row r="401" spans="3:20" ht="39.75" customHeight="1">
      <c r="C401" s="196">
        <v>398</v>
      </c>
      <c r="D401" s="127"/>
      <c r="E401" s="129"/>
      <c r="F401" s="128"/>
      <c r="G401" s="129"/>
      <c r="H401" s="129"/>
      <c r="I401" s="166"/>
      <c r="J401" s="180"/>
      <c r="K401" s="128"/>
      <c r="L401" s="127"/>
      <c r="M401" s="168"/>
      <c r="N401" s="173"/>
      <c r="O401" s="141"/>
      <c r="P401" s="140"/>
      <c r="Q401" s="142"/>
      <c r="R401" s="140"/>
      <c r="S401" s="142"/>
      <c r="T401" s="140"/>
    </row>
    <row r="402" spans="3:20" ht="39.75" customHeight="1">
      <c r="C402" s="196">
        <v>399</v>
      </c>
      <c r="D402" s="127"/>
      <c r="E402" s="129"/>
      <c r="F402" s="128"/>
      <c r="G402" s="129"/>
      <c r="H402" s="129"/>
      <c r="I402" s="166"/>
      <c r="J402" s="180"/>
      <c r="K402" s="128"/>
      <c r="L402" s="127"/>
      <c r="M402" s="168"/>
      <c r="N402" s="173"/>
      <c r="O402" s="141"/>
      <c r="P402" s="140"/>
      <c r="Q402" s="142"/>
      <c r="R402" s="140"/>
      <c r="S402" s="142"/>
      <c r="T402" s="140"/>
    </row>
    <row r="403" spans="3:20" ht="39.75" customHeight="1">
      <c r="C403" s="196">
        <v>400</v>
      </c>
      <c r="D403" s="127"/>
      <c r="E403" s="129"/>
      <c r="F403" s="128"/>
      <c r="G403" s="129"/>
      <c r="H403" s="129"/>
      <c r="I403" s="166"/>
      <c r="J403" s="180"/>
      <c r="K403" s="128"/>
      <c r="L403" s="127"/>
      <c r="M403" s="168"/>
      <c r="N403" s="173"/>
      <c r="O403" s="141"/>
      <c r="P403" s="140"/>
      <c r="Q403" s="142"/>
      <c r="R403" s="140"/>
      <c r="S403" s="142"/>
      <c r="T403" s="140"/>
    </row>
    <row r="404" spans="3:20" ht="39.75" customHeight="1">
      <c r="C404" s="196">
        <v>401</v>
      </c>
      <c r="D404" s="127"/>
      <c r="E404" s="129"/>
      <c r="F404" s="128"/>
      <c r="G404" s="129"/>
      <c r="H404" s="129"/>
      <c r="I404" s="166"/>
      <c r="J404" s="180"/>
      <c r="K404" s="128"/>
      <c r="L404" s="127"/>
      <c r="M404" s="168"/>
      <c r="N404" s="173"/>
      <c r="O404" s="141"/>
      <c r="P404" s="140"/>
      <c r="Q404" s="142"/>
      <c r="R404" s="140"/>
      <c r="S404" s="142"/>
      <c r="T404" s="140"/>
    </row>
    <row r="405" spans="3:20" ht="39.75" customHeight="1">
      <c r="C405" s="196">
        <v>402</v>
      </c>
      <c r="D405" s="127"/>
      <c r="E405" s="129"/>
      <c r="F405" s="128"/>
      <c r="G405" s="129"/>
      <c r="H405" s="129"/>
      <c r="I405" s="166"/>
      <c r="J405" s="180"/>
      <c r="K405" s="128"/>
      <c r="L405" s="127"/>
      <c r="M405" s="168"/>
      <c r="N405" s="173"/>
      <c r="O405" s="141"/>
      <c r="P405" s="140"/>
      <c r="Q405" s="142"/>
      <c r="R405" s="140"/>
      <c r="S405" s="142"/>
      <c r="T405" s="140"/>
    </row>
    <row r="406" spans="3:20" ht="39.75" customHeight="1">
      <c r="C406" s="196">
        <v>403</v>
      </c>
      <c r="D406" s="127"/>
      <c r="E406" s="129"/>
      <c r="F406" s="128"/>
      <c r="G406" s="129"/>
      <c r="H406" s="129"/>
      <c r="I406" s="166"/>
      <c r="J406" s="180"/>
      <c r="K406" s="128"/>
      <c r="L406" s="127"/>
      <c r="M406" s="168"/>
      <c r="N406" s="173"/>
      <c r="O406" s="141"/>
      <c r="P406" s="140"/>
      <c r="Q406" s="142"/>
      <c r="R406" s="140"/>
      <c r="S406" s="142"/>
      <c r="T406" s="140"/>
    </row>
    <row r="407" spans="3:20" ht="39.75" customHeight="1">
      <c r="C407" s="196">
        <v>404</v>
      </c>
      <c r="D407" s="127"/>
      <c r="E407" s="129"/>
      <c r="F407" s="128"/>
      <c r="G407" s="129"/>
      <c r="H407" s="129"/>
      <c r="I407" s="166"/>
      <c r="J407" s="180"/>
      <c r="K407" s="128"/>
      <c r="L407" s="127"/>
      <c r="M407" s="168"/>
      <c r="N407" s="173"/>
      <c r="O407" s="141"/>
      <c r="P407" s="140"/>
      <c r="Q407" s="142"/>
      <c r="R407" s="140"/>
      <c r="S407" s="142"/>
      <c r="T407" s="140"/>
    </row>
    <row r="408" spans="3:20" ht="39.75" customHeight="1">
      <c r="C408" s="196">
        <v>405</v>
      </c>
      <c r="D408" s="127"/>
      <c r="E408" s="129"/>
      <c r="F408" s="128"/>
      <c r="G408" s="129"/>
      <c r="H408" s="129"/>
      <c r="I408" s="166"/>
      <c r="J408" s="180"/>
      <c r="K408" s="128"/>
      <c r="L408" s="127"/>
      <c r="M408" s="168"/>
      <c r="N408" s="173"/>
      <c r="O408" s="141"/>
      <c r="P408" s="140"/>
      <c r="Q408" s="142"/>
      <c r="R408" s="140"/>
      <c r="S408" s="142"/>
      <c r="T408" s="140"/>
    </row>
    <row r="409" spans="3:20" ht="39.75" customHeight="1">
      <c r="C409" s="196">
        <v>406</v>
      </c>
      <c r="D409" s="127"/>
      <c r="E409" s="129"/>
      <c r="F409" s="128"/>
      <c r="G409" s="129"/>
      <c r="H409" s="129"/>
      <c r="I409" s="166"/>
      <c r="J409" s="180"/>
      <c r="K409" s="128"/>
      <c r="L409" s="127"/>
      <c r="M409" s="168"/>
      <c r="N409" s="173"/>
      <c r="O409" s="141"/>
      <c r="P409" s="140"/>
      <c r="Q409" s="142"/>
      <c r="R409" s="140"/>
      <c r="S409" s="142"/>
      <c r="T409" s="140"/>
    </row>
    <row r="410" spans="3:20" ht="39.75" customHeight="1">
      <c r="C410" s="196">
        <v>407</v>
      </c>
      <c r="D410" s="127"/>
      <c r="E410" s="129"/>
      <c r="F410" s="128"/>
      <c r="G410" s="129"/>
      <c r="H410" s="129"/>
      <c r="I410" s="166"/>
      <c r="J410" s="180"/>
      <c r="K410" s="128"/>
      <c r="L410" s="127"/>
      <c r="M410" s="168"/>
      <c r="N410" s="173"/>
      <c r="O410" s="141"/>
      <c r="P410" s="140"/>
      <c r="Q410" s="142"/>
      <c r="R410" s="140"/>
      <c r="S410" s="142"/>
      <c r="T410" s="140"/>
    </row>
    <row r="411" spans="3:20" ht="39.75" customHeight="1">
      <c r="C411" s="196">
        <v>408</v>
      </c>
      <c r="D411" s="127"/>
      <c r="E411" s="129"/>
      <c r="F411" s="128"/>
      <c r="G411" s="129"/>
      <c r="H411" s="129"/>
      <c r="I411" s="166"/>
      <c r="J411" s="180"/>
      <c r="K411" s="128"/>
      <c r="L411" s="127"/>
      <c r="M411" s="168"/>
      <c r="N411" s="173"/>
      <c r="O411" s="141"/>
      <c r="P411" s="140"/>
      <c r="Q411" s="142"/>
      <c r="R411" s="140"/>
      <c r="S411" s="142"/>
      <c r="T411" s="140"/>
    </row>
    <row r="412" spans="3:20" ht="39.75" customHeight="1">
      <c r="C412" s="196">
        <v>409</v>
      </c>
      <c r="D412" s="127"/>
      <c r="E412" s="129"/>
      <c r="F412" s="128"/>
      <c r="G412" s="129"/>
      <c r="H412" s="129"/>
      <c r="I412" s="166"/>
      <c r="J412" s="180"/>
      <c r="K412" s="128"/>
      <c r="L412" s="127"/>
      <c r="M412" s="168"/>
      <c r="N412" s="173"/>
      <c r="O412" s="141"/>
      <c r="P412" s="140"/>
      <c r="Q412" s="142"/>
      <c r="R412" s="140"/>
      <c r="S412" s="142"/>
      <c r="T412" s="140"/>
    </row>
    <row r="413" spans="3:20" ht="39.75" customHeight="1">
      <c r="C413" s="196">
        <v>410</v>
      </c>
      <c r="D413" s="127"/>
      <c r="E413" s="129"/>
      <c r="F413" s="128"/>
      <c r="G413" s="129"/>
      <c r="H413" s="129"/>
      <c r="I413" s="166"/>
      <c r="J413" s="180"/>
      <c r="K413" s="128"/>
      <c r="L413" s="127"/>
      <c r="M413" s="168"/>
      <c r="N413" s="173"/>
      <c r="O413" s="141"/>
      <c r="P413" s="140"/>
      <c r="Q413" s="142"/>
      <c r="R413" s="140"/>
      <c r="S413" s="142"/>
      <c r="T413" s="140"/>
    </row>
    <row r="414" spans="3:20" ht="39.75" customHeight="1">
      <c r="C414" s="196">
        <v>411</v>
      </c>
      <c r="D414" s="127"/>
      <c r="E414" s="129"/>
      <c r="F414" s="128"/>
      <c r="G414" s="129"/>
      <c r="H414" s="129"/>
      <c r="I414" s="166"/>
      <c r="J414" s="180"/>
      <c r="K414" s="128"/>
      <c r="L414" s="127"/>
      <c r="M414" s="168"/>
      <c r="N414" s="173"/>
      <c r="O414" s="141"/>
      <c r="P414" s="140"/>
      <c r="Q414" s="142"/>
      <c r="R414" s="140"/>
      <c r="S414" s="142"/>
      <c r="T414" s="140"/>
    </row>
    <row r="415" spans="3:20" ht="39.75" customHeight="1">
      <c r="C415" s="196">
        <v>412</v>
      </c>
      <c r="D415" s="127"/>
      <c r="E415" s="129"/>
      <c r="F415" s="128"/>
      <c r="G415" s="129"/>
      <c r="H415" s="129"/>
      <c r="I415" s="166"/>
      <c r="J415" s="180"/>
      <c r="K415" s="128"/>
      <c r="L415" s="127"/>
      <c r="M415" s="168"/>
      <c r="N415" s="173"/>
      <c r="O415" s="141"/>
      <c r="P415" s="140"/>
      <c r="Q415" s="142"/>
      <c r="R415" s="140"/>
      <c r="S415" s="142"/>
      <c r="T415" s="140"/>
    </row>
    <row r="416" spans="3:20" ht="39.75" customHeight="1">
      <c r="C416" s="196">
        <v>413</v>
      </c>
      <c r="D416" s="127"/>
      <c r="E416" s="129"/>
      <c r="F416" s="128"/>
      <c r="G416" s="129"/>
      <c r="H416" s="129"/>
      <c r="I416" s="166"/>
      <c r="J416" s="180"/>
      <c r="K416" s="128"/>
      <c r="L416" s="127"/>
      <c r="M416" s="168"/>
      <c r="N416" s="173"/>
      <c r="O416" s="141"/>
      <c r="P416" s="140"/>
      <c r="Q416" s="142"/>
      <c r="R416" s="140"/>
      <c r="S416" s="142"/>
      <c r="T416" s="140"/>
    </row>
    <row r="417" spans="3:20" ht="39.75" customHeight="1">
      <c r="C417" s="196">
        <v>414</v>
      </c>
      <c r="D417" s="127"/>
      <c r="E417" s="129"/>
      <c r="F417" s="128"/>
      <c r="G417" s="129"/>
      <c r="H417" s="129"/>
      <c r="I417" s="166"/>
      <c r="J417" s="180"/>
      <c r="K417" s="128"/>
      <c r="L417" s="127"/>
      <c r="M417" s="168"/>
      <c r="N417" s="173"/>
      <c r="O417" s="141"/>
      <c r="P417" s="140"/>
      <c r="Q417" s="142"/>
      <c r="R417" s="140"/>
      <c r="S417" s="142"/>
      <c r="T417" s="140"/>
    </row>
    <row r="418" spans="3:20" ht="39.75" customHeight="1">
      <c r="C418" s="196">
        <v>415</v>
      </c>
      <c r="D418" s="127"/>
      <c r="E418" s="129"/>
      <c r="F418" s="128"/>
      <c r="G418" s="129"/>
      <c r="H418" s="129"/>
      <c r="I418" s="166"/>
      <c r="J418" s="180"/>
      <c r="K418" s="128"/>
      <c r="L418" s="127"/>
      <c r="M418" s="168"/>
      <c r="N418" s="173"/>
      <c r="O418" s="141"/>
      <c r="P418" s="140"/>
      <c r="Q418" s="142"/>
      <c r="R418" s="140"/>
      <c r="S418" s="142"/>
      <c r="T418" s="140"/>
    </row>
    <row r="419" spans="3:20" ht="39.75" customHeight="1">
      <c r="C419" s="196">
        <v>416</v>
      </c>
      <c r="D419" s="127"/>
      <c r="E419" s="129"/>
      <c r="F419" s="128"/>
      <c r="G419" s="129"/>
      <c r="H419" s="129"/>
      <c r="I419" s="166"/>
      <c r="J419" s="180"/>
      <c r="K419" s="128"/>
      <c r="L419" s="127"/>
      <c r="M419" s="168"/>
      <c r="N419" s="173"/>
      <c r="O419" s="141"/>
      <c r="P419" s="140"/>
      <c r="Q419" s="142"/>
      <c r="R419" s="140"/>
      <c r="S419" s="142"/>
      <c r="T419" s="140"/>
    </row>
    <row r="420" spans="3:20" ht="39.75" customHeight="1">
      <c r="C420" s="196">
        <v>417</v>
      </c>
      <c r="D420" s="127"/>
      <c r="E420" s="129"/>
      <c r="F420" s="128"/>
      <c r="G420" s="129"/>
      <c r="H420" s="129"/>
      <c r="I420" s="166"/>
      <c r="J420" s="180"/>
      <c r="K420" s="128"/>
      <c r="L420" s="127"/>
      <c r="M420" s="168"/>
      <c r="N420" s="173"/>
      <c r="O420" s="141"/>
      <c r="P420" s="140"/>
      <c r="Q420" s="142"/>
      <c r="R420" s="140"/>
      <c r="S420" s="142"/>
      <c r="T420" s="140"/>
    </row>
    <row r="421" spans="3:20" ht="39.75" customHeight="1">
      <c r="C421" s="196">
        <v>418</v>
      </c>
      <c r="D421" s="127"/>
      <c r="E421" s="129"/>
      <c r="F421" s="128"/>
      <c r="G421" s="129"/>
      <c r="H421" s="129"/>
      <c r="I421" s="166"/>
      <c r="J421" s="180"/>
      <c r="K421" s="128"/>
      <c r="L421" s="127"/>
      <c r="M421" s="168"/>
      <c r="N421" s="173"/>
      <c r="O421" s="141"/>
      <c r="P421" s="140"/>
      <c r="Q421" s="142"/>
      <c r="R421" s="140"/>
      <c r="S421" s="142"/>
      <c r="T421" s="140"/>
    </row>
    <row r="422" spans="3:20" ht="39.75" customHeight="1">
      <c r="C422" s="196">
        <v>419</v>
      </c>
      <c r="D422" s="127"/>
      <c r="E422" s="129"/>
      <c r="F422" s="128"/>
      <c r="G422" s="129"/>
      <c r="H422" s="129"/>
      <c r="I422" s="166"/>
      <c r="J422" s="180"/>
      <c r="K422" s="128"/>
      <c r="L422" s="127"/>
      <c r="M422" s="168"/>
      <c r="N422" s="173"/>
      <c r="O422" s="141"/>
      <c r="P422" s="140"/>
      <c r="Q422" s="142"/>
      <c r="R422" s="140"/>
      <c r="S422" s="142"/>
      <c r="T422" s="140"/>
    </row>
    <row r="423" spans="3:20" ht="39.75" customHeight="1">
      <c r="C423" s="196">
        <v>420</v>
      </c>
      <c r="D423" s="127"/>
      <c r="E423" s="129"/>
      <c r="F423" s="128"/>
      <c r="G423" s="129"/>
      <c r="H423" s="129"/>
      <c r="I423" s="166"/>
      <c r="J423" s="180"/>
      <c r="K423" s="128"/>
      <c r="L423" s="127"/>
      <c r="M423" s="168"/>
      <c r="N423" s="173"/>
      <c r="O423" s="141"/>
      <c r="P423" s="140"/>
      <c r="Q423" s="142"/>
      <c r="R423" s="140"/>
      <c r="S423" s="142"/>
      <c r="T423" s="140"/>
    </row>
    <row r="424" spans="3:20" ht="39.75" customHeight="1">
      <c r="C424" s="196">
        <v>421</v>
      </c>
      <c r="D424" s="127"/>
      <c r="E424" s="129"/>
      <c r="F424" s="128"/>
      <c r="G424" s="129"/>
      <c r="H424" s="129"/>
      <c r="I424" s="166"/>
      <c r="J424" s="180"/>
      <c r="K424" s="128"/>
      <c r="L424" s="127"/>
      <c r="M424" s="168"/>
      <c r="N424" s="173"/>
      <c r="O424" s="141"/>
      <c r="P424" s="140"/>
      <c r="Q424" s="142"/>
      <c r="R424" s="140"/>
      <c r="S424" s="142"/>
      <c r="T424" s="140"/>
    </row>
    <row r="425" spans="3:20" ht="39.75" customHeight="1">
      <c r="C425" s="196">
        <v>422</v>
      </c>
      <c r="D425" s="127"/>
      <c r="E425" s="129"/>
      <c r="F425" s="128"/>
      <c r="G425" s="129"/>
      <c r="H425" s="129"/>
      <c r="I425" s="166"/>
      <c r="J425" s="180"/>
      <c r="K425" s="128"/>
      <c r="L425" s="127"/>
      <c r="M425" s="168"/>
      <c r="N425" s="173"/>
      <c r="O425" s="141"/>
      <c r="P425" s="140"/>
      <c r="Q425" s="142"/>
      <c r="R425" s="140"/>
      <c r="S425" s="142"/>
      <c r="T425" s="140"/>
    </row>
    <row r="426" spans="3:20" ht="39.75" customHeight="1">
      <c r="C426" s="196">
        <v>423</v>
      </c>
      <c r="D426" s="127"/>
      <c r="E426" s="129"/>
      <c r="F426" s="128"/>
      <c r="G426" s="129"/>
      <c r="H426" s="129"/>
      <c r="I426" s="166"/>
      <c r="J426" s="180"/>
      <c r="K426" s="128"/>
      <c r="L426" s="127"/>
      <c r="M426" s="168"/>
      <c r="N426" s="173"/>
      <c r="O426" s="141"/>
      <c r="P426" s="140"/>
      <c r="Q426" s="142"/>
      <c r="R426" s="140"/>
      <c r="S426" s="142"/>
      <c r="T426" s="140"/>
    </row>
    <row r="427" spans="3:20" ht="39.75" customHeight="1">
      <c r="C427" s="196">
        <v>424</v>
      </c>
      <c r="D427" s="127"/>
      <c r="E427" s="129"/>
      <c r="F427" s="128"/>
      <c r="G427" s="129"/>
      <c r="H427" s="129"/>
      <c r="I427" s="166"/>
      <c r="J427" s="180"/>
      <c r="K427" s="128"/>
      <c r="L427" s="127"/>
      <c r="M427" s="168"/>
      <c r="N427" s="173"/>
      <c r="O427" s="141"/>
      <c r="P427" s="140"/>
      <c r="Q427" s="142"/>
      <c r="R427" s="140"/>
      <c r="S427" s="142"/>
      <c r="T427" s="140"/>
    </row>
    <row r="428" spans="3:20" ht="39.75" customHeight="1">
      <c r="C428" s="196">
        <v>425</v>
      </c>
      <c r="D428" s="127"/>
      <c r="E428" s="129"/>
      <c r="F428" s="128"/>
      <c r="G428" s="129"/>
      <c r="H428" s="129"/>
      <c r="I428" s="166"/>
      <c r="J428" s="180"/>
      <c r="K428" s="128"/>
      <c r="L428" s="127"/>
      <c r="M428" s="168"/>
      <c r="N428" s="173"/>
      <c r="O428" s="141"/>
      <c r="P428" s="140"/>
      <c r="Q428" s="142"/>
      <c r="R428" s="140"/>
      <c r="S428" s="142"/>
      <c r="T428" s="140"/>
    </row>
    <row r="429" spans="3:20" ht="39.75" customHeight="1">
      <c r="C429" s="196">
        <v>426</v>
      </c>
      <c r="D429" s="127"/>
      <c r="E429" s="129"/>
      <c r="F429" s="128"/>
      <c r="G429" s="129"/>
      <c r="H429" s="129"/>
      <c r="I429" s="166"/>
      <c r="J429" s="180"/>
      <c r="K429" s="128"/>
      <c r="L429" s="127"/>
      <c r="M429" s="168"/>
      <c r="N429" s="173"/>
      <c r="O429" s="141"/>
      <c r="P429" s="140"/>
      <c r="Q429" s="142"/>
      <c r="R429" s="140"/>
      <c r="S429" s="142"/>
      <c r="T429" s="140"/>
    </row>
    <row r="430" spans="3:20" ht="39.75" customHeight="1">
      <c r="C430" s="196">
        <v>427</v>
      </c>
      <c r="D430" s="127"/>
      <c r="E430" s="129"/>
      <c r="F430" s="128"/>
      <c r="G430" s="129"/>
      <c r="H430" s="129"/>
      <c r="I430" s="166"/>
      <c r="J430" s="180"/>
      <c r="K430" s="128"/>
      <c r="L430" s="127"/>
      <c r="M430" s="168"/>
      <c r="N430" s="173"/>
      <c r="O430" s="141"/>
      <c r="P430" s="140"/>
      <c r="Q430" s="142"/>
      <c r="R430" s="140"/>
      <c r="S430" s="142"/>
      <c r="T430" s="140"/>
    </row>
    <row r="431" spans="3:20" ht="39.75" customHeight="1">
      <c r="C431" s="196">
        <v>428</v>
      </c>
      <c r="D431" s="127"/>
      <c r="E431" s="129"/>
      <c r="F431" s="128"/>
      <c r="G431" s="129"/>
      <c r="H431" s="129"/>
      <c r="I431" s="166"/>
      <c r="J431" s="180"/>
      <c r="K431" s="128"/>
      <c r="L431" s="127"/>
      <c r="M431" s="168"/>
      <c r="N431" s="173"/>
      <c r="O431" s="141"/>
      <c r="P431" s="140"/>
      <c r="Q431" s="142"/>
      <c r="R431" s="140"/>
      <c r="S431" s="142"/>
      <c r="T431" s="140"/>
    </row>
    <row r="432" spans="3:20" ht="39.75" customHeight="1">
      <c r="C432" s="196">
        <v>429</v>
      </c>
      <c r="D432" s="127"/>
      <c r="E432" s="129"/>
      <c r="F432" s="128"/>
      <c r="G432" s="129"/>
      <c r="H432" s="129"/>
      <c r="I432" s="166"/>
      <c r="J432" s="180"/>
      <c r="K432" s="128"/>
      <c r="L432" s="127"/>
      <c r="M432" s="168"/>
      <c r="N432" s="173"/>
      <c r="O432" s="141"/>
      <c r="P432" s="140"/>
      <c r="Q432" s="142"/>
      <c r="R432" s="140"/>
      <c r="S432" s="142"/>
      <c r="T432" s="140"/>
    </row>
    <row r="433" spans="3:20" ht="39.75" customHeight="1">
      <c r="C433" s="196">
        <v>430</v>
      </c>
      <c r="D433" s="127"/>
      <c r="E433" s="129"/>
      <c r="F433" s="128"/>
      <c r="G433" s="129"/>
      <c r="H433" s="129"/>
      <c r="I433" s="166"/>
      <c r="J433" s="180"/>
      <c r="K433" s="128"/>
      <c r="L433" s="127"/>
      <c r="M433" s="168"/>
      <c r="N433" s="173"/>
      <c r="O433" s="141"/>
      <c r="P433" s="140"/>
      <c r="Q433" s="142"/>
      <c r="R433" s="140"/>
      <c r="S433" s="142"/>
      <c r="T433" s="140"/>
    </row>
    <row r="434" spans="3:20" ht="39.75" customHeight="1">
      <c r="C434" s="196">
        <v>431</v>
      </c>
      <c r="D434" s="127"/>
      <c r="E434" s="129"/>
      <c r="F434" s="128"/>
      <c r="G434" s="129"/>
      <c r="H434" s="129"/>
      <c r="I434" s="166"/>
      <c r="J434" s="180"/>
      <c r="K434" s="128"/>
      <c r="L434" s="127"/>
      <c r="M434" s="168"/>
      <c r="N434" s="173"/>
      <c r="O434" s="141"/>
      <c r="P434" s="140"/>
      <c r="Q434" s="142"/>
      <c r="R434" s="140"/>
      <c r="S434" s="142"/>
      <c r="T434" s="140"/>
    </row>
    <row r="435" spans="3:20" ht="39.75" customHeight="1">
      <c r="C435" s="196">
        <v>432</v>
      </c>
      <c r="D435" s="127"/>
      <c r="E435" s="129"/>
      <c r="F435" s="128"/>
      <c r="G435" s="129"/>
      <c r="H435" s="129"/>
      <c r="I435" s="166"/>
      <c r="J435" s="180"/>
      <c r="K435" s="128"/>
      <c r="L435" s="127"/>
      <c r="M435" s="168"/>
      <c r="N435" s="173"/>
      <c r="O435" s="141"/>
      <c r="P435" s="140"/>
      <c r="Q435" s="142"/>
      <c r="R435" s="140"/>
      <c r="S435" s="142"/>
      <c r="T435" s="140"/>
    </row>
    <row r="436" spans="3:20" ht="39.75" customHeight="1">
      <c r="C436" s="196">
        <v>433</v>
      </c>
      <c r="D436" s="127"/>
      <c r="E436" s="129"/>
      <c r="F436" s="128"/>
      <c r="G436" s="129"/>
      <c r="H436" s="129"/>
      <c r="I436" s="166"/>
      <c r="J436" s="180"/>
      <c r="K436" s="128"/>
      <c r="L436" s="127"/>
      <c r="M436" s="168"/>
      <c r="N436" s="173"/>
      <c r="O436" s="141"/>
      <c r="P436" s="140"/>
      <c r="Q436" s="142"/>
      <c r="R436" s="140"/>
      <c r="S436" s="142"/>
      <c r="T436" s="140"/>
    </row>
    <row r="437" spans="3:20" ht="39.75" customHeight="1">
      <c r="C437" s="196">
        <v>434</v>
      </c>
      <c r="D437" s="127"/>
      <c r="E437" s="129"/>
      <c r="F437" s="128"/>
      <c r="G437" s="129"/>
      <c r="H437" s="129"/>
      <c r="I437" s="166"/>
      <c r="J437" s="180"/>
      <c r="K437" s="128"/>
      <c r="L437" s="127"/>
      <c r="M437" s="168"/>
      <c r="N437" s="173"/>
      <c r="O437" s="141"/>
      <c r="P437" s="140"/>
      <c r="Q437" s="142"/>
      <c r="R437" s="140"/>
      <c r="S437" s="142"/>
      <c r="T437" s="140"/>
    </row>
    <row r="438" spans="3:20" ht="39.75" customHeight="1">
      <c r="C438" s="196">
        <v>435</v>
      </c>
      <c r="D438" s="127"/>
      <c r="E438" s="129"/>
      <c r="F438" s="128"/>
      <c r="G438" s="129"/>
      <c r="H438" s="129"/>
      <c r="I438" s="166"/>
      <c r="J438" s="180"/>
      <c r="K438" s="128"/>
      <c r="L438" s="127"/>
      <c r="M438" s="168"/>
      <c r="N438" s="173"/>
      <c r="O438" s="141"/>
      <c r="P438" s="140"/>
      <c r="Q438" s="142"/>
      <c r="R438" s="140"/>
      <c r="S438" s="142"/>
      <c r="T438" s="140"/>
    </row>
    <row r="439" spans="3:20" ht="39.75" customHeight="1">
      <c r="C439" s="196">
        <v>436</v>
      </c>
      <c r="D439" s="127"/>
      <c r="E439" s="129"/>
      <c r="F439" s="128"/>
      <c r="G439" s="129"/>
      <c r="H439" s="129"/>
      <c r="I439" s="166"/>
      <c r="J439" s="180"/>
      <c r="K439" s="128"/>
      <c r="L439" s="127"/>
      <c r="M439" s="168"/>
      <c r="N439" s="173"/>
      <c r="O439" s="141"/>
      <c r="P439" s="140"/>
      <c r="Q439" s="142"/>
      <c r="R439" s="140"/>
      <c r="S439" s="142"/>
      <c r="T439" s="140"/>
    </row>
    <row r="440" spans="3:20" ht="39.75" customHeight="1">
      <c r="C440" s="196">
        <v>437</v>
      </c>
      <c r="D440" s="127"/>
      <c r="E440" s="129"/>
      <c r="F440" s="128"/>
      <c r="G440" s="129"/>
      <c r="H440" s="129"/>
      <c r="I440" s="166"/>
      <c r="J440" s="180"/>
      <c r="K440" s="128"/>
      <c r="L440" s="127"/>
      <c r="M440" s="168"/>
      <c r="N440" s="173"/>
      <c r="O440" s="141"/>
      <c r="P440" s="140"/>
      <c r="Q440" s="142"/>
      <c r="R440" s="140"/>
      <c r="S440" s="142"/>
      <c r="T440" s="140"/>
    </row>
    <row r="441" spans="3:20" ht="39.75" customHeight="1">
      <c r="C441" s="196">
        <v>438</v>
      </c>
      <c r="D441" s="127"/>
      <c r="E441" s="129"/>
      <c r="F441" s="128"/>
      <c r="G441" s="129"/>
      <c r="H441" s="129"/>
      <c r="I441" s="166"/>
      <c r="J441" s="180"/>
      <c r="K441" s="128"/>
      <c r="L441" s="127"/>
      <c r="M441" s="168"/>
      <c r="N441" s="173"/>
      <c r="O441" s="141"/>
      <c r="P441" s="140"/>
      <c r="Q441" s="142"/>
      <c r="R441" s="140"/>
      <c r="S441" s="142"/>
      <c r="T441" s="140"/>
    </row>
    <row r="442" spans="3:20" ht="39.75" customHeight="1">
      <c r="C442" s="196">
        <v>439</v>
      </c>
      <c r="D442" s="127"/>
      <c r="E442" s="129"/>
      <c r="F442" s="128"/>
      <c r="G442" s="129"/>
      <c r="H442" s="129"/>
      <c r="I442" s="166"/>
      <c r="J442" s="180"/>
      <c r="K442" s="128"/>
      <c r="L442" s="127"/>
      <c r="M442" s="168"/>
      <c r="N442" s="173"/>
      <c r="O442" s="141"/>
      <c r="P442" s="140"/>
      <c r="Q442" s="142"/>
      <c r="R442" s="140"/>
      <c r="S442" s="142"/>
      <c r="T442" s="140"/>
    </row>
    <row r="443" spans="3:20" ht="39.75" customHeight="1">
      <c r="C443" s="196">
        <v>440</v>
      </c>
      <c r="D443" s="127"/>
      <c r="E443" s="129"/>
      <c r="F443" s="128"/>
      <c r="G443" s="129"/>
      <c r="H443" s="129"/>
      <c r="I443" s="166"/>
      <c r="J443" s="180"/>
      <c r="K443" s="128"/>
      <c r="L443" s="127"/>
      <c r="M443" s="168"/>
      <c r="N443" s="173"/>
      <c r="O443" s="141"/>
      <c r="P443" s="140"/>
      <c r="Q443" s="142"/>
      <c r="R443" s="140"/>
      <c r="S443" s="142"/>
      <c r="T443" s="140"/>
    </row>
    <row r="444" spans="3:20" ht="39.75" customHeight="1">
      <c r="C444" s="196">
        <v>441</v>
      </c>
      <c r="D444" s="127"/>
      <c r="E444" s="129"/>
      <c r="F444" s="128"/>
      <c r="G444" s="129"/>
      <c r="H444" s="129"/>
      <c r="I444" s="166"/>
      <c r="J444" s="180"/>
      <c r="K444" s="128"/>
      <c r="L444" s="127"/>
      <c r="M444" s="168"/>
      <c r="N444" s="173"/>
      <c r="O444" s="141"/>
      <c r="P444" s="140"/>
      <c r="Q444" s="142"/>
      <c r="R444" s="140"/>
      <c r="S444" s="142"/>
      <c r="T444" s="140"/>
    </row>
    <row r="445" spans="3:20" ht="39.75" customHeight="1">
      <c r="C445" s="196">
        <v>442</v>
      </c>
      <c r="D445" s="127"/>
      <c r="E445" s="129"/>
      <c r="F445" s="128"/>
      <c r="G445" s="129"/>
      <c r="H445" s="129"/>
      <c r="I445" s="166"/>
      <c r="J445" s="180"/>
      <c r="K445" s="128"/>
      <c r="L445" s="127"/>
      <c r="M445" s="168"/>
      <c r="N445" s="173"/>
      <c r="O445" s="141"/>
      <c r="P445" s="140"/>
      <c r="Q445" s="142"/>
      <c r="R445" s="140"/>
      <c r="S445" s="142"/>
      <c r="T445" s="140"/>
    </row>
    <row r="446" spans="3:20" ht="39.75" customHeight="1">
      <c r="C446" s="196">
        <v>443</v>
      </c>
      <c r="D446" s="127"/>
      <c r="E446" s="129"/>
      <c r="F446" s="128"/>
      <c r="G446" s="129"/>
      <c r="H446" s="129"/>
      <c r="I446" s="166"/>
      <c r="J446" s="180"/>
      <c r="K446" s="128"/>
      <c r="L446" s="127"/>
      <c r="M446" s="168"/>
      <c r="N446" s="173"/>
      <c r="O446" s="141"/>
      <c r="P446" s="140"/>
      <c r="Q446" s="142"/>
      <c r="R446" s="140"/>
      <c r="S446" s="142"/>
      <c r="T446" s="140"/>
    </row>
    <row r="447" spans="3:20" ht="39.75" customHeight="1">
      <c r="C447" s="196">
        <v>444</v>
      </c>
      <c r="D447" s="127"/>
      <c r="E447" s="129"/>
      <c r="F447" s="128"/>
      <c r="G447" s="129"/>
      <c r="H447" s="129"/>
      <c r="I447" s="166"/>
      <c r="J447" s="180"/>
      <c r="K447" s="128"/>
      <c r="L447" s="127"/>
      <c r="M447" s="168"/>
      <c r="N447" s="173"/>
      <c r="O447" s="141"/>
      <c r="P447" s="140"/>
      <c r="Q447" s="142"/>
      <c r="R447" s="140"/>
      <c r="S447" s="142"/>
      <c r="T447" s="140"/>
    </row>
    <row r="448" spans="3:20" ht="39.75" customHeight="1">
      <c r="C448" s="196">
        <v>445</v>
      </c>
      <c r="D448" s="127"/>
      <c r="E448" s="129"/>
      <c r="F448" s="128"/>
      <c r="G448" s="129"/>
      <c r="H448" s="129"/>
      <c r="I448" s="166"/>
      <c r="J448" s="180"/>
      <c r="K448" s="128"/>
      <c r="L448" s="127"/>
      <c r="M448" s="168"/>
      <c r="N448" s="173"/>
      <c r="O448" s="141"/>
      <c r="P448" s="140"/>
      <c r="Q448" s="142"/>
      <c r="R448" s="140"/>
      <c r="S448" s="142"/>
      <c r="T448" s="140"/>
    </row>
    <row r="449" spans="3:20" ht="39.75" customHeight="1">
      <c r="C449" s="196">
        <v>446</v>
      </c>
      <c r="D449" s="127"/>
      <c r="E449" s="129"/>
      <c r="F449" s="128"/>
      <c r="G449" s="129"/>
      <c r="H449" s="129"/>
      <c r="I449" s="166"/>
      <c r="J449" s="180"/>
      <c r="K449" s="128"/>
      <c r="L449" s="127"/>
      <c r="M449" s="168"/>
      <c r="N449" s="173"/>
      <c r="O449" s="141"/>
      <c r="P449" s="140"/>
      <c r="Q449" s="142"/>
      <c r="R449" s="140"/>
      <c r="S449" s="142"/>
      <c r="T449" s="140"/>
    </row>
    <row r="450" spans="3:20" ht="39.75" customHeight="1">
      <c r="C450" s="196">
        <v>447</v>
      </c>
      <c r="D450" s="127"/>
      <c r="E450" s="129"/>
      <c r="F450" s="128"/>
      <c r="G450" s="129"/>
      <c r="H450" s="129"/>
      <c r="I450" s="166"/>
      <c r="J450" s="180"/>
      <c r="K450" s="128"/>
      <c r="L450" s="127"/>
      <c r="M450" s="168"/>
      <c r="N450" s="173"/>
      <c r="O450" s="141"/>
      <c r="P450" s="140"/>
      <c r="Q450" s="142"/>
      <c r="R450" s="140"/>
      <c r="S450" s="142"/>
      <c r="T450" s="140"/>
    </row>
    <row r="451" spans="3:20" ht="39.75" customHeight="1">
      <c r="C451" s="196">
        <v>448</v>
      </c>
      <c r="D451" s="127"/>
      <c r="E451" s="129"/>
      <c r="F451" s="128"/>
      <c r="G451" s="129"/>
      <c r="H451" s="129"/>
      <c r="I451" s="166"/>
      <c r="J451" s="180"/>
      <c r="K451" s="128"/>
      <c r="L451" s="127"/>
      <c r="M451" s="168"/>
      <c r="N451" s="173"/>
      <c r="O451" s="141"/>
      <c r="P451" s="140"/>
      <c r="Q451" s="142"/>
      <c r="R451" s="140"/>
      <c r="S451" s="142"/>
      <c r="T451" s="140"/>
    </row>
    <row r="452" spans="3:20" ht="39.75" customHeight="1">
      <c r="C452" s="196">
        <v>449</v>
      </c>
      <c r="D452" s="127"/>
      <c r="E452" s="129"/>
      <c r="F452" s="128"/>
      <c r="G452" s="129"/>
      <c r="H452" s="129"/>
      <c r="I452" s="166"/>
      <c r="J452" s="180"/>
      <c r="K452" s="128"/>
      <c r="L452" s="127"/>
      <c r="M452" s="168"/>
      <c r="N452" s="173"/>
      <c r="O452" s="141"/>
      <c r="P452" s="140"/>
      <c r="Q452" s="142"/>
      <c r="R452" s="140"/>
      <c r="S452" s="142"/>
      <c r="T452" s="140"/>
    </row>
    <row r="453" spans="3:20" ht="39.75" customHeight="1">
      <c r="C453" s="196">
        <v>450</v>
      </c>
      <c r="D453" s="127"/>
      <c r="E453" s="129"/>
      <c r="F453" s="128"/>
      <c r="G453" s="129"/>
      <c r="H453" s="129"/>
      <c r="I453" s="166"/>
      <c r="J453" s="180"/>
      <c r="K453" s="128"/>
      <c r="L453" s="127"/>
      <c r="M453" s="168"/>
      <c r="N453" s="173"/>
      <c r="O453" s="141"/>
      <c r="P453" s="140"/>
      <c r="Q453" s="142"/>
      <c r="R453" s="140"/>
      <c r="S453" s="142"/>
      <c r="T453" s="140"/>
    </row>
    <row r="454" spans="3:20" ht="39.75" customHeight="1">
      <c r="C454" s="196">
        <v>451</v>
      </c>
      <c r="D454" s="127"/>
      <c r="E454" s="129"/>
      <c r="F454" s="128"/>
      <c r="G454" s="129"/>
      <c r="H454" s="129"/>
      <c r="I454" s="166"/>
      <c r="J454" s="180"/>
      <c r="K454" s="128"/>
      <c r="L454" s="127"/>
      <c r="M454" s="168"/>
      <c r="N454" s="173"/>
      <c r="O454" s="141"/>
      <c r="P454" s="140"/>
      <c r="Q454" s="142"/>
      <c r="R454" s="140"/>
      <c r="S454" s="142"/>
      <c r="T454" s="140"/>
    </row>
    <row r="455" spans="3:20" ht="39.75" customHeight="1">
      <c r="C455" s="196">
        <v>452</v>
      </c>
      <c r="D455" s="127"/>
      <c r="E455" s="129"/>
      <c r="F455" s="128"/>
      <c r="G455" s="129"/>
      <c r="H455" s="129"/>
      <c r="I455" s="166"/>
      <c r="J455" s="180"/>
      <c r="K455" s="128"/>
      <c r="L455" s="127"/>
      <c r="M455" s="168"/>
      <c r="N455" s="173"/>
      <c r="O455" s="141"/>
      <c r="P455" s="140"/>
      <c r="Q455" s="142"/>
      <c r="R455" s="140"/>
      <c r="S455" s="142"/>
      <c r="T455" s="140"/>
    </row>
    <row r="456" spans="3:20" ht="39.75" customHeight="1">
      <c r="C456" s="196">
        <v>453</v>
      </c>
      <c r="D456" s="127"/>
      <c r="E456" s="129"/>
      <c r="F456" s="128"/>
      <c r="G456" s="129"/>
      <c r="H456" s="129"/>
      <c r="I456" s="166"/>
      <c r="J456" s="180"/>
      <c r="K456" s="128"/>
      <c r="L456" s="127"/>
      <c r="M456" s="168"/>
      <c r="N456" s="173"/>
      <c r="O456" s="141"/>
      <c r="P456" s="140"/>
      <c r="Q456" s="142"/>
      <c r="R456" s="140"/>
      <c r="S456" s="142"/>
      <c r="T456" s="140"/>
    </row>
    <row r="457" spans="3:20" ht="39.75" customHeight="1">
      <c r="C457" s="196">
        <v>454</v>
      </c>
      <c r="D457" s="127"/>
      <c r="E457" s="129"/>
      <c r="F457" s="128"/>
      <c r="G457" s="129"/>
      <c r="H457" s="129"/>
      <c r="I457" s="166"/>
      <c r="J457" s="180"/>
      <c r="K457" s="128"/>
      <c r="L457" s="127"/>
      <c r="M457" s="168"/>
      <c r="N457" s="173"/>
      <c r="O457" s="141"/>
      <c r="P457" s="140"/>
      <c r="Q457" s="142"/>
      <c r="R457" s="140"/>
      <c r="S457" s="142"/>
      <c r="T457" s="140"/>
    </row>
    <row r="458" spans="3:20" ht="39.75" customHeight="1">
      <c r="C458" s="196">
        <v>455</v>
      </c>
      <c r="D458" s="127"/>
      <c r="E458" s="129"/>
      <c r="F458" s="128"/>
      <c r="G458" s="129"/>
      <c r="H458" s="129"/>
      <c r="I458" s="166"/>
      <c r="J458" s="180"/>
      <c r="K458" s="128"/>
      <c r="L458" s="127"/>
      <c r="M458" s="168"/>
      <c r="N458" s="173"/>
      <c r="O458" s="141"/>
      <c r="P458" s="140"/>
      <c r="Q458" s="142"/>
      <c r="R458" s="140"/>
      <c r="S458" s="142"/>
      <c r="T458" s="140"/>
    </row>
    <row r="459" spans="3:20" ht="39.75" customHeight="1">
      <c r="C459" s="196">
        <v>456</v>
      </c>
      <c r="D459" s="127"/>
      <c r="E459" s="129"/>
      <c r="F459" s="128"/>
      <c r="G459" s="129"/>
      <c r="H459" s="129"/>
      <c r="I459" s="166"/>
      <c r="J459" s="180"/>
      <c r="K459" s="128"/>
      <c r="L459" s="127"/>
      <c r="M459" s="168"/>
      <c r="N459" s="173"/>
      <c r="O459" s="141"/>
      <c r="P459" s="140"/>
      <c r="Q459" s="142"/>
      <c r="R459" s="140"/>
      <c r="S459" s="142"/>
      <c r="T459" s="140"/>
    </row>
    <row r="460" spans="3:20" ht="39.75" customHeight="1">
      <c r="C460" s="196">
        <v>457</v>
      </c>
      <c r="D460" s="127"/>
      <c r="E460" s="129"/>
      <c r="F460" s="128"/>
      <c r="G460" s="129"/>
      <c r="H460" s="129"/>
      <c r="I460" s="166"/>
      <c r="J460" s="180"/>
      <c r="K460" s="128"/>
      <c r="L460" s="127"/>
      <c r="M460" s="168"/>
      <c r="N460" s="173"/>
      <c r="O460" s="141"/>
      <c r="P460" s="140"/>
      <c r="Q460" s="142"/>
      <c r="R460" s="140"/>
      <c r="S460" s="142"/>
      <c r="T460" s="140"/>
    </row>
    <row r="461" spans="3:20" ht="39.75" customHeight="1">
      <c r="C461" s="196">
        <v>458</v>
      </c>
      <c r="D461" s="127"/>
      <c r="E461" s="129"/>
      <c r="F461" s="128"/>
      <c r="G461" s="129"/>
      <c r="H461" s="129"/>
      <c r="I461" s="166"/>
      <c r="J461" s="180"/>
      <c r="K461" s="128"/>
      <c r="L461" s="127"/>
      <c r="M461" s="168"/>
      <c r="N461" s="173"/>
      <c r="O461" s="141"/>
      <c r="P461" s="140"/>
      <c r="Q461" s="142"/>
      <c r="R461" s="140"/>
      <c r="S461" s="142"/>
      <c r="T461" s="140"/>
    </row>
    <row r="462" spans="3:20" ht="39.75" customHeight="1">
      <c r="C462" s="196">
        <v>459</v>
      </c>
      <c r="D462" s="127"/>
      <c r="E462" s="129"/>
      <c r="F462" s="128"/>
      <c r="G462" s="129"/>
      <c r="H462" s="129"/>
      <c r="I462" s="166"/>
      <c r="J462" s="180"/>
      <c r="K462" s="128"/>
      <c r="L462" s="127"/>
      <c r="M462" s="168"/>
      <c r="N462" s="173"/>
      <c r="O462" s="141"/>
      <c r="P462" s="140"/>
      <c r="Q462" s="142"/>
      <c r="R462" s="140"/>
      <c r="S462" s="142"/>
      <c r="T462" s="140"/>
    </row>
    <row r="463" spans="3:20" ht="39.75" customHeight="1">
      <c r="C463" s="196">
        <v>460</v>
      </c>
      <c r="D463" s="127"/>
      <c r="E463" s="129"/>
      <c r="F463" s="128"/>
      <c r="G463" s="129"/>
      <c r="H463" s="129"/>
      <c r="I463" s="166"/>
      <c r="J463" s="180"/>
      <c r="K463" s="128"/>
      <c r="L463" s="127"/>
      <c r="M463" s="168"/>
      <c r="N463" s="173"/>
      <c r="O463" s="141"/>
      <c r="P463" s="140"/>
      <c r="Q463" s="142"/>
      <c r="R463" s="140"/>
      <c r="S463" s="142"/>
      <c r="T463" s="140"/>
    </row>
    <row r="464" spans="3:20" ht="39.75" customHeight="1">
      <c r="C464" s="196">
        <v>461</v>
      </c>
      <c r="D464" s="127"/>
      <c r="E464" s="129"/>
      <c r="F464" s="128"/>
      <c r="G464" s="129"/>
      <c r="H464" s="129"/>
      <c r="I464" s="166"/>
      <c r="J464" s="180"/>
      <c r="K464" s="128"/>
      <c r="L464" s="127"/>
      <c r="M464" s="168"/>
      <c r="N464" s="173"/>
      <c r="O464" s="141"/>
      <c r="P464" s="140"/>
      <c r="Q464" s="142"/>
      <c r="R464" s="140"/>
      <c r="S464" s="142"/>
      <c r="T464" s="140"/>
    </row>
    <row r="465" spans="3:20" ht="39.75" customHeight="1">
      <c r="C465" s="196">
        <v>462</v>
      </c>
      <c r="D465" s="127"/>
      <c r="E465" s="129"/>
      <c r="F465" s="128"/>
      <c r="G465" s="129"/>
      <c r="H465" s="129"/>
      <c r="I465" s="166"/>
      <c r="J465" s="180"/>
      <c r="K465" s="128"/>
      <c r="L465" s="127"/>
      <c r="M465" s="168"/>
      <c r="N465" s="173"/>
      <c r="O465" s="141"/>
      <c r="P465" s="140"/>
      <c r="Q465" s="142"/>
      <c r="R465" s="140"/>
      <c r="S465" s="142"/>
      <c r="T465" s="140"/>
    </row>
    <row r="466" spans="3:20" ht="39.75" customHeight="1">
      <c r="C466" s="196">
        <v>463</v>
      </c>
      <c r="D466" s="127"/>
      <c r="E466" s="129"/>
      <c r="F466" s="128"/>
      <c r="G466" s="129"/>
      <c r="H466" s="129"/>
      <c r="I466" s="166"/>
      <c r="J466" s="180"/>
      <c r="K466" s="128"/>
      <c r="L466" s="127"/>
      <c r="M466" s="168"/>
      <c r="N466" s="173"/>
      <c r="O466" s="141"/>
      <c r="P466" s="140"/>
      <c r="Q466" s="142"/>
      <c r="R466" s="140"/>
      <c r="S466" s="142"/>
      <c r="T466" s="140"/>
    </row>
    <row r="467" spans="3:20" ht="39.75" customHeight="1">
      <c r="C467" s="196">
        <v>464</v>
      </c>
      <c r="D467" s="127"/>
      <c r="E467" s="129"/>
      <c r="F467" s="128"/>
      <c r="G467" s="129"/>
      <c r="H467" s="129"/>
      <c r="I467" s="166"/>
      <c r="J467" s="180"/>
      <c r="K467" s="128"/>
      <c r="L467" s="127"/>
      <c r="M467" s="168"/>
      <c r="N467" s="173"/>
      <c r="O467" s="141"/>
      <c r="P467" s="140"/>
      <c r="Q467" s="142"/>
      <c r="R467" s="140"/>
      <c r="S467" s="142"/>
      <c r="T467" s="140"/>
    </row>
    <row r="468" spans="3:20" ht="39.75" customHeight="1">
      <c r="C468" s="196">
        <v>465</v>
      </c>
      <c r="D468" s="127"/>
      <c r="E468" s="129"/>
      <c r="F468" s="128"/>
      <c r="G468" s="129"/>
      <c r="H468" s="129"/>
      <c r="I468" s="166"/>
      <c r="J468" s="180"/>
      <c r="K468" s="128"/>
      <c r="L468" s="127"/>
      <c r="M468" s="168"/>
      <c r="N468" s="173"/>
      <c r="O468" s="141"/>
      <c r="P468" s="140"/>
      <c r="Q468" s="142"/>
      <c r="R468" s="140"/>
      <c r="S468" s="142"/>
      <c r="T468" s="140"/>
    </row>
    <row r="469" spans="3:20" ht="39.75" customHeight="1">
      <c r="C469" s="196">
        <v>466</v>
      </c>
      <c r="D469" s="127"/>
      <c r="E469" s="129"/>
      <c r="F469" s="128"/>
      <c r="G469" s="129"/>
      <c r="H469" s="129"/>
      <c r="I469" s="166"/>
      <c r="J469" s="180"/>
      <c r="K469" s="128"/>
      <c r="L469" s="127"/>
      <c r="M469" s="168"/>
      <c r="N469" s="173"/>
      <c r="O469" s="141"/>
      <c r="P469" s="140"/>
      <c r="Q469" s="142"/>
      <c r="R469" s="140"/>
      <c r="S469" s="142"/>
      <c r="T469" s="140"/>
    </row>
    <row r="470" spans="3:20" ht="39.75" customHeight="1">
      <c r="C470" s="196">
        <v>467</v>
      </c>
      <c r="D470" s="127"/>
      <c r="E470" s="129"/>
      <c r="F470" s="128"/>
      <c r="G470" s="129"/>
      <c r="H470" s="129"/>
      <c r="I470" s="166"/>
      <c r="J470" s="180"/>
      <c r="K470" s="128"/>
      <c r="L470" s="127"/>
      <c r="M470" s="168"/>
      <c r="N470" s="173"/>
      <c r="O470" s="141"/>
      <c r="P470" s="140"/>
      <c r="Q470" s="142"/>
      <c r="R470" s="140"/>
      <c r="S470" s="142"/>
      <c r="T470" s="140"/>
    </row>
    <row r="471" spans="3:20" ht="39.75" customHeight="1">
      <c r="C471" s="196">
        <v>468</v>
      </c>
      <c r="D471" s="127"/>
      <c r="E471" s="129"/>
      <c r="F471" s="128"/>
      <c r="G471" s="129"/>
      <c r="H471" s="129"/>
      <c r="I471" s="166"/>
      <c r="J471" s="180"/>
      <c r="K471" s="128"/>
      <c r="L471" s="127"/>
      <c r="M471" s="168"/>
      <c r="N471" s="173"/>
      <c r="O471" s="141"/>
      <c r="P471" s="140"/>
      <c r="Q471" s="142"/>
      <c r="R471" s="140"/>
      <c r="S471" s="142"/>
      <c r="T471" s="140"/>
    </row>
    <row r="472" spans="3:20" ht="39.75" customHeight="1">
      <c r="C472" s="196">
        <v>469</v>
      </c>
      <c r="D472" s="127"/>
      <c r="E472" s="129"/>
      <c r="F472" s="128"/>
      <c r="G472" s="129"/>
      <c r="H472" s="129"/>
      <c r="I472" s="166"/>
      <c r="J472" s="180"/>
      <c r="K472" s="128"/>
      <c r="L472" s="127"/>
      <c r="M472" s="168"/>
      <c r="N472" s="173"/>
      <c r="O472" s="141"/>
      <c r="P472" s="140"/>
      <c r="Q472" s="142"/>
      <c r="R472" s="140"/>
      <c r="S472" s="142"/>
      <c r="T472" s="140"/>
    </row>
    <row r="473" spans="3:20" ht="39.75" customHeight="1">
      <c r="C473" s="196">
        <v>470</v>
      </c>
      <c r="D473" s="127"/>
      <c r="E473" s="129"/>
      <c r="F473" s="128"/>
      <c r="G473" s="129"/>
      <c r="H473" s="129"/>
      <c r="I473" s="166"/>
      <c r="J473" s="180"/>
      <c r="K473" s="128"/>
      <c r="L473" s="127"/>
      <c r="M473" s="168"/>
      <c r="N473" s="173"/>
      <c r="O473" s="141"/>
      <c r="P473" s="140"/>
      <c r="Q473" s="142"/>
      <c r="R473" s="140"/>
      <c r="S473" s="142"/>
      <c r="T473" s="140"/>
    </row>
    <row r="474" spans="3:20" ht="39.75" customHeight="1">
      <c r="C474" s="196">
        <v>471</v>
      </c>
      <c r="D474" s="127"/>
      <c r="E474" s="129"/>
      <c r="F474" s="128"/>
      <c r="G474" s="129"/>
      <c r="H474" s="129"/>
      <c r="I474" s="166"/>
      <c r="J474" s="180"/>
      <c r="K474" s="128"/>
      <c r="L474" s="127"/>
      <c r="M474" s="168"/>
      <c r="N474" s="173"/>
      <c r="O474" s="141"/>
      <c r="P474" s="140"/>
      <c r="Q474" s="142"/>
      <c r="R474" s="140"/>
      <c r="S474" s="142"/>
      <c r="T474" s="140"/>
    </row>
    <row r="475" spans="3:20" ht="39.75" customHeight="1">
      <c r="C475" s="196">
        <v>472</v>
      </c>
      <c r="D475" s="127"/>
      <c r="E475" s="129"/>
      <c r="F475" s="128"/>
      <c r="G475" s="129"/>
      <c r="H475" s="129"/>
      <c r="I475" s="166"/>
      <c r="J475" s="180"/>
      <c r="K475" s="128"/>
      <c r="L475" s="127"/>
      <c r="M475" s="168"/>
      <c r="N475" s="173"/>
      <c r="O475" s="141"/>
      <c r="P475" s="140"/>
      <c r="Q475" s="142"/>
      <c r="R475" s="140"/>
      <c r="S475" s="142"/>
      <c r="T475" s="140"/>
    </row>
    <row r="476" spans="3:20" ht="39.75" customHeight="1">
      <c r="C476" s="196">
        <v>473</v>
      </c>
      <c r="D476" s="127"/>
      <c r="E476" s="129"/>
      <c r="F476" s="128"/>
      <c r="G476" s="129"/>
      <c r="H476" s="129"/>
      <c r="I476" s="166"/>
      <c r="J476" s="180"/>
      <c r="K476" s="128"/>
      <c r="L476" s="127"/>
      <c r="M476" s="168"/>
      <c r="N476" s="173"/>
      <c r="O476" s="141"/>
      <c r="P476" s="140"/>
      <c r="Q476" s="142"/>
      <c r="R476" s="140"/>
      <c r="S476" s="142"/>
      <c r="T476" s="140"/>
    </row>
    <row r="477" spans="3:20" ht="39.75" customHeight="1">
      <c r="C477" s="196">
        <v>474</v>
      </c>
      <c r="D477" s="127"/>
      <c r="E477" s="129"/>
      <c r="F477" s="128"/>
      <c r="G477" s="129"/>
      <c r="H477" s="129"/>
      <c r="I477" s="166"/>
      <c r="J477" s="180"/>
      <c r="K477" s="128"/>
      <c r="L477" s="127"/>
      <c r="M477" s="168"/>
      <c r="N477" s="173"/>
      <c r="O477" s="141"/>
      <c r="P477" s="140"/>
      <c r="Q477" s="142"/>
      <c r="R477" s="140"/>
      <c r="S477" s="142"/>
      <c r="T477" s="140"/>
    </row>
    <row r="478" spans="3:20" ht="39.75" customHeight="1">
      <c r="C478" s="196">
        <v>475</v>
      </c>
      <c r="D478" s="127"/>
      <c r="E478" s="129"/>
      <c r="F478" s="128"/>
      <c r="G478" s="129"/>
      <c r="H478" s="129"/>
      <c r="I478" s="166"/>
      <c r="J478" s="180"/>
      <c r="K478" s="128"/>
      <c r="L478" s="127"/>
      <c r="M478" s="168"/>
      <c r="N478" s="173"/>
      <c r="O478" s="141"/>
      <c r="P478" s="140"/>
      <c r="Q478" s="142"/>
      <c r="R478" s="140"/>
      <c r="S478" s="142"/>
      <c r="T478" s="140"/>
    </row>
    <row r="479" spans="3:20" ht="39.75" customHeight="1">
      <c r="C479" s="196">
        <v>476</v>
      </c>
      <c r="D479" s="127"/>
      <c r="E479" s="129"/>
      <c r="F479" s="128"/>
      <c r="G479" s="129"/>
      <c r="H479" s="129"/>
      <c r="I479" s="166"/>
      <c r="J479" s="180"/>
      <c r="K479" s="128"/>
      <c r="L479" s="127"/>
      <c r="M479" s="168"/>
      <c r="N479" s="173"/>
      <c r="O479" s="141"/>
      <c r="P479" s="140"/>
      <c r="Q479" s="142"/>
      <c r="R479" s="140"/>
      <c r="S479" s="142"/>
      <c r="T479" s="140"/>
    </row>
    <row r="480" spans="3:20" ht="39.75" customHeight="1">
      <c r="C480" s="196">
        <v>477</v>
      </c>
      <c r="D480" s="127"/>
      <c r="E480" s="129"/>
      <c r="F480" s="128"/>
      <c r="G480" s="129"/>
      <c r="H480" s="129"/>
      <c r="I480" s="166"/>
      <c r="J480" s="180"/>
      <c r="K480" s="128"/>
      <c r="L480" s="127"/>
      <c r="M480" s="168"/>
      <c r="N480" s="173"/>
      <c r="O480" s="141"/>
      <c r="P480" s="140"/>
      <c r="Q480" s="142"/>
      <c r="R480" s="140"/>
      <c r="S480" s="142"/>
      <c r="T480" s="140"/>
    </row>
    <row r="481" spans="3:20" ht="39.75" customHeight="1">
      <c r="C481" s="196">
        <v>478</v>
      </c>
      <c r="D481" s="127"/>
      <c r="E481" s="129"/>
      <c r="F481" s="128"/>
      <c r="G481" s="129"/>
      <c r="H481" s="129"/>
      <c r="I481" s="166"/>
      <c r="J481" s="180"/>
      <c r="K481" s="128"/>
      <c r="L481" s="127"/>
      <c r="M481" s="168"/>
      <c r="N481" s="173"/>
      <c r="O481" s="141"/>
      <c r="P481" s="140"/>
      <c r="Q481" s="142"/>
      <c r="R481" s="140"/>
      <c r="S481" s="142"/>
      <c r="T481" s="140"/>
    </row>
    <row r="482" spans="3:20" ht="39.75" customHeight="1">
      <c r="C482" s="196">
        <v>479</v>
      </c>
      <c r="D482" s="127"/>
      <c r="E482" s="129"/>
      <c r="F482" s="128"/>
      <c r="G482" s="129"/>
      <c r="H482" s="129"/>
      <c r="I482" s="166"/>
      <c r="J482" s="180"/>
      <c r="K482" s="128"/>
      <c r="L482" s="127"/>
      <c r="M482" s="168"/>
      <c r="N482" s="173"/>
      <c r="O482" s="141"/>
      <c r="P482" s="140"/>
      <c r="Q482" s="142"/>
      <c r="R482" s="140"/>
      <c r="S482" s="142"/>
      <c r="T482" s="140"/>
    </row>
    <row r="483" spans="3:20" ht="39.75" customHeight="1">
      <c r="C483" s="196">
        <v>480</v>
      </c>
      <c r="D483" s="127"/>
      <c r="E483" s="129"/>
      <c r="F483" s="128"/>
      <c r="G483" s="129"/>
      <c r="H483" s="129"/>
      <c r="I483" s="166"/>
      <c r="J483" s="180"/>
      <c r="K483" s="128"/>
      <c r="L483" s="127"/>
      <c r="M483" s="168"/>
      <c r="N483" s="173"/>
      <c r="O483" s="141"/>
      <c r="P483" s="140"/>
      <c r="Q483" s="142"/>
      <c r="R483" s="140"/>
      <c r="S483" s="142"/>
      <c r="T483" s="140"/>
    </row>
    <row r="484" spans="3:20" ht="39.75" customHeight="1">
      <c r="C484" s="196">
        <v>481</v>
      </c>
      <c r="D484" s="127"/>
      <c r="E484" s="129"/>
      <c r="F484" s="128"/>
      <c r="G484" s="129"/>
      <c r="H484" s="129"/>
      <c r="I484" s="166"/>
      <c r="J484" s="180"/>
      <c r="K484" s="128"/>
      <c r="L484" s="127"/>
      <c r="M484" s="168"/>
      <c r="N484" s="173"/>
      <c r="O484" s="141"/>
      <c r="P484" s="140"/>
      <c r="Q484" s="142"/>
      <c r="R484" s="140"/>
      <c r="S484" s="142"/>
      <c r="T484" s="140"/>
    </row>
    <row r="485" spans="3:20" ht="39.75" customHeight="1">
      <c r="C485" s="196">
        <v>482</v>
      </c>
      <c r="D485" s="127"/>
      <c r="E485" s="129"/>
      <c r="F485" s="128"/>
      <c r="G485" s="129"/>
      <c r="H485" s="129"/>
      <c r="I485" s="166"/>
      <c r="J485" s="180"/>
      <c r="K485" s="128"/>
      <c r="L485" s="127"/>
      <c r="M485" s="168"/>
      <c r="N485" s="173"/>
      <c r="O485" s="141"/>
      <c r="P485" s="140"/>
      <c r="Q485" s="142"/>
      <c r="R485" s="140"/>
      <c r="S485" s="142"/>
      <c r="T485" s="140"/>
    </row>
    <row r="486" spans="3:20" ht="39.75" customHeight="1">
      <c r="C486" s="196">
        <v>483</v>
      </c>
      <c r="D486" s="127"/>
      <c r="E486" s="129"/>
      <c r="F486" s="128"/>
      <c r="G486" s="129"/>
      <c r="H486" s="129"/>
      <c r="I486" s="166"/>
      <c r="J486" s="180"/>
      <c r="K486" s="128"/>
      <c r="L486" s="127"/>
      <c r="M486" s="168"/>
      <c r="N486" s="173"/>
      <c r="O486" s="141"/>
      <c r="P486" s="140"/>
      <c r="Q486" s="142"/>
      <c r="R486" s="140"/>
      <c r="S486" s="142"/>
      <c r="T486" s="140"/>
    </row>
    <row r="487" spans="3:20" ht="39.75" customHeight="1">
      <c r="C487" s="196">
        <v>484</v>
      </c>
      <c r="D487" s="127"/>
      <c r="E487" s="129"/>
      <c r="F487" s="128"/>
      <c r="G487" s="129"/>
      <c r="H487" s="129"/>
      <c r="I487" s="166"/>
      <c r="J487" s="180"/>
      <c r="K487" s="128"/>
      <c r="L487" s="127"/>
      <c r="M487" s="168"/>
      <c r="N487" s="173"/>
      <c r="O487" s="141"/>
      <c r="P487" s="140"/>
      <c r="Q487" s="142"/>
      <c r="R487" s="140"/>
      <c r="S487" s="142"/>
      <c r="T487" s="140"/>
    </row>
    <row r="488" spans="3:20" ht="39.75" customHeight="1">
      <c r="C488" s="196">
        <v>485</v>
      </c>
      <c r="D488" s="127"/>
      <c r="E488" s="129"/>
      <c r="F488" s="128"/>
      <c r="G488" s="129"/>
      <c r="H488" s="129"/>
      <c r="I488" s="166"/>
      <c r="J488" s="180"/>
      <c r="K488" s="128"/>
      <c r="L488" s="127"/>
      <c r="M488" s="168"/>
      <c r="N488" s="173"/>
      <c r="O488" s="141"/>
      <c r="P488" s="140"/>
      <c r="Q488" s="142"/>
      <c r="R488" s="140"/>
      <c r="S488" s="142"/>
      <c r="T488" s="140"/>
    </row>
    <row r="489" spans="3:20" ht="39.75" customHeight="1">
      <c r="C489" s="196">
        <v>486</v>
      </c>
      <c r="D489" s="127"/>
      <c r="E489" s="129"/>
      <c r="F489" s="128"/>
      <c r="G489" s="129"/>
      <c r="H489" s="129"/>
      <c r="I489" s="166"/>
      <c r="J489" s="180"/>
      <c r="K489" s="128"/>
      <c r="L489" s="127"/>
      <c r="M489" s="168"/>
      <c r="N489" s="173"/>
      <c r="O489" s="141"/>
      <c r="P489" s="140"/>
      <c r="Q489" s="142"/>
      <c r="R489" s="140"/>
      <c r="S489" s="142"/>
      <c r="T489" s="140"/>
    </row>
    <row r="490" spans="3:20" ht="39.75" customHeight="1">
      <c r="C490" s="196">
        <v>487</v>
      </c>
      <c r="D490" s="127"/>
      <c r="E490" s="129"/>
      <c r="F490" s="128"/>
      <c r="G490" s="129"/>
      <c r="H490" s="129"/>
      <c r="I490" s="166"/>
      <c r="J490" s="180"/>
      <c r="K490" s="128"/>
      <c r="L490" s="127"/>
      <c r="M490" s="168"/>
      <c r="N490" s="173"/>
      <c r="O490" s="141"/>
      <c r="P490" s="140"/>
      <c r="Q490" s="142"/>
      <c r="R490" s="140"/>
      <c r="S490" s="142"/>
      <c r="T490" s="140"/>
    </row>
    <row r="491" spans="3:20" ht="39.75" customHeight="1">
      <c r="C491" s="196">
        <v>488</v>
      </c>
      <c r="D491" s="127"/>
      <c r="E491" s="129"/>
      <c r="F491" s="128"/>
      <c r="G491" s="129"/>
      <c r="H491" s="129"/>
      <c r="I491" s="166"/>
      <c r="J491" s="180"/>
      <c r="K491" s="128"/>
      <c r="L491" s="127"/>
      <c r="M491" s="168"/>
      <c r="N491" s="173"/>
      <c r="O491" s="141"/>
      <c r="P491" s="140"/>
      <c r="Q491" s="142"/>
      <c r="R491" s="140"/>
      <c r="S491" s="142"/>
      <c r="T491" s="140"/>
    </row>
    <row r="492" spans="3:20" ht="39.75" customHeight="1">
      <c r="C492" s="196">
        <v>489</v>
      </c>
      <c r="D492" s="127"/>
      <c r="E492" s="129"/>
      <c r="F492" s="128"/>
      <c r="G492" s="129"/>
      <c r="H492" s="129"/>
      <c r="I492" s="166"/>
      <c r="J492" s="180"/>
      <c r="K492" s="128"/>
      <c r="L492" s="127"/>
      <c r="M492" s="168"/>
      <c r="N492" s="173"/>
      <c r="O492" s="141"/>
      <c r="P492" s="140"/>
      <c r="Q492" s="142"/>
      <c r="R492" s="140"/>
      <c r="S492" s="142"/>
      <c r="T492" s="140"/>
    </row>
    <row r="493" spans="3:20" ht="39.75" customHeight="1">
      <c r="C493" s="196">
        <v>490</v>
      </c>
      <c r="D493" s="127"/>
      <c r="E493" s="129"/>
      <c r="F493" s="128"/>
      <c r="G493" s="129"/>
      <c r="H493" s="129"/>
      <c r="I493" s="166"/>
      <c r="J493" s="180"/>
      <c r="K493" s="128"/>
      <c r="L493" s="127"/>
      <c r="M493" s="168"/>
      <c r="N493" s="173"/>
      <c r="O493" s="141"/>
      <c r="P493" s="140"/>
      <c r="Q493" s="142"/>
      <c r="R493" s="140"/>
      <c r="S493" s="142"/>
      <c r="T493" s="140"/>
    </row>
    <row r="494" spans="3:20" ht="39.75" customHeight="1">
      <c r="C494" s="196">
        <v>491</v>
      </c>
      <c r="D494" s="127"/>
      <c r="E494" s="129"/>
      <c r="F494" s="128"/>
      <c r="G494" s="129"/>
      <c r="H494" s="129"/>
      <c r="I494" s="166"/>
      <c r="J494" s="180"/>
      <c r="K494" s="128"/>
      <c r="L494" s="127"/>
      <c r="M494" s="168"/>
      <c r="N494" s="173"/>
      <c r="O494" s="141"/>
      <c r="P494" s="140"/>
      <c r="Q494" s="142"/>
      <c r="R494" s="140"/>
      <c r="S494" s="142"/>
      <c r="T494" s="140"/>
    </row>
    <row r="495" spans="3:20" ht="39.75" customHeight="1">
      <c r="C495" s="196">
        <v>492</v>
      </c>
      <c r="D495" s="127"/>
      <c r="E495" s="129"/>
      <c r="F495" s="128"/>
      <c r="G495" s="129"/>
      <c r="H495" s="129"/>
      <c r="I495" s="166"/>
      <c r="J495" s="180"/>
      <c r="K495" s="128"/>
      <c r="L495" s="127"/>
      <c r="M495" s="168"/>
      <c r="N495" s="173"/>
      <c r="O495" s="141"/>
      <c r="P495" s="140"/>
      <c r="Q495" s="142"/>
      <c r="R495" s="140"/>
      <c r="S495" s="142"/>
      <c r="T495" s="140"/>
    </row>
    <row r="496" spans="3:20" ht="39.75" customHeight="1">
      <c r="C496" s="196">
        <v>493</v>
      </c>
      <c r="D496" s="127"/>
      <c r="E496" s="129"/>
      <c r="F496" s="128"/>
      <c r="G496" s="129"/>
      <c r="H496" s="129"/>
      <c r="I496" s="166"/>
      <c r="J496" s="180"/>
      <c r="K496" s="128"/>
      <c r="L496" s="127"/>
      <c r="M496" s="168"/>
      <c r="N496" s="173"/>
      <c r="O496" s="141"/>
      <c r="P496" s="140"/>
      <c r="Q496" s="142"/>
      <c r="R496" s="140"/>
      <c r="S496" s="142"/>
      <c r="T496" s="140"/>
    </row>
    <row r="497" spans="3:20" ht="39.75" customHeight="1">
      <c r="C497" s="196">
        <v>494</v>
      </c>
      <c r="D497" s="127"/>
      <c r="E497" s="129"/>
      <c r="F497" s="128"/>
      <c r="G497" s="129"/>
      <c r="H497" s="129"/>
      <c r="I497" s="166"/>
      <c r="J497" s="180"/>
      <c r="K497" s="128"/>
      <c r="L497" s="127"/>
      <c r="M497" s="168"/>
      <c r="N497" s="173"/>
      <c r="O497" s="141"/>
      <c r="P497" s="140"/>
      <c r="Q497" s="142"/>
      <c r="R497" s="140"/>
      <c r="S497" s="142"/>
      <c r="T497" s="140"/>
    </row>
    <row r="498" spans="3:20" ht="39.75" customHeight="1">
      <c r="C498" s="196">
        <v>495</v>
      </c>
      <c r="D498" s="127"/>
      <c r="E498" s="129"/>
      <c r="F498" s="128"/>
      <c r="G498" s="129"/>
      <c r="H498" s="129"/>
      <c r="I498" s="166"/>
      <c r="J498" s="180"/>
      <c r="K498" s="128"/>
      <c r="L498" s="127"/>
      <c r="M498" s="168"/>
      <c r="N498" s="173"/>
      <c r="O498" s="141"/>
      <c r="P498" s="140"/>
      <c r="Q498" s="142"/>
      <c r="R498" s="140"/>
      <c r="S498" s="142"/>
      <c r="T498" s="140"/>
    </row>
    <row r="499" spans="3:20" ht="39.75" customHeight="1">
      <c r="C499" s="196">
        <v>496</v>
      </c>
      <c r="D499" s="127"/>
      <c r="E499" s="129"/>
      <c r="F499" s="128"/>
      <c r="G499" s="129"/>
      <c r="H499" s="129"/>
      <c r="I499" s="166"/>
      <c r="J499" s="180"/>
      <c r="K499" s="128"/>
      <c r="L499" s="127"/>
      <c r="M499" s="168"/>
      <c r="N499" s="173"/>
      <c r="O499" s="141"/>
      <c r="P499" s="140"/>
      <c r="Q499" s="142"/>
      <c r="R499" s="140"/>
      <c r="S499" s="142"/>
      <c r="T499" s="140"/>
    </row>
    <row r="500" spans="3:20" ht="39.75" customHeight="1">
      <c r="C500" s="196">
        <v>497</v>
      </c>
      <c r="D500" s="127"/>
      <c r="E500" s="129"/>
      <c r="F500" s="128"/>
      <c r="G500" s="129"/>
      <c r="H500" s="129"/>
      <c r="I500" s="166"/>
      <c r="J500" s="180"/>
      <c r="K500" s="128"/>
      <c r="L500" s="127"/>
      <c r="M500" s="168"/>
      <c r="N500" s="173"/>
      <c r="O500" s="141"/>
      <c r="P500" s="140"/>
      <c r="Q500" s="142"/>
      <c r="R500" s="140"/>
      <c r="S500" s="142"/>
      <c r="T500" s="140"/>
    </row>
    <row r="501" spans="3:20" ht="39.75" customHeight="1">
      <c r="C501" s="196">
        <v>498</v>
      </c>
      <c r="D501" s="127"/>
      <c r="E501" s="129"/>
      <c r="F501" s="128"/>
      <c r="G501" s="129"/>
      <c r="H501" s="129"/>
      <c r="I501" s="166"/>
      <c r="J501" s="180"/>
      <c r="K501" s="128"/>
      <c r="L501" s="127"/>
      <c r="M501" s="168"/>
      <c r="N501" s="173"/>
      <c r="O501" s="141"/>
      <c r="P501" s="140"/>
      <c r="Q501" s="142"/>
      <c r="R501" s="140"/>
      <c r="S501" s="142"/>
      <c r="T501" s="140"/>
    </row>
    <row r="502" spans="3:20" ht="39.75" customHeight="1">
      <c r="C502" s="196">
        <v>499</v>
      </c>
      <c r="D502" s="127"/>
      <c r="E502" s="129"/>
      <c r="F502" s="128"/>
      <c r="G502" s="129"/>
      <c r="H502" s="129"/>
      <c r="I502" s="166"/>
      <c r="J502" s="180"/>
      <c r="K502" s="128"/>
      <c r="L502" s="127"/>
      <c r="M502" s="168"/>
      <c r="N502" s="173"/>
      <c r="O502" s="141"/>
      <c r="P502" s="140"/>
      <c r="Q502" s="142"/>
      <c r="R502" s="140"/>
      <c r="S502" s="142"/>
      <c r="T502" s="140"/>
    </row>
    <row r="503" spans="3:20" ht="39.75" customHeight="1">
      <c r="C503" s="196">
        <v>500</v>
      </c>
      <c r="D503" s="127"/>
      <c r="E503" s="129"/>
      <c r="F503" s="128"/>
      <c r="G503" s="129"/>
      <c r="H503" s="129"/>
      <c r="I503" s="166"/>
      <c r="J503" s="180"/>
      <c r="K503" s="128"/>
      <c r="L503" s="127"/>
      <c r="M503" s="168"/>
      <c r="N503" s="173"/>
      <c r="O503" s="141"/>
      <c r="P503" s="140"/>
      <c r="Q503" s="142"/>
      <c r="R503" s="140"/>
      <c r="S503" s="142"/>
      <c r="T503" s="140"/>
    </row>
    <row r="504" spans="3:20" ht="39.75" customHeight="1">
      <c r="C504" s="196">
        <v>501</v>
      </c>
      <c r="D504" s="127"/>
      <c r="E504" s="129"/>
      <c r="F504" s="128"/>
      <c r="G504" s="129"/>
      <c r="H504" s="129"/>
      <c r="I504" s="166"/>
      <c r="J504" s="180"/>
      <c r="K504" s="128"/>
      <c r="L504" s="127"/>
      <c r="M504" s="168"/>
      <c r="N504" s="173"/>
      <c r="O504" s="141"/>
      <c r="P504" s="140"/>
      <c r="Q504" s="142"/>
      <c r="R504" s="140"/>
      <c r="S504" s="142"/>
      <c r="T504" s="140"/>
    </row>
    <row r="505" spans="3:20" ht="39.75" customHeight="1">
      <c r="C505" s="196">
        <v>502</v>
      </c>
      <c r="D505" s="127"/>
      <c r="E505" s="129"/>
      <c r="F505" s="128"/>
      <c r="G505" s="129"/>
      <c r="H505" s="129"/>
      <c r="I505" s="166"/>
      <c r="J505" s="180"/>
      <c r="K505" s="128"/>
      <c r="L505" s="127"/>
      <c r="M505" s="168"/>
      <c r="N505" s="173"/>
      <c r="O505" s="141"/>
      <c r="P505" s="140"/>
      <c r="Q505" s="142"/>
      <c r="R505" s="140"/>
      <c r="S505" s="142"/>
      <c r="T505" s="140"/>
    </row>
    <row r="506" spans="3:20" ht="39.75" customHeight="1">
      <c r="C506" s="196">
        <v>503</v>
      </c>
      <c r="D506" s="127"/>
      <c r="E506" s="129"/>
      <c r="F506" s="128"/>
      <c r="G506" s="129"/>
      <c r="H506" s="129"/>
      <c r="I506" s="166"/>
      <c r="J506" s="180"/>
      <c r="K506" s="128"/>
      <c r="L506" s="127"/>
      <c r="M506" s="168"/>
      <c r="N506" s="173"/>
      <c r="O506" s="141"/>
      <c r="P506" s="140"/>
      <c r="Q506" s="142"/>
      <c r="R506" s="140"/>
      <c r="S506" s="142"/>
      <c r="T506" s="140"/>
    </row>
    <row r="507" spans="3:20" ht="39.75" customHeight="1">
      <c r="C507" s="196">
        <v>504</v>
      </c>
      <c r="D507" s="127"/>
      <c r="E507" s="129"/>
      <c r="F507" s="128"/>
      <c r="G507" s="129"/>
      <c r="H507" s="129"/>
      <c r="I507" s="166"/>
      <c r="J507" s="180"/>
      <c r="K507" s="128"/>
      <c r="L507" s="127"/>
      <c r="M507" s="168"/>
      <c r="N507" s="173"/>
      <c r="O507" s="141"/>
      <c r="P507" s="140"/>
      <c r="Q507" s="142"/>
      <c r="R507" s="140"/>
      <c r="S507" s="142"/>
      <c r="T507" s="140"/>
    </row>
    <row r="508" spans="3:20" ht="39.75" customHeight="1">
      <c r="C508" s="196">
        <v>505</v>
      </c>
      <c r="D508" s="127"/>
      <c r="E508" s="129"/>
      <c r="F508" s="128"/>
      <c r="G508" s="129"/>
      <c r="H508" s="129"/>
      <c r="I508" s="166"/>
      <c r="J508" s="180"/>
      <c r="K508" s="128"/>
      <c r="L508" s="127"/>
      <c r="M508" s="168"/>
      <c r="N508" s="173"/>
      <c r="O508" s="141"/>
      <c r="P508" s="140"/>
      <c r="Q508" s="142"/>
      <c r="R508" s="140"/>
      <c r="S508" s="142"/>
      <c r="T508" s="140"/>
    </row>
    <row r="509" spans="3:20" ht="39.75" customHeight="1">
      <c r="C509" s="196">
        <v>506</v>
      </c>
      <c r="D509" s="127"/>
      <c r="E509" s="129"/>
      <c r="F509" s="128"/>
      <c r="G509" s="129"/>
      <c r="H509" s="129"/>
      <c r="I509" s="166"/>
      <c r="J509" s="180"/>
      <c r="K509" s="128"/>
      <c r="L509" s="127"/>
      <c r="M509" s="168"/>
      <c r="N509" s="173"/>
      <c r="O509" s="141"/>
      <c r="P509" s="140"/>
      <c r="Q509" s="142"/>
      <c r="R509" s="140"/>
      <c r="S509" s="142"/>
      <c r="T509" s="140"/>
    </row>
    <row r="510" spans="3:20" ht="39.75" customHeight="1">
      <c r="C510" s="196">
        <v>507</v>
      </c>
      <c r="D510" s="127"/>
      <c r="E510" s="129"/>
      <c r="F510" s="128"/>
      <c r="G510" s="129"/>
      <c r="H510" s="129"/>
      <c r="I510" s="166"/>
      <c r="J510" s="180"/>
      <c r="K510" s="128"/>
      <c r="L510" s="127"/>
      <c r="M510" s="168"/>
      <c r="N510" s="173"/>
      <c r="O510" s="141"/>
      <c r="P510" s="140"/>
      <c r="Q510" s="142"/>
      <c r="R510" s="140"/>
      <c r="S510" s="142"/>
      <c r="T510" s="140"/>
    </row>
    <row r="511" spans="3:20" ht="39.75" customHeight="1">
      <c r="C511" s="196">
        <v>508</v>
      </c>
      <c r="D511" s="127"/>
      <c r="E511" s="129"/>
      <c r="F511" s="128"/>
      <c r="G511" s="129"/>
      <c r="H511" s="129"/>
      <c r="I511" s="166"/>
      <c r="J511" s="180"/>
      <c r="K511" s="128"/>
      <c r="L511" s="127"/>
      <c r="M511" s="168"/>
      <c r="N511" s="173"/>
      <c r="O511" s="141"/>
      <c r="P511" s="140"/>
      <c r="Q511" s="142"/>
      <c r="R511" s="140"/>
      <c r="S511" s="142"/>
      <c r="T511" s="140"/>
    </row>
    <row r="512" spans="3:20" ht="39.75" customHeight="1">
      <c r="C512" s="196">
        <v>509</v>
      </c>
      <c r="D512" s="127"/>
      <c r="E512" s="129"/>
      <c r="F512" s="128"/>
      <c r="G512" s="129"/>
      <c r="H512" s="129"/>
      <c r="I512" s="166"/>
      <c r="J512" s="180"/>
      <c r="K512" s="128"/>
      <c r="L512" s="127"/>
      <c r="M512" s="168"/>
      <c r="N512" s="173"/>
      <c r="O512" s="141"/>
      <c r="P512" s="140"/>
      <c r="Q512" s="142"/>
      <c r="R512" s="140"/>
      <c r="S512" s="142"/>
      <c r="T512" s="140"/>
    </row>
    <row r="513" spans="3:20" ht="39.75" customHeight="1">
      <c r="C513" s="196">
        <v>510</v>
      </c>
      <c r="D513" s="127"/>
      <c r="E513" s="129"/>
      <c r="F513" s="128"/>
      <c r="G513" s="129"/>
      <c r="H513" s="129"/>
      <c r="I513" s="166"/>
      <c r="J513" s="180"/>
      <c r="K513" s="128"/>
      <c r="L513" s="127"/>
      <c r="M513" s="168"/>
      <c r="N513" s="173"/>
      <c r="O513" s="141"/>
      <c r="P513" s="140"/>
      <c r="Q513" s="142"/>
      <c r="R513" s="140"/>
      <c r="S513" s="142"/>
      <c r="T513" s="140"/>
    </row>
    <row r="514" spans="3:20" ht="39.75" customHeight="1">
      <c r="C514" s="196">
        <v>511</v>
      </c>
      <c r="D514" s="127"/>
      <c r="E514" s="129"/>
      <c r="F514" s="128"/>
      <c r="G514" s="129"/>
      <c r="H514" s="129"/>
      <c r="I514" s="166"/>
      <c r="J514" s="180"/>
      <c r="K514" s="128"/>
      <c r="L514" s="127"/>
      <c r="M514" s="168"/>
      <c r="N514" s="173"/>
      <c r="O514" s="141"/>
      <c r="P514" s="140"/>
      <c r="Q514" s="142"/>
      <c r="R514" s="140"/>
      <c r="S514" s="142"/>
      <c r="T514" s="140"/>
    </row>
    <row r="515" spans="3:20" ht="39.75" customHeight="1">
      <c r="C515" s="196">
        <v>512</v>
      </c>
      <c r="D515" s="127"/>
      <c r="E515" s="129"/>
      <c r="F515" s="128"/>
      <c r="G515" s="129"/>
      <c r="H515" s="129"/>
      <c r="I515" s="166"/>
      <c r="J515" s="180"/>
      <c r="K515" s="128"/>
      <c r="L515" s="127"/>
      <c r="M515" s="168"/>
      <c r="N515" s="173"/>
      <c r="O515" s="141"/>
      <c r="P515" s="140"/>
      <c r="Q515" s="142"/>
      <c r="R515" s="140"/>
      <c r="S515" s="142"/>
      <c r="T515" s="140"/>
    </row>
    <row r="516" spans="3:20" ht="39.75" customHeight="1">
      <c r="C516" s="196">
        <v>513</v>
      </c>
      <c r="D516" s="127"/>
      <c r="E516" s="129"/>
      <c r="F516" s="128"/>
      <c r="G516" s="129"/>
      <c r="H516" s="129"/>
      <c r="I516" s="166"/>
      <c r="J516" s="180"/>
      <c r="K516" s="128"/>
      <c r="L516" s="127"/>
      <c r="M516" s="168"/>
      <c r="N516" s="173"/>
      <c r="O516" s="141"/>
      <c r="P516" s="140"/>
      <c r="Q516" s="142"/>
      <c r="R516" s="140"/>
      <c r="S516" s="142"/>
      <c r="T516" s="140"/>
    </row>
    <row r="517" spans="3:20" ht="39.75" customHeight="1">
      <c r="C517" s="196">
        <v>514</v>
      </c>
      <c r="D517" s="127"/>
      <c r="E517" s="129"/>
      <c r="F517" s="128"/>
      <c r="G517" s="129"/>
      <c r="H517" s="129"/>
      <c r="I517" s="166"/>
      <c r="J517" s="180"/>
      <c r="K517" s="128"/>
      <c r="L517" s="127"/>
      <c r="M517" s="168"/>
      <c r="N517" s="173"/>
      <c r="O517" s="141"/>
      <c r="P517" s="140"/>
      <c r="Q517" s="142"/>
      <c r="R517" s="140"/>
      <c r="S517" s="142"/>
      <c r="T517" s="140"/>
    </row>
    <row r="518" spans="3:20" ht="39.75" customHeight="1">
      <c r="C518" s="196">
        <v>515</v>
      </c>
      <c r="D518" s="127"/>
      <c r="E518" s="129"/>
      <c r="F518" s="128"/>
      <c r="G518" s="129"/>
      <c r="H518" s="129"/>
      <c r="I518" s="166"/>
      <c r="J518" s="180"/>
      <c r="K518" s="128"/>
      <c r="L518" s="127"/>
      <c r="M518" s="168"/>
      <c r="N518" s="173"/>
      <c r="O518" s="141"/>
      <c r="P518" s="140"/>
      <c r="Q518" s="142"/>
      <c r="R518" s="140"/>
      <c r="S518" s="142"/>
      <c r="T518" s="140"/>
    </row>
    <row r="519" spans="3:20" ht="39.75" customHeight="1">
      <c r="C519" s="196">
        <v>516</v>
      </c>
      <c r="D519" s="127"/>
      <c r="E519" s="129"/>
      <c r="F519" s="128"/>
      <c r="G519" s="129"/>
      <c r="H519" s="129"/>
      <c r="I519" s="166"/>
      <c r="J519" s="180"/>
      <c r="K519" s="128"/>
      <c r="L519" s="127"/>
      <c r="M519" s="168"/>
      <c r="N519" s="173"/>
      <c r="O519" s="141"/>
      <c r="P519" s="140"/>
      <c r="Q519" s="142"/>
      <c r="R519" s="140"/>
      <c r="S519" s="142"/>
      <c r="T519" s="140"/>
    </row>
    <row r="520" spans="3:20" ht="39.75" customHeight="1">
      <c r="C520" s="196">
        <v>517</v>
      </c>
      <c r="D520" s="127"/>
      <c r="E520" s="129"/>
      <c r="F520" s="128"/>
      <c r="G520" s="129"/>
      <c r="H520" s="129"/>
      <c r="I520" s="166"/>
      <c r="J520" s="180"/>
      <c r="K520" s="128"/>
      <c r="L520" s="127"/>
      <c r="M520" s="168"/>
      <c r="N520" s="173"/>
      <c r="O520" s="141"/>
      <c r="P520" s="140"/>
      <c r="Q520" s="142"/>
      <c r="R520" s="140"/>
      <c r="S520" s="142"/>
      <c r="T520" s="140"/>
    </row>
    <row r="521" spans="3:20" ht="39.75" customHeight="1">
      <c r="C521" s="196">
        <v>518</v>
      </c>
      <c r="D521" s="127"/>
      <c r="E521" s="129"/>
      <c r="F521" s="128"/>
      <c r="G521" s="129"/>
      <c r="H521" s="129"/>
      <c r="I521" s="166"/>
      <c r="J521" s="180"/>
      <c r="K521" s="128"/>
      <c r="L521" s="127"/>
      <c r="M521" s="168"/>
      <c r="N521" s="173"/>
      <c r="O521" s="141"/>
      <c r="P521" s="140"/>
      <c r="Q521" s="142"/>
      <c r="R521" s="140"/>
      <c r="S521" s="142"/>
      <c r="T521" s="140"/>
    </row>
    <row r="522" spans="3:20" ht="39.75" customHeight="1">
      <c r="C522" s="196">
        <v>519</v>
      </c>
      <c r="D522" s="127"/>
      <c r="E522" s="129"/>
      <c r="F522" s="128"/>
      <c r="G522" s="129"/>
      <c r="H522" s="129"/>
      <c r="I522" s="166"/>
      <c r="J522" s="180"/>
      <c r="K522" s="128"/>
      <c r="L522" s="127"/>
      <c r="M522" s="168"/>
      <c r="N522" s="173"/>
      <c r="O522" s="141"/>
      <c r="P522" s="140"/>
      <c r="Q522" s="142"/>
      <c r="R522" s="140"/>
      <c r="S522" s="142"/>
      <c r="T522" s="140"/>
    </row>
    <row r="523" spans="3:20" ht="39.75" customHeight="1">
      <c r="C523" s="196">
        <v>520</v>
      </c>
      <c r="D523" s="127"/>
      <c r="E523" s="129"/>
      <c r="F523" s="128"/>
      <c r="G523" s="129"/>
      <c r="H523" s="129"/>
      <c r="I523" s="166"/>
      <c r="J523" s="180"/>
      <c r="K523" s="128"/>
      <c r="L523" s="127"/>
      <c r="M523" s="168"/>
      <c r="N523" s="173"/>
      <c r="O523" s="141"/>
      <c r="P523" s="140"/>
      <c r="Q523" s="142"/>
      <c r="R523" s="140"/>
      <c r="S523" s="142"/>
      <c r="T523" s="140"/>
    </row>
    <row r="524" spans="3:20" ht="39.75" customHeight="1">
      <c r="C524" s="196">
        <v>521</v>
      </c>
      <c r="D524" s="127"/>
      <c r="E524" s="129"/>
      <c r="F524" s="128"/>
      <c r="G524" s="129"/>
      <c r="H524" s="129"/>
      <c r="I524" s="166"/>
      <c r="J524" s="180"/>
      <c r="K524" s="128"/>
      <c r="L524" s="127"/>
      <c r="M524" s="168"/>
      <c r="N524" s="173"/>
      <c r="O524" s="141"/>
      <c r="P524" s="140"/>
      <c r="Q524" s="142"/>
      <c r="R524" s="140"/>
      <c r="S524" s="142"/>
      <c r="T524" s="140"/>
    </row>
    <row r="525" spans="3:20" ht="39.75" customHeight="1">
      <c r="C525" s="196">
        <v>522</v>
      </c>
      <c r="D525" s="127"/>
      <c r="E525" s="129"/>
      <c r="F525" s="128"/>
      <c r="G525" s="129"/>
      <c r="H525" s="129"/>
      <c r="I525" s="166"/>
      <c r="J525" s="180"/>
      <c r="K525" s="128"/>
      <c r="L525" s="127"/>
      <c r="M525" s="168"/>
      <c r="N525" s="173"/>
      <c r="O525" s="141"/>
      <c r="P525" s="140"/>
      <c r="Q525" s="142"/>
      <c r="R525" s="140"/>
      <c r="S525" s="142"/>
      <c r="T525" s="140"/>
    </row>
    <row r="526" spans="3:20" ht="39.75" customHeight="1">
      <c r="C526" s="196">
        <v>523</v>
      </c>
      <c r="D526" s="127"/>
      <c r="E526" s="129"/>
      <c r="F526" s="128"/>
      <c r="G526" s="129"/>
      <c r="H526" s="129"/>
      <c r="I526" s="166"/>
      <c r="J526" s="180"/>
      <c r="K526" s="128"/>
      <c r="L526" s="127"/>
      <c r="M526" s="168"/>
      <c r="N526" s="173"/>
      <c r="O526" s="141"/>
      <c r="P526" s="140"/>
      <c r="Q526" s="142"/>
      <c r="R526" s="140"/>
      <c r="S526" s="142"/>
      <c r="T526" s="140"/>
    </row>
    <row r="527" spans="3:20" ht="39.75" customHeight="1">
      <c r="C527" s="196">
        <v>524</v>
      </c>
      <c r="D527" s="127"/>
      <c r="E527" s="129"/>
      <c r="F527" s="128"/>
      <c r="G527" s="129"/>
      <c r="H527" s="129"/>
      <c r="I527" s="166"/>
      <c r="J527" s="180"/>
      <c r="K527" s="128"/>
      <c r="L527" s="127"/>
      <c r="M527" s="168"/>
      <c r="N527" s="173"/>
      <c r="O527" s="141"/>
      <c r="P527" s="140"/>
      <c r="Q527" s="142"/>
      <c r="R527" s="140"/>
      <c r="S527" s="142"/>
      <c r="T527" s="140"/>
    </row>
    <row r="528" spans="3:20" ht="39.75" customHeight="1">
      <c r="C528" s="196">
        <v>525</v>
      </c>
      <c r="D528" s="127"/>
      <c r="E528" s="129"/>
      <c r="F528" s="128"/>
      <c r="G528" s="129"/>
      <c r="H528" s="129"/>
      <c r="I528" s="166"/>
      <c r="J528" s="180"/>
      <c r="K528" s="128"/>
      <c r="L528" s="127"/>
      <c r="M528" s="168"/>
      <c r="N528" s="173"/>
      <c r="O528" s="141"/>
      <c r="P528" s="140"/>
      <c r="Q528" s="142"/>
      <c r="R528" s="140"/>
      <c r="S528" s="142"/>
      <c r="T528" s="140"/>
    </row>
    <row r="529" spans="3:20" ht="39.75" customHeight="1">
      <c r="C529" s="196">
        <v>526</v>
      </c>
      <c r="D529" s="127"/>
      <c r="E529" s="129"/>
      <c r="F529" s="128"/>
      <c r="G529" s="129"/>
      <c r="H529" s="129"/>
      <c r="I529" s="166"/>
      <c r="J529" s="180"/>
      <c r="K529" s="128"/>
      <c r="L529" s="127"/>
      <c r="M529" s="168"/>
      <c r="N529" s="173"/>
      <c r="O529" s="141"/>
      <c r="P529" s="140"/>
      <c r="Q529" s="142"/>
      <c r="R529" s="140"/>
      <c r="S529" s="142"/>
      <c r="T529" s="140"/>
    </row>
    <row r="530" spans="3:20" ht="39.75" customHeight="1">
      <c r="C530" s="196">
        <v>527</v>
      </c>
      <c r="D530" s="127"/>
      <c r="E530" s="129"/>
      <c r="F530" s="128"/>
      <c r="G530" s="129"/>
      <c r="H530" s="129"/>
      <c r="I530" s="166"/>
      <c r="J530" s="180"/>
      <c r="K530" s="128"/>
      <c r="L530" s="127"/>
      <c r="M530" s="168"/>
      <c r="N530" s="173"/>
      <c r="O530" s="141"/>
      <c r="P530" s="140"/>
      <c r="Q530" s="142"/>
      <c r="R530" s="140"/>
      <c r="S530" s="142"/>
      <c r="T530" s="140"/>
    </row>
    <row r="531" spans="3:20" ht="39.75" customHeight="1">
      <c r="C531" s="196">
        <v>528</v>
      </c>
      <c r="D531" s="127"/>
      <c r="E531" s="129"/>
      <c r="F531" s="128"/>
      <c r="G531" s="129"/>
      <c r="H531" s="129"/>
      <c r="I531" s="166"/>
      <c r="J531" s="180"/>
      <c r="K531" s="128"/>
      <c r="L531" s="127"/>
      <c r="M531" s="168"/>
      <c r="N531" s="173"/>
      <c r="O531" s="141"/>
      <c r="P531" s="140"/>
      <c r="Q531" s="142"/>
      <c r="R531" s="140"/>
      <c r="S531" s="142"/>
      <c r="T531" s="140"/>
    </row>
    <row r="532" spans="3:20" ht="39.75" customHeight="1">
      <c r="C532" s="196">
        <v>529</v>
      </c>
      <c r="D532" s="127"/>
      <c r="E532" s="129"/>
      <c r="F532" s="128"/>
      <c r="G532" s="129"/>
      <c r="H532" s="129"/>
      <c r="I532" s="166"/>
      <c r="J532" s="180"/>
      <c r="K532" s="128"/>
      <c r="L532" s="127"/>
      <c r="M532" s="168"/>
      <c r="N532" s="173"/>
      <c r="O532" s="141"/>
      <c r="P532" s="140"/>
      <c r="Q532" s="142"/>
      <c r="R532" s="140"/>
      <c r="S532" s="142"/>
      <c r="T532" s="140"/>
    </row>
    <row r="533" spans="3:20" ht="39.75" customHeight="1">
      <c r="C533" s="196">
        <v>530</v>
      </c>
      <c r="D533" s="127"/>
      <c r="E533" s="129"/>
      <c r="F533" s="128"/>
      <c r="G533" s="129"/>
      <c r="H533" s="129"/>
      <c r="I533" s="166"/>
      <c r="J533" s="180"/>
      <c r="K533" s="128"/>
      <c r="L533" s="127"/>
      <c r="M533" s="168"/>
      <c r="N533" s="173"/>
      <c r="O533" s="141"/>
      <c r="P533" s="140"/>
      <c r="Q533" s="142"/>
      <c r="R533" s="140"/>
      <c r="S533" s="142"/>
      <c r="T533" s="140"/>
    </row>
    <row r="534" spans="3:20" ht="39.75" customHeight="1">
      <c r="C534" s="196">
        <v>531</v>
      </c>
      <c r="D534" s="127"/>
      <c r="E534" s="129"/>
      <c r="F534" s="128"/>
      <c r="G534" s="129"/>
      <c r="H534" s="129"/>
      <c r="I534" s="166"/>
      <c r="J534" s="180"/>
      <c r="K534" s="128"/>
      <c r="L534" s="127"/>
      <c r="M534" s="168"/>
      <c r="N534" s="173"/>
      <c r="O534" s="141"/>
      <c r="P534" s="140"/>
      <c r="Q534" s="142"/>
      <c r="R534" s="140"/>
      <c r="S534" s="142"/>
      <c r="T534" s="140"/>
    </row>
    <row r="535" spans="3:20" ht="39.75" customHeight="1">
      <c r="C535" s="196">
        <v>532</v>
      </c>
      <c r="D535" s="127"/>
      <c r="E535" s="129"/>
      <c r="F535" s="128"/>
      <c r="G535" s="129"/>
      <c r="H535" s="129"/>
      <c r="I535" s="166"/>
      <c r="J535" s="180"/>
      <c r="K535" s="128"/>
      <c r="L535" s="127"/>
      <c r="M535" s="168"/>
      <c r="N535" s="173"/>
      <c r="O535" s="141"/>
      <c r="P535" s="140"/>
      <c r="Q535" s="142"/>
      <c r="R535" s="140"/>
      <c r="S535" s="142"/>
      <c r="T535" s="140"/>
    </row>
    <row r="536" spans="3:20" ht="39.75" customHeight="1">
      <c r="C536" s="196">
        <v>533</v>
      </c>
      <c r="D536" s="127"/>
      <c r="E536" s="129"/>
      <c r="F536" s="128"/>
      <c r="G536" s="129"/>
      <c r="H536" s="129"/>
      <c r="I536" s="166"/>
      <c r="J536" s="180"/>
      <c r="K536" s="128"/>
      <c r="L536" s="127"/>
      <c r="M536" s="168"/>
      <c r="N536" s="173"/>
      <c r="O536" s="141"/>
      <c r="P536" s="140"/>
      <c r="Q536" s="142"/>
      <c r="R536" s="140"/>
      <c r="S536" s="142"/>
      <c r="T536" s="140"/>
    </row>
    <row r="537" spans="3:20" ht="39.75" customHeight="1">
      <c r="C537" s="196">
        <v>534</v>
      </c>
      <c r="D537" s="127"/>
      <c r="E537" s="129"/>
      <c r="F537" s="128"/>
      <c r="G537" s="129"/>
      <c r="H537" s="129"/>
      <c r="I537" s="166"/>
      <c r="J537" s="180"/>
      <c r="K537" s="128"/>
      <c r="L537" s="127"/>
      <c r="M537" s="168"/>
      <c r="N537" s="173"/>
      <c r="O537" s="141"/>
      <c r="P537" s="140"/>
      <c r="Q537" s="142"/>
      <c r="R537" s="140"/>
      <c r="S537" s="142"/>
      <c r="T537" s="140"/>
    </row>
    <row r="538" spans="3:20" ht="39.75" customHeight="1">
      <c r="C538" s="196">
        <v>535</v>
      </c>
      <c r="D538" s="127"/>
      <c r="E538" s="129"/>
      <c r="F538" s="128"/>
      <c r="G538" s="129"/>
      <c r="H538" s="129"/>
      <c r="I538" s="166"/>
      <c r="J538" s="180"/>
      <c r="K538" s="128"/>
      <c r="L538" s="127"/>
      <c r="M538" s="168"/>
      <c r="N538" s="173"/>
      <c r="O538" s="141"/>
      <c r="P538" s="140"/>
      <c r="Q538" s="142"/>
      <c r="R538" s="140"/>
      <c r="S538" s="142"/>
      <c r="T538" s="140"/>
    </row>
    <row r="539" spans="3:20" ht="39.75" customHeight="1">
      <c r="C539" s="196">
        <v>536</v>
      </c>
      <c r="D539" s="127"/>
      <c r="E539" s="129"/>
      <c r="F539" s="128"/>
      <c r="G539" s="129"/>
      <c r="H539" s="129"/>
      <c r="I539" s="166"/>
      <c r="J539" s="180"/>
      <c r="K539" s="128"/>
      <c r="L539" s="127"/>
      <c r="M539" s="168"/>
      <c r="N539" s="173"/>
      <c r="O539" s="141"/>
      <c r="P539" s="140"/>
      <c r="Q539" s="142"/>
      <c r="R539" s="140"/>
      <c r="S539" s="142"/>
      <c r="T539" s="140"/>
    </row>
    <row r="540" spans="3:20" ht="39.75" customHeight="1">
      <c r="C540" s="196">
        <v>537</v>
      </c>
      <c r="D540" s="127"/>
      <c r="E540" s="129"/>
      <c r="F540" s="128"/>
      <c r="G540" s="129"/>
      <c r="H540" s="129"/>
      <c r="I540" s="166"/>
      <c r="J540" s="180"/>
      <c r="K540" s="128"/>
      <c r="L540" s="127"/>
      <c r="M540" s="168"/>
      <c r="N540" s="173"/>
      <c r="O540" s="141"/>
      <c r="P540" s="140"/>
      <c r="Q540" s="142"/>
      <c r="R540" s="140"/>
      <c r="S540" s="142"/>
      <c r="T540" s="140"/>
    </row>
    <row r="541" spans="3:20" ht="39.75" customHeight="1">
      <c r="C541" s="196">
        <v>538</v>
      </c>
      <c r="D541" s="127"/>
      <c r="E541" s="129"/>
      <c r="F541" s="128"/>
      <c r="G541" s="129"/>
      <c r="H541" s="129"/>
      <c r="I541" s="166"/>
      <c r="J541" s="180"/>
      <c r="K541" s="128"/>
      <c r="L541" s="127"/>
      <c r="M541" s="168"/>
      <c r="N541" s="173"/>
      <c r="O541" s="141"/>
      <c r="P541" s="140"/>
      <c r="Q541" s="142"/>
      <c r="R541" s="140"/>
      <c r="S541" s="142"/>
      <c r="T541" s="140"/>
    </row>
    <row r="542" spans="3:20" ht="39.75" customHeight="1">
      <c r="C542" s="196">
        <v>539</v>
      </c>
      <c r="D542" s="127"/>
      <c r="E542" s="129"/>
      <c r="F542" s="128"/>
      <c r="G542" s="129"/>
      <c r="H542" s="129"/>
      <c r="I542" s="166"/>
      <c r="J542" s="180"/>
      <c r="K542" s="128"/>
      <c r="L542" s="127"/>
      <c r="M542" s="168"/>
      <c r="N542" s="173"/>
      <c r="O542" s="141"/>
      <c r="P542" s="140"/>
      <c r="Q542" s="142"/>
      <c r="R542" s="140"/>
      <c r="S542" s="142"/>
      <c r="T542" s="140"/>
    </row>
    <row r="543" spans="3:20" ht="39.75" customHeight="1">
      <c r="C543" s="196">
        <v>540</v>
      </c>
      <c r="D543" s="127"/>
      <c r="E543" s="129"/>
      <c r="F543" s="128"/>
      <c r="G543" s="129"/>
      <c r="H543" s="129"/>
      <c r="I543" s="166"/>
      <c r="J543" s="180"/>
      <c r="K543" s="128"/>
      <c r="L543" s="127"/>
      <c r="M543" s="168"/>
      <c r="N543" s="173"/>
      <c r="O543" s="141"/>
      <c r="P543" s="140"/>
      <c r="Q543" s="142"/>
      <c r="R543" s="140"/>
      <c r="S543" s="142"/>
      <c r="T543" s="140"/>
    </row>
    <row r="544" spans="3:20" ht="39.75" customHeight="1">
      <c r="C544" s="196">
        <v>541</v>
      </c>
      <c r="D544" s="127"/>
      <c r="E544" s="129"/>
      <c r="F544" s="128"/>
      <c r="G544" s="129"/>
      <c r="H544" s="129"/>
      <c r="I544" s="166"/>
      <c r="J544" s="180"/>
      <c r="K544" s="128"/>
      <c r="L544" s="127"/>
      <c r="M544" s="168"/>
      <c r="N544" s="173"/>
      <c r="O544" s="141"/>
      <c r="P544" s="140"/>
      <c r="Q544" s="142"/>
      <c r="R544" s="140"/>
      <c r="S544" s="142"/>
      <c r="T544" s="140"/>
    </row>
    <row r="545" spans="3:20" ht="39.75" customHeight="1">
      <c r="C545" s="196">
        <v>542</v>
      </c>
      <c r="D545" s="127"/>
      <c r="E545" s="129"/>
      <c r="F545" s="128"/>
      <c r="G545" s="129"/>
      <c r="H545" s="129"/>
      <c r="I545" s="166"/>
      <c r="J545" s="180"/>
      <c r="K545" s="128"/>
      <c r="L545" s="127"/>
      <c r="M545" s="168"/>
      <c r="N545" s="173"/>
      <c r="O545" s="141"/>
      <c r="P545" s="140"/>
      <c r="Q545" s="142"/>
      <c r="R545" s="140"/>
      <c r="S545" s="142"/>
      <c r="T545" s="140"/>
    </row>
    <row r="546" spans="3:20" ht="39.75" customHeight="1">
      <c r="C546" s="196">
        <v>543</v>
      </c>
      <c r="D546" s="127"/>
      <c r="E546" s="129"/>
      <c r="F546" s="128"/>
      <c r="G546" s="129"/>
      <c r="H546" s="129"/>
      <c r="I546" s="166"/>
      <c r="J546" s="180"/>
      <c r="K546" s="128"/>
      <c r="L546" s="127"/>
      <c r="M546" s="168"/>
      <c r="N546" s="173"/>
      <c r="O546" s="141"/>
      <c r="P546" s="140"/>
      <c r="Q546" s="142"/>
      <c r="R546" s="140"/>
      <c r="S546" s="142"/>
      <c r="T546" s="140"/>
    </row>
    <row r="547" spans="3:20" ht="39.75" customHeight="1">
      <c r="C547" s="196">
        <v>544</v>
      </c>
      <c r="D547" s="127"/>
      <c r="E547" s="129"/>
      <c r="F547" s="128"/>
      <c r="G547" s="129"/>
      <c r="H547" s="129"/>
      <c r="I547" s="166"/>
      <c r="J547" s="180"/>
      <c r="K547" s="128"/>
      <c r="L547" s="127"/>
      <c r="M547" s="168"/>
      <c r="N547" s="173"/>
      <c r="O547" s="141"/>
      <c r="P547" s="140"/>
      <c r="Q547" s="142"/>
      <c r="R547" s="140"/>
      <c r="S547" s="142"/>
      <c r="T547" s="140"/>
    </row>
    <row r="548" spans="3:20" ht="39.75" customHeight="1">
      <c r="C548" s="196">
        <v>545</v>
      </c>
      <c r="D548" s="127"/>
      <c r="E548" s="129"/>
      <c r="F548" s="128"/>
      <c r="G548" s="129"/>
      <c r="H548" s="129"/>
      <c r="I548" s="166"/>
      <c r="J548" s="180"/>
      <c r="K548" s="128"/>
      <c r="L548" s="127"/>
      <c r="M548" s="168"/>
      <c r="N548" s="173"/>
      <c r="O548" s="141"/>
      <c r="P548" s="140"/>
      <c r="Q548" s="142"/>
      <c r="R548" s="140"/>
      <c r="S548" s="142"/>
      <c r="T548" s="140"/>
    </row>
    <row r="549" spans="3:20" ht="39.75" customHeight="1">
      <c r="C549" s="196">
        <v>546</v>
      </c>
      <c r="D549" s="127"/>
      <c r="E549" s="129"/>
      <c r="F549" s="128"/>
      <c r="G549" s="129"/>
      <c r="H549" s="129"/>
      <c r="I549" s="166"/>
      <c r="J549" s="180"/>
      <c r="K549" s="128"/>
      <c r="L549" s="127"/>
      <c r="M549" s="168"/>
      <c r="N549" s="173"/>
      <c r="O549" s="141"/>
      <c r="P549" s="140"/>
      <c r="Q549" s="142"/>
      <c r="R549" s="140"/>
      <c r="S549" s="142"/>
      <c r="T549" s="140"/>
    </row>
    <row r="550" spans="3:20" ht="39.75" customHeight="1">
      <c r="C550" s="196">
        <v>547</v>
      </c>
      <c r="D550" s="127"/>
      <c r="E550" s="129"/>
      <c r="F550" s="128"/>
      <c r="G550" s="129"/>
      <c r="H550" s="129"/>
      <c r="I550" s="166"/>
      <c r="J550" s="180"/>
      <c r="K550" s="128"/>
      <c r="L550" s="127"/>
      <c r="M550" s="168"/>
      <c r="N550" s="173"/>
      <c r="O550" s="141"/>
      <c r="P550" s="140"/>
      <c r="Q550" s="142"/>
      <c r="R550" s="140"/>
      <c r="S550" s="142"/>
      <c r="T550" s="140"/>
    </row>
    <row r="551" spans="3:20" ht="39.75" customHeight="1">
      <c r="C551" s="196">
        <v>548</v>
      </c>
      <c r="D551" s="127"/>
      <c r="E551" s="129"/>
      <c r="F551" s="128"/>
      <c r="G551" s="129"/>
      <c r="H551" s="129"/>
      <c r="I551" s="166"/>
      <c r="J551" s="180"/>
      <c r="K551" s="128"/>
      <c r="L551" s="127"/>
      <c r="M551" s="168"/>
      <c r="N551" s="173"/>
      <c r="O551" s="141"/>
      <c r="P551" s="140"/>
      <c r="Q551" s="142"/>
      <c r="R551" s="140"/>
      <c r="S551" s="142"/>
      <c r="T551" s="140"/>
    </row>
    <row r="552" spans="3:20" ht="39.75" customHeight="1">
      <c r="C552" s="196">
        <v>549</v>
      </c>
      <c r="D552" s="127"/>
      <c r="E552" s="129"/>
      <c r="F552" s="128"/>
      <c r="G552" s="129"/>
      <c r="H552" s="129"/>
      <c r="I552" s="166"/>
      <c r="J552" s="180"/>
      <c r="K552" s="128"/>
      <c r="L552" s="127"/>
      <c r="M552" s="168"/>
      <c r="N552" s="173"/>
      <c r="O552" s="141"/>
      <c r="P552" s="140"/>
      <c r="Q552" s="142"/>
      <c r="R552" s="140"/>
      <c r="S552" s="142"/>
      <c r="T552" s="140"/>
    </row>
    <row r="553" spans="3:20" ht="39.75" customHeight="1">
      <c r="C553" s="196">
        <v>550</v>
      </c>
      <c r="D553" s="127"/>
      <c r="E553" s="129"/>
      <c r="F553" s="128"/>
      <c r="G553" s="129"/>
      <c r="H553" s="129"/>
      <c r="I553" s="166"/>
      <c r="J553" s="180"/>
      <c r="K553" s="128"/>
      <c r="L553" s="127"/>
      <c r="M553" s="168"/>
      <c r="N553" s="173"/>
      <c r="O553" s="141"/>
      <c r="P553" s="140"/>
      <c r="Q553" s="142"/>
      <c r="R553" s="140"/>
      <c r="S553" s="142"/>
      <c r="T553" s="140"/>
    </row>
    <row r="554" spans="3:20" ht="39.75" customHeight="1">
      <c r="C554" s="196">
        <v>551</v>
      </c>
      <c r="D554" s="127"/>
      <c r="E554" s="129"/>
      <c r="F554" s="128"/>
      <c r="G554" s="129"/>
      <c r="H554" s="129"/>
      <c r="I554" s="166"/>
      <c r="J554" s="180"/>
      <c r="K554" s="128"/>
      <c r="L554" s="127"/>
      <c r="M554" s="168"/>
      <c r="N554" s="173"/>
      <c r="O554" s="141"/>
      <c r="P554" s="140"/>
      <c r="Q554" s="142"/>
      <c r="R554" s="140"/>
      <c r="S554" s="142"/>
      <c r="T554" s="140"/>
    </row>
    <row r="555" spans="3:20" ht="39.75" customHeight="1">
      <c r="C555" s="196">
        <v>552</v>
      </c>
      <c r="D555" s="127"/>
      <c r="E555" s="129"/>
      <c r="F555" s="128"/>
      <c r="G555" s="129"/>
      <c r="H555" s="129"/>
      <c r="I555" s="166"/>
      <c r="J555" s="180"/>
      <c r="K555" s="128"/>
      <c r="L555" s="127"/>
      <c r="M555" s="168"/>
      <c r="N555" s="173"/>
      <c r="O555" s="141"/>
      <c r="P555" s="140"/>
      <c r="Q555" s="142"/>
      <c r="R555" s="140"/>
      <c r="S555" s="142"/>
      <c r="T555" s="140"/>
    </row>
    <row r="556" spans="3:20" ht="39.75" customHeight="1">
      <c r="C556" s="196">
        <v>553</v>
      </c>
      <c r="D556" s="127"/>
      <c r="E556" s="129"/>
      <c r="F556" s="128"/>
      <c r="G556" s="129"/>
      <c r="H556" s="129"/>
      <c r="I556" s="166"/>
      <c r="J556" s="180"/>
      <c r="K556" s="128"/>
      <c r="L556" s="127"/>
      <c r="M556" s="168"/>
      <c r="N556" s="173"/>
      <c r="O556" s="141"/>
      <c r="P556" s="140"/>
      <c r="Q556" s="142"/>
      <c r="R556" s="140"/>
      <c r="S556" s="142"/>
      <c r="T556" s="140"/>
    </row>
    <row r="557" spans="3:20" ht="39.75" customHeight="1">
      <c r="C557" s="196">
        <v>554</v>
      </c>
      <c r="D557" s="127"/>
      <c r="E557" s="129"/>
      <c r="F557" s="128"/>
      <c r="G557" s="129"/>
      <c r="H557" s="129"/>
      <c r="I557" s="166"/>
      <c r="J557" s="180"/>
      <c r="K557" s="128"/>
      <c r="L557" s="127"/>
      <c r="M557" s="168"/>
      <c r="N557" s="173"/>
      <c r="O557" s="141"/>
      <c r="P557" s="140"/>
      <c r="Q557" s="142"/>
      <c r="R557" s="140"/>
      <c r="S557" s="142"/>
      <c r="T557" s="140"/>
    </row>
    <row r="558" spans="3:20" ht="39.75" customHeight="1">
      <c r="C558" s="196">
        <v>555</v>
      </c>
      <c r="D558" s="127"/>
      <c r="E558" s="129"/>
      <c r="F558" s="128"/>
      <c r="G558" s="129"/>
      <c r="H558" s="129"/>
      <c r="I558" s="166"/>
      <c r="J558" s="180"/>
      <c r="K558" s="128"/>
      <c r="L558" s="127"/>
      <c r="M558" s="168"/>
      <c r="N558" s="173"/>
      <c r="O558" s="141"/>
      <c r="P558" s="140"/>
      <c r="Q558" s="142"/>
      <c r="R558" s="140"/>
      <c r="S558" s="142"/>
      <c r="T558" s="140"/>
    </row>
    <row r="559" spans="3:20" ht="39.75" customHeight="1">
      <c r="C559" s="196">
        <v>556</v>
      </c>
      <c r="D559" s="127"/>
      <c r="E559" s="129"/>
      <c r="F559" s="128"/>
      <c r="G559" s="129"/>
      <c r="H559" s="129"/>
      <c r="I559" s="166"/>
      <c r="J559" s="180"/>
      <c r="K559" s="128"/>
      <c r="L559" s="127"/>
      <c r="M559" s="168"/>
      <c r="N559" s="173"/>
      <c r="O559" s="141"/>
      <c r="P559" s="140"/>
      <c r="Q559" s="142"/>
      <c r="R559" s="140"/>
      <c r="S559" s="142"/>
      <c r="T559" s="140"/>
    </row>
    <row r="560" spans="3:20" ht="39.75" customHeight="1">
      <c r="C560" s="196">
        <v>557</v>
      </c>
      <c r="D560" s="127"/>
      <c r="E560" s="129"/>
      <c r="F560" s="128"/>
      <c r="G560" s="129"/>
      <c r="H560" s="129"/>
      <c r="I560" s="166"/>
      <c r="J560" s="180"/>
      <c r="K560" s="128"/>
      <c r="L560" s="127"/>
      <c r="M560" s="168"/>
      <c r="N560" s="173"/>
      <c r="O560" s="141"/>
      <c r="P560" s="140"/>
      <c r="Q560" s="142"/>
      <c r="R560" s="140"/>
      <c r="S560" s="142"/>
      <c r="T560" s="140"/>
    </row>
    <row r="561" spans="3:20" ht="39.75" customHeight="1">
      <c r="C561" s="196">
        <v>558</v>
      </c>
      <c r="D561" s="127"/>
      <c r="E561" s="129"/>
      <c r="F561" s="128"/>
      <c r="G561" s="129"/>
      <c r="H561" s="129"/>
      <c r="I561" s="166"/>
      <c r="J561" s="180"/>
      <c r="K561" s="128"/>
      <c r="L561" s="127"/>
      <c r="M561" s="168"/>
      <c r="N561" s="173"/>
      <c r="O561" s="141"/>
      <c r="P561" s="140"/>
      <c r="Q561" s="142"/>
      <c r="R561" s="140"/>
      <c r="S561" s="142"/>
      <c r="T561" s="140"/>
    </row>
    <row r="562" spans="3:20" ht="39.75" customHeight="1">
      <c r="C562" s="196">
        <v>559</v>
      </c>
      <c r="D562" s="127"/>
      <c r="E562" s="129"/>
      <c r="F562" s="128"/>
      <c r="G562" s="129"/>
      <c r="H562" s="129"/>
      <c r="I562" s="166"/>
      <c r="J562" s="180"/>
      <c r="K562" s="128"/>
      <c r="L562" s="127"/>
      <c r="M562" s="168"/>
      <c r="N562" s="173"/>
      <c r="O562" s="141"/>
      <c r="P562" s="140"/>
      <c r="Q562" s="142"/>
      <c r="R562" s="140"/>
      <c r="S562" s="142"/>
      <c r="T562" s="140"/>
    </row>
    <row r="563" spans="3:20" ht="39.75" customHeight="1">
      <c r="C563" s="196">
        <v>560</v>
      </c>
      <c r="D563" s="127"/>
      <c r="E563" s="129"/>
      <c r="F563" s="128"/>
      <c r="G563" s="129"/>
      <c r="H563" s="129"/>
      <c r="I563" s="166"/>
      <c r="J563" s="180"/>
      <c r="K563" s="128"/>
      <c r="L563" s="127"/>
      <c r="M563" s="168"/>
      <c r="N563" s="173"/>
      <c r="O563" s="141"/>
      <c r="P563" s="140"/>
      <c r="Q563" s="142"/>
      <c r="R563" s="140"/>
      <c r="S563" s="142"/>
      <c r="T563" s="140"/>
    </row>
    <row r="564" spans="3:20" ht="39.75" customHeight="1">
      <c r="C564" s="196">
        <v>561</v>
      </c>
      <c r="D564" s="127"/>
      <c r="E564" s="129"/>
      <c r="F564" s="128"/>
      <c r="G564" s="129"/>
      <c r="H564" s="129"/>
      <c r="I564" s="166"/>
      <c r="J564" s="180"/>
      <c r="K564" s="128"/>
      <c r="L564" s="127"/>
      <c r="M564" s="168"/>
      <c r="N564" s="173"/>
      <c r="O564" s="141"/>
      <c r="P564" s="140"/>
      <c r="Q564" s="142"/>
      <c r="R564" s="140"/>
      <c r="S564" s="142"/>
      <c r="T564" s="140"/>
    </row>
    <row r="565" spans="3:20" ht="39.75" customHeight="1">
      <c r="C565" s="196">
        <v>562</v>
      </c>
      <c r="D565" s="127"/>
      <c r="E565" s="129"/>
      <c r="F565" s="128"/>
      <c r="G565" s="129"/>
      <c r="H565" s="129"/>
      <c r="I565" s="166"/>
      <c r="J565" s="180"/>
      <c r="K565" s="128"/>
      <c r="L565" s="127"/>
      <c r="M565" s="168"/>
      <c r="N565" s="173"/>
      <c r="O565" s="141"/>
      <c r="P565" s="140"/>
      <c r="Q565" s="142"/>
      <c r="R565" s="140"/>
      <c r="S565" s="142"/>
      <c r="T565" s="140"/>
    </row>
    <row r="566" spans="3:20" ht="39.75" customHeight="1">
      <c r="C566" s="196">
        <v>563</v>
      </c>
      <c r="D566" s="127"/>
      <c r="E566" s="129"/>
      <c r="F566" s="128"/>
      <c r="G566" s="129"/>
      <c r="H566" s="129"/>
      <c r="I566" s="166"/>
      <c r="J566" s="180"/>
      <c r="K566" s="128"/>
      <c r="L566" s="127"/>
      <c r="M566" s="168"/>
      <c r="N566" s="173"/>
      <c r="O566" s="141"/>
      <c r="P566" s="140"/>
      <c r="Q566" s="142"/>
      <c r="R566" s="140"/>
      <c r="S566" s="142"/>
      <c r="T566" s="140"/>
    </row>
    <row r="567" spans="3:20" ht="39.75" customHeight="1">
      <c r="C567" s="196">
        <v>564</v>
      </c>
      <c r="D567" s="127"/>
      <c r="E567" s="129"/>
      <c r="F567" s="128"/>
      <c r="G567" s="129"/>
      <c r="H567" s="129"/>
      <c r="I567" s="166"/>
      <c r="J567" s="180"/>
      <c r="K567" s="128"/>
      <c r="L567" s="127"/>
      <c r="M567" s="168"/>
      <c r="N567" s="173"/>
      <c r="O567" s="141"/>
      <c r="P567" s="140"/>
      <c r="Q567" s="142"/>
      <c r="R567" s="140"/>
      <c r="S567" s="142"/>
      <c r="T567" s="140"/>
    </row>
    <row r="568" spans="3:20" ht="39.75" customHeight="1">
      <c r="C568" s="196">
        <v>565</v>
      </c>
      <c r="D568" s="127"/>
      <c r="E568" s="129"/>
      <c r="F568" s="128"/>
      <c r="G568" s="129"/>
      <c r="H568" s="129"/>
      <c r="I568" s="166"/>
      <c r="J568" s="180"/>
      <c r="K568" s="128"/>
      <c r="L568" s="127"/>
      <c r="M568" s="168"/>
      <c r="N568" s="173"/>
      <c r="O568" s="141"/>
      <c r="P568" s="140"/>
      <c r="Q568" s="142"/>
      <c r="R568" s="140"/>
      <c r="S568" s="142"/>
      <c r="T568" s="140"/>
    </row>
    <row r="569" spans="3:20" ht="39.75" customHeight="1">
      <c r="C569" s="196">
        <v>566</v>
      </c>
      <c r="D569" s="127"/>
      <c r="E569" s="129"/>
      <c r="F569" s="128"/>
      <c r="G569" s="129"/>
      <c r="H569" s="129"/>
      <c r="I569" s="166"/>
      <c r="J569" s="180"/>
      <c r="K569" s="128"/>
      <c r="L569" s="127"/>
      <c r="M569" s="168"/>
      <c r="N569" s="173"/>
      <c r="O569" s="141"/>
      <c r="P569" s="140"/>
      <c r="Q569" s="142"/>
      <c r="R569" s="140"/>
      <c r="S569" s="142"/>
      <c r="T569" s="140"/>
    </row>
    <row r="570" spans="3:20" ht="39.75" customHeight="1">
      <c r="C570" s="196">
        <v>567</v>
      </c>
      <c r="D570" s="127"/>
      <c r="E570" s="129"/>
      <c r="F570" s="128"/>
      <c r="G570" s="129"/>
      <c r="H570" s="129"/>
      <c r="I570" s="166"/>
      <c r="J570" s="180"/>
      <c r="K570" s="128"/>
      <c r="L570" s="127"/>
      <c r="M570" s="168"/>
      <c r="N570" s="173"/>
      <c r="O570" s="141"/>
      <c r="P570" s="140"/>
      <c r="Q570" s="142"/>
      <c r="R570" s="140"/>
      <c r="S570" s="142"/>
      <c r="T570" s="140"/>
    </row>
    <row r="571" spans="3:20" ht="39.75" customHeight="1">
      <c r="C571" s="196">
        <v>568</v>
      </c>
      <c r="D571" s="127"/>
      <c r="E571" s="129"/>
      <c r="F571" s="128"/>
      <c r="G571" s="129"/>
      <c r="H571" s="129"/>
      <c r="I571" s="166"/>
      <c r="J571" s="180"/>
      <c r="K571" s="128"/>
      <c r="L571" s="127"/>
      <c r="M571" s="168"/>
      <c r="N571" s="173"/>
      <c r="O571" s="141"/>
      <c r="P571" s="140"/>
      <c r="Q571" s="142"/>
      <c r="R571" s="140"/>
      <c r="S571" s="142"/>
      <c r="T571" s="140"/>
    </row>
    <row r="572" spans="3:20" ht="39.75" customHeight="1">
      <c r="C572" s="196">
        <v>569</v>
      </c>
      <c r="D572" s="127"/>
      <c r="E572" s="129"/>
      <c r="F572" s="128"/>
      <c r="G572" s="129"/>
      <c r="H572" s="129"/>
      <c r="I572" s="166"/>
      <c r="J572" s="180"/>
      <c r="K572" s="128"/>
      <c r="L572" s="127"/>
      <c r="M572" s="168"/>
      <c r="N572" s="173"/>
      <c r="O572" s="141"/>
      <c r="P572" s="140"/>
      <c r="Q572" s="142"/>
      <c r="R572" s="140"/>
      <c r="S572" s="142"/>
      <c r="T572" s="140"/>
    </row>
    <row r="573" spans="3:20" ht="39.75" customHeight="1">
      <c r="C573" s="196">
        <v>570</v>
      </c>
      <c r="D573" s="127"/>
      <c r="E573" s="129"/>
      <c r="F573" s="128"/>
      <c r="G573" s="129"/>
      <c r="H573" s="129"/>
      <c r="I573" s="166"/>
      <c r="J573" s="180"/>
      <c r="K573" s="128"/>
      <c r="L573" s="127"/>
      <c r="M573" s="168"/>
      <c r="N573" s="173"/>
      <c r="O573" s="141"/>
      <c r="P573" s="140"/>
      <c r="Q573" s="142"/>
      <c r="R573" s="140"/>
      <c r="S573" s="142"/>
      <c r="T573" s="140"/>
    </row>
    <row r="574" spans="3:20" ht="39.75" customHeight="1">
      <c r="C574" s="196">
        <v>571</v>
      </c>
      <c r="D574" s="127"/>
      <c r="E574" s="129"/>
      <c r="F574" s="128"/>
      <c r="G574" s="129"/>
      <c r="H574" s="129"/>
      <c r="I574" s="166"/>
      <c r="J574" s="180"/>
      <c r="K574" s="128"/>
      <c r="L574" s="127"/>
      <c r="M574" s="168"/>
      <c r="N574" s="173"/>
      <c r="O574" s="141"/>
      <c r="P574" s="140"/>
      <c r="Q574" s="142"/>
      <c r="R574" s="140"/>
      <c r="S574" s="142"/>
      <c r="T574" s="140"/>
    </row>
    <row r="575" spans="3:20" ht="39.75" customHeight="1">
      <c r="C575" s="196">
        <v>572</v>
      </c>
      <c r="D575" s="127"/>
      <c r="E575" s="129"/>
      <c r="F575" s="128"/>
      <c r="G575" s="129"/>
      <c r="H575" s="129"/>
      <c r="I575" s="166"/>
      <c r="J575" s="180"/>
      <c r="K575" s="128"/>
      <c r="L575" s="127"/>
      <c r="M575" s="168"/>
      <c r="N575" s="173"/>
      <c r="O575" s="141"/>
      <c r="P575" s="140"/>
      <c r="Q575" s="142"/>
      <c r="R575" s="140"/>
      <c r="S575" s="142"/>
      <c r="T575" s="140"/>
    </row>
    <row r="576" spans="3:20" ht="39.75" customHeight="1">
      <c r="C576" s="196">
        <v>573</v>
      </c>
      <c r="D576" s="127"/>
      <c r="E576" s="129"/>
      <c r="F576" s="128"/>
      <c r="G576" s="129"/>
      <c r="H576" s="129"/>
      <c r="I576" s="166"/>
      <c r="J576" s="180"/>
      <c r="K576" s="128"/>
      <c r="L576" s="127"/>
      <c r="M576" s="168"/>
      <c r="N576" s="173"/>
      <c r="O576" s="141"/>
      <c r="P576" s="140"/>
      <c r="Q576" s="142"/>
      <c r="R576" s="140"/>
      <c r="S576" s="142"/>
      <c r="T576" s="140"/>
    </row>
    <row r="577" spans="3:20" ht="39.75" customHeight="1">
      <c r="C577" s="196">
        <v>574</v>
      </c>
      <c r="D577" s="127"/>
      <c r="E577" s="129"/>
      <c r="F577" s="128"/>
      <c r="G577" s="129"/>
      <c r="H577" s="129"/>
      <c r="I577" s="166"/>
      <c r="J577" s="180"/>
      <c r="K577" s="128"/>
      <c r="L577" s="127"/>
      <c r="M577" s="168"/>
      <c r="N577" s="173"/>
      <c r="O577" s="141"/>
      <c r="P577" s="140"/>
      <c r="Q577" s="142"/>
      <c r="R577" s="140"/>
      <c r="S577" s="142"/>
      <c r="T577" s="140"/>
    </row>
    <row r="578" spans="3:20" ht="39.75" customHeight="1">
      <c r="C578" s="196">
        <v>575</v>
      </c>
      <c r="D578" s="127"/>
      <c r="E578" s="129"/>
      <c r="F578" s="128"/>
      <c r="G578" s="129"/>
      <c r="H578" s="129"/>
      <c r="I578" s="166"/>
      <c r="J578" s="180"/>
      <c r="K578" s="128"/>
      <c r="L578" s="127"/>
      <c r="M578" s="168"/>
      <c r="N578" s="173"/>
      <c r="O578" s="141"/>
      <c r="P578" s="140"/>
      <c r="Q578" s="142"/>
      <c r="R578" s="140"/>
      <c r="S578" s="142"/>
      <c r="T578" s="140"/>
    </row>
    <row r="579" spans="3:20" ht="39.75" customHeight="1">
      <c r="C579" s="196">
        <v>576</v>
      </c>
      <c r="D579" s="127"/>
      <c r="E579" s="129"/>
      <c r="F579" s="128"/>
      <c r="G579" s="129"/>
      <c r="H579" s="129"/>
      <c r="I579" s="166"/>
      <c r="J579" s="180"/>
      <c r="K579" s="128"/>
      <c r="L579" s="127"/>
      <c r="M579" s="168"/>
      <c r="N579" s="173"/>
      <c r="O579" s="141"/>
      <c r="P579" s="140"/>
      <c r="Q579" s="142"/>
      <c r="R579" s="140"/>
      <c r="S579" s="142"/>
      <c r="T579" s="140"/>
    </row>
    <row r="580" spans="3:20" ht="39.75" customHeight="1">
      <c r="C580" s="196">
        <v>577</v>
      </c>
      <c r="D580" s="127"/>
      <c r="E580" s="129"/>
      <c r="F580" s="128"/>
      <c r="G580" s="129"/>
      <c r="H580" s="129"/>
      <c r="I580" s="166"/>
      <c r="J580" s="180"/>
      <c r="K580" s="128"/>
      <c r="L580" s="127"/>
      <c r="M580" s="168"/>
      <c r="N580" s="173"/>
      <c r="O580" s="141"/>
      <c r="P580" s="140"/>
      <c r="Q580" s="142"/>
      <c r="R580" s="140"/>
      <c r="S580" s="142"/>
      <c r="T580" s="140"/>
    </row>
    <row r="581" spans="3:20" ht="39.75" customHeight="1">
      <c r="C581" s="196">
        <v>578</v>
      </c>
      <c r="D581" s="127"/>
      <c r="E581" s="129"/>
      <c r="F581" s="128"/>
      <c r="G581" s="129"/>
      <c r="H581" s="129"/>
      <c r="I581" s="166"/>
      <c r="J581" s="180"/>
      <c r="K581" s="128"/>
      <c r="L581" s="127"/>
      <c r="M581" s="168"/>
      <c r="N581" s="173"/>
      <c r="O581" s="141"/>
      <c r="P581" s="140"/>
      <c r="Q581" s="142"/>
      <c r="R581" s="140"/>
      <c r="S581" s="142"/>
      <c r="T581" s="140"/>
    </row>
    <row r="582" spans="3:20" ht="39.75" customHeight="1">
      <c r="C582" s="196">
        <v>579</v>
      </c>
      <c r="D582" s="127"/>
      <c r="E582" s="129"/>
      <c r="F582" s="128"/>
      <c r="G582" s="129"/>
      <c r="H582" s="129"/>
      <c r="I582" s="166"/>
      <c r="J582" s="180"/>
      <c r="K582" s="128"/>
      <c r="L582" s="127"/>
      <c r="M582" s="168"/>
      <c r="N582" s="173"/>
      <c r="O582" s="141"/>
      <c r="P582" s="140"/>
      <c r="Q582" s="142"/>
      <c r="R582" s="140"/>
      <c r="S582" s="142"/>
      <c r="T582" s="140"/>
    </row>
    <row r="583" spans="3:20" ht="39.75" customHeight="1">
      <c r="C583" s="196">
        <v>580</v>
      </c>
      <c r="D583" s="127"/>
      <c r="E583" s="129"/>
      <c r="F583" s="128"/>
      <c r="G583" s="129"/>
      <c r="H583" s="129"/>
      <c r="I583" s="166"/>
      <c r="J583" s="180"/>
      <c r="K583" s="128"/>
      <c r="L583" s="127"/>
      <c r="M583" s="168"/>
      <c r="N583" s="173"/>
      <c r="O583" s="141"/>
      <c r="P583" s="140"/>
      <c r="Q583" s="142"/>
      <c r="R583" s="140"/>
      <c r="S583" s="142"/>
      <c r="T583" s="140"/>
    </row>
    <row r="584" spans="3:20" ht="39.75" customHeight="1">
      <c r="C584" s="196">
        <v>581</v>
      </c>
      <c r="D584" s="127"/>
      <c r="E584" s="129"/>
      <c r="F584" s="128"/>
      <c r="G584" s="129"/>
      <c r="H584" s="129"/>
      <c r="I584" s="166"/>
      <c r="J584" s="180"/>
      <c r="K584" s="128"/>
      <c r="L584" s="127"/>
      <c r="M584" s="168"/>
      <c r="N584" s="173"/>
      <c r="O584" s="141"/>
      <c r="P584" s="140"/>
      <c r="Q584" s="142"/>
      <c r="R584" s="140"/>
      <c r="S584" s="142"/>
      <c r="T584" s="140"/>
    </row>
    <row r="585" spans="3:20" ht="39.75" customHeight="1">
      <c r="C585" s="196">
        <v>582</v>
      </c>
      <c r="D585" s="127"/>
      <c r="E585" s="129"/>
      <c r="F585" s="128"/>
      <c r="G585" s="129"/>
      <c r="H585" s="129"/>
      <c r="I585" s="166"/>
      <c r="J585" s="180"/>
      <c r="K585" s="128"/>
      <c r="L585" s="127"/>
      <c r="M585" s="168"/>
      <c r="N585" s="173"/>
      <c r="O585" s="141"/>
      <c r="P585" s="140"/>
      <c r="Q585" s="142"/>
      <c r="R585" s="140"/>
      <c r="S585" s="142"/>
      <c r="T585" s="140"/>
    </row>
    <row r="586" spans="3:20" ht="39.75" customHeight="1">
      <c r="C586" s="196">
        <v>583</v>
      </c>
      <c r="D586" s="127"/>
      <c r="E586" s="129"/>
      <c r="F586" s="128"/>
      <c r="G586" s="129"/>
      <c r="H586" s="129"/>
      <c r="I586" s="166"/>
      <c r="J586" s="180"/>
      <c r="K586" s="128"/>
      <c r="L586" s="127"/>
      <c r="M586" s="168"/>
      <c r="N586" s="173"/>
      <c r="O586" s="141"/>
      <c r="P586" s="140"/>
      <c r="Q586" s="142"/>
      <c r="R586" s="140"/>
      <c r="S586" s="142"/>
      <c r="T586" s="140"/>
    </row>
    <row r="587" spans="3:20" ht="39.75" customHeight="1">
      <c r="C587" s="196">
        <v>584</v>
      </c>
      <c r="D587" s="127"/>
      <c r="E587" s="129"/>
      <c r="F587" s="128"/>
      <c r="G587" s="129"/>
      <c r="H587" s="129"/>
      <c r="I587" s="166"/>
      <c r="J587" s="180"/>
      <c r="K587" s="128"/>
      <c r="L587" s="127"/>
      <c r="M587" s="168"/>
      <c r="N587" s="173"/>
      <c r="O587" s="141"/>
      <c r="P587" s="140"/>
      <c r="Q587" s="142"/>
      <c r="R587" s="140"/>
      <c r="S587" s="142"/>
      <c r="T587" s="140"/>
    </row>
    <row r="588" spans="3:20" ht="39.75" customHeight="1">
      <c r="C588" s="196">
        <v>585</v>
      </c>
      <c r="D588" s="127"/>
      <c r="E588" s="129"/>
      <c r="F588" s="128"/>
      <c r="G588" s="129"/>
      <c r="H588" s="129"/>
      <c r="I588" s="166"/>
      <c r="J588" s="180"/>
      <c r="K588" s="128"/>
      <c r="L588" s="127"/>
      <c r="M588" s="168"/>
      <c r="N588" s="173"/>
      <c r="O588" s="141"/>
      <c r="P588" s="140"/>
      <c r="Q588" s="142"/>
      <c r="R588" s="140"/>
      <c r="S588" s="142"/>
      <c r="T588" s="140"/>
    </row>
    <row r="589" spans="3:20" ht="39.75" customHeight="1">
      <c r="C589" s="196">
        <v>586</v>
      </c>
      <c r="D589" s="127"/>
      <c r="E589" s="129"/>
      <c r="F589" s="128"/>
      <c r="G589" s="129"/>
      <c r="H589" s="129"/>
      <c r="I589" s="166"/>
      <c r="J589" s="180"/>
      <c r="K589" s="128"/>
      <c r="L589" s="127"/>
      <c r="M589" s="168"/>
      <c r="N589" s="173"/>
      <c r="O589" s="141"/>
      <c r="P589" s="140"/>
      <c r="Q589" s="142"/>
      <c r="R589" s="140"/>
      <c r="S589" s="142"/>
      <c r="T589" s="140"/>
    </row>
    <row r="590" spans="3:20" ht="39.75" customHeight="1">
      <c r="C590" s="196">
        <v>587</v>
      </c>
      <c r="D590" s="127"/>
      <c r="E590" s="129"/>
      <c r="F590" s="128"/>
      <c r="G590" s="129"/>
      <c r="H590" s="129"/>
      <c r="I590" s="166"/>
      <c r="J590" s="180"/>
      <c r="K590" s="128"/>
      <c r="L590" s="127"/>
      <c r="M590" s="168"/>
      <c r="N590" s="173"/>
      <c r="O590" s="141"/>
      <c r="P590" s="140"/>
      <c r="Q590" s="142"/>
      <c r="R590" s="140"/>
      <c r="S590" s="142"/>
      <c r="T590" s="140"/>
    </row>
    <row r="591" spans="3:20" ht="39.75" customHeight="1">
      <c r="C591" s="196">
        <v>588</v>
      </c>
      <c r="D591" s="127"/>
      <c r="E591" s="129"/>
      <c r="F591" s="128"/>
      <c r="G591" s="129"/>
      <c r="H591" s="129"/>
      <c r="I591" s="166"/>
      <c r="J591" s="180"/>
      <c r="K591" s="128"/>
      <c r="L591" s="127"/>
      <c r="M591" s="168"/>
      <c r="N591" s="173"/>
      <c r="O591" s="141"/>
      <c r="P591" s="140"/>
      <c r="Q591" s="142"/>
      <c r="R591" s="140"/>
      <c r="S591" s="142"/>
      <c r="T591" s="140"/>
    </row>
    <row r="592" spans="3:20" ht="39.75" customHeight="1">
      <c r="C592" s="196">
        <v>589</v>
      </c>
      <c r="D592" s="127"/>
      <c r="E592" s="129"/>
      <c r="F592" s="128"/>
      <c r="G592" s="129"/>
      <c r="H592" s="129"/>
      <c r="I592" s="166"/>
      <c r="J592" s="180"/>
      <c r="K592" s="128"/>
      <c r="L592" s="127"/>
      <c r="M592" s="168"/>
      <c r="N592" s="173"/>
      <c r="O592" s="141"/>
      <c r="P592" s="140"/>
      <c r="Q592" s="142"/>
      <c r="R592" s="140"/>
      <c r="S592" s="142"/>
      <c r="T592" s="140"/>
    </row>
    <row r="593" spans="3:20" ht="39.75" customHeight="1">
      <c r="C593" s="196">
        <v>590</v>
      </c>
      <c r="D593" s="127"/>
      <c r="E593" s="129"/>
      <c r="F593" s="128"/>
      <c r="G593" s="129"/>
      <c r="H593" s="129"/>
      <c r="I593" s="166"/>
      <c r="J593" s="180"/>
      <c r="K593" s="128"/>
      <c r="L593" s="127"/>
      <c r="M593" s="168"/>
      <c r="N593" s="173"/>
      <c r="O593" s="141"/>
      <c r="P593" s="140"/>
      <c r="Q593" s="142"/>
      <c r="R593" s="140"/>
      <c r="S593" s="142"/>
      <c r="T593" s="140"/>
    </row>
    <row r="594" spans="3:20" ht="39.75" customHeight="1">
      <c r="C594" s="196">
        <v>591</v>
      </c>
      <c r="D594" s="127"/>
      <c r="E594" s="129"/>
      <c r="F594" s="128"/>
      <c r="G594" s="129"/>
      <c r="H594" s="129"/>
      <c r="I594" s="166"/>
      <c r="J594" s="180"/>
      <c r="K594" s="128"/>
      <c r="L594" s="127"/>
      <c r="M594" s="168"/>
      <c r="N594" s="173"/>
      <c r="O594" s="141"/>
      <c r="P594" s="140"/>
      <c r="Q594" s="142"/>
      <c r="R594" s="140"/>
      <c r="S594" s="142"/>
      <c r="T594" s="140"/>
    </row>
    <row r="595" spans="3:20" ht="39.75" customHeight="1">
      <c r="C595" s="196">
        <v>592</v>
      </c>
      <c r="D595" s="127"/>
      <c r="E595" s="129"/>
      <c r="F595" s="128"/>
      <c r="G595" s="129"/>
      <c r="H595" s="129"/>
      <c r="I595" s="166"/>
      <c r="J595" s="180"/>
      <c r="K595" s="128"/>
      <c r="L595" s="127"/>
      <c r="M595" s="168"/>
      <c r="N595" s="173"/>
      <c r="O595" s="141"/>
      <c r="P595" s="140"/>
      <c r="Q595" s="142"/>
      <c r="R595" s="140"/>
      <c r="S595" s="142"/>
      <c r="T595" s="140"/>
    </row>
    <row r="596" spans="3:20" ht="39.75" customHeight="1">
      <c r="C596" s="196">
        <v>593</v>
      </c>
      <c r="D596" s="127"/>
      <c r="E596" s="129"/>
      <c r="F596" s="128"/>
      <c r="G596" s="129"/>
      <c r="H596" s="129"/>
      <c r="I596" s="166"/>
      <c r="J596" s="180"/>
      <c r="K596" s="128"/>
      <c r="L596" s="127"/>
      <c r="M596" s="168"/>
      <c r="N596" s="173"/>
      <c r="O596" s="141"/>
      <c r="P596" s="140"/>
      <c r="Q596" s="142"/>
      <c r="R596" s="140"/>
      <c r="S596" s="142"/>
      <c r="T596" s="140"/>
    </row>
    <row r="597" spans="3:20" ht="39.75" customHeight="1">
      <c r="C597" s="196">
        <v>594</v>
      </c>
      <c r="D597" s="127"/>
      <c r="E597" s="129"/>
      <c r="F597" s="128"/>
      <c r="G597" s="129"/>
      <c r="H597" s="129"/>
      <c r="I597" s="166"/>
      <c r="J597" s="180"/>
      <c r="K597" s="128"/>
      <c r="L597" s="127"/>
      <c r="M597" s="168"/>
      <c r="N597" s="173"/>
      <c r="O597" s="141"/>
      <c r="P597" s="140"/>
      <c r="Q597" s="142"/>
      <c r="R597" s="140"/>
      <c r="S597" s="142"/>
      <c r="T597" s="140"/>
    </row>
    <row r="598" spans="3:20" ht="39.75" customHeight="1">
      <c r="C598" s="196">
        <v>595</v>
      </c>
      <c r="D598" s="127"/>
      <c r="E598" s="129"/>
      <c r="F598" s="128"/>
      <c r="G598" s="129"/>
      <c r="H598" s="129"/>
      <c r="I598" s="166"/>
      <c r="J598" s="180"/>
      <c r="K598" s="128"/>
      <c r="L598" s="127"/>
      <c r="M598" s="168"/>
      <c r="N598" s="173"/>
      <c r="O598" s="141"/>
      <c r="P598" s="140"/>
      <c r="Q598" s="142"/>
      <c r="R598" s="140"/>
      <c r="S598" s="142"/>
      <c r="T598" s="140"/>
    </row>
    <row r="599" spans="3:20" ht="39.75" customHeight="1">
      <c r="C599" s="196">
        <v>596</v>
      </c>
      <c r="D599" s="127"/>
      <c r="E599" s="129"/>
      <c r="F599" s="128"/>
      <c r="G599" s="129"/>
      <c r="H599" s="129"/>
      <c r="I599" s="166"/>
      <c r="J599" s="180"/>
      <c r="K599" s="128"/>
      <c r="L599" s="127"/>
      <c r="M599" s="168"/>
      <c r="N599" s="173"/>
      <c r="O599" s="141"/>
      <c r="P599" s="140"/>
      <c r="Q599" s="142"/>
      <c r="R599" s="140"/>
      <c r="S599" s="142"/>
      <c r="T599" s="140"/>
    </row>
    <row r="600" spans="3:20" ht="39.75" customHeight="1">
      <c r="C600" s="196">
        <v>597</v>
      </c>
      <c r="D600" s="127"/>
      <c r="E600" s="129"/>
      <c r="F600" s="128"/>
      <c r="G600" s="129"/>
      <c r="H600" s="129"/>
      <c r="I600" s="166"/>
      <c r="J600" s="180"/>
      <c r="K600" s="128"/>
      <c r="L600" s="127"/>
      <c r="M600" s="168"/>
      <c r="N600" s="173"/>
      <c r="O600" s="141"/>
      <c r="P600" s="140"/>
      <c r="Q600" s="142"/>
      <c r="R600" s="140"/>
      <c r="S600" s="142"/>
      <c r="T600" s="140"/>
    </row>
    <row r="601" spans="3:20" ht="39.75" customHeight="1">
      <c r="C601" s="196">
        <v>598</v>
      </c>
      <c r="D601" s="127"/>
      <c r="E601" s="129"/>
      <c r="F601" s="128"/>
      <c r="G601" s="129"/>
      <c r="H601" s="129"/>
      <c r="I601" s="166"/>
      <c r="J601" s="180"/>
      <c r="K601" s="128"/>
      <c r="L601" s="127"/>
      <c r="M601" s="168"/>
      <c r="N601" s="173"/>
      <c r="O601" s="141"/>
      <c r="P601" s="140"/>
      <c r="Q601" s="142"/>
      <c r="R601" s="140"/>
      <c r="S601" s="142"/>
      <c r="T601" s="140"/>
    </row>
    <row r="602" spans="3:20" ht="39.75" customHeight="1">
      <c r="C602" s="196">
        <v>599</v>
      </c>
      <c r="D602" s="127"/>
      <c r="E602" s="129"/>
      <c r="F602" s="128"/>
      <c r="G602" s="129"/>
      <c r="H602" s="129"/>
      <c r="I602" s="166"/>
      <c r="J602" s="180"/>
      <c r="K602" s="128"/>
      <c r="L602" s="127"/>
      <c r="M602" s="168"/>
      <c r="N602" s="173"/>
      <c r="O602" s="141"/>
      <c r="P602" s="140"/>
      <c r="Q602" s="142"/>
      <c r="R602" s="140"/>
      <c r="S602" s="142"/>
      <c r="T602" s="140"/>
    </row>
    <row r="603" spans="3:20" ht="39.75" customHeight="1">
      <c r="C603" s="196">
        <v>600</v>
      </c>
      <c r="D603" s="127"/>
      <c r="E603" s="129"/>
      <c r="F603" s="128"/>
      <c r="G603" s="129"/>
      <c r="H603" s="129"/>
      <c r="I603" s="166"/>
      <c r="J603" s="180"/>
      <c r="K603" s="128"/>
      <c r="L603" s="127"/>
      <c r="M603" s="168"/>
      <c r="N603" s="173"/>
      <c r="O603" s="141"/>
      <c r="P603" s="140"/>
      <c r="Q603" s="142"/>
      <c r="R603" s="140"/>
      <c r="S603" s="142"/>
      <c r="T603" s="140"/>
    </row>
    <row r="604" spans="3:20" ht="39.75" customHeight="1">
      <c r="C604" s="196">
        <v>601</v>
      </c>
      <c r="D604" s="127"/>
      <c r="E604" s="129"/>
      <c r="F604" s="128"/>
      <c r="G604" s="129"/>
      <c r="H604" s="129"/>
      <c r="I604" s="166"/>
      <c r="J604" s="180"/>
      <c r="K604" s="128"/>
      <c r="L604" s="127"/>
      <c r="M604" s="168"/>
      <c r="N604" s="173"/>
      <c r="O604" s="141"/>
      <c r="P604" s="140"/>
      <c r="Q604" s="142"/>
      <c r="R604" s="140"/>
      <c r="S604" s="142"/>
      <c r="T604" s="140"/>
    </row>
    <row r="605" spans="3:20" ht="39.75" customHeight="1">
      <c r="C605" s="196">
        <v>602</v>
      </c>
      <c r="D605" s="127"/>
      <c r="E605" s="129"/>
      <c r="F605" s="128"/>
      <c r="G605" s="129"/>
      <c r="H605" s="129"/>
      <c r="I605" s="166"/>
      <c r="J605" s="180"/>
      <c r="K605" s="128"/>
      <c r="L605" s="127"/>
      <c r="M605" s="168"/>
      <c r="N605" s="173"/>
      <c r="O605" s="141"/>
      <c r="P605" s="140"/>
      <c r="Q605" s="142"/>
      <c r="R605" s="140"/>
      <c r="S605" s="142"/>
      <c r="T605" s="140"/>
    </row>
    <row r="606" spans="3:20" ht="39.75" customHeight="1">
      <c r="C606" s="196">
        <v>603</v>
      </c>
      <c r="D606" s="127"/>
      <c r="E606" s="129"/>
      <c r="F606" s="128"/>
      <c r="G606" s="129"/>
      <c r="H606" s="129"/>
      <c r="I606" s="166"/>
      <c r="J606" s="180"/>
      <c r="K606" s="128"/>
      <c r="L606" s="127"/>
      <c r="M606" s="168"/>
      <c r="N606" s="173"/>
      <c r="O606" s="141"/>
      <c r="P606" s="140"/>
      <c r="Q606" s="142"/>
      <c r="R606" s="140"/>
      <c r="S606" s="142"/>
      <c r="T606" s="140"/>
    </row>
    <row r="607" spans="3:20" ht="39.75" customHeight="1">
      <c r="C607" s="196">
        <v>604</v>
      </c>
      <c r="D607" s="127"/>
      <c r="E607" s="129"/>
      <c r="F607" s="128"/>
      <c r="G607" s="129"/>
      <c r="H607" s="129"/>
      <c r="I607" s="166"/>
      <c r="J607" s="180"/>
      <c r="K607" s="128"/>
      <c r="L607" s="127"/>
      <c r="M607" s="168"/>
      <c r="N607" s="173"/>
      <c r="O607" s="141"/>
      <c r="P607" s="140"/>
      <c r="Q607" s="142"/>
      <c r="R607" s="140"/>
      <c r="S607" s="142"/>
      <c r="T607" s="140"/>
    </row>
    <row r="608" spans="3:20" ht="39.75" customHeight="1">
      <c r="C608" s="196">
        <v>605</v>
      </c>
      <c r="D608" s="127"/>
      <c r="E608" s="129"/>
      <c r="F608" s="128"/>
      <c r="G608" s="129"/>
      <c r="H608" s="129"/>
      <c r="I608" s="166"/>
      <c r="J608" s="180"/>
      <c r="K608" s="128"/>
      <c r="L608" s="127"/>
      <c r="M608" s="168"/>
      <c r="N608" s="173"/>
      <c r="O608" s="141"/>
      <c r="P608" s="140"/>
      <c r="Q608" s="142"/>
      <c r="R608" s="140"/>
      <c r="S608" s="142"/>
      <c r="T608" s="140"/>
    </row>
    <row r="609" spans="3:20" ht="39.75" customHeight="1">
      <c r="C609" s="196">
        <v>606</v>
      </c>
      <c r="D609" s="127"/>
      <c r="E609" s="129"/>
      <c r="F609" s="128"/>
      <c r="G609" s="129"/>
      <c r="H609" s="129"/>
      <c r="I609" s="166"/>
      <c r="J609" s="180"/>
      <c r="K609" s="128"/>
      <c r="L609" s="127"/>
      <c r="M609" s="168"/>
      <c r="N609" s="173"/>
      <c r="O609" s="141"/>
      <c r="P609" s="140"/>
      <c r="Q609" s="142"/>
      <c r="R609" s="140"/>
      <c r="S609" s="142"/>
      <c r="T609" s="140"/>
    </row>
    <row r="610" spans="3:20" ht="39.75" customHeight="1">
      <c r="C610" s="196">
        <v>607</v>
      </c>
      <c r="D610" s="127"/>
      <c r="E610" s="129"/>
      <c r="F610" s="128"/>
      <c r="G610" s="129"/>
      <c r="H610" s="129"/>
      <c r="I610" s="166"/>
      <c r="J610" s="180"/>
      <c r="K610" s="128"/>
      <c r="L610" s="127"/>
      <c r="M610" s="168"/>
      <c r="N610" s="173"/>
      <c r="O610" s="141"/>
      <c r="P610" s="140"/>
      <c r="Q610" s="142"/>
      <c r="R610" s="140"/>
      <c r="S610" s="142"/>
      <c r="T610" s="140"/>
    </row>
    <row r="611" spans="3:20" ht="39.75" customHeight="1">
      <c r="C611" s="196">
        <v>608</v>
      </c>
      <c r="D611" s="127"/>
      <c r="E611" s="129"/>
      <c r="F611" s="128"/>
      <c r="G611" s="129"/>
      <c r="H611" s="129"/>
      <c r="I611" s="166"/>
      <c r="J611" s="180"/>
      <c r="K611" s="128"/>
      <c r="L611" s="127"/>
      <c r="M611" s="168"/>
      <c r="N611" s="173"/>
      <c r="O611" s="141"/>
      <c r="P611" s="140"/>
      <c r="Q611" s="142"/>
      <c r="R611" s="140"/>
      <c r="S611" s="142"/>
      <c r="T611" s="140"/>
    </row>
    <row r="612" spans="3:20" ht="39.75" customHeight="1">
      <c r="C612" s="196">
        <v>609</v>
      </c>
      <c r="D612" s="127"/>
      <c r="E612" s="129"/>
      <c r="F612" s="128"/>
      <c r="G612" s="129"/>
      <c r="H612" s="129"/>
      <c r="I612" s="166"/>
      <c r="J612" s="180"/>
      <c r="K612" s="128"/>
      <c r="L612" s="127"/>
      <c r="M612" s="168"/>
      <c r="N612" s="173"/>
      <c r="O612" s="141"/>
      <c r="P612" s="140"/>
      <c r="Q612" s="142"/>
      <c r="R612" s="140"/>
      <c r="S612" s="142"/>
      <c r="T612" s="140"/>
    </row>
    <row r="613" spans="3:20" ht="39.75" customHeight="1">
      <c r="C613" s="196">
        <v>610</v>
      </c>
      <c r="D613" s="127"/>
      <c r="E613" s="129"/>
      <c r="F613" s="128"/>
      <c r="G613" s="129"/>
      <c r="H613" s="129"/>
      <c r="I613" s="166"/>
      <c r="J613" s="180"/>
      <c r="K613" s="128"/>
      <c r="L613" s="127"/>
      <c r="M613" s="168"/>
      <c r="N613" s="173"/>
      <c r="O613" s="141"/>
      <c r="P613" s="140"/>
      <c r="Q613" s="142"/>
      <c r="R613" s="140"/>
      <c r="S613" s="142"/>
      <c r="T613" s="140"/>
    </row>
    <row r="614" spans="3:20" ht="39.75" customHeight="1">
      <c r="C614" s="196">
        <v>611</v>
      </c>
      <c r="D614" s="127"/>
      <c r="E614" s="129"/>
      <c r="F614" s="128"/>
      <c r="G614" s="129"/>
      <c r="H614" s="129"/>
      <c r="I614" s="166"/>
      <c r="J614" s="180"/>
      <c r="K614" s="128"/>
      <c r="L614" s="127"/>
      <c r="M614" s="168"/>
      <c r="N614" s="173"/>
      <c r="O614" s="141"/>
      <c r="P614" s="140"/>
      <c r="Q614" s="142"/>
      <c r="R614" s="140"/>
      <c r="S614" s="142"/>
      <c r="T614" s="140"/>
    </row>
    <row r="615" spans="3:20" ht="39.75" customHeight="1">
      <c r="C615" s="196">
        <v>612</v>
      </c>
      <c r="D615" s="127"/>
      <c r="E615" s="129"/>
      <c r="F615" s="128"/>
      <c r="G615" s="129"/>
      <c r="H615" s="129"/>
      <c r="I615" s="166"/>
      <c r="J615" s="180"/>
      <c r="K615" s="128"/>
      <c r="L615" s="127"/>
      <c r="M615" s="168"/>
      <c r="N615" s="173"/>
      <c r="O615" s="141"/>
      <c r="P615" s="140"/>
      <c r="Q615" s="142"/>
      <c r="R615" s="140"/>
      <c r="S615" s="142"/>
      <c r="T615" s="140"/>
    </row>
    <row r="616" spans="3:20" ht="39.75" customHeight="1">
      <c r="C616" s="196">
        <v>613</v>
      </c>
      <c r="D616" s="127"/>
      <c r="E616" s="129"/>
      <c r="F616" s="128"/>
      <c r="G616" s="129"/>
      <c r="H616" s="129"/>
      <c r="I616" s="166"/>
      <c r="J616" s="180"/>
      <c r="K616" s="128"/>
      <c r="L616" s="127"/>
      <c r="M616" s="168"/>
      <c r="N616" s="173"/>
      <c r="O616" s="141"/>
      <c r="P616" s="140"/>
      <c r="Q616" s="142"/>
      <c r="R616" s="140"/>
      <c r="S616" s="142"/>
      <c r="T616" s="140"/>
    </row>
    <row r="617" spans="3:20" ht="39.75" customHeight="1">
      <c r="C617" s="196">
        <v>614</v>
      </c>
      <c r="D617" s="127"/>
      <c r="E617" s="129"/>
      <c r="F617" s="128"/>
      <c r="G617" s="129"/>
      <c r="H617" s="129"/>
      <c r="I617" s="166"/>
      <c r="J617" s="180"/>
      <c r="K617" s="128"/>
      <c r="L617" s="127"/>
      <c r="M617" s="168"/>
      <c r="N617" s="173"/>
      <c r="O617" s="141"/>
      <c r="P617" s="140"/>
      <c r="Q617" s="142"/>
      <c r="R617" s="140"/>
      <c r="S617" s="142"/>
      <c r="T617" s="140"/>
    </row>
    <row r="618" spans="3:20" ht="39.75" customHeight="1">
      <c r="C618" s="196">
        <v>615</v>
      </c>
      <c r="D618" s="127"/>
      <c r="E618" s="129"/>
      <c r="F618" s="128"/>
      <c r="G618" s="129"/>
      <c r="H618" s="129"/>
      <c r="I618" s="166"/>
      <c r="J618" s="180"/>
      <c r="K618" s="128"/>
      <c r="L618" s="127"/>
      <c r="M618" s="168"/>
      <c r="N618" s="173"/>
      <c r="O618" s="141"/>
      <c r="P618" s="140"/>
      <c r="Q618" s="142"/>
      <c r="R618" s="140"/>
      <c r="S618" s="142"/>
      <c r="T618" s="140"/>
    </row>
    <row r="619" spans="3:20" ht="39.75" customHeight="1">
      <c r="C619" s="196">
        <v>616</v>
      </c>
      <c r="D619" s="127"/>
      <c r="E619" s="129"/>
      <c r="F619" s="128"/>
      <c r="G619" s="129"/>
      <c r="H619" s="129"/>
      <c r="I619" s="166"/>
      <c r="J619" s="180"/>
      <c r="K619" s="128"/>
      <c r="L619" s="127"/>
      <c r="M619" s="168"/>
      <c r="N619" s="173"/>
      <c r="O619" s="141"/>
      <c r="P619" s="140"/>
      <c r="Q619" s="142"/>
      <c r="R619" s="140"/>
      <c r="S619" s="142"/>
      <c r="T619" s="140"/>
    </row>
    <row r="620" spans="3:20" ht="39.75" customHeight="1">
      <c r="C620" s="196">
        <v>617</v>
      </c>
      <c r="D620" s="127"/>
      <c r="E620" s="129"/>
      <c r="F620" s="128"/>
      <c r="G620" s="129"/>
      <c r="H620" s="129"/>
      <c r="I620" s="166"/>
      <c r="J620" s="180"/>
      <c r="K620" s="128"/>
      <c r="L620" s="127"/>
      <c r="M620" s="168"/>
      <c r="N620" s="173"/>
      <c r="O620" s="141"/>
      <c r="P620" s="140"/>
      <c r="Q620" s="142"/>
      <c r="R620" s="140"/>
      <c r="S620" s="142"/>
      <c r="T620" s="140"/>
    </row>
    <row r="621" spans="3:20" ht="39.75" customHeight="1">
      <c r="C621" s="196">
        <v>618</v>
      </c>
      <c r="D621" s="127"/>
      <c r="E621" s="129"/>
      <c r="F621" s="128"/>
      <c r="G621" s="129"/>
      <c r="H621" s="129"/>
      <c r="I621" s="166"/>
      <c r="J621" s="180"/>
      <c r="K621" s="128"/>
      <c r="L621" s="127"/>
      <c r="M621" s="168"/>
      <c r="N621" s="173"/>
      <c r="O621" s="141"/>
      <c r="P621" s="140"/>
      <c r="Q621" s="142"/>
      <c r="R621" s="140"/>
      <c r="S621" s="142"/>
      <c r="T621" s="140"/>
    </row>
    <row r="622" spans="3:20" ht="39.75" customHeight="1">
      <c r="C622" s="196">
        <v>619</v>
      </c>
      <c r="D622" s="127"/>
      <c r="E622" s="129"/>
      <c r="F622" s="128"/>
      <c r="G622" s="129"/>
      <c r="H622" s="129"/>
      <c r="I622" s="166"/>
      <c r="J622" s="180"/>
      <c r="K622" s="128"/>
      <c r="L622" s="127"/>
      <c r="M622" s="168"/>
      <c r="N622" s="173"/>
      <c r="O622" s="141"/>
      <c r="P622" s="140"/>
      <c r="Q622" s="142"/>
      <c r="R622" s="140"/>
      <c r="S622" s="142"/>
      <c r="T622" s="140"/>
    </row>
    <row r="623" spans="3:20" ht="39.75" customHeight="1">
      <c r="C623" s="196">
        <v>620</v>
      </c>
      <c r="D623" s="127"/>
      <c r="E623" s="129"/>
      <c r="F623" s="128"/>
      <c r="G623" s="129"/>
      <c r="H623" s="129"/>
      <c r="I623" s="166"/>
      <c r="J623" s="180"/>
      <c r="K623" s="128"/>
      <c r="L623" s="127"/>
      <c r="M623" s="168"/>
      <c r="N623" s="173"/>
      <c r="O623" s="141"/>
      <c r="P623" s="140"/>
      <c r="Q623" s="142"/>
      <c r="R623" s="140"/>
      <c r="S623" s="142"/>
      <c r="T623" s="140"/>
    </row>
    <row r="624" spans="3:20" ht="39.75" customHeight="1">
      <c r="C624" s="196">
        <v>621</v>
      </c>
      <c r="D624" s="127"/>
      <c r="E624" s="129"/>
      <c r="F624" s="128"/>
      <c r="G624" s="129"/>
      <c r="H624" s="129"/>
      <c r="I624" s="166"/>
      <c r="J624" s="180"/>
      <c r="K624" s="128"/>
      <c r="L624" s="127"/>
      <c r="M624" s="168"/>
      <c r="N624" s="173"/>
      <c r="O624" s="141"/>
      <c r="P624" s="140"/>
      <c r="Q624" s="142"/>
      <c r="R624" s="140"/>
      <c r="S624" s="142"/>
      <c r="T624" s="140"/>
    </row>
    <row r="625" spans="3:20" ht="39.75" customHeight="1">
      <c r="C625" s="196">
        <v>622</v>
      </c>
      <c r="D625" s="127"/>
      <c r="E625" s="129"/>
      <c r="F625" s="128"/>
      <c r="G625" s="129"/>
      <c r="H625" s="129"/>
      <c r="I625" s="166"/>
      <c r="J625" s="180"/>
      <c r="K625" s="128"/>
      <c r="L625" s="127"/>
      <c r="M625" s="168"/>
      <c r="N625" s="173"/>
      <c r="O625" s="141"/>
      <c r="P625" s="140"/>
      <c r="Q625" s="142"/>
      <c r="R625" s="140"/>
      <c r="S625" s="142"/>
      <c r="T625" s="140"/>
    </row>
    <row r="626" spans="3:20" ht="39.75" customHeight="1">
      <c r="C626" s="196">
        <v>623</v>
      </c>
      <c r="D626" s="127"/>
      <c r="E626" s="129"/>
      <c r="F626" s="128"/>
      <c r="G626" s="129"/>
      <c r="H626" s="129"/>
      <c r="I626" s="166"/>
      <c r="J626" s="180"/>
      <c r="K626" s="128"/>
      <c r="L626" s="127"/>
      <c r="M626" s="168"/>
      <c r="N626" s="173"/>
      <c r="O626" s="141"/>
      <c r="P626" s="140"/>
      <c r="Q626" s="142"/>
      <c r="R626" s="140"/>
      <c r="S626" s="142"/>
      <c r="T626" s="140"/>
    </row>
    <row r="627" spans="3:20" ht="39.75" customHeight="1">
      <c r="C627" s="196">
        <v>624</v>
      </c>
      <c r="D627" s="127"/>
      <c r="E627" s="129"/>
      <c r="F627" s="128"/>
      <c r="G627" s="129"/>
      <c r="H627" s="129"/>
      <c r="I627" s="166"/>
      <c r="J627" s="180"/>
      <c r="K627" s="128"/>
      <c r="L627" s="127"/>
      <c r="M627" s="168"/>
      <c r="N627" s="173"/>
      <c r="O627" s="141"/>
      <c r="P627" s="140"/>
      <c r="Q627" s="142"/>
      <c r="R627" s="140"/>
      <c r="S627" s="142"/>
      <c r="T627" s="140"/>
    </row>
    <row r="628" spans="3:20" ht="39.75" customHeight="1">
      <c r="C628" s="196">
        <v>625</v>
      </c>
      <c r="D628" s="127"/>
      <c r="E628" s="129"/>
      <c r="F628" s="128"/>
      <c r="G628" s="129"/>
      <c r="H628" s="129"/>
      <c r="I628" s="166"/>
      <c r="J628" s="180"/>
      <c r="K628" s="128"/>
      <c r="L628" s="127"/>
      <c r="M628" s="168"/>
      <c r="N628" s="173"/>
      <c r="O628" s="141"/>
      <c r="P628" s="140"/>
      <c r="Q628" s="142"/>
      <c r="R628" s="140"/>
      <c r="S628" s="142"/>
      <c r="T628" s="140"/>
    </row>
    <row r="629" spans="3:20" ht="39.75" customHeight="1">
      <c r="C629" s="196">
        <v>626</v>
      </c>
      <c r="D629" s="127"/>
      <c r="E629" s="129"/>
      <c r="F629" s="128"/>
      <c r="G629" s="129"/>
      <c r="H629" s="129"/>
      <c r="I629" s="166"/>
      <c r="J629" s="180"/>
      <c r="K629" s="128"/>
      <c r="L629" s="127"/>
      <c r="M629" s="168"/>
      <c r="N629" s="173"/>
      <c r="O629" s="141"/>
      <c r="P629" s="140"/>
      <c r="Q629" s="142"/>
      <c r="R629" s="140"/>
      <c r="S629" s="142"/>
      <c r="T629" s="140"/>
    </row>
    <row r="630" spans="3:20" ht="39.75" customHeight="1">
      <c r="C630" s="196">
        <v>627</v>
      </c>
      <c r="D630" s="127"/>
      <c r="E630" s="129"/>
      <c r="F630" s="128"/>
      <c r="G630" s="129"/>
      <c r="H630" s="129"/>
      <c r="I630" s="166"/>
      <c r="J630" s="180"/>
      <c r="K630" s="128"/>
      <c r="L630" s="127"/>
      <c r="M630" s="168"/>
      <c r="N630" s="173"/>
      <c r="O630" s="141"/>
      <c r="P630" s="140"/>
      <c r="Q630" s="142"/>
      <c r="R630" s="140"/>
      <c r="S630" s="142"/>
      <c r="T630" s="140"/>
    </row>
    <row r="631" spans="3:20" ht="39.75" customHeight="1">
      <c r="C631" s="196">
        <v>628</v>
      </c>
      <c r="D631" s="127"/>
      <c r="E631" s="129"/>
      <c r="F631" s="128"/>
      <c r="G631" s="129"/>
      <c r="H631" s="129"/>
      <c r="I631" s="166"/>
      <c r="J631" s="180"/>
      <c r="K631" s="128"/>
      <c r="L631" s="127"/>
      <c r="M631" s="168"/>
      <c r="N631" s="173"/>
      <c r="O631" s="141"/>
      <c r="P631" s="140"/>
      <c r="Q631" s="142"/>
      <c r="R631" s="140"/>
      <c r="S631" s="142"/>
      <c r="T631" s="140"/>
    </row>
    <row r="632" spans="3:20" ht="39.75" customHeight="1">
      <c r="C632" s="196">
        <v>629</v>
      </c>
      <c r="D632" s="127"/>
      <c r="E632" s="129"/>
      <c r="F632" s="128"/>
      <c r="G632" s="129"/>
      <c r="H632" s="129"/>
      <c r="I632" s="166"/>
      <c r="J632" s="180"/>
      <c r="K632" s="128"/>
      <c r="L632" s="127"/>
      <c r="M632" s="168"/>
      <c r="N632" s="173"/>
      <c r="O632" s="141"/>
      <c r="P632" s="140"/>
      <c r="Q632" s="142"/>
      <c r="R632" s="140"/>
      <c r="S632" s="142"/>
      <c r="T632" s="140"/>
    </row>
    <row r="633" spans="3:20" ht="39.75" customHeight="1">
      <c r="C633" s="196">
        <v>630</v>
      </c>
      <c r="D633" s="127"/>
      <c r="E633" s="129"/>
      <c r="F633" s="128"/>
      <c r="G633" s="129"/>
      <c r="H633" s="129"/>
      <c r="I633" s="166"/>
      <c r="J633" s="180"/>
      <c r="K633" s="128"/>
      <c r="L633" s="127"/>
      <c r="M633" s="168"/>
      <c r="N633" s="173"/>
      <c r="O633" s="141"/>
      <c r="P633" s="140"/>
      <c r="Q633" s="142"/>
      <c r="R633" s="140"/>
      <c r="S633" s="142"/>
      <c r="T633" s="140"/>
    </row>
    <row r="634" spans="3:20" ht="39.75" customHeight="1">
      <c r="C634" s="196">
        <v>631</v>
      </c>
      <c r="D634" s="127"/>
      <c r="E634" s="129"/>
      <c r="F634" s="128"/>
      <c r="G634" s="129"/>
      <c r="H634" s="129"/>
      <c r="I634" s="166"/>
      <c r="J634" s="180"/>
      <c r="K634" s="128"/>
      <c r="L634" s="127"/>
      <c r="M634" s="168"/>
      <c r="N634" s="173"/>
      <c r="O634" s="141"/>
      <c r="P634" s="140"/>
      <c r="Q634" s="142"/>
      <c r="R634" s="140"/>
      <c r="S634" s="142"/>
      <c r="T634" s="140"/>
    </row>
    <row r="635" spans="3:20" ht="39.75" customHeight="1">
      <c r="C635" s="196">
        <v>632</v>
      </c>
      <c r="D635" s="127"/>
      <c r="E635" s="129"/>
      <c r="F635" s="128"/>
      <c r="G635" s="129"/>
      <c r="H635" s="129"/>
      <c r="I635" s="166"/>
      <c r="J635" s="180"/>
      <c r="K635" s="128"/>
      <c r="L635" s="127"/>
      <c r="M635" s="168"/>
      <c r="N635" s="173"/>
      <c r="O635" s="141"/>
      <c r="P635" s="140"/>
      <c r="Q635" s="142"/>
      <c r="R635" s="140"/>
      <c r="S635" s="142"/>
      <c r="T635" s="140"/>
    </row>
    <row r="636" spans="3:20" ht="39.75" customHeight="1">
      <c r="C636" s="196">
        <v>633</v>
      </c>
      <c r="D636" s="127"/>
      <c r="E636" s="129"/>
      <c r="F636" s="128"/>
      <c r="G636" s="129"/>
      <c r="H636" s="129"/>
      <c r="I636" s="166"/>
      <c r="J636" s="180"/>
      <c r="K636" s="128"/>
      <c r="L636" s="127"/>
      <c r="M636" s="168"/>
      <c r="N636" s="173"/>
      <c r="O636" s="141"/>
      <c r="P636" s="140"/>
      <c r="Q636" s="142"/>
      <c r="R636" s="140"/>
      <c r="S636" s="142"/>
      <c r="T636" s="140"/>
    </row>
    <row r="637" spans="3:20" ht="39.75" customHeight="1">
      <c r="C637" s="196">
        <v>634</v>
      </c>
      <c r="D637" s="127"/>
      <c r="E637" s="129"/>
      <c r="F637" s="128"/>
      <c r="G637" s="129"/>
      <c r="H637" s="129"/>
      <c r="I637" s="166"/>
      <c r="J637" s="180"/>
      <c r="K637" s="128"/>
      <c r="L637" s="127"/>
      <c r="M637" s="168"/>
      <c r="N637" s="173"/>
      <c r="O637" s="141"/>
      <c r="P637" s="140"/>
      <c r="Q637" s="142"/>
      <c r="R637" s="140"/>
      <c r="S637" s="142"/>
      <c r="T637" s="140"/>
    </row>
    <row r="638" spans="3:20" ht="39.75" customHeight="1">
      <c r="C638" s="196">
        <v>635</v>
      </c>
      <c r="D638" s="127"/>
      <c r="E638" s="129"/>
      <c r="F638" s="128"/>
      <c r="G638" s="129"/>
      <c r="H638" s="129"/>
      <c r="I638" s="166"/>
      <c r="J638" s="180"/>
      <c r="K638" s="128"/>
      <c r="L638" s="127"/>
      <c r="M638" s="168"/>
      <c r="N638" s="173"/>
      <c r="O638" s="141"/>
      <c r="P638" s="140"/>
      <c r="Q638" s="142"/>
      <c r="R638" s="140"/>
      <c r="S638" s="142"/>
      <c r="T638" s="140"/>
    </row>
    <row r="639" spans="3:20" ht="39.75" customHeight="1">
      <c r="C639" s="196">
        <v>636</v>
      </c>
      <c r="D639" s="127"/>
      <c r="E639" s="129"/>
      <c r="F639" s="128"/>
      <c r="G639" s="129"/>
      <c r="H639" s="129"/>
      <c r="I639" s="166"/>
      <c r="J639" s="180"/>
      <c r="K639" s="128"/>
      <c r="L639" s="127"/>
      <c r="M639" s="168"/>
      <c r="N639" s="173"/>
      <c r="O639" s="141"/>
      <c r="P639" s="140"/>
      <c r="Q639" s="142"/>
      <c r="R639" s="140"/>
      <c r="S639" s="142"/>
      <c r="T639" s="140"/>
    </row>
    <row r="640" spans="3:20" ht="39.75" customHeight="1">
      <c r="C640" s="196">
        <v>637</v>
      </c>
      <c r="D640" s="127"/>
      <c r="E640" s="129"/>
      <c r="F640" s="128"/>
      <c r="G640" s="129"/>
      <c r="H640" s="129"/>
      <c r="I640" s="166"/>
      <c r="J640" s="180"/>
      <c r="K640" s="128"/>
      <c r="L640" s="127"/>
      <c r="M640" s="168"/>
      <c r="N640" s="173"/>
      <c r="O640" s="141"/>
      <c r="P640" s="140"/>
      <c r="Q640" s="142"/>
      <c r="R640" s="140"/>
      <c r="S640" s="142"/>
      <c r="T640" s="140"/>
    </row>
    <row r="641" spans="3:20" ht="39.75" customHeight="1">
      <c r="C641" s="196">
        <v>638</v>
      </c>
      <c r="D641" s="127"/>
      <c r="E641" s="129"/>
      <c r="F641" s="128"/>
      <c r="G641" s="129"/>
      <c r="H641" s="129"/>
      <c r="I641" s="166"/>
      <c r="J641" s="180"/>
      <c r="K641" s="128"/>
      <c r="L641" s="127"/>
      <c r="M641" s="168"/>
      <c r="N641" s="173"/>
      <c r="O641" s="141"/>
      <c r="P641" s="140"/>
      <c r="Q641" s="142"/>
      <c r="R641" s="140"/>
      <c r="S641" s="142"/>
      <c r="T641" s="140"/>
    </row>
    <row r="642" spans="3:20" ht="39.75" customHeight="1">
      <c r="C642" s="196">
        <v>639</v>
      </c>
      <c r="D642" s="127"/>
      <c r="E642" s="129"/>
      <c r="F642" s="128"/>
      <c r="G642" s="129"/>
      <c r="H642" s="129"/>
      <c r="I642" s="166"/>
      <c r="J642" s="180"/>
      <c r="K642" s="128"/>
      <c r="L642" s="127"/>
      <c r="M642" s="168"/>
      <c r="N642" s="173"/>
      <c r="O642" s="141"/>
      <c r="P642" s="140"/>
      <c r="Q642" s="142"/>
      <c r="R642" s="140"/>
      <c r="S642" s="142"/>
      <c r="T642" s="140"/>
    </row>
    <row r="643" spans="3:20" ht="39.75" customHeight="1">
      <c r="C643" s="196">
        <v>640</v>
      </c>
      <c r="D643" s="127"/>
      <c r="E643" s="129"/>
      <c r="F643" s="128"/>
      <c r="G643" s="129"/>
      <c r="H643" s="129"/>
      <c r="I643" s="166"/>
      <c r="J643" s="180"/>
      <c r="K643" s="128"/>
      <c r="L643" s="127"/>
      <c r="M643" s="168"/>
      <c r="N643" s="173"/>
      <c r="O643" s="141"/>
      <c r="P643" s="140"/>
      <c r="Q643" s="142"/>
      <c r="R643" s="140"/>
      <c r="S643" s="142"/>
      <c r="T643" s="140"/>
    </row>
    <row r="644" spans="3:20" ht="39.75" customHeight="1">
      <c r="C644" s="196">
        <v>641</v>
      </c>
      <c r="D644" s="127"/>
      <c r="E644" s="129"/>
      <c r="F644" s="128"/>
      <c r="G644" s="129"/>
      <c r="H644" s="129"/>
      <c r="I644" s="166"/>
      <c r="J644" s="180"/>
      <c r="K644" s="128"/>
      <c r="L644" s="127"/>
      <c r="M644" s="168"/>
      <c r="N644" s="173"/>
      <c r="O644" s="141"/>
      <c r="P644" s="140"/>
      <c r="Q644" s="142"/>
      <c r="R644" s="140"/>
      <c r="S644" s="142"/>
      <c r="T644" s="140"/>
    </row>
    <row r="645" spans="3:20" ht="39.75" customHeight="1">
      <c r="C645" s="196">
        <v>642</v>
      </c>
      <c r="D645" s="127"/>
      <c r="E645" s="129"/>
      <c r="F645" s="128"/>
      <c r="G645" s="129"/>
      <c r="H645" s="129"/>
      <c r="I645" s="166"/>
      <c r="J645" s="180"/>
      <c r="K645" s="128"/>
      <c r="L645" s="127"/>
      <c r="M645" s="168"/>
      <c r="N645" s="173"/>
      <c r="O645" s="141"/>
      <c r="P645" s="140"/>
      <c r="Q645" s="142"/>
      <c r="R645" s="140"/>
      <c r="S645" s="142"/>
      <c r="T645" s="140"/>
    </row>
    <row r="646" spans="3:20" ht="39.75" customHeight="1">
      <c r="C646" s="196">
        <v>643</v>
      </c>
      <c r="D646" s="127"/>
      <c r="E646" s="129"/>
      <c r="F646" s="128"/>
      <c r="G646" s="129"/>
      <c r="H646" s="129"/>
      <c r="I646" s="166"/>
      <c r="J646" s="180"/>
      <c r="K646" s="128"/>
      <c r="L646" s="127"/>
      <c r="M646" s="168"/>
      <c r="N646" s="173"/>
      <c r="O646" s="141"/>
      <c r="P646" s="140"/>
      <c r="Q646" s="142"/>
      <c r="R646" s="140"/>
      <c r="S646" s="142"/>
      <c r="T646" s="140"/>
    </row>
    <row r="647" spans="3:20" ht="39.75" customHeight="1">
      <c r="C647" s="196">
        <v>644</v>
      </c>
      <c r="D647" s="127"/>
      <c r="E647" s="129"/>
      <c r="F647" s="128"/>
      <c r="G647" s="129"/>
      <c r="H647" s="129"/>
      <c r="I647" s="166"/>
      <c r="J647" s="180"/>
      <c r="K647" s="128"/>
      <c r="L647" s="127"/>
      <c r="M647" s="168"/>
      <c r="N647" s="173"/>
      <c r="O647" s="141"/>
      <c r="P647" s="140"/>
      <c r="Q647" s="142"/>
      <c r="R647" s="140"/>
      <c r="S647" s="142"/>
      <c r="T647" s="140"/>
    </row>
    <row r="648" spans="3:20" ht="39.75" customHeight="1">
      <c r="C648" s="196">
        <v>645</v>
      </c>
      <c r="D648" s="127"/>
      <c r="E648" s="129"/>
      <c r="F648" s="128"/>
      <c r="G648" s="129"/>
      <c r="H648" s="129"/>
      <c r="I648" s="166"/>
      <c r="J648" s="180"/>
      <c r="K648" s="128"/>
      <c r="L648" s="127"/>
      <c r="M648" s="168"/>
      <c r="N648" s="173"/>
      <c r="O648" s="141"/>
      <c r="P648" s="140"/>
      <c r="Q648" s="142"/>
      <c r="R648" s="140"/>
      <c r="S648" s="142"/>
      <c r="T648" s="140"/>
    </row>
    <row r="649" spans="3:20" ht="39.75" customHeight="1">
      <c r="C649" s="196">
        <v>646</v>
      </c>
      <c r="D649" s="127"/>
      <c r="E649" s="129"/>
      <c r="F649" s="128"/>
      <c r="G649" s="129"/>
      <c r="H649" s="129"/>
      <c r="I649" s="166"/>
      <c r="J649" s="180"/>
      <c r="K649" s="128"/>
      <c r="L649" s="127"/>
      <c r="M649" s="168"/>
      <c r="N649" s="173"/>
      <c r="O649" s="141"/>
      <c r="P649" s="140"/>
      <c r="Q649" s="142"/>
      <c r="R649" s="140"/>
      <c r="S649" s="142"/>
      <c r="T649" s="140"/>
    </row>
    <row r="650" spans="3:20" ht="39.75" customHeight="1">
      <c r="C650" s="196">
        <v>647</v>
      </c>
      <c r="D650" s="127"/>
      <c r="E650" s="129"/>
      <c r="F650" s="128"/>
      <c r="G650" s="129"/>
      <c r="H650" s="129"/>
      <c r="I650" s="166"/>
      <c r="J650" s="180"/>
      <c r="K650" s="128"/>
      <c r="L650" s="127"/>
      <c r="M650" s="168"/>
      <c r="N650" s="173"/>
      <c r="O650" s="141"/>
      <c r="P650" s="140"/>
      <c r="Q650" s="142"/>
      <c r="R650" s="140"/>
      <c r="S650" s="142"/>
      <c r="T650" s="140"/>
    </row>
    <row r="651" spans="3:20" ht="39.75" customHeight="1">
      <c r="C651" s="196">
        <v>648</v>
      </c>
      <c r="D651" s="127"/>
      <c r="E651" s="129"/>
      <c r="F651" s="128"/>
      <c r="G651" s="129"/>
      <c r="H651" s="129"/>
      <c r="I651" s="166"/>
      <c r="J651" s="180"/>
      <c r="K651" s="128"/>
      <c r="L651" s="127"/>
      <c r="M651" s="168"/>
      <c r="N651" s="173"/>
      <c r="O651" s="141"/>
      <c r="P651" s="140"/>
      <c r="Q651" s="142"/>
      <c r="R651" s="140"/>
      <c r="S651" s="142"/>
      <c r="T651" s="140"/>
    </row>
    <row r="652" spans="3:20" ht="39.75" customHeight="1">
      <c r="C652" s="196">
        <v>649</v>
      </c>
      <c r="D652" s="127"/>
      <c r="E652" s="129"/>
      <c r="F652" s="128"/>
      <c r="G652" s="129"/>
      <c r="H652" s="129"/>
      <c r="I652" s="166"/>
      <c r="J652" s="180"/>
      <c r="K652" s="128"/>
      <c r="L652" s="127"/>
      <c r="M652" s="168"/>
      <c r="N652" s="173"/>
      <c r="O652" s="141"/>
      <c r="P652" s="140"/>
      <c r="Q652" s="142"/>
      <c r="R652" s="140"/>
      <c r="S652" s="142"/>
      <c r="T652" s="140"/>
    </row>
    <row r="653" spans="3:20" ht="39.75" customHeight="1">
      <c r="C653" s="196">
        <v>650</v>
      </c>
      <c r="D653" s="127"/>
      <c r="E653" s="129"/>
      <c r="F653" s="128"/>
      <c r="G653" s="129"/>
      <c r="H653" s="129"/>
      <c r="I653" s="166"/>
      <c r="J653" s="180"/>
      <c r="K653" s="128"/>
      <c r="L653" s="127"/>
      <c r="M653" s="168"/>
      <c r="N653" s="173"/>
      <c r="O653" s="141"/>
      <c r="P653" s="140"/>
      <c r="Q653" s="142"/>
      <c r="R653" s="140"/>
      <c r="S653" s="142"/>
      <c r="T653" s="140"/>
    </row>
    <row r="654" spans="3:20" ht="39.75" customHeight="1">
      <c r="C654" s="196">
        <v>651</v>
      </c>
      <c r="D654" s="127"/>
      <c r="E654" s="129"/>
      <c r="F654" s="128"/>
      <c r="G654" s="129"/>
      <c r="H654" s="129"/>
      <c r="I654" s="166"/>
      <c r="J654" s="180"/>
      <c r="K654" s="128"/>
      <c r="L654" s="127"/>
      <c r="M654" s="168"/>
      <c r="N654" s="173"/>
      <c r="O654" s="141"/>
      <c r="P654" s="140"/>
      <c r="Q654" s="142"/>
      <c r="R654" s="140"/>
      <c r="S654" s="142"/>
      <c r="T654" s="140"/>
    </row>
    <row r="655" spans="3:20" ht="39.75" customHeight="1">
      <c r="C655" s="196">
        <v>652</v>
      </c>
      <c r="D655" s="127"/>
      <c r="E655" s="129"/>
      <c r="F655" s="128"/>
      <c r="G655" s="129"/>
      <c r="H655" s="129"/>
      <c r="I655" s="166"/>
      <c r="J655" s="180"/>
      <c r="K655" s="128"/>
      <c r="L655" s="127"/>
      <c r="M655" s="168"/>
      <c r="N655" s="173"/>
      <c r="O655" s="141"/>
      <c r="P655" s="140"/>
      <c r="Q655" s="142"/>
      <c r="R655" s="140"/>
      <c r="S655" s="142"/>
      <c r="T655" s="140"/>
    </row>
    <row r="656" spans="3:20" ht="39.75" customHeight="1">
      <c r="C656" s="196">
        <v>653</v>
      </c>
      <c r="D656" s="127"/>
      <c r="E656" s="129"/>
      <c r="F656" s="128"/>
      <c r="G656" s="129"/>
      <c r="H656" s="129"/>
      <c r="I656" s="166"/>
      <c r="J656" s="180"/>
      <c r="K656" s="128"/>
      <c r="L656" s="127"/>
      <c r="M656" s="168"/>
      <c r="N656" s="173"/>
      <c r="O656" s="141"/>
      <c r="P656" s="140"/>
      <c r="Q656" s="142"/>
      <c r="R656" s="140"/>
      <c r="S656" s="142"/>
      <c r="T656" s="140"/>
    </row>
    <row r="657" spans="3:20" ht="39.75" customHeight="1">
      <c r="C657" s="196">
        <v>654</v>
      </c>
      <c r="D657" s="127"/>
      <c r="E657" s="129"/>
      <c r="F657" s="128"/>
      <c r="G657" s="129"/>
      <c r="H657" s="129"/>
      <c r="I657" s="166"/>
      <c r="J657" s="180"/>
      <c r="K657" s="128"/>
      <c r="L657" s="127"/>
      <c r="M657" s="168"/>
      <c r="N657" s="173"/>
      <c r="O657" s="141"/>
      <c r="P657" s="140"/>
      <c r="Q657" s="142"/>
      <c r="R657" s="140"/>
      <c r="S657" s="142"/>
      <c r="T657" s="140"/>
    </row>
    <row r="658" spans="3:20" ht="39.75" customHeight="1">
      <c r="C658" s="196">
        <v>655</v>
      </c>
      <c r="D658" s="127"/>
      <c r="E658" s="129"/>
      <c r="F658" s="128"/>
      <c r="G658" s="129"/>
      <c r="H658" s="129"/>
      <c r="I658" s="166"/>
      <c r="J658" s="180"/>
      <c r="K658" s="128"/>
      <c r="L658" s="127"/>
      <c r="M658" s="168"/>
      <c r="N658" s="173"/>
      <c r="O658" s="141"/>
      <c r="P658" s="140"/>
      <c r="Q658" s="142"/>
      <c r="R658" s="140"/>
      <c r="S658" s="142"/>
      <c r="T658" s="140"/>
    </row>
    <row r="659" spans="3:20" ht="39.75" customHeight="1">
      <c r="C659" s="196">
        <v>656</v>
      </c>
      <c r="D659" s="127"/>
      <c r="E659" s="129"/>
      <c r="F659" s="128"/>
      <c r="G659" s="129"/>
      <c r="H659" s="129"/>
      <c r="I659" s="166"/>
      <c r="J659" s="180"/>
      <c r="K659" s="128"/>
      <c r="L659" s="127"/>
      <c r="M659" s="168"/>
      <c r="N659" s="173"/>
      <c r="O659" s="141"/>
      <c r="P659" s="140"/>
      <c r="Q659" s="142"/>
      <c r="R659" s="140"/>
      <c r="S659" s="142"/>
      <c r="T659" s="140"/>
    </row>
    <row r="660" spans="3:20" ht="39.75" customHeight="1">
      <c r="C660" s="196">
        <v>657</v>
      </c>
      <c r="D660" s="127"/>
      <c r="E660" s="129"/>
      <c r="F660" s="128"/>
      <c r="G660" s="129"/>
      <c r="H660" s="129"/>
      <c r="I660" s="166"/>
      <c r="J660" s="180"/>
      <c r="K660" s="128"/>
      <c r="L660" s="127"/>
      <c r="M660" s="168"/>
      <c r="N660" s="173"/>
      <c r="O660" s="141"/>
      <c r="P660" s="140"/>
      <c r="Q660" s="142"/>
      <c r="R660" s="140"/>
      <c r="S660" s="142"/>
      <c r="T660" s="140"/>
    </row>
    <row r="661" spans="3:20" ht="39.75" customHeight="1">
      <c r="C661" s="196">
        <v>658</v>
      </c>
      <c r="D661" s="127"/>
      <c r="E661" s="129"/>
      <c r="F661" s="128"/>
      <c r="G661" s="129"/>
      <c r="H661" s="129"/>
      <c r="I661" s="166"/>
      <c r="J661" s="180"/>
      <c r="K661" s="128"/>
      <c r="L661" s="127"/>
      <c r="M661" s="168"/>
      <c r="N661" s="173"/>
      <c r="O661" s="141"/>
      <c r="P661" s="140"/>
      <c r="Q661" s="142"/>
      <c r="R661" s="140"/>
      <c r="S661" s="142"/>
      <c r="T661" s="140"/>
    </row>
    <row r="662" spans="3:20" ht="39.75" customHeight="1">
      <c r="C662" s="196">
        <v>659</v>
      </c>
      <c r="D662" s="127"/>
      <c r="E662" s="129"/>
      <c r="F662" s="128"/>
      <c r="G662" s="129"/>
      <c r="H662" s="129"/>
      <c r="I662" s="166"/>
      <c r="J662" s="180"/>
      <c r="K662" s="128"/>
      <c r="L662" s="127"/>
      <c r="M662" s="168"/>
      <c r="N662" s="173"/>
      <c r="O662" s="141"/>
      <c r="P662" s="140"/>
      <c r="Q662" s="142"/>
      <c r="R662" s="140"/>
      <c r="S662" s="142"/>
      <c r="T662" s="140"/>
    </row>
    <row r="663" spans="3:20" ht="39.75" customHeight="1">
      <c r="C663" s="196">
        <v>660</v>
      </c>
      <c r="D663" s="127"/>
      <c r="E663" s="129"/>
      <c r="F663" s="128"/>
      <c r="G663" s="129"/>
      <c r="H663" s="129"/>
      <c r="I663" s="166"/>
      <c r="J663" s="180"/>
      <c r="K663" s="128"/>
      <c r="L663" s="127"/>
      <c r="M663" s="168"/>
      <c r="N663" s="173"/>
      <c r="O663" s="141"/>
      <c r="P663" s="140"/>
      <c r="Q663" s="142"/>
      <c r="R663" s="140"/>
      <c r="S663" s="142"/>
      <c r="T663" s="140"/>
    </row>
    <row r="664" spans="3:20" ht="39.75" customHeight="1">
      <c r="C664" s="196">
        <v>661</v>
      </c>
      <c r="D664" s="127"/>
      <c r="E664" s="129"/>
      <c r="F664" s="128"/>
      <c r="G664" s="129"/>
      <c r="H664" s="129"/>
      <c r="I664" s="166"/>
      <c r="J664" s="180"/>
      <c r="K664" s="128"/>
      <c r="L664" s="127"/>
      <c r="M664" s="168"/>
      <c r="N664" s="173"/>
      <c r="O664" s="141"/>
      <c r="P664" s="140"/>
      <c r="Q664" s="142"/>
      <c r="R664" s="140"/>
      <c r="S664" s="142"/>
      <c r="T664" s="140"/>
    </row>
    <row r="665" spans="3:20" ht="39.75" customHeight="1">
      <c r="C665" s="196">
        <v>662</v>
      </c>
      <c r="D665" s="127"/>
      <c r="E665" s="129"/>
      <c r="F665" s="128"/>
      <c r="G665" s="129"/>
      <c r="H665" s="129"/>
      <c r="I665" s="166"/>
      <c r="J665" s="180"/>
      <c r="K665" s="128"/>
      <c r="L665" s="127"/>
      <c r="M665" s="168"/>
      <c r="N665" s="173"/>
      <c r="O665" s="141"/>
      <c r="P665" s="140"/>
      <c r="Q665" s="142"/>
      <c r="R665" s="140"/>
      <c r="S665" s="142"/>
      <c r="T665" s="140"/>
    </row>
    <row r="666" spans="3:20" ht="39.75" customHeight="1">
      <c r="C666" s="196">
        <v>663</v>
      </c>
      <c r="D666" s="127"/>
      <c r="E666" s="129"/>
      <c r="F666" s="128"/>
      <c r="G666" s="129"/>
      <c r="H666" s="129"/>
      <c r="I666" s="166"/>
      <c r="J666" s="180"/>
      <c r="K666" s="128"/>
      <c r="L666" s="127"/>
      <c r="M666" s="168"/>
      <c r="N666" s="173"/>
      <c r="O666" s="141"/>
      <c r="P666" s="140"/>
      <c r="Q666" s="142"/>
      <c r="R666" s="140"/>
      <c r="S666" s="142"/>
      <c r="T666" s="140"/>
    </row>
    <row r="667" spans="3:20" ht="39.75" customHeight="1">
      <c r="C667" s="196">
        <v>664</v>
      </c>
      <c r="D667" s="127"/>
      <c r="E667" s="129"/>
      <c r="F667" s="128"/>
      <c r="G667" s="129"/>
      <c r="H667" s="129"/>
      <c r="I667" s="166"/>
      <c r="J667" s="180"/>
      <c r="K667" s="128"/>
      <c r="L667" s="127"/>
      <c r="M667" s="168"/>
      <c r="N667" s="173"/>
      <c r="O667" s="141"/>
      <c r="P667" s="140"/>
      <c r="Q667" s="142"/>
      <c r="R667" s="140"/>
      <c r="S667" s="142"/>
      <c r="T667" s="140"/>
    </row>
    <row r="668" spans="3:20" ht="39.75" customHeight="1">
      <c r="C668" s="196">
        <v>665</v>
      </c>
      <c r="D668" s="127"/>
      <c r="E668" s="129"/>
      <c r="F668" s="128"/>
      <c r="G668" s="129"/>
      <c r="H668" s="129"/>
      <c r="I668" s="166"/>
      <c r="J668" s="180"/>
      <c r="K668" s="128"/>
      <c r="L668" s="127"/>
      <c r="M668" s="168"/>
      <c r="N668" s="173"/>
      <c r="O668" s="141"/>
      <c r="P668" s="140"/>
      <c r="Q668" s="142"/>
      <c r="R668" s="140"/>
      <c r="S668" s="142"/>
      <c r="T668" s="140"/>
    </row>
    <row r="669" spans="3:20" ht="39.75" customHeight="1">
      <c r="C669" s="196">
        <v>666</v>
      </c>
      <c r="D669" s="127"/>
      <c r="E669" s="129"/>
      <c r="F669" s="128"/>
      <c r="G669" s="129"/>
      <c r="H669" s="129"/>
      <c r="I669" s="166"/>
      <c r="J669" s="180"/>
      <c r="K669" s="128"/>
      <c r="L669" s="127"/>
      <c r="M669" s="168"/>
      <c r="N669" s="173"/>
      <c r="O669" s="141"/>
      <c r="P669" s="140"/>
      <c r="Q669" s="142"/>
      <c r="R669" s="140"/>
      <c r="S669" s="142"/>
      <c r="T669" s="140"/>
    </row>
    <row r="670" spans="3:20" ht="39.75" customHeight="1">
      <c r="C670" s="196">
        <v>667</v>
      </c>
      <c r="D670" s="127"/>
      <c r="E670" s="129"/>
      <c r="F670" s="128"/>
      <c r="G670" s="129"/>
      <c r="H670" s="129"/>
      <c r="I670" s="166"/>
      <c r="J670" s="180"/>
      <c r="K670" s="128"/>
      <c r="L670" s="127"/>
      <c r="M670" s="168"/>
      <c r="N670" s="173"/>
      <c r="O670" s="141"/>
      <c r="P670" s="140"/>
      <c r="Q670" s="142"/>
      <c r="R670" s="140"/>
      <c r="S670" s="142"/>
      <c r="T670" s="140"/>
    </row>
    <row r="671" spans="3:20" ht="39.75" customHeight="1">
      <c r="C671" s="196">
        <v>668</v>
      </c>
      <c r="D671" s="127"/>
      <c r="E671" s="129"/>
      <c r="F671" s="128"/>
      <c r="G671" s="129"/>
      <c r="H671" s="129"/>
      <c r="I671" s="166"/>
      <c r="J671" s="180"/>
      <c r="K671" s="128"/>
      <c r="L671" s="127"/>
      <c r="M671" s="168"/>
      <c r="N671" s="173"/>
      <c r="O671" s="141"/>
      <c r="P671" s="140"/>
      <c r="Q671" s="142"/>
      <c r="R671" s="140"/>
      <c r="S671" s="142"/>
      <c r="T671" s="140"/>
    </row>
    <row r="672" spans="3:20" ht="39.75" customHeight="1">
      <c r="C672" s="196">
        <v>669</v>
      </c>
      <c r="D672" s="127"/>
      <c r="E672" s="129"/>
      <c r="F672" s="128"/>
      <c r="G672" s="129"/>
      <c r="H672" s="129"/>
      <c r="I672" s="166"/>
      <c r="J672" s="180"/>
      <c r="K672" s="128"/>
      <c r="L672" s="127"/>
      <c r="M672" s="168"/>
      <c r="N672" s="173"/>
      <c r="O672" s="141"/>
      <c r="P672" s="140"/>
      <c r="Q672" s="142"/>
      <c r="R672" s="140"/>
      <c r="S672" s="142"/>
      <c r="T672" s="140"/>
    </row>
    <row r="673" spans="3:20" ht="39.75" customHeight="1">
      <c r="C673" s="196">
        <v>670</v>
      </c>
      <c r="D673" s="127"/>
      <c r="E673" s="129"/>
      <c r="F673" s="128"/>
      <c r="G673" s="129"/>
      <c r="H673" s="129"/>
      <c r="I673" s="166"/>
      <c r="J673" s="180"/>
      <c r="K673" s="128"/>
      <c r="L673" s="127"/>
      <c r="M673" s="168"/>
      <c r="N673" s="173"/>
      <c r="O673" s="141"/>
      <c r="P673" s="140"/>
      <c r="Q673" s="142"/>
      <c r="R673" s="140"/>
      <c r="S673" s="142"/>
      <c r="T673" s="140"/>
    </row>
    <row r="674" spans="3:20" ht="39.75" customHeight="1">
      <c r="C674" s="196">
        <v>671</v>
      </c>
      <c r="D674" s="127"/>
      <c r="E674" s="129"/>
      <c r="F674" s="128"/>
      <c r="G674" s="129"/>
      <c r="H674" s="129"/>
      <c r="I674" s="166"/>
      <c r="J674" s="180"/>
      <c r="K674" s="128"/>
      <c r="L674" s="127"/>
      <c r="M674" s="168"/>
      <c r="N674" s="173"/>
      <c r="O674" s="141"/>
      <c r="P674" s="140"/>
      <c r="Q674" s="142"/>
      <c r="R674" s="140"/>
      <c r="S674" s="142"/>
      <c r="T674" s="140"/>
    </row>
    <row r="675" spans="3:20" ht="39.75" customHeight="1">
      <c r="C675" s="196">
        <v>672</v>
      </c>
      <c r="D675" s="127"/>
      <c r="E675" s="129"/>
      <c r="F675" s="128"/>
      <c r="G675" s="129"/>
      <c r="H675" s="129"/>
      <c r="I675" s="166"/>
      <c r="J675" s="180"/>
      <c r="K675" s="128"/>
      <c r="L675" s="127"/>
      <c r="M675" s="168"/>
      <c r="N675" s="173"/>
      <c r="O675" s="141"/>
      <c r="P675" s="140"/>
      <c r="Q675" s="142"/>
      <c r="R675" s="140"/>
      <c r="S675" s="142"/>
      <c r="T675" s="140"/>
    </row>
    <row r="676" spans="3:20" ht="39.75" customHeight="1">
      <c r="C676" s="196">
        <v>673</v>
      </c>
      <c r="D676" s="127"/>
      <c r="E676" s="129"/>
      <c r="F676" s="128"/>
      <c r="G676" s="129"/>
      <c r="H676" s="129"/>
      <c r="I676" s="166"/>
      <c r="J676" s="180"/>
      <c r="K676" s="128"/>
      <c r="L676" s="127"/>
      <c r="M676" s="168"/>
      <c r="N676" s="173"/>
      <c r="O676" s="141"/>
      <c r="P676" s="140"/>
      <c r="Q676" s="142"/>
      <c r="R676" s="140"/>
      <c r="S676" s="142"/>
      <c r="T676" s="140"/>
    </row>
    <row r="677" spans="3:20" ht="39.75" customHeight="1">
      <c r="C677" s="196">
        <v>674</v>
      </c>
      <c r="D677" s="127"/>
      <c r="E677" s="129"/>
      <c r="F677" s="128"/>
      <c r="G677" s="129"/>
      <c r="H677" s="129"/>
      <c r="I677" s="166"/>
      <c r="J677" s="180"/>
      <c r="K677" s="128"/>
      <c r="L677" s="127"/>
      <c r="M677" s="168"/>
      <c r="N677" s="173"/>
      <c r="O677" s="141"/>
      <c r="P677" s="140"/>
      <c r="Q677" s="142"/>
      <c r="R677" s="140"/>
      <c r="S677" s="142"/>
      <c r="T677" s="140"/>
    </row>
    <row r="678" spans="3:20" ht="39.75" customHeight="1">
      <c r="C678" s="196">
        <v>675</v>
      </c>
      <c r="D678" s="127"/>
      <c r="E678" s="129"/>
      <c r="F678" s="128"/>
      <c r="G678" s="129"/>
      <c r="H678" s="129"/>
      <c r="I678" s="166"/>
      <c r="J678" s="180"/>
      <c r="K678" s="128"/>
      <c r="L678" s="127"/>
      <c r="M678" s="168"/>
      <c r="N678" s="173"/>
      <c r="O678" s="141"/>
      <c r="P678" s="140"/>
      <c r="Q678" s="142"/>
      <c r="R678" s="140"/>
      <c r="S678" s="142"/>
      <c r="T678" s="140"/>
    </row>
    <row r="679" spans="3:20" ht="39.75" customHeight="1">
      <c r="C679" s="196">
        <v>676</v>
      </c>
      <c r="D679" s="127"/>
      <c r="E679" s="129"/>
      <c r="F679" s="128"/>
      <c r="G679" s="129"/>
      <c r="H679" s="129"/>
      <c r="I679" s="166"/>
      <c r="J679" s="180"/>
      <c r="K679" s="128"/>
      <c r="L679" s="127"/>
      <c r="M679" s="168"/>
      <c r="N679" s="173"/>
      <c r="O679" s="141"/>
      <c r="P679" s="140"/>
      <c r="Q679" s="142"/>
      <c r="R679" s="140"/>
      <c r="S679" s="142"/>
      <c r="T679" s="140"/>
    </row>
    <row r="680" spans="3:20" ht="39.75" customHeight="1">
      <c r="C680" s="196">
        <v>677</v>
      </c>
      <c r="D680" s="127"/>
      <c r="E680" s="129"/>
      <c r="F680" s="128"/>
      <c r="G680" s="129"/>
      <c r="H680" s="129"/>
      <c r="I680" s="166"/>
      <c r="J680" s="180"/>
      <c r="K680" s="128"/>
      <c r="L680" s="127"/>
      <c r="M680" s="168"/>
      <c r="N680" s="173"/>
      <c r="O680" s="141"/>
      <c r="P680" s="140"/>
      <c r="Q680" s="142"/>
      <c r="R680" s="140"/>
      <c r="S680" s="142"/>
      <c r="T680" s="140"/>
    </row>
    <row r="681" spans="3:20" ht="39.75" customHeight="1">
      <c r="C681" s="196">
        <v>678</v>
      </c>
      <c r="D681" s="127"/>
      <c r="E681" s="129"/>
      <c r="F681" s="128"/>
      <c r="G681" s="129"/>
      <c r="H681" s="129"/>
      <c r="I681" s="166"/>
      <c r="J681" s="180"/>
      <c r="K681" s="128"/>
      <c r="L681" s="127"/>
      <c r="M681" s="168"/>
      <c r="N681" s="173"/>
      <c r="O681" s="141"/>
      <c r="P681" s="140"/>
      <c r="Q681" s="142"/>
      <c r="R681" s="140"/>
      <c r="S681" s="142"/>
      <c r="T681" s="140"/>
    </row>
    <row r="682" spans="3:20" ht="39.75" customHeight="1">
      <c r="C682" s="196">
        <v>679</v>
      </c>
      <c r="D682" s="127"/>
      <c r="E682" s="129"/>
      <c r="F682" s="128"/>
      <c r="G682" s="129"/>
      <c r="H682" s="129"/>
      <c r="I682" s="166"/>
      <c r="J682" s="180"/>
      <c r="K682" s="128"/>
      <c r="L682" s="127"/>
      <c r="M682" s="168"/>
      <c r="N682" s="173"/>
      <c r="O682" s="141"/>
      <c r="P682" s="140"/>
      <c r="Q682" s="142"/>
      <c r="R682" s="140"/>
      <c r="S682" s="142"/>
      <c r="T682" s="140"/>
    </row>
    <row r="683" spans="3:20" ht="39.75" customHeight="1">
      <c r="C683" s="196">
        <v>680</v>
      </c>
      <c r="D683" s="127"/>
      <c r="E683" s="129"/>
      <c r="F683" s="128"/>
      <c r="G683" s="129"/>
      <c r="H683" s="129"/>
      <c r="I683" s="166"/>
      <c r="J683" s="180"/>
      <c r="K683" s="128"/>
      <c r="L683" s="127"/>
      <c r="M683" s="168"/>
      <c r="N683" s="173"/>
      <c r="O683" s="141"/>
      <c r="P683" s="140"/>
      <c r="Q683" s="142"/>
      <c r="R683" s="140"/>
      <c r="S683" s="142"/>
      <c r="T683" s="140"/>
    </row>
    <row r="684" spans="3:20" ht="39.75" customHeight="1">
      <c r="C684" s="196">
        <v>681</v>
      </c>
      <c r="D684" s="127"/>
      <c r="E684" s="129"/>
      <c r="F684" s="128"/>
      <c r="G684" s="129"/>
      <c r="H684" s="129"/>
      <c r="I684" s="166"/>
      <c r="J684" s="180"/>
      <c r="K684" s="128"/>
      <c r="L684" s="127"/>
      <c r="M684" s="168"/>
      <c r="N684" s="173"/>
      <c r="O684" s="141"/>
      <c r="P684" s="140"/>
      <c r="Q684" s="142"/>
      <c r="R684" s="140"/>
      <c r="S684" s="142"/>
      <c r="T684" s="140"/>
    </row>
    <row r="685" spans="3:20" ht="39.75" customHeight="1">
      <c r="C685" s="196">
        <v>682</v>
      </c>
      <c r="D685" s="127"/>
      <c r="E685" s="129"/>
      <c r="F685" s="128"/>
      <c r="G685" s="129"/>
      <c r="H685" s="129"/>
      <c r="I685" s="166"/>
      <c r="J685" s="180"/>
      <c r="K685" s="128"/>
      <c r="L685" s="127"/>
      <c r="M685" s="168"/>
      <c r="N685" s="173"/>
      <c r="O685" s="141"/>
      <c r="P685" s="140"/>
      <c r="Q685" s="142"/>
      <c r="R685" s="140"/>
      <c r="S685" s="142"/>
      <c r="T685" s="140"/>
    </row>
    <row r="686" spans="3:20" ht="39.75" customHeight="1">
      <c r="C686" s="196">
        <v>683</v>
      </c>
      <c r="D686" s="127"/>
      <c r="E686" s="129"/>
      <c r="F686" s="128"/>
      <c r="G686" s="129"/>
      <c r="H686" s="129"/>
      <c r="I686" s="166"/>
      <c r="J686" s="180"/>
      <c r="K686" s="128"/>
      <c r="L686" s="127"/>
      <c r="M686" s="168"/>
      <c r="N686" s="173"/>
      <c r="O686" s="141"/>
      <c r="P686" s="140"/>
      <c r="Q686" s="142"/>
      <c r="R686" s="140"/>
      <c r="S686" s="142"/>
      <c r="T686" s="140"/>
    </row>
    <row r="687" spans="3:20" ht="39.75" customHeight="1">
      <c r="C687" s="196">
        <v>684</v>
      </c>
      <c r="D687" s="127"/>
      <c r="E687" s="129"/>
      <c r="F687" s="128"/>
      <c r="G687" s="129"/>
      <c r="H687" s="129"/>
      <c r="I687" s="166"/>
      <c r="J687" s="180"/>
      <c r="K687" s="128"/>
      <c r="L687" s="127"/>
      <c r="M687" s="168"/>
      <c r="N687" s="173"/>
      <c r="O687" s="141"/>
      <c r="P687" s="140"/>
      <c r="Q687" s="142"/>
      <c r="R687" s="140"/>
      <c r="S687" s="142"/>
      <c r="T687" s="140"/>
    </row>
    <row r="688" spans="3:20" ht="39.75" customHeight="1">
      <c r="C688" s="196">
        <v>685</v>
      </c>
      <c r="D688" s="127"/>
      <c r="E688" s="129"/>
      <c r="F688" s="128"/>
      <c r="G688" s="129"/>
      <c r="H688" s="129"/>
      <c r="I688" s="166"/>
      <c r="J688" s="180"/>
      <c r="K688" s="128"/>
      <c r="L688" s="127"/>
      <c r="M688" s="168"/>
      <c r="N688" s="173"/>
      <c r="O688" s="141"/>
      <c r="P688" s="140"/>
      <c r="Q688" s="142"/>
      <c r="R688" s="140"/>
      <c r="S688" s="142"/>
      <c r="T688" s="140"/>
    </row>
    <row r="689" spans="3:20" ht="39.75" customHeight="1">
      <c r="C689" s="196">
        <v>686</v>
      </c>
      <c r="D689" s="127"/>
      <c r="E689" s="129"/>
      <c r="F689" s="128"/>
      <c r="G689" s="129"/>
      <c r="H689" s="129"/>
      <c r="I689" s="166"/>
      <c r="J689" s="180"/>
      <c r="K689" s="128"/>
      <c r="L689" s="127"/>
      <c r="M689" s="168"/>
      <c r="N689" s="173"/>
      <c r="O689" s="141"/>
      <c r="P689" s="140"/>
      <c r="Q689" s="142"/>
      <c r="R689" s="140"/>
      <c r="S689" s="142"/>
      <c r="T689" s="140"/>
    </row>
    <row r="690" spans="3:20" ht="39.75" customHeight="1">
      <c r="C690" s="196">
        <v>687</v>
      </c>
      <c r="D690" s="127"/>
      <c r="E690" s="129"/>
      <c r="F690" s="128"/>
      <c r="G690" s="129"/>
      <c r="H690" s="129"/>
      <c r="I690" s="166"/>
      <c r="J690" s="180"/>
      <c r="K690" s="128"/>
      <c r="L690" s="127"/>
      <c r="M690" s="168"/>
      <c r="N690" s="173"/>
      <c r="O690" s="141"/>
      <c r="P690" s="140"/>
      <c r="Q690" s="142"/>
      <c r="R690" s="140"/>
      <c r="S690" s="142"/>
      <c r="T690" s="140"/>
    </row>
    <row r="691" spans="3:20" ht="39.75" customHeight="1">
      <c r="C691" s="196">
        <v>688</v>
      </c>
      <c r="D691" s="127"/>
      <c r="E691" s="129"/>
      <c r="F691" s="128"/>
      <c r="G691" s="129"/>
      <c r="H691" s="129"/>
      <c r="I691" s="166"/>
      <c r="J691" s="180"/>
      <c r="K691" s="128"/>
      <c r="L691" s="127"/>
      <c r="M691" s="168"/>
      <c r="N691" s="173"/>
      <c r="O691" s="141"/>
      <c r="P691" s="140"/>
      <c r="Q691" s="142"/>
      <c r="R691" s="140"/>
      <c r="S691" s="142"/>
      <c r="T691" s="140"/>
    </row>
    <row r="692" spans="3:20" ht="39.75" customHeight="1">
      <c r="C692" s="196">
        <v>689</v>
      </c>
      <c r="D692" s="127"/>
      <c r="E692" s="129"/>
      <c r="F692" s="128"/>
      <c r="G692" s="129"/>
      <c r="H692" s="129"/>
      <c r="I692" s="166"/>
      <c r="J692" s="180"/>
      <c r="K692" s="128"/>
      <c r="L692" s="127"/>
      <c r="M692" s="168"/>
      <c r="N692" s="173"/>
      <c r="O692" s="141"/>
      <c r="P692" s="140"/>
      <c r="Q692" s="142"/>
      <c r="R692" s="140"/>
      <c r="S692" s="142"/>
      <c r="T692" s="140"/>
    </row>
    <row r="693" spans="3:20" ht="39.75" customHeight="1">
      <c r="C693" s="196">
        <v>690</v>
      </c>
      <c r="D693" s="127"/>
      <c r="E693" s="129"/>
      <c r="F693" s="128"/>
      <c r="G693" s="129"/>
      <c r="H693" s="129"/>
      <c r="I693" s="166"/>
      <c r="J693" s="180"/>
      <c r="K693" s="128"/>
      <c r="L693" s="127"/>
      <c r="M693" s="168"/>
      <c r="N693" s="173"/>
      <c r="O693" s="141"/>
      <c r="P693" s="140"/>
      <c r="Q693" s="142"/>
      <c r="R693" s="140"/>
      <c r="S693" s="142"/>
      <c r="T693" s="140"/>
    </row>
    <row r="694" spans="3:20" ht="39.75" customHeight="1">
      <c r="C694" s="196">
        <v>691</v>
      </c>
      <c r="D694" s="127"/>
      <c r="E694" s="129"/>
      <c r="F694" s="128"/>
      <c r="G694" s="129"/>
      <c r="H694" s="129"/>
      <c r="I694" s="166"/>
      <c r="J694" s="180"/>
      <c r="K694" s="128"/>
      <c r="L694" s="127"/>
      <c r="M694" s="168"/>
      <c r="N694" s="173"/>
      <c r="O694" s="141"/>
      <c r="P694" s="140"/>
      <c r="Q694" s="142"/>
      <c r="R694" s="140"/>
      <c r="S694" s="142"/>
      <c r="T694" s="140"/>
    </row>
    <row r="695" spans="3:20" ht="39.75" customHeight="1">
      <c r="C695" s="196">
        <v>692</v>
      </c>
      <c r="D695" s="127"/>
      <c r="E695" s="129"/>
      <c r="F695" s="128"/>
      <c r="G695" s="129"/>
      <c r="H695" s="129"/>
      <c r="I695" s="166"/>
      <c r="J695" s="180"/>
      <c r="K695" s="128"/>
      <c r="L695" s="127"/>
      <c r="M695" s="168"/>
      <c r="N695" s="173"/>
      <c r="O695" s="141"/>
      <c r="P695" s="140"/>
      <c r="Q695" s="142"/>
      <c r="R695" s="140"/>
      <c r="S695" s="142"/>
      <c r="T695" s="140"/>
    </row>
    <row r="696" spans="3:20" ht="39.75" customHeight="1">
      <c r="C696" s="196">
        <v>693</v>
      </c>
      <c r="D696" s="127"/>
      <c r="E696" s="129"/>
      <c r="F696" s="128"/>
      <c r="G696" s="129"/>
      <c r="H696" s="129"/>
      <c r="I696" s="166"/>
      <c r="J696" s="180"/>
      <c r="K696" s="128"/>
      <c r="L696" s="127"/>
      <c r="M696" s="168"/>
      <c r="N696" s="173"/>
      <c r="O696" s="141"/>
      <c r="P696" s="140"/>
      <c r="Q696" s="142"/>
      <c r="R696" s="140"/>
      <c r="S696" s="142"/>
      <c r="T696" s="140"/>
    </row>
    <row r="697" spans="3:20" ht="39.75" customHeight="1">
      <c r="C697" s="196">
        <v>694</v>
      </c>
      <c r="D697" s="127"/>
      <c r="E697" s="129"/>
      <c r="F697" s="128"/>
      <c r="G697" s="129"/>
      <c r="H697" s="129"/>
      <c r="I697" s="166"/>
      <c r="J697" s="180"/>
      <c r="K697" s="128"/>
      <c r="L697" s="127"/>
      <c r="M697" s="168"/>
      <c r="N697" s="173"/>
      <c r="O697" s="141"/>
      <c r="P697" s="140"/>
      <c r="Q697" s="142"/>
      <c r="R697" s="140"/>
      <c r="S697" s="142"/>
      <c r="T697" s="140"/>
    </row>
    <row r="698" spans="3:20" ht="39.75" customHeight="1">
      <c r="C698" s="196">
        <v>695</v>
      </c>
      <c r="D698" s="127"/>
      <c r="E698" s="129"/>
      <c r="F698" s="128"/>
      <c r="G698" s="129"/>
      <c r="H698" s="129"/>
      <c r="I698" s="166"/>
      <c r="J698" s="180"/>
      <c r="K698" s="128"/>
      <c r="L698" s="127"/>
      <c r="M698" s="168"/>
      <c r="N698" s="173"/>
      <c r="O698" s="141"/>
      <c r="P698" s="140"/>
      <c r="Q698" s="142"/>
      <c r="R698" s="140"/>
      <c r="S698" s="142"/>
      <c r="T698" s="140"/>
    </row>
    <row r="699" spans="3:20" ht="39.75" customHeight="1">
      <c r="C699" s="196">
        <v>696</v>
      </c>
      <c r="D699" s="127"/>
      <c r="E699" s="129"/>
      <c r="F699" s="128"/>
      <c r="G699" s="129"/>
      <c r="H699" s="129"/>
      <c r="I699" s="166"/>
      <c r="J699" s="180"/>
      <c r="K699" s="128"/>
      <c r="L699" s="127"/>
      <c r="M699" s="168"/>
      <c r="N699" s="173"/>
      <c r="O699" s="141"/>
      <c r="P699" s="140"/>
      <c r="Q699" s="142"/>
      <c r="R699" s="140"/>
      <c r="S699" s="142"/>
      <c r="T699" s="140"/>
    </row>
    <row r="700" spans="3:20" ht="39.75" customHeight="1">
      <c r="C700" s="196">
        <v>697</v>
      </c>
      <c r="D700" s="127"/>
      <c r="E700" s="129"/>
      <c r="F700" s="128"/>
      <c r="G700" s="129"/>
      <c r="H700" s="129"/>
      <c r="I700" s="166"/>
      <c r="J700" s="180"/>
      <c r="K700" s="128"/>
      <c r="L700" s="127"/>
      <c r="M700" s="168"/>
      <c r="N700" s="173"/>
      <c r="O700" s="141"/>
      <c r="P700" s="140"/>
      <c r="Q700" s="142"/>
      <c r="R700" s="140"/>
      <c r="S700" s="142"/>
      <c r="T700" s="140"/>
    </row>
    <row r="701" spans="3:20" ht="39.75" customHeight="1">
      <c r="C701" s="196">
        <v>698</v>
      </c>
      <c r="D701" s="127"/>
      <c r="E701" s="129"/>
      <c r="F701" s="128"/>
      <c r="G701" s="129"/>
      <c r="H701" s="129"/>
      <c r="I701" s="166"/>
      <c r="J701" s="180"/>
      <c r="K701" s="128"/>
      <c r="L701" s="127"/>
      <c r="M701" s="168"/>
      <c r="N701" s="173"/>
      <c r="O701" s="141"/>
      <c r="P701" s="140"/>
      <c r="Q701" s="142"/>
      <c r="R701" s="140"/>
      <c r="S701" s="142"/>
      <c r="T701" s="140"/>
    </row>
    <row r="702" spans="3:20" ht="39.75" customHeight="1">
      <c r="C702" s="196">
        <v>699</v>
      </c>
      <c r="D702" s="127"/>
      <c r="E702" s="129"/>
      <c r="F702" s="128"/>
      <c r="G702" s="129"/>
      <c r="H702" s="129"/>
      <c r="I702" s="166"/>
      <c r="J702" s="180"/>
      <c r="K702" s="128"/>
      <c r="L702" s="127"/>
      <c r="M702" s="168"/>
      <c r="N702" s="173"/>
      <c r="O702" s="141"/>
      <c r="P702" s="140"/>
      <c r="Q702" s="142"/>
      <c r="R702" s="140"/>
      <c r="S702" s="142"/>
      <c r="T702" s="140"/>
    </row>
    <row r="703" spans="3:20" ht="39.75" customHeight="1">
      <c r="C703" s="196">
        <v>700</v>
      </c>
      <c r="D703" s="127"/>
      <c r="E703" s="129"/>
      <c r="F703" s="128"/>
      <c r="G703" s="129"/>
      <c r="H703" s="129"/>
      <c r="I703" s="166"/>
      <c r="J703" s="180"/>
      <c r="K703" s="128"/>
      <c r="L703" s="127"/>
      <c r="M703" s="168"/>
      <c r="N703" s="173"/>
      <c r="O703" s="141"/>
      <c r="P703" s="140"/>
      <c r="Q703" s="142"/>
      <c r="R703" s="140"/>
      <c r="S703" s="142"/>
      <c r="T703" s="140"/>
    </row>
    <row r="704" spans="3:20" ht="39.75" customHeight="1">
      <c r="C704" s="196">
        <v>701</v>
      </c>
      <c r="D704" s="127"/>
      <c r="E704" s="129"/>
      <c r="F704" s="128"/>
      <c r="G704" s="129"/>
      <c r="H704" s="129"/>
      <c r="I704" s="166"/>
      <c r="J704" s="180"/>
      <c r="K704" s="128"/>
      <c r="L704" s="127"/>
      <c r="M704" s="168"/>
      <c r="N704" s="173"/>
      <c r="O704" s="141"/>
      <c r="P704" s="140"/>
      <c r="Q704" s="142"/>
      <c r="R704" s="140"/>
      <c r="S704" s="142"/>
      <c r="T704" s="140"/>
    </row>
    <row r="705" spans="3:20" ht="39.75" customHeight="1">
      <c r="C705" s="196">
        <v>702</v>
      </c>
      <c r="D705" s="127"/>
      <c r="E705" s="129"/>
      <c r="F705" s="128"/>
      <c r="G705" s="129"/>
      <c r="H705" s="129"/>
      <c r="I705" s="166"/>
      <c r="J705" s="180"/>
      <c r="K705" s="128"/>
      <c r="L705" s="127"/>
      <c r="M705" s="168"/>
      <c r="N705" s="173"/>
      <c r="O705" s="141"/>
      <c r="P705" s="140"/>
      <c r="Q705" s="142"/>
      <c r="R705" s="140"/>
      <c r="S705" s="142"/>
      <c r="T705" s="140"/>
    </row>
    <row r="706" spans="3:20" ht="39.75" customHeight="1">
      <c r="C706" s="196">
        <v>703</v>
      </c>
      <c r="D706" s="127"/>
      <c r="E706" s="129"/>
      <c r="F706" s="128"/>
      <c r="G706" s="129"/>
      <c r="H706" s="129"/>
      <c r="I706" s="166"/>
      <c r="J706" s="180"/>
      <c r="K706" s="128"/>
      <c r="L706" s="127"/>
      <c r="M706" s="168"/>
      <c r="N706" s="173"/>
      <c r="O706" s="141"/>
      <c r="P706" s="140"/>
      <c r="Q706" s="142"/>
      <c r="R706" s="140"/>
      <c r="S706" s="142"/>
      <c r="T706" s="140"/>
    </row>
    <row r="707" spans="3:20" ht="39.75" customHeight="1">
      <c r="C707" s="196">
        <v>704</v>
      </c>
      <c r="D707" s="127"/>
      <c r="E707" s="129"/>
      <c r="F707" s="128"/>
      <c r="G707" s="129"/>
      <c r="H707" s="129"/>
      <c r="I707" s="166"/>
      <c r="J707" s="180"/>
      <c r="K707" s="128"/>
      <c r="L707" s="127"/>
      <c r="M707" s="168"/>
      <c r="N707" s="173"/>
      <c r="O707" s="141"/>
      <c r="P707" s="140"/>
      <c r="Q707" s="142"/>
      <c r="R707" s="140"/>
      <c r="S707" s="142"/>
      <c r="T707" s="140"/>
    </row>
    <row r="708" spans="3:20" ht="39.75" customHeight="1">
      <c r="C708" s="196">
        <v>705</v>
      </c>
      <c r="D708" s="127"/>
      <c r="E708" s="129"/>
      <c r="F708" s="128"/>
      <c r="G708" s="129"/>
      <c r="H708" s="129"/>
      <c r="I708" s="166"/>
      <c r="J708" s="180"/>
      <c r="K708" s="128"/>
      <c r="L708" s="127"/>
      <c r="M708" s="168"/>
      <c r="N708" s="173"/>
      <c r="O708" s="141"/>
      <c r="P708" s="140"/>
      <c r="Q708" s="142"/>
      <c r="R708" s="140"/>
      <c r="S708" s="142"/>
      <c r="T708" s="140"/>
    </row>
    <row r="709" spans="3:20" ht="39.75" customHeight="1">
      <c r="C709" s="196">
        <v>706</v>
      </c>
      <c r="D709" s="127"/>
      <c r="E709" s="129"/>
      <c r="F709" s="128"/>
      <c r="G709" s="129"/>
      <c r="H709" s="129"/>
      <c r="I709" s="166"/>
      <c r="J709" s="180"/>
      <c r="K709" s="128"/>
      <c r="L709" s="127"/>
      <c r="M709" s="168"/>
      <c r="N709" s="173"/>
      <c r="O709" s="141"/>
      <c r="P709" s="140"/>
      <c r="Q709" s="142"/>
      <c r="R709" s="140"/>
      <c r="S709" s="142"/>
      <c r="T709" s="140"/>
    </row>
    <row r="710" spans="3:20" ht="39.75" customHeight="1">
      <c r="C710" s="196">
        <v>707</v>
      </c>
      <c r="D710" s="127"/>
      <c r="E710" s="129"/>
      <c r="F710" s="128"/>
      <c r="G710" s="129"/>
      <c r="H710" s="129"/>
      <c r="I710" s="166"/>
      <c r="J710" s="180"/>
      <c r="K710" s="128"/>
      <c r="L710" s="127"/>
      <c r="M710" s="168"/>
      <c r="N710" s="173"/>
      <c r="O710" s="141"/>
      <c r="P710" s="140"/>
      <c r="Q710" s="142"/>
      <c r="R710" s="140"/>
      <c r="S710" s="142"/>
      <c r="T710" s="140"/>
    </row>
    <row r="711" spans="3:20" ht="39.75" customHeight="1">
      <c r="C711" s="196">
        <v>708</v>
      </c>
      <c r="D711" s="127"/>
      <c r="E711" s="129"/>
      <c r="F711" s="128"/>
      <c r="G711" s="129"/>
      <c r="H711" s="129"/>
      <c r="I711" s="166"/>
      <c r="J711" s="180"/>
      <c r="K711" s="128"/>
      <c r="L711" s="127"/>
      <c r="M711" s="168"/>
      <c r="N711" s="173"/>
      <c r="O711" s="141"/>
      <c r="P711" s="140"/>
      <c r="Q711" s="142"/>
      <c r="R711" s="140"/>
      <c r="S711" s="142"/>
      <c r="T711" s="140"/>
    </row>
    <row r="712" spans="3:20" ht="39.75" customHeight="1">
      <c r="C712" s="196">
        <v>709</v>
      </c>
      <c r="D712" s="127"/>
      <c r="E712" s="129"/>
      <c r="F712" s="128"/>
      <c r="G712" s="129"/>
      <c r="H712" s="129"/>
      <c r="I712" s="166"/>
      <c r="J712" s="180"/>
      <c r="K712" s="128"/>
      <c r="L712" s="127"/>
      <c r="M712" s="168"/>
      <c r="N712" s="173"/>
      <c r="O712" s="141"/>
      <c r="P712" s="140"/>
      <c r="Q712" s="142"/>
      <c r="R712" s="140"/>
      <c r="S712" s="142"/>
      <c r="T712" s="140"/>
    </row>
    <row r="713" spans="3:20" ht="39.75" customHeight="1">
      <c r="C713" s="196">
        <v>710</v>
      </c>
      <c r="D713" s="127"/>
      <c r="E713" s="129"/>
      <c r="F713" s="128"/>
      <c r="G713" s="129"/>
      <c r="H713" s="129"/>
      <c r="I713" s="166"/>
      <c r="J713" s="180"/>
      <c r="K713" s="128"/>
      <c r="L713" s="127"/>
      <c r="M713" s="168"/>
      <c r="N713" s="173"/>
      <c r="O713" s="141"/>
      <c r="P713" s="140"/>
      <c r="Q713" s="142"/>
      <c r="R713" s="140"/>
      <c r="S713" s="142"/>
      <c r="T713" s="140"/>
    </row>
    <row r="714" spans="3:20" ht="39.75" customHeight="1">
      <c r="C714" s="196">
        <v>711</v>
      </c>
      <c r="D714" s="127"/>
      <c r="E714" s="129"/>
      <c r="F714" s="128"/>
      <c r="G714" s="129"/>
      <c r="H714" s="129"/>
      <c r="I714" s="166"/>
      <c r="J714" s="180"/>
      <c r="K714" s="128"/>
      <c r="L714" s="127"/>
      <c r="M714" s="168"/>
      <c r="N714" s="173"/>
      <c r="O714" s="141"/>
      <c r="P714" s="140"/>
      <c r="Q714" s="142"/>
      <c r="R714" s="140"/>
      <c r="S714" s="142"/>
      <c r="T714" s="140"/>
    </row>
    <row r="715" spans="3:20" ht="39.75" customHeight="1">
      <c r="C715" s="196">
        <v>712</v>
      </c>
      <c r="D715" s="127"/>
      <c r="E715" s="129"/>
      <c r="F715" s="128"/>
      <c r="G715" s="129"/>
      <c r="H715" s="129"/>
      <c r="I715" s="166"/>
      <c r="J715" s="180"/>
      <c r="K715" s="128"/>
      <c r="L715" s="127"/>
      <c r="M715" s="168"/>
      <c r="N715" s="173"/>
      <c r="O715" s="141"/>
      <c r="P715" s="140"/>
      <c r="Q715" s="142"/>
      <c r="R715" s="140"/>
      <c r="S715" s="142"/>
      <c r="T715" s="140"/>
    </row>
    <row r="716" spans="3:20" ht="39.75" customHeight="1">
      <c r="C716" s="196">
        <v>713</v>
      </c>
      <c r="D716" s="127"/>
      <c r="E716" s="129"/>
      <c r="F716" s="128"/>
      <c r="G716" s="129"/>
      <c r="H716" s="129"/>
      <c r="I716" s="166"/>
      <c r="J716" s="180"/>
      <c r="K716" s="128"/>
      <c r="L716" s="127"/>
      <c r="M716" s="168"/>
      <c r="N716" s="173"/>
      <c r="O716" s="141"/>
      <c r="P716" s="140"/>
      <c r="Q716" s="142"/>
      <c r="R716" s="140"/>
      <c r="S716" s="142"/>
      <c r="T716" s="140"/>
    </row>
    <row r="717" spans="3:20" ht="39.75" customHeight="1">
      <c r="C717" s="196">
        <v>714</v>
      </c>
      <c r="D717" s="127"/>
      <c r="E717" s="129"/>
      <c r="F717" s="128"/>
      <c r="G717" s="129"/>
      <c r="H717" s="129"/>
      <c r="I717" s="166"/>
      <c r="J717" s="180"/>
      <c r="K717" s="128"/>
      <c r="L717" s="127"/>
      <c r="M717" s="168"/>
      <c r="N717" s="173"/>
      <c r="O717" s="141"/>
      <c r="P717" s="140"/>
      <c r="Q717" s="142"/>
      <c r="R717" s="140"/>
      <c r="S717" s="142"/>
      <c r="T717" s="140"/>
    </row>
    <row r="718" spans="3:20" ht="39.75" customHeight="1">
      <c r="C718" s="196">
        <v>715</v>
      </c>
      <c r="D718" s="127"/>
      <c r="E718" s="129"/>
      <c r="F718" s="128"/>
      <c r="G718" s="129"/>
      <c r="H718" s="129"/>
      <c r="I718" s="166"/>
      <c r="J718" s="180"/>
      <c r="K718" s="128"/>
      <c r="L718" s="127"/>
      <c r="M718" s="168"/>
      <c r="N718" s="173"/>
      <c r="O718" s="141"/>
      <c r="P718" s="140"/>
      <c r="Q718" s="142"/>
      <c r="R718" s="140"/>
      <c r="S718" s="142"/>
      <c r="T718" s="140"/>
    </row>
    <row r="719" spans="3:20" ht="39.75" customHeight="1">
      <c r="C719" s="196">
        <v>716</v>
      </c>
      <c r="D719" s="127"/>
      <c r="E719" s="129"/>
      <c r="F719" s="128"/>
      <c r="G719" s="129"/>
      <c r="H719" s="129"/>
      <c r="I719" s="166"/>
      <c r="J719" s="180"/>
      <c r="K719" s="128"/>
      <c r="L719" s="127"/>
      <c r="M719" s="168"/>
      <c r="N719" s="173"/>
      <c r="O719" s="141"/>
      <c r="P719" s="140"/>
      <c r="Q719" s="142"/>
      <c r="R719" s="140"/>
      <c r="S719" s="142"/>
      <c r="T719" s="140"/>
    </row>
    <row r="720" spans="3:20" ht="39.75" customHeight="1">
      <c r="C720" s="196">
        <v>717</v>
      </c>
      <c r="D720" s="127"/>
      <c r="E720" s="129"/>
      <c r="F720" s="128"/>
      <c r="G720" s="129"/>
      <c r="H720" s="129"/>
      <c r="I720" s="166"/>
      <c r="J720" s="180"/>
      <c r="K720" s="128"/>
      <c r="L720" s="127"/>
      <c r="M720" s="168"/>
      <c r="N720" s="173"/>
      <c r="O720" s="141"/>
      <c r="P720" s="140"/>
      <c r="Q720" s="142"/>
      <c r="R720" s="140"/>
      <c r="S720" s="142"/>
      <c r="T720" s="140"/>
    </row>
    <row r="721" spans="3:20" ht="39.75" customHeight="1">
      <c r="C721" s="196">
        <v>718</v>
      </c>
      <c r="D721" s="127"/>
      <c r="E721" s="129"/>
      <c r="F721" s="128"/>
      <c r="G721" s="129"/>
      <c r="H721" s="129"/>
      <c r="I721" s="166"/>
      <c r="J721" s="180"/>
      <c r="K721" s="128"/>
      <c r="L721" s="127"/>
      <c r="M721" s="168"/>
      <c r="N721" s="173"/>
      <c r="O721" s="141"/>
      <c r="P721" s="140"/>
      <c r="Q721" s="142"/>
      <c r="R721" s="140"/>
      <c r="S721" s="142"/>
      <c r="T721" s="140"/>
    </row>
    <row r="722" spans="3:20" ht="39.75" customHeight="1">
      <c r="C722" s="196">
        <v>719</v>
      </c>
      <c r="D722" s="127"/>
      <c r="E722" s="129"/>
      <c r="F722" s="128"/>
      <c r="G722" s="129"/>
      <c r="H722" s="129"/>
      <c r="I722" s="166"/>
      <c r="J722" s="180"/>
      <c r="K722" s="128"/>
      <c r="L722" s="127"/>
      <c r="M722" s="168"/>
      <c r="N722" s="173"/>
      <c r="O722" s="141"/>
      <c r="P722" s="140"/>
      <c r="Q722" s="142"/>
      <c r="R722" s="140"/>
      <c r="S722" s="142"/>
      <c r="T722" s="140"/>
    </row>
    <row r="723" spans="3:20" ht="39.75" customHeight="1">
      <c r="C723" s="196">
        <v>720</v>
      </c>
      <c r="D723" s="127"/>
      <c r="E723" s="129"/>
      <c r="F723" s="128"/>
      <c r="G723" s="129"/>
      <c r="H723" s="129"/>
      <c r="I723" s="166"/>
      <c r="J723" s="180"/>
      <c r="K723" s="128"/>
      <c r="L723" s="127"/>
      <c r="M723" s="168"/>
      <c r="N723" s="173"/>
      <c r="O723" s="141"/>
      <c r="P723" s="140"/>
      <c r="Q723" s="142"/>
      <c r="R723" s="140"/>
      <c r="S723" s="142"/>
      <c r="T723" s="140"/>
    </row>
    <row r="724" spans="3:20" ht="39.75" customHeight="1">
      <c r="C724" s="196">
        <v>721</v>
      </c>
      <c r="D724" s="127"/>
      <c r="E724" s="129"/>
      <c r="F724" s="128"/>
      <c r="G724" s="129"/>
      <c r="H724" s="129"/>
      <c r="I724" s="166"/>
      <c r="J724" s="180"/>
      <c r="K724" s="128"/>
      <c r="L724" s="127"/>
      <c r="M724" s="168"/>
      <c r="N724" s="173"/>
      <c r="O724" s="141"/>
      <c r="P724" s="140"/>
      <c r="Q724" s="142"/>
      <c r="R724" s="140"/>
      <c r="S724" s="142"/>
      <c r="T724" s="140"/>
    </row>
    <row r="725" spans="3:20" ht="39.75" customHeight="1">
      <c r="C725" s="196">
        <v>722</v>
      </c>
      <c r="D725" s="127"/>
      <c r="E725" s="129"/>
      <c r="F725" s="128"/>
      <c r="G725" s="129"/>
      <c r="H725" s="129"/>
      <c r="I725" s="166"/>
      <c r="J725" s="180"/>
      <c r="K725" s="128"/>
      <c r="L725" s="127"/>
      <c r="M725" s="168"/>
      <c r="N725" s="173"/>
      <c r="O725" s="141"/>
      <c r="P725" s="140"/>
      <c r="Q725" s="142"/>
      <c r="R725" s="140"/>
      <c r="S725" s="142"/>
      <c r="T725" s="140"/>
    </row>
    <row r="726" spans="3:20" ht="39.75" customHeight="1">
      <c r="C726" s="196">
        <v>723</v>
      </c>
      <c r="D726" s="127"/>
      <c r="E726" s="129"/>
      <c r="F726" s="128"/>
      <c r="G726" s="129"/>
      <c r="H726" s="129"/>
      <c r="I726" s="166"/>
      <c r="J726" s="180"/>
      <c r="K726" s="128"/>
      <c r="L726" s="127"/>
      <c r="M726" s="168"/>
      <c r="N726" s="173"/>
      <c r="O726" s="141"/>
      <c r="P726" s="140"/>
      <c r="Q726" s="142"/>
      <c r="R726" s="140"/>
      <c r="S726" s="142"/>
      <c r="T726" s="140"/>
    </row>
    <row r="727" spans="3:20" ht="39.75" customHeight="1">
      <c r="C727" s="196">
        <v>724</v>
      </c>
      <c r="D727" s="127"/>
      <c r="E727" s="129"/>
      <c r="F727" s="128"/>
      <c r="G727" s="129"/>
      <c r="H727" s="129"/>
      <c r="I727" s="166"/>
      <c r="J727" s="180"/>
      <c r="K727" s="128"/>
      <c r="L727" s="127"/>
      <c r="M727" s="168"/>
      <c r="N727" s="173"/>
      <c r="O727" s="141"/>
      <c r="P727" s="140"/>
      <c r="Q727" s="142"/>
      <c r="R727" s="140"/>
      <c r="S727" s="142"/>
      <c r="T727" s="140"/>
    </row>
    <row r="728" spans="3:20" ht="39.75" customHeight="1">
      <c r="C728" s="196">
        <v>725</v>
      </c>
      <c r="D728" s="127"/>
      <c r="E728" s="129"/>
      <c r="F728" s="128"/>
      <c r="G728" s="129"/>
      <c r="H728" s="129"/>
      <c r="I728" s="166"/>
      <c r="J728" s="180"/>
      <c r="K728" s="128"/>
      <c r="L728" s="127"/>
      <c r="M728" s="168"/>
      <c r="N728" s="173"/>
      <c r="O728" s="141"/>
      <c r="P728" s="140"/>
      <c r="Q728" s="142"/>
      <c r="R728" s="140"/>
      <c r="S728" s="142"/>
      <c r="T728" s="140"/>
    </row>
    <row r="729" spans="3:20" ht="39.75" customHeight="1">
      <c r="C729" s="196">
        <v>726</v>
      </c>
      <c r="D729" s="127"/>
      <c r="E729" s="129"/>
      <c r="F729" s="128"/>
      <c r="G729" s="129"/>
      <c r="H729" s="129"/>
      <c r="I729" s="166"/>
      <c r="J729" s="180"/>
      <c r="K729" s="128"/>
      <c r="L729" s="127"/>
      <c r="M729" s="168"/>
      <c r="N729" s="173"/>
      <c r="O729" s="141"/>
      <c r="P729" s="140"/>
      <c r="Q729" s="142"/>
      <c r="R729" s="140"/>
      <c r="S729" s="142"/>
      <c r="T729" s="140"/>
    </row>
    <row r="730" spans="3:20" ht="39.75" customHeight="1">
      <c r="C730" s="196">
        <v>727</v>
      </c>
      <c r="D730" s="127"/>
      <c r="E730" s="129"/>
      <c r="F730" s="128"/>
      <c r="G730" s="129"/>
      <c r="H730" s="129"/>
      <c r="I730" s="166"/>
      <c r="J730" s="180"/>
      <c r="K730" s="128"/>
      <c r="L730" s="127"/>
      <c r="M730" s="168"/>
      <c r="N730" s="173"/>
      <c r="O730" s="141"/>
      <c r="P730" s="140"/>
      <c r="Q730" s="142"/>
      <c r="R730" s="140"/>
      <c r="S730" s="142"/>
      <c r="T730" s="140"/>
    </row>
    <row r="731" spans="3:20" ht="39.75" customHeight="1">
      <c r="C731" s="196">
        <v>728</v>
      </c>
      <c r="D731" s="127"/>
      <c r="E731" s="129"/>
      <c r="F731" s="128"/>
      <c r="G731" s="129"/>
      <c r="H731" s="129"/>
      <c r="I731" s="166"/>
      <c r="J731" s="180"/>
      <c r="K731" s="128"/>
      <c r="L731" s="127"/>
      <c r="M731" s="168"/>
      <c r="N731" s="173"/>
      <c r="O731" s="141"/>
      <c r="P731" s="140"/>
      <c r="Q731" s="142"/>
      <c r="R731" s="140"/>
      <c r="S731" s="142"/>
      <c r="T731" s="140"/>
    </row>
    <row r="732" spans="3:20" ht="39.75" customHeight="1">
      <c r="C732" s="196">
        <v>729</v>
      </c>
      <c r="D732" s="127"/>
      <c r="E732" s="129"/>
      <c r="F732" s="128"/>
      <c r="G732" s="129"/>
      <c r="H732" s="129"/>
      <c r="I732" s="166"/>
      <c r="J732" s="180"/>
      <c r="K732" s="128"/>
      <c r="L732" s="127"/>
      <c r="M732" s="168"/>
      <c r="N732" s="173"/>
      <c r="O732" s="141"/>
      <c r="P732" s="140"/>
      <c r="Q732" s="142"/>
      <c r="R732" s="140"/>
      <c r="S732" s="142"/>
      <c r="T732" s="140"/>
    </row>
    <row r="733" spans="3:20" ht="39.75" customHeight="1">
      <c r="C733" s="196">
        <v>730</v>
      </c>
      <c r="D733" s="127"/>
      <c r="E733" s="129"/>
      <c r="F733" s="128"/>
      <c r="G733" s="129"/>
      <c r="H733" s="129"/>
      <c r="I733" s="166"/>
      <c r="J733" s="180"/>
      <c r="K733" s="128"/>
      <c r="L733" s="127"/>
      <c r="M733" s="168"/>
      <c r="N733" s="173"/>
      <c r="O733" s="141"/>
      <c r="P733" s="140"/>
      <c r="Q733" s="142"/>
      <c r="R733" s="140"/>
      <c r="S733" s="142"/>
      <c r="T733" s="140"/>
    </row>
    <row r="734" spans="3:20" ht="39.75" customHeight="1">
      <c r="C734" s="196">
        <v>731</v>
      </c>
      <c r="D734" s="127"/>
      <c r="E734" s="129"/>
      <c r="F734" s="128"/>
      <c r="G734" s="129"/>
      <c r="H734" s="129"/>
      <c r="I734" s="166"/>
      <c r="J734" s="180"/>
      <c r="K734" s="128"/>
      <c r="L734" s="127"/>
      <c r="M734" s="168"/>
      <c r="N734" s="173"/>
      <c r="O734" s="141"/>
      <c r="P734" s="140"/>
      <c r="Q734" s="142"/>
      <c r="R734" s="140"/>
      <c r="S734" s="142"/>
      <c r="T734" s="140"/>
    </row>
    <row r="735" spans="3:20" ht="39.75" customHeight="1">
      <c r="C735" s="196">
        <v>732</v>
      </c>
      <c r="D735" s="127"/>
      <c r="E735" s="129"/>
      <c r="F735" s="128"/>
      <c r="G735" s="129"/>
      <c r="H735" s="129"/>
      <c r="I735" s="166"/>
      <c r="J735" s="180"/>
      <c r="K735" s="128"/>
      <c r="L735" s="127"/>
      <c r="M735" s="168"/>
      <c r="N735" s="173"/>
      <c r="O735" s="141"/>
      <c r="P735" s="140"/>
      <c r="Q735" s="142"/>
      <c r="R735" s="140"/>
      <c r="S735" s="142"/>
      <c r="T735" s="140"/>
    </row>
    <row r="736" spans="3:20" ht="39.75" customHeight="1">
      <c r="C736" s="196">
        <v>733</v>
      </c>
      <c r="D736" s="127"/>
      <c r="E736" s="129"/>
      <c r="F736" s="128"/>
      <c r="G736" s="129"/>
      <c r="H736" s="129"/>
      <c r="I736" s="166"/>
      <c r="J736" s="180"/>
      <c r="K736" s="128"/>
      <c r="L736" s="127"/>
      <c r="M736" s="168"/>
      <c r="N736" s="173"/>
      <c r="O736" s="141"/>
      <c r="P736" s="140"/>
      <c r="Q736" s="142"/>
      <c r="R736" s="140"/>
      <c r="S736" s="142"/>
      <c r="T736" s="140"/>
    </row>
    <row r="737" spans="3:20" ht="39.75" customHeight="1">
      <c r="C737" s="196">
        <v>734</v>
      </c>
      <c r="D737" s="127"/>
      <c r="E737" s="129"/>
      <c r="F737" s="128"/>
      <c r="G737" s="129"/>
      <c r="H737" s="129"/>
      <c r="I737" s="166"/>
      <c r="J737" s="180"/>
      <c r="K737" s="128"/>
      <c r="L737" s="127"/>
      <c r="M737" s="168"/>
      <c r="N737" s="173"/>
      <c r="O737" s="141"/>
      <c r="P737" s="140"/>
      <c r="Q737" s="142"/>
      <c r="R737" s="140"/>
      <c r="S737" s="142"/>
      <c r="T737" s="140"/>
    </row>
    <row r="738" spans="3:20" ht="39.75" customHeight="1">
      <c r="C738" s="196">
        <v>735</v>
      </c>
      <c r="D738" s="127"/>
      <c r="E738" s="129"/>
      <c r="F738" s="128"/>
      <c r="G738" s="129"/>
      <c r="H738" s="129"/>
      <c r="I738" s="166"/>
      <c r="J738" s="180"/>
      <c r="K738" s="128"/>
      <c r="L738" s="127"/>
      <c r="M738" s="168"/>
      <c r="N738" s="173"/>
      <c r="O738" s="141"/>
      <c r="P738" s="140"/>
      <c r="Q738" s="142"/>
      <c r="R738" s="140"/>
      <c r="S738" s="142"/>
      <c r="T738" s="140"/>
    </row>
    <row r="739" spans="3:20" ht="39.75" customHeight="1">
      <c r="C739" s="196">
        <v>736</v>
      </c>
      <c r="D739" s="127"/>
      <c r="E739" s="129"/>
      <c r="F739" s="128"/>
      <c r="G739" s="129"/>
      <c r="H739" s="129"/>
      <c r="I739" s="166"/>
      <c r="J739" s="180"/>
      <c r="K739" s="128"/>
      <c r="L739" s="127"/>
      <c r="M739" s="168"/>
      <c r="N739" s="173"/>
      <c r="O739" s="141"/>
      <c r="P739" s="140"/>
      <c r="Q739" s="142"/>
      <c r="R739" s="140"/>
      <c r="S739" s="142"/>
      <c r="T739" s="140"/>
    </row>
    <row r="740" spans="3:20" ht="39.75" customHeight="1">
      <c r="C740" s="196">
        <v>737</v>
      </c>
      <c r="D740" s="127"/>
      <c r="E740" s="129"/>
      <c r="F740" s="128"/>
      <c r="G740" s="129"/>
      <c r="H740" s="129"/>
      <c r="I740" s="166"/>
      <c r="J740" s="180"/>
      <c r="K740" s="128"/>
      <c r="L740" s="127"/>
      <c r="M740" s="168"/>
      <c r="N740" s="173"/>
      <c r="O740" s="141"/>
      <c r="P740" s="140"/>
      <c r="Q740" s="142"/>
      <c r="R740" s="140"/>
      <c r="S740" s="142"/>
      <c r="T740" s="140"/>
    </row>
    <row r="741" spans="3:20" ht="39.75" customHeight="1">
      <c r="C741" s="196">
        <v>738</v>
      </c>
      <c r="D741" s="127"/>
      <c r="E741" s="129"/>
      <c r="F741" s="128"/>
      <c r="G741" s="129"/>
      <c r="H741" s="129"/>
      <c r="I741" s="166"/>
      <c r="J741" s="180"/>
      <c r="K741" s="128"/>
      <c r="L741" s="127"/>
      <c r="M741" s="168"/>
      <c r="N741" s="173"/>
      <c r="O741" s="141"/>
      <c r="P741" s="140"/>
      <c r="Q741" s="142"/>
      <c r="R741" s="140"/>
      <c r="S741" s="142"/>
      <c r="T741" s="140"/>
    </row>
    <row r="742" spans="3:20" ht="39.75" customHeight="1">
      <c r="C742" s="196">
        <v>739</v>
      </c>
      <c r="D742" s="127"/>
      <c r="E742" s="129"/>
      <c r="F742" s="128"/>
      <c r="G742" s="129"/>
      <c r="H742" s="129"/>
      <c r="I742" s="166"/>
      <c r="J742" s="180"/>
      <c r="K742" s="128"/>
      <c r="L742" s="127"/>
      <c r="M742" s="168"/>
      <c r="N742" s="173"/>
      <c r="O742" s="141"/>
      <c r="P742" s="140"/>
      <c r="Q742" s="142"/>
      <c r="R742" s="140"/>
      <c r="S742" s="142"/>
      <c r="T742" s="140"/>
    </row>
    <row r="743" spans="3:20" ht="39.75" customHeight="1">
      <c r="C743" s="196">
        <v>740</v>
      </c>
      <c r="D743" s="127"/>
      <c r="E743" s="129"/>
      <c r="F743" s="128"/>
      <c r="G743" s="129"/>
      <c r="H743" s="129"/>
      <c r="I743" s="166"/>
      <c r="J743" s="180"/>
      <c r="K743" s="128"/>
      <c r="L743" s="127"/>
      <c r="M743" s="168"/>
      <c r="N743" s="173"/>
      <c r="O743" s="141"/>
      <c r="P743" s="140"/>
      <c r="Q743" s="142"/>
      <c r="R743" s="140"/>
      <c r="S743" s="142"/>
      <c r="T743" s="140"/>
    </row>
    <row r="744" spans="3:20" ht="39.75" customHeight="1">
      <c r="C744" s="196">
        <v>741</v>
      </c>
      <c r="D744" s="127"/>
      <c r="E744" s="129"/>
      <c r="F744" s="128"/>
      <c r="G744" s="129"/>
      <c r="H744" s="129"/>
      <c r="I744" s="166"/>
      <c r="J744" s="180"/>
      <c r="K744" s="128"/>
      <c r="L744" s="127"/>
      <c r="M744" s="168"/>
      <c r="N744" s="173"/>
      <c r="O744" s="141"/>
      <c r="P744" s="140"/>
      <c r="Q744" s="142"/>
      <c r="R744" s="140"/>
      <c r="S744" s="142"/>
      <c r="T744" s="140"/>
    </row>
    <row r="745" spans="3:20" ht="39.75" customHeight="1">
      <c r="C745" s="196">
        <v>742</v>
      </c>
      <c r="D745" s="127"/>
      <c r="E745" s="129"/>
      <c r="F745" s="128"/>
      <c r="G745" s="129"/>
      <c r="H745" s="129"/>
      <c r="I745" s="166"/>
      <c r="J745" s="180"/>
      <c r="K745" s="128"/>
      <c r="L745" s="127"/>
      <c r="M745" s="168"/>
      <c r="N745" s="173"/>
      <c r="O745" s="141"/>
      <c r="P745" s="140"/>
      <c r="Q745" s="142"/>
      <c r="R745" s="140"/>
      <c r="S745" s="142"/>
      <c r="T745" s="140"/>
    </row>
    <row r="746" spans="3:20" ht="39.75" customHeight="1">
      <c r="C746" s="196">
        <v>743</v>
      </c>
      <c r="D746" s="127"/>
      <c r="E746" s="129"/>
      <c r="F746" s="128"/>
      <c r="G746" s="129"/>
      <c r="H746" s="129"/>
      <c r="I746" s="166"/>
      <c r="J746" s="180"/>
      <c r="K746" s="128"/>
      <c r="L746" s="127"/>
      <c r="M746" s="168"/>
      <c r="N746" s="173"/>
      <c r="O746" s="141"/>
      <c r="P746" s="140"/>
      <c r="Q746" s="142"/>
      <c r="R746" s="140"/>
      <c r="S746" s="142"/>
      <c r="T746" s="140"/>
    </row>
    <row r="747" spans="3:20" ht="39.75" customHeight="1">
      <c r="C747" s="196">
        <v>744</v>
      </c>
      <c r="D747" s="127"/>
      <c r="E747" s="129"/>
      <c r="F747" s="128"/>
      <c r="G747" s="129"/>
      <c r="H747" s="129"/>
      <c r="I747" s="166"/>
      <c r="J747" s="180"/>
      <c r="K747" s="128"/>
      <c r="L747" s="127"/>
      <c r="M747" s="168"/>
      <c r="N747" s="173"/>
      <c r="O747" s="141"/>
      <c r="P747" s="140"/>
      <c r="Q747" s="142"/>
      <c r="R747" s="140"/>
      <c r="S747" s="142"/>
      <c r="T747" s="140"/>
    </row>
    <row r="748" spans="3:20" ht="39.75" customHeight="1">
      <c r="C748" s="196">
        <v>745</v>
      </c>
      <c r="D748" s="127"/>
      <c r="E748" s="129"/>
      <c r="F748" s="128"/>
      <c r="G748" s="129"/>
      <c r="H748" s="129"/>
      <c r="I748" s="166"/>
      <c r="J748" s="180"/>
      <c r="K748" s="128"/>
      <c r="L748" s="127"/>
      <c r="M748" s="168"/>
      <c r="N748" s="173"/>
      <c r="O748" s="141"/>
      <c r="P748" s="140"/>
      <c r="Q748" s="142"/>
      <c r="R748" s="140"/>
      <c r="S748" s="142"/>
      <c r="T748" s="140"/>
    </row>
    <row r="749" spans="3:20" ht="39.75" customHeight="1">
      <c r="C749" s="196">
        <v>746</v>
      </c>
      <c r="D749" s="127"/>
      <c r="E749" s="129"/>
      <c r="F749" s="128"/>
      <c r="G749" s="129"/>
      <c r="H749" s="129"/>
      <c r="I749" s="166"/>
      <c r="J749" s="180"/>
      <c r="K749" s="128"/>
      <c r="L749" s="127"/>
      <c r="M749" s="168"/>
      <c r="N749" s="173"/>
      <c r="O749" s="141"/>
      <c r="P749" s="140"/>
      <c r="Q749" s="142"/>
      <c r="R749" s="140"/>
      <c r="S749" s="142"/>
      <c r="T749" s="140"/>
    </row>
    <row r="750" spans="3:20" ht="39.75" customHeight="1">
      <c r="C750" s="196">
        <v>747</v>
      </c>
      <c r="D750" s="127"/>
      <c r="E750" s="129"/>
      <c r="F750" s="128"/>
      <c r="G750" s="129"/>
      <c r="H750" s="129"/>
      <c r="I750" s="166"/>
      <c r="J750" s="180"/>
      <c r="K750" s="128"/>
      <c r="L750" s="127"/>
      <c r="M750" s="168"/>
      <c r="N750" s="173"/>
      <c r="O750" s="141"/>
      <c r="P750" s="140"/>
      <c r="Q750" s="142"/>
      <c r="R750" s="140"/>
      <c r="S750" s="142"/>
      <c r="T750" s="140"/>
    </row>
    <row r="751" spans="3:20" ht="39.75" customHeight="1">
      <c r="C751" s="196">
        <v>748</v>
      </c>
      <c r="D751" s="127"/>
      <c r="E751" s="129"/>
      <c r="F751" s="128"/>
      <c r="G751" s="129"/>
      <c r="H751" s="129"/>
      <c r="I751" s="166"/>
      <c r="J751" s="180"/>
      <c r="K751" s="128"/>
      <c r="L751" s="127"/>
      <c r="M751" s="168"/>
      <c r="N751" s="173"/>
      <c r="O751" s="141"/>
      <c r="P751" s="140"/>
      <c r="Q751" s="142"/>
      <c r="R751" s="140"/>
      <c r="S751" s="142"/>
      <c r="T751" s="140"/>
    </row>
    <row r="752" spans="3:20" ht="39.75" customHeight="1">
      <c r="C752" s="196">
        <v>749</v>
      </c>
      <c r="D752" s="127"/>
      <c r="E752" s="129"/>
      <c r="F752" s="128"/>
      <c r="G752" s="129"/>
      <c r="H752" s="129"/>
      <c r="I752" s="166"/>
      <c r="J752" s="180"/>
      <c r="K752" s="128"/>
      <c r="L752" s="127"/>
      <c r="M752" s="168"/>
      <c r="N752" s="173"/>
      <c r="O752" s="141"/>
      <c r="P752" s="140"/>
      <c r="Q752" s="142"/>
      <c r="R752" s="140"/>
      <c r="S752" s="142"/>
      <c r="T752" s="140"/>
    </row>
    <row r="753" spans="3:20" ht="39.75" customHeight="1">
      <c r="C753" s="196">
        <v>750</v>
      </c>
      <c r="D753" s="127"/>
      <c r="E753" s="129"/>
      <c r="F753" s="128"/>
      <c r="G753" s="129"/>
      <c r="H753" s="129"/>
      <c r="I753" s="166"/>
      <c r="J753" s="180"/>
      <c r="K753" s="128"/>
      <c r="L753" s="127"/>
      <c r="M753" s="168"/>
      <c r="N753" s="173"/>
      <c r="O753" s="141"/>
      <c r="P753" s="140"/>
      <c r="Q753" s="142"/>
      <c r="R753" s="140"/>
      <c r="S753" s="142"/>
      <c r="T753" s="140"/>
    </row>
    <row r="754" spans="3:20" ht="39.75" customHeight="1">
      <c r="C754" s="196">
        <v>751</v>
      </c>
      <c r="D754" s="127"/>
      <c r="E754" s="129"/>
      <c r="F754" s="128"/>
      <c r="G754" s="129"/>
      <c r="H754" s="129"/>
      <c r="I754" s="166"/>
      <c r="J754" s="180"/>
      <c r="K754" s="128"/>
      <c r="L754" s="127"/>
      <c r="M754" s="168"/>
      <c r="N754" s="173"/>
      <c r="O754" s="141"/>
      <c r="P754" s="140"/>
      <c r="Q754" s="142"/>
      <c r="R754" s="140"/>
      <c r="S754" s="142"/>
      <c r="T754" s="140"/>
    </row>
    <row r="755" spans="3:20" ht="39.75" customHeight="1">
      <c r="C755" s="196">
        <v>752</v>
      </c>
      <c r="D755" s="127"/>
      <c r="E755" s="129"/>
      <c r="F755" s="128"/>
      <c r="G755" s="129"/>
      <c r="H755" s="129"/>
      <c r="I755" s="166"/>
      <c r="J755" s="180"/>
      <c r="K755" s="128"/>
      <c r="L755" s="127"/>
      <c r="M755" s="168"/>
      <c r="N755" s="173"/>
      <c r="O755" s="141"/>
      <c r="P755" s="140"/>
      <c r="Q755" s="142"/>
      <c r="R755" s="140"/>
      <c r="S755" s="142"/>
      <c r="T755" s="140"/>
    </row>
    <row r="756" spans="3:20" ht="39.75" customHeight="1">
      <c r="C756" s="196">
        <v>753</v>
      </c>
      <c r="D756" s="127"/>
      <c r="E756" s="129"/>
      <c r="F756" s="128"/>
      <c r="G756" s="129"/>
      <c r="H756" s="129"/>
      <c r="I756" s="166"/>
      <c r="J756" s="180"/>
      <c r="K756" s="128"/>
      <c r="L756" s="127"/>
      <c r="M756" s="168"/>
      <c r="N756" s="173"/>
      <c r="O756" s="141"/>
      <c r="P756" s="140"/>
      <c r="Q756" s="142"/>
      <c r="R756" s="140"/>
      <c r="S756" s="142"/>
      <c r="T756" s="140"/>
    </row>
    <row r="757" spans="3:20" ht="39.75" customHeight="1">
      <c r="C757" s="196">
        <v>754</v>
      </c>
      <c r="D757" s="127"/>
      <c r="E757" s="129"/>
      <c r="F757" s="128"/>
      <c r="G757" s="129"/>
      <c r="H757" s="129"/>
      <c r="I757" s="166"/>
      <c r="J757" s="180"/>
      <c r="K757" s="128"/>
      <c r="L757" s="127"/>
      <c r="M757" s="168"/>
      <c r="N757" s="173"/>
      <c r="O757" s="141"/>
      <c r="P757" s="140"/>
      <c r="Q757" s="142"/>
      <c r="R757" s="140"/>
      <c r="S757" s="142"/>
      <c r="T757" s="140"/>
    </row>
    <row r="758" spans="3:20" ht="39.75" customHeight="1">
      <c r="C758" s="196">
        <v>755</v>
      </c>
      <c r="D758" s="127"/>
      <c r="E758" s="129"/>
      <c r="F758" s="128"/>
      <c r="G758" s="129"/>
      <c r="H758" s="129"/>
      <c r="I758" s="166"/>
      <c r="J758" s="180"/>
      <c r="K758" s="128"/>
      <c r="L758" s="127"/>
      <c r="M758" s="168"/>
      <c r="N758" s="173"/>
      <c r="O758" s="141"/>
      <c r="P758" s="140"/>
      <c r="Q758" s="142"/>
      <c r="R758" s="140"/>
      <c r="S758" s="142"/>
      <c r="T758" s="140"/>
    </row>
    <row r="759" spans="3:20" ht="39.75" customHeight="1">
      <c r="C759" s="196">
        <v>756</v>
      </c>
      <c r="D759" s="127"/>
      <c r="E759" s="129"/>
      <c r="F759" s="128"/>
      <c r="G759" s="129"/>
      <c r="H759" s="129"/>
      <c r="I759" s="166"/>
      <c r="J759" s="180"/>
      <c r="K759" s="128"/>
      <c r="L759" s="127"/>
      <c r="M759" s="168"/>
      <c r="N759" s="173"/>
      <c r="O759" s="141"/>
      <c r="P759" s="140"/>
      <c r="Q759" s="142"/>
      <c r="R759" s="140"/>
      <c r="S759" s="142"/>
      <c r="T759" s="140"/>
    </row>
    <row r="760" spans="3:20" ht="39.75" customHeight="1">
      <c r="C760" s="196">
        <v>757</v>
      </c>
      <c r="D760" s="127"/>
      <c r="E760" s="129"/>
      <c r="F760" s="128"/>
      <c r="G760" s="129"/>
      <c r="H760" s="129"/>
      <c r="I760" s="166"/>
      <c r="J760" s="180"/>
      <c r="K760" s="128"/>
      <c r="L760" s="127"/>
      <c r="M760" s="168"/>
      <c r="N760" s="173"/>
      <c r="O760" s="141"/>
      <c r="P760" s="140"/>
      <c r="Q760" s="142"/>
      <c r="R760" s="140"/>
      <c r="S760" s="142"/>
      <c r="T760" s="140"/>
    </row>
    <row r="761" spans="3:20" ht="39.75" customHeight="1">
      <c r="C761" s="196">
        <v>758</v>
      </c>
      <c r="D761" s="127"/>
      <c r="E761" s="129"/>
      <c r="F761" s="128"/>
      <c r="G761" s="129"/>
      <c r="H761" s="129"/>
      <c r="I761" s="166"/>
      <c r="J761" s="180"/>
      <c r="K761" s="128"/>
      <c r="L761" s="127"/>
      <c r="M761" s="168"/>
      <c r="N761" s="173"/>
      <c r="O761" s="141"/>
      <c r="P761" s="140"/>
      <c r="Q761" s="142"/>
      <c r="R761" s="140"/>
      <c r="S761" s="142"/>
      <c r="T761" s="140"/>
    </row>
    <row r="762" spans="3:20" ht="39.75" customHeight="1">
      <c r="C762" s="196">
        <v>759</v>
      </c>
      <c r="D762" s="127"/>
      <c r="E762" s="129"/>
      <c r="F762" s="128"/>
      <c r="G762" s="129"/>
      <c r="H762" s="129"/>
      <c r="I762" s="166"/>
      <c r="J762" s="180"/>
      <c r="K762" s="128"/>
      <c r="L762" s="127"/>
      <c r="M762" s="168"/>
      <c r="N762" s="173"/>
      <c r="O762" s="141"/>
      <c r="P762" s="140"/>
      <c r="Q762" s="142"/>
      <c r="R762" s="140"/>
      <c r="S762" s="142"/>
      <c r="T762" s="140"/>
    </row>
    <row r="763" spans="3:20" ht="39.75" customHeight="1">
      <c r="C763" s="196">
        <v>760</v>
      </c>
      <c r="D763" s="127"/>
      <c r="E763" s="129"/>
      <c r="F763" s="128"/>
      <c r="G763" s="129"/>
      <c r="H763" s="129"/>
      <c r="I763" s="166"/>
      <c r="J763" s="180"/>
      <c r="K763" s="128"/>
      <c r="L763" s="127"/>
      <c r="M763" s="168"/>
      <c r="N763" s="173"/>
      <c r="O763" s="141"/>
      <c r="P763" s="140"/>
      <c r="Q763" s="142"/>
      <c r="R763" s="140"/>
      <c r="S763" s="142"/>
      <c r="T763" s="140"/>
    </row>
    <row r="764" spans="3:20" ht="39.75" customHeight="1">
      <c r="C764" s="196">
        <v>761</v>
      </c>
      <c r="D764" s="127"/>
      <c r="E764" s="129"/>
      <c r="F764" s="128"/>
      <c r="G764" s="129"/>
      <c r="H764" s="129"/>
      <c r="I764" s="166"/>
      <c r="J764" s="180"/>
      <c r="K764" s="128"/>
      <c r="L764" s="127"/>
      <c r="M764" s="168"/>
      <c r="N764" s="173"/>
      <c r="O764" s="141"/>
      <c r="P764" s="140"/>
      <c r="Q764" s="142"/>
      <c r="R764" s="140"/>
      <c r="S764" s="142"/>
      <c r="T764" s="140"/>
    </row>
    <row r="765" spans="3:20" ht="39.75" customHeight="1">
      <c r="C765" s="196">
        <v>762</v>
      </c>
      <c r="D765" s="127"/>
      <c r="E765" s="129"/>
      <c r="F765" s="128"/>
      <c r="G765" s="129"/>
      <c r="H765" s="129"/>
      <c r="I765" s="166"/>
      <c r="J765" s="180"/>
      <c r="K765" s="128"/>
      <c r="L765" s="127"/>
      <c r="M765" s="168"/>
      <c r="N765" s="173"/>
      <c r="O765" s="141"/>
      <c r="P765" s="140"/>
      <c r="Q765" s="142"/>
      <c r="R765" s="140"/>
      <c r="S765" s="142"/>
      <c r="T765" s="140"/>
    </row>
    <row r="766" spans="3:20" ht="39.75" customHeight="1">
      <c r="C766" s="196">
        <v>763</v>
      </c>
      <c r="D766" s="127"/>
      <c r="E766" s="129"/>
      <c r="F766" s="128"/>
      <c r="G766" s="129"/>
      <c r="H766" s="129"/>
      <c r="I766" s="166"/>
      <c r="J766" s="180"/>
      <c r="K766" s="128"/>
      <c r="L766" s="127"/>
      <c r="M766" s="168"/>
      <c r="N766" s="173"/>
      <c r="O766" s="141"/>
      <c r="P766" s="140"/>
      <c r="Q766" s="142"/>
      <c r="R766" s="140"/>
      <c r="S766" s="142"/>
      <c r="T766" s="140"/>
    </row>
    <row r="767" spans="3:20" ht="39.75" customHeight="1">
      <c r="C767" s="196">
        <v>764</v>
      </c>
      <c r="D767" s="127"/>
      <c r="E767" s="129"/>
      <c r="F767" s="128"/>
      <c r="G767" s="129"/>
      <c r="H767" s="129"/>
      <c r="I767" s="166"/>
      <c r="J767" s="180"/>
      <c r="K767" s="128"/>
      <c r="L767" s="127"/>
      <c r="M767" s="168"/>
      <c r="N767" s="173"/>
      <c r="O767" s="141"/>
      <c r="P767" s="140"/>
      <c r="Q767" s="142"/>
      <c r="R767" s="140"/>
      <c r="S767" s="142"/>
      <c r="T767" s="140"/>
    </row>
    <row r="768" spans="3:20" ht="39.75" customHeight="1">
      <c r="C768" s="196">
        <v>765</v>
      </c>
      <c r="D768" s="127"/>
      <c r="E768" s="129"/>
      <c r="F768" s="128"/>
      <c r="G768" s="129"/>
      <c r="H768" s="129"/>
      <c r="I768" s="166"/>
      <c r="J768" s="180"/>
      <c r="K768" s="128"/>
      <c r="L768" s="127"/>
      <c r="M768" s="168"/>
      <c r="N768" s="173"/>
      <c r="O768" s="141"/>
      <c r="P768" s="140"/>
      <c r="Q768" s="142"/>
      <c r="R768" s="140"/>
      <c r="S768" s="142"/>
      <c r="T768" s="140"/>
    </row>
    <row r="769" spans="3:20" ht="39.75" customHeight="1">
      <c r="C769" s="196">
        <v>766</v>
      </c>
      <c r="D769" s="127"/>
      <c r="E769" s="129"/>
      <c r="F769" s="128"/>
      <c r="G769" s="129"/>
      <c r="H769" s="129"/>
      <c r="I769" s="166"/>
      <c r="J769" s="180"/>
      <c r="K769" s="128"/>
      <c r="L769" s="127"/>
      <c r="M769" s="168"/>
      <c r="N769" s="173"/>
      <c r="O769" s="141"/>
      <c r="P769" s="140"/>
      <c r="Q769" s="142"/>
      <c r="R769" s="140"/>
      <c r="S769" s="142"/>
      <c r="T769" s="140"/>
    </row>
    <row r="770" spans="3:20" ht="39.75" customHeight="1">
      <c r="C770" s="196">
        <v>767</v>
      </c>
      <c r="D770" s="127"/>
      <c r="E770" s="129"/>
      <c r="F770" s="128"/>
      <c r="G770" s="129"/>
      <c r="H770" s="129"/>
      <c r="I770" s="166"/>
      <c r="J770" s="180"/>
      <c r="K770" s="128"/>
      <c r="L770" s="127"/>
      <c r="M770" s="168"/>
      <c r="N770" s="173"/>
      <c r="O770" s="141"/>
      <c r="P770" s="140"/>
      <c r="Q770" s="142"/>
      <c r="R770" s="140"/>
      <c r="S770" s="142"/>
      <c r="T770" s="140"/>
    </row>
    <row r="771" spans="3:20" ht="39.75" customHeight="1">
      <c r="C771" s="196">
        <v>768</v>
      </c>
      <c r="D771" s="127"/>
      <c r="E771" s="129"/>
      <c r="F771" s="128"/>
      <c r="G771" s="129"/>
      <c r="H771" s="129"/>
      <c r="I771" s="166"/>
      <c r="J771" s="180"/>
      <c r="K771" s="128"/>
      <c r="L771" s="127"/>
      <c r="M771" s="168"/>
      <c r="N771" s="173"/>
      <c r="O771" s="141"/>
      <c r="P771" s="140"/>
      <c r="Q771" s="142"/>
      <c r="R771" s="140"/>
      <c r="S771" s="142"/>
      <c r="T771" s="140"/>
    </row>
    <row r="772" spans="3:20" ht="39.75" customHeight="1">
      <c r="C772" s="196">
        <v>769</v>
      </c>
      <c r="D772" s="127"/>
      <c r="E772" s="129"/>
      <c r="F772" s="128"/>
      <c r="G772" s="129"/>
      <c r="H772" s="129"/>
      <c r="I772" s="166"/>
      <c r="J772" s="180"/>
      <c r="K772" s="128"/>
      <c r="L772" s="127"/>
      <c r="M772" s="168"/>
      <c r="N772" s="173"/>
      <c r="O772" s="141"/>
      <c r="P772" s="140"/>
      <c r="Q772" s="142"/>
      <c r="R772" s="140"/>
      <c r="S772" s="142"/>
      <c r="T772" s="140"/>
    </row>
    <row r="773" spans="3:20" ht="39.75" customHeight="1">
      <c r="C773" s="196">
        <v>770</v>
      </c>
      <c r="D773" s="127"/>
      <c r="E773" s="129"/>
      <c r="F773" s="128"/>
      <c r="G773" s="129"/>
      <c r="H773" s="129"/>
      <c r="I773" s="166"/>
      <c r="J773" s="180"/>
      <c r="K773" s="128"/>
      <c r="L773" s="127"/>
      <c r="M773" s="168"/>
      <c r="N773" s="173"/>
      <c r="O773" s="141"/>
      <c r="P773" s="140"/>
      <c r="Q773" s="142"/>
      <c r="R773" s="140"/>
      <c r="S773" s="142"/>
      <c r="T773" s="140"/>
    </row>
    <row r="774" spans="3:20" ht="39.75" customHeight="1">
      <c r="C774" s="196">
        <v>771</v>
      </c>
      <c r="D774" s="127"/>
      <c r="E774" s="129"/>
      <c r="F774" s="128"/>
      <c r="G774" s="129"/>
      <c r="H774" s="129"/>
      <c r="I774" s="166"/>
      <c r="J774" s="180"/>
      <c r="K774" s="128"/>
      <c r="L774" s="127"/>
      <c r="M774" s="168"/>
      <c r="N774" s="173"/>
      <c r="O774" s="141"/>
      <c r="P774" s="140"/>
      <c r="Q774" s="142"/>
      <c r="R774" s="140"/>
      <c r="S774" s="142"/>
      <c r="T774" s="140"/>
    </row>
    <row r="775" spans="3:20" ht="39.75" customHeight="1">
      <c r="C775" s="196">
        <v>772</v>
      </c>
      <c r="D775" s="127"/>
      <c r="E775" s="129"/>
      <c r="F775" s="128"/>
      <c r="G775" s="129"/>
      <c r="H775" s="129"/>
      <c r="I775" s="166"/>
      <c r="J775" s="180"/>
      <c r="K775" s="128"/>
      <c r="L775" s="127"/>
      <c r="M775" s="168"/>
      <c r="N775" s="173"/>
      <c r="O775" s="141"/>
      <c r="P775" s="140"/>
      <c r="Q775" s="142"/>
      <c r="R775" s="140"/>
      <c r="S775" s="142"/>
      <c r="T775" s="140"/>
    </row>
    <row r="776" spans="3:20" ht="39.75" customHeight="1">
      <c r="C776" s="196">
        <v>773</v>
      </c>
      <c r="D776" s="127"/>
      <c r="E776" s="129"/>
      <c r="F776" s="128"/>
      <c r="G776" s="129"/>
      <c r="H776" s="129"/>
      <c r="I776" s="166"/>
      <c r="J776" s="180"/>
      <c r="K776" s="128"/>
      <c r="L776" s="127"/>
      <c r="M776" s="168"/>
      <c r="N776" s="173"/>
      <c r="O776" s="141"/>
      <c r="P776" s="140"/>
      <c r="Q776" s="142"/>
      <c r="R776" s="140"/>
      <c r="S776" s="142"/>
      <c r="T776" s="140"/>
    </row>
    <row r="777" spans="3:20" ht="39.75" customHeight="1">
      <c r="C777" s="196">
        <v>774</v>
      </c>
      <c r="D777" s="127"/>
      <c r="E777" s="129"/>
      <c r="F777" s="128"/>
      <c r="G777" s="129"/>
      <c r="H777" s="129"/>
      <c r="I777" s="166"/>
      <c r="J777" s="180"/>
      <c r="K777" s="128"/>
      <c r="L777" s="127"/>
      <c r="M777" s="168"/>
      <c r="N777" s="173"/>
      <c r="O777" s="141"/>
      <c r="P777" s="140"/>
      <c r="Q777" s="142"/>
      <c r="R777" s="140"/>
      <c r="S777" s="142"/>
      <c r="T777" s="140"/>
    </row>
    <row r="778" spans="3:20" ht="39.75" customHeight="1">
      <c r="C778" s="196">
        <v>775</v>
      </c>
      <c r="D778" s="127"/>
      <c r="E778" s="129"/>
      <c r="F778" s="128"/>
      <c r="G778" s="129"/>
      <c r="H778" s="129"/>
      <c r="I778" s="166"/>
      <c r="J778" s="180"/>
      <c r="K778" s="128"/>
      <c r="L778" s="127"/>
      <c r="M778" s="168"/>
      <c r="N778" s="173"/>
      <c r="O778" s="141"/>
      <c r="P778" s="140"/>
      <c r="Q778" s="142"/>
      <c r="R778" s="140"/>
      <c r="S778" s="142"/>
      <c r="T778" s="140"/>
    </row>
    <row r="779" spans="3:20" ht="39.75" customHeight="1">
      <c r="C779" s="196">
        <v>776</v>
      </c>
      <c r="D779" s="127"/>
      <c r="E779" s="129"/>
      <c r="F779" s="128"/>
      <c r="G779" s="129"/>
      <c r="H779" s="129"/>
      <c r="I779" s="166"/>
      <c r="J779" s="180"/>
      <c r="K779" s="128"/>
      <c r="L779" s="127"/>
      <c r="M779" s="168"/>
      <c r="N779" s="173"/>
      <c r="O779" s="141"/>
      <c r="P779" s="140"/>
      <c r="Q779" s="142"/>
      <c r="R779" s="140"/>
      <c r="S779" s="142"/>
      <c r="T779" s="140"/>
    </row>
    <row r="780" spans="3:20" ht="39.75" customHeight="1">
      <c r="C780" s="196">
        <v>777</v>
      </c>
      <c r="D780" s="127"/>
      <c r="E780" s="129"/>
      <c r="F780" s="128"/>
      <c r="G780" s="129"/>
      <c r="H780" s="129"/>
      <c r="I780" s="166"/>
      <c r="J780" s="180"/>
      <c r="K780" s="128"/>
      <c r="L780" s="127"/>
      <c r="M780" s="168"/>
      <c r="N780" s="173"/>
      <c r="O780" s="141"/>
      <c r="P780" s="140"/>
      <c r="Q780" s="142"/>
      <c r="R780" s="140"/>
      <c r="S780" s="142"/>
      <c r="T780" s="140"/>
    </row>
    <row r="781" spans="3:20" ht="39.75" customHeight="1">
      <c r="C781" s="196">
        <v>778</v>
      </c>
      <c r="D781" s="127"/>
      <c r="E781" s="129"/>
      <c r="F781" s="128"/>
      <c r="G781" s="129"/>
      <c r="H781" s="129"/>
      <c r="I781" s="166"/>
      <c r="J781" s="180"/>
      <c r="K781" s="128"/>
      <c r="L781" s="127"/>
      <c r="M781" s="168"/>
      <c r="N781" s="173"/>
      <c r="O781" s="141"/>
      <c r="P781" s="140"/>
      <c r="Q781" s="142"/>
      <c r="R781" s="140"/>
      <c r="S781" s="142"/>
      <c r="T781" s="140"/>
    </row>
    <row r="782" spans="3:20" ht="39.75" customHeight="1">
      <c r="C782" s="196">
        <v>779</v>
      </c>
      <c r="D782" s="127"/>
      <c r="E782" s="129"/>
      <c r="F782" s="128"/>
      <c r="G782" s="129"/>
      <c r="H782" s="129"/>
      <c r="I782" s="166"/>
      <c r="J782" s="180"/>
      <c r="K782" s="128"/>
      <c r="L782" s="127"/>
      <c r="M782" s="168"/>
      <c r="N782" s="173"/>
      <c r="O782" s="141"/>
      <c r="P782" s="140"/>
      <c r="Q782" s="142"/>
      <c r="R782" s="140"/>
      <c r="S782" s="142"/>
      <c r="T782" s="140"/>
    </row>
    <row r="783" spans="3:20" ht="39.75" customHeight="1">
      <c r="C783" s="196">
        <v>780</v>
      </c>
      <c r="D783" s="127"/>
      <c r="E783" s="129"/>
      <c r="F783" s="128"/>
      <c r="G783" s="129"/>
      <c r="H783" s="129"/>
      <c r="I783" s="166"/>
      <c r="J783" s="180"/>
      <c r="K783" s="128"/>
      <c r="L783" s="127"/>
      <c r="M783" s="168"/>
      <c r="N783" s="173"/>
      <c r="O783" s="141"/>
      <c r="P783" s="140"/>
      <c r="Q783" s="142"/>
      <c r="R783" s="140"/>
      <c r="S783" s="142"/>
      <c r="T783" s="140"/>
    </row>
    <row r="784" spans="3:20" ht="39.75" customHeight="1">
      <c r="C784" s="196">
        <v>781</v>
      </c>
      <c r="D784" s="127"/>
      <c r="E784" s="129"/>
      <c r="F784" s="128"/>
      <c r="G784" s="129"/>
      <c r="H784" s="129"/>
      <c r="I784" s="166"/>
      <c r="J784" s="180"/>
      <c r="K784" s="128"/>
      <c r="L784" s="127"/>
      <c r="M784" s="168"/>
      <c r="N784" s="173"/>
      <c r="O784" s="141"/>
      <c r="P784" s="140"/>
      <c r="Q784" s="142"/>
      <c r="R784" s="140"/>
      <c r="S784" s="142"/>
      <c r="T784" s="140"/>
    </row>
    <row r="785" spans="3:20" ht="39.75" customHeight="1">
      <c r="C785" s="196">
        <v>782</v>
      </c>
      <c r="D785" s="127"/>
      <c r="E785" s="129"/>
      <c r="F785" s="128"/>
      <c r="G785" s="129"/>
      <c r="H785" s="129"/>
      <c r="I785" s="166"/>
      <c r="J785" s="180"/>
      <c r="K785" s="128"/>
      <c r="L785" s="127"/>
      <c r="M785" s="168"/>
      <c r="N785" s="173"/>
      <c r="O785" s="141"/>
      <c r="P785" s="140"/>
      <c r="Q785" s="142"/>
      <c r="R785" s="140"/>
      <c r="S785" s="142"/>
      <c r="T785" s="140"/>
    </row>
    <row r="786" spans="3:20" ht="39.75" customHeight="1">
      <c r="C786" s="196">
        <v>783</v>
      </c>
      <c r="D786" s="127"/>
      <c r="E786" s="129"/>
      <c r="F786" s="128"/>
      <c r="G786" s="129"/>
      <c r="H786" s="129"/>
      <c r="I786" s="166"/>
      <c r="J786" s="180"/>
      <c r="K786" s="128"/>
      <c r="L786" s="127"/>
      <c r="M786" s="168"/>
      <c r="N786" s="173"/>
      <c r="O786" s="141"/>
      <c r="P786" s="140"/>
      <c r="Q786" s="142"/>
      <c r="R786" s="140"/>
      <c r="S786" s="142"/>
      <c r="T786" s="140"/>
    </row>
    <row r="787" spans="3:20" ht="39.75" customHeight="1">
      <c r="C787" s="196">
        <v>784</v>
      </c>
      <c r="D787" s="127"/>
      <c r="E787" s="129"/>
      <c r="F787" s="128"/>
      <c r="G787" s="129"/>
      <c r="H787" s="129"/>
      <c r="I787" s="166"/>
      <c r="J787" s="180"/>
      <c r="K787" s="128"/>
      <c r="L787" s="127"/>
      <c r="M787" s="168"/>
      <c r="N787" s="173"/>
      <c r="O787" s="141"/>
      <c r="P787" s="140"/>
      <c r="Q787" s="142"/>
      <c r="R787" s="140"/>
      <c r="S787" s="142"/>
      <c r="T787" s="140"/>
    </row>
    <row r="788" spans="3:20" ht="39.75" customHeight="1">
      <c r="C788" s="196">
        <v>785</v>
      </c>
      <c r="D788" s="127"/>
      <c r="E788" s="129"/>
      <c r="F788" s="128"/>
      <c r="G788" s="129"/>
      <c r="H788" s="129"/>
      <c r="I788" s="166"/>
      <c r="J788" s="180"/>
      <c r="K788" s="128"/>
      <c r="L788" s="127"/>
      <c r="M788" s="168"/>
      <c r="N788" s="173"/>
      <c r="O788" s="141"/>
      <c r="P788" s="140"/>
      <c r="Q788" s="142"/>
      <c r="R788" s="140"/>
      <c r="S788" s="142"/>
      <c r="T788" s="140"/>
    </row>
    <row r="789" spans="3:20" ht="39.75" customHeight="1">
      <c r="C789" s="196">
        <v>786</v>
      </c>
      <c r="D789" s="127"/>
      <c r="E789" s="129"/>
      <c r="F789" s="128"/>
      <c r="G789" s="129"/>
      <c r="H789" s="129"/>
      <c r="I789" s="166"/>
      <c r="J789" s="180"/>
      <c r="K789" s="128"/>
      <c r="L789" s="127"/>
      <c r="M789" s="168"/>
      <c r="N789" s="173"/>
      <c r="O789" s="141"/>
      <c r="P789" s="140"/>
      <c r="Q789" s="142"/>
      <c r="R789" s="140"/>
      <c r="S789" s="142"/>
      <c r="T789" s="140"/>
    </row>
    <row r="790" spans="3:20" ht="39.75" customHeight="1">
      <c r="C790" s="196">
        <v>787</v>
      </c>
      <c r="D790" s="127"/>
      <c r="E790" s="129"/>
      <c r="F790" s="128"/>
      <c r="G790" s="129"/>
      <c r="H790" s="129"/>
      <c r="I790" s="166"/>
      <c r="J790" s="180"/>
      <c r="K790" s="128"/>
      <c r="L790" s="127"/>
      <c r="M790" s="168"/>
      <c r="N790" s="173"/>
      <c r="O790" s="141"/>
      <c r="P790" s="140"/>
      <c r="Q790" s="142"/>
      <c r="R790" s="140"/>
      <c r="S790" s="142"/>
      <c r="T790" s="140"/>
    </row>
    <row r="791" spans="3:20" ht="39.75" customHeight="1">
      <c r="C791" s="196">
        <v>788</v>
      </c>
      <c r="D791" s="127"/>
      <c r="E791" s="129"/>
      <c r="F791" s="128"/>
      <c r="G791" s="129"/>
      <c r="H791" s="129"/>
      <c r="I791" s="166"/>
      <c r="J791" s="180"/>
      <c r="K791" s="128"/>
      <c r="L791" s="127"/>
      <c r="M791" s="168"/>
      <c r="N791" s="173"/>
      <c r="O791" s="141"/>
      <c r="P791" s="140"/>
      <c r="Q791" s="142"/>
      <c r="R791" s="140"/>
      <c r="S791" s="142"/>
      <c r="T791" s="140"/>
    </row>
    <row r="792" spans="3:20" ht="39.75" customHeight="1">
      <c r="C792" s="196">
        <v>789</v>
      </c>
      <c r="D792" s="127"/>
      <c r="E792" s="129"/>
      <c r="F792" s="128"/>
      <c r="G792" s="129"/>
      <c r="H792" s="129"/>
      <c r="I792" s="166"/>
      <c r="J792" s="180"/>
      <c r="K792" s="128"/>
      <c r="L792" s="127"/>
      <c r="M792" s="168"/>
      <c r="N792" s="173"/>
      <c r="O792" s="141"/>
      <c r="P792" s="140"/>
      <c r="Q792" s="142"/>
      <c r="R792" s="140"/>
      <c r="S792" s="142"/>
      <c r="T792" s="140"/>
    </row>
    <row r="793" spans="3:20" ht="39.75" customHeight="1">
      <c r="C793" s="196">
        <v>790</v>
      </c>
      <c r="D793" s="127"/>
      <c r="E793" s="129"/>
      <c r="F793" s="128"/>
      <c r="G793" s="129"/>
      <c r="H793" s="129"/>
      <c r="I793" s="166"/>
      <c r="J793" s="180"/>
      <c r="K793" s="128"/>
      <c r="L793" s="127"/>
      <c r="M793" s="168"/>
      <c r="N793" s="173"/>
      <c r="O793" s="141"/>
      <c r="P793" s="140"/>
      <c r="Q793" s="142"/>
      <c r="R793" s="140"/>
      <c r="S793" s="142"/>
      <c r="T793" s="140"/>
    </row>
    <row r="794" spans="3:20" ht="39.75" customHeight="1">
      <c r="C794" s="196">
        <v>791</v>
      </c>
      <c r="D794" s="127"/>
      <c r="E794" s="129"/>
      <c r="F794" s="128"/>
      <c r="G794" s="129"/>
      <c r="H794" s="129"/>
      <c r="I794" s="166"/>
      <c r="J794" s="180"/>
      <c r="K794" s="128"/>
      <c r="L794" s="127"/>
      <c r="M794" s="168"/>
      <c r="N794" s="173"/>
      <c r="O794" s="141"/>
      <c r="P794" s="140"/>
      <c r="Q794" s="142"/>
      <c r="R794" s="140"/>
      <c r="S794" s="142"/>
      <c r="T794" s="140"/>
    </row>
    <row r="795" spans="3:20" ht="39.75" customHeight="1">
      <c r="C795" s="196">
        <v>792</v>
      </c>
      <c r="D795" s="127"/>
      <c r="E795" s="129"/>
      <c r="F795" s="128"/>
      <c r="G795" s="129"/>
      <c r="H795" s="129"/>
      <c r="I795" s="166"/>
      <c r="J795" s="180"/>
      <c r="K795" s="128"/>
      <c r="L795" s="127"/>
      <c r="M795" s="168"/>
      <c r="N795" s="173"/>
      <c r="O795" s="141"/>
      <c r="P795" s="140"/>
      <c r="Q795" s="142"/>
      <c r="R795" s="140"/>
      <c r="S795" s="142"/>
      <c r="T795" s="140"/>
    </row>
    <row r="796" spans="3:20" ht="39.75" customHeight="1">
      <c r="C796" s="196">
        <v>793</v>
      </c>
      <c r="D796" s="127"/>
      <c r="E796" s="129"/>
      <c r="F796" s="128"/>
      <c r="G796" s="129"/>
      <c r="H796" s="129"/>
      <c r="I796" s="166"/>
      <c r="J796" s="180"/>
      <c r="K796" s="128"/>
      <c r="L796" s="127"/>
      <c r="M796" s="168"/>
      <c r="N796" s="173"/>
      <c r="O796" s="141"/>
      <c r="P796" s="140"/>
      <c r="Q796" s="142"/>
      <c r="R796" s="140"/>
      <c r="S796" s="142"/>
      <c r="T796" s="140"/>
    </row>
    <row r="797" spans="3:20" ht="39.75" customHeight="1">
      <c r="C797" s="196">
        <v>794</v>
      </c>
      <c r="D797" s="127"/>
      <c r="E797" s="129"/>
      <c r="F797" s="128"/>
      <c r="G797" s="129"/>
      <c r="H797" s="129"/>
      <c r="I797" s="166"/>
      <c r="J797" s="180"/>
      <c r="K797" s="128"/>
      <c r="L797" s="127"/>
      <c r="M797" s="168"/>
      <c r="N797" s="173"/>
      <c r="O797" s="141"/>
      <c r="P797" s="140"/>
      <c r="Q797" s="142"/>
      <c r="R797" s="140"/>
      <c r="S797" s="142"/>
      <c r="T797" s="140"/>
    </row>
    <row r="798" spans="3:20" ht="39.75" customHeight="1">
      <c r="C798" s="196">
        <v>795</v>
      </c>
      <c r="D798" s="127"/>
      <c r="E798" s="129"/>
      <c r="F798" s="128"/>
      <c r="G798" s="129"/>
      <c r="H798" s="129"/>
      <c r="I798" s="166"/>
      <c r="J798" s="180"/>
      <c r="K798" s="128"/>
      <c r="L798" s="127"/>
      <c r="M798" s="168"/>
      <c r="N798" s="173"/>
      <c r="O798" s="141"/>
      <c r="P798" s="140"/>
      <c r="Q798" s="142"/>
      <c r="R798" s="140"/>
      <c r="S798" s="142"/>
      <c r="T798" s="140"/>
    </row>
    <row r="799" spans="3:20" ht="39.75" customHeight="1">
      <c r="C799" s="196">
        <v>796</v>
      </c>
      <c r="D799" s="127"/>
      <c r="E799" s="129"/>
      <c r="F799" s="128"/>
      <c r="G799" s="129"/>
      <c r="H799" s="129"/>
      <c r="I799" s="166"/>
      <c r="J799" s="180"/>
      <c r="K799" s="128"/>
      <c r="L799" s="127"/>
      <c r="M799" s="168"/>
      <c r="N799" s="173"/>
      <c r="O799" s="141"/>
      <c r="P799" s="140"/>
      <c r="Q799" s="142"/>
      <c r="R799" s="140"/>
      <c r="S799" s="142"/>
      <c r="T799" s="140"/>
    </row>
    <row r="800" spans="3:20" ht="39.75" customHeight="1">
      <c r="C800" s="196">
        <v>797</v>
      </c>
      <c r="D800" s="127"/>
      <c r="E800" s="129"/>
      <c r="F800" s="128"/>
      <c r="G800" s="129"/>
      <c r="H800" s="129"/>
      <c r="I800" s="166"/>
      <c r="J800" s="180"/>
      <c r="K800" s="128"/>
      <c r="L800" s="127"/>
      <c r="M800" s="168"/>
      <c r="N800" s="173"/>
      <c r="O800" s="141"/>
      <c r="P800" s="140"/>
      <c r="Q800" s="142"/>
      <c r="R800" s="140"/>
      <c r="S800" s="142"/>
      <c r="T800" s="140"/>
    </row>
    <row r="801" spans="3:20" ht="39.75" customHeight="1">
      <c r="C801" s="196">
        <v>798</v>
      </c>
      <c r="D801" s="127"/>
      <c r="E801" s="129"/>
      <c r="F801" s="128"/>
      <c r="G801" s="129"/>
      <c r="H801" s="129"/>
      <c r="I801" s="166"/>
      <c r="J801" s="180"/>
      <c r="K801" s="128"/>
      <c r="L801" s="127"/>
      <c r="M801" s="168"/>
      <c r="N801" s="173"/>
      <c r="O801" s="141"/>
      <c r="P801" s="140"/>
      <c r="Q801" s="142"/>
      <c r="R801" s="140"/>
      <c r="S801" s="142"/>
      <c r="T801" s="140"/>
    </row>
    <row r="802" spans="3:20" ht="39.75" customHeight="1">
      <c r="C802" s="196">
        <v>799</v>
      </c>
      <c r="D802" s="127"/>
      <c r="E802" s="129"/>
      <c r="F802" s="128"/>
      <c r="G802" s="129"/>
      <c r="H802" s="129"/>
      <c r="I802" s="166"/>
      <c r="J802" s="180"/>
      <c r="K802" s="128"/>
      <c r="L802" s="127"/>
      <c r="M802" s="168"/>
      <c r="N802" s="173"/>
      <c r="O802" s="141"/>
      <c r="P802" s="140"/>
      <c r="Q802" s="142"/>
      <c r="R802" s="140"/>
      <c r="S802" s="142"/>
      <c r="T802" s="140"/>
    </row>
    <row r="803" spans="3:20" ht="39.75" customHeight="1">
      <c r="C803" s="196">
        <v>800</v>
      </c>
      <c r="D803" s="127"/>
      <c r="E803" s="129"/>
      <c r="F803" s="128"/>
      <c r="G803" s="129"/>
      <c r="H803" s="129"/>
      <c r="I803" s="166"/>
      <c r="J803" s="180"/>
      <c r="K803" s="128"/>
      <c r="L803" s="127"/>
      <c r="M803" s="168"/>
      <c r="N803" s="173"/>
      <c r="O803" s="141"/>
      <c r="P803" s="140"/>
      <c r="Q803" s="142"/>
      <c r="R803" s="140"/>
      <c r="S803" s="142"/>
      <c r="T803" s="140"/>
    </row>
    <row r="804" spans="3:20" ht="39.75" customHeight="1">
      <c r="C804" s="196">
        <v>801</v>
      </c>
      <c r="D804" s="127"/>
      <c r="E804" s="129"/>
      <c r="F804" s="128"/>
      <c r="G804" s="129"/>
      <c r="H804" s="129"/>
      <c r="I804" s="166"/>
      <c r="J804" s="180"/>
      <c r="K804" s="128"/>
      <c r="L804" s="127"/>
      <c r="M804" s="168"/>
      <c r="N804" s="173"/>
      <c r="O804" s="141"/>
      <c r="P804" s="140"/>
      <c r="Q804" s="142"/>
      <c r="R804" s="140"/>
      <c r="S804" s="142"/>
      <c r="T804" s="140"/>
    </row>
    <row r="805" spans="3:20" ht="39.75" customHeight="1">
      <c r="C805" s="196">
        <v>802</v>
      </c>
      <c r="D805" s="127"/>
      <c r="E805" s="129"/>
      <c r="F805" s="128"/>
      <c r="G805" s="129"/>
      <c r="H805" s="129"/>
      <c r="I805" s="166"/>
      <c r="J805" s="180"/>
      <c r="K805" s="128"/>
      <c r="L805" s="127"/>
      <c r="M805" s="168"/>
      <c r="N805" s="173"/>
      <c r="O805" s="141"/>
      <c r="P805" s="140"/>
      <c r="Q805" s="142"/>
      <c r="R805" s="140"/>
      <c r="S805" s="142"/>
      <c r="T805" s="140"/>
    </row>
    <row r="806" spans="3:20" ht="39.75" customHeight="1">
      <c r="C806" s="196">
        <v>803</v>
      </c>
      <c r="D806" s="127"/>
      <c r="E806" s="129"/>
      <c r="F806" s="128"/>
      <c r="G806" s="129"/>
      <c r="H806" s="129"/>
      <c r="I806" s="166"/>
      <c r="J806" s="180"/>
      <c r="K806" s="128"/>
      <c r="L806" s="127"/>
      <c r="M806" s="168"/>
      <c r="N806" s="173"/>
      <c r="O806" s="141"/>
      <c r="P806" s="140"/>
      <c r="Q806" s="142"/>
      <c r="R806" s="140"/>
      <c r="S806" s="142"/>
      <c r="T806" s="140"/>
    </row>
    <row r="807" spans="3:20" ht="39.75" customHeight="1">
      <c r="C807" s="196">
        <v>804</v>
      </c>
      <c r="D807" s="127"/>
      <c r="E807" s="129"/>
      <c r="F807" s="128"/>
      <c r="G807" s="129"/>
      <c r="H807" s="129"/>
      <c r="I807" s="166"/>
      <c r="J807" s="180"/>
      <c r="K807" s="128"/>
      <c r="L807" s="127"/>
      <c r="M807" s="168"/>
      <c r="N807" s="173"/>
      <c r="O807" s="141"/>
      <c r="P807" s="140"/>
      <c r="Q807" s="142"/>
      <c r="R807" s="140"/>
      <c r="S807" s="142"/>
      <c r="T807" s="140"/>
    </row>
    <row r="808" spans="3:20" ht="39.75" customHeight="1">
      <c r="C808" s="196">
        <v>805</v>
      </c>
      <c r="D808" s="127"/>
      <c r="E808" s="129"/>
      <c r="F808" s="128"/>
      <c r="G808" s="129"/>
      <c r="H808" s="129"/>
      <c r="I808" s="166"/>
      <c r="J808" s="180"/>
      <c r="K808" s="128"/>
      <c r="L808" s="127"/>
      <c r="M808" s="168"/>
      <c r="N808" s="173"/>
      <c r="O808" s="141"/>
      <c r="P808" s="140"/>
      <c r="Q808" s="142"/>
      <c r="R808" s="140"/>
      <c r="S808" s="142"/>
      <c r="T808" s="140"/>
    </row>
    <row r="809" spans="3:20" ht="39.75" customHeight="1">
      <c r="C809" s="196">
        <v>806</v>
      </c>
      <c r="D809" s="127"/>
      <c r="E809" s="129"/>
      <c r="F809" s="128"/>
      <c r="G809" s="129"/>
      <c r="H809" s="129"/>
      <c r="I809" s="166"/>
      <c r="J809" s="180"/>
      <c r="K809" s="128"/>
      <c r="L809" s="127"/>
      <c r="M809" s="168"/>
      <c r="N809" s="173"/>
      <c r="O809" s="141"/>
      <c r="P809" s="140"/>
      <c r="Q809" s="142"/>
      <c r="R809" s="140"/>
      <c r="S809" s="142"/>
      <c r="T809" s="140"/>
    </row>
    <row r="810" spans="3:20" ht="39.75" customHeight="1">
      <c r="C810" s="196">
        <v>807</v>
      </c>
      <c r="D810" s="127"/>
      <c r="E810" s="129"/>
      <c r="F810" s="128"/>
      <c r="G810" s="129"/>
      <c r="H810" s="129"/>
      <c r="I810" s="166"/>
      <c r="J810" s="180"/>
      <c r="K810" s="128"/>
      <c r="L810" s="127"/>
      <c r="M810" s="168"/>
      <c r="N810" s="173"/>
      <c r="O810" s="141"/>
      <c r="P810" s="140"/>
      <c r="Q810" s="142"/>
      <c r="R810" s="140"/>
      <c r="S810" s="142"/>
      <c r="T810" s="140"/>
    </row>
    <row r="811" spans="3:20" ht="39.75" customHeight="1">
      <c r="C811" s="196">
        <v>808</v>
      </c>
      <c r="D811" s="127"/>
      <c r="E811" s="129"/>
      <c r="F811" s="128"/>
      <c r="G811" s="129"/>
      <c r="H811" s="129"/>
      <c r="I811" s="166"/>
      <c r="J811" s="180"/>
      <c r="K811" s="128"/>
      <c r="L811" s="127"/>
      <c r="M811" s="168"/>
      <c r="N811" s="173"/>
      <c r="O811" s="141"/>
      <c r="P811" s="140"/>
      <c r="Q811" s="142"/>
      <c r="R811" s="140"/>
      <c r="S811" s="142"/>
      <c r="T811" s="140"/>
    </row>
    <row r="812" spans="3:20" ht="39.75" customHeight="1">
      <c r="C812" s="196">
        <v>809</v>
      </c>
      <c r="D812" s="127"/>
      <c r="E812" s="129"/>
      <c r="F812" s="128"/>
      <c r="G812" s="129"/>
      <c r="H812" s="129"/>
      <c r="I812" s="166"/>
      <c r="J812" s="180"/>
      <c r="K812" s="128"/>
      <c r="L812" s="127"/>
      <c r="M812" s="168"/>
      <c r="N812" s="173"/>
      <c r="O812" s="141"/>
      <c r="P812" s="140"/>
      <c r="Q812" s="142"/>
      <c r="R812" s="140"/>
      <c r="S812" s="142"/>
      <c r="T812" s="140"/>
    </row>
    <row r="813" spans="3:20" ht="39.75" customHeight="1">
      <c r="C813" s="196">
        <v>810</v>
      </c>
      <c r="D813" s="127"/>
      <c r="E813" s="129"/>
      <c r="F813" s="128"/>
      <c r="G813" s="129"/>
      <c r="H813" s="129"/>
      <c r="I813" s="166"/>
      <c r="J813" s="180"/>
      <c r="K813" s="128"/>
      <c r="L813" s="127"/>
      <c r="M813" s="168"/>
      <c r="N813" s="173"/>
      <c r="O813" s="141"/>
      <c r="P813" s="140"/>
      <c r="Q813" s="142"/>
      <c r="R813" s="140"/>
      <c r="S813" s="142"/>
      <c r="T813" s="140"/>
    </row>
    <row r="814" spans="3:20" ht="39.75" customHeight="1">
      <c r="C814" s="196">
        <v>811</v>
      </c>
      <c r="D814" s="127"/>
      <c r="E814" s="129"/>
      <c r="F814" s="128"/>
      <c r="G814" s="129"/>
      <c r="H814" s="129"/>
      <c r="I814" s="166"/>
      <c r="J814" s="180"/>
      <c r="K814" s="128"/>
      <c r="L814" s="127"/>
      <c r="M814" s="168"/>
      <c r="N814" s="173"/>
      <c r="O814" s="141"/>
      <c r="P814" s="140"/>
      <c r="Q814" s="142"/>
      <c r="R814" s="140"/>
      <c r="S814" s="142"/>
      <c r="T814" s="140"/>
    </row>
    <row r="815" spans="3:20" ht="39.75" customHeight="1">
      <c r="C815" s="196">
        <v>812</v>
      </c>
      <c r="D815" s="127"/>
      <c r="E815" s="129"/>
      <c r="F815" s="128"/>
      <c r="G815" s="129"/>
      <c r="H815" s="129"/>
      <c r="I815" s="166"/>
      <c r="J815" s="180"/>
      <c r="K815" s="128"/>
      <c r="L815" s="127"/>
      <c r="M815" s="168"/>
      <c r="N815" s="173"/>
      <c r="O815" s="141"/>
      <c r="P815" s="140"/>
      <c r="Q815" s="142"/>
      <c r="R815" s="140"/>
      <c r="S815" s="142"/>
      <c r="T815" s="140"/>
    </row>
    <row r="816" spans="3:20" ht="39.75" customHeight="1">
      <c r="C816" s="196">
        <v>813</v>
      </c>
      <c r="D816" s="127"/>
      <c r="E816" s="129"/>
      <c r="F816" s="128"/>
      <c r="G816" s="129"/>
      <c r="H816" s="129"/>
      <c r="I816" s="166"/>
      <c r="J816" s="180"/>
      <c r="K816" s="128"/>
      <c r="L816" s="127"/>
      <c r="M816" s="168"/>
      <c r="N816" s="173"/>
      <c r="O816" s="141"/>
      <c r="P816" s="140"/>
      <c r="Q816" s="142"/>
      <c r="R816" s="140"/>
      <c r="S816" s="142"/>
      <c r="T816" s="140"/>
    </row>
    <row r="817" spans="3:20" ht="39.75" customHeight="1">
      <c r="C817" s="196">
        <v>814</v>
      </c>
      <c r="D817" s="127"/>
      <c r="E817" s="129"/>
      <c r="F817" s="128"/>
      <c r="G817" s="129"/>
      <c r="H817" s="129"/>
      <c r="I817" s="166"/>
      <c r="J817" s="180"/>
      <c r="K817" s="128"/>
      <c r="L817" s="127"/>
      <c r="M817" s="168"/>
      <c r="N817" s="173"/>
      <c r="O817" s="141"/>
      <c r="P817" s="140"/>
      <c r="Q817" s="142"/>
      <c r="R817" s="140"/>
      <c r="S817" s="142"/>
      <c r="T817" s="140"/>
    </row>
    <row r="818" spans="3:20" ht="39.75" customHeight="1">
      <c r="C818" s="196">
        <v>815</v>
      </c>
      <c r="D818" s="127"/>
      <c r="E818" s="129"/>
      <c r="F818" s="128"/>
      <c r="G818" s="129"/>
      <c r="H818" s="129"/>
      <c r="I818" s="166"/>
      <c r="J818" s="180"/>
      <c r="K818" s="128"/>
      <c r="L818" s="127"/>
      <c r="M818" s="168"/>
      <c r="N818" s="173"/>
      <c r="O818" s="141"/>
      <c r="P818" s="140"/>
      <c r="Q818" s="142"/>
      <c r="R818" s="140"/>
      <c r="S818" s="142"/>
      <c r="T818" s="140"/>
    </row>
    <row r="819" spans="3:20" ht="39.75" customHeight="1">
      <c r="C819" s="196">
        <v>816</v>
      </c>
      <c r="D819" s="127"/>
      <c r="E819" s="129"/>
      <c r="F819" s="128"/>
      <c r="G819" s="129"/>
      <c r="H819" s="129"/>
      <c r="I819" s="166"/>
      <c r="J819" s="180"/>
      <c r="K819" s="128"/>
      <c r="L819" s="127"/>
      <c r="M819" s="168"/>
      <c r="N819" s="173"/>
      <c r="O819" s="141"/>
      <c r="P819" s="140"/>
      <c r="Q819" s="142"/>
      <c r="R819" s="140"/>
      <c r="S819" s="142"/>
      <c r="T819" s="140"/>
    </row>
    <row r="820" spans="3:20" ht="39.75" customHeight="1">
      <c r="C820" s="196">
        <v>817</v>
      </c>
      <c r="D820" s="127"/>
      <c r="E820" s="129"/>
      <c r="F820" s="128"/>
      <c r="G820" s="129"/>
      <c r="H820" s="129"/>
      <c r="I820" s="166"/>
      <c r="J820" s="180"/>
      <c r="K820" s="128"/>
      <c r="L820" s="127"/>
      <c r="M820" s="168"/>
      <c r="N820" s="173"/>
      <c r="O820" s="141"/>
      <c r="P820" s="140"/>
      <c r="Q820" s="142"/>
      <c r="R820" s="140"/>
      <c r="S820" s="142"/>
      <c r="T820" s="140"/>
    </row>
    <row r="821" spans="3:20" ht="39.75" customHeight="1">
      <c r="C821" s="196">
        <v>818</v>
      </c>
      <c r="D821" s="127"/>
      <c r="E821" s="129"/>
      <c r="F821" s="128"/>
      <c r="G821" s="129"/>
      <c r="H821" s="129"/>
      <c r="I821" s="166"/>
      <c r="J821" s="180"/>
      <c r="K821" s="128"/>
      <c r="L821" s="127"/>
      <c r="M821" s="168"/>
      <c r="N821" s="173"/>
      <c r="O821" s="141"/>
      <c r="P821" s="140"/>
      <c r="Q821" s="142"/>
      <c r="R821" s="140"/>
      <c r="S821" s="142"/>
      <c r="T821" s="140"/>
    </row>
    <row r="822" spans="3:20" ht="39.75" customHeight="1">
      <c r="C822" s="196">
        <v>819</v>
      </c>
      <c r="D822" s="127"/>
      <c r="E822" s="129"/>
      <c r="F822" s="128"/>
      <c r="G822" s="129"/>
      <c r="H822" s="129"/>
      <c r="I822" s="166"/>
      <c r="J822" s="180"/>
      <c r="K822" s="128"/>
      <c r="L822" s="127"/>
      <c r="M822" s="168"/>
      <c r="N822" s="173"/>
      <c r="O822" s="141"/>
      <c r="P822" s="140"/>
      <c r="Q822" s="142"/>
      <c r="R822" s="140"/>
      <c r="S822" s="142"/>
      <c r="T822" s="140"/>
    </row>
    <row r="823" spans="3:20" ht="39.75" customHeight="1">
      <c r="C823" s="196">
        <v>820</v>
      </c>
      <c r="D823" s="127"/>
      <c r="E823" s="129"/>
      <c r="F823" s="128"/>
      <c r="G823" s="129"/>
      <c r="H823" s="129"/>
      <c r="I823" s="166"/>
      <c r="J823" s="180"/>
      <c r="K823" s="128"/>
      <c r="L823" s="127"/>
      <c r="M823" s="168"/>
      <c r="N823" s="173"/>
      <c r="O823" s="141"/>
      <c r="P823" s="140"/>
      <c r="Q823" s="142"/>
      <c r="R823" s="140"/>
      <c r="S823" s="142"/>
      <c r="T823" s="140"/>
    </row>
    <row r="824" spans="3:20" ht="39.75" customHeight="1">
      <c r="C824" s="196">
        <v>821</v>
      </c>
      <c r="D824" s="127"/>
      <c r="E824" s="129"/>
      <c r="F824" s="128"/>
      <c r="G824" s="129"/>
      <c r="H824" s="129"/>
      <c r="I824" s="166"/>
      <c r="J824" s="180"/>
      <c r="K824" s="128"/>
      <c r="L824" s="127"/>
      <c r="M824" s="168"/>
      <c r="N824" s="173"/>
      <c r="O824" s="141"/>
      <c r="P824" s="140"/>
      <c r="Q824" s="142"/>
      <c r="R824" s="140"/>
      <c r="S824" s="142"/>
      <c r="T824" s="140"/>
    </row>
    <row r="825" spans="3:20" ht="39.75" customHeight="1">
      <c r="C825" s="196">
        <v>822</v>
      </c>
      <c r="D825" s="127"/>
      <c r="E825" s="129"/>
      <c r="F825" s="128"/>
      <c r="G825" s="129"/>
      <c r="H825" s="129"/>
      <c r="I825" s="166"/>
      <c r="J825" s="180"/>
      <c r="K825" s="128"/>
      <c r="L825" s="127"/>
      <c r="M825" s="168"/>
      <c r="N825" s="173"/>
      <c r="O825" s="141"/>
      <c r="P825" s="140"/>
      <c r="Q825" s="142"/>
      <c r="R825" s="140"/>
      <c r="S825" s="142"/>
      <c r="T825" s="140"/>
    </row>
    <row r="826" spans="3:20" ht="39.75" customHeight="1">
      <c r="C826" s="196">
        <v>823</v>
      </c>
      <c r="D826" s="127"/>
      <c r="E826" s="129"/>
      <c r="F826" s="128"/>
      <c r="G826" s="129"/>
      <c r="H826" s="129"/>
      <c r="I826" s="166"/>
      <c r="J826" s="180"/>
      <c r="K826" s="128"/>
      <c r="L826" s="127"/>
      <c r="M826" s="168"/>
      <c r="N826" s="173"/>
      <c r="O826" s="141"/>
      <c r="P826" s="140"/>
      <c r="Q826" s="142"/>
      <c r="R826" s="140"/>
      <c r="S826" s="142"/>
      <c r="T826" s="140"/>
    </row>
    <row r="827" spans="3:20" ht="39.75" customHeight="1">
      <c r="C827" s="196">
        <v>824</v>
      </c>
      <c r="D827" s="127"/>
      <c r="E827" s="129"/>
      <c r="F827" s="128"/>
      <c r="G827" s="129"/>
      <c r="H827" s="129"/>
      <c r="I827" s="166"/>
      <c r="J827" s="180"/>
      <c r="K827" s="128"/>
      <c r="L827" s="127"/>
      <c r="M827" s="168"/>
      <c r="N827" s="173"/>
      <c r="O827" s="141"/>
      <c r="P827" s="140"/>
      <c r="Q827" s="142"/>
      <c r="R827" s="140"/>
      <c r="S827" s="142"/>
      <c r="T827" s="140"/>
    </row>
    <row r="828" spans="3:20" ht="39.75" customHeight="1">
      <c r="C828" s="196">
        <v>825</v>
      </c>
      <c r="D828" s="127"/>
      <c r="E828" s="129"/>
      <c r="F828" s="128"/>
      <c r="G828" s="129"/>
      <c r="H828" s="129"/>
      <c r="I828" s="166"/>
      <c r="J828" s="180"/>
      <c r="K828" s="128"/>
      <c r="L828" s="127"/>
      <c r="M828" s="168"/>
      <c r="N828" s="173"/>
      <c r="O828" s="141"/>
      <c r="P828" s="140"/>
      <c r="Q828" s="142"/>
      <c r="R828" s="140"/>
      <c r="S828" s="142"/>
      <c r="T828" s="140"/>
    </row>
    <row r="829" spans="3:20" ht="39.75" customHeight="1">
      <c r="C829" s="196">
        <v>826</v>
      </c>
      <c r="D829" s="127"/>
      <c r="E829" s="129"/>
      <c r="F829" s="128"/>
      <c r="G829" s="129"/>
      <c r="H829" s="129"/>
      <c r="I829" s="166"/>
      <c r="J829" s="180"/>
      <c r="K829" s="128"/>
      <c r="L829" s="127"/>
      <c r="M829" s="168"/>
      <c r="N829" s="173"/>
      <c r="O829" s="141"/>
      <c r="P829" s="140"/>
      <c r="Q829" s="142"/>
      <c r="R829" s="140"/>
      <c r="S829" s="142"/>
      <c r="T829" s="140"/>
    </row>
    <row r="830" spans="3:20" ht="39.75" customHeight="1">
      <c r="C830" s="196">
        <v>827</v>
      </c>
      <c r="D830" s="127"/>
      <c r="E830" s="129"/>
      <c r="F830" s="128"/>
      <c r="G830" s="129"/>
      <c r="H830" s="129"/>
      <c r="I830" s="166"/>
      <c r="J830" s="180"/>
      <c r="K830" s="128"/>
      <c r="L830" s="127"/>
      <c r="M830" s="168"/>
      <c r="N830" s="173"/>
      <c r="O830" s="141"/>
      <c r="P830" s="140"/>
      <c r="Q830" s="142"/>
      <c r="R830" s="140"/>
      <c r="S830" s="142"/>
      <c r="T830" s="140"/>
    </row>
    <row r="831" spans="3:20" ht="39.75" customHeight="1">
      <c r="C831" s="196">
        <v>828</v>
      </c>
      <c r="D831" s="127"/>
      <c r="E831" s="129"/>
      <c r="F831" s="128"/>
      <c r="G831" s="129"/>
      <c r="H831" s="129"/>
      <c r="I831" s="166"/>
      <c r="J831" s="180"/>
      <c r="K831" s="128"/>
      <c r="L831" s="127"/>
      <c r="M831" s="168"/>
      <c r="N831" s="173"/>
      <c r="O831" s="141"/>
      <c r="P831" s="140"/>
      <c r="Q831" s="142"/>
      <c r="R831" s="140"/>
      <c r="S831" s="142"/>
      <c r="T831" s="140"/>
    </row>
    <row r="832" spans="3:20" ht="39.75" customHeight="1">
      <c r="C832" s="196">
        <v>829</v>
      </c>
      <c r="D832" s="127"/>
      <c r="E832" s="129"/>
      <c r="F832" s="128"/>
      <c r="G832" s="129"/>
      <c r="H832" s="129"/>
      <c r="I832" s="166"/>
      <c r="J832" s="180"/>
      <c r="K832" s="128"/>
      <c r="L832" s="127"/>
      <c r="M832" s="168"/>
      <c r="N832" s="173"/>
      <c r="O832" s="141"/>
      <c r="P832" s="140"/>
      <c r="Q832" s="142"/>
      <c r="R832" s="140"/>
      <c r="S832" s="142"/>
      <c r="T832" s="140"/>
    </row>
    <row r="833" spans="3:20" ht="39.75" customHeight="1">
      <c r="C833" s="196">
        <v>830</v>
      </c>
      <c r="D833" s="127"/>
      <c r="E833" s="129"/>
      <c r="F833" s="128"/>
      <c r="G833" s="129"/>
      <c r="H833" s="129"/>
      <c r="I833" s="166"/>
      <c r="J833" s="180"/>
      <c r="K833" s="128"/>
      <c r="L833" s="127"/>
      <c r="M833" s="168"/>
      <c r="N833" s="173"/>
      <c r="O833" s="141"/>
      <c r="P833" s="140"/>
      <c r="Q833" s="142"/>
      <c r="R833" s="140"/>
      <c r="S833" s="142"/>
      <c r="T833" s="140"/>
    </row>
    <row r="834" spans="3:20" ht="39.75" customHeight="1">
      <c r="C834" s="196">
        <v>831</v>
      </c>
      <c r="D834" s="127"/>
      <c r="E834" s="129"/>
      <c r="F834" s="128"/>
      <c r="G834" s="129"/>
      <c r="H834" s="129"/>
      <c r="I834" s="166"/>
      <c r="J834" s="180"/>
      <c r="K834" s="128"/>
      <c r="L834" s="127"/>
      <c r="M834" s="168"/>
      <c r="N834" s="173"/>
      <c r="O834" s="141"/>
      <c r="P834" s="140"/>
      <c r="Q834" s="142"/>
      <c r="R834" s="140"/>
      <c r="S834" s="142"/>
      <c r="T834" s="140"/>
    </row>
    <row r="835" spans="3:20" ht="39.75" customHeight="1">
      <c r="C835" s="196">
        <v>832</v>
      </c>
      <c r="D835" s="127"/>
      <c r="E835" s="129"/>
      <c r="F835" s="128"/>
      <c r="G835" s="129"/>
      <c r="H835" s="129"/>
      <c r="I835" s="166"/>
      <c r="J835" s="180"/>
      <c r="K835" s="128"/>
      <c r="L835" s="127"/>
      <c r="M835" s="168"/>
      <c r="N835" s="173"/>
      <c r="O835" s="141"/>
      <c r="P835" s="140"/>
      <c r="Q835" s="142"/>
      <c r="R835" s="140"/>
      <c r="S835" s="142"/>
      <c r="T835" s="140"/>
    </row>
    <row r="836" spans="3:20" ht="39.75" customHeight="1">
      <c r="C836" s="196">
        <v>833</v>
      </c>
      <c r="D836" s="127"/>
      <c r="E836" s="129"/>
      <c r="F836" s="128"/>
      <c r="G836" s="129"/>
      <c r="H836" s="129"/>
      <c r="I836" s="166"/>
      <c r="J836" s="180"/>
      <c r="K836" s="128"/>
      <c r="L836" s="127"/>
      <c r="M836" s="168"/>
      <c r="N836" s="173"/>
      <c r="O836" s="141"/>
      <c r="P836" s="140"/>
      <c r="Q836" s="142"/>
      <c r="R836" s="140"/>
      <c r="S836" s="142"/>
      <c r="T836" s="140"/>
    </row>
    <row r="837" spans="3:20" ht="39.75" customHeight="1">
      <c r="C837" s="196">
        <v>834</v>
      </c>
      <c r="D837" s="127"/>
      <c r="E837" s="129"/>
      <c r="F837" s="128"/>
      <c r="G837" s="129"/>
      <c r="H837" s="129"/>
      <c r="I837" s="166"/>
      <c r="J837" s="180"/>
      <c r="K837" s="128"/>
      <c r="L837" s="127"/>
      <c r="M837" s="168"/>
      <c r="N837" s="173"/>
      <c r="O837" s="141"/>
      <c r="P837" s="140"/>
      <c r="Q837" s="142"/>
      <c r="R837" s="140"/>
      <c r="S837" s="142"/>
      <c r="T837" s="140"/>
    </row>
    <row r="838" spans="3:20" ht="39.75" customHeight="1">
      <c r="C838" s="196">
        <v>835</v>
      </c>
      <c r="D838" s="127"/>
      <c r="E838" s="129"/>
      <c r="F838" s="128"/>
      <c r="G838" s="129"/>
      <c r="H838" s="129"/>
      <c r="I838" s="166"/>
      <c r="J838" s="180"/>
      <c r="K838" s="128"/>
      <c r="L838" s="127"/>
      <c r="M838" s="168"/>
      <c r="N838" s="173"/>
      <c r="O838" s="141"/>
      <c r="P838" s="140"/>
      <c r="Q838" s="142"/>
      <c r="R838" s="140"/>
      <c r="S838" s="142"/>
      <c r="T838" s="140"/>
    </row>
    <row r="839" spans="3:20" ht="39.75" customHeight="1">
      <c r="C839" s="196">
        <v>836</v>
      </c>
      <c r="D839" s="127"/>
      <c r="E839" s="129"/>
      <c r="F839" s="128"/>
      <c r="G839" s="129"/>
      <c r="H839" s="129"/>
      <c r="I839" s="166"/>
      <c r="J839" s="180"/>
      <c r="K839" s="128"/>
      <c r="L839" s="127"/>
      <c r="M839" s="168"/>
      <c r="N839" s="173"/>
      <c r="O839" s="141"/>
      <c r="P839" s="140"/>
      <c r="Q839" s="142"/>
      <c r="R839" s="140"/>
      <c r="S839" s="142"/>
      <c r="T839" s="140"/>
    </row>
    <row r="840" spans="3:20" ht="39.75" customHeight="1">
      <c r="C840" s="196">
        <v>837</v>
      </c>
      <c r="D840" s="127"/>
      <c r="E840" s="129"/>
      <c r="F840" s="128"/>
      <c r="G840" s="129"/>
      <c r="H840" s="129"/>
      <c r="I840" s="166"/>
      <c r="J840" s="180"/>
      <c r="K840" s="128"/>
      <c r="L840" s="127"/>
      <c r="M840" s="168"/>
      <c r="N840" s="173"/>
      <c r="O840" s="141"/>
      <c r="P840" s="140"/>
      <c r="Q840" s="142"/>
      <c r="R840" s="140"/>
      <c r="S840" s="142"/>
      <c r="T840" s="140"/>
    </row>
    <row r="841" spans="3:20" ht="39.75" customHeight="1">
      <c r="C841" s="196">
        <v>838</v>
      </c>
      <c r="D841" s="127"/>
      <c r="E841" s="129"/>
      <c r="F841" s="128"/>
      <c r="G841" s="129"/>
      <c r="H841" s="129"/>
      <c r="I841" s="166"/>
      <c r="J841" s="180"/>
      <c r="K841" s="128"/>
      <c r="L841" s="127"/>
      <c r="M841" s="168"/>
      <c r="N841" s="173"/>
      <c r="O841" s="141"/>
      <c r="P841" s="140"/>
      <c r="Q841" s="142"/>
      <c r="R841" s="140"/>
      <c r="S841" s="142"/>
      <c r="T841" s="140"/>
    </row>
    <row r="842" spans="3:20" ht="39.75" customHeight="1">
      <c r="C842" s="196">
        <v>839</v>
      </c>
      <c r="D842" s="127"/>
      <c r="E842" s="129"/>
      <c r="F842" s="128"/>
      <c r="G842" s="129"/>
      <c r="H842" s="129"/>
      <c r="I842" s="166"/>
      <c r="J842" s="180"/>
      <c r="K842" s="128"/>
      <c r="L842" s="127"/>
      <c r="M842" s="168"/>
      <c r="N842" s="173"/>
      <c r="O842" s="141"/>
      <c r="P842" s="140"/>
      <c r="Q842" s="142"/>
      <c r="R842" s="140"/>
      <c r="S842" s="142"/>
      <c r="T842" s="140"/>
    </row>
    <row r="843" spans="3:20" ht="39.75" customHeight="1">
      <c r="C843" s="196">
        <v>840</v>
      </c>
      <c r="D843" s="127"/>
      <c r="E843" s="129"/>
      <c r="F843" s="128"/>
      <c r="G843" s="129"/>
      <c r="H843" s="129"/>
      <c r="I843" s="166"/>
      <c r="J843" s="180"/>
      <c r="K843" s="128"/>
      <c r="L843" s="127"/>
      <c r="M843" s="168"/>
      <c r="N843" s="173"/>
      <c r="O843" s="141"/>
      <c r="P843" s="140"/>
      <c r="Q843" s="142"/>
      <c r="R843" s="140"/>
      <c r="S843" s="142"/>
      <c r="T843" s="140"/>
    </row>
    <row r="844" spans="3:20" ht="39.75" customHeight="1">
      <c r="C844" s="196">
        <v>841</v>
      </c>
      <c r="D844" s="127"/>
      <c r="E844" s="129"/>
      <c r="F844" s="128"/>
      <c r="G844" s="129"/>
      <c r="H844" s="129"/>
      <c r="I844" s="166"/>
      <c r="J844" s="180"/>
      <c r="K844" s="128"/>
      <c r="L844" s="127"/>
      <c r="M844" s="168"/>
      <c r="N844" s="173"/>
      <c r="O844" s="141"/>
      <c r="P844" s="140"/>
      <c r="Q844" s="142"/>
      <c r="R844" s="140"/>
      <c r="S844" s="142"/>
      <c r="T844" s="140"/>
    </row>
    <row r="845" spans="3:20" ht="39.75" customHeight="1">
      <c r="C845" s="196">
        <v>842</v>
      </c>
      <c r="D845" s="127"/>
      <c r="E845" s="129"/>
      <c r="F845" s="128"/>
      <c r="G845" s="129"/>
      <c r="H845" s="129"/>
      <c r="I845" s="166"/>
      <c r="J845" s="180"/>
      <c r="K845" s="128"/>
      <c r="L845" s="127"/>
      <c r="M845" s="168"/>
      <c r="N845" s="173"/>
      <c r="O845" s="141"/>
      <c r="P845" s="140"/>
      <c r="Q845" s="142"/>
      <c r="R845" s="140"/>
      <c r="S845" s="142"/>
      <c r="T845" s="140"/>
    </row>
    <row r="846" spans="3:20" ht="39.75" customHeight="1">
      <c r="C846" s="196">
        <v>843</v>
      </c>
      <c r="D846" s="127"/>
      <c r="E846" s="129"/>
      <c r="F846" s="128"/>
      <c r="G846" s="129"/>
      <c r="H846" s="129"/>
      <c r="I846" s="166"/>
      <c r="J846" s="180"/>
      <c r="K846" s="128"/>
      <c r="L846" s="127"/>
      <c r="M846" s="168"/>
      <c r="N846" s="173"/>
      <c r="O846" s="141"/>
      <c r="P846" s="140"/>
      <c r="Q846" s="142"/>
      <c r="R846" s="140"/>
      <c r="S846" s="142"/>
      <c r="T846" s="140"/>
    </row>
    <row r="847" spans="3:20" ht="39.75" customHeight="1">
      <c r="C847" s="196">
        <v>844</v>
      </c>
      <c r="D847" s="127"/>
      <c r="E847" s="129"/>
      <c r="F847" s="128"/>
      <c r="G847" s="129"/>
      <c r="H847" s="129"/>
      <c r="I847" s="166"/>
      <c r="J847" s="180"/>
      <c r="K847" s="128"/>
      <c r="L847" s="127"/>
      <c r="M847" s="168"/>
      <c r="N847" s="173"/>
      <c r="O847" s="141"/>
      <c r="P847" s="140"/>
      <c r="Q847" s="142"/>
      <c r="R847" s="140"/>
      <c r="S847" s="142"/>
      <c r="T847" s="140"/>
    </row>
    <row r="848" spans="3:20" ht="39.75" customHeight="1">
      <c r="C848" s="196">
        <v>845</v>
      </c>
      <c r="D848" s="127"/>
      <c r="E848" s="129"/>
      <c r="F848" s="128"/>
      <c r="G848" s="129"/>
      <c r="H848" s="129"/>
      <c r="I848" s="166"/>
      <c r="J848" s="180"/>
      <c r="K848" s="128"/>
      <c r="L848" s="127"/>
      <c r="M848" s="168"/>
      <c r="N848" s="173"/>
      <c r="O848" s="141"/>
      <c r="P848" s="140"/>
      <c r="Q848" s="142"/>
      <c r="R848" s="140"/>
      <c r="S848" s="142"/>
      <c r="T848" s="140"/>
    </row>
    <row r="849" spans="3:20" ht="39.75" customHeight="1">
      <c r="C849" s="196">
        <v>846</v>
      </c>
      <c r="D849" s="127"/>
      <c r="E849" s="129"/>
      <c r="F849" s="128"/>
      <c r="G849" s="129"/>
      <c r="H849" s="129"/>
      <c r="I849" s="166"/>
      <c r="J849" s="180"/>
      <c r="K849" s="128"/>
      <c r="L849" s="127"/>
      <c r="M849" s="168"/>
      <c r="N849" s="173"/>
      <c r="O849" s="141"/>
      <c r="P849" s="140"/>
      <c r="Q849" s="142"/>
      <c r="R849" s="140"/>
      <c r="S849" s="142"/>
      <c r="T849" s="140"/>
    </row>
    <row r="850" spans="3:20" ht="39.75" customHeight="1">
      <c r="C850" s="196">
        <v>847</v>
      </c>
      <c r="D850" s="127"/>
      <c r="E850" s="129"/>
      <c r="F850" s="128"/>
      <c r="G850" s="129"/>
      <c r="H850" s="129"/>
      <c r="I850" s="166"/>
      <c r="J850" s="180"/>
      <c r="K850" s="128"/>
      <c r="L850" s="127"/>
      <c r="M850" s="168"/>
      <c r="N850" s="173"/>
      <c r="O850" s="141"/>
      <c r="P850" s="140"/>
      <c r="Q850" s="142"/>
      <c r="R850" s="140"/>
      <c r="S850" s="142"/>
      <c r="T850" s="140"/>
    </row>
    <row r="851" spans="3:20" ht="39.75" customHeight="1">
      <c r="C851" s="196">
        <v>848</v>
      </c>
      <c r="D851" s="127"/>
      <c r="E851" s="129"/>
      <c r="F851" s="128"/>
      <c r="G851" s="129"/>
      <c r="H851" s="129"/>
      <c r="I851" s="166"/>
      <c r="J851" s="180"/>
      <c r="K851" s="128"/>
      <c r="L851" s="127"/>
      <c r="M851" s="168"/>
      <c r="N851" s="173"/>
      <c r="O851" s="141"/>
      <c r="P851" s="140"/>
      <c r="Q851" s="142"/>
      <c r="R851" s="140"/>
      <c r="S851" s="142"/>
      <c r="T851" s="140"/>
    </row>
    <row r="852" spans="3:20" ht="39.75" customHeight="1">
      <c r="C852" s="196">
        <v>849</v>
      </c>
      <c r="D852" s="127"/>
      <c r="E852" s="129"/>
      <c r="F852" s="128"/>
      <c r="G852" s="129"/>
      <c r="H852" s="129"/>
      <c r="I852" s="166"/>
      <c r="J852" s="180"/>
      <c r="K852" s="128"/>
      <c r="L852" s="127"/>
      <c r="M852" s="168"/>
      <c r="N852" s="173"/>
      <c r="O852" s="141"/>
      <c r="P852" s="140"/>
      <c r="Q852" s="142"/>
      <c r="R852" s="140"/>
      <c r="S852" s="142"/>
      <c r="T852" s="140"/>
    </row>
    <row r="853" spans="3:20" ht="39.75" customHeight="1">
      <c r="C853" s="196">
        <v>850</v>
      </c>
      <c r="D853" s="127"/>
      <c r="E853" s="129"/>
      <c r="F853" s="128"/>
      <c r="G853" s="129"/>
      <c r="H853" s="129"/>
      <c r="I853" s="166"/>
      <c r="J853" s="180"/>
      <c r="K853" s="128"/>
      <c r="L853" s="127"/>
      <c r="M853" s="168"/>
      <c r="N853" s="173"/>
      <c r="O853" s="141"/>
      <c r="P853" s="140"/>
      <c r="Q853" s="142"/>
      <c r="R853" s="140"/>
      <c r="S853" s="142"/>
      <c r="T853" s="140"/>
    </row>
    <row r="854" spans="3:20" ht="39.75" customHeight="1">
      <c r="C854" s="196">
        <v>851</v>
      </c>
      <c r="D854" s="127"/>
      <c r="E854" s="129"/>
      <c r="F854" s="128"/>
      <c r="G854" s="129"/>
      <c r="H854" s="129"/>
      <c r="I854" s="166"/>
      <c r="J854" s="180"/>
      <c r="K854" s="128"/>
      <c r="L854" s="127"/>
      <c r="M854" s="168"/>
      <c r="N854" s="173"/>
      <c r="O854" s="141"/>
      <c r="P854" s="140"/>
      <c r="Q854" s="142"/>
      <c r="R854" s="140"/>
      <c r="S854" s="142"/>
      <c r="T854" s="140"/>
    </row>
    <row r="855" spans="3:20" ht="39.75" customHeight="1">
      <c r="C855" s="196">
        <v>852</v>
      </c>
      <c r="D855" s="127"/>
      <c r="E855" s="129"/>
      <c r="F855" s="128"/>
      <c r="G855" s="129"/>
      <c r="H855" s="129"/>
      <c r="I855" s="166"/>
      <c r="J855" s="180"/>
      <c r="K855" s="128"/>
      <c r="L855" s="127"/>
      <c r="M855" s="168"/>
      <c r="N855" s="173"/>
      <c r="O855" s="141"/>
      <c r="P855" s="140"/>
      <c r="Q855" s="142"/>
      <c r="R855" s="140"/>
      <c r="S855" s="142"/>
      <c r="T855" s="140"/>
    </row>
    <row r="856" spans="3:20" ht="39.75" customHeight="1">
      <c r="C856" s="196">
        <v>853</v>
      </c>
      <c r="D856" s="127"/>
      <c r="E856" s="129"/>
      <c r="F856" s="128"/>
      <c r="G856" s="129"/>
      <c r="H856" s="129"/>
      <c r="I856" s="166"/>
      <c r="J856" s="180"/>
      <c r="K856" s="128"/>
      <c r="L856" s="127"/>
      <c r="M856" s="168"/>
      <c r="N856" s="173"/>
      <c r="O856" s="141"/>
      <c r="P856" s="140"/>
      <c r="Q856" s="142"/>
      <c r="R856" s="140"/>
      <c r="S856" s="142"/>
      <c r="T856" s="140"/>
    </row>
    <row r="857" spans="3:20" ht="39.75" customHeight="1">
      <c r="C857" s="196">
        <v>854</v>
      </c>
      <c r="D857" s="127"/>
      <c r="E857" s="129"/>
      <c r="F857" s="128"/>
      <c r="G857" s="129"/>
      <c r="H857" s="129"/>
      <c r="I857" s="166"/>
      <c r="J857" s="180"/>
      <c r="K857" s="128"/>
      <c r="L857" s="127"/>
      <c r="M857" s="168"/>
      <c r="N857" s="173"/>
      <c r="O857" s="141"/>
      <c r="P857" s="140"/>
      <c r="Q857" s="142"/>
      <c r="R857" s="140"/>
      <c r="S857" s="142"/>
      <c r="T857" s="140"/>
    </row>
    <row r="858" spans="3:20" ht="39.75" customHeight="1">
      <c r="C858" s="196">
        <v>855</v>
      </c>
      <c r="D858" s="127"/>
      <c r="E858" s="129"/>
      <c r="F858" s="128"/>
      <c r="G858" s="129"/>
      <c r="H858" s="129"/>
      <c r="I858" s="166"/>
      <c r="J858" s="180"/>
      <c r="K858" s="128"/>
      <c r="L858" s="127"/>
      <c r="M858" s="168"/>
      <c r="N858" s="173"/>
      <c r="O858" s="141"/>
      <c r="P858" s="140"/>
      <c r="Q858" s="142"/>
      <c r="R858" s="140"/>
      <c r="S858" s="142"/>
      <c r="T858" s="140"/>
    </row>
    <row r="859" spans="3:20" ht="39.75" customHeight="1">
      <c r="C859" s="196">
        <v>856</v>
      </c>
      <c r="D859" s="127"/>
      <c r="E859" s="129"/>
      <c r="F859" s="128"/>
      <c r="G859" s="129"/>
      <c r="H859" s="129"/>
      <c r="I859" s="166"/>
      <c r="J859" s="180"/>
      <c r="K859" s="128"/>
      <c r="L859" s="127"/>
      <c r="M859" s="168"/>
      <c r="N859" s="173"/>
      <c r="O859" s="141"/>
      <c r="P859" s="140"/>
      <c r="Q859" s="142"/>
      <c r="R859" s="140"/>
      <c r="S859" s="142"/>
      <c r="T859" s="140"/>
    </row>
    <row r="860" spans="3:20" ht="39.75" customHeight="1">
      <c r="C860" s="196">
        <v>857</v>
      </c>
      <c r="D860" s="127"/>
      <c r="E860" s="129"/>
      <c r="F860" s="128"/>
      <c r="G860" s="129"/>
      <c r="H860" s="129"/>
      <c r="I860" s="166"/>
      <c r="J860" s="180"/>
      <c r="K860" s="128"/>
      <c r="L860" s="127"/>
      <c r="M860" s="168"/>
      <c r="N860" s="173"/>
      <c r="O860" s="141"/>
      <c r="P860" s="140"/>
      <c r="Q860" s="142"/>
      <c r="R860" s="140"/>
      <c r="S860" s="142"/>
      <c r="T860" s="140"/>
    </row>
    <row r="861" spans="3:20" ht="39.75" customHeight="1">
      <c r="C861" s="196">
        <v>858</v>
      </c>
      <c r="D861" s="127"/>
      <c r="E861" s="129"/>
      <c r="F861" s="128"/>
      <c r="G861" s="129"/>
      <c r="H861" s="129"/>
      <c r="I861" s="166"/>
      <c r="J861" s="180"/>
      <c r="K861" s="128"/>
      <c r="L861" s="127"/>
      <c r="M861" s="168"/>
      <c r="N861" s="173"/>
      <c r="O861" s="141"/>
      <c r="P861" s="140"/>
      <c r="Q861" s="142"/>
      <c r="R861" s="140"/>
      <c r="S861" s="142"/>
      <c r="T861" s="140"/>
    </row>
    <row r="862" spans="3:20" ht="39.75" customHeight="1">
      <c r="C862" s="196">
        <v>859</v>
      </c>
      <c r="D862" s="127"/>
      <c r="E862" s="129"/>
      <c r="F862" s="128"/>
      <c r="G862" s="129"/>
      <c r="H862" s="129"/>
      <c r="I862" s="166"/>
      <c r="J862" s="180"/>
      <c r="K862" s="128"/>
      <c r="L862" s="127"/>
      <c r="M862" s="168"/>
      <c r="N862" s="173"/>
      <c r="O862" s="141"/>
      <c r="P862" s="140"/>
      <c r="Q862" s="142"/>
      <c r="R862" s="140"/>
      <c r="S862" s="142"/>
      <c r="T862" s="140"/>
    </row>
    <row r="863" spans="3:20" ht="39.75" customHeight="1">
      <c r="C863" s="196">
        <v>860</v>
      </c>
      <c r="D863" s="127"/>
      <c r="E863" s="129"/>
      <c r="F863" s="128"/>
      <c r="G863" s="129"/>
      <c r="H863" s="129"/>
      <c r="I863" s="166"/>
      <c r="J863" s="180"/>
      <c r="K863" s="128"/>
      <c r="L863" s="127"/>
      <c r="M863" s="168"/>
      <c r="N863" s="173"/>
      <c r="O863" s="141"/>
      <c r="P863" s="140"/>
      <c r="Q863" s="142"/>
      <c r="R863" s="140"/>
      <c r="S863" s="142"/>
      <c r="T863" s="140"/>
    </row>
    <row r="864" spans="3:20" ht="39.75" customHeight="1">
      <c r="C864" s="196">
        <v>861</v>
      </c>
      <c r="D864" s="127"/>
      <c r="E864" s="129"/>
      <c r="F864" s="128"/>
      <c r="G864" s="129"/>
      <c r="H864" s="129"/>
      <c r="I864" s="166"/>
      <c r="J864" s="180"/>
      <c r="K864" s="128"/>
      <c r="L864" s="127"/>
      <c r="M864" s="168"/>
      <c r="N864" s="173"/>
      <c r="O864" s="141"/>
      <c r="P864" s="140"/>
      <c r="Q864" s="142"/>
      <c r="R864" s="140"/>
      <c r="S864" s="142"/>
      <c r="T864" s="140"/>
    </row>
    <row r="865" spans="3:20" ht="39.75" customHeight="1">
      <c r="C865" s="196">
        <v>862</v>
      </c>
      <c r="D865" s="127"/>
      <c r="E865" s="129"/>
      <c r="F865" s="128"/>
      <c r="G865" s="129"/>
      <c r="H865" s="129"/>
      <c r="I865" s="166"/>
      <c r="J865" s="180"/>
      <c r="K865" s="128"/>
      <c r="L865" s="127"/>
      <c r="M865" s="168"/>
      <c r="N865" s="173"/>
      <c r="O865" s="141"/>
      <c r="P865" s="140"/>
      <c r="Q865" s="142"/>
      <c r="R865" s="140"/>
      <c r="S865" s="142"/>
      <c r="T865" s="140"/>
    </row>
    <row r="866" spans="3:20" ht="39.75" customHeight="1">
      <c r="C866" s="196">
        <v>863</v>
      </c>
      <c r="D866" s="127"/>
      <c r="E866" s="129"/>
      <c r="F866" s="128"/>
      <c r="G866" s="129"/>
      <c r="H866" s="129"/>
      <c r="I866" s="166"/>
      <c r="J866" s="180"/>
      <c r="K866" s="128"/>
      <c r="L866" s="127"/>
      <c r="M866" s="168"/>
      <c r="N866" s="173"/>
      <c r="O866" s="141"/>
      <c r="P866" s="140"/>
      <c r="Q866" s="142"/>
      <c r="R866" s="140"/>
      <c r="S866" s="142"/>
      <c r="T866" s="140"/>
    </row>
    <row r="867" spans="3:20" ht="39.75" customHeight="1">
      <c r="C867" s="196">
        <v>864</v>
      </c>
      <c r="D867" s="127"/>
      <c r="E867" s="129"/>
      <c r="F867" s="128"/>
      <c r="G867" s="129"/>
      <c r="H867" s="129"/>
      <c r="I867" s="166"/>
      <c r="J867" s="180"/>
      <c r="K867" s="128"/>
      <c r="L867" s="127"/>
      <c r="M867" s="168"/>
      <c r="N867" s="173"/>
      <c r="O867" s="141"/>
      <c r="P867" s="140"/>
      <c r="Q867" s="142"/>
      <c r="R867" s="140"/>
      <c r="S867" s="142"/>
      <c r="T867" s="140"/>
    </row>
    <row r="868" spans="3:20" ht="39.75" customHeight="1">
      <c r="C868" s="196">
        <v>865</v>
      </c>
      <c r="D868" s="127"/>
      <c r="E868" s="129"/>
      <c r="F868" s="128"/>
      <c r="G868" s="129"/>
      <c r="H868" s="129"/>
      <c r="I868" s="166"/>
      <c r="J868" s="180"/>
      <c r="K868" s="128"/>
      <c r="L868" s="127"/>
      <c r="M868" s="168"/>
      <c r="N868" s="173"/>
      <c r="O868" s="141"/>
      <c r="P868" s="140"/>
      <c r="Q868" s="142"/>
      <c r="R868" s="140"/>
      <c r="S868" s="142"/>
      <c r="T868" s="140"/>
    </row>
    <row r="869" spans="3:20" ht="39.75" customHeight="1">
      <c r="C869" s="196">
        <v>866</v>
      </c>
      <c r="D869" s="127"/>
      <c r="E869" s="129"/>
      <c r="F869" s="128"/>
      <c r="G869" s="129"/>
      <c r="H869" s="129"/>
      <c r="I869" s="166"/>
      <c r="J869" s="180"/>
      <c r="K869" s="128"/>
      <c r="L869" s="127"/>
      <c r="M869" s="168"/>
      <c r="N869" s="173"/>
      <c r="O869" s="141"/>
      <c r="P869" s="140"/>
      <c r="Q869" s="142"/>
      <c r="R869" s="140"/>
      <c r="S869" s="142"/>
      <c r="T869" s="140"/>
    </row>
    <row r="870" spans="3:20" ht="39.75" customHeight="1">
      <c r="C870" s="196">
        <v>867</v>
      </c>
      <c r="D870" s="127"/>
      <c r="E870" s="129"/>
      <c r="F870" s="128"/>
      <c r="G870" s="129"/>
      <c r="H870" s="129"/>
      <c r="I870" s="166"/>
      <c r="J870" s="180"/>
      <c r="K870" s="128"/>
      <c r="L870" s="127"/>
      <c r="M870" s="168"/>
      <c r="N870" s="173"/>
      <c r="O870" s="141"/>
      <c r="P870" s="140"/>
      <c r="Q870" s="142"/>
      <c r="R870" s="140"/>
      <c r="S870" s="142"/>
      <c r="T870" s="140"/>
    </row>
    <row r="871" spans="3:20" ht="39.75" customHeight="1">
      <c r="C871" s="196">
        <v>868</v>
      </c>
      <c r="D871" s="127"/>
      <c r="E871" s="129"/>
      <c r="F871" s="128"/>
      <c r="G871" s="129"/>
      <c r="H871" s="129"/>
      <c r="I871" s="166"/>
      <c r="J871" s="180"/>
      <c r="K871" s="128"/>
      <c r="L871" s="127"/>
      <c r="M871" s="168"/>
      <c r="N871" s="173"/>
      <c r="O871" s="141"/>
      <c r="P871" s="140"/>
      <c r="Q871" s="142"/>
      <c r="R871" s="140"/>
      <c r="S871" s="142"/>
      <c r="T871" s="140"/>
    </row>
    <row r="872" spans="3:20" ht="39.75" customHeight="1">
      <c r="C872" s="196">
        <v>869</v>
      </c>
      <c r="D872" s="127"/>
      <c r="E872" s="129"/>
      <c r="F872" s="128"/>
      <c r="G872" s="129"/>
      <c r="H872" s="129"/>
      <c r="I872" s="166"/>
      <c r="J872" s="180"/>
      <c r="K872" s="128"/>
      <c r="L872" s="127"/>
      <c r="M872" s="168"/>
      <c r="N872" s="173"/>
      <c r="O872" s="141"/>
      <c r="P872" s="140"/>
      <c r="Q872" s="142"/>
      <c r="R872" s="140"/>
      <c r="S872" s="142"/>
      <c r="T872" s="140"/>
    </row>
    <row r="873" spans="3:20" ht="39.75" customHeight="1">
      <c r="C873" s="196">
        <v>870</v>
      </c>
      <c r="D873" s="127"/>
      <c r="E873" s="129"/>
      <c r="F873" s="128"/>
      <c r="G873" s="129"/>
      <c r="H873" s="129"/>
      <c r="I873" s="166"/>
      <c r="J873" s="180"/>
      <c r="K873" s="128"/>
      <c r="L873" s="127"/>
      <c r="M873" s="168"/>
      <c r="N873" s="173"/>
      <c r="O873" s="141"/>
      <c r="P873" s="140"/>
      <c r="Q873" s="142"/>
      <c r="R873" s="140"/>
      <c r="S873" s="142"/>
      <c r="T873" s="140"/>
    </row>
    <row r="874" spans="3:20" ht="39.75" customHeight="1">
      <c r="C874" s="196">
        <v>871</v>
      </c>
      <c r="D874" s="127"/>
      <c r="E874" s="129"/>
      <c r="F874" s="128"/>
      <c r="G874" s="129"/>
      <c r="H874" s="129"/>
      <c r="I874" s="166"/>
      <c r="J874" s="180"/>
      <c r="K874" s="128"/>
      <c r="L874" s="127"/>
      <c r="M874" s="168"/>
      <c r="N874" s="173"/>
      <c r="O874" s="141"/>
      <c r="P874" s="140"/>
      <c r="Q874" s="142"/>
      <c r="R874" s="140"/>
      <c r="S874" s="142"/>
      <c r="T874" s="140"/>
    </row>
    <row r="875" spans="3:20" ht="39.75" customHeight="1">
      <c r="C875" s="196">
        <v>872</v>
      </c>
      <c r="D875" s="127"/>
      <c r="E875" s="129"/>
      <c r="F875" s="128"/>
      <c r="G875" s="129"/>
      <c r="H875" s="129"/>
      <c r="I875" s="166"/>
      <c r="J875" s="180"/>
      <c r="K875" s="128"/>
      <c r="L875" s="127"/>
      <c r="M875" s="168"/>
      <c r="N875" s="173"/>
      <c r="O875" s="141"/>
      <c r="P875" s="140"/>
      <c r="Q875" s="142"/>
      <c r="R875" s="140"/>
      <c r="S875" s="142"/>
      <c r="T875" s="140"/>
    </row>
    <row r="876" spans="3:20" ht="39.75" customHeight="1">
      <c r="C876" s="196">
        <v>873</v>
      </c>
      <c r="D876" s="127"/>
      <c r="E876" s="129"/>
      <c r="F876" s="128"/>
      <c r="G876" s="129"/>
      <c r="H876" s="129"/>
      <c r="I876" s="166"/>
      <c r="J876" s="180"/>
      <c r="K876" s="128"/>
      <c r="L876" s="127"/>
      <c r="M876" s="168"/>
      <c r="N876" s="173"/>
      <c r="O876" s="141"/>
      <c r="P876" s="140"/>
      <c r="Q876" s="142"/>
      <c r="R876" s="140"/>
      <c r="S876" s="142"/>
      <c r="T876" s="140"/>
    </row>
    <row r="877" spans="3:20" ht="39.75" customHeight="1">
      <c r="C877" s="196">
        <v>874</v>
      </c>
      <c r="D877" s="127"/>
      <c r="E877" s="129"/>
      <c r="F877" s="128"/>
      <c r="G877" s="129"/>
      <c r="H877" s="129"/>
      <c r="I877" s="166"/>
      <c r="J877" s="180"/>
      <c r="K877" s="128"/>
      <c r="L877" s="127"/>
      <c r="M877" s="168"/>
      <c r="N877" s="173"/>
      <c r="O877" s="141"/>
      <c r="P877" s="140"/>
      <c r="Q877" s="142"/>
      <c r="R877" s="140"/>
      <c r="S877" s="142"/>
      <c r="T877" s="140"/>
    </row>
    <row r="878" spans="3:20" ht="39.75" customHeight="1">
      <c r="C878" s="196">
        <v>875</v>
      </c>
      <c r="D878" s="127"/>
      <c r="E878" s="129"/>
      <c r="F878" s="128"/>
      <c r="G878" s="129"/>
      <c r="H878" s="129"/>
      <c r="I878" s="166"/>
      <c r="J878" s="180"/>
      <c r="K878" s="128"/>
      <c r="L878" s="127"/>
      <c r="M878" s="168"/>
      <c r="N878" s="173"/>
      <c r="O878" s="141"/>
      <c r="P878" s="140"/>
      <c r="Q878" s="142"/>
      <c r="R878" s="140"/>
      <c r="S878" s="142"/>
      <c r="T878" s="140"/>
    </row>
    <row r="879" spans="3:20" ht="39.75" customHeight="1">
      <c r="C879" s="196">
        <v>876</v>
      </c>
      <c r="D879" s="127"/>
      <c r="E879" s="129"/>
      <c r="F879" s="128"/>
      <c r="G879" s="129"/>
      <c r="H879" s="129"/>
      <c r="I879" s="166"/>
      <c r="J879" s="180"/>
      <c r="K879" s="128"/>
      <c r="L879" s="127"/>
      <c r="M879" s="168"/>
      <c r="N879" s="173"/>
      <c r="O879" s="141"/>
      <c r="P879" s="140"/>
      <c r="Q879" s="142"/>
      <c r="R879" s="140"/>
      <c r="S879" s="142"/>
      <c r="T879" s="140"/>
    </row>
    <row r="880" spans="3:20" ht="39.75" customHeight="1">
      <c r="C880" s="196">
        <v>877</v>
      </c>
      <c r="D880" s="127"/>
      <c r="E880" s="129"/>
      <c r="F880" s="128"/>
      <c r="G880" s="129"/>
      <c r="H880" s="129"/>
      <c r="I880" s="166"/>
      <c r="J880" s="180"/>
      <c r="K880" s="128"/>
      <c r="L880" s="127"/>
      <c r="M880" s="168"/>
      <c r="N880" s="173"/>
      <c r="O880" s="141"/>
      <c r="P880" s="140"/>
      <c r="Q880" s="142"/>
      <c r="R880" s="140"/>
      <c r="S880" s="142"/>
      <c r="T880" s="140"/>
    </row>
    <row r="881" spans="3:20" ht="39.75" customHeight="1">
      <c r="C881" s="196">
        <v>878</v>
      </c>
      <c r="D881" s="127"/>
      <c r="E881" s="129"/>
      <c r="F881" s="128"/>
      <c r="G881" s="129"/>
      <c r="H881" s="129"/>
      <c r="I881" s="166"/>
      <c r="J881" s="180"/>
      <c r="K881" s="128"/>
      <c r="L881" s="127"/>
      <c r="M881" s="168"/>
      <c r="N881" s="173"/>
      <c r="O881" s="141"/>
      <c r="P881" s="140"/>
      <c r="Q881" s="142"/>
      <c r="R881" s="140"/>
      <c r="S881" s="142"/>
      <c r="T881" s="140"/>
    </row>
    <row r="882" spans="3:20" ht="39.75" customHeight="1">
      <c r="C882" s="196">
        <v>879</v>
      </c>
      <c r="D882" s="127"/>
      <c r="E882" s="129"/>
      <c r="F882" s="128"/>
      <c r="G882" s="129"/>
      <c r="H882" s="129"/>
      <c r="I882" s="166"/>
      <c r="J882" s="180"/>
      <c r="K882" s="128"/>
      <c r="L882" s="127"/>
      <c r="M882" s="168"/>
      <c r="N882" s="173"/>
      <c r="O882" s="141"/>
      <c r="P882" s="140"/>
      <c r="Q882" s="142"/>
      <c r="R882" s="140"/>
      <c r="S882" s="142"/>
      <c r="T882" s="140"/>
    </row>
    <row r="883" spans="3:20" ht="39.75" customHeight="1">
      <c r="C883" s="196">
        <v>880</v>
      </c>
      <c r="D883" s="127"/>
      <c r="E883" s="129"/>
      <c r="F883" s="128"/>
      <c r="G883" s="129"/>
      <c r="H883" s="129"/>
      <c r="I883" s="166"/>
      <c r="J883" s="180"/>
      <c r="K883" s="128"/>
      <c r="L883" s="127"/>
      <c r="M883" s="168"/>
      <c r="N883" s="173"/>
      <c r="O883" s="141"/>
      <c r="P883" s="140"/>
      <c r="Q883" s="142"/>
      <c r="R883" s="140"/>
      <c r="S883" s="142"/>
      <c r="T883" s="140"/>
    </row>
    <row r="884" spans="3:20" ht="39.75" customHeight="1">
      <c r="C884" s="196">
        <v>881</v>
      </c>
      <c r="D884" s="127"/>
      <c r="E884" s="129"/>
      <c r="F884" s="128"/>
      <c r="G884" s="129"/>
      <c r="H884" s="129"/>
      <c r="I884" s="166"/>
      <c r="J884" s="180"/>
      <c r="K884" s="128"/>
      <c r="L884" s="127"/>
      <c r="M884" s="168"/>
      <c r="N884" s="173"/>
      <c r="O884" s="141"/>
      <c r="P884" s="140"/>
      <c r="Q884" s="142"/>
      <c r="R884" s="140"/>
      <c r="S884" s="142"/>
      <c r="T884" s="140"/>
    </row>
    <row r="885" spans="3:20" ht="39.75" customHeight="1">
      <c r="C885" s="196">
        <v>882</v>
      </c>
      <c r="D885" s="127"/>
      <c r="E885" s="129"/>
      <c r="F885" s="128"/>
      <c r="G885" s="129"/>
      <c r="H885" s="129"/>
      <c r="I885" s="166"/>
      <c r="J885" s="180"/>
      <c r="K885" s="128"/>
      <c r="L885" s="127"/>
      <c r="M885" s="168"/>
      <c r="N885" s="173"/>
      <c r="O885" s="141"/>
      <c r="P885" s="140"/>
      <c r="Q885" s="142"/>
      <c r="R885" s="140"/>
      <c r="S885" s="142"/>
      <c r="T885" s="140"/>
    </row>
    <row r="886" spans="3:20" ht="39.75" customHeight="1">
      <c r="C886" s="196">
        <v>883</v>
      </c>
      <c r="D886" s="127"/>
      <c r="E886" s="129"/>
      <c r="F886" s="128"/>
      <c r="G886" s="129"/>
      <c r="H886" s="129"/>
      <c r="I886" s="166"/>
      <c r="J886" s="180"/>
      <c r="K886" s="128"/>
      <c r="L886" s="127"/>
      <c r="M886" s="168"/>
      <c r="N886" s="173"/>
      <c r="O886" s="141"/>
      <c r="P886" s="140"/>
      <c r="Q886" s="142"/>
      <c r="R886" s="140"/>
      <c r="S886" s="142"/>
      <c r="T886" s="140"/>
    </row>
    <row r="887" spans="3:20" ht="39.75" customHeight="1">
      <c r="C887" s="196">
        <v>884</v>
      </c>
      <c r="D887" s="127"/>
      <c r="E887" s="129"/>
      <c r="F887" s="128"/>
      <c r="G887" s="129"/>
      <c r="H887" s="129"/>
      <c r="I887" s="166"/>
      <c r="J887" s="180"/>
      <c r="K887" s="128"/>
      <c r="L887" s="127"/>
      <c r="M887" s="168"/>
      <c r="N887" s="173"/>
      <c r="O887" s="141"/>
      <c r="P887" s="140"/>
      <c r="Q887" s="142"/>
      <c r="R887" s="140"/>
      <c r="S887" s="142"/>
      <c r="T887" s="140"/>
    </row>
    <row r="888" spans="3:20" ht="39.75" customHeight="1">
      <c r="C888" s="196">
        <v>885</v>
      </c>
      <c r="D888" s="127"/>
      <c r="E888" s="129"/>
      <c r="F888" s="128"/>
      <c r="G888" s="129"/>
      <c r="H888" s="129"/>
      <c r="I888" s="166"/>
      <c r="J888" s="180"/>
      <c r="K888" s="128"/>
      <c r="L888" s="127"/>
      <c r="M888" s="168"/>
      <c r="N888" s="173"/>
      <c r="O888" s="141"/>
      <c r="P888" s="140"/>
      <c r="Q888" s="142"/>
      <c r="R888" s="140"/>
      <c r="S888" s="142"/>
      <c r="T888" s="140"/>
    </row>
    <row r="889" spans="3:20" ht="39.75" customHeight="1">
      <c r="C889" s="196">
        <v>886</v>
      </c>
      <c r="D889" s="127"/>
      <c r="E889" s="129"/>
      <c r="F889" s="128"/>
      <c r="G889" s="129"/>
      <c r="H889" s="129"/>
      <c r="I889" s="166"/>
      <c r="J889" s="180"/>
      <c r="K889" s="128"/>
      <c r="L889" s="127"/>
      <c r="M889" s="168"/>
      <c r="N889" s="173"/>
      <c r="O889" s="141"/>
      <c r="P889" s="140"/>
      <c r="Q889" s="142"/>
      <c r="R889" s="140"/>
      <c r="S889" s="142"/>
      <c r="T889" s="140"/>
    </row>
    <row r="890" spans="3:20" ht="39.75" customHeight="1">
      <c r="C890" s="196">
        <v>887</v>
      </c>
      <c r="D890" s="127"/>
      <c r="E890" s="129"/>
      <c r="F890" s="128"/>
      <c r="G890" s="129"/>
      <c r="H890" s="129"/>
      <c r="I890" s="166"/>
      <c r="J890" s="180"/>
      <c r="K890" s="128"/>
      <c r="L890" s="127"/>
      <c r="M890" s="168"/>
      <c r="N890" s="173"/>
      <c r="O890" s="141"/>
      <c r="P890" s="140"/>
      <c r="Q890" s="142"/>
      <c r="R890" s="140"/>
      <c r="S890" s="142"/>
      <c r="T890" s="140"/>
    </row>
    <row r="891" spans="3:20" ht="39.75" customHeight="1">
      <c r="C891" s="196">
        <v>888</v>
      </c>
      <c r="D891" s="127"/>
      <c r="E891" s="129"/>
      <c r="F891" s="128"/>
      <c r="G891" s="129"/>
      <c r="H891" s="129"/>
      <c r="I891" s="166"/>
      <c r="J891" s="180"/>
      <c r="K891" s="128"/>
      <c r="L891" s="127"/>
      <c r="M891" s="168"/>
      <c r="N891" s="173"/>
      <c r="O891" s="141"/>
      <c r="P891" s="140"/>
      <c r="Q891" s="142"/>
      <c r="R891" s="140"/>
      <c r="S891" s="142"/>
      <c r="T891" s="140"/>
    </row>
    <row r="892" spans="3:20" ht="39.75" customHeight="1">
      <c r="C892" s="196">
        <v>889</v>
      </c>
      <c r="D892" s="127"/>
      <c r="E892" s="129"/>
      <c r="F892" s="128"/>
      <c r="G892" s="129"/>
      <c r="H892" s="129"/>
      <c r="I892" s="166"/>
      <c r="J892" s="180"/>
      <c r="K892" s="128"/>
      <c r="L892" s="127"/>
      <c r="M892" s="168"/>
      <c r="N892" s="173"/>
      <c r="O892" s="141"/>
      <c r="P892" s="140"/>
      <c r="Q892" s="142"/>
      <c r="R892" s="140"/>
      <c r="S892" s="142"/>
      <c r="T892" s="140"/>
    </row>
    <row r="893" spans="3:20" ht="39.75" customHeight="1">
      <c r="C893" s="196">
        <v>890</v>
      </c>
      <c r="D893" s="127"/>
      <c r="E893" s="129"/>
      <c r="F893" s="128"/>
      <c r="G893" s="129"/>
      <c r="H893" s="129"/>
      <c r="I893" s="166"/>
      <c r="J893" s="180"/>
      <c r="K893" s="128"/>
      <c r="L893" s="127"/>
      <c r="M893" s="168"/>
      <c r="N893" s="173"/>
      <c r="O893" s="141"/>
      <c r="P893" s="140"/>
      <c r="Q893" s="142"/>
      <c r="R893" s="140"/>
      <c r="S893" s="142"/>
      <c r="T893" s="140"/>
    </row>
    <row r="894" spans="3:20" ht="39.75" customHeight="1">
      <c r="C894" s="196">
        <v>891</v>
      </c>
      <c r="D894" s="127"/>
      <c r="E894" s="129"/>
      <c r="F894" s="128"/>
      <c r="G894" s="129"/>
      <c r="H894" s="129"/>
      <c r="I894" s="166"/>
      <c r="J894" s="180"/>
      <c r="K894" s="128"/>
      <c r="L894" s="127"/>
      <c r="M894" s="168"/>
      <c r="N894" s="173"/>
      <c r="O894" s="141"/>
      <c r="P894" s="140"/>
      <c r="Q894" s="142"/>
      <c r="R894" s="140"/>
      <c r="S894" s="142"/>
      <c r="T894" s="140"/>
    </row>
    <row r="895" spans="3:20" ht="39.75" customHeight="1">
      <c r="C895" s="196">
        <v>892</v>
      </c>
      <c r="D895" s="127"/>
      <c r="E895" s="129"/>
      <c r="F895" s="128"/>
      <c r="G895" s="129"/>
      <c r="H895" s="129"/>
      <c r="I895" s="166"/>
      <c r="J895" s="180"/>
      <c r="K895" s="128"/>
      <c r="L895" s="127"/>
      <c r="M895" s="168"/>
      <c r="N895" s="173"/>
      <c r="O895" s="141"/>
      <c r="P895" s="140"/>
      <c r="Q895" s="142"/>
      <c r="R895" s="140"/>
      <c r="S895" s="142"/>
      <c r="T895" s="140"/>
    </row>
    <row r="896" spans="3:20" ht="39.75" customHeight="1">
      <c r="C896" s="196">
        <v>893</v>
      </c>
      <c r="D896" s="127"/>
      <c r="E896" s="129"/>
      <c r="F896" s="128"/>
      <c r="G896" s="129"/>
      <c r="H896" s="129"/>
      <c r="I896" s="166"/>
      <c r="J896" s="180"/>
      <c r="K896" s="128"/>
      <c r="L896" s="127"/>
      <c r="M896" s="168"/>
      <c r="N896" s="173"/>
      <c r="O896" s="141"/>
      <c r="P896" s="140"/>
      <c r="Q896" s="142"/>
      <c r="R896" s="140"/>
      <c r="S896" s="142"/>
      <c r="T896" s="140"/>
    </row>
    <row r="897" spans="3:20" ht="39.75" customHeight="1">
      <c r="C897" s="196">
        <v>894</v>
      </c>
      <c r="D897" s="127"/>
      <c r="E897" s="129"/>
      <c r="F897" s="128"/>
      <c r="G897" s="129"/>
      <c r="H897" s="129"/>
      <c r="I897" s="166"/>
      <c r="J897" s="180"/>
      <c r="K897" s="128"/>
      <c r="L897" s="127"/>
      <c r="M897" s="168"/>
      <c r="N897" s="173"/>
      <c r="O897" s="141"/>
      <c r="P897" s="140"/>
      <c r="Q897" s="142"/>
      <c r="R897" s="140"/>
      <c r="S897" s="142"/>
      <c r="T897" s="140"/>
    </row>
    <row r="898" spans="3:20" ht="39.75" customHeight="1">
      <c r="C898" s="196">
        <v>895</v>
      </c>
      <c r="D898" s="127"/>
      <c r="E898" s="129"/>
      <c r="F898" s="128"/>
      <c r="G898" s="129"/>
      <c r="H898" s="129"/>
      <c r="I898" s="166"/>
      <c r="J898" s="180"/>
      <c r="K898" s="128"/>
      <c r="L898" s="127"/>
      <c r="M898" s="168"/>
      <c r="N898" s="173"/>
      <c r="O898" s="141"/>
      <c r="P898" s="140"/>
      <c r="Q898" s="142"/>
      <c r="R898" s="140"/>
      <c r="S898" s="142"/>
      <c r="T898" s="140"/>
    </row>
    <row r="899" spans="3:20" ht="39.75" customHeight="1">
      <c r="C899" s="196">
        <v>896</v>
      </c>
      <c r="D899" s="127"/>
      <c r="E899" s="129"/>
      <c r="F899" s="128"/>
      <c r="G899" s="129"/>
      <c r="H899" s="129"/>
      <c r="I899" s="166"/>
      <c r="J899" s="180"/>
      <c r="K899" s="128"/>
      <c r="L899" s="127"/>
      <c r="M899" s="168"/>
      <c r="N899" s="173"/>
      <c r="O899" s="141"/>
      <c r="P899" s="140"/>
      <c r="Q899" s="142"/>
      <c r="R899" s="140"/>
      <c r="S899" s="142"/>
      <c r="T899" s="140"/>
    </row>
    <row r="900" spans="3:20" ht="39.75" customHeight="1">
      <c r="C900" s="196">
        <v>897</v>
      </c>
      <c r="D900" s="127"/>
      <c r="E900" s="129"/>
      <c r="F900" s="128"/>
      <c r="G900" s="129"/>
      <c r="H900" s="129"/>
      <c r="I900" s="166"/>
      <c r="J900" s="180"/>
      <c r="K900" s="128"/>
      <c r="L900" s="127"/>
      <c r="M900" s="168"/>
      <c r="N900" s="173"/>
      <c r="O900" s="141"/>
      <c r="P900" s="140"/>
      <c r="Q900" s="142"/>
      <c r="R900" s="140"/>
      <c r="S900" s="142"/>
      <c r="T900" s="140"/>
    </row>
    <row r="901" spans="3:20" ht="39.75" customHeight="1">
      <c r="C901" s="196">
        <v>898</v>
      </c>
      <c r="D901" s="127"/>
      <c r="E901" s="129"/>
      <c r="F901" s="128"/>
      <c r="G901" s="129"/>
      <c r="H901" s="129"/>
      <c r="I901" s="166"/>
      <c r="J901" s="180"/>
      <c r="K901" s="128"/>
      <c r="L901" s="127"/>
      <c r="M901" s="168"/>
      <c r="N901" s="173"/>
      <c r="O901" s="141"/>
      <c r="P901" s="140"/>
      <c r="Q901" s="142"/>
      <c r="R901" s="140"/>
      <c r="S901" s="142"/>
      <c r="T901" s="140"/>
    </row>
    <row r="902" spans="3:20" ht="39.75" customHeight="1">
      <c r="C902" s="196">
        <v>899</v>
      </c>
      <c r="D902" s="127"/>
      <c r="E902" s="129"/>
      <c r="F902" s="128"/>
      <c r="G902" s="129"/>
      <c r="H902" s="129"/>
      <c r="I902" s="166"/>
      <c r="J902" s="180"/>
      <c r="K902" s="128"/>
      <c r="L902" s="127"/>
      <c r="M902" s="168"/>
      <c r="N902" s="173"/>
      <c r="O902" s="141"/>
      <c r="P902" s="140"/>
      <c r="Q902" s="142"/>
      <c r="R902" s="140"/>
      <c r="S902" s="142"/>
      <c r="T902" s="140"/>
    </row>
    <row r="903" spans="3:20" ht="39.75" customHeight="1">
      <c r="C903" s="196">
        <v>900</v>
      </c>
      <c r="D903" s="127"/>
      <c r="E903" s="129"/>
      <c r="F903" s="128"/>
      <c r="G903" s="129"/>
      <c r="H903" s="129"/>
      <c r="I903" s="166"/>
      <c r="J903" s="180"/>
      <c r="K903" s="128"/>
      <c r="L903" s="127"/>
      <c r="M903" s="168"/>
      <c r="N903" s="173"/>
      <c r="O903" s="141"/>
      <c r="P903" s="140"/>
      <c r="Q903" s="142"/>
      <c r="R903" s="140"/>
      <c r="S903" s="142"/>
      <c r="T903" s="140"/>
    </row>
    <row r="904" spans="3:20" ht="39.75" customHeight="1">
      <c r="C904" s="196">
        <v>901</v>
      </c>
      <c r="D904" s="127"/>
      <c r="E904" s="129"/>
      <c r="F904" s="128"/>
      <c r="G904" s="129"/>
      <c r="H904" s="129"/>
      <c r="I904" s="166"/>
      <c r="J904" s="180"/>
      <c r="K904" s="128"/>
      <c r="L904" s="127"/>
      <c r="M904" s="168"/>
      <c r="N904" s="173"/>
      <c r="O904" s="141"/>
      <c r="P904" s="140"/>
      <c r="Q904" s="142"/>
      <c r="R904" s="140"/>
      <c r="S904" s="142"/>
      <c r="T904" s="140"/>
    </row>
    <row r="905" spans="3:20" ht="39.75" customHeight="1">
      <c r="C905" s="196">
        <v>902</v>
      </c>
      <c r="D905" s="127"/>
      <c r="E905" s="129"/>
      <c r="F905" s="128"/>
      <c r="G905" s="129"/>
      <c r="H905" s="129"/>
      <c r="I905" s="166"/>
      <c r="J905" s="180"/>
      <c r="K905" s="128"/>
      <c r="L905" s="127"/>
      <c r="M905" s="168"/>
      <c r="N905" s="173"/>
      <c r="O905" s="141"/>
      <c r="P905" s="140"/>
      <c r="Q905" s="142"/>
      <c r="R905" s="140"/>
      <c r="S905" s="142"/>
      <c r="T905" s="140"/>
    </row>
    <row r="906" spans="3:20" ht="39.75" customHeight="1">
      <c r="C906" s="196">
        <v>903</v>
      </c>
      <c r="D906" s="127"/>
      <c r="E906" s="129"/>
      <c r="F906" s="128"/>
      <c r="G906" s="129"/>
      <c r="H906" s="129"/>
      <c r="I906" s="166"/>
      <c r="J906" s="180"/>
      <c r="K906" s="128"/>
      <c r="L906" s="127"/>
      <c r="M906" s="168"/>
      <c r="N906" s="173"/>
      <c r="O906" s="141"/>
      <c r="P906" s="140"/>
      <c r="Q906" s="142"/>
      <c r="R906" s="140"/>
      <c r="S906" s="142"/>
      <c r="T906" s="140"/>
    </row>
    <row r="907" spans="3:20" ht="39.75" customHeight="1">
      <c r="C907" s="196">
        <v>904</v>
      </c>
      <c r="D907" s="127"/>
      <c r="E907" s="129"/>
      <c r="F907" s="128"/>
      <c r="G907" s="129"/>
      <c r="H907" s="129"/>
      <c r="I907" s="166"/>
      <c r="J907" s="180"/>
      <c r="K907" s="128"/>
      <c r="L907" s="127"/>
      <c r="M907" s="168"/>
      <c r="N907" s="173"/>
      <c r="O907" s="141"/>
      <c r="P907" s="140"/>
      <c r="Q907" s="142"/>
      <c r="R907" s="140"/>
      <c r="S907" s="142"/>
      <c r="T907" s="140"/>
    </row>
    <row r="908" spans="3:20" ht="39.75" customHeight="1">
      <c r="C908" s="196">
        <v>905</v>
      </c>
      <c r="D908" s="127"/>
      <c r="E908" s="129"/>
      <c r="F908" s="128"/>
      <c r="G908" s="129"/>
      <c r="H908" s="129"/>
      <c r="I908" s="166"/>
      <c r="J908" s="180"/>
      <c r="K908" s="128"/>
      <c r="L908" s="127"/>
      <c r="M908" s="168"/>
      <c r="N908" s="173"/>
      <c r="O908" s="141"/>
      <c r="P908" s="140"/>
      <c r="Q908" s="142"/>
      <c r="R908" s="140"/>
      <c r="S908" s="142"/>
      <c r="T908" s="140"/>
    </row>
    <row r="909" spans="3:20" ht="39.75" customHeight="1">
      <c r="C909" s="196">
        <v>906</v>
      </c>
      <c r="D909" s="127"/>
      <c r="E909" s="129"/>
      <c r="F909" s="128"/>
      <c r="G909" s="129"/>
      <c r="H909" s="129"/>
      <c r="I909" s="166"/>
      <c r="J909" s="180"/>
      <c r="K909" s="128"/>
      <c r="L909" s="127"/>
      <c r="M909" s="168"/>
      <c r="N909" s="173"/>
      <c r="O909" s="141"/>
      <c r="P909" s="140"/>
      <c r="Q909" s="142"/>
      <c r="R909" s="140"/>
      <c r="S909" s="142"/>
      <c r="T909" s="140"/>
    </row>
    <row r="910" spans="3:20" ht="39.75" customHeight="1">
      <c r="C910" s="196">
        <v>907</v>
      </c>
      <c r="D910" s="127"/>
      <c r="E910" s="129"/>
      <c r="F910" s="128"/>
      <c r="G910" s="129"/>
      <c r="H910" s="129"/>
      <c r="I910" s="166"/>
      <c r="J910" s="180"/>
      <c r="K910" s="128"/>
      <c r="L910" s="127"/>
      <c r="M910" s="168"/>
      <c r="N910" s="173"/>
      <c r="O910" s="141"/>
      <c r="P910" s="140"/>
      <c r="Q910" s="142"/>
      <c r="R910" s="140"/>
      <c r="S910" s="142"/>
      <c r="T910" s="140"/>
    </row>
    <row r="911" spans="3:20" ht="39.75" customHeight="1">
      <c r="C911" s="196">
        <v>908</v>
      </c>
      <c r="D911" s="127"/>
      <c r="E911" s="129"/>
      <c r="F911" s="128"/>
      <c r="G911" s="129"/>
      <c r="H911" s="129"/>
      <c r="I911" s="166"/>
      <c r="J911" s="180"/>
      <c r="K911" s="128"/>
      <c r="L911" s="127"/>
      <c r="M911" s="168"/>
      <c r="N911" s="173"/>
      <c r="O911" s="141"/>
      <c r="P911" s="140"/>
      <c r="Q911" s="142"/>
      <c r="R911" s="140"/>
      <c r="S911" s="142"/>
      <c r="T911" s="140"/>
    </row>
    <row r="912" spans="3:20" ht="39.75" customHeight="1">
      <c r="C912" s="196">
        <v>909</v>
      </c>
      <c r="D912" s="127"/>
      <c r="E912" s="129"/>
      <c r="F912" s="128"/>
      <c r="G912" s="129"/>
      <c r="H912" s="129"/>
      <c r="I912" s="166"/>
      <c r="J912" s="180"/>
      <c r="K912" s="128"/>
      <c r="L912" s="127"/>
      <c r="M912" s="168"/>
      <c r="N912" s="173"/>
      <c r="O912" s="141"/>
      <c r="P912" s="140"/>
      <c r="Q912" s="142"/>
      <c r="R912" s="140"/>
      <c r="S912" s="142"/>
      <c r="T912" s="140"/>
    </row>
    <row r="913" spans="3:20" ht="39.75" customHeight="1">
      <c r="C913" s="196">
        <v>910</v>
      </c>
      <c r="D913" s="127"/>
      <c r="E913" s="129"/>
      <c r="F913" s="128"/>
      <c r="G913" s="129"/>
      <c r="H913" s="129"/>
      <c r="I913" s="166"/>
      <c r="J913" s="180"/>
      <c r="K913" s="128"/>
      <c r="L913" s="127"/>
      <c r="M913" s="168"/>
      <c r="N913" s="173"/>
      <c r="O913" s="141"/>
      <c r="P913" s="140"/>
      <c r="Q913" s="142"/>
      <c r="R913" s="140"/>
      <c r="S913" s="142"/>
      <c r="T913" s="140"/>
    </row>
    <row r="914" spans="3:20" ht="39.75" customHeight="1">
      <c r="C914" s="196">
        <v>911</v>
      </c>
      <c r="D914" s="127"/>
      <c r="E914" s="129"/>
      <c r="F914" s="128"/>
      <c r="G914" s="129"/>
      <c r="H914" s="129"/>
      <c r="I914" s="166"/>
      <c r="J914" s="180"/>
      <c r="K914" s="128"/>
      <c r="L914" s="127"/>
      <c r="M914" s="168"/>
      <c r="N914" s="173"/>
      <c r="O914" s="141"/>
      <c r="P914" s="140"/>
      <c r="Q914" s="142"/>
      <c r="R914" s="140"/>
      <c r="S914" s="142"/>
      <c r="T914" s="140"/>
    </row>
    <row r="915" spans="3:20" ht="39.75" customHeight="1">
      <c r="C915" s="196">
        <v>912</v>
      </c>
      <c r="D915" s="127"/>
      <c r="E915" s="129"/>
      <c r="F915" s="128"/>
      <c r="G915" s="129"/>
      <c r="H915" s="129"/>
      <c r="I915" s="166"/>
      <c r="J915" s="180"/>
      <c r="K915" s="128"/>
      <c r="L915" s="127"/>
      <c r="M915" s="168"/>
      <c r="N915" s="173"/>
      <c r="O915" s="141"/>
      <c r="P915" s="140"/>
      <c r="Q915" s="142"/>
      <c r="R915" s="140"/>
      <c r="S915" s="142"/>
      <c r="T915" s="140"/>
    </row>
    <row r="916" spans="3:20" ht="39.75" customHeight="1">
      <c r="C916" s="196">
        <v>913</v>
      </c>
      <c r="D916" s="127"/>
      <c r="E916" s="129"/>
      <c r="F916" s="128"/>
      <c r="G916" s="129"/>
      <c r="H916" s="129"/>
      <c r="I916" s="166"/>
      <c r="J916" s="180"/>
      <c r="K916" s="128"/>
      <c r="L916" s="127"/>
      <c r="M916" s="168"/>
      <c r="N916" s="173"/>
      <c r="O916" s="141"/>
      <c r="P916" s="140"/>
      <c r="Q916" s="142"/>
      <c r="R916" s="140"/>
      <c r="S916" s="142"/>
      <c r="T916" s="140"/>
    </row>
    <row r="917" spans="3:20" ht="39.75" customHeight="1">
      <c r="C917" s="196">
        <v>914</v>
      </c>
      <c r="D917" s="127"/>
      <c r="E917" s="129"/>
      <c r="F917" s="128"/>
      <c r="G917" s="129"/>
      <c r="H917" s="129"/>
      <c r="I917" s="166"/>
      <c r="J917" s="180"/>
      <c r="K917" s="128"/>
      <c r="L917" s="127"/>
      <c r="M917" s="168"/>
      <c r="N917" s="173"/>
      <c r="O917" s="141"/>
      <c r="P917" s="140"/>
      <c r="Q917" s="142"/>
      <c r="R917" s="140"/>
      <c r="S917" s="142"/>
      <c r="T917" s="140"/>
    </row>
    <row r="918" spans="3:20" ht="39.75" customHeight="1">
      <c r="C918" s="196">
        <v>915</v>
      </c>
      <c r="D918" s="127"/>
      <c r="E918" s="129"/>
      <c r="F918" s="128"/>
      <c r="G918" s="129"/>
      <c r="H918" s="129"/>
      <c r="I918" s="166"/>
      <c r="J918" s="180"/>
      <c r="K918" s="128"/>
      <c r="L918" s="127"/>
      <c r="M918" s="168"/>
      <c r="N918" s="173"/>
      <c r="O918" s="141"/>
      <c r="P918" s="140"/>
      <c r="Q918" s="142"/>
      <c r="R918" s="140"/>
      <c r="S918" s="142"/>
      <c r="T918" s="140"/>
    </row>
    <row r="919" spans="3:20" ht="39.75" customHeight="1">
      <c r="C919" s="196">
        <v>916</v>
      </c>
      <c r="D919" s="127"/>
      <c r="E919" s="129"/>
      <c r="F919" s="128"/>
      <c r="G919" s="129"/>
      <c r="H919" s="129"/>
      <c r="I919" s="166"/>
      <c r="J919" s="180"/>
      <c r="K919" s="128"/>
      <c r="L919" s="127"/>
      <c r="M919" s="168"/>
      <c r="N919" s="173"/>
      <c r="O919" s="141"/>
      <c r="P919" s="140"/>
      <c r="Q919" s="142"/>
      <c r="R919" s="140"/>
      <c r="S919" s="142"/>
      <c r="T919" s="140"/>
    </row>
    <row r="920" spans="3:20" ht="39.75" customHeight="1">
      <c r="C920" s="196">
        <v>917</v>
      </c>
      <c r="D920" s="127"/>
      <c r="E920" s="129"/>
      <c r="F920" s="128"/>
      <c r="G920" s="129"/>
      <c r="H920" s="129"/>
      <c r="I920" s="166"/>
      <c r="J920" s="180"/>
      <c r="K920" s="128"/>
      <c r="L920" s="127"/>
      <c r="M920" s="168"/>
      <c r="N920" s="173"/>
      <c r="O920" s="141"/>
      <c r="P920" s="140"/>
      <c r="Q920" s="142"/>
      <c r="R920" s="140"/>
      <c r="S920" s="142"/>
      <c r="T920" s="140"/>
    </row>
    <row r="921" spans="3:20" ht="39.75" customHeight="1">
      <c r="C921" s="196">
        <v>918</v>
      </c>
      <c r="D921" s="127"/>
      <c r="E921" s="129"/>
      <c r="F921" s="128"/>
      <c r="G921" s="129"/>
      <c r="H921" s="129"/>
      <c r="I921" s="166"/>
      <c r="J921" s="180"/>
      <c r="K921" s="128"/>
      <c r="L921" s="127"/>
      <c r="M921" s="168"/>
      <c r="N921" s="173"/>
      <c r="O921" s="141"/>
      <c r="P921" s="140"/>
      <c r="Q921" s="142"/>
      <c r="R921" s="140"/>
      <c r="S921" s="142"/>
      <c r="T921" s="140"/>
    </row>
    <row r="922" spans="3:20" ht="39.75" customHeight="1">
      <c r="C922" s="196">
        <v>919</v>
      </c>
      <c r="D922" s="127"/>
      <c r="E922" s="129"/>
      <c r="F922" s="128"/>
      <c r="G922" s="129"/>
      <c r="H922" s="129"/>
      <c r="I922" s="166"/>
      <c r="J922" s="180"/>
      <c r="K922" s="128"/>
      <c r="L922" s="127"/>
      <c r="M922" s="168"/>
      <c r="N922" s="173"/>
      <c r="O922" s="141"/>
      <c r="P922" s="140"/>
      <c r="Q922" s="142"/>
      <c r="R922" s="140"/>
      <c r="S922" s="142"/>
      <c r="T922" s="140"/>
    </row>
    <row r="923" spans="3:20" ht="39.75" customHeight="1">
      <c r="C923" s="196">
        <v>920</v>
      </c>
      <c r="D923" s="127"/>
      <c r="E923" s="129"/>
      <c r="F923" s="128"/>
      <c r="G923" s="129"/>
      <c r="H923" s="129"/>
      <c r="I923" s="166"/>
      <c r="J923" s="180"/>
      <c r="K923" s="128"/>
      <c r="L923" s="127"/>
      <c r="M923" s="168"/>
      <c r="N923" s="173"/>
      <c r="O923" s="141"/>
      <c r="P923" s="140"/>
      <c r="Q923" s="142"/>
      <c r="R923" s="140"/>
      <c r="S923" s="142"/>
      <c r="T923" s="140"/>
    </row>
    <row r="924" spans="3:20" ht="39.75" customHeight="1">
      <c r="C924" s="196">
        <v>921</v>
      </c>
      <c r="D924" s="127"/>
      <c r="E924" s="129"/>
      <c r="F924" s="128"/>
      <c r="G924" s="129"/>
      <c r="H924" s="129"/>
      <c r="I924" s="166"/>
      <c r="J924" s="180"/>
      <c r="K924" s="128"/>
      <c r="L924" s="127"/>
      <c r="M924" s="168"/>
      <c r="N924" s="173"/>
      <c r="O924" s="141"/>
      <c r="P924" s="140"/>
      <c r="Q924" s="142"/>
      <c r="R924" s="140"/>
      <c r="S924" s="142"/>
      <c r="T924" s="140"/>
    </row>
    <row r="925" spans="3:20" ht="39.75" customHeight="1">
      <c r="C925" s="196">
        <v>922</v>
      </c>
      <c r="D925" s="127"/>
      <c r="E925" s="129"/>
      <c r="F925" s="128"/>
      <c r="G925" s="129"/>
      <c r="H925" s="129"/>
      <c r="I925" s="166"/>
      <c r="J925" s="180"/>
      <c r="K925" s="128"/>
      <c r="L925" s="127"/>
      <c r="M925" s="168"/>
      <c r="N925" s="173"/>
      <c r="O925" s="141"/>
      <c r="P925" s="140"/>
      <c r="Q925" s="142"/>
      <c r="R925" s="140"/>
      <c r="S925" s="142"/>
      <c r="T925" s="140"/>
    </row>
    <row r="926" spans="3:20" ht="39.75" customHeight="1">
      <c r="C926" s="196">
        <v>923</v>
      </c>
      <c r="D926" s="127"/>
      <c r="E926" s="129"/>
      <c r="F926" s="128"/>
      <c r="G926" s="129"/>
      <c r="H926" s="129"/>
      <c r="I926" s="166"/>
      <c r="J926" s="180"/>
      <c r="K926" s="128"/>
      <c r="L926" s="127"/>
      <c r="M926" s="168"/>
      <c r="N926" s="173"/>
      <c r="O926" s="141"/>
      <c r="P926" s="140"/>
      <c r="Q926" s="142"/>
      <c r="R926" s="140"/>
      <c r="S926" s="142"/>
      <c r="T926" s="140"/>
    </row>
    <row r="927" spans="3:20" ht="39.75" customHeight="1">
      <c r="C927" s="196">
        <v>924</v>
      </c>
      <c r="D927" s="127"/>
      <c r="E927" s="129"/>
      <c r="F927" s="128"/>
      <c r="G927" s="129"/>
      <c r="H927" s="129"/>
      <c r="I927" s="166"/>
      <c r="J927" s="180"/>
      <c r="K927" s="128"/>
      <c r="L927" s="127"/>
      <c r="M927" s="168"/>
      <c r="N927" s="173"/>
      <c r="O927" s="141"/>
      <c r="P927" s="140"/>
      <c r="Q927" s="142"/>
      <c r="R927" s="140"/>
      <c r="S927" s="142"/>
      <c r="T927" s="140"/>
    </row>
    <row r="928" spans="3:20" ht="39.75" customHeight="1">
      <c r="C928" s="196">
        <v>925</v>
      </c>
      <c r="D928" s="127"/>
      <c r="E928" s="129"/>
      <c r="F928" s="128"/>
      <c r="G928" s="129"/>
      <c r="H928" s="129"/>
      <c r="I928" s="166"/>
      <c r="J928" s="180"/>
      <c r="K928" s="128"/>
      <c r="L928" s="127"/>
      <c r="M928" s="168"/>
      <c r="N928" s="173"/>
      <c r="O928" s="141"/>
      <c r="P928" s="140"/>
      <c r="Q928" s="142"/>
      <c r="R928" s="140"/>
      <c r="S928" s="142"/>
      <c r="T928" s="140"/>
    </row>
    <row r="929" spans="3:20" ht="39.75" customHeight="1">
      <c r="C929" s="196">
        <v>926</v>
      </c>
      <c r="D929" s="127"/>
      <c r="E929" s="129"/>
      <c r="F929" s="128"/>
      <c r="G929" s="129"/>
      <c r="H929" s="129"/>
      <c r="I929" s="166"/>
      <c r="J929" s="180"/>
      <c r="K929" s="128"/>
      <c r="L929" s="127"/>
      <c r="M929" s="168"/>
      <c r="N929" s="173"/>
      <c r="O929" s="141"/>
      <c r="P929" s="140"/>
      <c r="Q929" s="142"/>
      <c r="R929" s="140"/>
      <c r="S929" s="142"/>
      <c r="T929" s="140"/>
    </row>
    <row r="930" spans="3:20" ht="39.75" customHeight="1">
      <c r="C930" s="196">
        <v>927</v>
      </c>
      <c r="D930" s="127"/>
      <c r="E930" s="129"/>
      <c r="F930" s="128"/>
      <c r="G930" s="129"/>
      <c r="H930" s="129"/>
      <c r="I930" s="166"/>
      <c r="J930" s="180"/>
      <c r="K930" s="128"/>
      <c r="L930" s="127"/>
      <c r="M930" s="168"/>
      <c r="N930" s="173"/>
      <c r="O930" s="141"/>
      <c r="P930" s="140"/>
      <c r="Q930" s="142"/>
      <c r="R930" s="140"/>
      <c r="S930" s="142"/>
      <c r="T930" s="140"/>
    </row>
    <row r="931" spans="3:20" ht="39.75" customHeight="1">
      <c r="C931" s="196">
        <v>928</v>
      </c>
      <c r="D931" s="127"/>
      <c r="E931" s="129"/>
      <c r="F931" s="128"/>
      <c r="G931" s="129"/>
      <c r="H931" s="129"/>
      <c r="I931" s="166"/>
      <c r="J931" s="180"/>
      <c r="K931" s="128"/>
      <c r="L931" s="127"/>
      <c r="M931" s="168"/>
      <c r="N931" s="173"/>
      <c r="O931" s="141"/>
      <c r="P931" s="140"/>
      <c r="Q931" s="142"/>
      <c r="R931" s="140"/>
      <c r="S931" s="142"/>
      <c r="T931" s="140"/>
    </row>
    <row r="932" spans="3:20" ht="39.75" customHeight="1">
      <c r="C932" s="196">
        <v>929</v>
      </c>
      <c r="D932" s="127"/>
      <c r="E932" s="129"/>
      <c r="F932" s="128"/>
      <c r="G932" s="129"/>
      <c r="H932" s="129"/>
      <c r="I932" s="166"/>
      <c r="J932" s="180"/>
      <c r="K932" s="128"/>
      <c r="L932" s="127"/>
      <c r="M932" s="168"/>
      <c r="N932" s="173"/>
      <c r="O932" s="141"/>
      <c r="P932" s="140"/>
      <c r="Q932" s="142"/>
      <c r="R932" s="140"/>
      <c r="S932" s="142"/>
      <c r="T932" s="140"/>
    </row>
    <row r="933" spans="3:20" ht="39.75" customHeight="1">
      <c r="C933" s="196">
        <v>930</v>
      </c>
      <c r="D933" s="127"/>
      <c r="E933" s="129"/>
      <c r="F933" s="128"/>
      <c r="G933" s="129"/>
      <c r="H933" s="129"/>
      <c r="I933" s="166"/>
      <c r="J933" s="180"/>
      <c r="K933" s="128"/>
      <c r="L933" s="127"/>
      <c r="M933" s="168"/>
      <c r="N933" s="173"/>
      <c r="O933" s="141"/>
      <c r="P933" s="140"/>
      <c r="Q933" s="142"/>
      <c r="R933" s="140"/>
      <c r="S933" s="142"/>
      <c r="T933" s="140"/>
    </row>
    <row r="934" spans="3:20" ht="39.75" customHeight="1">
      <c r="C934" s="196">
        <v>931</v>
      </c>
      <c r="D934" s="127"/>
      <c r="E934" s="129"/>
      <c r="F934" s="128"/>
      <c r="G934" s="129"/>
      <c r="H934" s="129"/>
      <c r="I934" s="166"/>
      <c r="J934" s="180"/>
      <c r="K934" s="128"/>
      <c r="L934" s="127"/>
      <c r="M934" s="168"/>
      <c r="N934" s="173"/>
      <c r="O934" s="141"/>
      <c r="P934" s="140"/>
      <c r="Q934" s="142"/>
      <c r="R934" s="140"/>
      <c r="S934" s="142"/>
      <c r="T934" s="140"/>
    </row>
    <row r="935" spans="3:20" ht="39.75" customHeight="1">
      <c r="C935" s="196">
        <v>932</v>
      </c>
      <c r="D935" s="127"/>
      <c r="E935" s="129"/>
      <c r="F935" s="128"/>
      <c r="G935" s="129"/>
      <c r="H935" s="129"/>
      <c r="I935" s="166"/>
      <c r="J935" s="180"/>
      <c r="K935" s="128"/>
      <c r="L935" s="127"/>
      <c r="M935" s="168"/>
      <c r="N935" s="173"/>
      <c r="O935" s="141"/>
      <c r="P935" s="140"/>
      <c r="Q935" s="142"/>
      <c r="R935" s="140"/>
      <c r="S935" s="142"/>
      <c r="T935" s="140"/>
    </row>
    <row r="936" spans="3:20" ht="39.75" customHeight="1">
      <c r="C936" s="196">
        <v>933</v>
      </c>
      <c r="D936" s="127"/>
      <c r="E936" s="129"/>
      <c r="F936" s="128"/>
      <c r="G936" s="129"/>
      <c r="H936" s="129"/>
      <c r="I936" s="166"/>
      <c r="J936" s="180"/>
      <c r="K936" s="128"/>
      <c r="L936" s="127"/>
      <c r="M936" s="168"/>
      <c r="N936" s="173"/>
      <c r="O936" s="141"/>
      <c r="P936" s="140"/>
      <c r="Q936" s="142"/>
      <c r="R936" s="140"/>
      <c r="S936" s="142"/>
      <c r="T936" s="140"/>
    </row>
    <row r="937" spans="3:20" ht="39.75" customHeight="1">
      <c r="C937" s="196">
        <v>934</v>
      </c>
      <c r="D937" s="127"/>
      <c r="E937" s="129"/>
      <c r="F937" s="128"/>
      <c r="G937" s="129"/>
      <c r="H937" s="129"/>
      <c r="I937" s="166"/>
      <c r="J937" s="180"/>
      <c r="K937" s="128"/>
      <c r="L937" s="127"/>
      <c r="M937" s="168"/>
      <c r="N937" s="173"/>
      <c r="O937" s="141"/>
      <c r="P937" s="140"/>
      <c r="Q937" s="142"/>
      <c r="R937" s="140"/>
      <c r="S937" s="142"/>
      <c r="T937" s="140"/>
    </row>
    <row r="938" spans="3:20" ht="39.75" customHeight="1">
      <c r="C938" s="196">
        <v>935</v>
      </c>
      <c r="D938" s="127"/>
      <c r="E938" s="129"/>
      <c r="F938" s="128"/>
      <c r="G938" s="129"/>
      <c r="H938" s="129"/>
      <c r="I938" s="166"/>
      <c r="J938" s="180"/>
      <c r="K938" s="128"/>
      <c r="L938" s="127"/>
      <c r="M938" s="168"/>
      <c r="N938" s="173"/>
      <c r="O938" s="141"/>
      <c r="P938" s="140"/>
      <c r="Q938" s="142"/>
      <c r="R938" s="140"/>
      <c r="S938" s="142"/>
      <c r="T938" s="140"/>
    </row>
    <row r="939" spans="3:20" ht="39.75" customHeight="1">
      <c r="C939" s="196">
        <v>936</v>
      </c>
      <c r="D939" s="127"/>
      <c r="E939" s="129"/>
      <c r="F939" s="128"/>
      <c r="G939" s="129"/>
      <c r="H939" s="129"/>
      <c r="I939" s="166"/>
      <c r="J939" s="180"/>
      <c r="K939" s="128"/>
      <c r="L939" s="127"/>
      <c r="M939" s="168"/>
      <c r="N939" s="173"/>
      <c r="O939" s="141"/>
      <c r="P939" s="140"/>
      <c r="Q939" s="142"/>
      <c r="R939" s="140"/>
      <c r="S939" s="142"/>
      <c r="T939" s="140"/>
    </row>
    <row r="940" spans="3:20" ht="39.75" customHeight="1">
      <c r="C940" s="196">
        <v>937</v>
      </c>
      <c r="D940" s="127"/>
      <c r="E940" s="129"/>
      <c r="F940" s="128"/>
      <c r="G940" s="129"/>
      <c r="H940" s="129"/>
      <c r="I940" s="166"/>
      <c r="J940" s="180"/>
      <c r="K940" s="128"/>
      <c r="L940" s="127"/>
      <c r="M940" s="168"/>
      <c r="N940" s="173"/>
      <c r="O940" s="141"/>
      <c r="P940" s="140"/>
      <c r="Q940" s="142"/>
      <c r="R940" s="140"/>
      <c r="S940" s="142"/>
      <c r="T940" s="140"/>
    </row>
    <row r="941" spans="3:20" ht="39.75" customHeight="1">
      <c r="C941" s="196">
        <v>938</v>
      </c>
      <c r="D941" s="127"/>
      <c r="E941" s="129"/>
      <c r="F941" s="128"/>
      <c r="G941" s="129"/>
      <c r="H941" s="129"/>
      <c r="I941" s="166"/>
      <c r="J941" s="180"/>
      <c r="K941" s="128"/>
      <c r="L941" s="127"/>
      <c r="M941" s="168"/>
      <c r="N941" s="173"/>
      <c r="O941" s="141"/>
      <c r="P941" s="140"/>
      <c r="Q941" s="142"/>
      <c r="R941" s="140"/>
      <c r="S941" s="142"/>
      <c r="T941" s="140"/>
    </row>
    <row r="942" spans="3:20" ht="39.75" customHeight="1">
      <c r="C942" s="196">
        <v>939</v>
      </c>
      <c r="D942" s="127"/>
      <c r="E942" s="129"/>
      <c r="F942" s="128"/>
      <c r="G942" s="129"/>
      <c r="H942" s="129"/>
      <c r="I942" s="166"/>
      <c r="J942" s="180"/>
      <c r="K942" s="128"/>
      <c r="L942" s="127"/>
      <c r="M942" s="168"/>
      <c r="N942" s="173"/>
      <c r="O942" s="141"/>
      <c r="P942" s="140"/>
      <c r="Q942" s="142"/>
      <c r="R942" s="140"/>
      <c r="S942" s="142"/>
      <c r="T942" s="140"/>
    </row>
    <row r="943" spans="3:20" ht="39.75" customHeight="1">
      <c r="C943" s="196">
        <v>940</v>
      </c>
      <c r="D943" s="127"/>
      <c r="E943" s="129"/>
      <c r="F943" s="128"/>
      <c r="G943" s="129"/>
      <c r="H943" s="129"/>
      <c r="I943" s="166"/>
      <c r="J943" s="180"/>
      <c r="K943" s="128"/>
      <c r="L943" s="127"/>
      <c r="M943" s="168"/>
      <c r="N943" s="173"/>
      <c r="O943" s="141"/>
      <c r="P943" s="140"/>
      <c r="Q943" s="142"/>
      <c r="R943" s="140"/>
      <c r="S943" s="142"/>
      <c r="T943" s="140"/>
    </row>
    <row r="944" spans="3:20" ht="39.75" customHeight="1">
      <c r="C944" s="196">
        <v>941</v>
      </c>
      <c r="D944" s="127"/>
      <c r="E944" s="129"/>
      <c r="F944" s="128"/>
      <c r="G944" s="129"/>
      <c r="H944" s="129"/>
      <c r="I944" s="166"/>
      <c r="J944" s="180"/>
      <c r="K944" s="128"/>
      <c r="L944" s="127"/>
      <c r="M944" s="168"/>
      <c r="N944" s="173"/>
      <c r="O944" s="141"/>
      <c r="P944" s="140"/>
      <c r="Q944" s="142"/>
      <c r="R944" s="140"/>
      <c r="S944" s="142"/>
      <c r="T944" s="140"/>
    </row>
    <row r="945" spans="3:20" ht="39.75" customHeight="1">
      <c r="C945" s="196">
        <v>942</v>
      </c>
      <c r="D945" s="127"/>
      <c r="E945" s="129"/>
      <c r="F945" s="128"/>
      <c r="G945" s="129"/>
      <c r="H945" s="129"/>
      <c r="I945" s="166"/>
      <c r="J945" s="180"/>
      <c r="K945" s="128"/>
      <c r="L945" s="127"/>
      <c r="M945" s="168"/>
      <c r="N945" s="173"/>
      <c r="O945" s="141"/>
      <c r="P945" s="140"/>
      <c r="Q945" s="142"/>
      <c r="R945" s="140"/>
      <c r="S945" s="142"/>
      <c r="T945" s="140"/>
    </row>
    <row r="946" spans="3:20" ht="39.75" customHeight="1">
      <c r="C946" s="196">
        <v>943</v>
      </c>
      <c r="D946" s="127"/>
      <c r="E946" s="129"/>
      <c r="F946" s="128"/>
      <c r="G946" s="129"/>
      <c r="H946" s="129"/>
      <c r="I946" s="166"/>
      <c r="J946" s="180"/>
      <c r="K946" s="128"/>
      <c r="L946" s="127"/>
      <c r="M946" s="168"/>
      <c r="N946" s="173"/>
      <c r="O946" s="141"/>
      <c r="P946" s="140"/>
      <c r="Q946" s="142"/>
      <c r="R946" s="140"/>
      <c r="S946" s="142"/>
      <c r="T946" s="140"/>
    </row>
    <row r="947" spans="3:20" ht="39.75" customHeight="1">
      <c r="C947" s="196">
        <v>944</v>
      </c>
      <c r="D947" s="127"/>
      <c r="E947" s="129"/>
      <c r="F947" s="128"/>
      <c r="G947" s="129"/>
      <c r="H947" s="129"/>
      <c r="I947" s="166"/>
      <c r="J947" s="180"/>
      <c r="K947" s="128"/>
      <c r="L947" s="127"/>
      <c r="M947" s="168"/>
      <c r="N947" s="173"/>
      <c r="O947" s="141"/>
      <c r="P947" s="140"/>
      <c r="Q947" s="142"/>
      <c r="R947" s="140"/>
      <c r="S947" s="142"/>
      <c r="T947" s="140"/>
    </row>
    <row r="948" spans="3:20" ht="39.75" customHeight="1">
      <c r="C948" s="196">
        <v>945</v>
      </c>
      <c r="D948" s="127"/>
      <c r="E948" s="129"/>
      <c r="F948" s="128"/>
      <c r="G948" s="129"/>
      <c r="H948" s="129"/>
      <c r="I948" s="166"/>
      <c r="J948" s="180"/>
      <c r="K948" s="128"/>
      <c r="L948" s="127"/>
      <c r="M948" s="168"/>
      <c r="N948" s="173"/>
      <c r="O948" s="141"/>
      <c r="P948" s="140"/>
      <c r="Q948" s="142"/>
      <c r="R948" s="140"/>
      <c r="S948" s="142"/>
      <c r="T948" s="140"/>
    </row>
    <row r="949" spans="3:20" ht="39.75" customHeight="1">
      <c r="C949" s="196">
        <v>946</v>
      </c>
      <c r="D949" s="127"/>
      <c r="E949" s="129"/>
      <c r="F949" s="128"/>
      <c r="G949" s="129"/>
      <c r="H949" s="129"/>
      <c r="I949" s="166"/>
      <c r="J949" s="180"/>
      <c r="K949" s="128"/>
      <c r="L949" s="127"/>
      <c r="M949" s="168"/>
      <c r="N949" s="173"/>
      <c r="O949" s="141"/>
      <c r="P949" s="140"/>
      <c r="Q949" s="142"/>
      <c r="R949" s="140"/>
      <c r="S949" s="142"/>
      <c r="T949" s="140"/>
    </row>
    <row r="950" spans="3:20" ht="39.75" customHeight="1">
      <c r="C950" s="196">
        <v>947</v>
      </c>
      <c r="D950" s="127"/>
      <c r="E950" s="129"/>
      <c r="F950" s="128"/>
      <c r="G950" s="129"/>
      <c r="H950" s="129"/>
      <c r="I950" s="166"/>
      <c r="J950" s="180"/>
      <c r="K950" s="128"/>
      <c r="L950" s="127"/>
      <c r="M950" s="168"/>
      <c r="N950" s="173"/>
      <c r="O950" s="141"/>
      <c r="P950" s="140"/>
      <c r="Q950" s="142"/>
      <c r="R950" s="140"/>
      <c r="S950" s="142"/>
      <c r="T950" s="140"/>
    </row>
    <row r="951" spans="3:20" ht="39.75" customHeight="1">
      <c r="C951" s="196">
        <v>948</v>
      </c>
      <c r="D951" s="127"/>
      <c r="E951" s="129"/>
      <c r="F951" s="128"/>
      <c r="G951" s="129"/>
      <c r="H951" s="129"/>
      <c r="I951" s="166"/>
      <c r="J951" s="180"/>
      <c r="K951" s="128"/>
      <c r="L951" s="127"/>
      <c r="M951" s="168"/>
      <c r="N951" s="173"/>
      <c r="O951" s="141"/>
      <c r="P951" s="140"/>
      <c r="Q951" s="142"/>
      <c r="R951" s="140"/>
      <c r="S951" s="142"/>
      <c r="T951" s="140"/>
    </row>
    <row r="952" spans="3:20" ht="39.75" customHeight="1">
      <c r="C952" s="196">
        <v>949</v>
      </c>
      <c r="D952" s="127"/>
      <c r="E952" s="129"/>
      <c r="F952" s="128"/>
      <c r="G952" s="129"/>
      <c r="H952" s="129"/>
      <c r="I952" s="166"/>
      <c r="J952" s="180"/>
      <c r="K952" s="128"/>
      <c r="L952" s="127"/>
      <c r="M952" s="168"/>
      <c r="N952" s="173"/>
      <c r="O952" s="141"/>
      <c r="P952" s="140"/>
      <c r="Q952" s="142"/>
      <c r="R952" s="140"/>
      <c r="S952" s="142"/>
      <c r="T952" s="140"/>
    </row>
    <row r="953" spans="3:20" ht="39.75" customHeight="1">
      <c r="C953" s="196">
        <v>950</v>
      </c>
      <c r="D953" s="127"/>
      <c r="E953" s="129"/>
      <c r="F953" s="128"/>
      <c r="G953" s="129"/>
      <c r="H953" s="129"/>
      <c r="I953" s="166"/>
      <c r="J953" s="180"/>
      <c r="K953" s="128"/>
      <c r="L953" s="127"/>
      <c r="M953" s="168"/>
      <c r="N953" s="173"/>
      <c r="O953" s="141"/>
      <c r="P953" s="140"/>
      <c r="Q953" s="142"/>
      <c r="R953" s="140"/>
      <c r="S953" s="142"/>
      <c r="T953" s="140"/>
    </row>
    <row r="954" spans="3:20" ht="39.75" customHeight="1">
      <c r="C954" s="196">
        <v>951</v>
      </c>
      <c r="D954" s="127"/>
      <c r="E954" s="129"/>
      <c r="F954" s="128"/>
      <c r="G954" s="129"/>
      <c r="H954" s="129"/>
      <c r="I954" s="166"/>
      <c r="J954" s="180"/>
      <c r="K954" s="128"/>
      <c r="L954" s="127"/>
      <c r="M954" s="168"/>
      <c r="N954" s="173"/>
      <c r="O954" s="141"/>
      <c r="P954" s="140"/>
      <c r="Q954" s="142"/>
      <c r="R954" s="140"/>
      <c r="S954" s="142"/>
      <c r="T954" s="140"/>
    </row>
    <row r="955" spans="3:20" ht="39.75" customHeight="1">
      <c r="C955" s="196">
        <v>952</v>
      </c>
      <c r="D955" s="127"/>
      <c r="E955" s="129"/>
      <c r="F955" s="128"/>
      <c r="G955" s="129"/>
      <c r="H955" s="129"/>
      <c r="I955" s="166"/>
      <c r="J955" s="180"/>
      <c r="K955" s="128"/>
      <c r="L955" s="127"/>
      <c r="M955" s="168"/>
      <c r="N955" s="173"/>
      <c r="O955" s="141"/>
      <c r="P955" s="140"/>
      <c r="Q955" s="142"/>
      <c r="R955" s="140"/>
      <c r="S955" s="142"/>
      <c r="T955" s="140"/>
    </row>
    <row r="956" spans="3:20" ht="39.75" customHeight="1">
      <c r="C956" s="196">
        <v>953</v>
      </c>
      <c r="D956" s="127"/>
      <c r="E956" s="129"/>
      <c r="F956" s="128"/>
      <c r="G956" s="129"/>
      <c r="H956" s="129"/>
      <c r="I956" s="166"/>
      <c r="J956" s="180"/>
      <c r="K956" s="128"/>
      <c r="L956" s="127"/>
      <c r="M956" s="168"/>
      <c r="N956" s="173"/>
      <c r="O956" s="141"/>
      <c r="P956" s="140"/>
      <c r="Q956" s="142"/>
      <c r="R956" s="140"/>
      <c r="S956" s="142"/>
      <c r="T956" s="140"/>
    </row>
    <row r="957" spans="3:20" ht="39.75" customHeight="1">
      <c r="C957" s="196">
        <v>954</v>
      </c>
      <c r="D957" s="127"/>
      <c r="E957" s="129"/>
      <c r="F957" s="128"/>
      <c r="G957" s="129"/>
      <c r="H957" s="129"/>
      <c r="I957" s="166"/>
      <c r="J957" s="180"/>
      <c r="K957" s="128"/>
      <c r="L957" s="127"/>
      <c r="M957" s="168"/>
      <c r="N957" s="173"/>
      <c r="O957" s="141"/>
      <c r="P957" s="140"/>
      <c r="Q957" s="142"/>
      <c r="R957" s="140"/>
      <c r="S957" s="142"/>
      <c r="T957" s="140"/>
    </row>
    <row r="958" spans="3:20" ht="39.75" customHeight="1">
      <c r="C958" s="196">
        <v>955</v>
      </c>
      <c r="D958" s="127"/>
      <c r="E958" s="129"/>
      <c r="F958" s="128"/>
      <c r="G958" s="129"/>
      <c r="H958" s="129"/>
      <c r="I958" s="166"/>
      <c r="J958" s="180"/>
      <c r="K958" s="128"/>
      <c r="L958" s="127"/>
      <c r="M958" s="168"/>
      <c r="N958" s="173"/>
      <c r="O958" s="141"/>
      <c r="P958" s="140"/>
      <c r="Q958" s="142"/>
      <c r="R958" s="140"/>
      <c r="S958" s="142"/>
      <c r="T958" s="140"/>
    </row>
    <row r="959" spans="3:20" ht="39.75" customHeight="1">
      <c r="C959" s="196">
        <v>956</v>
      </c>
      <c r="D959" s="127"/>
      <c r="E959" s="129"/>
      <c r="F959" s="128"/>
      <c r="G959" s="129"/>
      <c r="H959" s="129"/>
      <c r="I959" s="166"/>
      <c r="J959" s="180"/>
      <c r="K959" s="128"/>
      <c r="L959" s="127"/>
      <c r="M959" s="168"/>
      <c r="N959" s="173"/>
      <c r="O959" s="141"/>
      <c r="P959" s="140"/>
      <c r="Q959" s="142"/>
      <c r="R959" s="140"/>
      <c r="S959" s="142"/>
      <c r="T959" s="140"/>
    </row>
    <row r="960" spans="3:20" ht="39.75" customHeight="1">
      <c r="C960" s="196">
        <v>957</v>
      </c>
      <c r="D960" s="127"/>
      <c r="E960" s="129"/>
      <c r="F960" s="128"/>
      <c r="G960" s="129"/>
      <c r="H960" s="129"/>
      <c r="I960" s="166"/>
      <c r="J960" s="180"/>
      <c r="K960" s="128"/>
      <c r="L960" s="127"/>
      <c r="M960" s="168"/>
      <c r="N960" s="173"/>
      <c r="O960" s="141"/>
      <c r="P960" s="140"/>
      <c r="Q960" s="142"/>
      <c r="R960" s="140"/>
      <c r="S960" s="142"/>
      <c r="T960" s="140"/>
    </row>
    <row r="961" spans="3:20" ht="39.75" customHeight="1">
      <c r="C961" s="196">
        <v>958</v>
      </c>
      <c r="D961" s="127"/>
      <c r="E961" s="129"/>
      <c r="F961" s="128"/>
      <c r="G961" s="129"/>
      <c r="H961" s="129"/>
      <c r="I961" s="166"/>
      <c r="J961" s="180"/>
      <c r="K961" s="128"/>
      <c r="L961" s="127"/>
      <c r="M961" s="168"/>
      <c r="N961" s="173"/>
      <c r="O961" s="141"/>
      <c r="P961" s="140"/>
      <c r="Q961" s="142"/>
      <c r="R961" s="140"/>
      <c r="S961" s="142"/>
      <c r="T961" s="140"/>
    </row>
    <row r="962" spans="3:20" ht="39.75" customHeight="1">
      <c r="C962" s="196">
        <v>959</v>
      </c>
      <c r="D962" s="127"/>
      <c r="E962" s="129"/>
      <c r="F962" s="128"/>
      <c r="G962" s="129"/>
      <c r="H962" s="129"/>
      <c r="I962" s="166"/>
      <c r="J962" s="180"/>
      <c r="K962" s="128"/>
      <c r="L962" s="127"/>
      <c r="M962" s="168"/>
      <c r="N962" s="173"/>
      <c r="O962" s="141"/>
      <c r="P962" s="140"/>
      <c r="Q962" s="142"/>
      <c r="R962" s="140"/>
      <c r="S962" s="142"/>
      <c r="T962" s="140"/>
    </row>
    <row r="963" spans="3:20" ht="39.75" customHeight="1">
      <c r="C963" s="196">
        <v>960</v>
      </c>
      <c r="D963" s="127"/>
      <c r="E963" s="129"/>
      <c r="F963" s="128"/>
      <c r="G963" s="129"/>
      <c r="H963" s="129"/>
      <c r="I963" s="166"/>
      <c r="J963" s="180"/>
      <c r="K963" s="128"/>
      <c r="L963" s="127"/>
      <c r="M963" s="168"/>
      <c r="N963" s="173"/>
      <c r="O963" s="141"/>
      <c r="P963" s="140"/>
      <c r="Q963" s="142"/>
      <c r="R963" s="140"/>
      <c r="S963" s="142"/>
      <c r="T963" s="140"/>
    </row>
    <row r="964" spans="3:20" ht="39.75" customHeight="1">
      <c r="C964" s="196">
        <v>961</v>
      </c>
      <c r="D964" s="127"/>
      <c r="E964" s="129"/>
      <c r="F964" s="128"/>
      <c r="G964" s="129"/>
      <c r="H964" s="129"/>
      <c r="I964" s="166"/>
      <c r="J964" s="180"/>
      <c r="K964" s="128"/>
      <c r="L964" s="127"/>
      <c r="M964" s="168"/>
      <c r="N964" s="173"/>
      <c r="O964" s="141"/>
      <c r="P964" s="140"/>
      <c r="Q964" s="142"/>
      <c r="R964" s="140"/>
      <c r="S964" s="142"/>
      <c r="T964" s="140"/>
    </row>
    <row r="965" spans="3:20" ht="39.75" customHeight="1">
      <c r="C965" s="196">
        <v>962</v>
      </c>
      <c r="D965" s="127"/>
      <c r="E965" s="129"/>
      <c r="F965" s="128"/>
      <c r="G965" s="129"/>
      <c r="H965" s="129"/>
      <c r="I965" s="166"/>
      <c r="J965" s="180"/>
      <c r="K965" s="128"/>
      <c r="L965" s="127"/>
      <c r="M965" s="168"/>
      <c r="N965" s="173"/>
      <c r="O965" s="141"/>
      <c r="P965" s="140"/>
      <c r="Q965" s="142"/>
      <c r="R965" s="140"/>
      <c r="S965" s="142"/>
      <c r="T965" s="140"/>
    </row>
    <row r="966" spans="3:20" ht="39.75" customHeight="1">
      <c r="C966" s="196">
        <v>963</v>
      </c>
      <c r="D966" s="127"/>
      <c r="E966" s="129"/>
      <c r="F966" s="128"/>
      <c r="G966" s="129"/>
      <c r="H966" s="129"/>
      <c r="I966" s="166"/>
      <c r="J966" s="180"/>
      <c r="K966" s="128"/>
      <c r="L966" s="127"/>
      <c r="M966" s="168"/>
      <c r="N966" s="173"/>
      <c r="O966" s="141"/>
      <c r="P966" s="140"/>
      <c r="Q966" s="142"/>
      <c r="R966" s="140"/>
      <c r="S966" s="142"/>
      <c r="T966" s="140"/>
    </row>
    <row r="967" spans="3:20" ht="39.75" customHeight="1">
      <c r="C967" s="196">
        <v>964</v>
      </c>
      <c r="D967" s="127"/>
      <c r="E967" s="129"/>
      <c r="F967" s="128"/>
      <c r="G967" s="129"/>
      <c r="H967" s="129"/>
      <c r="I967" s="166"/>
      <c r="J967" s="180"/>
      <c r="K967" s="128"/>
      <c r="L967" s="127"/>
      <c r="M967" s="168"/>
      <c r="N967" s="173"/>
      <c r="O967" s="141"/>
      <c r="P967" s="140"/>
      <c r="Q967" s="142"/>
      <c r="R967" s="140"/>
      <c r="S967" s="142"/>
      <c r="T967" s="140"/>
    </row>
    <row r="968" spans="3:20" ht="39.75" customHeight="1">
      <c r="C968" s="196">
        <v>965</v>
      </c>
      <c r="D968" s="127"/>
      <c r="E968" s="129"/>
      <c r="F968" s="128"/>
      <c r="G968" s="129"/>
      <c r="H968" s="129"/>
      <c r="I968" s="166"/>
      <c r="J968" s="180"/>
      <c r="K968" s="128"/>
      <c r="L968" s="127"/>
      <c r="M968" s="168"/>
      <c r="N968" s="173"/>
      <c r="O968" s="141"/>
      <c r="P968" s="140"/>
      <c r="Q968" s="142"/>
      <c r="R968" s="140"/>
      <c r="S968" s="142"/>
      <c r="T968" s="140"/>
    </row>
    <row r="969" spans="3:20" ht="39.75" customHeight="1">
      <c r="C969" s="196">
        <v>966</v>
      </c>
      <c r="D969" s="127"/>
      <c r="E969" s="129"/>
      <c r="F969" s="128"/>
      <c r="G969" s="129"/>
      <c r="H969" s="129"/>
      <c r="I969" s="166"/>
      <c r="J969" s="180"/>
      <c r="K969" s="128"/>
      <c r="L969" s="127"/>
      <c r="M969" s="168"/>
      <c r="N969" s="173"/>
      <c r="O969" s="141"/>
      <c r="P969" s="140"/>
      <c r="Q969" s="142"/>
      <c r="R969" s="140"/>
      <c r="S969" s="142"/>
      <c r="T969" s="140"/>
    </row>
    <row r="970" spans="3:20" ht="39.75" customHeight="1">
      <c r="C970" s="196">
        <v>967</v>
      </c>
      <c r="D970" s="127"/>
      <c r="E970" s="129"/>
      <c r="F970" s="128"/>
      <c r="G970" s="129"/>
      <c r="H970" s="129"/>
      <c r="I970" s="166"/>
      <c r="J970" s="180"/>
      <c r="K970" s="128"/>
      <c r="L970" s="127"/>
      <c r="M970" s="168"/>
      <c r="N970" s="173"/>
      <c r="O970" s="141"/>
      <c r="P970" s="140"/>
      <c r="Q970" s="142"/>
      <c r="R970" s="140"/>
      <c r="S970" s="142"/>
      <c r="T970" s="140"/>
    </row>
    <row r="971" spans="3:20" ht="39.75" customHeight="1">
      <c r="C971" s="196">
        <v>968</v>
      </c>
      <c r="D971" s="127"/>
      <c r="E971" s="129"/>
      <c r="F971" s="128"/>
      <c r="G971" s="129"/>
      <c r="H971" s="129"/>
      <c r="I971" s="166"/>
      <c r="J971" s="180"/>
      <c r="K971" s="128"/>
      <c r="L971" s="127"/>
      <c r="M971" s="168"/>
      <c r="N971" s="173"/>
      <c r="O971" s="141"/>
      <c r="P971" s="140"/>
      <c r="Q971" s="142"/>
      <c r="R971" s="140"/>
      <c r="S971" s="142"/>
      <c r="T971" s="140"/>
    </row>
    <row r="972" spans="3:20" ht="39.75" customHeight="1">
      <c r="C972" s="196">
        <v>969</v>
      </c>
      <c r="D972" s="127"/>
      <c r="E972" s="129"/>
      <c r="F972" s="128"/>
      <c r="G972" s="129"/>
      <c r="H972" s="129"/>
      <c r="I972" s="166"/>
      <c r="J972" s="180"/>
      <c r="K972" s="128"/>
      <c r="L972" s="127"/>
      <c r="M972" s="168"/>
      <c r="N972" s="173"/>
      <c r="O972" s="141"/>
      <c r="P972" s="140"/>
      <c r="Q972" s="142"/>
      <c r="R972" s="140"/>
      <c r="S972" s="142"/>
      <c r="T972" s="140"/>
    </row>
    <row r="973" spans="3:20" ht="39.75" customHeight="1">
      <c r="C973" s="196">
        <v>970</v>
      </c>
      <c r="D973" s="127"/>
      <c r="E973" s="129"/>
      <c r="F973" s="128"/>
      <c r="G973" s="129"/>
      <c r="H973" s="129"/>
      <c r="I973" s="166"/>
      <c r="J973" s="180"/>
      <c r="K973" s="128"/>
      <c r="L973" s="127"/>
      <c r="M973" s="168"/>
      <c r="N973" s="173"/>
      <c r="O973" s="141"/>
      <c r="P973" s="140"/>
      <c r="Q973" s="142"/>
      <c r="R973" s="140"/>
      <c r="S973" s="142"/>
      <c r="T973" s="140"/>
    </row>
    <row r="974" spans="3:20" ht="39.75" customHeight="1">
      <c r="C974" s="196">
        <v>971</v>
      </c>
      <c r="D974" s="127"/>
      <c r="E974" s="129"/>
      <c r="F974" s="128"/>
      <c r="G974" s="129"/>
      <c r="H974" s="129"/>
      <c r="I974" s="166"/>
      <c r="J974" s="180"/>
      <c r="K974" s="128"/>
      <c r="L974" s="127"/>
      <c r="M974" s="168"/>
      <c r="N974" s="173"/>
      <c r="O974" s="141"/>
      <c r="P974" s="140"/>
      <c r="Q974" s="142"/>
      <c r="R974" s="140"/>
      <c r="S974" s="142"/>
      <c r="T974" s="140"/>
    </row>
    <row r="975" spans="3:20" ht="39.75" customHeight="1">
      <c r="C975" s="196">
        <v>972</v>
      </c>
      <c r="D975" s="127"/>
      <c r="E975" s="129"/>
      <c r="F975" s="128"/>
      <c r="G975" s="129"/>
      <c r="H975" s="129"/>
      <c r="I975" s="166"/>
      <c r="J975" s="180"/>
      <c r="K975" s="128"/>
      <c r="L975" s="127"/>
      <c r="M975" s="168"/>
      <c r="N975" s="173"/>
      <c r="O975" s="141"/>
      <c r="P975" s="140"/>
      <c r="Q975" s="142"/>
      <c r="R975" s="140"/>
      <c r="S975" s="142"/>
      <c r="T975" s="140"/>
    </row>
    <row r="976" spans="3:20" ht="39.75" customHeight="1">
      <c r="C976" s="196">
        <v>973</v>
      </c>
      <c r="D976" s="127"/>
      <c r="E976" s="129"/>
      <c r="F976" s="128"/>
      <c r="G976" s="129"/>
      <c r="H976" s="129"/>
      <c r="I976" s="166"/>
      <c r="J976" s="180"/>
      <c r="K976" s="128"/>
      <c r="L976" s="127"/>
      <c r="M976" s="168"/>
      <c r="N976" s="173"/>
      <c r="O976" s="141"/>
      <c r="P976" s="140"/>
      <c r="Q976" s="142"/>
      <c r="R976" s="140"/>
      <c r="S976" s="142"/>
      <c r="T976" s="140"/>
    </row>
    <row r="977" spans="3:20" ht="39.75" customHeight="1">
      <c r="C977" s="196">
        <v>974</v>
      </c>
      <c r="D977" s="127"/>
      <c r="E977" s="129"/>
      <c r="F977" s="128"/>
      <c r="G977" s="129"/>
      <c r="H977" s="129"/>
      <c r="I977" s="166"/>
      <c r="J977" s="180"/>
      <c r="K977" s="128"/>
      <c r="L977" s="127"/>
      <c r="M977" s="168"/>
      <c r="N977" s="173"/>
      <c r="O977" s="141"/>
      <c r="P977" s="140"/>
      <c r="Q977" s="142"/>
      <c r="R977" s="140"/>
      <c r="S977" s="142"/>
      <c r="T977" s="140"/>
    </row>
    <row r="978" spans="3:20" ht="39.75" customHeight="1">
      <c r="C978" s="196">
        <v>975</v>
      </c>
      <c r="D978" s="127"/>
      <c r="E978" s="129"/>
      <c r="F978" s="128"/>
      <c r="G978" s="129"/>
      <c r="H978" s="129"/>
      <c r="I978" s="166"/>
      <c r="J978" s="180"/>
      <c r="K978" s="128"/>
      <c r="L978" s="127"/>
      <c r="M978" s="168"/>
      <c r="N978" s="173"/>
      <c r="O978" s="141"/>
      <c r="P978" s="140"/>
      <c r="Q978" s="142"/>
      <c r="R978" s="140"/>
      <c r="S978" s="142"/>
      <c r="T978" s="140"/>
    </row>
    <row r="979" spans="3:20" ht="39.75" customHeight="1">
      <c r="C979" s="196">
        <v>976</v>
      </c>
      <c r="D979" s="127"/>
      <c r="E979" s="129"/>
      <c r="F979" s="128"/>
      <c r="G979" s="129"/>
      <c r="H979" s="129"/>
      <c r="I979" s="166"/>
      <c r="J979" s="180"/>
      <c r="K979" s="128"/>
      <c r="L979" s="127"/>
      <c r="M979" s="168"/>
      <c r="N979" s="173"/>
      <c r="O979" s="141"/>
      <c r="P979" s="140"/>
      <c r="Q979" s="142"/>
      <c r="R979" s="140"/>
      <c r="S979" s="142"/>
      <c r="T979" s="140"/>
    </row>
    <row r="980" spans="3:20" ht="39.75" customHeight="1">
      <c r="C980" s="196">
        <v>977</v>
      </c>
      <c r="D980" s="127"/>
      <c r="E980" s="129"/>
      <c r="F980" s="128"/>
      <c r="G980" s="129"/>
      <c r="H980" s="129"/>
      <c r="I980" s="166"/>
      <c r="J980" s="180"/>
      <c r="K980" s="128"/>
      <c r="L980" s="127"/>
      <c r="M980" s="168"/>
      <c r="N980" s="173"/>
      <c r="O980" s="141"/>
      <c r="P980" s="140"/>
      <c r="Q980" s="142"/>
      <c r="R980" s="140"/>
      <c r="S980" s="142"/>
      <c r="T980" s="140"/>
    </row>
    <row r="981" spans="3:20" ht="39.75" customHeight="1">
      <c r="C981" s="196">
        <v>978</v>
      </c>
      <c r="D981" s="127"/>
      <c r="E981" s="129"/>
      <c r="F981" s="128"/>
      <c r="G981" s="129"/>
      <c r="H981" s="129"/>
      <c r="I981" s="166"/>
      <c r="J981" s="180"/>
      <c r="K981" s="128"/>
      <c r="L981" s="127"/>
      <c r="M981" s="168"/>
      <c r="N981" s="173"/>
      <c r="O981" s="141"/>
      <c r="P981" s="140"/>
      <c r="Q981" s="142"/>
      <c r="R981" s="140"/>
      <c r="S981" s="142"/>
      <c r="T981" s="140"/>
    </row>
    <row r="982" spans="3:20" ht="39.75" customHeight="1">
      <c r="C982" s="196">
        <v>979</v>
      </c>
      <c r="D982" s="127"/>
      <c r="E982" s="129"/>
      <c r="F982" s="128"/>
      <c r="G982" s="129"/>
      <c r="H982" s="129"/>
      <c r="I982" s="166"/>
      <c r="J982" s="180"/>
      <c r="K982" s="128"/>
      <c r="L982" s="127"/>
      <c r="M982" s="168"/>
      <c r="N982" s="173"/>
      <c r="O982" s="141"/>
      <c r="P982" s="140"/>
      <c r="Q982" s="142"/>
      <c r="R982" s="140"/>
      <c r="S982" s="142"/>
      <c r="T982" s="140"/>
    </row>
    <row r="983" spans="3:20" ht="39.75" customHeight="1">
      <c r="C983" s="196">
        <v>980</v>
      </c>
      <c r="D983" s="127"/>
      <c r="E983" s="129"/>
      <c r="F983" s="128"/>
      <c r="G983" s="129"/>
      <c r="H983" s="129"/>
      <c r="I983" s="166"/>
      <c r="J983" s="180"/>
      <c r="K983" s="128"/>
      <c r="L983" s="127"/>
      <c r="M983" s="168"/>
      <c r="N983" s="173"/>
      <c r="O983" s="141"/>
      <c r="P983" s="140"/>
      <c r="Q983" s="142"/>
      <c r="R983" s="140"/>
      <c r="S983" s="142"/>
      <c r="T983" s="140"/>
    </row>
    <row r="984" spans="3:20" ht="39.75" customHeight="1">
      <c r="C984" s="196">
        <v>981</v>
      </c>
      <c r="D984" s="127"/>
      <c r="E984" s="129"/>
      <c r="F984" s="128"/>
      <c r="G984" s="129"/>
      <c r="H984" s="129"/>
      <c r="I984" s="166"/>
      <c r="J984" s="180"/>
      <c r="K984" s="128"/>
      <c r="L984" s="127"/>
      <c r="M984" s="168"/>
      <c r="N984" s="173"/>
      <c r="O984" s="141"/>
      <c r="P984" s="140"/>
      <c r="Q984" s="142"/>
      <c r="R984" s="140"/>
      <c r="S984" s="142"/>
      <c r="T984" s="140"/>
    </row>
    <row r="985" spans="3:20" ht="39.75" customHeight="1">
      <c r="C985" s="196">
        <v>982</v>
      </c>
      <c r="D985" s="127"/>
      <c r="E985" s="129"/>
      <c r="F985" s="128"/>
      <c r="G985" s="129"/>
      <c r="H985" s="129"/>
      <c r="I985" s="166"/>
      <c r="J985" s="180"/>
      <c r="K985" s="128"/>
      <c r="L985" s="127"/>
      <c r="M985" s="168"/>
      <c r="N985" s="173"/>
      <c r="O985" s="141"/>
      <c r="P985" s="140"/>
      <c r="Q985" s="142"/>
      <c r="R985" s="140"/>
      <c r="S985" s="142"/>
      <c r="T985" s="140"/>
    </row>
    <row r="986" spans="3:20" ht="39.75" customHeight="1">
      <c r="C986" s="196">
        <v>983</v>
      </c>
      <c r="D986" s="127"/>
      <c r="E986" s="129"/>
      <c r="F986" s="128"/>
      <c r="G986" s="129"/>
      <c r="H986" s="129"/>
      <c r="I986" s="166"/>
      <c r="J986" s="180"/>
      <c r="K986" s="128"/>
      <c r="L986" s="127"/>
      <c r="M986" s="168"/>
      <c r="N986" s="173"/>
      <c r="O986" s="141"/>
      <c r="P986" s="140"/>
      <c r="Q986" s="142"/>
      <c r="R986" s="140"/>
      <c r="S986" s="142"/>
      <c r="T986" s="140"/>
    </row>
    <row r="987" spans="3:20" ht="39.75" customHeight="1">
      <c r="C987" s="196">
        <v>984</v>
      </c>
      <c r="D987" s="127"/>
      <c r="E987" s="129"/>
      <c r="F987" s="128"/>
      <c r="G987" s="129"/>
      <c r="H987" s="129"/>
      <c r="I987" s="166"/>
      <c r="J987" s="180"/>
      <c r="K987" s="128"/>
      <c r="L987" s="127"/>
      <c r="M987" s="168"/>
      <c r="N987" s="173"/>
      <c r="O987" s="141"/>
      <c r="P987" s="140"/>
      <c r="Q987" s="142"/>
      <c r="R987" s="140"/>
      <c r="S987" s="142"/>
      <c r="T987" s="140"/>
    </row>
    <row r="988" spans="3:20" ht="39.75" customHeight="1">
      <c r="C988" s="196">
        <v>985</v>
      </c>
      <c r="D988" s="127"/>
      <c r="E988" s="129"/>
      <c r="F988" s="128"/>
      <c r="G988" s="129"/>
      <c r="H988" s="129"/>
      <c r="I988" s="166"/>
      <c r="J988" s="180"/>
      <c r="K988" s="128"/>
      <c r="L988" s="127"/>
      <c r="M988" s="168"/>
      <c r="N988" s="173"/>
      <c r="O988" s="141"/>
      <c r="P988" s="140"/>
      <c r="Q988" s="142"/>
      <c r="R988" s="140"/>
      <c r="S988" s="142"/>
      <c r="T988" s="140"/>
    </row>
    <row r="989" spans="3:20" ht="39.75" customHeight="1">
      <c r="C989" s="196">
        <v>986</v>
      </c>
      <c r="D989" s="127"/>
      <c r="E989" s="129"/>
      <c r="F989" s="128"/>
      <c r="G989" s="129"/>
      <c r="H989" s="129"/>
      <c r="I989" s="166"/>
      <c r="J989" s="180"/>
      <c r="K989" s="128"/>
      <c r="L989" s="127"/>
      <c r="M989" s="168"/>
      <c r="N989" s="173"/>
      <c r="O989" s="141"/>
      <c r="P989" s="140"/>
      <c r="Q989" s="142"/>
      <c r="R989" s="140"/>
      <c r="S989" s="142"/>
      <c r="T989" s="140"/>
    </row>
    <row r="990" spans="3:20" ht="39.75" customHeight="1">
      <c r="C990" s="196">
        <v>987</v>
      </c>
      <c r="D990" s="127"/>
      <c r="E990" s="129"/>
      <c r="F990" s="128"/>
      <c r="G990" s="129"/>
      <c r="H990" s="129"/>
      <c r="I990" s="166"/>
      <c r="J990" s="180"/>
      <c r="K990" s="128"/>
      <c r="L990" s="127"/>
      <c r="M990" s="168"/>
      <c r="N990" s="173"/>
      <c r="O990" s="141"/>
      <c r="P990" s="140"/>
      <c r="Q990" s="142"/>
      <c r="R990" s="140"/>
      <c r="S990" s="142"/>
      <c r="T990" s="140"/>
    </row>
    <row r="991" spans="3:20" ht="39.75" customHeight="1">
      <c r="C991" s="196">
        <v>988</v>
      </c>
      <c r="D991" s="127"/>
      <c r="E991" s="129"/>
      <c r="F991" s="128"/>
      <c r="G991" s="129"/>
      <c r="H991" s="129"/>
      <c r="I991" s="166"/>
      <c r="J991" s="180"/>
      <c r="K991" s="128"/>
      <c r="L991" s="127"/>
      <c r="M991" s="168"/>
      <c r="N991" s="173"/>
      <c r="O991" s="141"/>
      <c r="P991" s="140"/>
      <c r="Q991" s="142"/>
      <c r="R991" s="140"/>
      <c r="S991" s="142"/>
      <c r="T991" s="140"/>
    </row>
    <row r="992" spans="3:20" ht="39.75" customHeight="1">
      <c r="C992" s="196">
        <v>989</v>
      </c>
      <c r="D992" s="127"/>
      <c r="E992" s="129"/>
      <c r="F992" s="128"/>
      <c r="G992" s="129"/>
      <c r="H992" s="129"/>
      <c r="I992" s="166"/>
      <c r="J992" s="180"/>
      <c r="K992" s="128"/>
      <c r="L992" s="127"/>
      <c r="M992" s="168"/>
      <c r="N992" s="173"/>
      <c r="O992" s="141"/>
      <c r="P992" s="140"/>
      <c r="Q992" s="142"/>
      <c r="R992" s="140"/>
      <c r="S992" s="142"/>
      <c r="T992" s="140"/>
    </row>
    <row r="993" spans="3:20" ht="39.75" customHeight="1">
      <c r="C993" s="196">
        <v>990</v>
      </c>
      <c r="D993" s="127"/>
      <c r="E993" s="129"/>
      <c r="F993" s="128"/>
      <c r="G993" s="129"/>
      <c r="H993" s="129"/>
      <c r="I993" s="166"/>
      <c r="J993" s="180"/>
      <c r="K993" s="128"/>
      <c r="L993" s="127"/>
      <c r="M993" s="168"/>
      <c r="N993" s="173"/>
      <c r="O993" s="141"/>
      <c r="P993" s="140"/>
      <c r="Q993" s="142"/>
      <c r="R993" s="140"/>
      <c r="S993" s="142"/>
      <c r="T993" s="140"/>
    </row>
    <row r="994" spans="3:20" ht="39.75" customHeight="1">
      <c r="C994" s="196">
        <v>991</v>
      </c>
      <c r="D994" s="127"/>
      <c r="E994" s="129"/>
      <c r="F994" s="128"/>
      <c r="G994" s="129"/>
      <c r="H994" s="129"/>
      <c r="I994" s="166"/>
      <c r="J994" s="180"/>
      <c r="K994" s="128"/>
      <c r="L994" s="127"/>
      <c r="M994" s="168"/>
      <c r="N994" s="173"/>
      <c r="O994" s="141"/>
      <c r="P994" s="140"/>
      <c r="Q994" s="142"/>
      <c r="R994" s="140"/>
      <c r="S994" s="142"/>
      <c r="T994" s="140"/>
    </row>
    <row r="995" spans="3:20" ht="39.75" customHeight="1">
      <c r="C995" s="196">
        <v>992</v>
      </c>
      <c r="D995" s="127"/>
      <c r="E995" s="129"/>
      <c r="F995" s="128"/>
      <c r="G995" s="129"/>
      <c r="H995" s="129"/>
      <c r="I995" s="166"/>
      <c r="J995" s="180"/>
      <c r="K995" s="128"/>
      <c r="L995" s="127"/>
      <c r="M995" s="168"/>
      <c r="N995" s="173"/>
      <c r="O995" s="141"/>
      <c r="P995" s="140"/>
      <c r="Q995" s="142"/>
      <c r="R995" s="140"/>
      <c r="S995" s="142"/>
      <c r="T995" s="140"/>
    </row>
    <row r="996" spans="3:20" ht="39.75" customHeight="1">
      <c r="C996" s="196">
        <v>993</v>
      </c>
      <c r="D996" s="127"/>
      <c r="E996" s="129"/>
      <c r="F996" s="128"/>
      <c r="G996" s="129"/>
      <c r="H996" s="129"/>
      <c r="I996" s="166"/>
      <c r="J996" s="180"/>
      <c r="K996" s="128"/>
      <c r="L996" s="127"/>
      <c r="M996" s="168"/>
      <c r="N996" s="173"/>
      <c r="O996" s="141"/>
      <c r="P996" s="140"/>
      <c r="Q996" s="142"/>
      <c r="R996" s="140"/>
      <c r="S996" s="142"/>
      <c r="T996" s="140"/>
    </row>
    <row r="997" spans="3:20" ht="39.75" customHeight="1">
      <c r="C997" s="196">
        <v>994</v>
      </c>
      <c r="D997" s="127"/>
      <c r="E997" s="129"/>
      <c r="F997" s="128"/>
      <c r="G997" s="129"/>
      <c r="H997" s="129"/>
      <c r="I997" s="166"/>
      <c r="J997" s="180"/>
      <c r="K997" s="128"/>
      <c r="L997" s="127"/>
      <c r="M997" s="168"/>
      <c r="N997" s="173"/>
      <c r="O997" s="141"/>
      <c r="P997" s="140"/>
      <c r="Q997" s="142"/>
      <c r="R997" s="140"/>
      <c r="S997" s="142"/>
      <c r="T997" s="140"/>
    </row>
    <row r="998" spans="3:20" ht="39.75" customHeight="1">
      <c r="C998" s="196">
        <v>995</v>
      </c>
      <c r="D998" s="127"/>
      <c r="E998" s="129"/>
      <c r="F998" s="128"/>
      <c r="G998" s="129"/>
      <c r="H998" s="129"/>
      <c r="I998" s="166"/>
      <c r="J998" s="180"/>
      <c r="K998" s="128"/>
      <c r="L998" s="127"/>
      <c r="M998" s="168"/>
      <c r="N998" s="173"/>
      <c r="O998" s="141"/>
      <c r="P998" s="140"/>
      <c r="Q998" s="142"/>
      <c r="R998" s="140"/>
      <c r="S998" s="142"/>
      <c r="T998" s="140"/>
    </row>
    <row r="999" spans="3:20" ht="39.75" customHeight="1">
      <c r="C999" s="196">
        <v>996</v>
      </c>
      <c r="D999" s="127"/>
      <c r="E999" s="129"/>
      <c r="F999" s="128"/>
      <c r="G999" s="129"/>
      <c r="H999" s="129"/>
      <c r="I999" s="166"/>
      <c r="J999" s="180"/>
      <c r="K999" s="128"/>
      <c r="L999" s="127"/>
      <c r="M999" s="168"/>
      <c r="N999" s="173"/>
      <c r="O999" s="141"/>
      <c r="P999" s="140"/>
      <c r="Q999" s="142"/>
      <c r="R999" s="140"/>
      <c r="S999" s="142"/>
      <c r="T999" s="140"/>
    </row>
    <row r="1000" spans="3:20" ht="39.75" customHeight="1">
      <c r="C1000" s="196">
        <v>997</v>
      </c>
      <c r="D1000" s="127"/>
      <c r="E1000" s="129"/>
      <c r="F1000" s="128"/>
      <c r="G1000" s="129"/>
      <c r="H1000" s="129"/>
      <c r="I1000" s="166"/>
      <c r="J1000" s="180"/>
      <c r="K1000" s="128"/>
      <c r="L1000" s="127"/>
      <c r="M1000" s="168"/>
      <c r="N1000" s="173"/>
      <c r="O1000" s="141"/>
      <c r="P1000" s="140"/>
      <c r="Q1000" s="142"/>
      <c r="R1000" s="140"/>
      <c r="S1000" s="142"/>
      <c r="T1000" s="140"/>
    </row>
    <row r="1001" spans="3:20" ht="39.75" customHeight="1">
      <c r="C1001" s="196">
        <v>998</v>
      </c>
      <c r="D1001" s="127"/>
      <c r="E1001" s="129"/>
      <c r="F1001" s="128"/>
      <c r="G1001" s="129"/>
      <c r="H1001" s="129"/>
      <c r="I1001" s="166"/>
      <c r="J1001" s="180"/>
      <c r="K1001" s="128"/>
      <c r="L1001" s="127"/>
      <c r="M1001" s="168"/>
      <c r="N1001" s="173"/>
      <c r="O1001" s="141"/>
      <c r="P1001" s="140"/>
      <c r="Q1001" s="142"/>
      <c r="R1001" s="140"/>
      <c r="S1001" s="142"/>
      <c r="T1001" s="140"/>
    </row>
    <row r="1002" spans="3:20" ht="39.75" customHeight="1">
      <c r="C1002" s="196">
        <v>999</v>
      </c>
      <c r="D1002" s="127"/>
      <c r="E1002" s="129"/>
      <c r="F1002" s="128"/>
      <c r="G1002" s="129"/>
      <c r="H1002" s="129"/>
      <c r="I1002" s="166"/>
      <c r="J1002" s="180"/>
      <c r="K1002" s="128"/>
      <c r="L1002" s="127"/>
      <c r="M1002" s="168"/>
      <c r="N1002" s="173"/>
      <c r="O1002" s="141"/>
      <c r="P1002" s="140"/>
      <c r="Q1002" s="142"/>
      <c r="R1002" s="140"/>
      <c r="S1002" s="142"/>
      <c r="T1002" s="140"/>
    </row>
    <row r="1003" spans="3:20" ht="39.75" customHeight="1">
      <c r="C1003" s="196">
        <v>1000</v>
      </c>
      <c r="D1003" s="127"/>
      <c r="E1003" s="129"/>
      <c r="F1003" s="128"/>
      <c r="G1003" s="129"/>
      <c r="H1003" s="129"/>
      <c r="I1003" s="166"/>
      <c r="J1003" s="180"/>
      <c r="K1003" s="128"/>
      <c r="L1003" s="127"/>
      <c r="M1003" s="168"/>
      <c r="N1003" s="173"/>
      <c r="O1003" s="141"/>
      <c r="P1003" s="140"/>
      <c r="Q1003" s="142"/>
      <c r="R1003" s="140"/>
      <c r="S1003" s="142"/>
      <c r="T1003" s="140"/>
    </row>
    <row r="1004" spans="3:20" ht="39.75" customHeight="1">
      <c r="C1004" s="196">
        <v>1001</v>
      </c>
      <c r="D1004" s="127"/>
      <c r="E1004" s="129"/>
      <c r="F1004" s="128"/>
      <c r="G1004" s="129"/>
      <c r="H1004" s="129"/>
      <c r="I1004" s="166"/>
      <c r="J1004" s="180"/>
      <c r="K1004" s="128"/>
      <c r="L1004" s="127"/>
      <c r="M1004" s="168"/>
      <c r="N1004" s="173"/>
      <c r="O1004" s="141"/>
      <c r="P1004" s="140"/>
      <c r="Q1004" s="142"/>
      <c r="R1004" s="140"/>
      <c r="S1004" s="142"/>
      <c r="T1004" s="140"/>
    </row>
    <row r="1005" spans="3:20" ht="39.75" customHeight="1">
      <c r="C1005" s="196">
        <v>1002</v>
      </c>
      <c r="D1005" s="127"/>
      <c r="E1005" s="129"/>
      <c r="F1005" s="128"/>
      <c r="G1005" s="129"/>
      <c r="H1005" s="129"/>
      <c r="I1005" s="166"/>
      <c r="J1005" s="180"/>
      <c r="K1005" s="128"/>
      <c r="L1005" s="127"/>
      <c r="M1005" s="168"/>
      <c r="N1005" s="173"/>
      <c r="O1005" s="141"/>
      <c r="P1005" s="140"/>
      <c r="Q1005" s="142"/>
      <c r="R1005" s="140"/>
      <c r="S1005" s="142"/>
      <c r="T1005" s="140"/>
    </row>
    <row r="1006" spans="3:20" ht="39.75" customHeight="1">
      <c r="C1006" s="196">
        <v>1003</v>
      </c>
      <c r="D1006" s="127"/>
      <c r="E1006" s="129"/>
      <c r="F1006" s="128"/>
      <c r="G1006" s="129"/>
      <c r="H1006" s="129"/>
      <c r="I1006" s="166"/>
      <c r="J1006" s="180"/>
      <c r="K1006" s="128"/>
      <c r="L1006" s="127"/>
      <c r="M1006" s="168"/>
      <c r="N1006" s="173"/>
      <c r="O1006" s="141"/>
      <c r="P1006" s="140"/>
      <c r="Q1006" s="142"/>
      <c r="R1006" s="140"/>
      <c r="S1006" s="142"/>
      <c r="T1006" s="140"/>
    </row>
    <row r="1007" spans="3:20" ht="39.75" customHeight="1">
      <c r="C1007" s="196">
        <v>1004</v>
      </c>
      <c r="D1007" s="127"/>
      <c r="E1007" s="129"/>
      <c r="F1007" s="128"/>
      <c r="G1007" s="129"/>
      <c r="H1007" s="129"/>
      <c r="I1007" s="166"/>
      <c r="J1007" s="180"/>
      <c r="K1007" s="128"/>
      <c r="L1007" s="127"/>
      <c r="M1007" s="168"/>
      <c r="N1007" s="173"/>
      <c r="O1007" s="141"/>
      <c r="P1007" s="140"/>
      <c r="Q1007" s="142"/>
      <c r="R1007" s="140"/>
      <c r="S1007" s="142"/>
      <c r="T1007" s="140"/>
    </row>
    <row r="1008" spans="3:20" ht="39.75" customHeight="1">
      <c r="C1008" s="196">
        <v>1005</v>
      </c>
      <c r="D1008" s="127"/>
      <c r="E1008" s="129"/>
      <c r="F1008" s="128"/>
      <c r="G1008" s="129"/>
      <c r="H1008" s="129"/>
      <c r="I1008" s="166"/>
      <c r="J1008" s="180"/>
      <c r="K1008" s="128"/>
      <c r="L1008" s="127"/>
      <c r="M1008" s="168"/>
      <c r="N1008" s="173"/>
      <c r="O1008" s="141"/>
      <c r="P1008" s="140"/>
      <c r="Q1008" s="142"/>
      <c r="R1008" s="140"/>
      <c r="S1008" s="142"/>
      <c r="T1008" s="140"/>
    </row>
    <row r="1009" spans="3:20" ht="39.75" customHeight="1">
      <c r="C1009" s="196">
        <v>1006</v>
      </c>
      <c r="D1009" s="127"/>
      <c r="E1009" s="129"/>
      <c r="F1009" s="128"/>
      <c r="G1009" s="129"/>
      <c r="H1009" s="129"/>
      <c r="I1009" s="166"/>
      <c r="J1009" s="180"/>
      <c r="K1009" s="128"/>
      <c r="L1009" s="127"/>
      <c r="M1009" s="168"/>
      <c r="N1009" s="173"/>
      <c r="O1009" s="141"/>
      <c r="P1009" s="140"/>
      <c r="Q1009" s="142"/>
      <c r="R1009" s="140"/>
      <c r="S1009" s="142"/>
      <c r="T1009" s="140"/>
    </row>
    <row r="1010" spans="3:20" ht="39.75" customHeight="1">
      <c r="C1010" s="196">
        <v>1007</v>
      </c>
      <c r="D1010" s="127"/>
      <c r="E1010" s="129"/>
      <c r="F1010" s="128"/>
      <c r="G1010" s="129"/>
      <c r="H1010" s="129"/>
      <c r="I1010" s="166"/>
      <c r="J1010" s="180"/>
      <c r="K1010" s="128"/>
      <c r="L1010" s="127"/>
      <c r="M1010" s="168"/>
      <c r="N1010" s="173"/>
      <c r="O1010" s="141"/>
      <c r="P1010" s="140"/>
      <c r="Q1010" s="142"/>
      <c r="R1010" s="140"/>
      <c r="S1010" s="142"/>
      <c r="T1010" s="140"/>
    </row>
    <row r="1011" spans="3:20" ht="39.75" customHeight="1">
      <c r="C1011" s="196">
        <v>1008</v>
      </c>
      <c r="D1011" s="127"/>
      <c r="E1011" s="129"/>
      <c r="F1011" s="128"/>
      <c r="G1011" s="129"/>
      <c r="H1011" s="129"/>
      <c r="I1011" s="166"/>
      <c r="J1011" s="180"/>
      <c r="K1011" s="128"/>
      <c r="L1011" s="127"/>
      <c r="M1011" s="168"/>
      <c r="N1011" s="173"/>
      <c r="O1011" s="141"/>
      <c r="P1011" s="140"/>
      <c r="Q1011" s="142"/>
      <c r="R1011" s="140"/>
      <c r="S1011" s="142"/>
      <c r="T1011" s="140"/>
    </row>
    <row r="1012" spans="3:20" ht="39.75" customHeight="1">
      <c r="C1012" s="196">
        <v>1009</v>
      </c>
      <c r="D1012" s="127"/>
      <c r="E1012" s="129"/>
      <c r="F1012" s="128"/>
      <c r="G1012" s="129"/>
      <c r="H1012" s="129"/>
      <c r="I1012" s="166"/>
      <c r="J1012" s="180"/>
      <c r="K1012" s="128"/>
      <c r="L1012" s="127"/>
      <c r="M1012" s="168"/>
      <c r="N1012" s="173"/>
      <c r="O1012" s="141"/>
      <c r="P1012" s="140"/>
      <c r="Q1012" s="142"/>
      <c r="R1012" s="140"/>
      <c r="S1012" s="142"/>
      <c r="T1012" s="140"/>
    </row>
    <row r="1013" spans="3:20" ht="39.75" customHeight="1">
      <c r="C1013" s="196">
        <v>1010</v>
      </c>
      <c r="D1013" s="127"/>
      <c r="E1013" s="129"/>
      <c r="F1013" s="128"/>
      <c r="G1013" s="129"/>
      <c r="H1013" s="129"/>
      <c r="I1013" s="166"/>
      <c r="J1013" s="180"/>
      <c r="K1013" s="128"/>
      <c r="L1013" s="127"/>
      <c r="M1013" s="168"/>
      <c r="N1013" s="173"/>
      <c r="O1013" s="141"/>
      <c r="P1013" s="140"/>
      <c r="Q1013" s="142"/>
      <c r="R1013" s="140"/>
      <c r="S1013" s="142"/>
      <c r="T1013" s="140"/>
    </row>
    <row r="1014" spans="3:20" ht="39.75" customHeight="1">
      <c r="C1014" s="196">
        <v>1011</v>
      </c>
      <c r="D1014" s="127"/>
      <c r="E1014" s="129"/>
      <c r="F1014" s="128"/>
      <c r="G1014" s="129"/>
      <c r="H1014" s="129"/>
      <c r="I1014" s="166"/>
      <c r="J1014" s="180"/>
      <c r="K1014" s="128"/>
      <c r="L1014" s="127"/>
      <c r="M1014" s="168"/>
      <c r="N1014" s="173"/>
      <c r="O1014" s="141"/>
      <c r="P1014" s="140"/>
      <c r="Q1014" s="142"/>
      <c r="R1014" s="140"/>
      <c r="S1014" s="142"/>
      <c r="T1014" s="140"/>
    </row>
    <row r="1015" spans="3:20" ht="39.75" customHeight="1">
      <c r="C1015" s="196">
        <v>1012</v>
      </c>
      <c r="D1015" s="127"/>
      <c r="E1015" s="129"/>
      <c r="F1015" s="128"/>
      <c r="G1015" s="129"/>
      <c r="H1015" s="129"/>
      <c r="I1015" s="166"/>
      <c r="J1015" s="180"/>
      <c r="K1015" s="128"/>
      <c r="L1015" s="127"/>
      <c r="M1015" s="168"/>
      <c r="N1015" s="173"/>
      <c r="O1015" s="141"/>
      <c r="P1015" s="140"/>
      <c r="Q1015" s="142"/>
      <c r="R1015" s="140"/>
      <c r="S1015" s="142"/>
      <c r="T1015" s="140"/>
    </row>
    <row r="1016" spans="3:20" ht="39.75" customHeight="1">
      <c r="C1016" s="196">
        <v>1013</v>
      </c>
      <c r="D1016" s="127"/>
      <c r="E1016" s="129"/>
      <c r="F1016" s="128"/>
      <c r="G1016" s="129"/>
      <c r="H1016" s="129"/>
      <c r="I1016" s="166"/>
      <c r="J1016" s="180"/>
      <c r="K1016" s="128"/>
      <c r="L1016" s="127"/>
      <c r="M1016" s="168"/>
      <c r="N1016" s="173"/>
      <c r="O1016" s="141"/>
      <c r="P1016" s="140"/>
      <c r="Q1016" s="142"/>
      <c r="R1016" s="140"/>
      <c r="S1016" s="142"/>
      <c r="T1016" s="140"/>
    </row>
    <row r="1017" spans="3:20" ht="39.75" customHeight="1">
      <c r="C1017" s="196">
        <v>1014</v>
      </c>
      <c r="D1017" s="127"/>
      <c r="E1017" s="129"/>
      <c r="F1017" s="128"/>
      <c r="G1017" s="129"/>
      <c r="H1017" s="129"/>
      <c r="I1017" s="166"/>
      <c r="J1017" s="180"/>
      <c r="K1017" s="128"/>
      <c r="L1017" s="127"/>
      <c r="M1017" s="168"/>
      <c r="N1017" s="173"/>
      <c r="O1017" s="141"/>
      <c r="P1017" s="140"/>
      <c r="Q1017" s="142"/>
      <c r="R1017" s="140"/>
      <c r="S1017" s="142"/>
      <c r="T1017" s="140"/>
    </row>
    <row r="1018" spans="3:20" ht="39.75" customHeight="1">
      <c r="C1018" s="196">
        <v>1015</v>
      </c>
      <c r="D1018" s="127"/>
      <c r="E1018" s="129"/>
      <c r="F1018" s="128"/>
      <c r="G1018" s="129"/>
      <c r="H1018" s="129"/>
      <c r="I1018" s="166"/>
      <c r="J1018" s="180"/>
      <c r="K1018" s="128"/>
      <c r="L1018" s="127"/>
      <c r="M1018" s="168"/>
      <c r="N1018" s="173"/>
      <c r="O1018" s="141"/>
      <c r="P1018" s="140"/>
      <c r="Q1018" s="142"/>
      <c r="R1018" s="140"/>
      <c r="S1018" s="142"/>
      <c r="T1018" s="140"/>
    </row>
    <row r="1019" spans="3:20" ht="39.75" customHeight="1">
      <c r="C1019" s="196">
        <v>1016</v>
      </c>
      <c r="D1019" s="127"/>
      <c r="E1019" s="129"/>
      <c r="F1019" s="128"/>
      <c r="G1019" s="129"/>
      <c r="H1019" s="129"/>
      <c r="I1019" s="166"/>
      <c r="J1019" s="180"/>
      <c r="K1019" s="128"/>
      <c r="L1019" s="127"/>
      <c r="M1019" s="168"/>
      <c r="N1019" s="173"/>
      <c r="O1019" s="141"/>
      <c r="P1019" s="140"/>
      <c r="Q1019" s="142"/>
      <c r="R1019" s="140"/>
      <c r="S1019" s="142"/>
      <c r="T1019" s="140"/>
    </row>
    <row r="1020" spans="3:20" ht="39.75" customHeight="1">
      <c r="C1020" s="196">
        <v>1017</v>
      </c>
      <c r="D1020" s="127"/>
      <c r="E1020" s="129"/>
      <c r="F1020" s="128"/>
      <c r="G1020" s="129"/>
      <c r="H1020" s="129"/>
      <c r="I1020" s="166"/>
      <c r="J1020" s="180"/>
      <c r="K1020" s="128"/>
      <c r="L1020" s="127"/>
      <c r="M1020" s="168"/>
      <c r="N1020" s="173"/>
      <c r="O1020" s="141"/>
      <c r="P1020" s="140"/>
      <c r="Q1020" s="142"/>
      <c r="R1020" s="140"/>
      <c r="S1020" s="142"/>
      <c r="T1020" s="140"/>
    </row>
    <row r="1021" spans="3:20" ht="39.75" customHeight="1">
      <c r="C1021" s="196">
        <v>1018</v>
      </c>
      <c r="D1021" s="127"/>
      <c r="E1021" s="129"/>
      <c r="F1021" s="128"/>
      <c r="G1021" s="129"/>
      <c r="H1021" s="129"/>
      <c r="I1021" s="166"/>
      <c r="J1021" s="180"/>
      <c r="K1021" s="128"/>
      <c r="L1021" s="127"/>
      <c r="M1021" s="168"/>
      <c r="N1021" s="173"/>
      <c r="O1021" s="141"/>
      <c r="P1021" s="140"/>
      <c r="Q1021" s="142"/>
      <c r="R1021" s="140"/>
      <c r="S1021" s="142"/>
      <c r="T1021" s="140"/>
    </row>
    <row r="1022" spans="3:20" ht="39.75" customHeight="1">
      <c r="C1022" s="196">
        <v>1019</v>
      </c>
      <c r="D1022" s="127"/>
      <c r="E1022" s="129"/>
      <c r="F1022" s="128"/>
      <c r="G1022" s="129"/>
      <c r="H1022" s="129"/>
      <c r="I1022" s="166"/>
      <c r="J1022" s="180"/>
      <c r="K1022" s="128"/>
      <c r="L1022" s="127"/>
      <c r="M1022" s="168"/>
      <c r="N1022" s="173"/>
      <c r="O1022" s="141"/>
      <c r="P1022" s="140"/>
      <c r="Q1022" s="142"/>
      <c r="R1022" s="140"/>
      <c r="S1022" s="142"/>
      <c r="T1022" s="140"/>
    </row>
    <row r="1023" spans="3:20" ht="39.75" customHeight="1">
      <c r="C1023" s="196">
        <v>1020</v>
      </c>
      <c r="D1023" s="127"/>
      <c r="E1023" s="129"/>
      <c r="F1023" s="128"/>
      <c r="G1023" s="129"/>
      <c r="H1023" s="129"/>
      <c r="I1023" s="166"/>
      <c r="J1023" s="180"/>
      <c r="K1023" s="128"/>
      <c r="L1023" s="127"/>
      <c r="M1023" s="168"/>
      <c r="N1023" s="173"/>
      <c r="O1023" s="141"/>
      <c r="P1023" s="140"/>
      <c r="Q1023" s="142"/>
      <c r="R1023" s="140"/>
      <c r="S1023" s="142"/>
      <c r="T1023" s="140"/>
    </row>
    <row r="1024" spans="3:20" ht="39.75" customHeight="1">
      <c r="C1024" s="196">
        <v>1021</v>
      </c>
      <c r="D1024" s="127"/>
      <c r="E1024" s="129"/>
      <c r="F1024" s="128"/>
      <c r="G1024" s="129"/>
      <c r="H1024" s="129"/>
      <c r="I1024" s="166"/>
      <c r="J1024" s="180"/>
      <c r="K1024" s="128"/>
      <c r="L1024" s="127"/>
      <c r="M1024" s="168"/>
      <c r="N1024" s="173"/>
      <c r="O1024" s="141"/>
      <c r="P1024" s="140"/>
      <c r="Q1024" s="142"/>
      <c r="R1024" s="140"/>
      <c r="S1024" s="142"/>
      <c r="T1024" s="140"/>
    </row>
    <row r="1025" spans="3:20" ht="39.75" customHeight="1">
      <c r="C1025" s="196">
        <v>1022</v>
      </c>
      <c r="D1025" s="127"/>
      <c r="E1025" s="129"/>
      <c r="F1025" s="128"/>
      <c r="G1025" s="129"/>
      <c r="H1025" s="129"/>
      <c r="I1025" s="166"/>
      <c r="J1025" s="180"/>
      <c r="K1025" s="128"/>
      <c r="L1025" s="127"/>
      <c r="M1025" s="168"/>
      <c r="N1025" s="173"/>
      <c r="O1025" s="141"/>
      <c r="P1025" s="140"/>
      <c r="Q1025" s="142"/>
      <c r="R1025" s="140"/>
      <c r="S1025" s="142"/>
      <c r="T1025" s="140"/>
    </row>
    <row r="1026" spans="3:20" ht="39.75" customHeight="1">
      <c r="C1026" s="196">
        <v>1023</v>
      </c>
      <c r="D1026" s="127"/>
      <c r="E1026" s="129"/>
      <c r="F1026" s="128"/>
      <c r="G1026" s="129"/>
      <c r="H1026" s="129"/>
      <c r="I1026" s="166"/>
      <c r="J1026" s="180"/>
      <c r="K1026" s="128"/>
      <c r="L1026" s="127"/>
      <c r="M1026" s="168"/>
      <c r="N1026" s="173"/>
      <c r="O1026" s="141"/>
      <c r="P1026" s="140"/>
      <c r="Q1026" s="142"/>
      <c r="R1026" s="140"/>
      <c r="S1026" s="142"/>
      <c r="T1026" s="140"/>
    </row>
    <row r="1027" spans="3:20" ht="39.75" customHeight="1">
      <c r="C1027" s="196">
        <v>1024</v>
      </c>
      <c r="D1027" s="127"/>
      <c r="E1027" s="129"/>
      <c r="F1027" s="128"/>
      <c r="G1027" s="129"/>
      <c r="H1027" s="129"/>
      <c r="I1027" s="166"/>
      <c r="J1027" s="180"/>
      <c r="K1027" s="128"/>
      <c r="L1027" s="127"/>
      <c r="M1027" s="168"/>
      <c r="N1027" s="173"/>
      <c r="O1027" s="141"/>
      <c r="P1027" s="140"/>
      <c r="Q1027" s="142"/>
      <c r="R1027" s="140"/>
      <c r="S1027" s="142"/>
      <c r="T1027" s="140"/>
    </row>
    <row r="1028" spans="3:20" ht="39.75" customHeight="1">
      <c r="C1028" s="196">
        <v>1025</v>
      </c>
      <c r="D1028" s="127"/>
      <c r="E1028" s="129"/>
      <c r="F1028" s="128"/>
      <c r="G1028" s="129"/>
      <c r="H1028" s="129"/>
      <c r="I1028" s="166"/>
      <c r="J1028" s="180"/>
      <c r="K1028" s="128"/>
      <c r="L1028" s="127"/>
      <c r="M1028" s="168"/>
      <c r="N1028" s="173"/>
      <c r="O1028" s="141"/>
      <c r="P1028" s="140"/>
      <c r="Q1028" s="142"/>
      <c r="R1028" s="140"/>
      <c r="S1028" s="142"/>
      <c r="T1028" s="140"/>
    </row>
    <row r="1029" spans="3:20" ht="39.75" customHeight="1">
      <c r="C1029" s="196">
        <v>1026</v>
      </c>
      <c r="D1029" s="127"/>
      <c r="E1029" s="129"/>
      <c r="F1029" s="128"/>
      <c r="G1029" s="129"/>
      <c r="H1029" s="129"/>
      <c r="I1029" s="166"/>
      <c r="J1029" s="180"/>
      <c r="K1029" s="128"/>
      <c r="L1029" s="127"/>
      <c r="M1029" s="168"/>
      <c r="N1029" s="173"/>
      <c r="O1029" s="141"/>
      <c r="P1029" s="140"/>
      <c r="Q1029" s="142"/>
      <c r="R1029" s="140"/>
      <c r="S1029" s="142"/>
      <c r="T1029" s="140"/>
    </row>
    <row r="1030" spans="3:20" ht="39.75" customHeight="1">
      <c r="C1030" s="196">
        <v>1027</v>
      </c>
      <c r="D1030" s="127"/>
      <c r="E1030" s="129"/>
      <c r="F1030" s="128"/>
      <c r="G1030" s="129"/>
      <c r="H1030" s="129"/>
      <c r="I1030" s="166"/>
      <c r="J1030" s="180"/>
      <c r="K1030" s="128"/>
      <c r="L1030" s="127"/>
      <c r="M1030" s="168"/>
      <c r="N1030" s="173"/>
      <c r="O1030" s="141"/>
      <c r="P1030" s="140"/>
      <c r="Q1030" s="142"/>
      <c r="R1030" s="140"/>
      <c r="S1030" s="142"/>
      <c r="T1030" s="140"/>
    </row>
    <row r="1031" spans="3:20" ht="39.75" customHeight="1">
      <c r="C1031" s="196">
        <v>1028</v>
      </c>
      <c r="D1031" s="127"/>
      <c r="E1031" s="129"/>
      <c r="F1031" s="128"/>
      <c r="G1031" s="129"/>
      <c r="H1031" s="129"/>
      <c r="I1031" s="166"/>
      <c r="J1031" s="180"/>
      <c r="K1031" s="128"/>
      <c r="L1031" s="127"/>
      <c r="M1031" s="168"/>
      <c r="N1031" s="173"/>
      <c r="O1031" s="141"/>
      <c r="P1031" s="140"/>
      <c r="Q1031" s="142"/>
      <c r="R1031" s="140"/>
      <c r="S1031" s="142"/>
      <c r="T1031" s="140"/>
    </row>
    <row r="1032" spans="3:20" ht="39.75" customHeight="1">
      <c r="C1032" s="196">
        <v>1029</v>
      </c>
      <c r="D1032" s="127"/>
      <c r="E1032" s="129"/>
      <c r="F1032" s="128"/>
      <c r="G1032" s="129"/>
      <c r="H1032" s="129"/>
      <c r="I1032" s="166"/>
      <c r="J1032" s="180"/>
      <c r="K1032" s="128"/>
      <c r="L1032" s="127"/>
      <c r="M1032" s="168"/>
      <c r="N1032" s="173"/>
      <c r="O1032" s="141"/>
      <c r="P1032" s="140"/>
      <c r="Q1032" s="142"/>
      <c r="R1032" s="140"/>
      <c r="S1032" s="142"/>
      <c r="T1032" s="140"/>
    </row>
    <row r="1033" spans="3:20" ht="39.75" customHeight="1">
      <c r="C1033" s="196">
        <v>1030</v>
      </c>
      <c r="D1033" s="127"/>
      <c r="E1033" s="129"/>
      <c r="F1033" s="128"/>
      <c r="G1033" s="129"/>
      <c r="H1033" s="129"/>
      <c r="I1033" s="166"/>
      <c r="J1033" s="180"/>
      <c r="K1033" s="128"/>
      <c r="L1033" s="127"/>
      <c r="M1033" s="168"/>
      <c r="N1033" s="173"/>
      <c r="O1033" s="141"/>
      <c r="P1033" s="140"/>
      <c r="Q1033" s="142"/>
      <c r="R1033" s="140"/>
      <c r="S1033" s="142"/>
      <c r="T1033" s="140"/>
    </row>
    <row r="1034" spans="3:20" ht="39.75" customHeight="1">
      <c r="C1034" s="196">
        <v>1031</v>
      </c>
      <c r="D1034" s="127"/>
      <c r="E1034" s="129"/>
      <c r="F1034" s="128"/>
      <c r="G1034" s="129"/>
      <c r="H1034" s="129"/>
      <c r="I1034" s="166"/>
      <c r="J1034" s="180"/>
      <c r="K1034" s="128"/>
      <c r="L1034" s="127"/>
      <c r="M1034" s="168"/>
      <c r="N1034" s="173"/>
      <c r="O1034" s="141"/>
      <c r="P1034" s="140"/>
      <c r="Q1034" s="142"/>
      <c r="R1034" s="140"/>
      <c r="S1034" s="142"/>
      <c r="T1034" s="140"/>
    </row>
    <row r="1035" spans="3:20" ht="39.75" customHeight="1">
      <c r="C1035" s="196">
        <v>1032</v>
      </c>
      <c r="D1035" s="127"/>
      <c r="E1035" s="129"/>
      <c r="F1035" s="128"/>
      <c r="G1035" s="129"/>
      <c r="H1035" s="129"/>
      <c r="I1035" s="166"/>
      <c r="J1035" s="180"/>
      <c r="K1035" s="128"/>
      <c r="L1035" s="127"/>
      <c r="M1035" s="168"/>
      <c r="N1035" s="173"/>
      <c r="O1035" s="141"/>
      <c r="P1035" s="140"/>
      <c r="Q1035" s="142"/>
      <c r="R1035" s="140"/>
      <c r="S1035" s="142"/>
      <c r="T1035" s="140"/>
    </row>
    <row r="1036" spans="3:20" ht="39.75" customHeight="1">
      <c r="C1036" s="196">
        <v>1033</v>
      </c>
      <c r="D1036" s="127"/>
      <c r="E1036" s="129"/>
      <c r="F1036" s="128"/>
      <c r="G1036" s="129"/>
      <c r="H1036" s="129"/>
      <c r="I1036" s="166"/>
      <c r="J1036" s="180"/>
      <c r="K1036" s="128"/>
      <c r="L1036" s="127"/>
      <c r="M1036" s="168"/>
      <c r="N1036" s="173"/>
      <c r="O1036" s="141"/>
      <c r="P1036" s="140"/>
      <c r="Q1036" s="142"/>
      <c r="R1036" s="140"/>
      <c r="S1036" s="142"/>
      <c r="T1036" s="140"/>
    </row>
    <row r="1037" spans="3:20" ht="39.75" customHeight="1">
      <c r="C1037" s="196">
        <v>1034</v>
      </c>
      <c r="D1037" s="127"/>
      <c r="E1037" s="129"/>
      <c r="F1037" s="128"/>
      <c r="G1037" s="129"/>
      <c r="H1037" s="129"/>
      <c r="I1037" s="166"/>
      <c r="J1037" s="180"/>
      <c r="K1037" s="128"/>
      <c r="L1037" s="127"/>
      <c r="M1037" s="168"/>
      <c r="N1037" s="173"/>
      <c r="O1037" s="141"/>
      <c r="P1037" s="140"/>
      <c r="Q1037" s="142"/>
      <c r="R1037" s="140"/>
      <c r="S1037" s="142"/>
      <c r="T1037" s="140"/>
    </row>
    <row r="1038" spans="3:20" ht="39.75" customHeight="1">
      <c r="C1038" s="196">
        <v>1035</v>
      </c>
      <c r="D1038" s="127"/>
      <c r="E1038" s="129"/>
      <c r="F1038" s="128"/>
      <c r="G1038" s="129"/>
      <c r="H1038" s="129"/>
      <c r="I1038" s="166"/>
      <c r="J1038" s="180"/>
      <c r="K1038" s="128"/>
      <c r="L1038" s="127"/>
      <c r="M1038" s="168"/>
      <c r="N1038" s="173"/>
      <c r="O1038" s="141"/>
      <c r="P1038" s="140"/>
      <c r="Q1038" s="142"/>
      <c r="R1038" s="140"/>
      <c r="S1038" s="142"/>
      <c r="T1038" s="140"/>
    </row>
    <row r="1039" spans="3:20" ht="39.75" customHeight="1">
      <c r="C1039" s="196">
        <v>1036</v>
      </c>
      <c r="D1039" s="127"/>
      <c r="E1039" s="129"/>
      <c r="F1039" s="128"/>
      <c r="G1039" s="129"/>
      <c r="H1039" s="129"/>
      <c r="I1039" s="166"/>
      <c r="J1039" s="180"/>
      <c r="K1039" s="128"/>
      <c r="L1039" s="127"/>
      <c r="M1039" s="168"/>
      <c r="N1039" s="173"/>
      <c r="O1039" s="141"/>
      <c r="P1039" s="140"/>
      <c r="Q1039" s="142"/>
      <c r="R1039" s="140"/>
      <c r="S1039" s="142"/>
      <c r="T1039" s="140"/>
    </row>
    <row r="1040" spans="3:20" ht="39.75" customHeight="1">
      <c r="C1040" s="196">
        <v>1037</v>
      </c>
      <c r="D1040" s="127"/>
      <c r="E1040" s="129"/>
      <c r="F1040" s="128"/>
      <c r="G1040" s="129"/>
      <c r="H1040" s="129"/>
      <c r="I1040" s="166"/>
      <c r="J1040" s="180"/>
      <c r="K1040" s="128"/>
      <c r="L1040" s="127"/>
      <c r="M1040" s="168"/>
      <c r="N1040" s="173"/>
      <c r="O1040" s="141"/>
      <c r="P1040" s="140"/>
      <c r="Q1040" s="142"/>
      <c r="R1040" s="140"/>
      <c r="S1040" s="142"/>
      <c r="T1040" s="140"/>
    </row>
    <row r="1041" spans="3:20" ht="39.75" customHeight="1">
      <c r="C1041" s="196">
        <v>1038</v>
      </c>
      <c r="D1041" s="127"/>
      <c r="E1041" s="129"/>
      <c r="F1041" s="128"/>
      <c r="G1041" s="129"/>
      <c r="H1041" s="129"/>
      <c r="I1041" s="166"/>
      <c r="J1041" s="180"/>
      <c r="K1041" s="128"/>
      <c r="L1041" s="127"/>
      <c r="M1041" s="168"/>
      <c r="N1041" s="173"/>
      <c r="O1041" s="141"/>
      <c r="P1041" s="140"/>
      <c r="Q1041" s="142"/>
      <c r="R1041" s="140"/>
      <c r="S1041" s="142"/>
      <c r="T1041" s="140"/>
    </row>
    <row r="1042" spans="3:20" ht="39.75" customHeight="1">
      <c r="C1042" s="196">
        <v>1039</v>
      </c>
      <c r="D1042" s="127"/>
      <c r="E1042" s="129"/>
      <c r="F1042" s="128"/>
      <c r="G1042" s="129"/>
      <c r="H1042" s="129"/>
      <c r="I1042" s="166"/>
      <c r="J1042" s="180"/>
      <c r="K1042" s="128"/>
      <c r="L1042" s="127"/>
      <c r="M1042" s="168"/>
      <c r="N1042" s="173"/>
      <c r="O1042" s="141"/>
      <c r="P1042" s="140"/>
      <c r="Q1042" s="142"/>
      <c r="R1042" s="140"/>
      <c r="S1042" s="142"/>
      <c r="T1042" s="140"/>
    </row>
    <row r="1043" spans="3:20" ht="39.75" customHeight="1">
      <c r="C1043" s="196">
        <v>1040</v>
      </c>
      <c r="D1043" s="127"/>
      <c r="E1043" s="129"/>
      <c r="F1043" s="128"/>
      <c r="G1043" s="129"/>
      <c r="H1043" s="129"/>
      <c r="I1043" s="166"/>
      <c r="J1043" s="180"/>
      <c r="K1043" s="128"/>
      <c r="L1043" s="127"/>
      <c r="M1043" s="168"/>
      <c r="N1043" s="173"/>
      <c r="O1043" s="141"/>
      <c r="P1043" s="140"/>
      <c r="Q1043" s="142"/>
      <c r="R1043" s="140"/>
      <c r="S1043" s="142"/>
      <c r="T1043" s="140"/>
    </row>
    <row r="1044" spans="3:20" ht="39.75" customHeight="1">
      <c r="C1044" s="196">
        <v>1041</v>
      </c>
      <c r="D1044" s="127"/>
      <c r="E1044" s="129"/>
      <c r="F1044" s="128"/>
      <c r="G1044" s="129"/>
      <c r="H1044" s="129"/>
      <c r="I1044" s="166"/>
      <c r="J1044" s="180"/>
      <c r="K1044" s="128"/>
      <c r="L1044" s="127"/>
      <c r="M1044" s="168"/>
      <c r="N1044" s="173"/>
      <c r="O1044" s="141"/>
      <c r="P1044" s="140"/>
      <c r="Q1044" s="142"/>
      <c r="R1044" s="140"/>
      <c r="S1044" s="142"/>
      <c r="T1044" s="140"/>
    </row>
    <row r="1045" spans="3:20" ht="39.75" customHeight="1">
      <c r="C1045" s="196">
        <v>1042</v>
      </c>
      <c r="D1045" s="127"/>
      <c r="E1045" s="129"/>
      <c r="F1045" s="128"/>
      <c r="G1045" s="129"/>
      <c r="H1045" s="129"/>
      <c r="I1045" s="166"/>
      <c r="J1045" s="180"/>
      <c r="K1045" s="128"/>
      <c r="L1045" s="127"/>
      <c r="M1045" s="168"/>
      <c r="N1045" s="173"/>
      <c r="O1045" s="141"/>
      <c r="P1045" s="140"/>
      <c r="Q1045" s="142"/>
      <c r="R1045" s="140"/>
      <c r="S1045" s="142"/>
      <c r="T1045" s="140"/>
    </row>
    <row r="1046" spans="3:20" ht="39.75" customHeight="1">
      <c r="C1046" s="196">
        <v>1043</v>
      </c>
      <c r="D1046" s="127"/>
      <c r="E1046" s="129"/>
      <c r="F1046" s="128"/>
      <c r="G1046" s="129"/>
      <c r="H1046" s="129"/>
      <c r="I1046" s="166"/>
      <c r="J1046" s="180"/>
      <c r="K1046" s="128"/>
      <c r="L1046" s="127"/>
      <c r="M1046" s="168"/>
      <c r="N1046" s="173"/>
      <c r="O1046" s="141"/>
      <c r="P1046" s="140"/>
      <c r="Q1046" s="142"/>
      <c r="R1046" s="140"/>
      <c r="S1046" s="142"/>
      <c r="T1046" s="140"/>
    </row>
    <row r="1047" spans="3:20" ht="39.75" customHeight="1">
      <c r="C1047" s="196">
        <v>1044</v>
      </c>
      <c r="D1047" s="127"/>
      <c r="E1047" s="129"/>
      <c r="F1047" s="128"/>
      <c r="G1047" s="129"/>
      <c r="H1047" s="129"/>
      <c r="I1047" s="166"/>
      <c r="J1047" s="180"/>
      <c r="K1047" s="128"/>
      <c r="L1047" s="127"/>
      <c r="M1047" s="168"/>
      <c r="N1047" s="173"/>
      <c r="O1047" s="141"/>
      <c r="P1047" s="140"/>
      <c r="Q1047" s="142"/>
      <c r="R1047" s="140"/>
      <c r="S1047" s="142"/>
      <c r="T1047" s="140"/>
    </row>
    <row r="1048" spans="3:20" ht="39.75" customHeight="1">
      <c r="C1048" s="196">
        <v>1045</v>
      </c>
      <c r="D1048" s="127"/>
      <c r="E1048" s="129"/>
      <c r="F1048" s="128"/>
      <c r="G1048" s="129"/>
      <c r="H1048" s="129"/>
      <c r="I1048" s="166"/>
      <c r="J1048" s="180"/>
      <c r="K1048" s="128"/>
      <c r="L1048" s="127"/>
      <c r="M1048" s="168"/>
      <c r="N1048" s="173"/>
      <c r="O1048" s="141"/>
      <c r="P1048" s="140"/>
      <c r="Q1048" s="142"/>
      <c r="R1048" s="140"/>
      <c r="S1048" s="142"/>
      <c r="T1048" s="140"/>
    </row>
    <row r="1049" spans="3:20" ht="39.75" customHeight="1">
      <c r="C1049" s="196">
        <v>1046</v>
      </c>
      <c r="D1049" s="127"/>
      <c r="E1049" s="129"/>
      <c r="F1049" s="128"/>
      <c r="G1049" s="129"/>
      <c r="H1049" s="129"/>
      <c r="I1049" s="166"/>
      <c r="J1049" s="180"/>
      <c r="K1049" s="128"/>
      <c r="L1049" s="127"/>
      <c r="M1049" s="168"/>
      <c r="N1049" s="173"/>
      <c r="O1049" s="141"/>
      <c r="P1049" s="140"/>
      <c r="Q1049" s="142"/>
      <c r="R1049" s="140"/>
      <c r="S1049" s="142"/>
      <c r="T1049" s="140"/>
    </row>
    <row r="1050" spans="3:20" ht="39.75" customHeight="1">
      <c r="C1050" s="196">
        <v>1047</v>
      </c>
      <c r="D1050" s="127"/>
      <c r="E1050" s="129"/>
      <c r="F1050" s="128"/>
      <c r="G1050" s="129"/>
      <c r="H1050" s="129"/>
      <c r="I1050" s="166"/>
      <c r="J1050" s="180"/>
      <c r="K1050" s="128"/>
      <c r="L1050" s="127"/>
      <c r="M1050" s="168"/>
      <c r="N1050" s="173"/>
      <c r="O1050" s="141"/>
      <c r="P1050" s="140"/>
      <c r="Q1050" s="142"/>
      <c r="R1050" s="140"/>
      <c r="S1050" s="142"/>
      <c r="T1050" s="140"/>
    </row>
    <row r="1051" spans="3:20" ht="39.75" customHeight="1">
      <c r="C1051" s="196">
        <v>1048</v>
      </c>
      <c r="D1051" s="127"/>
      <c r="E1051" s="129"/>
      <c r="F1051" s="128"/>
      <c r="G1051" s="129"/>
      <c r="H1051" s="129"/>
      <c r="I1051" s="166"/>
      <c r="J1051" s="180"/>
      <c r="K1051" s="128"/>
      <c r="L1051" s="127"/>
      <c r="M1051" s="168"/>
      <c r="N1051" s="173"/>
      <c r="O1051" s="141"/>
      <c r="P1051" s="140"/>
      <c r="Q1051" s="142"/>
      <c r="R1051" s="140"/>
      <c r="S1051" s="142"/>
      <c r="T1051" s="140"/>
    </row>
    <row r="1052" spans="3:20" ht="39.75" customHeight="1">
      <c r="C1052" s="196">
        <v>1049</v>
      </c>
      <c r="D1052" s="127"/>
      <c r="E1052" s="129"/>
      <c r="F1052" s="128"/>
      <c r="G1052" s="129"/>
      <c r="H1052" s="129"/>
      <c r="I1052" s="166"/>
      <c r="J1052" s="180"/>
      <c r="K1052" s="128"/>
      <c r="L1052" s="127"/>
      <c r="M1052" s="168"/>
      <c r="N1052" s="173"/>
      <c r="O1052" s="141"/>
      <c r="P1052" s="140"/>
      <c r="Q1052" s="142"/>
      <c r="R1052" s="140"/>
      <c r="S1052" s="142"/>
      <c r="T1052" s="140"/>
    </row>
    <row r="1053" spans="3:20" ht="39.75" customHeight="1">
      <c r="C1053" s="196">
        <v>1050</v>
      </c>
      <c r="D1053" s="127"/>
      <c r="E1053" s="129"/>
      <c r="F1053" s="128"/>
      <c r="G1053" s="129"/>
      <c r="H1053" s="129"/>
      <c r="I1053" s="166"/>
      <c r="J1053" s="180"/>
      <c r="K1053" s="128"/>
      <c r="L1053" s="127"/>
      <c r="M1053" s="168"/>
      <c r="N1053" s="173"/>
      <c r="O1053" s="141"/>
      <c r="P1053" s="140"/>
      <c r="Q1053" s="142"/>
      <c r="R1053" s="140"/>
      <c r="S1053" s="142"/>
      <c r="T1053" s="140"/>
    </row>
    <row r="1054" spans="3:20" ht="39.75" customHeight="1">
      <c r="C1054" s="196">
        <v>1051</v>
      </c>
      <c r="D1054" s="127"/>
      <c r="E1054" s="129"/>
      <c r="F1054" s="128"/>
      <c r="G1054" s="129"/>
      <c r="H1054" s="129"/>
      <c r="I1054" s="166"/>
      <c r="J1054" s="180"/>
      <c r="K1054" s="128"/>
      <c r="L1054" s="127"/>
      <c r="M1054" s="168"/>
      <c r="N1054" s="173"/>
      <c r="O1054" s="141"/>
      <c r="P1054" s="140"/>
      <c r="Q1054" s="142"/>
      <c r="R1054" s="140"/>
      <c r="S1054" s="142"/>
      <c r="T1054" s="140"/>
    </row>
    <row r="1055" spans="3:20" ht="39.75" customHeight="1">
      <c r="C1055" s="196">
        <v>1052</v>
      </c>
      <c r="D1055" s="127"/>
      <c r="E1055" s="129"/>
      <c r="F1055" s="128"/>
      <c r="G1055" s="129"/>
      <c r="H1055" s="129"/>
      <c r="I1055" s="166"/>
      <c r="J1055" s="180"/>
      <c r="K1055" s="128"/>
      <c r="L1055" s="127"/>
      <c r="M1055" s="168"/>
      <c r="N1055" s="173"/>
      <c r="O1055" s="141"/>
      <c r="P1055" s="140"/>
      <c r="Q1055" s="142"/>
      <c r="R1055" s="140"/>
      <c r="S1055" s="142"/>
      <c r="T1055" s="140"/>
    </row>
    <row r="1056" spans="3:20" ht="39.75" customHeight="1">
      <c r="C1056" s="196">
        <v>1053</v>
      </c>
      <c r="D1056" s="127"/>
      <c r="E1056" s="129"/>
      <c r="F1056" s="128"/>
      <c r="G1056" s="129"/>
      <c r="H1056" s="129"/>
      <c r="I1056" s="166"/>
      <c r="J1056" s="180"/>
      <c r="K1056" s="128"/>
      <c r="L1056" s="127"/>
      <c r="M1056" s="168"/>
      <c r="N1056" s="173"/>
      <c r="O1056" s="141"/>
      <c r="P1056" s="140"/>
      <c r="Q1056" s="142"/>
      <c r="R1056" s="140"/>
      <c r="S1056" s="142"/>
      <c r="T1056" s="140"/>
    </row>
    <row r="1057" spans="3:20" ht="39.75" customHeight="1">
      <c r="C1057" s="196">
        <v>1054</v>
      </c>
      <c r="D1057" s="127"/>
      <c r="E1057" s="129"/>
      <c r="F1057" s="128"/>
      <c r="G1057" s="129"/>
      <c r="H1057" s="129"/>
      <c r="I1057" s="166"/>
      <c r="J1057" s="180"/>
      <c r="K1057" s="128"/>
      <c r="L1057" s="127"/>
      <c r="M1057" s="168"/>
      <c r="N1057" s="173"/>
      <c r="O1057" s="141"/>
      <c r="P1057" s="140"/>
      <c r="Q1057" s="142"/>
      <c r="R1057" s="140"/>
      <c r="S1057" s="142"/>
      <c r="T1057" s="140"/>
    </row>
    <row r="1058" spans="3:20" ht="39.75" customHeight="1">
      <c r="C1058" s="196">
        <v>1055</v>
      </c>
      <c r="D1058" s="127"/>
      <c r="E1058" s="129"/>
      <c r="F1058" s="128"/>
      <c r="G1058" s="129"/>
      <c r="H1058" s="129"/>
      <c r="I1058" s="166"/>
      <c r="J1058" s="180"/>
      <c r="K1058" s="128"/>
      <c r="L1058" s="127"/>
      <c r="M1058" s="168"/>
      <c r="N1058" s="173"/>
      <c r="O1058" s="141"/>
      <c r="P1058" s="140"/>
      <c r="Q1058" s="142"/>
      <c r="R1058" s="140"/>
      <c r="S1058" s="142"/>
      <c r="T1058" s="140"/>
    </row>
    <row r="1059" spans="3:20" ht="39.75" customHeight="1">
      <c r="C1059" s="196">
        <v>1056</v>
      </c>
      <c r="D1059" s="127"/>
      <c r="E1059" s="129"/>
      <c r="F1059" s="128"/>
      <c r="G1059" s="129"/>
      <c r="H1059" s="129"/>
      <c r="I1059" s="166"/>
      <c r="J1059" s="180"/>
      <c r="K1059" s="128"/>
      <c r="L1059" s="127"/>
      <c r="M1059" s="168"/>
      <c r="N1059" s="173"/>
      <c r="O1059" s="141"/>
      <c r="P1059" s="140"/>
      <c r="Q1059" s="142"/>
      <c r="R1059" s="140"/>
      <c r="S1059" s="142"/>
      <c r="T1059" s="140"/>
    </row>
    <row r="1060" spans="3:20" ht="39.75" customHeight="1">
      <c r="C1060" s="196">
        <v>1057</v>
      </c>
      <c r="D1060" s="127"/>
      <c r="E1060" s="129"/>
      <c r="F1060" s="128"/>
      <c r="G1060" s="129"/>
      <c r="H1060" s="129"/>
      <c r="I1060" s="166"/>
      <c r="J1060" s="180"/>
      <c r="K1060" s="128"/>
      <c r="L1060" s="127"/>
      <c r="M1060" s="168"/>
      <c r="N1060" s="173"/>
      <c r="O1060" s="141"/>
      <c r="P1060" s="140"/>
      <c r="Q1060" s="142"/>
      <c r="R1060" s="140"/>
      <c r="S1060" s="142"/>
      <c r="T1060" s="140"/>
    </row>
    <row r="1061" spans="3:20" ht="39.75" customHeight="1">
      <c r="C1061" s="196">
        <v>1058</v>
      </c>
      <c r="D1061" s="127"/>
      <c r="E1061" s="129"/>
      <c r="F1061" s="128"/>
      <c r="G1061" s="129"/>
      <c r="H1061" s="129"/>
      <c r="I1061" s="166"/>
      <c r="J1061" s="180"/>
      <c r="K1061" s="128"/>
      <c r="L1061" s="127"/>
      <c r="M1061" s="168"/>
      <c r="N1061" s="173"/>
      <c r="O1061" s="141"/>
      <c r="P1061" s="140"/>
      <c r="Q1061" s="142"/>
      <c r="R1061" s="140"/>
      <c r="S1061" s="142"/>
      <c r="T1061" s="140"/>
    </row>
    <row r="1062" spans="3:20" ht="39.75" customHeight="1">
      <c r="C1062" s="196">
        <v>1059</v>
      </c>
      <c r="D1062" s="127"/>
      <c r="E1062" s="129"/>
      <c r="F1062" s="128"/>
      <c r="G1062" s="129"/>
      <c r="H1062" s="129"/>
      <c r="I1062" s="166"/>
      <c r="J1062" s="180"/>
      <c r="K1062" s="128"/>
      <c r="L1062" s="127"/>
      <c r="M1062" s="168"/>
      <c r="N1062" s="173"/>
      <c r="O1062" s="141"/>
      <c r="P1062" s="140"/>
      <c r="Q1062" s="142"/>
      <c r="R1062" s="140"/>
      <c r="S1062" s="142"/>
      <c r="T1062" s="140"/>
    </row>
    <row r="1063" spans="3:20" ht="39.75" customHeight="1">
      <c r="C1063" s="196">
        <v>1060</v>
      </c>
      <c r="D1063" s="127"/>
      <c r="E1063" s="129"/>
      <c r="F1063" s="128"/>
      <c r="G1063" s="129"/>
      <c r="H1063" s="129"/>
      <c r="I1063" s="166"/>
      <c r="J1063" s="180"/>
      <c r="K1063" s="128"/>
      <c r="L1063" s="127"/>
      <c r="M1063" s="168"/>
      <c r="N1063" s="173"/>
      <c r="O1063" s="141"/>
      <c r="P1063" s="140"/>
      <c r="Q1063" s="142"/>
      <c r="R1063" s="140"/>
      <c r="S1063" s="142"/>
      <c r="T1063" s="140"/>
    </row>
    <row r="1064" spans="3:20" ht="39.75" customHeight="1">
      <c r="C1064" s="196">
        <v>1061</v>
      </c>
      <c r="D1064" s="127"/>
      <c r="E1064" s="129"/>
      <c r="F1064" s="128"/>
      <c r="G1064" s="129"/>
      <c r="H1064" s="129"/>
      <c r="I1064" s="166"/>
      <c r="J1064" s="180"/>
      <c r="K1064" s="128"/>
      <c r="L1064" s="127"/>
      <c r="M1064" s="168"/>
      <c r="N1064" s="173"/>
      <c r="O1064" s="141"/>
      <c r="P1064" s="140"/>
      <c r="Q1064" s="142"/>
      <c r="R1064" s="140"/>
      <c r="S1064" s="142"/>
      <c r="T1064" s="140"/>
    </row>
    <row r="1065" spans="3:20" ht="39.75" customHeight="1">
      <c r="C1065" s="196">
        <v>1062</v>
      </c>
      <c r="D1065" s="127"/>
      <c r="E1065" s="129"/>
      <c r="F1065" s="128"/>
      <c r="G1065" s="129"/>
      <c r="H1065" s="129"/>
      <c r="I1065" s="166"/>
      <c r="J1065" s="180"/>
      <c r="K1065" s="128"/>
      <c r="L1065" s="127"/>
      <c r="M1065" s="168"/>
      <c r="N1065" s="173"/>
      <c r="O1065" s="141"/>
      <c r="P1065" s="140"/>
      <c r="Q1065" s="142"/>
      <c r="R1065" s="140"/>
      <c r="S1065" s="142"/>
      <c r="T1065" s="140"/>
    </row>
    <row r="1066" spans="3:20" ht="39.75" customHeight="1">
      <c r="C1066" s="196">
        <v>1063</v>
      </c>
      <c r="D1066" s="127"/>
      <c r="E1066" s="129"/>
      <c r="F1066" s="128"/>
      <c r="G1066" s="129"/>
      <c r="H1066" s="129"/>
      <c r="I1066" s="166"/>
      <c r="J1066" s="180"/>
      <c r="K1066" s="128"/>
      <c r="L1066" s="127"/>
      <c r="M1066" s="168"/>
      <c r="N1066" s="173"/>
      <c r="O1066" s="141"/>
      <c r="P1066" s="140"/>
      <c r="Q1066" s="142"/>
      <c r="R1066" s="140"/>
      <c r="S1066" s="142"/>
      <c r="T1066" s="140"/>
    </row>
    <row r="1067" spans="3:20" ht="39.75" customHeight="1">
      <c r="C1067" s="196">
        <v>1064</v>
      </c>
      <c r="D1067" s="127"/>
      <c r="E1067" s="129"/>
      <c r="F1067" s="128"/>
      <c r="G1067" s="129"/>
      <c r="H1067" s="129"/>
      <c r="I1067" s="166"/>
      <c r="J1067" s="180"/>
      <c r="K1067" s="128"/>
      <c r="L1067" s="127"/>
      <c r="M1067" s="168"/>
      <c r="N1067" s="173"/>
      <c r="O1067" s="141"/>
      <c r="P1067" s="140"/>
      <c r="Q1067" s="142"/>
      <c r="R1067" s="140"/>
      <c r="S1067" s="142"/>
      <c r="T1067" s="140"/>
    </row>
    <row r="1068" spans="3:20" ht="39.75" customHeight="1">
      <c r="C1068" s="196">
        <v>1065</v>
      </c>
      <c r="D1068" s="127"/>
      <c r="E1068" s="129"/>
      <c r="F1068" s="128"/>
      <c r="G1068" s="129"/>
      <c r="H1068" s="129"/>
      <c r="I1068" s="166"/>
      <c r="J1068" s="180"/>
      <c r="K1068" s="128"/>
      <c r="L1068" s="127"/>
      <c r="M1068" s="168"/>
      <c r="N1068" s="173"/>
      <c r="O1068" s="141"/>
      <c r="P1068" s="140"/>
      <c r="Q1068" s="142"/>
      <c r="R1068" s="140"/>
      <c r="S1068" s="142"/>
      <c r="T1068" s="140"/>
    </row>
    <row r="1069" spans="3:20" ht="39.75" customHeight="1">
      <c r="C1069" s="196">
        <v>1066</v>
      </c>
      <c r="D1069" s="127"/>
      <c r="E1069" s="129"/>
      <c r="F1069" s="128"/>
      <c r="G1069" s="129"/>
      <c r="H1069" s="129"/>
      <c r="I1069" s="166"/>
      <c r="J1069" s="180"/>
      <c r="K1069" s="128"/>
      <c r="L1069" s="127"/>
      <c r="M1069" s="168"/>
      <c r="N1069" s="173"/>
      <c r="O1069" s="141"/>
      <c r="P1069" s="140"/>
      <c r="Q1069" s="142"/>
      <c r="R1069" s="140"/>
      <c r="S1069" s="142"/>
      <c r="T1069" s="140"/>
    </row>
    <row r="1070" spans="3:20" ht="39.75" customHeight="1">
      <c r="C1070" s="196">
        <v>1067</v>
      </c>
      <c r="D1070" s="127"/>
      <c r="E1070" s="129"/>
      <c r="F1070" s="128"/>
      <c r="G1070" s="129"/>
      <c r="H1070" s="129"/>
      <c r="I1070" s="166"/>
      <c r="J1070" s="180"/>
      <c r="K1070" s="128"/>
      <c r="L1070" s="127"/>
      <c r="M1070" s="168"/>
      <c r="N1070" s="173"/>
      <c r="O1070" s="141"/>
      <c r="P1070" s="140"/>
      <c r="Q1070" s="142"/>
      <c r="R1070" s="140"/>
      <c r="S1070" s="142"/>
      <c r="T1070" s="140"/>
    </row>
    <row r="1071" spans="3:20" ht="39.75" customHeight="1">
      <c r="C1071" s="196">
        <v>1068</v>
      </c>
      <c r="D1071" s="127"/>
      <c r="E1071" s="129"/>
      <c r="F1071" s="128"/>
      <c r="G1071" s="129"/>
      <c r="H1071" s="129"/>
      <c r="I1071" s="166"/>
      <c r="J1071" s="180"/>
      <c r="K1071" s="128"/>
      <c r="L1071" s="127"/>
      <c r="M1071" s="168"/>
      <c r="N1071" s="173"/>
      <c r="O1071" s="141"/>
      <c r="P1071" s="140"/>
      <c r="Q1071" s="142"/>
      <c r="R1071" s="140"/>
      <c r="S1071" s="142"/>
      <c r="T1071" s="140"/>
    </row>
    <row r="1072" spans="3:20" ht="39.75" customHeight="1">
      <c r="C1072" s="196">
        <v>1069</v>
      </c>
      <c r="D1072" s="127"/>
      <c r="E1072" s="129"/>
      <c r="F1072" s="128"/>
      <c r="G1072" s="129"/>
      <c r="H1072" s="129"/>
      <c r="I1072" s="166"/>
      <c r="J1072" s="180"/>
      <c r="K1072" s="128"/>
      <c r="L1072" s="127"/>
      <c r="M1072" s="168"/>
      <c r="N1072" s="173"/>
      <c r="O1072" s="141"/>
      <c r="P1072" s="140"/>
      <c r="Q1072" s="142"/>
      <c r="R1072" s="140"/>
      <c r="S1072" s="142"/>
      <c r="T1072" s="140"/>
    </row>
    <row r="1073" spans="3:20" ht="39.75" customHeight="1">
      <c r="C1073" s="196">
        <v>1070</v>
      </c>
      <c r="D1073" s="127"/>
      <c r="E1073" s="129"/>
      <c r="F1073" s="128"/>
      <c r="G1073" s="129"/>
      <c r="H1073" s="129"/>
      <c r="I1073" s="166"/>
      <c r="J1073" s="180"/>
      <c r="K1073" s="128"/>
      <c r="L1073" s="127"/>
      <c r="M1073" s="168"/>
      <c r="N1073" s="173"/>
      <c r="O1073" s="141"/>
      <c r="P1073" s="140"/>
      <c r="Q1073" s="142"/>
      <c r="R1073" s="140"/>
      <c r="S1073" s="142"/>
      <c r="T1073" s="140"/>
    </row>
    <row r="1074" spans="3:20" ht="39.75" customHeight="1">
      <c r="C1074" s="196">
        <v>1071</v>
      </c>
      <c r="D1074" s="127"/>
      <c r="E1074" s="129"/>
      <c r="F1074" s="128"/>
      <c r="G1074" s="129"/>
      <c r="H1074" s="129"/>
      <c r="I1074" s="166"/>
      <c r="J1074" s="180"/>
      <c r="K1074" s="128"/>
      <c r="L1074" s="127"/>
      <c r="M1074" s="168"/>
      <c r="N1074" s="173"/>
      <c r="O1074" s="141"/>
      <c r="P1074" s="140"/>
      <c r="Q1074" s="142"/>
      <c r="R1074" s="140"/>
      <c r="S1074" s="142"/>
      <c r="T1074" s="140"/>
    </row>
    <row r="1075" spans="3:20" ht="39.75" customHeight="1">
      <c r="C1075" s="196">
        <v>1072</v>
      </c>
      <c r="D1075" s="127"/>
      <c r="E1075" s="129"/>
      <c r="F1075" s="128"/>
      <c r="G1075" s="129"/>
      <c r="H1075" s="129"/>
      <c r="I1075" s="166"/>
      <c r="J1075" s="180"/>
      <c r="K1075" s="128"/>
      <c r="L1075" s="127"/>
      <c r="M1075" s="168"/>
      <c r="N1075" s="173"/>
      <c r="O1075" s="141"/>
      <c r="P1075" s="140"/>
      <c r="Q1075" s="142"/>
      <c r="R1075" s="140"/>
      <c r="S1075" s="142"/>
      <c r="T1075" s="140"/>
    </row>
    <row r="1076" spans="3:20" ht="39.75" customHeight="1">
      <c r="C1076" s="196">
        <v>1073</v>
      </c>
      <c r="D1076" s="127"/>
      <c r="E1076" s="129"/>
      <c r="F1076" s="128"/>
      <c r="G1076" s="129"/>
      <c r="H1076" s="129"/>
      <c r="I1076" s="166"/>
      <c r="J1076" s="180"/>
      <c r="K1076" s="128"/>
      <c r="L1076" s="127"/>
      <c r="M1076" s="168"/>
      <c r="N1076" s="173"/>
      <c r="O1076" s="141"/>
      <c r="P1076" s="140"/>
      <c r="Q1076" s="142"/>
      <c r="R1076" s="140"/>
      <c r="S1076" s="142"/>
      <c r="T1076" s="140"/>
    </row>
    <row r="1077" spans="3:20" ht="39.75" customHeight="1">
      <c r="C1077" s="196">
        <v>1074</v>
      </c>
      <c r="D1077" s="127"/>
      <c r="E1077" s="129"/>
      <c r="F1077" s="128"/>
      <c r="G1077" s="129"/>
      <c r="H1077" s="129"/>
      <c r="I1077" s="166"/>
      <c r="J1077" s="180"/>
      <c r="K1077" s="128"/>
      <c r="L1077" s="127"/>
      <c r="M1077" s="168"/>
      <c r="N1077" s="173"/>
      <c r="O1077" s="141"/>
      <c r="P1077" s="140"/>
      <c r="Q1077" s="142"/>
      <c r="R1077" s="140"/>
      <c r="S1077" s="142"/>
      <c r="T1077" s="140"/>
    </row>
    <row r="1078" spans="3:20" ht="39.75" customHeight="1">
      <c r="C1078" s="196">
        <v>1075</v>
      </c>
      <c r="D1078" s="127"/>
      <c r="E1078" s="129"/>
      <c r="F1078" s="128"/>
      <c r="G1078" s="129"/>
      <c r="H1078" s="129"/>
      <c r="I1078" s="166"/>
      <c r="J1078" s="180"/>
      <c r="K1078" s="128"/>
      <c r="L1078" s="127"/>
      <c r="M1078" s="168"/>
      <c r="N1078" s="173"/>
      <c r="O1078" s="141"/>
      <c r="P1078" s="140"/>
      <c r="Q1078" s="142"/>
      <c r="R1078" s="140"/>
      <c r="S1078" s="142"/>
      <c r="T1078" s="140"/>
    </row>
    <row r="1079" spans="3:20" ht="39.75" customHeight="1">
      <c r="C1079" s="196">
        <v>1076</v>
      </c>
      <c r="D1079" s="127"/>
      <c r="E1079" s="129"/>
      <c r="F1079" s="128"/>
      <c r="G1079" s="129"/>
      <c r="H1079" s="129"/>
      <c r="I1079" s="166"/>
      <c r="J1079" s="180"/>
      <c r="K1079" s="128"/>
      <c r="L1079" s="127"/>
      <c r="M1079" s="168"/>
      <c r="N1079" s="173"/>
      <c r="O1079" s="141"/>
      <c r="P1079" s="140"/>
      <c r="Q1079" s="142"/>
      <c r="R1079" s="140"/>
      <c r="S1079" s="142"/>
      <c r="T1079" s="140"/>
    </row>
    <row r="1080" spans="3:20" ht="39.75" customHeight="1">
      <c r="C1080" s="196">
        <v>1077</v>
      </c>
      <c r="D1080" s="127"/>
      <c r="E1080" s="129"/>
      <c r="F1080" s="128"/>
      <c r="G1080" s="129"/>
      <c r="H1080" s="129"/>
      <c r="I1080" s="166"/>
      <c r="J1080" s="180"/>
      <c r="K1080" s="128"/>
      <c r="L1080" s="127"/>
      <c r="M1080" s="168"/>
      <c r="N1080" s="173"/>
      <c r="O1080" s="141"/>
      <c r="P1080" s="140"/>
      <c r="Q1080" s="142"/>
      <c r="R1080" s="140"/>
      <c r="S1080" s="142"/>
      <c r="T1080" s="140"/>
    </row>
    <row r="1081" spans="3:20" ht="39.75" customHeight="1">
      <c r="C1081" s="196">
        <v>1078</v>
      </c>
      <c r="D1081" s="127"/>
      <c r="E1081" s="129"/>
      <c r="F1081" s="128"/>
      <c r="G1081" s="129"/>
      <c r="H1081" s="129"/>
      <c r="I1081" s="166"/>
      <c r="J1081" s="180"/>
      <c r="K1081" s="128"/>
      <c r="L1081" s="127"/>
      <c r="M1081" s="168"/>
      <c r="N1081" s="173"/>
      <c r="O1081" s="141"/>
      <c r="P1081" s="140"/>
      <c r="Q1081" s="142"/>
      <c r="R1081" s="140"/>
      <c r="S1081" s="142"/>
      <c r="T1081" s="140"/>
    </row>
    <row r="1082" spans="3:20" ht="39.75" customHeight="1">
      <c r="C1082" s="196">
        <v>1079</v>
      </c>
      <c r="D1082" s="127"/>
      <c r="E1082" s="129"/>
      <c r="F1082" s="128"/>
      <c r="G1082" s="129"/>
      <c r="H1082" s="129"/>
      <c r="I1082" s="166"/>
      <c r="J1082" s="180"/>
      <c r="K1082" s="128"/>
      <c r="L1082" s="127"/>
      <c r="M1082" s="168"/>
      <c r="N1082" s="173"/>
      <c r="O1082" s="141"/>
      <c r="P1082" s="140"/>
      <c r="Q1082" s="142"/>
      <c r="R1082" s="140"/>
      <c r="S1082" s="142"/>
      <c r="T1082" s="140"/>
    </row>
    <row r="1083" spans="3:20" ht="39.75" customHeight="1">
      <c r="C1083" s="196">
        <v>1080</v>
      </c>
      <c r="D1083" s="127"/>
      <c r="E1083" s="129"/>
      <c r="F1083" s="128"/>
      <c r="G1083" s="129"/>
      <c r="H1083" s="129"/>
      <c r="I1083" s="166"/>
      <c r="J1083" s="180"/>
      <c r="K1083" s="128"/>
      <c r="L1083" s="127"/>
      <c r="M1083" s="168"/>
      <c r="N1083" s="173"/>
      <c r="O1083" s="141"/>
      <c r="P1083" s="140"/>
      <c r="Q1083" s="142"/>
      <c r="R1083" s="140"/>
      <c r="S1083" s="142"/>
      <c r="T1083" s="140"/>
    </row>
    <row r="1084" spans="3:20" ht="39.75" customHeight="1">
      <c r="C1084" s="196">
        <v>1081</v>
      </c>
      <c r="D1084" s="127"/>
      <c r="E1084" s="129"/>
      <c r="F1084" s="128"/>
      <c r="G1084" s="129"/>
      <c r="H1084" s="129"/>
      <c r="I1084" s="166"/>
      <c r="J1084" s="180"/>
      <c r="K1084" s="128"/>
      <c r="L1084" s="127"/>
      <c r="M1084" s="168"/>
      <c r="N1084" s="173"/>
      <c r="O1084" s="141"/>
      <c r="P1084" s="140"/>
      <c r="Q1084" s="142"/>
      <c r="R1084" s="140"/>
      <c r="S1084" s="142"/>
      <c r="T1084" s="140"/>
    </row>
    <row r="1085" spans="3:20" ht="39.75" customHeight="1">
      <c r="C1085" s="196">
        <v>1082</v>
      </c>
      <c r="D1085" s="127"/>
      <c r="E1085" s="129"/>
      <c r="F1085" s="128"/>
      <c r="G1085" s="129"/>
      <c r="H1085" s="129"/>
      <c r="I1085" s="166"/>
      <c r="J1085" s="180"/>
      <c r="K1085" s="128"/>
      <c r="L1085" s="127"/>
      <c r="M1085" s="168"/>
      <c r="N1085" s="173"/>
      <c r="O1085" s="141"/>
      <c r="P1085" s="140"/>
      <c r="Q1085" s="142"/>
      <c r="R1085" s="140"/>
      <c r="S1085" s="142"/>
      <c r="T1085" s="140"/>
    </row>
    <row r="1086" spans="3:20" ht="39.75" customHeight="1">
      <c r="C1086" s="196">
        <v>1083</v>
      </c>
      <c r="D1086" s="127"/>
      <c r="E1086" s="129"/>
      <c r="F1086" s="128"/>
      <c r="G1086" s="129"/>
      <c r="H1086" s="129"/>
      <c r="I1086" s="166"/>
      <c r="J1086" s="180"/>
      <c r="K1086" s="128"/>
      <c r="L1086" s="127"/>
      <c r="M1086" s="168"/>
      <c r="N1086" s="173"/>
      <c r="O1086" s="141"/>
      <c r="P1086" s="140"/>
      <c r="Q1086" s="142"/>
      <c r="R1086" s="140"/>
      <c r="S1086" s="142"/>
      <c r="T1086" s="140"/>
    </row>
    <row r="1087" spans="3:20" ht="39.75" customHeight="1">
      <c r="C1087" s="196">
        <v>1084</v>
      </c>
      <c r="D1087" s="127"/>
      <c r="E1087" s="129"/>
      <c r="F1087" s="128"/>
      <c r="G1087" s="129"/>
      <c r="H1087" s="129"/>
      <c r="I1087" s="166"/>
      <c r="J1087" s="180"/>
      <c r="K1087" s="128"/>
      <c r="L1087" s="127"/>
      <c r="M1087" s="168"/>
      <c r="N1087" s="173"/>
      <c r="O1087" s="141"/>
      <c r="P1087" s="140"/>
      <c r="Q1087" s="142"/>
      <c r="R1087" s="140"/>
      <c r="S1087" s="142"/>
      <c r="T1087" s="140"/>
    </row>
    <row r="1088" spans="3:20" ht="39.75" customHeight="1">
      <c r="C1088" s="196">
        <v>1085</v>
      </c>
      <c r="D1088" s="127"/>
      <c r="E1088" s="129"/>
      <c r="F1088" s="128"/>
      <c r="G1088" s="129"/>
      <c r="H1088" s="129"/>
      <c r="I1088" s="166"/>
      <c r="J1088" s="180"/>
      <c r="K1088" s="128"/>
      <c r="L1088" s="127"/>
      <c r="M1088" s="168"/>
      <c r="N1088" s="173"/>
      <c r="O1088" s="141"/>
      <c r="P1088" s="140"/>
      <c r="Q1088" s="142"/>
      <c r="R1088" s="140"/>
      <c r="S1088" s="142"/>
      <c r="T1088" s="140"/>
    </row>
    <row r="1089" spans="3:20" ht="39.75" customHeight="1">
      <c r="C1089" s="196">
        <v>1086</v>
      </c>
      <c r="D1089" s="127"/>
      <c r="E1089" s="129"/>
      <c r="F1089" s="128"/>
      <c r="G1089" s="129"/>
      <c r="H1089" s="129"/>
      <c r="I1089" s="166"/>
      <c r="J1089" s="180"/>
      <c r="K1089" s="128"/>
      <c r="L1089" s="127"/>
      <c r="M1089" s="168"/>
      <c r="N1089" s="173"/>
      <c r="O1089" s="141"/>
      <c r="P1089" s="140"/>
      <c r="Q1089" s="142"/>
      <c r="R1089" s="140"/>
      <c r="S1089" s="142"/>
      <c r="T1089" s="140"/>
    </row>
    <row r="1090" spans="3:20" ht="39.75" customHeight="1">
      <c r="C1090" s="196">
        <v>1087</v>
      </c>
      <c r="D1090" s="127"/>
      <c r="E1090" s="129"/>
      <c r="F1090" s="128"/>
      <c r="G1090" s="129"/>
      <c r="H1090" s="129"/>
      <c r="I1090" s="166"/>
      <c r="J1090" s="180"/>
      <c r="K1090" s="128"/>
      <c r="L1090" s="127"/>
      <c r="M1090" s="168"/>
      <c r="N1090" s="173"/>
      <c r="O1090" s="141"/>
      <c r="P1090" s="140"/>
      <c r="Q1090" s="142"/>
      <c r="R1090" s="140"/>
      <c r="S1090" s="142"/>
      <c r="T1090" s="140"/>
    </row>
    <row r="1091" spans="3:20" ht="39.75" customHeight="1">
      <c r="C1091" s="196">
        <v>1088</v>
      </c>
      <c r="D1091" s="127"/>
      <c r="E1091" s="129"/>
      <c r="F1091" s="128"/>
      <c r="G1091" s="129"/>
      <c r="H1091" s="129"/>
      <c r="I1091" s="166"/>
      <c r="J1091" s="180"/>
      <c r="K1091" s="128"/>
      <c r="L1091" s="127"/>
      <c r="M1091" s="168"/>
      <c r="N1091" s="173"/>
      <c r="O1091" s="141"/>
      <c r="P1091" s="140"/>
      <c r="Q1091" s="142"/>
      <c r="R1091" s="140"/>
      <c r="S1091" s="142"/>
      <c r="T1091" s="140"/>
    </row>
    <row r="1092" spans="3:20" ht="39.75" customHeight="1">
      <c r="C1092" s="196">
        <v>1089</v>
      </c>
      <c r="D1092" s="127"/>
      <c r="E1092" s="129"/>
      <c r="F1092" s="128"/>
      <c r="G1092" s="129"/>
      <c r="H1092" s="129"/>
      <c r="I1092" s="166"/>
      <c r="J1092" s="180"/>
      <c r="K1092" s="128"/>
      <c r="L1092" s="127"/>
      <c r="M1092" s="168"/>
      <c r="N1092" s="173"/>
      <c r="O1092" s="141"/>
      <c r="P1092" s="140"/>
      <c r="Q1092" s="142"/>
      <c r="R1092" s="140"/>
      <c r="S1092" s="142"/>
      <c r="T1092" s="140"/>
    </row>
    <row r="1093" spans="3:20" ht="39.75" customHeight="1">
      <c r="C1093" s="196">
        <v>1090</v>
      </c>
      <c r="D1093" s="127"/>
      <c r="E1093" s="129"/>
      <c r="F1093" s="128"/>
      <c r="G1093" s="129"/>
      <c r="H1093" s="129"/>
      <c r="I1093" s="166"/>
      <c r="J1093" s="180"/>
      <c r="K1093" s="128"/>
      <c r="L1093" s="127"/>
      <c r="M1093" s="168"/>
      <c r="N1093" s="173"/>
      <c r="O1093" s="141"/>
      <c r="P1093" s="140"/>
      <c r="Q1093" s="142"/>
      <c r="R1093" s="140"/>
      <c r="S1093" s="142"/>
      <c r="T1093" s="140"/>
    </row>
    <row r="1094" spans="3:20" ht="39.75" customHeight="1">
      <c r="C1094" s="196">
        <v>1091</v>
      </c>
      <c r="D1094" s="127"/>
      <c r="E1094" s="129"/>
      <c r="F1094" s="128"/>
      <c r="G1094" s="129"/>
      <c r="H1094" s="129"/>
      <c r="I1094" s="166"/>
      <c r="J1094" s="180"/>
      <c r="K1094" s="128"/>
      <c r="L1094" s="127"/>
      <c r="M1094" s="168"/>
      <c r="N1094" s="173"/>
      <c r="O1094" s="141"/>
      <c r="P1094" s="140"/>
      <c r="Q1094" s="142"/>
      <c r="R1094" s="140"/>
      <c r="S1094" s="142"/>
      <c r="T1094" s="140"/>
    </row>
    <row r="1095" spans="3:20" ht="39.75" customHeight="1">
      <c r="C1095" s="196">
        <v>1092</v>
      </c>
      <c r="D1095" s="127"/>
      <c r="E1095" s="129"/>
      <c r="F1095" s="128"/>
      <c r="G1095" s="129"/>
      <c r="H1095" s="129"/>
      <c r="I1095" s="166"/>
      <c r="J1095" s="180"/>
      <c r="K1095" s="128"/>
      <c r="L1095" s="127"/>
      <c r="M1095" s="168"/>
      <c r="N1095" s="173"/>
      <c r="O1095" s="141"/>
      <c r="P1095" s="140"/>
      <c r="Q1095" s="142"/>
      <c r="R1095" s="140"/>
      <c r="S1095" s="142"/>
      <c r="T1095" s="140"/>
    </row>
    <row r="1096" spans="3:20" ht="39.75" customHeight="1">
      <c r="C1096" s="196">
        <v>1093</v>
      </c>
      <c r="D1096" s="127"/>
      <c r="E1096" s="129"/>
      <c r="F1096" s="128"/>
      <c r="G1096" s="129"/>
      <c r="H1096" s="129"/>
      <c r="I1096" s="166"/>
      <c r="J1096" s="180"/>
      <c r="K1096" s="128"/>
      <c r="L1096" s="127"/>
      <c r="M1096" s="168"/>
      <c r="N1096" s="173"/>
      <c r="O1096" s="141"/>
      <c r="P1096" s="140"/>
      <c r="Q1096" s="142"/>
      <c r="R1096" s="140"/>
      <c r="S1096" s="142"/>
      <c r="T1096" s="140"/>
    </row>
    <row r="1097" spans="3:20" ht="39.75" customHeight="1">
      <c r="C1097" s="196">
        <v>1094</v>
      </c>
      <c r="D1097" s="127"/>
      <c r="E1097" s="129"/>
      <c r="F1097" s="128"/>
      <c r="G1097" s="129"/>
      <c r="H1097" s="129"/>
      <c r="I1097" s="166"/>
      <c r="J1097" s="180"/>
      <c r="K1097" s="128"/>
      <c r="L1097" s="127"/>
      <c r="M1097" s="168"/>
      <c r="N1097" s="173"/>
      <c r="O1097" s="141"/>
      <c r="P1097" s="140"/>
      <c r="Q1097" s="142"/>
      <c r="R1097" s="140"/>
      <c r="S1097" s="142"/>
      <c r="T1097" s="140"/>
    </row>
    <row r="1098" spans="3:20" ht="39.75" customHeight="1">
      <c r="C1098" s="196">
        <v>1095</v>
      </c>
      <c r="D1098" s="127"/>
      <c r="E1098" s="129"/>
      <c r="F1098" s="128"/>
      <c r="G1098" s="129"/>
      <c r="H1098" s="129"/>
      <c r="I1098" s="166"/>
      <c r="J1098" s="180"/>
      <c r="K1098" s="128"/>
      <c r="L1098" s="127"/>
      <c r="M1098" s="168"/>
      <c r="N1098" s="173"/>
      <c r="O1098" s="141"/>
      <c r="P1098" s="140"/>
      <c r="Q1098" s="142"/>
      <c r="R1098" s="140"/>
      <c r="S1098" s="142"/>
      <c r="T1098" s="140"/>
    </row>
    <row r="1099" spans="3:20" ht="39.75" customHeight="1">
      <c r="C1099" s="196">
        <v>1096</v>
      </c>
      <c r="D1099" s="127"/>
      <c r="E1099" s="129"/>
      <c r="F1099" s="128"/>
      <c r="G1099" s="129"/>
      <c r="H1099" s="129"/>
      <c r="I1099" s="166"/>
      <c r="J1099" s="180"/>
      <c r="K1099" s="128"/>
      <c r="L1099" s="127"/>
      <c r="M1099" s="168"/>
      <c r="N1099" s="173"/>
      <c r="O1099" s="141"/>
      <c r="P1099" s="140"/>
      <c r="Q1099" s="142"/>
      <c r="R1099" s="140"/>
      <c r="S1099" s="142"/>
      <c r="T1099" s="140"/>
    </row>
    <row r="1100" spans="3:20" ht="39.75" customHeight="1">
      <c r="C1100" s="196">
        <v>1097</v>
      </c>
      <c r="D1100" s="127"/>
      <c r="E1100" s="129"/>
      <c r="F1100" s="128"/>
      <c r="G1100" s="129"/>
      <c r="H1100" s="129"/>
      <c r="I1100" s="166"/>
      <c r="J1100" s="180"/>
      <c r="K1100" s="128"/>
      <c r="L1100" s="127"/>
      <c r="M1100" s="168"/>
      <c r="N1100" s="173"/>
      <c r="O1100" s="141"/>
      <c r="P1100" s="140"/>
      <c r="Q1100" s="142"/>
      <c r="R1100" s="140"/>
      <c r="S1100" s="142"/>
      <c r="T1100" s="140"/>
    </row>
    <row r="1101" spans="3:20" ht="39.75" customHeight="1">
      <c r="C1101" s="196">
        <v>1098</v>
      </c>
      <c r="D1101" s="127"/>
      <c r="E1101" s="129"/>
      <c r="F1101" s="128"/>
      <c r="G1101" s="129"/>
      <c r="H1101" s="129"/>
      <c r="I1101" s="166"/>
      <c r="J1101" s="180"/>
      <c r="K1101" s="128"/>
      <c r="L1101" s="127"/>
      <c r="M1101" s="168"/>
      <c r="N1101" s="173"/>
      <c r="O1101" s="141"/>
      <c r="P1101" s="140"/>
      <c r="Q1101" s="142"/>
      <c r="R1101" s="140"/>
      <c r="S1101" s="142"/>
      <c r="T1101" s="140"/>
    </row>
    <row r="1102" spans="3:20" ht="39.75" customHeight="1">
      <c r="C1102" s="196">
        <v>1099</v>
      </c>
      <c r="D1102" s="127"/>
      <c r="E1102" s="129"/>
      <c r="F1102" s="128"/>
      <c r="G1102" s="129"/>
      <c r="H1102" s="129"/>
      <c r="I1102" s="166"/>
      <c r="J1102" s="180"/>
      <c r="K1102" s="128"/>
      <c r="L1102" s="127"/>
      <c r="M1102" s="168"/>
      <c r="N1102" s="173"/>
      <c r="O1102" s="141"/>
      <c r="P1102" s="140"/>
      <c r="Q1102" s="142"/>
      <c r="R1102" s="140"/>
      <c r="S1102" s="142"/>
      <c r="T1102" s="140"/>
    </row>
    <row r="1103" spans="3:20" ht="39.75" customHeight="1">
      <c r="C1103" s="196">
        <v>1100</v>
      </c>
      <c r="D1103" s="127"/>
      <c r="E1103" s="129"/>
      <c r="F1103" s="128"/>
      <c r="G1103" s="129"/>
      <c r="H1103" s="129"/>
      <c r="I1103" s="166"/>
      <c r="J1103" s="180"/>
      <c r="K1103" s="128"/>
      <c r="L1103" s="127"/>
      <c r="M1103" s="168"/>
      <c r="N1103" s="173"/>
      <c r="O1103" s="141"/>
      <c r="P1103" s="140"/>
      <c r="Q1103" s="142"/>
      <c r="R1103" s="140"/>
      <c r="S1103" s="142"/>
      <c r="T1103" s="140"/>
    </row>
    <row r="1104" spans="3:20" ht="39.75" customHeight="1">
      <c r="C1104" s="196">
        <v>1101</v>
      </c>
      <c r="D1104" s="127"/>
      <c r="E1104" s="129"/>
      <c r="F1104" s="128"/>
      <c r="G1104" s="129"/>
      <c r="H1104" s="129"/>
      <c r="I1104" s="166"/>
      <c r="J1104" s="180"/>
      <c r="K1104" s="128"/>
      <c r="L1104" s="127"/>
      <c r="M1104" s="168"/>
      <c r="N1104" s="173"/>
      <c r="O1104" s="141"/>
      <c r="P1104" s="140"/>
      <c r="Q1104" s="142"/>
      <c r="R1104" s="140"/>
      <c r="S1104" s="142"/>
      <c r="T1104" s="140"/>
    </row>
    <row r="1105" spans="3:20" ht="39.75" customHeight="1">
      <c r="C1105" s="196">
        <v>1102</v>
      </c>
      <c r="D1105" s="127"/>
      <c r="E1105" s="129"/>
      <c r="F1105" s="128"/>
      <c r="G1105" s="129"/>
      <c r="H1105" s="129"/>
      <c r="I1105" s="166"/>
      <c r="J1105" s="180"/>
      <c r="K1105" s="128"/>
      <c r="L1105" s="127"/>
      <c r="M1105" s="168"/>
      <c r="N1105" s="173"/>
      <c r="O1105" s="141"/>
      <c r="P1105" s="140"/>
      <c r="Q1105" s="142"/>
      <c r="R1105" s="140"/>
      <c r="S1105" s="142"/>
      <c r="T1105" s="140"/>
    </row>
    <row r="1106" spans="3:20" ht="39.75" customHeight="1">
      <c r="C1106" s="196">
        <v>1103</v>
      </c>
      <c r="D1106" s="127"/>
      <c r="E1106" s="129"/>
      <c r="F1106" s="128"/>
      <c r="G1106" s="129"/>
      <c r="H1106" s="129"/>
      <c r="I1106" s="166"/>
      <c r="J1106" s="180"/>
      <c r="K1106" s="128"/>
      <c r="L1106" s="127"/>
      <c r="M1106" s="168"/>
      <c r="N1106" s="173"/>
      <c r="O1106" s="141"/>
      <c r="P1106" s="140"/>
      <c r="Q1106" s="142"/>
      <c r="R1106" s="140"/>
      <c r="S1106" s="142"/>
      <c r="T1106" s="140"/>
    </row>
    <row r="1107" spans="3:20" ht="39.75" customHeight="1">
      <c r="C1107" s="196">
        <v>1104</v>
      </c>
      <c r="D1107" s="127"/>
      <c r="E1107" s="129"/>
      <c r="F1107" s="128"/>
      <c r="G1107" s="129"/>
      <c r="H1107" s="129"/>
      <c r="I1107" s="166"/>
      <c r="J1107" s="180"/>
      <c r="K1107" s="128"/>
      <c r="L1107" s="127"/>
      <c r="M1107" s="168"/>
      <c r="N1107" s="173"/>
      <c r="O1107" s="141"/>
      <c r="P1107" s="140"/>
      <c r="Q1107" s="142"/>
      <c r="R1107" s="140"/>
      <c r="S1107" s="142"/>
      <c r="T1107" s="140"/>
    </row>
    <row r="1108" spans="3:20" ht="39.75" customHeight="1">
      <c r="C1108" s="196">
        <v>1105</v>
      </c>
      <c r="D1108" s="127"/>
      <c r="E1108" s="129"/>
      <c r="F1108" s="128"/>
      <c r="G1108" s="129"/>
      <c r="H1108" s="129"/>
      <c r="I1108" s="166"/>
      <c r="J1108" s="180"/>
      <c r="K1108" s="128"/>
      <c r="L1108" s="127"/>
      <c r="M1108" s="168"/>
      <c r="N1108" s="173"/>
      <c r="O1108" s="141"/>
      <c r="P1108" s="140"/>
      <c r="Q1108" s="142"/>
      <c r="R1108" s="140"/>
      <c r="S1108" s="142"/>
      <c r="T1108" s="140"/>
    </row>
    <row r="1109" spans="3:20" ht="39.75" customHeight="1">
      <c r="C1109" s="196">
        <v>1106</v>
      </c>
      <c r="D1109" s="127"/>
      <c r="E1109" s="129"/>
      <c r="F1109" s="128"/>
      <c r="G1109" s="129"/>
      <c r="H1109" s="129"/>
      <c r="I1109" s="166"/>
      <c r="J1109" s="180"/>
      <c r="K1109" s="128"/>
      <c r="L1109" s="127"/>
      <c r="M1109" s="168"/>
      <c r="N1109" s="173"/>
      <c r="O1109" s="141"/>
      <c r="P1109" s="140"/>
      <c r="Q1109" s="142"/>
      <c r="R1109" s="140"/>
      <c r="S1109" s="142"/>
      <c r="T1109" s="140"/>
    </row>
    <row r="1110" spans="3:20" ht="39.75" customHeight="1">
      <c r="C1110" s="196">
        <v>1107</v>
      </c>
      <c r="D1110" s="127"/>
      <c r="E1110" s="129"/>
      <c r="F1110" s="128"/>
      <c r="G1110" s="129"/>
      <c r="H1110" s="129"/>
      <c r="I1110" s="166"/>
      <c r="J1110" s="180"/>
      <c r="K1110" s="128"/>
      <c r="L1110" s="127"/>
      <c r="M1110" s="168"/>
      <c r="N1110" s="173"/>
      <c r="O1110" s="141"/>
      <c r="P1110" s="140"/>
      <c r="Q1110" s="142"/>
      <c r="R1110" s="140"/>
      <c r="S1110" s="142"/>
      <c r="T1110" s="140"/>
    </row>
    <row r="1111" spans="3:20" ht="39.75" customHeight="1">
      <c r="C1111" s="196">
        <v>1108</v>
      </c>
      <c r="D1111" s="127"/>
      <c r="E1111" s="129"/>
      <c r="F1111" s="128"/>
      <c r="G1111" s="129"/>
      <c r="H1111" s="129"/>
      <c r="I1111" s="166"/>
      <c r="J1111" s="180"/>
      <c r="K1111" s="128"/>
      <c r="L1111" s="127"/>
      <c r="M1111" s="168"/>
      <c r="N1111" s="173"/>
      <c r="O1111" s="141"/>
      <c r="P1111" s="140"/>
      <c r="Q1111" s="142"/>
      <c r="R1111" s="140"/>
      <c r="S1111" s="142"/>
      <c r="T1111" s="140"/>
    </row>
    <row r="1112" spans="3:20" ht="39.75" customHeight="1">
      <c r="C1112" s="196">
        <v>1109</v>
      </c>
      <c r="D1112" s="127"/>
      <c r="E1112" s="129"/>
      <c r="F1112" s="128"/>
      <c r="G1112" s="129"/>
      <c r="H1112" s="129"/>
      <c r="I1112" s="166"/>
      <c r="J1112" s="180"/>
      <c r="K1112" s="128"/>
      <c r="L1112" s="127"/>
      <c r="M1112" s="168"/>
      <c r="N1112" s="173"/>
      <c r="O1112" s="141"/>
      <c r="P1112" s="140"/>
      <c r="Q1112" s="142"/>
      <c r="R1112" s="140"/>
      <c r="S1112" s="142"/>
      <c r="T1112" s="140"/>
    </row>
    <row r="1113" spans="3:20" ht="39.75" customHeight="1">
      <c r="C1113" s="196">
        <v>1110</v>
      </c>
      <c r="D1113" s="127"/>
      <c r="E1113" s="129"/>
      <c r="F1113" s="128"/>
      <c r="G1113" s="129"/>
      <c r="H1113" s="129"/>
      <c r="I1113" s="166"/>
      <c r="J1113" s="180"/>
      <c r="K1113" s="128"/>
      <c r="L1113" s="127"/>
      <c r="M1113" s="168"/>
      <c r="N1113" s="173"/>
      <c r="O1113" s="141"/>
      <c r="P1113" s="140"/>
      <c r="Q1113" s="142"/>
      <c r="R1113" s="140"/>
      <c r="S1113" s="142"/>
      <c r="T1113" s="140"/>
    </row>
    <row r="1114" spans="3:20" ht="39.75" customHeight="1">
      <c r="C1114" s="196">
        <v>1111</v>
      </c>
      <c r="D1114" s="127"/>
      <c r="E1114" s="129"/>
      <c r="F1114" s="128"/>
      <c r="G1114" s="129"/>
      <c r="H1114" s="129"/>
      <c r="I1114" s="166"/>
      <c r="J1114" s="180"/>
      <c r="K1114" s="128"/>
      <c r="L1114" s="127"/>
      <c r="M1114" s="168"/>
      <c r="N1114" s="173"/>
      <c r="O1114" s="141"/>
      <c r="P1114" s="140"/>
      <c r="Q1114" s="142"/>
      <c r="R1114" s="140"/>
      <c r="S1114" s="142"/>
      <c r="T1114" s="140"/>
    </row>
    <row r="1115" spans="3:20" ht="39.75" customHeight="1">
      <c r="C1115" s="196">
        <v>1112</v>
      </c>
      <c r="D1115" s="127"/>
      <c r="E1115" s="129"/>
      <c r="F1115" s="128"/>
      <c r="G1115" s="129"/>
      <c r="H1115" s="129"/>
      <c r="I1115" s="166"/>
      <c r="J1115" s="180"/>
      <c r="K1115" s="128"/>
      <c r="L1115" s="127"/>
      <c r="M1115" s="168"/>
      <c r="N1115" s="173"/>
      <c r="O1115" s="141"/>
      <c r="P1115" s="140"/>
      <c r="Q1115" s="142"/>
      <c r="R1115" s="140"/>
      <c r="S1115" s="142"/>
      <c r="T1115" s="140"/>
    </row>
    <row r="1116" spans="3:20" ht="39.75" customHeight="1">
      <c r="C1116" s="196">
        <v>1113</v>
      </c>
      <c r="D1116" s="127"/>
      <c r="E1116" s="129"/>
      <c r="F1116" s="128"/>
      <c r="G1116" s="129"/>
      <c r="H1116" s="129"/>
      <c r="I1116" s="166"/>
      <c r="J1116" s="180"/>
      <c r="K1116" s="128"/>
      <c r="L1116" s="127"/>
      <c r="M1116" s="168"/>
      <c r="N1116" s="173"/>
      <c r="O1116" s="141"/>
      <c r="P1116" s="140"/>
      <c r="Q1116" s="142"/>
      <c r="R1116" s="140"/>
      <c r="S1116" s="142"/>
      <c r="T1116" s="140"/>
    </row>
    <row r="1117" spans="3:20" ht="39.75" customHeight="1">
      <c r="C1117" s="196">
        <v>1114</v>
      </c>
      <c r="D1117" s="127"/>
      <c r="E1117" s="129"/>
      <c r="F1117" s="128"/>
      <c r="G1117" s="129"/>
      <c r="H1117" s="129"/>
      <c r="I1117" s="166"/>
      <c r="J1117" s="180"/>
      <c r="K1117" s="128"/>
      <c r="L1117" s="127"/>
      <c r="M1117" s="168"/>
      <c r="N1117" s="173"/>
      <c r="O1117" s="141"/>
      <c r="P1117" s="140"/>
      <c r="Q1117" s="142"/>
      <c r="R1117" s="140"/>
      <c r="S1117" s="142"/>
      <c r="T1117" s="140"/>
    </row>
    <row r="1118" spans="3:20" ht="39.75" customHeight="1">
      <c r="C1118" s="196">
        <v>1115</v>
      </c>
      <c r="D1118" s="127"/>
      <c r="E1118" s="129"/>
      <c r="F1118" s="128"/>
      <c r="G1118" s="129"/>
      <c r="H1118" s="129"/>
      <c r="I1118" s="166"/>
      <c r="J1118" s="180"/>
      <c r="K1118" s="128"/>
      <c r="L1118" s="127"/>
      <c r="M1118" s="168"/>
      <c r="N1118" s="173"/>
      <c r="O1118" s="141"/>
      <c r="P1118" s="140"/>
      <c r="Q1118" s="142"/>
      <c r="R1118" s="140"/>
      <c r="S1118" s="142"/>
      <c r="T1118" s="140"/>
    </row>
    <row r="1119" spans="3:20" ht="39.75" customHeight="1">
      <c r="C1119" s="196">
        <v>1116</v>
      </c>
      <c r="D1119" s="127"/>
      <c r="E1119" s="129"/>
      <c r="F1119" s="128"/>
      <c r="G1119" s="129"/>
      <c r="H1119" s="129"/>
      <c r="I1119" s="166"/>
      <c r="J1119" s="180"/>
      <c r="K1119" s="128"/>
      <c r="L1119" s="127"/>
      <c r="M1119" s="168"/>
      <c r="N1119" s="173"/>
      <c r="O1119" s="141"/>
      <c r="P1119" s="140"/>
      <c r="Q1119" s="142"/>
      <c r="R1119" s="140"/>
      <c r="S1119" s="142"/>
      <c r="T1119" s="140"/>
    </row>
    <row r="1120" spans="3:20" ht="39.75" customHeight="1">
      <c r="C1120" s="196">
        <v>1117</v>
      </c>
      <c r="D1120" s="127"/>
      <c r="E1120" s="129"/>
      <c r="F1120" s="128"/>
      <c r="G1120" s="129"/>
      <c r="H1120" s="129"/>
      <c r="I1120" s="166"/>
      <c r="J1120" s="180"/>
      <c r="K1120" s="128"/>
      <c r="L1120" s="127"/>
      <c r="M1120" s="168"/>
      <c r="N1120" s="173"/>
      <c r="O1120" s="141"/>
      <c r="P1120" s="140"/>
      <c r="Q1120" s="142"/>
      <c r="R1120" s="140"/>
      <c r="S1120" s="142"/>
      <c r="T1120" s="140"/>
    </row>
    <row r="1121" spans="3:20" ht="39.75" customHeight="1">
      <c r="C1121" s="196">
        <v>1118</v>
      </c>
      <c r="D1121" s="127"/>
      <c r="E1121" s="129"/>
      <c r="F1121" s="128"/>
      <c r="G1121" s="129"/>
      <c r="H1121" s="129"/>
      <c r="I1121" s="166"/>
      <c r="J1121" s="180"/>
      <c r="K1121" s="128"/>
      <c r="L1121" s="127"/>
      <c r="M1121" s="168"/>
      <c r="N1121" s="173"/>
      <c r="O1121" s="141"/>
      <c r="P1121" s="140"/>
      <c r="Q1121" s="142"/>
      <c r="R1121" s="140"/>
      <c r="S1121" s="142"/>
      <c r="T1121" s="140"/>
    </row>
    <row r="1122" spans="3:20" ht="39.75" customHeight="1">
      <c r="C1122" s="196">
        <v>1119</v>
      </c>
      <c r="D1122" s="127"/>
      <c r="E1122" s="129"/>
      <c r="F1122" s="128"/>
      <c r="G1122" s="129"/>
      <c r="H1122" s="129"/>
      <c r="I1122" s="166"/>
      <c r="J1122" s="180"/>
      <c r="K1122" s="128"/>
      <c r="L1122" s="127"/>
      <c r="M1122" s="168"/>
      <c r="N1122" s="173"/>
      <c r="O1122" s="141"/>
      <c r="P1122" s="140"/>
      <c r="Q1122" s="142"/>
      <c r="R1122" s="140"/>
      <c r="S1122" s="142"/>
      <c r="T1122" s="140"/>
    </row>
    <row r="1123" spans="3:20" ht="39.75" customHeight="1">
      <c r="C1123" s="196">
        <v>1120</v>
      </c>
      <c r="D1123" s="127"/>
      <c r="E1123" s="129"/>
      <c r="F1123" s="128"/>
      <c r="G1123" s="129"/>
      <c r="H1123" s="129"/>
      <c r="I1123" s="166"/>
      <c r="J1123" s="180"/>
      <c r="K1123" s="128"/>
      <c r="L1123" s="127"/>
      <c r="M1123" s="168"/>
      <c r="N1123" s="173"/>
      <c r="O1123" s="141"/>
      <c r="P1123" s="140"/>
      <c r="Q1123" s="142"/>
      <c r="R1123" s="140"/>
      <c r="S1123" s="142"/>
      <c r="T1123" s="140"/>
    </row>
    <row r="1124" spans="3:20" ht="39.75" customHeight="1">
      <c r="C1124" s="196">
        <v>1121</v>
      </c>
      <c r="D1124" s="127"/>
      <c r="E1124" s="129"/>
      <c r="F1124" s="128"/>
      <c r="G1124" s="129"/>
      <c r="H1124" s="129"/>
      <c r="I1124" s="166"/>
      <c r="J1124" s="180"/>
      <c r="K1124" s="128"/>
      <c r="L1124" s="127"/>
      <c r="M1124" s="168"/>
      <c r="N1124" s="173"/>
      <c r="O1124" s="141"/>
      <c r="P1124" s="140"/>
      <c r="Q1124" s="142"/>
      <c r="R1124" s="140"/>
      <c r="S1124" s="142"/>
      <c r="T1124" s="140"/>
    </row>
    <row r="1125" spans="3:20" ht="39.75" customHeight="1">
      <c r="C1125" s="196">
        <v>1122</v>
      </c>
      <c r="D1125" s="127"/>
      <c r="E1125" s="129"/>
      <c r="F1125" s="128"/>
      <c r="G1125" s="129"/>
      <c r="H1125" s="129"/>
      <c r="I1125" s="166"/>
      <c r="J1125" s="180"/>
      <c r="K1125" s="128"/>
      <c r="L1125" s="127"/>
      <c r="M1125" s="168"/>
      <c r="N1125" s="173"/>
      <c r="O1125" s="141"/>
      <c r="P1125" s="140"/>
      <c r="Q1125" s="142"/>
      <c r="R1125" s="140"/>
      <c r="S1125" s="142"/>
      <c r="T1125" s="140"/>
    </row>
    <row r="1126" spans="3:20" ht="39.75" customHeight="1">
      <c r="C1126" s="196">
        <v>1123</v>
      </c>
      <c r="D1126" s="127"/>
      <c r="E1126" s="129"/>
      <c r="F1126" s="128"/>
      <c r="G1126" s="129"/>
      <c r="H1126" s="129"/>
      <c r="I1126" s="166"/>
      <c r="J1126" s="180"/>
      <c r="K1126" s="128"/>
      <c r="L1126" s="127"/>
      <c r="M1126" s="168"/>
      <c r="N1126" s="173"/>
      <c r="O1126" s="141"/>
      <c r="P1126" s="140"/>
      <c r="Q1126" s="142"/>
      <c r="R1126" s="140"/>
      <c r="S1126" s="142"/>
      <c r="T1126" s="140"/>
    </row>
    <row r="1127" spans="3:20" ht="39.75" customHeight="1">
      <c r="C1127" s="196">
        <v>1124</v>
      </c>
      <c r="D1127" s="127"/>
      <c r="E1127" s="129"/>
      <c r="F1127" s="128"/>
      <c r="G1127" s="129"/>
      <c r="H1127" s="129"/>
      <c r="I1127" s="166"/>
      <c r="J1127" s="180"/>
      <c r="K1127" s="128"/>
      <c r="L1127" s="127"/>
      <c r="M1127" s="168"/>
      <c r="N1127" s="173"/>
      <c r="O1127" s="141"/>
      <c r="P1127" s="140"/>
      <c r="Q1127" s="142"/>
      <c r="R1127" s="140"/>
      <c r="S1127" s="142"/>
      <c r="T1127" s="140"/>
    </row>
    <row r="1128" spans="3:20" ht="39.75" customHeight="1">
      <c r="C1128" s="196">
        <v>1125</v>
      </c>
      <c r="D1128" s="127"/>
      <c r="E1128" s="129"/>
      <c r="F1128" s="128"/>
      <c r="G1128" s="129"/>
      <c r="H1128" s="129"/>
      <c r="I1128" s="166"/>
      <c r="J1128" s="180"/>
      <c r="K1128" s="128"/>
      <c r="L1128" s="127"/>
      <c r="M1128" s="168"/>
      <c r="N1128" s="173"/>
      <c r="O1128" s="141"/>
      <c r="P1128" s="140"/>
      <c r="Q1128" s="142"/>
      <c r="R1128" s="140"/>
      <c r="S1128" s="142"/>
      <c r="T1128" s="140"/>
    </row>
    <row r="1129" spans="3:20" ht="39.75" customHeight="1">
      <c r="C1129" s="196">
        <v>1126</v>
      </c>
      <c r="D1129" s="127"/>
      <c r="E1129" s="129"/>
      <c r="F1129" s="128"/>
      <c r="G1129" s="129"/>
      <c r="H1129" s="129"/>
      <c r="I1129" s="166"/>
      <c r="J1129" s="180"/>
      <c r="K1129" s="128"/>
      <c r="L1129" s="127"/>
      <c r="M1129" s="168"/>
      <c r="N1129" s="173"/>
      <c r="O1129" s="141"/>
      <c r="P1129" s="140"/>
      <c r="Q1129" s="142"/>
      <c r="R1129" s="140"/>
      <c r="S1129" s="142"/>
      <c r="T1129" s="140"/>
    </row>
    <row r="1130" spans="3:20" ht="39.75" customHeight="1">
      <c r="C1130" s="196">
        <v>1127</v>
      </c>
      <c r="D1130" s="127"/>
      <c r="E1130" s="129"/>
      <c r="F1130" s="128"/>
      <c r="G1130" s="129"/>
      <c r="H1130" s="129"/>
      <c r="I1130" s="166"/>
      <c r="J1130" s="180"/>
      <c r="K1130" s="128"/>
      <c r="L1130" s="127"/>
      <c r="M1130" s="168"/>
      <c r="N1130" s="173"/>
      <c r="O1130" s="141"/>
      <c r="P1130" s="140"/>
      <c r="Q1130" s="142"/>
      <c r="R1130" s="140"/>
      <c r="S1130" s="142"/>
      <c r="T1130" s="140"/>
    </row>
    <row r="1131" spans="3:20" ht="39.75" customHeight="1">
      <c r="C1131" s="196">
        <v>1128</v>
      </c>
      <c r="D1131" s="127"/>
      <c r="E1131" s="129"/>
      <c r="F1131" s="128"/>
      <c r="G1131" s="129"/>
      <c r="H1131" s="129"/>
      <c r="I1131" s="166"/>
      <c r="J1131" s="180"/>
      <c r="K1131" s="128"/>
      <c r="L1131" s="127"/>
      <c r="M1131" s="168"/>
      <c r="N1131" s="173"/>
      <c r="O1131" s="141"/>
      <c r="P1131" s="140"/>
      <c r="Q1131" s="142"/>
      <c r="R1131" s="140"/>
      <c r="S1131" s="142"/>
      <c r="T1131" s="140"/>
    </row>
    <row r="1132" spans="3:20" ht="39.75" customHeight="1">
      <c r="C1132" s="196">
        <v>1129</v>
      </c>
      <c r="D1132" s="127"/>
      <c r="E1132" s="129"/>
      <c r="F1132" s="128"/>
      <c r="G1132" s="129"/>
      <c r="H1132" s="129"/>
      <c r="I1132" s="166"/>
      <c r="J1132" s="180"/>
      <c r="K1132" s="128"/>
      <c r="L1132" s="127"/>
      <c r="M1132" s="168"/>
      <c r="N1132" s="173"/>
      <c r="O1132" s="141"/>
      <c r="P1132" s="140"/>
      <c r="Q1132" s="142"/>
      <c r="R1132" s="140"/>
      <c r="S1132" s="142"/>
      <c r="T1132" s="140"/>
    </row>
    <row r="1133" spans="3:20" ht="39.75" customHeight="1">
      <c r="C1133" s="196">
        <v>1130</v>
      </c>
      <c r="D1133" s="127"/>
      <c r="E1133" s="129"/>
      <c r="F1133" s="128"/>
      <c r="G1133" s="129"/>
      <c r="H1133" s="129"/>
      <c r="I1133" s="166"/>
      <c r="J1133" s="180"/>
      <c r="K1133" s="128"/>
      <c r="L1133" s="127"/>
      <c r="M1133" s="168"/>
      <c r="N1133" s="173"/>
      <c r="O1133" s="141"/>
      <c r="P1133" s="140"/>
      <c r="Q1133" s="142"/>
      <c r="R1133" s="140"/>
      <c r="S1133" s="142"/>
      <c r="T1133" s="140"/>
    </row>
    <row r="1134" spans="3:20" ht="39.75" customHeight="1">
      <c r="C1134" s="196">
        <v>1131</v>
      </c>
      <c r="D1134" s="127"/>
      <c r="E1134" s="129"/>
      <c r="F1134" s="128"/>
      <c r="G1134" s="129"/>
      <c r="H1134" s="129"/>
      <c r="I1134" s="166"/>
      <c r="J1134" s="180"/>
      <c r="K1134" s="128"/>
      <c r="L1134" s="127"/>
      <c r="M1134" s="168"/>
      <c r="N1134" s="173"/>
      <c r="O1134" s="141"/>
      <c r="P1134" s="140"/>
      <c r="Q1134" s="142"/>
      <c r="R1134" s="140"/>
      <c r="S1134" s="142"/>
      <c r="T1134" s="140"/>
    </row>
    <row r="1135" spans="3:20" ht="39.75" customHeight="1">
      <c r="C1135" s="196">
        <v>1132</v>
      </c>
      <c r="D1135" s="127"/>
      <c r="E1135" s="129"/>
      <c r="F1135" s="128"/>
      <c r="G1135" s="129"/>
      <c r="H1135" s="129"/>
      <c r="I1135" s="166"/>
      <c r="J1135" s="180"/>
      <c r="K1135" s="128"/>
      <c r="L1135" s="127"/>
      <c r="M1135" s="168"/>
      <c r="N1135" s="173"/>
      <c r="O1135" s="141"/>
      <c r="P1135" s="140"/>
      <c r="Q1135" s="142"/>
      <c r="R1135" s="140"/>
      <c r="S1135" s="142"/>
      <c r="T1135" s="140"/>
    </row>
    <row r="1136" spans="3:20" ht="39.75" customHeight="1">
      <c r="C1136" s="196">
        <v>1133</v>
      </c>
      <c r="D1136" s="127"/>
      <c r="E1136" s="129"/>
      <c r="F1136" s="128"/>
      <c r="G1136" s="129"/>
      <c r="H1136" s="129"/>
      <c r="I1136" s="166"/>
      <c r="J1136" s="180"/>
      <c r="K1136" s="128"/>
      <c r="L1136" s="127"/>
      <c r="M1136" s="168"/>
      <c r="N1136" s="173"/>
      <c r="O1136" s="141"/>
      <c r="P1136" s="140"/>
      <c r="Q1136" s="142"/>
      <c r="R1136" s="140"/>
      <c r="S1136" s="142"/>
      <c r="T1136" s="140"/>
    </row>
    <row r="1137" spans="3:20" ht="39.75" customHeight="1">
      <c r="C1137" s="196">
        <v>1134</v>
      </c>
      <c r="D1137" s="127"/>
      <c r="E1137" s="129"/>
      <c r="F1137" s="128"/>
      <c r="G1137" s="129"/>
      <c r="H1137" s="129"/>
      <c r="I1137" s="166"/>
      <c r="J1137" s="180"/>
      <c r="K1137" s="128"/>
      <c r="L1137" s="127"/>
      <c r="M1137" s="168"/>
      <c r="N1137" s="173"/>
      <c r="O1137" s="141"/>
      <c r="P1137" s="140"/>
      <c r="Q1137" s="142"/>
      <c r="R1137" s="140"/>
      <c r="S1137" s="142"/>
      <c r="T1137" s="140"/>
    </row>
    <row r="1138" spans="3:20" ht="39.75" customHeight="1">
      <c r="C1138" s="196">
        <v>1135</v>
      </c>
      <c r="D1138" s="127"/>
      <c r="E1138" s="129"/>
      <c r="F1138" s="128"/>
      <c r="G1138" s="129"/>
      <c r="H1138" s="129"/>
      <c r="I1138" s="166"/>
      <c r="J1138" s="180"/>
      <c r="K1138" s="128"/>
      <c r="L1138" s="127"/>
      <c r="M1138" s="168"/>
      <c r="N1138" s="173"/>
      <c r="O1138" s="141"/>
      <c r="P1138" s="140"/>
      <c r="Q1138" s="142"/>
      <c r="R1138" s="140"/>
      <c r="S1138" s="142"/>
      <c r="T1138" s="140"/>
    </row>
    <row r="1139" spans="3:20" ht="39.75" customHeight="1">
      <c r="C1139" s="196">
        <v>1136</v>
      </c>
      <c r="D1139" s="127"/>
      <c r="E1139" s="129"/>
      <c r="F1139" s="128"/>
      <c r="G1139" s="129"/>
      <c r="H1139" s="129"/>
      <c r="I1139" s="166"/>
      <c r="J1139" s="180"/>
      <c r="K1139" s="128"/>
      <c r="L1139" s="127"/>
      <c r="M1139" s="168"/>
      <c r="N1139" s="173"/>
      <c r="O1139" s="141"/>
      <c r="P1139" s="140"/>
      <c r="Q1139" s="142"/>
      <c r="R1139" s="140"/>
      <c r="S1139" s="142"/>
      <c r="T1139" s="140"/>
    </row>
    <row r="1140" spans="3:20" ht="39.75" customHeight="1">
      <c r="C1140" s="196">
        <v>1137</v>
      </c>
      <c r="D1140" s="127"/>
      <c r="E1140" s="129"/>
      <c r="F1140" s="128"/>
      <c r="G1140" s="129"/>
      <c r="H1140" s="129"/>
      <c r="I1140" s="166"/>
      <c r="J1140" s="180"/>
      <c r="K1140" s="128"/>
      <c r="L1140" s="127"/>
      <c r="M1140" s="168"/>
      <c r="N1140" s="173"/>
      <c r="O1140" s="141"/>
      <c r="P1140" s="140"/>
      <c r="Q1140" s="142"/>
      <c r="R1140" s="140"/>
      <c r="S1140" s="142"/>
      <c r="T1140" s="140"/>
    </row>
    <row r="1141" spans="3:20" ht="39.75" customHeight="1">
      <c r="C1141" s="196">
        <v>1138</v>
      </c>
      <c r="D1141" s="127"/>
      <c r="E1141" s="129"/>
      <c r="F1141" s="128"/>
      <c r="G1141" s="129"/>
      <c r="H1141" s="129"/>
      <c r="I1141" s="166"/>
      <c r="J1141" s="180"/>
      <c r="K1141" s="128"/>
      <c r="L1141" s="127"/>
      <c r="M1141" s="168"/>
      <c r="N1141" s="173"/>
      <c r="O1141" s="141"/>
      <c r="P1141" s="140"/>
      <c r="Q1141" s="142"/>
      <c r="R1141" s="140"/>
      <c r="S1141" s="142"/>
      <c r="T1141" s="140"/>
    </row>
    <row r="1142" spans="3:20" ht="39.75" customHeight="1">
      <c r="C1142" s="196">
        <v>1139</v>
      </c>
      <c r="D1142" s="127"/>
      <c r="E1142" s="129"/>
      <c r="F1142" s="128"/>
      <c r="G1142" s="129"/>
      <c r="H1142" s="129"/>
      <c r="I1142" s="166"/>
      <c r="J1142" s="180"/>
      <c r="K1142" s="128"/>
      <c r="L1142" s="127"/>
      <c r="M1142" s="168"/>
      <c r="N1142" s="173"/>
      <c r="O1142" s="141"/>
      <c r="P1142" s="140"/>
      <c r="Q1142" s="142"/>
      <c r="R1142" s="140"/>
      <c r="S1142" s="142"/>
      <c r="T1142" s="140"/>
    </row>
    <row r="1143" spans="3:20" ht="39.75" customHeight="1">
      <c r="C1143" s="196">
        <v>1140</v>
      </c>
      <c r="D1143" s="127"/>
      <c r="E1143" s="129"/>
      <c r="F1143" s="128"/>
      <c r="G1143" s="129"/>
      <c r="H1143" s="129"/>
      <c r="I1143" s="166"/>
      <c r="J1143" s="180"/>
      <c r="K1143" s="128"/>
      <c r="L1143" s="127"/>
      <c r="M1143" s="168"/>
      <c r="N1143" s="173"/>
      <c r="O1143" s="141"/>
      <c r="P1143" s="140"/>
      <c r="Q1143" s="142"/>
      <c r="R1143" s="140"/>
      <c r="S1143" s="142"/>
      <c r="T1143" s="140"/>
    </row>
    <row r="1144" spans="3:20" ht="39.75" customHeight="1">
      <c r="C1144" s="196">
        <v>1141</v>
      </c>
      <c r="D1144" s="127"/>
      <c r="E1144" s="129"/>
      <c r="F1144" s="128"/>
      <c r="G1144" s="129"/>
      <c r="H1144" s="129"/>
      <c r="I1144" s="166"/>
      <c r="J1144" s="180"/>
      <c r="K1144" s="128"/>
      <c r="L1144" s="127"/>
      <c r="M1144" s="168"/>
      <c r="N1144" s="173"/>
      <c r="O1144" s="141"/>
      <c r="P1144" s="140"/>
      <c r="Q1144" s="142"/>
      <c r="R1144" s="140"/>
      <c r="S1144" s="142"/>
      <c r="T1144" s="140"/>
    </row>
    <row r="1145" spans="3:20" ht="39.75" customHeight="1">
      <c r="C1145" s="196">
        <v>1142</v>
      </c>
      <c r="D1145" s="127"/>
      <c r="E1145" s="129"/>
      <c r="F1145" s="128"/>
      <c r="G1145" s="129"/>
      <c r="H1145" s="129"/>
      <c r="I1145" s="166"/>
      <c r="J1145" s="180"/>
      <c r="K1145" s="128"/>
      <c r="L1145" s="127"/>
      <c r="M1145" s="168"/>
      <c r="N1145" s="173"/>
      <c r="O1145" s="141"/>
      <c r="P1145" s="140"/>
      <c r="Q1145" s="142"/>
      <c r="R1145" s="140"/>
      <c r="S1145" s="142"/>
      <c r="T1145" s="140"/>
    </row>
    <row r="1146" spans="3:20" ht="39.75" customHeight="1">
      <c r="C1146" s="196">
        <v>1143</v>
      </c>
      <c r="D1146" s="127"/>
      <c r="E1146" s="129"/>
      <c r="F1146" s="128"/>
      <c r="G1146" s="129"/>
      <c r="H1146" s="129"/>
      <c r="I1146" s="166"/>
      <c r="J1146" s="180"/>
      <c r="K1146" s="128"/>
      <c r="L1146" s="127"/>
      <c r="M1146" s="168"/>
      <c r="N1146" s="173"/>
      <c r="O1146" s="141"/>
      <c r="P1146" s="140"/>
      <c r="Q1146" s="142"/>
      <c r="R1146" s="140"/>
      <c r="S1146" s="142"/>
      <c r="T1146" s="140"/>
    </row>
    <row r="1147" spans="3:20" ht="39.75" customHeight="1">
      <c r="C1147" s="196">
        <v>1144</v>
      </c>
      <c r="D1147" s="127"/>
      <c r="E1147" s="129"/>
      <c r="F1147" s="128"/>
      <c r="G1147" s="129"/>
      <c r="H1147" s="129"/>
      <c r="I1147" s="166"/>
      <c r="J1147" s="180"/>
      <c r="K1147" s="128"/>
      <c r="L1147" s="127"/>
      <c r="M1147" s="168"/>
      <c r="N1147" s="173"/>
      <c r="O1147" s="141"/>
      <c r="P1147" s="140"/>
      <c r="Q1147" s="142"/>
      <c r="R1147" s="140"/>
      <c r="S1147" s="142"/>
      <c r="T1147" s="140"/>
    </row>
    <row r="1148" spans="3:20" ht="39.75" customHeight="1">
      <c r="C1148" s="196">
        <v>1145</v>
      </c>
      <c r="D1148" s="127"/>
      <c r="E1148" s="129"/>
      <c r="F1148" s="128"/>
      <c r="G1148" s="129"/>
      <c r="H1148" s="129"/>
      <c r="I1148" s="166"/>
      <c r="J1148" s="180"/>
      <c r="K1148" s="128"/>
      <c r="L1148" s="127"/>
      <c r="M1148" s="168"/>
      <c r="N1148" s="173"/>
      <c r="O1148" s="141"/>
      <c r="P1148" s="140"/>
      <c r="Q1148" s="142"/>
      <c r="R1148" s="140"/>
      <c r="S1148" s="142"/>
      <c r="T1148" s="140"/>
    </row>
    <row r="1149" spans="3:20" ht="39.75" customHeight="1">
      <c r="C1149" s="196">
        <v>1146</v>
      </c>
      <c r="D1149" s="127"/>
      <c r="E1149" s="129"/>
      <c r="F1149" s="128"/>
      <c r="G1149" s="129"/>
      <c r="H1149" s="129"/>
      <c r="I1149" s="166"/>
      <c r="J1149" s="180"/>
      <c r="K1149" s="128"/>
      <c r="L1149" s="127"/>
      <c r="M1149" s="168"/>
      <c r="N1149" s="173"/>
      <c r="O1149" s="141"/>
      <c r="P1149" s="140"/>
      <c r="Q1149" s="142"/>
      <c r="R1149" s="140"/>
      <c r="S1149" s="142"/>
      <c r="T1149" s="140"/>
    </row>
    <row r="1150" spans="3:20" ht="39.75" customHeight="1">
      <c r="C1150" s="196">
        <v>1147</v>
      </c>
      <c r="D1150" s="127"/>
      <c r="E1150" s="129"/>
      <c r="F1150" s="128"/>
      <c r="G1150" s="129"/>
      <c r="H1150" s="129"/>
      <c r="I1150" s="166"/>
      <c r="J1150" s="180"/>
      <c r="K1150" s="128"/>
      <c r="L1150" s="127"/>
      <c r="M1150" s="168"/>
      <c r="N1150" s="173"/>
      <c r="O1150" s="141"/>
      <c r="P1150" s="140"/>
      <c r="Q1150" s="142"/>
      <c r="R1150" s="140"/>
      <c r="S1150" s="142"/>
      <c r="T1150" s="140"/>
    </row>
    <row r="1151" spans="3:20" ht="39.75" customHeight="1">
      <c r="C1151" s="196">
        <v>1148</v>
      </c>
      <c r="D1151" s="127"/>
      <c r="E1151" s="129"/>
      <c r="F1151" s="128"/>
      <c r="G1151" s="129"/>
      <c r="H1151" s="129"/>
      <c r="I1151" s="166"/>
      <c r="J1151" s="180"/>
      <c r="K1151" s="128"/>
      <c r="L1151" s="127"/>
      <c r="M1151" s="168"/>
      <c r="N1151" s="173"/>
      <c r="O1151" s="141"/>
      <c r="P1151" s="140"/>
      <c r="Q1151" s="142"/>
      <c r="R1151" s="140"/>
      <c r="S1151" s="142"/>
      <c r="T1151" s="140"/>
    </row>
    <row r="1152" spans="3:20" ht="39.75" customHeight="1">
      <c r="C1152" s="196">
        <v>1149</v>
      </c>
      <c r="D1152" s="127"/>
      <c r="E1152" s="129"/>
      <c r="F1152" s="128"/>
      <c r="G1152" s="129"/>
      <c r="H1152" s="129"/>
      <c r="I1152" s="166"/>
      <c r="J1152" s="180"/>
      <c r="K1152" s="128"/>
      <c r="L1152" s="127"/>
      <c r="M1152" s="168"/>
      <c r="N1152" s="173"/>
      <c r="O1152" s="141"/>
      <c r="P1152" s="140"/>
      <c r="Q1152" s="142"/>
      <c r="R1152" s="140"/>
      <c r="S1152" s="142"/>
      <c r="T1152" s="140"/>
    </row>
    <row r="1153" spans="3:20" ht="39.75" customHeight="1">
      <c r="C1153" s="196">
        <v>1150</v>
      </c>
      <c r="D1153" s="127"/>
      <c r="E1153" s="129"/>
      <c r="F1153" s="128"/>
      <c r="G1153" s="129"/>
      <c r="H1153" s="129"/>
      <c r="I1153" s="166"/>
      <c r="J1153" s="180"/>
      <c r="K1153" s="128"/>
      <c r="L1153" s="127"/>
      <c r="M1153" s="168"/>
      <c r="N1153" s="173"/>
      <c r="O1153" s="141"/>
      <c r="P1153" s="140"/>
      <c r="Q1153" s="142"/>
      <c r="R1153" s="140"/>
      <c r="S1153" s="142"/>
      <c r="T1153" s="140"/>
    </row>
    <row r="1154" spans="3:20" ht="39.75" customHeight="1">
      <c r="C1154" s="196">
        <v>1151</v>
      </c>
      <c r="D1154" s="127"/>
      <c r="E1154" s="129"/>
      <c r="F1154" s="128"/>
      <c r="G1154" s="129"/>
      <c r="H1154" s="129"/>
      <c r="I1154" s="166"/>
      <c r="J1154" s="180"/>
      <c r="K1154" s="128"/>
      <c r="L1154" s="127"/>
      <c r="M1154" s="168"/>
      <c r="N1154" s="173"/>
      <c r="O1154" s="141"/>
      <c r="P1154" s="140"/>
      <c r="Q1154" s="142"/>
      <c r="R1154" s="140"/>
      <c r="S1154" s="142"/>
      <c r="T1154" s="140"/>
    </row>
    <row r="1155" spans="3:20" ht="39.75" customHeight="1">
      <c r="C1155" s="196">
        <v>1152</v>
      </c>
      <c r="D1155" s="127"/>
      <c r="E1155" s="129"/>
      <c r="F1155" s="128"/>
      <c r="G1155" s="129"/>
      <c r="H1155" s="129"/>
      <c r="I1155" s="166"/>
      <c r="J1155" s="180"/>
      <c r="K1155" s="128"/>
      <c r="L1155" s="127"/>
      <c r="M1155" s="168"/>
      <c r="N1155" s="173"/>
      <c r="O1155" s="141"/>
      <c r="P1155" s="140"/>
      <c r="Q1155" s="142"/>
      <c r="R1155" s="140"/>
      <c r="S1155" s="142"/>
      <c r="T1155" s="140"/>
    </row>
    <row r="1156" spans="3:20" ht="39.75" customHeight="1">
      <c r="C1156" s="196">
        <v>1153</v>
      </c>
      <c r="D1156" s="127"/>
      <c r="E1156" s="129"/>
      <c r="F1156" s="128"/>
      <c r="G1156" s="129"/>
      <c r="H1156" s="129"/>
      <c r="I1156" s="166"/>
      <c r="J1156" s="180"/>
      <c r="K1156" s="128"/>
      <c r="L1156" s="127"/>
      <c r="M1156" s="168"/>
      <c r="N1156" s="173"/>
      <c r="O1156" s="141"/>
      <c r="P1156" s="140"/>
      <c r="Q1156" s="142"/>
      <c r="R1156" s="140"/>
      <c r="S1156" s="142"/>
      <c r="T1156" s="140"/>
    </row>
    <row r="1157" spans="3:20" ht="39.75" customHeight="1">
      <c r="C1157" s="196">
        <v>1154</v>
      </c>
      <c r="D1157" s="127"/>
      <c r="E1157" s="129"/>
      <c r="F1157" s="128"/>
      <c r="G1157" s="129"/>
      <c r="H1157" s="129"/>
      <c r="I1157" s="166"/>
      <c r="J1157" s="180"/>
      <c r="K1157" s="128"/>
      <c r="L1157" s="127"/>
      <c r="M1157" s="168"/>
      <c r="N1157" s="173"/>
      <c r="O1157" s="141"/>
      <c r="P1157" s="140"/>
      <c r="Q1157" s="142"/>
      <c r="R1157" s="140"/>
      <c r="S1157" s="142"/>
      <c r="T1157" s="140"/>
    </row>
    <row r="1158" spans="3:20" ht="39.75" customHeight="1">
      <c r="C1158" s="196">
        <v>1155</v>
      </c>
      <c r="D1158" s="127"/>
      <c r="E1158" s="129"/>
      <c r="F1158" s="128"/>
      <c r="G1158" s="129"/>
      <c r="H1158" s="129"/>
      <c r="I1158" s="166"/>
      <c r="J1158" s="180"/>
      <c r="K1158" s="128"/>
      <c r="L1158" s="127"/>
      <c r="M1158" s="168"/>
      <c r="N1158" s="173"/>
      <c r="O1158" s="141"/>
      <c r="P1158" s="140"/>
      <c r="Q1158" s="142"/>
      <c r="R1158" s="140"/>
      <c r="S1158" s="142"/>
      <c r="T1158" s="140"/>
    </row>
    <row r="1159" spans="3:20" ht="39.75" customHeight="1">
      <c r="C1159" s="196">
        <v>1156</v>
      </c>
      <c r="D1159" s="127"/>
      <c r="E1159" s="129"/>
      <c r="F1159" s="128"/>
      <c r="G1159" s="129"/>
      <c r="H1159" s="129"/>
      <c r="I1159" s="166"/>
      <c r="J1159" s="180"/>
      <c r="K1159" s="128"/>
      <c r="L1159" s="127"/>
      <c r="M1159" s="168"/>
      <c r="N1159" s="173"/>
      <c r="O1159" s="141"/>
      <c r="P1159" s="140"/>
      <c r="Q1159" s="142"/>
      <c r="R1159" s="140"/>
      <c r="S1159" s="142"/>
      <c r="T1159" s="140"/>
    </row>
    <row r="1160" spans="3:20" ht="39.75" customHeight="1">
      <c r="C1160" s="196">
        <v>1157</v>
      </c>
      <c r="D1160" s="127"/>
      <c r="E1160" s="129"/>
      <c r="F1160" s="128"/>
      <c r="G1160" s="129"/>
      <c r="H1160" s="129"/>
      <c r="I1160" s="166"/>
      <c r="J1160" s="180"/>
      <c r="K1160" s="128"/>
      <c r="L1160" s="127"/>
      <c r="M1160" s="168"/>
      <c r="N1160" s="173"/>
      <c r="O1160" s="141"/>
      <c r="P1160" s="140"/>
      <c r="Q1160" s="142"/>
      <c r="R1160" s="140"/>
      <c r="S1160" s="142"/>
      <c r="T1160" s="140"/>
    </row>
    <row r="1161" spans="3:20" ht="39.75" customHeight="1">
      <c r="C1161" s="196">
        <v>1158</v>
      </c>
      <c r="D1161" s="127"/>
      <c r="E1161" s="129"/>
      <c r="F1161" s="128"/>
      <c r="G1161" s="129"/>
      <c r="H1161" s="129"/>
      <c r="I1161" s="166"/>
      <c r="J1161" s="180"/>
      <c r="K1161" s="128"/>
      <c r="L1161" s="127"/>
      <c r="M1161" s="168"/>
      <c r="N1161" s="173"/>
      <c r="O1161" s="141"/>
      <c r="P1161" s="140"/>
      <c r="Q1161" s="142"/>
      <c r="R1161" s="140"/>
      <c r="S1161" s="142"/>
      <c r="T1161" s="140"/>
    </row>
    <row r="1162" spans="3:20" ht="39.75" customHeight="1">
      <c r="C1162" s="196">
        <v>1159</v>
      </c>
      <c r="D1162" s="127"/>
      <c r="E1162" s="129"/>
      <c r="F1162" s="128"/>
      <c r="G1162" s="129"/>
      <c r="H1162" s="129"/>
      <c r="I1162" s="166"/>
      <c r="J1162" s="180"/>
      <c r="K1162" s="128"/>
      <c r="L1162" s="127"/>
      <c r="M1162" s="168"/>
      <c r="N1162" s="173"/>
      <c r="O1162" s="141"/>
      <c r="P1162" s="140"/>
      <c r="Q1162" s="142"/>
      <c r="R1162" s="140"/>
      <c r="S1162" s="142"/>
      <c r="T1162" s="140"/>
    </row>
    <row r="1163" spans="3:20" ht="39.75" customHeight="1">
      <c r="C1163" s="196">
        <v>1160</v>
      </c>
      <c r="D1163" s="127"/>
      <c r="E1163" s="129"/>
      <c r="F1163" s="128"/>
      <c r="G1163" s="129"/>
      <c r="H1163" s="129"/>
      <c r="I1163" s="166"/>
      <c r="J1163" s="180"/>
      <c r="K1163" s="128"/>
      <c r="L1163" s="127"/>
      <c r="M1163" s="168"/>
      <c r="N1163" s="173"/>
      <c r="O1163" s="141"/>
      <c r="P1163" s="140"/>
      <c r="Q1163" s="142"/>
      <c r="R1163" s="140"/>
      <c r="S1163" s="142"/>
      <c r="T1163" s="140"/>
    </row>
    <row r="1164" spans="3:20" ht="39.75" customHeight="1">
      <c r="C1164" s="196">
        <v>1161</v>
      </c>
      <c r="D1164" s="127"/>
      <c r="E1164" s="129"/>
      <c r="F1164" s="128"/>
      <c r="G1164" s="129"/>
      <c r="H1164" s="129"/>
      <c r="I1164" s="166"/>
      <c r="J1164" s="180"/>
      <c r="K1164" s="128"/>
      <c r="L1164" s="127"/>
      <c r="M1164" s="168"/>
      <c r="N1164" s="173"/>
      <c r="O1164" s="141"/>
      <c r="P1164" s="140"/>
      <c r="Q1164" s="142"/>
      <c r="R1164" s="140"/>
      <c r="S1164" s="142"/>
      <c r="T1164" s="140"/>
    </row>
    <row r="1165" spans="3:20" ht="39.75" customHeight="1">
      <c r="C1165" s="196">
        <v>1162</v>
      </c>
      <c r="D1165" s="127"/>
      <c r="E1165" s="129"/>
      <c r="F1165" s="128"/>
      <c r="G1165" s="129"/>
      <c r="H1165" s="129"/>
      <c r="I1165" s="166"/>
      <c r="J1165" s="180"/>
      <c r="K1165" s="128"/>
      <c r="L1165" s="127"/>
      <c r="M1165" s="168"/>
      <c r="N1165" s="173"/>
      <c r="O1165" s="141"/>
      <c r="P1165" s="140"/>
      <c r="Q1165" s="142"/>
      <c r="R1165" s="140"/>
      <c r="S1165" s="142"/>
      <c r="T1165" s="140"/>
    </row>
    <row r="1166" spans="3:20" ht="39.75" customHeight="1">
      <c r="C1166" s="196">
        <v>1163</v>
      </c>
      <c r="D1166" s="127"/>
      <c r="E1166" s="129"/>
      <c r="F1166" s="128"/>
      <c r="G1166" s="129"/>
      <c r="H1166" s="129"/>
      <c r="I1166" s="166"/>
      <c r="J1166" s="180"/>
      <c r="K1166" s="128"/>
      <c r="L1166" s="127"/>
      <c r="M1166" s="168"/>
      <c r="N1166" s="173"/>
      <c r="O1166" s="141"/>
      <c r="P1166" s="140"/>
      <c r="Q1166" s="142"/>
      <c r="R1166" s="140"/>
      <c r="S1166" s="142"/>
      <c r="T1166" s="140"/>
    </row>
    <row r="1167" spans="3:20" ht="39.75" customHeight="1">
      <c r="C1167" s="196">
        <v>1164</v>
      </c>
      <c r="D1167" s="127"/>
      <c r="E1167" s="129"/>
      <c r="F1167" s="128"/>
      <c r="G1167" s="129"/>
      <c r="H1167" s="129"/>
      <c r="I1167" s="166"/>
      <c r="J1167" s="180"/>
      <c r="K1167" s="128"/>
      <c r="L1167" s="127"/>
      <c r="M1167" s="168"/>
      <c r="N1167" s="173"/>
      <c r="O1167" s="141"/>
      <c r="P1167" s="140"/>
      <c r="Q1167" s="142"/>
      <c r="R1167" s="140"/>
      <c r="S1167" s="142"/>
      <c r="T1167" s="140"/>
    </row>
    <row r="1168" spans="3:20" ht="39.75" customHeight="1">
      <c r="C1168" s="196">
        <v>1165</v>
      </c>
      <c r="D1168" s="127"/>
      <c r="E1168" s="129"/>
      <c r="F1168" s="128"/>
      <c r="G1168" s="129"/>
      <c r="H1168" s="129"/>
      <c r="I1168" s="166"/>
      <c r="J1168" s="180"/>
      <c r="K1168" s="128"/>
      <c r="L1168" s="127"/>
      <c r="M1168" s="168"/>
      <c r="N1168" s="173"/>
      <c r="O1168" s="141"/>
      <c r="P1168" s="140"/>
      <c r="Q1168" s="142"/>
      <c r="R1168" s="140"/>
      <c r="S1168" s="142"/>
      <c r="T1168" s="140"/>
    </row>
    <row r="1169" spans="3:20" ht="39.75" customHeight="1">
      <c r="C1169" s="196">
        <v>1166</v>
      </c>
      <c r="D1169" s="127"/>
      <c r="E1169" s="129"/>
      <c r="F1169" s="128"/>
      <c r="G1169" s="129"/>
      <c r="H1169" s="129"/>
      <c r="I1169" s="166"/>
      <c r="J1169" s="180"/>
      <c r="K1169" s="128"/>
      <c r="L1169" s="127"/>
      <c r="M1169" s="168"/>
      <c r="N1169" s="173"/>
      <c r="O1169" s="141"/>
      <c r="P1169" s="140"/>
      <c r="Q1169" s="142"/>
      <c r="R1169" s="140"/>
      <c r="S1169" s="142"/>
      <c r="T1169" s="140"/>
    </row>
    <row r="1170" spans="3:20" ht="39.75" customHeight="1">
      <c r="C1170" s="196">
        <v>1167</v>
      </c>
      <c r="D1170" s="127"/>
      <c r="E1170" s="129"/>
      <c r="F1170" s="128"/>
      <c r="G1170" s="129"/>
      <c r="H1170" s="129"/>
      <c r="I1170" s="166"/>
      <c r="J1170" s="180"/>
      <c r="K1170" s="128"/>
      <c r="L1170" s="127"/>
      <c r="M1170" s="168"/>
      <c r="N1170" s="173"/>
      <c r="O1170" s="141"/>
      <c r="P1170" s="140"/>
      <c r="Q1170" s="142"/>
      <c r="R1170" s="140"/>
      <c r="S1170" s="142"/>
      <c r="T1170" s="140"/>
    </row>
    <row r="1171" spans="3:20" ht="39.75" customHeight="1">
      <c r="C1171" s="196">
        <v>1168</v>
      </c>
      <c r="D1171" s="127"/>
      <c r="E1171" s="129"/>
      <c r="F1171" s="128"/>
      <c r="G1171" s="129"/>
      <c r="H1171" s="129"/>
      <c r="I1171" s="166"/>
      <c r="J1171" s="180"/>
      <c r="K1171" s="128"/>
      <c r="L1171" s="127"/>
      <c r="M1171" s="168"/>
      <c r="N1171" s="173"/>
      <c r="O1171" s="141"/>
      <c r="P1171" s="140"/>
      <c r="Q1171" s="142"/>
      <c r="R1171" s="140"/>
      <c r="S1171" s="142"/>
      <c r="T1171" s="140"/>
    </row>
    <row r="1172" spans="3:20" ht="39.75" customHeight="1">
      <c r="C1172" s="196">
        <v>1169</v>
      </c>
      <c r="D1172" s="127"/>
      <c r="E1172" s="129"/>
      <c r="F1172" s="128"/>
      <c r="G1172" s="129"/>
      <c r="H1172" s="129"/>
      <c r="I1172" s="166"/>
      <c r="J1172" s="180"/>
      <c r="K1172" s="128"/>
      <c r="L1172" s="127"/>
      <c r="M1172" s="168"/>
      <c r="N1172" s="173"/>
      <c r="O1172" s="141"/>
      <c r="P1172" s="140"/>
      <c r="Q1172" s="142"/>
      <c r="R1172" s="140"/>
      <c r="S1172" s="142"/>
      <c r="T1172" s="140"/>
    </row>
    <row r="1173" spans="3:20" ht="39.75" customHeight="1">
      <c r="C1173" s="196">
        <v>1170</v>
      </c>
      <c r="D1173" s="127"/>
      <c r="E1173" s="129"/>
      <c r="F1173" s="128"/>
      <c r="G1173" s="129"/>
      <c r="H1173" s="129"/>
      <c r="I1173" s="166"/>
      <c r="J1173" s="180"/>
      <c r="K1173" s="128"/>
      <c r="L1173" s="127"/>
      <c r="M1173" s="168"/>
      <c r="N1173" s="173"/>
      <c r="O1173" s="141"/>
      <c r="P1173" s="140"/>
      <c r="Q1173" s="142"/>
      <c r="R1173" s="140"/>
      <c r="S1173" s="142"/>
      <c r="T1173" s="140"/>
    </row>
    <row r="1174" spans="3:20" ht="39.75" customHeight="1">
      <c r="C1174" s="196">
        <v>1171</v>
      </c>
      <c r="D1174" s="127"/>
      <c r="E1174" s="129"/>
      <c r="F1174" s="128"/>
      <c r="G1174" s="129"/>
      <c r="H1174" s="129"/>
      <c r="I1174" s="166"/>
      <c r="J1174" s="180"/>
      <c r="K1174" s="128"/>
      <c r="L1174" s="127"/>
      <c r="M1174" s="168"/>
      <c r="N1174" s="173"/>
      <c r="O1174" s="141"/>
      <c r="P1174" s="140"/>
      <c r="Q1174" s="142"/>
      <c r="R1174" s="140"/>
      <c r="S1174" s="142"/>
      <c r="T1174" s="140"/>
    </row>
    <row r="1175" spans="3:20" ht="39.75" customHeight="1">
      <c r="C1175" s="196">
        <v>1172</v>
      </c>
      <c r="D1175" s="127"/>
      <c r="E1175" s="129"/>
      <c r="F1175" s="128"/>
      <c r="G1175" s="129"/>
      <c r="H1175" s="129"/>
      <c r="I1175" s="166"/>
      <c r="J1175" s="180"/>
      <c r="K1175" s="128"/>
      <c r="L1175" s="127"/>
      <c r="M1175" s="168"/>
      <c r="N1175" s="173"/>
      <c r="O1175" s="141"/>
      <c r="P1175" s="140"/>
      <c r="Q1175" s="142"/>
      <c r="R1175" s="140"/>
      <c r="S1175" s="142"/>
      <c r="T1175" s="140"/>
    </row>
    <row r="1176" spans="3:20" ht="39.75" customHeight="1">
      <c r="C1176" s="196">
        <v>1173</v>
      </c>
      <c r="D1176" s="127"/>
      <c r="E1176" s="129"/>
      <c r="F1176" s="128"/>
      <c r="G1176" s="129"/>
      <c r="H1176" s="129"/>
      <c r="I1176" s="166"/>
      <c r="J1176" s="180"/>
      <c r="K1176" s="128"/>
      <c r="L1176" s="127"/>
      <c r="M1176" s="168"/>
      <c r="N1176" s="173"/>
      <c r="O1176" s="141"/>
      <c r="P1176" s="140"/>
      <c r="Q1176" s="142"/>
      <c r="R1176" s="140"/>
      <c r="S1176" s="142"/>
      <c r="T1176" s="140"/>
    </row>
    <row r="1177" spans="3:20" ht="39.75" customHeight="1">
      <c r="C1177" s="196">
        <v>1174</v>
      </c>
      <c r="D1177" s="127"/>
      <c r="E1177" s="129"/>
      <c r="F1177" s="128"/>
      <c r="G1177" s="129"/>
      <c r="H1177" s="129"/>
      <c r="I1177" s="166"/>
      <c r="J1177" s="180"/>
      <c r="K1177" s="128"/>
      <c r="L1177" s="127"/>
      <c r="M1177" s="168"/>
      <c r="N1177" s="173"/>
      <c r="O1177" s="141"/>
      <c r="P1177" s="140"/>
      <c r="Q1177" s="142"/>
      <c r="R1177" s="140"/>
      <c r="S1177" s="142"/>
      <c r="T1177" s="140"/>
    </row>
    <row r="1178" spans="3:20" ht="39.75" customHeight="1">
      <c r="C1178" s="196">
        <v>1175</v>
      </c>
      <c r="D1178" s="127"/>
      <c r="E1178" s="129"/>
      <c r="F1178" s="128"/>
      <c r="G1178" s="129"/>
      <c r="H1178" s="129"/>
      <c r="I1178" s="166"/>
      <c r="J1178" s="180"/>
      <c r="K1178" s="128"/>
      <c r="L1178" s="127"/>
      <c r="M1178" s="168"/>
      <c r="N1178" s="173"/>
      <c r="O1178" s="141"/>
      <c r="P1178" s="140"/>
      <c r="Q1178" s="142"/>
      <c r="R1178" s="140"/>
      <c r="S1178" s="142"/>
      <c r="T1178" s="140"/>
    </row>
    <row r="1179" spans="3:20" ht="39.75" customHeight="1">
      <c r="C1179" s="196">
        <v>1176</v>
      </c>
      <c r="D1179" s="127"/>
      <c r="E1179" s="129"/>
      <c r="F1179" s="128"/>
      <c r="G1179" s="129"/>
      <c r="H1179" s="129"/>
      <c r="I1179" s="166"/>
      <c r="J1179" s="180"/>
      <c r="K1179" s="128"/>
      <c r="L1179" s="127"/>
      <c r="M1179" s="168"/>
      <c r="N1179" s="173"/>
      <c r="O1179" s="141"/>
      <c r="P1179" s="140"/>
      <c r="Q1179" s="142"/>
      <c r="R1179" s="140"/>
      <c r="S1179" s="142"/>
      <c r="T1179" s="140"/>
    </row>
    <row r="1180" spans="3:20" ht="39.75" customHeight="1">
      <c r="C1180" s="196">
        <v>1177</v>
      </c>
      <c r="D1180" s="127"/>
      <c r="E1180" s="129"/>
      <c r="F1180" s="128"/>
      <c r="G1180" s="129"/>
      <c r="H1180" s="129"/>
      <c r="I1180" s="166"/>
      <c r="J1180" s="180"/>
      <c r="K1180" s="128"/>
      <c r="L1180" s="127"/>
      <c r="M1180" s="168"/>
      <c r="N1180" s="173"/>
      <c r="O1180" s="141"/>
      <c r="P1180" s="140"/>
      <c r="Q1180" s="142"/>
      <c r="R1180" s="140"/>
      <c r="S1180" s="142"/>
      <c r="T1180" s="140"/>
    </row>
    <row r="1181" spans="3:20" ht="39.75" customHeight="1">
      <c r="C1181" s="196">
        <v>1178</v>
      </c>
      <c r="D1181" s="127"/>
      <c r="E1181" s="129"/>
      <c r="F1181" s="128"/>
      <c r="G1181" s="129"/>
      <c r="H1181" s="129"/>
      <c r="I1181" s="166"/>
      <c r="J1181" s="180"/>
      <c r="K1181" s="128"/>
      <c r="L1181" s="127"/>
      <c r="M1181" s="168"/>
      <c r="N1181" s="173"/>
      <c r="O1181" s="141"/>
      <c r="P1181" s="140"/>
      <c r="Q1181" s="142"/>
      <c r="R1181" s="140"/>
      <c r="S1181" s="142"/>
      <c r="T1181" s="140"/>
    </row>
    <row r="1182" spans="3:20" ht="39.75" customHeight="1">
      <c r="C1182" s="196">
        <v>1179</v>
      </c>
      <c r="D1182" s="127"/>
      <c r="E1182" s="129"/>
      <c r="F1182" s="128"/>
      <c r="G1182" s="129"/>
      <c r="H1182" s="129"/>
      <c r="I1182" s="166"/>
      <c r="J1182" s="180"/>
      <c r="K1182" s="128"/>
      <c r="L1182" s="127"/>
      <c r="M1182" s="168"/>
      <c r="N1182" s="173"/>
      <c r="O1182" s="141"/>
      <c r="P1182" s="140"/>
      <c r="Q1182" s="142"/>
      <c r="R1182" s="140"/>
      <c r="S1182" s="142"/>
      <c r="T1182" s="140"/>
    </row>
    <row r="1183" spans="3:20" ht="39.75" customHeight="1">
      <c r="C1183" s="196">
        <v>1180</v>
      </c>
      <c r="D1183" s="127"/>
      <c r="E1183" s="129"/>
      <c r="F1183" s="128"/>
      <c r="G1183" s="129"/>
      <c r="H1183" s="129"/>
      <c r="I1183" s="166"/>
      <c r="J1183" s="180"/>
      <c r="K1183" s="128"/>
      <c r="L1183" s="127"/>
      <c r="M1183" s="168"/>
      <c r="N1183" s="173"/>
      <c r="O1183" s="141"/>
      <c r="P1183" s="140"/>
      <c r="Q1183" s="142"/>
      <c r="R1183" s="140"/>
      <c r="S1183" s="142"/>
      <c r="T1183" s="140"/>
    </row>
    <row r="1184" spans="3:20" ht="39.75" customHeight="1">
      <c r="C1184" s="196">
        <v>1181</v>
      </c>
      <c r="D1184" s="127"/>
      <c r="E1184" s="129"/>
      <c r="F1184" s="128"/>
      <c r="G1184" s="129"/>
      <c r="H1184" s="129"/>
      <c r="I1184" s="166"/>
      <c r="J1184" s="180"/>
      <c r="K1184" s="128"/>
      <c r="L1184" s="127"/>
      <c r="M1184" s="168"/>
      <c r="N1184" s="173"/>
      <c r="O1184" s="141"/>
      <c r="P1184" s="140"/>
      <c r="Q1184" s="142"/>
      <c r="R1184" s="140"/>
      <c r="S1184" s="142"/>
      <c r="T1184" s="140"/>
    </row>
    <row r="1185" spans="3:20" ht="39.75" customHeight="1">
      <c r="C1185" s="196">
        <v>1182</v>
      </c>
      <c r="D1185" s="127"/>
      <c r="E1185" s="129"/>
      <c r="F1185" s="128"/>
      <c r="G1185" s="129"/>
      <c r="H1185" s="129"/>
      <c r="I1185" s="166"/>
      <c r="J1185" s="180"/>
      <c r="K1185" s="128"/>
      <c r="L1185" s="127"/>
      <c r="M1185" s="168"/>
      <c r="N1185" s="173"/>
      <c r="O1185" s="141"/>
      <c r="P1185" s="140"/>
      <c r="Q1185" s="142"/>
      <c r="R1185" s="140"/>
      <c r="S1185" s="142"/>
      <c r="T1185" s="140"/>
    </row>
    <row r="1186" spans="3:20" ht="39.75" customHeight="1">
      <c r="C1186" s="196">
        <v>1183</v>
      </c>
      <c r="D1186" s="127"/>
      <c r="E1186" s="129"/>
      <c r="F1186" s="128"/>
      <c r="G1186" s="129"/>
      <c r="H1186" s="129"/>
      <c r="I1186" s="166"/>
      <c r="J1186" s="180"/>
      <c r="K1186" s="128"/>
      <c r="L1186" s="127"/>
      <c r="M1186" s="168"/>
      <c r="N1186" s="173"/>
      <c r="O1186" s="141"/>
      <c r="P1186" s="140"/>
      <c r="Q1186" s="142"/>
      <c r="R1186" s="140"/>
      <c r="S1186" s="142"/>
      <c r="T1186" s="140"/>
    </row>
    <row r="1187" spans="3:20" ht="39.75" customHeight="1">
      <c r="C1187" s="196">
        <v>1184</v>
      </c>
      <c r="D1187" s="127"/>
      <c r="E1187" s="129"/>
      <c r="F1187" s="128"/>
      <c r="G1187" s="129"/>
      <c r="H1187" s="129"/>
      <c r="I1187" s="166"/>
      <c r="J1187" s="180"/>
      <c r="K1187" s="128"/>
      <c r="L1187" s="127"/>
      <c r="M1187" s="168"/>
      <c r="N1187" s="173"/>
      <c r="O1187" s="141"/>
      <c r="P1187" s="140"/>
      <c r="Q1187" s="142"/>
      <c r="R1187" s="140"/>
      <c r="S1187" s="142"/>
      <c r="T1187" s="140"/>
    </row>
    <row r="1188" spans="3:20" ht="39.75" customHeight="1">
      <c r="C1188" s="196">
        <v>1185</v>
      </c>
      <c r="D1188" s="127"/>
      <c r="E1188" s="129"/>
      <c r="F1188" s="128"/>
      <c r="G1188" s="129"/>
      <c r="H1188" s="129"/>
      <c r="I1188" s="166"/>
      <c r="J1188" s="180"/>
      <c r="K1188" s="128"/>
      <c r="L1188" s="127"/>
      <c r="M1188" s="168"/>
      <c r="N1188" s="173"/>
      <c r="O1188" s="141"/>
      <c r="P1188" s="140"/>
      <c r="Q1188" s="142"/>
      <c r="R1188" s="140"/>
      <c r="S1188" s="142"/>
      <c r="T1188" s="140"/>
    </row>
    <row r="1189" spans="3:20" ht="39.75" customHeight="1">
      <c r="C1189" s="196">
        <v>1186</v>
      </c>
      <c r="D1189" s="127"/>
      <c r="E1189" s="129"/>
      <c r="F1189" s="128"/>
      <c r="G1189" s="129"/>
      <c r="H1189" s="129"/>
      <c r="I1189" s="166"/>
      <c r="J1189" s="180"/>
      <c r="K1189" s="128"/>
      <c r="L1189" s="127"/>
      <c r="M1189" s="168"/>
      <c r="N1189" s="173"/>
      <c r="O1189" s="141"/>
      <c r="P1189" s="140"/>
      <c r="Q1189" s="142"/>
      <c r="R1189" s="140"/>
      <c r="S1189" s="142"/>
      <c r="T1189" s="140"/>
    </row>
    <row r="1190" spans="3:20" ht="39.75" customHeight="1">
      <c r="C1190" s="196">
        <v>1187</v>
      </c>
      <c r="D1190" s="127"/>
      <c r="E1190" s="129"/>
      <c r="F1190" s="128"/>
      <c r="G1190" s="129"/>
      <c r="H1190" s="129"/>
      <c r="I1190" s="166"/>
      <c r="J1190" s="180"/>
      <c r="K1190" s="128"/>
      <c r="L1190" s="127"/>
      <c r="M1190" s="168"/>
      <c r="N1190" s="173"/>
      <c r="O1190" s="141"/>
      <c r="P1190" s="140"/>
      <c r="Q1190" s="142"/>
      <c r="R1190" s="140"/>
      <c r="S1190" s="142"/>
      <c r="T1190" s="140"/>
    </row>
    <row r="1191" spans="3:20" ht="39.75" customHeight="1">
      <c r="C1191" s="196">
        <v>1188</v>
      </c>
      <c r="D1191" s="127"/>
      <c r="E1191" s="129"/>
      <c r="F1191" s="128"/>
      <c r="G1191" s="129"/>
      <c r="H1191" s="129"/>
      <c r="I1191" s="166"/>
      <c r="J1191" s="180"/>
      <c r="K1191" s="128"/>
      <c r="L1191" s="127"/>
      <c r="M1191" s="168"/>
      <c r="N1191" s="173"/>
      <c r="O1191" s="141"/>
      <c r="P1191" s="140"/>
      <c r="Q1191" s="142"/>
      <c r="R1191" s="140"/>
      <c r="S1191" s="142"/>
      <c r="T1191" s="140"/>
    </row>
    <row r="1192" spans="3:20" ht="39.75" customHeight="1">
      <c r="C1192" s="196">
        <v>1189</v>
      </c>
      <c r="D1192" s="127"/>
      <c r="E1192" s="129"/>
      <c r="F1192" s="128"/>
      <c r="G1192" s="129"/>
      <c r="H1192" s="129"/>
      <c r="I1192" s="166"/>
      <c r="J1192" s="180"/>
      <c r="K1192" s="128"/>
      <c r="L1192" s="127"/>
      <c r="M1192" s="168"/>
      <c r="N1192" s="173"/>
      <c r="O1192" s="141"/>
      <c r="P1192" s="140"/>
      <c r="Q1192" s="142"/>
      <c r="R1192" s="140"/>
      <c r="S1192" s="142"/>
      <c r="T1192" s="140"/>
    </row>
    <row r="1193" spans="3:20" ht="39.75" customHeight="1">
      <c r="C1193" s="196">
        <v>1190</v>
      </c>
      <c r="D1193" s="127"/>
      <c r="E1193" s="129"/>
      <c r="F1193" s="128"/>
      <c r="G1193" s="129"/>
      <c r="H1193" s="129"/>
      <c r="I1193" s="166"/>
      <c r="J1193" s="180"/>
      <c r="K1193" s="128"/>
      <c r="L1193" s="127"/>
      <c r="M1193" s="168"/>
      <c r="N1193" s="173"/>
      <c r="O1193" s="141"/>
      <c r="P1193" s="140"/>
      <c r="Q1193" s="142"/>
      <c r="R1193" s="140"/>
      <c r="S1193" s="142"/>
      <c r="T1193" s="140"/>
    </row>
    <row r="1194" spans="3:20" ht="39.75" customHeight="1">
      <c r="C1194" s="196">
        <v>1191</v>
      </c>
      <c r="D1194" s="127"/>
      <c r="E1194" s="129"/>
      <c r="F1194" s="128"/>
      <c r="G1194" s="129"/>
      <c r="H1194" s="129"/>
      <c r="I1194" s="166"/>
      <c r="J1194" s="180"/>
      <c r="K1194" s="128"/>
      <c r="L1194" s="127"/>
      <c r="M1194" s="168"/>
      <c r="N1194" s="173"/>
      <c r="O1194" s="141"/>
      <c r="P1194" s="140"/>
      <c r="Q1194" s="142"/>
      <c r="R1194" s="140"/>
      <c r="S1194" s="142"/>
      <c r="T1194" s="140"/>
    </row>
    <row r="1195" spans="3:20" ht="39.75" customHeight="1">
      <c r="C1195" s="196">
        <v>1192</v>
      </c>
      <c r="D1195" s="127"/>
      <c r="E1195" s="129"/>
      <c r="F1195" s="128"/>
      <c r="G1195" s="129"/>
      <c r="H1195" s="129"/>
      <c r="I1195" s="166"/>
      <c r="J1195" s="180"/>
      <c r="K1195" s="128"/>
      <c r="L1195" s="127"/>
      <c r="M1195" s="168"/>
      <c r="N1195" s="173"/>
      <c r="O1195" s="141"/>
      <c r="P1195" s="140"/>
      <c r="Q1195" s="142"/>
      <c r="R1195" s="140"/>
      <c r="S1195" s="142"/>
      <c r="T1195" s="140"/>
    </row>
    <row r="1196" spans="3:20" ht="39.75" customHeight="1">
      <c r="C1196" s="196">
        <v>1193</v>
      </c>
      <c r="D1196" s="127"/>
      <c r="E1196" s="129"/>
      <c r="F1196" s="128"/>
      <c r="G1196" s="129"/>
      <c r="H1196" s="129"/>
      <c r="I1196" s="166"/>
      <c r="J1196" s="180"/>
      <c r="K1196" s="128"/>
      <c r="L1196" s="127"/>
      <c r="M1196" s="168"/>
      <c r="N1196" s="173"/>
      <c r="O1196" s="141"/>
      <c r="P1196" s="140"/>
      <c r="Q1196" s="142"/>
      <c r="R1196" s="140"/>
      <c r="S1196" s="142"/>
      <c r="T1196" s="140"/>
    </row>
    <row r="1197" spans="3:20" ht="39.75" customHeight="1">
      <c r="C1197" s="196">
        <v>1194</v>
      </c>
      <c r="D1197" s="127"/>
      <c r="E1197" s="129"/>
      <c r="F1197" s="128"/>
      <c r="G1197" s="129"/>
      <c r="H1197" s="129"/>
      <c r="I1197" s="166"/>
      <c r="J1197" s="180"/>
      <c r="K1197" s="128"/>
      <c r="L1197" s="127"/>
      <c r="M1197" s="168"/>
      <c r="N1197" s="173"/>
      <c r="O1197" s="141"/>
      <c r="P1197" s="140"/>
      <c r="Q1197" s="142"/>
      <c r="R1197" s="140"/>
      <c r="S1197" s="142"/>
      <c r="T1197" s="140"/>
    </row>
    <row r="1198" spans="3:20" ht="39.75" customHeight="1">
      <c r="C1198" s="196">
        <v>1195</v>
      </c>
      <c r="D1198" s="127"/>
      <c r="E1198" s="129"/>
      <c r="F1198" s="128"/>
      <c r="G1198" s="129"/>
      <c r="H1198" s="129"/>
      <c r="I1198" s="166"/>
      <c r="J1198" s="180"/>
      <c r="K1198" s="128"/>
      <c r="L1198" s="127"/>
      <c r="M1198" s="168"/>
      <c r="N1198" s="173"/>
      <c r="O1198" s="141"/>
      <c r="P1198" s="140"/>
      <c r="Q1198" s="142"/>
      <c r="R1198" s="140"/>
      <c r="S1198" s="142"/>
      <c r="T1198" s="140"/>
    </row>
    <row r="1199" spans="3:20" ht="39.75" customHeight="1">
      <c r="C1199" s="196">
        <v>1196</v>
      </c>
      <c r="D1199" s="127"/>
      <c r="E1199" s="129"/>
      <c r="F1199" s="128"/>
      <c r="G1199" s="129"/>
      <c r="H1199" s="129"/>
      <c r="I1199" s="166"/>
      <c r="J1199" s="180"/>
      <c r="K1199" s="128"/>
      <c r="L1199" s="127"/>
      <c r="M1199" s="168"/>
      <c r="N1199" s="173"/>
      <c r="O1199" s="141"/>
      <c r="P1199" s="140"/>
      <c r="Q1199" s="142"/>
      <c r="R1199" s="140"/>
      <c r="S1199" s="142"/>
      <c r="T1199" s="140"/>
    </row>
    <row r="1200" spans="3:20" ht="39.75" customHeight="1">
      <c r="C1200" s="196">
        <v>1197</v>
      </c>
      <c r="D1200" s="127"/>
      <c r="E1200" s="129"/>
      <c r="F1200" s="128"/>
      <c r="G1200" s="129"/>
      <c r="H1200" s="129"/>
      <c r="I1200" s="166"/>
      <c r="J1200" s="180"/>
      <c r="K1200" s="128"/>
      <c r="L1200" s="127"/>
      <c r="M1200" s="168"/>
      <c r="N1200" s="173"/>
      <c r="O1200" s="141"/>
      <c r="P1200" s="140"/>
      <c r="Q1200" s="142"/>
      <c r="R1200" s="140"/>
      <c r="S1200" s="142"/>
      <c r="T1200" s="140"/>
    </row>
    <row r="1201" spans="3:20" ht="39.75" customHeight="1">
      <c r="C1201" s="196">
        <v>1198</v>
      </c>
      <c r="D1201" s="127"/>
      <c r="E1201" s="129"/>
      <c r="F1201" s="128"/>
      <c r="G1201" s="129"/>
      <c r="H1201" s="129"/>
      <c r="I1201" s="166"/>
      <c r="J1201" s="180"/>
      <c r="K1201" s="128"/>
      <c r="L1201" s="127"/>
      <c r="M1201" s="168"/>
      <c r="N1201" s="173"/>
      <c r="O1201" s="141"/>
      <c r="P1201" s="140"/>
      <c r="Q1201" s="142"/>
      <c r="R1201" s="140"/>
      <c r="S1201" s="142"/>
      <c r="T1201" s="140"/>
    </row>
    <row r="1202" spans="3:20" ht="39.75" customHeight="1">
      <c r="C1202" s="196">
        <v>1199</v>
      </c>
      <c r="D1202" s="127"/>
      <c r="E1202" s="129"/>
      <c r="F1202" s="128"/>
      <c r="G1202" s="129"/>
      <c r="H1202" s="129"/>
      <c r="I1202" s="166"/>
      <c r="J1202" s="180"/>
      <c r="K1202" s="128"/>
      <c r="L1202" s="127"/>
      <c r="M1202" s="168"/>
      <c r="N1202" s="173"/>
      <c r="O1202" s="141"/>
      <c r="P1202" s="140"/>
      <c r="Q1202" s="142"/>
      <c r="R1202" s="140"/>
      <c r="S1202" s="142"/>
      <c r="T1202" s="140"/>
    </row>
    <row r="1203" spans="3:20" ht="39.75" customHeight="1">
      <c r="C1203" s="196">
        <v>1200</v>
      </c>
      <c r="D1203" s="127"/>
      <c r="E1203" s="129"/>
      <c r="F1203" s="128"/>
      <c r="G1203" s="129"/>
      <c r="H1203" s="129"/>
      <c r="I1203" s="166"/>
      <c r="J1203" s="180"/>
      <c r="K1203" s="128"/>
      <c r="L1203" s="127"/>
      <c r="M1203" s="168"/>
      <c r="N1203" s="173"/>
      <c r="O1203" s="141"/>
      <c r="P1203" s="140"/>
      <c r="Q1203" s="142"/>
      <c r="R1203" s="140"/>
      <c r="S1203" s="142"/>
      <c r="T1203" s="140"/>
    </row>
    <row r="1204" spans="3:20" ht="39.75" customHeight="1">
      <c r="C1204" s="196">
        <v>1201</v>
      </c>
      <c r="D1204" s="127"/>
      <c r="E1204" s="129"/>
      <c r="F1204" s="128"/>
      <c r="G1204" s="129"/>
      <c r="H1204" s="129"/>
      <c r="I1204" s="166"/>
      <c r="J1204" s="180"/>
      <c r="K1204" s="128"/>
      <c r="L1204" s="127"/>
      <c r="M1204" s="168"/>
      <c r="N1204" s="173"/>
      <c r="O1204" s="141"/>
      <c r="P1204" s="140"/>
      <c r="Q1204" s="142"/>
      <c r="R1204" s="140"/>
      <c r="S1204" s="142"/>
      <c r="T1204" s="140"/>
    </row>
    <row r="1205" spans="3:20" ht="39.75" customHeight="1">
      <c r="C1205" s="196">
        <v>1202</v>
      </c>
      <c r="D1205" s="127"/>
      <c r="E1205" s="129"/>
      <c r="F1205" s="128"/>
      <c r="G1205" s="129"/>
      <c r="H1205" s="129"/>
      <c r="I1205" s="166"/>
      <c r="J1205" s="180"/>
      <c r="K1205" s="128"/>
      <c r="L1205" s="127"/>
      <c r="M1205" s="168"/>
      <c r="N1205" s="173"/>
      <c r="O1205" s="141"/>
      <c r="P1205" s="140"/>
      <c r="Q1205" s="142"/>
      <c r="R1205" s="140"/>
      <c r="S1205" s="142"/>
      <c r="T1205" s="140"/>
    </row>
    <row r="1206" spans="3:20" ht="39.75" customHeight="1">
      <c r="C1206" s="196">
        <v>1203</v>
      </c>
      <c r="D1206" s="127"/>
      <c r="E1206" s="129"/>
      <c r="F1206" s="128"/>
      <c r="G1206" s="129"/>
      <c r="H1206" s="129"/>
      <c r="I1206" s="166"/>
      <c r="J1206" s="180"/>
      <c r="K1206" s="128"/>
      <c r="L1206" s="127"/>
      <c r="M1206" s="168"/>
      <c r="N1206" s="173"/>
      <c r="O1206" s="141"/>
      <c r="P1206" s="140"/>
      <c r="Q1206" s="142"/>
      <c r="R1206" s="140"/>
      <c r="S1206" s="142"/>
      <c r="T1206" s="140"/>
    </row>
    <row r="1207" spans="3:20" ht="39.75" customHeight="1">
      <c r="C1207" s="196">
        <v>1204</v>
      </c>
      <c r="D1207" s="127"/>
      <c r="E1207" s="129"/>
      <c r="F1207" s="128"/>
      <c r="G1207" s="129"/>
      <c r="H1207" s="129"/>
      <c r="I1207" s="166"/>
      <c r="J1207" s="180"/>
      <c r="K1207" s="128"/>
      <c r="L1207" s="127"/>
      <c r="M1207" s="168"/>
      <c r="N1207" s="173"/>
      <c r="O1207" s="141"/>
      <c r="P1207" s="140"/>
      <c r="Q1207" s="142"/>
      <c r="R1207" s="140"/>
      <c r="S1207" s="142"/>
      <c r="T1207" s="140"/>
    </row>
    <row r="1208" spans="3:20" ht="39.75" customHeight="1">
      <c r="C1208" s="196">
        <v>1205</v>
      </c>
      <c r="D1208" s="127"/>
      <c r="E1208" s="129"/>
      <c r="F1208" s="128"/>
      <c r="G1208" s="129"/>
      <c r="H1208" s="129"/>
      <c r="I1208" s="166"/>
      <c r="J1208" s="180"/>
      <c r="K1208" s="128"/>
      <c r="L1208" s="127"/>
      <c r="M1208" s="168"/>
      <c r="N1208" s="173"/>
      <c r="O1208" s="141"/>
      <c r="P1208" s="140"/>
      <c r="Q1208" s="142"/>
      <c r="R1208" s="140"/>
      <c r="S1208" s="142"/>
      <c r="T1208" s="140"/>
    </row>
    <row r="1209" spans="3:20" ht="39.75" customHeight="1">
      <c r="C1209" s="196">
        <v>1206</v>
      </c>
      <c r="D1209" s="127"/>
      <c r="E1209" s="129"/>
      <c r="F1209" s="128"/>
      <c r="G1209" s="129"/>
      <c r="H1209" s="129"/>
      <c r="I1209" s="166"/>
      <c r="J1209" s="180"/>
      <c r="K1209" s="128"/>
      <c r="L1209" s="127"/>
      <c r="M1209" s="168"/>
      <c r="N1209" s="173"/>
      <c r="O1209" s="141"/>
      <c r="P1209" s="140"/>
      <c r="Q1209" s="142"/>
      <c r="R1209" s="140"/>
      <c r="S1209" s="142"/>
      <c r="T1209" s="140"/>
    </row>
    <row r="1210" spans="3:20" ht="39.75" customHeight="1">
      <c r="C1210" s="196">
        <v>1207</v>
      </c>
      <c r="D1210" s="127"/>
      <c r="E1210" s="129"/>
      <c r="F1210" s="128"/>
      <c r="G1210" s="129"/>
      <c r="H1210" s="129"/>
      <c r="I1210" s="166"/>
      <c r="J1210" s="180"/>
      <c r="K1210" s="128"/>
      <c r="L1210" s="127"/>
      <c r="M1210" s="168"/>
      <c r="N1210" s="173"/>
      <c r="O1210" s="141"/>
      <c r="P1210" s="140"/>
      <c r="Q1210" s="142"/>
      <c r="R1210" s="140"/>
      <c r="S1210" s="142"/>
      <c r="T1210" s="140"/>
    </row>
    <row r="1211" spans="3:20" ht="39.75" customHeight="1">
      <c r="C1211" s="196">
        <v>1208</v>
      </c>
      <c r="D1211" s="127"/>
      <c r="E1211" s="129"/>
      <c r="F1211" s="128"/>
      <c r="G1211" s="129"/>
      <c r="H1211" s="129"/>
      <c r="I1211" s="166"/>
      <c r="J1211" s="180"/>
      <c r="K1211" s="128"/>
      <c r="L1211" s="127"/>
      <c r="M1211" s="168"/>
      <c r="N1211" s="173"/>
      <c r="O1211" s="141"/>
      <c r="P1211" s="140"/>
      <c r="Q1211" s="142"/>
      <c r="R1211" s="140"/>
      <c r="S1211" s="142"/>
      <c r="T1211" s="140"/>
    </row>
    <row r="1212" spans="3:20" ht="39.75" customHeight="1">
      <c r="C1212" s="196">
        <v>1209</v>
      </c>
      <c r="D1212" s="127"/>
      <c r="E1212" s="129"/>
      <c r="F1212" s="128"/>
      <c r="G1212" s="129"/>
      <c r="H1212" s="129"/>
      <c r="I1212" s="166"/>
      <c r="J1212" s="180"/>
      <c r="K1212" s="128"/>
      <c r="L1212" s="127"/>
      <c r="M1212" s="168"/>
      <c r="N1212" s="173"/>
      <c r="O1212" s="141"/>
      <c r="P1212" s="140"/>
      <c r="Q1212" s="142"/>
      <c r="R1212" s="140"/>
      <c r="S1212" s="142"/>
      <c r="T1212" s="140"/>
    </row>
    <row r="1213" spans="3:20" ht="39.75" customHeight="1">
      <c r="C1213" s="196">
        <v>1210</v>
      </c>
      <c r="D1213" s="127"/>
      <c r="E1213" s="129"/>
      <c r="F1213" s="128"/>
      <c r="G1213" s="129"/>
      <c r="H1213" s="129"/>
      <c r="I1213" s="166"/>
      <c r="J1213" s="180"/>
      <c r="K1213" s="128"/>
      <c r="L1213" s="127"/>
      <c r="M1213" s="168"/>
      <c r="N1213" s="173"/>
      <c r="O1213" s="141"/>
      <c r="P1213" s="140"/>
      <c r="Q1213" s="142"/>
      <c r="R1213" s="140"/>
      <c r="S1213" s="142"/>
      <c r="T1213" s="140"/>
    </row>
    <row r="1214" spans="3:20" ht="39.75" customHeight="1">
      <c r="C1214" s="196">
        <v>1211</v>
      </c>
      <c r="D1214" s="127"/>
      <c r="E1214" s="129"/>
      <c r="F1214" s="128"/>
      <c r="G1214" s="129"/>
      <c r="H1214" s="129"/>
      <c r="I1214" s="166"/>
      <c r="J1214" s="180"/>
      <c r="K1214" s="128"/>
      <c r="L1214" s="127"/>
      <c r="M1214" s="168"/>
      <c r="N1214" s="173"/>
      <c r="O1214" s="141"/>
      <c r="P1214" s="140"/>
      <c r="Q1214" s="142"/>
      <c r="R1214" s="140"/>
      <c r="S1214" s="142"/>
      <c r="T1214" s="140"/>
    </row>
    <row r="1215" spans="3:20" ht="39.75" customHeight="1">
      <c r="C1215" s="196">
        <v>1212</v>
      </c>
      <c r="D1215" s="127"/>
      <c r="E1215" s="129"/>
      <c r="F1215" s="128"/>
      <c r="G1215" s="129"/>
      <c r="H1215" s="129"/>
      <c r="I1215" s="166"/>
      <c r="J1215" s="180"/>
      <c r="K1215" s="128"/>
      <c r="L1215" s="127"/>
      <c r="M1215" s="168"/>
      <c r="N1215" s="173"/>
      <c r="O1215" s="141"/>
      <c r="P1215" s="140"/>
      <c r="Q1215" s="142"/>
      <c r="R1215" s="140"/>
      <c r="S1215" s="142"/>
      <c r="T1215" s="140"/>
    </row>
    <row r="1216" spans="3:20" ht="39.75" customHeight="1">
      <c r="C1216" s="196">
        <v>1213</v>
      </c>
      <c r="D1216" s="127"/>
      <c r="E1216" s="129"/>
      <c r="F1216" s="128"/>
      <c r="G1216" s="129"/>
      <c r="H1216" s="129"/>
      <c r="I1216" s="166"/>
      <c r="J1216" s="180"/>
      <c r="K1216" s="128"/>
      <c r="L1216" s="127"/>
      <c r="M1216" s="168"/>
      <c r="N1216" s="173"/>
      <c r="O1216" s="141"/>
      <c r="P1216" s="140"/>
      <c r="Q1216" s="142"/>
      <c r="R1216" s="140"/>
      <c r="S1216" s="142"/>
      <c r="T1216" s="140"/>
    </row>
    <row r="1217" spans="3:20" ht="39.75" customHeight="1">
      <c r="C1217" s="196">
        <v>1214</v>
      </c>
      <c r="D1217" s="127"/>
      <c r="E1217" s="129"/>
      <c r="F1217" s="128"/>
      <c r="G1217" s="129"/>
      <c r="H1217" s="129"/>
      <c r="I1217" s="166"/>
      <c r="J1217" s="180"/>
      <c r="K1217" s="128"/>
      <c r="L1217" s="127"/>
      <c r="M1217" s="168"/>
      <c r="N1217" s="173"/>
      <c r="O1217" s="141"/>
      <c r="P1217" s="140"/>
      <c r="Q1217" s="142"/>
      <c r="R1217" s="140"/>
      <c r="S1217" s="142"/>
      <c r="T1217" s="140"/>
    </row>
    <row r="1218" spans="3:20" ht="39.75" customHeight="1">
      <c r="C1218" s="196">
        <v>1215</v>
      </c>
      <c r="D1218" s="127"/>
      <c r="E1218" s="129"/>
      <c r="F1218" s="128"/>
      <c r="G1218" s="129"/>
      <c r="H1218" s="129"/>
      <c r="I1218" s="166"/>
      <c r="J1218" s="180"/>
      <c r="K1218" s="128"/>
      <c r="L1218" s="127"/>
      <c r="M1218" s="168"/>
      <c r="N1218" s="173"/>
      <c r="O1218" s="141"/>
      <c r="P1218" s="140"/>
      <c r="Q1218" s="142"/>
      <c r="R1218" s="140"/>
      <c r="S1218" s="142"/>
      <c r="T1218" s="140"/>
    </row>
    <row r="1219" spans="3:20" ht="39.75" customHeight="1">
      <c r="C1219" s="196">
        <v>1216</v>
      </c>
      <c r="D1219" s="127"/>
      <c r="E1219" s="129"/>
      <c r="F1219" s="128"/>
      <c r="G1219" s="129"/>
      <c r="H1219" s="129"/>
      <c r="I1219" s="166"/>
      <c r="J1219" s="180"/>
      <c r="K1219" s="128"/>
      <c r="L1219" s="127"/>
      <c r="M1219" s="168"/>
      <c r="N1219" s="173"/>
      <c r="O1219" s="141"/>
      <c r="P1219" s="140"/>
      <c r="Q1219" s="142"/>
      <c r="R1219" s="140"/>
      <c r="S1219" s="142"/>
      <c r="T1219" s="140"/>
    </row>
    <row r="1220" spans="3:20" ht="39.75" customHeight="1">
      <c r="C1220" s="196">
        <v>1217</v>
      </c>
      <c r="D1220" s="127"/>
      <c r="E1220" s="129"/>
      <c r="F1220" s="128"/>
      <c r="G1220" s="129"/>
      <c r="H1220" s="129"/>
      <c r="I1220" s="166"/>
      <c r="J1220" s="180"/>
      <c r="K1220" s="128"/>
      <c r="L1220" s="127"/>
      <c r="M1220" s="168"/>
      <c r="N1220" s="173"/>
      <c r="O1220" s="141"/>
      <c r="P1220" s="140"/>
      <c r="Q1220" s="142"/>
      <c r="R1220" s="140"/>
      <c r="S1220" s="142"/>
      <c r="T1220" s="140"/>
    </row>
    <row r="1221" spans="3:20" ht="39.75" customHeight="1">
      <c r="C1221" s="196">
        <v>1218</v>
      </c>
      <c r="D1221" s="127"/>
      <c r="E1221" s="129"/>
      <c r="F1221" s="128"/>
      <c r="G1221" s="129"/>
      <c r="H1221" s="129"/>
      <c r="I1221" s="166"/>
      <c r="J1221" s="180"/>
      <c r="K1221" s="128"/>
      <c r="L1221" s="127"/>
      <c r="M1221" s="168"/>
      <c r="N1221" s="173"/>
      <c r="O1221" s="141"/>
      <c r="P1221" s="140"/>
      <c r="Q1221" s="142"/>
      <c r="R1221" s="140"/>
      <c r="S1221" s="142"/>
      <c r="T1221" s="140"/>
    </row>
    <row r="1222" spans="3:20" ht="39.75" customHeight="1">
      <c r="C1222" s="196">
        <v>1219</v>
      </c>
      <c r="D1222" s="127"/>
      <c r="E1222" s="129"/>
      <c r="F1222" s="128"/>
      <c r="G1222" s="129"/>
      <c r="H1222" s="129"/>
      <c r="I1222" s="166"/>
      <c r="J1222" s="180"/>
      <c r="K1222" s="128"/>
      <c r="L1222" s="127"/>
      <c r="M1222" s="168"/>
      <c r="N1222" s="173"/>
      <c r="O1222" s="141"/>
      <c r="P1222" s="140"/>
      <c r="Q1222" s="142"/>
      <c r="R1222" s="140"/>
      <c r="S1222" s="142"/>
      <c r="T1222" s="140"/>
    </row>
    <row r="1223" spans="3:20" ht="39.75" customHeight="1">
      <c r="C1223" s="196">
        <v>1220</v>
      </c>
      <c r="D1223" s="127"/>
      <c r="E1223" s="129"/>
      <c r="F1223" s="128"/>
      <c r="G1223" s="129"/>
      <c r="H1223" s="129"/>
      <c r="I1223" s="166"/>
      <c r="J1223" s="180"/>
      <c r="K1223" s="128"/>
      <c r="L1223" s="127"/>
      <c r="M1223" s="168"/>
      <c r="N1223" s="173"/>
      <c r="O1223" s="141"/>
      <c r="P1223" s="140"/>
      <c r="Q1223" s="142"/>
      <c r="R1223" s="140"/>
      <c r="S1223" s="142"/>
      <c r="T1223" s="140"/>
    </row>
    <row r="1224" spans="3:20" ht="39.75" customHeight="1">
      <c r="C1224" s="196">
        <v>1221</v>
      </c>
      <c r="D1224" s="127"/>
      <c r="E1224" s="129"/>
      <c r="F1224" s="128"/>
      <c r="G1224" s="129"/>
      <c r="H1224" s="129"/>
      <c r="I1224" s="166"/>
      <c r="J1224" s="180"/>
      <c r="K1224" s="128"/>
      <c r="L1224" s="127"/>
      <c r="M1224" s="168"/>
      <c r="N1224" s="173"/>
      <c r="O1224" s="141"/>
      <c r="P1224" s="140"/>
      <c r="Q1224" s="142"/>
      <c r="R1224" s="140"/>
      <c r="S1224" s="142"/>
      <c r="T1224" s="140"/>
    </row>
    <row r="1225" spans="3:20" ht="39.75" customHeight="1">
      <c r="C1225" s="196">
        <v>1222</v>
      </c>
      <c r="D1225" s="127"/>
      <c r="E1225" s="129"/>
      <c r="F1225" s="128"/>
      <c r="G1225" s="129"/>
      <c r="H1225" s="129"/>
      <c r="I1225" s="166"/>
      <c r="J1225" s="180"/>
      <c r="K1225" s="128"/>
      <c r="L1225" s="127"/>
      <c r="M1225" s="168"/>
      <c r="N1225" s="173"/>
      <c r="O1225" s="141"/>
      <c r="P1225" s="140"/>
      <c r="Q1225" s="142"/>
      <c r="R1225" s="140"/>
      <c r="S1225" s="142"/>
      <c r="T1225" s="140"/>
    </row>
    <row r="1226" spans="3:20" ht="39.75" customHeight="1">
      <c r="C1226" s="196">
        <v>1223</v>
      </c>
      <c r="D1226" s="127"/>
      <c r="E1226" s="129"/>
      <c r="F1226" s="128"/>
      <c r="G1226" s="129"/>
      <c r="H1226" s="129"/>
      <c r="I1226" s="166"/>
      <c r="J1226" s="180"/>
      <c r="K1226" s="128"/>
      <c r="L1226" s="127"/>
      <c r="M1226" s="168"/>
      <c r="N1226" s="173"/>
      <c r="O1226" s="141"/>
      <c r="P1226" s="140"/>
      <c r="Q1226" s="142"/>
      <c r="R1226" s="140"/>
      <c r="S1226" s="142"/>
      <c r="T1226" s="140"/>
    </row>
    <row r="1227" spans="3:20" ht="39.75" customHeight="1">
      <c r="C1227" s="196">
        <v>1224</v>
      </c>
      <c r="D1227" s="127"/>
      <c r="E1227" s="129"/>
      <c r="F1227" s="128"/>
      <c r="G1227" s="129"/>
      <c r="H1227" s="129"/>
      <c r="I1227" s="166"/>
      <c r="J1227" s="180"/>
      <c r="K1227" s="128"/>
      <c r="L1227" s="127"/>
      <c r="M1227" s="168"/>
      <c r="N1227" s="173"/>
      <c r="O1227" s="141"/>
      <c r="P1227" s="140"/>
      <c r="Q1227" s="142"/>
      <c r="R1227" s="140"/>
      <c r="S1227" s="142"/>
      <c r="T1227" s="140"/>
    </row>
    <row r="1228" spans="3:20" ht="39.75" customHeight="1">
      <c r="C1228" s="196">
        <v>1225</v>
      </c>
      <c r="D1228" s="127"/>
      <c r="E1228" s="129"/>
      <c r="F1228" s="128"/>
      <c r="G1228" s="129"/>
      <c r="H1228" s="129"/>
      <c r="I1228" s="166"/>
      <c r="J1228" s="180"/>
      <c r="K1228" s="128"/>
      <c r="L1228" s="127"/>
      <c r="M1228" s="168"/>
      <c r="N1228" s="173"/>
      <c r="O1228" s="141"/>
      <c r="P1228" s="140"/>
      <c r="Q1228" s="142"/>
      <c r="R1228" s="140"/>
      <c r="S1228" s="142"/>
      <c r="T1228" s="140"/>
    </row>
    <row r="1229" spans="3:20" ht="39.75" customHeight="1">
      <c r="C1229" s="196">
        <v>1226</v>
      </c>
      <c r="D1229" s="127"/>
      <c r="E1229" s="129"/>
      <c r="F1229" s="128"/>
      <c r="G1229" s="129"/>
      <c r="H1229" s="129"/>
      <c r="I1229" s="166"/>
      <c r="J1229" s="180"/>
      <c r="K1229" s="128"/>
      <c r="L1229" s="127"/>
      <c r="M1229" s="168"/>
      <c r="N1229" s="173"/>
      <c r="O1229" s="141"/>
      <c r="P1229" s="140"/>
      <c r="Q1229" s="142"/>
      <c r="R1229" s="140"/>
      <c r="S1229" s="142"/>
      <c r="T1229" s="140"/>
    </row>
    <row r="1230" spans="3:20" ht="39.75" customHeight="1">
      <c r="C1230" s="196">
        <v>1227</v>
      </c>
      <c r="D1230" s="127"/>
      <c r="E1230" s="129"/>
      <c r="F1230" s="128"/>
      <c r="G1230" s="129"/>
      <c r="H1230" s="129"/>
      <c r="I1230" s="166"/>
      <c r="J1230" s="180"/>
      <c r="K1230" s="128"/>
      <c r="L1230" s="127"/>
      <c r="M1230" s="168"/>
      <c r="N1230" s="173"/>
      <c r="O1230" s="141"/>
      <c r="P1230" s="140"/>
      <c r="Q1230" s="142"/>
      <c r="R1230" s="140"/>
      <c r="S1230" s="142"/>
      <c r="T1230" s="140"/>
    </row>
    <row r="1231" spans="3:20" ht="39.75" customHeight="1">
      <c r="C1231" s="196">
        <v>1228</v>
      </c>
      <c r="D1231" s="127"/>
      <c r="E1231" s="129"/>
      <c r="F1231" s="128"/>
      <c r="G1231" s="129"/>
      <c r="H1231" s="129"/>
      <c r="I1231" s="166"/>
      <c r="J1231" s="180"/>
      <c r="K1231" s="128"/>
      <c r="L1231" s="127"/>
      <c r="M1231" s="168"/>
      <c r="N1231" s="173"/>
      <c r="O1231" s="141"/>
      <c r="P1231" s="140"/>
      <c r="Q1231" s="142"/>
      <c r="R1231" s="140"/>
      <c r="S1231" s="142"/>
      <c r="T1231" s="140"/>
    </row>
    <row r="1232" spans="3:20" ht="39.75" customHeight="1">
      <c r="C1232" s="196">
        <v>1229</v>
      </c>
      <c r="D1232" s="127"/>
      <c r="E1232" s="129"/>
      <c r="F1232" s="128"/>
      <c r="G1232" s="129"/>
      <c r="H1232" s="129"/>
      <c r="I1232" s="166"/>
      <c r="J1232" s="180"/>
      <c r="K1232" s="128"/>
      <c r="L1232" s="127"/>
      <c r="M1232" s="168"/>
      <c r="N1232" s="173"/>
      <c r="O1232" s="141"/>
      <c r="P1232" s="140"/>
      <c r="Q1232" s="142"/>
      <c r="R1232" s="140"/>
      <c r="S1232" s="142"/>
      <c r="T1232" s="140"/>
    </row>
    <row r="1233" spans="3:20" ht="39.75" customHeight="1">
      <c r="C1233" s="196">
        <v>1230</v>
      </c>
      <c r="D1233" s="127"/>
      <c r="E1233" s="129"/>
      <c r="F1233" s="128"/>
      <c r="G1233" s="129"/>
      <c r="H1233" s="129"/>
      <c r="I1233" s="166"/>
      <c r="J1233" s="180"/>
      <c r="K1233" s="128"/>
      <c r="L1233" s="127"/>
      <c r="M1233" s="168"/>
      <c r="N1233" s="173"/>
      <c r="O1233" s="141"/>
      <c r="P1233" s="140"/>
      <c r="Q1233" s="142"/>
      <c r="R1233" s="140"/>
      <c r="S1233" s="142"/>
      <c r="T1233" s="140"/>
    </row>
    <row r="1234" spans="3:20" ht="39.75" customHeight="1">
      <c r="C1234" s="196">
        <v>1231</v>
      </c>
      <c r="D1234" s="127"/>
      <c r="E1234" s="129"/>
      <c r="F1234" s="128"/>
      <c r="G1234" s="129"/>
      <c r="H1234" s="129"/>
      <c r="I1234" s="166"/>
      <c r="J1234" s="180"/>
      <c r="K1234" s="128"/>
      <c r="L1234" s="127"/>
      <c r="M1234" s="168"/>
      <c r="N1234" s="173"/>
      <c r="O1234" s="141"/>
      <c r="P1234" s="140"/>
      <c r="Q1234" s="142"/>
      <c r="R1234" s="140"/>
      <c r="S1234" s="142"/>
      <c r="T1234" s="140"/>
    </row>
    <row r="1235" spans="3:20" ht="39.75" customHeight="1">
      <c r="C1235" s="196">
        <v>1232</v>
      </c>
      <c r="D1235" s="127"/>
      <c r="E1235" s="129"/>
      <c r="F1235" s="128"/>
      <c r="G1235" s="129"/>
      <c r="H1235" s="129"/>
      <c r="I1235" s="166"/>
      <c r="J1235" s="180"/>
      <c r="K1235" s="128"/>
      <c r="L1235" s="127"/>
      <c r="M1235" s="168"/>
      <c r="N1235" s="173"/>
      <c r="O1235" s="141"/>
      <c r="P1235" s="140"/>
      <c r="Q1235" s="142"/>
      <c r="R1235" s="140"/>
      <c r="S1235" s="142"/>
      <c r="T1235" s="140"/>
    </row>
    <row r="1236" spans="3:20" ht="39.75" customHeight="1">
      <c r="C1236" s="196">
        <v>1233</v>
      </c>
      <c r="D1236" s="127"/>
      <c r="E1236" s="129"/>
      <c r="F1236" s="128"/>
      <c r="G1236" s="129"/>
      <c r="H1236" s="129"/>
      <c r="I1236" s="166"/>
      <c r="J1236" s="180"/>
      <c r="K1236" s="128"/>
      <c r="L1236" s="127"/>
      <c r="M1236" s="168"/>
      <c r="N1236" s="173"/>
      <c r="O1236" s="141"/>
      <c r="P1236" s="140"/>
      <c r="Q1236" s="142"/>
      <c r="R1236" s="140"/>
      <c r="S1236" s="142"/>
      <c r="T1236" s="140"/>
    </row>
    <row r="1237" spans="3:20" ht="39.75" customHeight="1">
      <c r="C1237" s="196">
        <v>1234</v>
      </c>
      <c r="D1237" s="127"/>
      <c r="E1237" s="129"/>
      <c r="F1237" s="128"/>
      <c r="G1237" s="129"/>
      <c r="H1237" s="129"/>
      <c r="I1237" s="166"/>
      <c r="J1237" s="180"/>
      <c r="K1237" s="128"/>
      <c r="L1237" s="127"/>
      <c r="M1237" s="168"/>
      <c r="N1237" s="173"/>
      <c r="O1237" s="141"/>
      <c r="P1237" s="140"/>
      <c r="Q1237" s="142"/>
      <c r="R1237" s="140"/>
      <c r="S1237" s="142"/>
      <c r="T1237" s="140"/>
    </row>
    <row r="1238" spans="3:20" ht="39.75" customHeight="1">
      <c r="C1238" s="196">
        <v>1235</v>
      </c>
      <c r="D1238" s="127"/>
      <c r="E1238" s="129"/>
      <c r="F1238" s="128"/>
      <c r="G1238" s="129"/>
      <c r="H1238" s="129"/>
      <c r="I1238" s="166"/>
      <c r="J1238" s="180"/>
      <c r="K1238" s="128"/>
      <c r="L1238" s="127"/>
      <c r="M1238" s="168"/>
      <c r="N1238" s="173"/>
      <c r="O1238" s="141"/>
      <c r="P1238" s="140"/>
      <c r="Q1238" s="142"/>
      <c r="R1238" s="140"/>
      <c r="S1238" s="142"/>
      <c r="T1238" s="140"/>
    </row>
    <row r="1239" spans="3:20" ht="39.75" customHeight="1">
      <c r="C1239" s="196">
        <v>1236</v>
      </c>
      <c r="D1239" s="127"/>
      <c r="E1239" s="129"/>
      <c r="F1239" s="128"/>
      <c r="G1239" s="129"/>
      <c r="H1239" s="129"/>
      <c r="I1239" s="166"/>
      <c r="J1239" s="180"/>
      <c r="K1239" s="128"/>
      <c r="L1239" s="127"/>
      <c r="M1239" s="168"/>
      <c r="N1239" s="173"/>
      <c r="O1239" s="141"/>
      <c r="P1239" s="140"/>
      <c r="Q1239" s="142"/>
      <c r="R1239" s="140"/>
      <c r="S1239" s="142"/>
      <c r="T1239" s="140"/>
    </row>
    <row r="1240" spans="3:20" ht="39.75" customHeight="1">
      <c r="C1240" s="196">
        <v>1237</v>
      </c>
      <c r="D1240" s="127"/>
      <c r="E1240" s="129"/>
      <c r="F1240" s="128"/>
      <c r="G1240" s="129"/>
      <c r="H1240" s="129"/>
      <c r="I1240" s="166"/>
      <c r="J1240" s="180"/>
      <c r="K1240" s="128"/>
      <c r="L1240" s="127"/>
      <c r="M1240" s="168"/>
      <c r="N1240" s="173"/>
      <c r="O1240" s="141"/>
      <c r="P1240" s="140"/>
      <c r="Q1240" s="142"/>
      <c r="R1240" s="140"/>
      <c r="S1240" s="142"/>
      <c r="T1240" s="140"/>
    </row>
    <row r="1241" spans="3:20" ht="39.75" customHeight="1">
      <c r="C1241" s="196">
        <v>1238</v>
      </c>
      <c r="D1241" s="127"/>
      <c r="E1241" s="129"/>
      <c r="F1241" s="128"/>
      <c r="G1241" s="129"/>
      <c r="H1241" s="129"/>
      <c r="I1241" s="166"/>
      <c r="J1241" s="180"/>
      <c r="K1241" s="128"/>
      <c r="L1241" s="127"/>
      <c r="M1241" s="168"/>
      <c r="N1241" s="173"/>
      <c r="O1241" s="141"/>
      <c r="P1241" s="140"/>
      <c r="Q1241" s="142"/>
      <c r="R1241" s="140"/>
      <c r="S1241" s="142"/>
      <c r="T1241" s="140"/>
    </row>
    <row r="1242" spans="3:20" ht="39.75" customHeight="1">
      <c r="C1242" s="196">
        <v>1239</v>
      </c>
      <c r="D1242" s="127"/>
      <c r="E1242" s="129"/>
      <c r="F1242" s="128"/>
      <c r="G1242" s="129"/>
      <c r="H1242" s="129"/>
      <c r="I1242" s="166"/>
      <c r="J1242" s="180"/>
      <c r="K1242" s="128"/>
      <c r="L1242" s="127"/>
      <c r="M1242" s="168"/>
      <c r="N1242" s="173"/>
      <c r="O1242" s="141"/>
      <c r="P1242" s="140"/>
      <c r="Q1242" s="142"/>
      <c r="R1242" s="140"/>
      <c r="S1242" s="142"/>
      <c r="T1242" s="140"/>
    </row>
    <row r="1243" spans="3:20" ht="39.75" customHeight="1">
      <c r="C1243" s="196">
        <v>1240</v>
      </c>
      <c r="D1243" s="127"/>
      <c r="E1243" s="129"/>
      <c r="F1243" s="128"/>
      <c r="G1243" s="129"/>
      <c r="H1243" s="129"/>
      <c r="I1243" s="166"/>
      <c r="J1243" s="180"/>
      <c r="K1243" s="128"/>
      <c r="L1243" s="127"/>
      <c r="M1243" s="168"/>
      <c r="N1243" s="173"/>
      <c r="O1243" s="141"/>
      <c r="P1243" s="140"/>
      <c r="Q1243" s="142"/>
      <c r="R1243" s="140"/>
      <c r="S1243" s="142"/>
      <c r="T1243" s="140"/>
    </row>
    <row r="1244" spans="3:20" ht="39.75" customHeight="1">
      <c r="C1244" s="196">
        <v>1241</v>
      </c>
      <c r="D1244" s="127"/>
      <c r="E1244" s="129"/>
      <c r="F1244" s="128"/>
      <c r="G1244" s="129"/>
      <c r="H1244" s="129"/>
      <c r="I1244" s="166"/>
      <c r="J1244" s="180"/>
      <c r="K1244" s="128"/>
      <c r="L1244" s="127"/>
      <c r="M1244" s="168"/>
      <c r="N1244" s="173"/>
      <c r="O1244" s="141"/>
      <c r="P1244" s="140"/>
      <c r="Q1244" s="142"/>
      <c r="R1244" s="140"/>
      <c r="S1244" s="142"/>
      <c r="T1244" s="140"/>
    </row>
    <row r="1245" spans="3:20" ht="39.75" customHeight="1">
      <c r="C1245" s="196">
        <v>1242</v>
      </c>
      <c r="D1245" s="127"/>
      <c r="E1245" s="129"/>
      <c r="F1245" s="128"/>
      <c r="G1245" s="129"/>
      <c r="H1245" s="129"/>
      <c r="I1245" s="166"/>
      <c r="J1245" s="180"/>
      <c r="K1245" s="128"/>
      <c r="L1245" s="127"/>
      <c r="M1245" s="168"/>
      <c r="N1245" s="173"/>
      <c r="O1245" s="141"/>
      <c r="P1245" s="140"/>
      <c r="Q1245" s="142"/>
      <c r="R1245" s="140"/>
      <c r="S1245" s="142"/>
      <c r="T1245" s="140"/>
    </row>
    <row r="1246" spans="3:20" ht="39.75" customHeight="1">
      <c r="C1246" s="196">
        <v>1243</v>
      </c>
      <c r="D1246" s="127"/>
      <c r="E1246" s="129"/>
      <c r="F1246" s="128"/>
      <c r="G1246" s="129"/>
      <c r="H1246" s="129"/>
      <c r="I1246" s="166"/>
      <c r="J1246" s="180"/>
      <c r="K1246" s="128"/>
      <c r="L1246" s="127"/>
      <c r="M1246" s="168"/>
      <c r="N1246" s="173"/>
      <c r="O1246" s="141"/>
      <c r="P1246" s="140"/>
      <c r="Q1246" s="142"/>
      <c r="R1246" s="140"/>
      <c r="S1246" s="142"/>
      <c r="T1246" s="140"/>
    </row>
    <row r="1247" spans="3:20" ht="39.75" customHeight="1">
      <c r="C1247" s="196">
        <v>1244</v>
      </c>
      <c r="D1247" s="127"/>
      <c r="E1247" s="129"/>
      <c r="F1247" s="128"/>
      <c r="G1247" s="129"/>
      <c r="H1247" s="129"/>
      <c r="I1247" s="166"/>
      <c r="J1247" s="180"/>
      <c r="K1247" s="128"/>
      <c r="L1247" s="127"/>
      <c r="M1247" s="168"/>
      <c r="N1247" s="173"/>
      <c r="O1247" s="141"/>
      <c r="P1247" s="140"/>
      <c r="Q1247" s="142"/>
      <c r="R1247" s="140"/>
      <c r="S1247" s="142"/>
      <c r="T1247" s="140"/>
    </row>
    <row r="1248" spans="3:20" ht="39.75" customHeight="1">
      <c r="C1248" s="196">
        <v>1245</v>
      </c>
      <c r="D1248" s="127"/>
      <c r="E1248" s="129"/>
      <c r="F1248" s="128"/>
      <c r="G1248" s="129"/>
      <c r="H1248" s="129"/>
      <c r="I1248" s="166"/>
      <c r="J1248" s="180"/>
      <c r="K1248" s="128"/>
      <c r="L1248" s="127"/>
      <c r="M1248" s="168"/>
      <c r="N1248" s="173"/>
      <c r="O1248" s="141"/>
      <c r="P1248" s="140"/>
      <c r="Q1248" s="142"/>
      <c r="R1248" s="140"/>
      <c r="S1248" s="142"/>
      <c r="T1248" s="140"/>
    </row>
    <row r="1249" spans="3:20" ht="39.75" customHeight="1">
      <c r="C1249" s="196">
        <v>1246</v>
      </c>
      <c r="D1249" s="127"/>
      <c r="E1249" s="129"/>
      <c r="F1249" s="128"/>
      <c r="G1249" s="129"/>
      <c r="H1249" s="129"/>
      <c r="I1249" s="166"/>
      <c r="J1249" s="180"/>
      <c r="K1249" s="128"/>
      <c r="L1249" s="127"/>
      <c r="M1249" s="168"/>
      <c r="N1249" s="173"/>
      <c r="O1249" s="141"/>
      <c r="P1249" s="140"/>
      <c r="Q1249" s="142"/>
      <c r="R1249" s="140"/>
      <c r="S1249" s="142"/>
      <c r="T1249" s="140"/>
    </row>
    <row r="1250" spans="3:20" ht="39.75" customHeight="1">
      <c r="C1250" s="196">
        <v>1247</v>
      </c>
      <c r="D1250" s="127"/>
      <c r="E1250" s="129"/>
      <c r="F1250" s="128"/>
      <c r="G1250" s="129"/>
      <c r="H1250" s="129"/>
      <c r="I1250" s="166"/>
      <c r="J1250" s="180"/>
      <c r="K1250" s="128"/>
      <c r="L1250" s="127"/>
      <c r="M1250" s="168"/>
      <c r="N1250" s="173"/>
      <c r="O1250" s="141"/>
      <c r="P1250" s="140"/>
      <c r="Q1250" s="142"/>
      <c r="R1250" s="140"/>
      <c r="S1250" s="142"/>
      <c r="T1250" s="140"/>
    </row>
    <row r="1251" spans="3:20" ht="39.75" customHeight="1">
      <c r="C1251" s="196">
        <v>1248</v>
      </c>
      <c r="D1251" s="127"/>
      <c r="E1251" s="129"/>
      <c r="F1251" s="128"/>
      <c r="G1251" s="129"/>
      <c r="H1251" s="129"/>
      <c r="I1251" s="166"/>
      <c r="J1251" s="180"/>
      <c r="K1251" s="128"/>
      <c r="L1251" s="127"/>
      <c r="M1251" s="168"/>
      <c r="N1251" s="173"/>
      <c r="O1251" s="141"/>
      <c r="P1251" s="140"/>
      <c r="Q1251" s="142"/>
      <c r="R1251" s="140"/>
      <c r="S1251" s="142"/>
      <c r="T1251" s="140"/>
    </row>
    <row r="1252" spans="3:20" ht="39.75" customHeight="1">
      <c r="C1252" s="196">
        <v>1249</v>
      </c>
      <c r="D1252" s="127"/>
      <c r="E1252" s="129"/>
      <c r="F1252" s="128"/>
      <c r="G1252" s="129"/>
      <c r="H1252" s="129"/>
      <c r="I1252" s="166"/>
      <c r="J1252" s="180"/>
      <c r="K1252" s="128"/>
      <c r="L1252" s="127"/>
      <c r="M1252" s="168"/>
      <c r="N1252" s="173"/>
      <c r="O1252" s="141"/>
      <c r="P1252" s="140"/>
      <c r="Q1252" s="142"/>
      <c r="R1252" s="140"/>
      <c r="S1252" s="142"/>
      <c r="T1252" s="140"/>
    </row>
    <row r="1253" spans="3:20" ht="39.75" customHeight="1">
      <c r="C1253" s="196">
        <v>1250</v>
      </c>
      <c r="D1253" s="127"/>
      <c r="E1253" s="129"/>
      <c r="F1253" s="128"/>
      <c r="G1253" s="129"/>
      <c r="H1253" s="129"/>
      <c r="I1253" s="166"/>
      <c r="J1253" s="180"/>
      <c r="K1253" s="128"/>
      <c r="L1253" s="127"/>
      <c r="M1253" s="168"/>
      <c r="N1253" s="173"/>
      <c r="O1253" s="141"/>
      <c r="P1253" s="140"/>
      <c r="Q1253" s="142"/>
      <c r="R1253" s="140"/>
      <c r="S1253" s="142"/>
      <c r="T1253" s="140"/>
    </row>
    <row r="1254" spans="3:20" ht="39.75" customHeight="1">
      <c r="C1254" s="196">
        <v>1251</v>
      </c>
      <c r="D1254" s="127"/>
      <c r="E1254" s="129"/>
      <c r="F1254" s="128"/>
      <c r="G1254" s="129"/>
      <c r="H1254" s="129"/>
      <c r="I1254" s="166"/>
      <c r="J1254" s="180"/>
      <c r="K1254" s="128"/>
      <c r="L1254" s="127"/>
      <c r="M1254" s="168"/>
      <c r="N1254" s="173"/>
      <c r="O1254" s="141"/>
      <c r="P1254" s="140"/>
      <c r="Q1254" s="142"/>
      <c r="R1254" s="140"/>
      <c r="S1254" s="142"/>
      <c r="T1254" s="140"/>
    </row>
    <row r="1255" spans="3:20" ht="39.75" customHeight="1">
      <c r="C1255" s="196">
        <v>1252</v>
      </c>
      <c r="D1255" s="127"/>
      <c r="E1255" s="129"/>
      <c r="F1255" s="128"/>
      <c r="G1255" s="129"/>
      <c r="H1255" s="129"/>
      <c r="I1255" s="166"/>
      <c r="J1255" s="180"/>
      <c r="K1255" s="128"/>
      <c r="L1255" s="127"/>
      <c r="M1255" s="168"/>
      <c r="N1255" s="173"/>
      <c r="O1255" s="141"/>
      <c r="P1255" s="140"/>
      <c r="Q1255" s="142"/>
      <c r="R1255" s="140"/>
      <c r="S1255" s="142"/>
      <c r="T1255" s="140"/>
    </row>
    <row r="1256" spans="3:20" ht="39.75" customHeight="1">
      <c r="C1256" s="196">
        <v>1253</v>
      </c>
      <c r="D1256" s="127"/>
      <c r="E1256" s="129"/>
      <c r="F1256" s="128"/>
      <c r="G1256" s="129"/>
      <c r="H1256" s="129"/>
      <c r="I1256" s="166"/>
      <c r="J1256" s="180"/>
      <c r="K1256" s="128"/>
      <c r="L1256" s="127"/>
      <c r="M1256" s="168"/>
      <c r="N1256" s="173"/>
      <c r="O1256" s="141"/>
      <c r="P1256" s="140"/>
      <c r="Q1256" s="142"/>
      <c r="R1256" s="140"/>
      <c r="S1256" s="142"/>
      <c r="T1256" s="140"/>
    </row>
    <row r="1257" spans="3:20" ht="39.75" customHeight="1">
      <c r="C1257" s="196">
        <v>1254</v>
      </c>
      <c r="D1257" s="127"/>
      <c r="E1257" s="129"/>
      <c r="F1257" s="128"/>
      <c r="G1257" s="129"/>
      <c r="H1257" s="129"/>
      <c r="I1257" s="166"/>
      <c r="J1257" s="180"/>
      <c r="K1257" s="128"/>
      <c r="L1257" s="127"/>
      <c r="M1257" s="168"/>
      <c r="N1257" s="173"/>
      <c r="O1257" s="141"/>
      <c r="P1257" s="140"/>
      <c r="Q1257" s="142"/>
      <c r="R1257" s="140"/>
      <c r="S1257" s="142"/>
      <c r="T1257" s="140"/>
    </row>
    <row r="1258" spans="3:20" ht="39.75" customHeight="1">
      <c r="C1258" s="196">
        <v>1255</v>
      </c>
      <c r="D1258" s="127"/>
      <c r="E1258" s="129"/>
      <c r="F1258" s="128"/>
      <c r="G1258" s="129"/>
      <c r="H1258" s="129"/>
      <c r="I1258" s="166"/>
      <c r="J1258" s="180"/>
      <c r="K1258" s="128"/>
      <c r="L1258" s="127"/>
      <c r="M1258" s="168"/>
      <c r="N1258" s="173"/>
      <c r="O1258" s="141"/>
      <c r="P1258" s="140"/>
      <c r="Q1258" s="142"/>
      <c r="R1258" s="140"/>
      <c r="S1258" s="142"/>
      <c r="T1258" s="140"/>
    </row>
    <row r="1259" spans="3:20" ht="39.75" customHeight="1">
      <c r="C1259" s="196">
        <v>1256</v>
      </c>
      <c r="D1259" s="127"/>
      <c r="E1259" s="129"/>
      <c r="F1259" s="128"/>
      <c r="G1259" s="129"/>
      <c r="H1259" s="129"/>
      <c r="I1259" s="166"/>
      <c r="J1259" s="180"/>
      <c r="K1259" s="128"/>
      <c r="L1259" s="127"/>
      <c r="M1259" s="168"/>
      <c r="N1259" s="173"/>
      <c r="O1259" s="141"/>
      <c r="P1259" s="140"/>
      <c r="Q1259" s="142"/>
      <c r="R1259" s="140"/>
      <c r="S1259" s="142"/>
      <c r="T1259" s="140"/>
    </row>
    <row r="1260" spans="3:20" ht="39.75" customHeight="1">
      <c r="C1260" s="196">
        <v>1257</v>
      </c>
      <c r="D1260" s="127"/>
      <c r="E1260" s="129"/>
      <c r="F1260" s="128"/>
      <c r="G1260" s="129"/>
      <c r="H1260" s="129"/>
      <c r="I1260" s="166"/>
      <c r="J1260" s="180"/>
      <c r="K1260" s="128"/>
      <c r="L1260" s="127"/>
      <c r="M1260" s="168"/>
      <c r="N1260" s="173"/>
      <c r="O1260" s="141"/>
      <c r="P1260" s="140"/>
      <c r="Q1260" s="142"/>
      <c r="R1260" s="140"/>
      <c r="S1260" s="142"/>
      <c r="T1260" s="140"/>
    </row>
    <row r="1261" spans="3:20" ht="39.75" customHeight="1">
      <c r="C1261" s="196">
        <v>1258</v>
      </c>
      <c r="D1261" s="127"/>
      <c r="E1261" s="129"/>
      <c r="F1261" s="128"/>
      <c r="G1261" s="129"/>
      <c r="H1261" s="129"/>
      <c r="I1261" s="166"/>
      <c r="J1261" s="180"/>
      <c r="K1261" s="128"/>
      <c r="L1261" s="127"/>
      <c r="M1261" s="168"/>
      <c r="N1261" s="173"/>
      <c r="O1261" s="141"/>
      <c r="P1261" s="140"/>
      <c r="Q1261" s="142"/>
      <c r="R1261" s="140"/>
      <c r="S1261" s="142"/>
      <c r="T1261" s="140"/>
    </row>
    <row r="1262" spans="3:20" ht="39.75" customHeight="1">
      <c r="C1262" s="196">
        <v>1259</v>
      </c>
      <c r="D1262" s="127"/>
      <c r="E1262" s="129"/>
      <c r="F1262" s="128"/>
      <c r="G1262" s="129"/>
      <c r="H1262" s="129"/>
      <c r="I1262" s="166"/>
      <c r="J1262" s="180"/>
      <c r="K1262" s="128"/>
      <c r="L1262" s="127"/>
      <c r="M1262" s="168"/>
      <c r="N1262" s="173"/>
      <c r="O1262" s="141"/>
      <c r="P1262" s="140"/>
      <c r="Q1262" s="142"/>
      <c r="R1262" s="140"/>
      <c r="S1262" s="142"/>
      <c r="T1262" s="140"/>
    </row>
    <row r="1263" spans="3:20" ht="39.75" customHeight="1">
      <c r="C1263" s="196">
        <v>1260</v>
      </c>
      <c r="D1263" s="127"/>
      <c r="E1263" s="129"/>
      <c r="F1263" s="128"/>
      <c r="G1263" s="129"/>
      <c r="H1263" s="129"/>
      <c r="I1263" s="166"/>
      <c r="J1263" s="180"/>
      <c r="K1263" s="128"/>
      <c r="L1263" s="127"/>
      <c r="M1263" s="168"/>
      <c r="N1263" s="173"/>
      <c r="O1263" s="141"/>
      <c r="P1263" s="140"/>
      <c r="Q1263" s="142"/>
      <c r="R1263" s="140"/>
      <c r="S1263" s="142"/>
      <c r="T1263" s="140"/>
    </row>
    <row r="1264" spans="3:20" ht="39.75" customHeight="1">
      <c r="C1264" s="196">
        <v>1261</v>
      </c>
      <c r="D1264" s="127"/>
      <c r="E1264" s="129"/>
      <c r="F1264" s="128"/>
      <c r="G1264" s="129"/>
      <c r="H1264" s="129"/>
      <c r="I1264" s="166"/>
      <c r="J1264" s="180"/>
      <c r="K1264" s="128"/>
      <c r="L1264" s="127"/>
      <c r="M1264" s="168"/>
      <c r="N1264" s="173"/>
      <c r="O1264" s="141"/>
      <c r="P1264" s="140"/>
      <c r="Q1264" s="142"/>
      <c r="R1264" s="140"/>
      <c r="S1264" s="142"/>
      <c r="T1264" s="140"/>
    </row>
    <row r="1265" spans="3:20" ht="39.75" customHeight="1">
      <c r="C1265" s="196">
        <v>1262</v>
      </c>
      <c r="D1265" s="127"/>
      <c r="E1265" s="129"/>
      <c r="F1265" s="128"/>
      <c r="G1265" s="129"/>
      <c r="H1265" s="129"/>
      <c r="I1265" s="166"/>
      <c r="J1265" s="180"/>
      <c r="K1265" s="128"/>
      <c r="L1265" s="127"/>
      <c r="M1265" s="168"/>
      <c r="N1265" s="173"/>
      <c r="O1265" s="141"/>
      <c r="P1265" s="140"/>
      <c r="Q1265" s="142"/>
      <c r="R1265" s="140"/>
      <c r="S1265" s="142"/>
      <c r="T1265" s="140"/>
    </row>
    <row r="1266" spans="3:20" ht="39.75" customHeight="1">
      <c r="C1266" s="196">
        <v>1263</v>
      </c>
      <c r="D1266" s="127"/>
      <c r="E1266" s="129"/>
      <c r="F1266" s="128"/>
      <c r="G1266" s="129"/>
      <c r="H1266" s="129"/>
      <c r="I1266" s="166"/>
      <c r="J1266" s="180"/>
      <c r="K1266" s="128"/>
      <c r="L1266" s="127"/>
      <c r="M1266" s="168"/>
      <c r="N1266" s="173"/>
      <c r="O1266" s="141"/>
      <c r="P1266" s="140"/>
      <c r="Q1266" s="142"/>
      <c r="R1266" s="140"/>
      <c r="S1266" s="142"/>
      <c r="T1266" s="140"/>
    </row>
    <row r="1267" spans="3:20" ht="39.75" customHeight="1">
      <c r="C1267" s="196">
        <v>1264</v>
      </c>
      <c r="D1267" s="127"/>
      <c r="E1267" s="129"/>
      <c r="F1267" s="128"/>
      <c r="G1267" s="129"/>
      <c r="H1267" s="129"/>
      <c r="I1267" s="166"/>
      <c r="J1267" s="180"/>
      <c r="K1267" s="128"/>
      <c r="L1267" s="127"/>
      <c r="M1267" s="168"/>
      <c r="N1267" s="173"/>
      <c r="O1267" s="141"/>
      <c r="P1267" s="140"/>
      <c r="Q1267" s="142"/>
      <c r="R1267" s="140"/>
      <c r="S1267" s="142"/>
      <c r="T1267" s="140"/>
    </row>
    <row r="1268" spans="3:20" ht="39.75" customHeight="1">
      <c r="C1268" s="196">
        <v>1265</v>
      </c>
      <c r="D1268" s="127"/>
      <c r="E1268" s="129"/>
      <c r="F1268" s="128"/>
      <c r="G1268" s="129"/>
      <c r="H1268" s="129"/>
      <c r="I1268" s="166"/>
      <c r="J1268" s="180"/>
      <c r="K1268" s="128"/>
      <c r="L1268" s="127"/>
      <c r="M1268" s="168"/>
      <c r="N1268" s="173"/>
      <c r="O1268" s="141"/>
      <c r="P1268" s="140"/>
      <c r="Q1268" s="142"/>
      <c r="R1268" s="140"/>
      <c r="S1268" s="142"/>
      <c r="T1268" s="140"/>
    </row>
    <row r="1269" spans="3:20" ht="39.75" customHeight="1">
      <c r="C1269" s="196">
        <v>1266</v>
      </c>
      <c r="D1269" s="127"/>
      <c r="E1269" s="129"/>
      <c r="F1269" s="128"/>
      <c r="G1269" s="129"/>
      <c r="H1269" s="129"/>
      <c r="I1269" s="166"/>
      <c r="J1269" s="180"/>
      <c r="K1269" s="128"/>
      <c r="L1269" s="127"/>
      <c r="M1269" s="168"/>
      <c r="N1269" s="173"/>
      <c r="O1269" s="141"/>
      <c r="P1269" s="140"/>
      <c r="Q1269" s="142"/>
      <c r="R1269" s="140"/>
      <c r="S1269" s="142"/>
      <c r="T1269" s="140"/>
    </row>
    <row r="1270" spans="3:20" ht="39.75" customHeight="1">
      <c r="C1270" s="196">
        <v>1267</v>
      </c>
      <c r="D1270" s="127"/>
      <c r="E1270" s="129"/>
      <c r="F1270" s="128"/>
      <c r="G1270" s="129"/>
      <c r="H1270" s="129"/>
      <c r="I1270" s="166"/>
      <c r="J1270" s="180"/>
      <c r="K1270" s="128"/>
      <c r="L1270" s="127"/>
      <c r="M1270" s="168"/>
      <c r="N1270" s="173"/>
      <c r="O1270" s="141"/>
      <c r="P1270" s="140"/>
      <c r="Q1270" s="142"/>
      <c r="R1270" s="140"/>
      <c r="S1270" s="142"/>
      <c r="T1270" s="140"/>
    </row>
    <row r="1271" spans="3:20" ht="39.75" customHeight="1">
      <c r="C1271" s="196">
        <v>1268</v>
      </c>
      <c r="D1271" s="127"/>
      <c r="E1271" s="129"/>
      <c r="F1271" s="128"/>
      <c r="G1271" s="129"/>
      <c r="H1271" s="129"/>
      <c r="I1271" s="166"/>
      <c r="J1271" s="180"/>
      <c r="K1271" s="128"/>
      <c r="L1271" s="127"/>
      <c r="M1271" s="168"/>
      <c r="N1271" s="173"/>
      <c r="O1271" s="141"/>
      <c r="P1271" s="140"/>
      <c r="Q1271" s="142"/>
      <c r="R1271" s="140"/>
      <c r="S1271" s="142"/>
      <c r="T1271" s="140"/>
    </row>
    <row r="1272" spans="3:20" ht="39.75" customHeight="1">
      <c r="C1272" s="196">
        <v>1269</v>
      </c>
      <c r="D1272" s="127"/>
      <c r="E1272" s="129"/>
      <c r="F1272" s="128"/>
      <c r="G1272" s="129"/>
      <c r="H1272" s="129"/>
      <c r="I1272" s="166"/>
      <c r="J1272" s="180"/>
      <c r="K1272" s="128"/>
      <c r="L1272" s="127"/>
      <c r="M1272" s="168"/>
      <c r="N1272" s="173"/>
      <c r="O1272" s="141"/>
      <c r="P1272" s="140"/>
      <c r="Q1272" s="142"/>
      <c r="R1272" s="140"/>
      <c r="S1272" s="142"/>
      <c r="T1272" s="140"/>
    </row>
    <row r="1273" spans="3:20" ht="39.75" customHeight="1">
      <c r="C1273" s="196">
        <v>1270</v>
      </c>
      <c r="D1273" s="127"/>
      <c r="E1273" s="129"/>
      <c r="F1273" s="128"/>
      <c r="G1273" s="129"/>
      <c r="H1273" s="129"/>
      <c r="I1273" s="166"/>
      <c r="J1273" s="180"/>
      <c r="K1273" s="128"/>
      <c r="L1273" s="127"/>
      <c r="M1273" s="168"/>
      <c r="N1273" s="173"/>
      <c r="O1273" s="141"/>
      <c r="P1273" s="140"/>
      <c r="Q1273" s="142"/>
      <c r="R1273" s="140"/>
      <c r="S1273" s="142"/>
      <c r="T1273" s="140"/>
    </row>
    <row r="1274" spans="3:20" ht="39.75" customHeight="1">
      <c r="C1274" s="196">
        <v>1271</v>
      </c>
      <c r="D1274" s="127"/>
      <c r="E1274" s="129"/>
      <c r="F1274" s="128"/>
      <c r="G1274" s="129"/>
      <c r="H1274" s="129"/>
      <c r="I1274" s="166"/>
      <c r="J1274" s="180"/>
      <c r="K1274" s="128"/>
      <c r="L1274" s="127"/>
      <c r="M1274" s="168"/>
      <c r="N1274" s="173"/>
      <c r="O1274" s="141"/>
      <c r="P1274" s="140"/>
      <c r="Q1274" s="142"/>
      <c r="R1274" s="140"/>
      <c r="S1274" s="142"/>
      <c r="T1274" s="140"/>
    </row>
    <row r="1275" spans="3:20" ht="39.75" customHeight="1">
      <c r="C1275" s="196">
        <v>1272</v>
      </c>
      <c r="D1275" s="127"/>
      <c r="E1275" s="129"/>
      <c r="F1275" s="128"/>
      <c r="G1275" s="129"/>
      <c r="H1275" s="129"/>
      <c r="I1275" s="166"/>
      <c r="J1275" s="180"/>
      <c r="K1275" s="128"/>
      <c r="L1275" s="127"/>
      <c r="M1275" s="168"/>
      <c r="N1275" s="173"/>
      <c r="O1275" s="141"/>
      <c r="P1275" s="140"/>
      <c r="Q1275" s="142"/>
      <c r="R1275" s="140"/>
      <c r="S1275" s="142"/>
      <c r="T1275" s="140"/>
    </row>
    <row r="1276" spans="3:20" ht="39.75" customHeight="1">
      <c r="C1276" s="196">
        <v>1273</v>
      </c>
      <c r="D1276" s="127"/>
      <c r="E1276" s="129"/>
      <c r="F1276" s="128"/>
      <c r="G1276" s="129"/>
      <c r="H1276" s="129"/>
      <c r="I1276" s="166"/>
      <c r="J1276" s="180"/>
      <c r="K1276" s="128"/>
      <c r="L1276" s="127"/>
      <c r="M1276" s="168"/>
      <c r="N1276" s="173"/>
      <c r="O1276" s="141"/>
      <c r="P1276" s="140"/>
      <c r="Q1276" s="142"/>
      <c r="R1276" s="140"/>
      <c r="S1276" s="142"/>
      <c r="T1276" s="140"/>
    </row>
    <row r="1277" spans="3:20" ht="39.75" customHeight="1">
      <c r="C1277" s="196">
        <v>1274</v>
      </c>
      <c r="D1277" s="127"/>
      <c r="E1277" s="129"/>
      <c r="F1277" s="128"/>
      <c r="G1277" s="129"/>
      <c r="H1277" s="129"/>
      <c r="I1277" s="166"/>
      <c r="J1277" s="180"/>
      <c r="K1277" s="128"/>
      <c r="L1277" s="127"/>
      <c r="M1277" s="168"/>
      <c r="N1277" s="173"/>
      <c r="O1277" s="141"/>
      <c r="P1277" s="140"/>
      <c r="Q1277" s="142"/>
      <c r="R1277" s="140"/>
      <c r="S1277" s="142"/>
      <c r="T1277" s="140"/>
    </row>
    <row r="1278" spans="3:20" ht="39.75" customHeight="1">
      <c r="C1278" s="196">
        <v>1275</v>
      </c>
      <c r="D1278" s="127"/>
      <c r="E1278" s="129"/>
      <c r="F1278" s="128"/>
      <c r="G1278" s="129"/>
      <c r="H1278" s="129"/>
      <c r="I1278" s="166"/>
      <c r="J1278" s="180"/>
      <c r="K1278" s="128"/>
      <c r="L1278" s="127"/>
      <c r="M1278" s="168"/>
      <c r="N1278" s="173"/>
      <c r="O1278" s="141"/>
      <c r="P1278" s="140"/>
      <c r="Q1278" s="142"/>
      <c r="R1278" s="140"/>
      <c r="S1278" s="142"/>
      <c r="T1278" s="140"/>
    </row>
    <row r="1279" spans="3:20" ht="39.75" customHeight="1">
      <c r="C1279" s="196">
        <v>1276</v>
      </c>
      <c r="D1279" s="127"/>
      <c r="E1279" s="129"/>
      <c r="F1279" s="128"/>
      <c r="G1279" s="129"/>
      <c r="H1279" s="129"/>
      <c r="I1279" s="166"/>
      <c r="J1279" s="180"/>
      <c r="K1279" s="128"/>
      <c r="L1279" s="127"/>
      <c r="M1279" s="168"/>
      <c r="N1279" s="173"/>
      <c r="O1279" s="141"/>
      <c r="P1279" s="140"/>
      <c r="Q1279" s="142"/>
      <c r="R1279" s="140"/>
      <c r="S1279" s="142"/>
      <c r="T1279" s="140"/>
    </row>
    <row r="1280" spans="3:20" ht="39.75" customHeight="1">
      <c r="C1280" s="196">
        <v>1277</v>
      </c>
      <c r="D1280" s="127"/>
      <c r="E1280" s="129"/>
      <c r="F1280" s="128"/>
      <c r="G1280" s="129"/>
      <c r="H1280" s="129"/>
      <c r="I1280" s="166"/>
      <c r="J1280" s="180"/>
      <c r="K1280" s="128"/>
      <c r="L1280" s="127"/>
      <c r="M1280" s="168"/>
      <c r="N1280" s="173"/>
      <c r="O1280" s="141"/>
      <c r="P1280" s="140"/>
      <c r="Q1280" s="142"/>
      <c r="R1280" s="140"/>
      <c r="S1280" s="142"/>
      <c r="T1280" s="140"/>
    </row>
    <row r="1281" spans="3:20" ht="39.75" customHeight="1">
      <c r="C1281" s="196">
        <v>1278</v>
      </c>
      <c r="D1281" s="127"/>
      <c r="E1281" s="129"/>
      <c r="F1281" s="128"/>
      <c r="G1281" s="129"/>
      <c r="H1281" s="129"/>
      <c r="I1281" s="166"/>
      <c r="J1281" s="180"/>
      <c r="K1281" s="128"/>
      <c r="L1281" s="127"/>
      <c r="M1281" s="168"/>
      <c r="N1281" s="173"/>
      <c r="O1281" s="141"/>
      <c r="P1281" s="140"/>
      <c r="Q1281" s="142"/>
      <c r="R1281" s="140"/>
      <c r="S1281" s="142"/>
      <c r="T1281" s="140"/>
    </row>
    <row r="1282" spans="3:20" ht="39.75" customHeight="1">
      <c r="C1282" s="196">
        <v>1279</v>
      </c>
      <c r="D1282" s="127"/>
      <c r="E1282" s="129"/>
      <c r="F1282" s="128"/>
      <c r="G1282" s="129"/>
      <c r="H1282" s="129"/>
      <c r="I1282" s="166"/>
      <c r="J1282" s="180"/>
      <c r="K1282" s="128"/>
      <c r="L1282" s="127"/>
      <c r="M1282" s="168"/>
      <c r="N1282" s="173"/>
      <c r="O1282" s="141"/>
      <c r="P1282" s="140"/>
      <c r="Q1282" s="142"/>
      <c r="R1282" s="140"/>
      <c r="S1282" s="142"/>
      <c r="T1282" s="140"/>
    </row>
    <row r="1283" spans="3:20" ht="39.75" customHeight="1">
      <c r="C1283" s="196">
        <v>1280</v>
      </c>
      <c r="D1283" s="127"/>
      <c r="E1283" s="129"/>
      <c r="F1283" s="128"/>
      <c r="G1283" s="129"/>
      <c r="H1283" s="129"/>
      <c r="I1283" s="166"/>
      <c r="J1283" s="180"/>
      <c r="K1283" s="128"/>
      <c r="L1283" s="127"/>
      <c r="M1283" s="168"/>
      <c r="N1283" s="173"/>
      <c r="O1283" s="141"/>
      <c r="P1283" s="140"/>
      <c r="Q1283" s="142"/>
      <c r="R1283" s="140"/>
      <c r="S1283" s="142"/>
      <c r="T1283" s="140"/>
    </row>
    <row r="1284" spans="3:20" ht="39.75" customHeight="1">
      <c r="C1284" s="196">
        <v>1281</v>
      </c>
      <c r="D1284" s="127"/>
      <c r="E1284" s="129"/>
      <c r="F1284" s="128"/>
      <c r="G1284" s="129"/>
      <c r="H1284" s="129"/>
      <c r="I1284" s="166"/>
      <c r="J1284" s="180"/>
      <c r="K1284" s="128"/>
      <c r="L1284" s="127"/>
      <c r="M1284" s="168"/>
      <c r="N1284" s="173"/>
      <c r="O1284" s="141"/>
      <c r="P1284" s="140"/>
      <c r="Q1284" s="142"/>
      <c r="R1284" s="140"/>
      <c r="S1284" s="142"/>
      <c r="T1284" s="140"/>
    </row>
    <row r="1285" spans="3:20" ht="39.75" customHeight="1">
      <c r="C1285" s="196">
        <v>1282</v>
      </c>
      <c r="D1285" s="127"/>
      <c r="E1285" s="129"/>
      <c r="F1285" s="128"/>
      <c r="G1285" s="129"/>
      <c r="H1285" s="129"/>
      <c r="I1285" s="166"/>
      <c r="J1285" s="180"/>
      <c r="K1285" s="128"/>
      <c r="L1285" s="127"/>
      <c r="M1285" s="168"/>
      <c r="N1285" s="173"/>
      <c r="O1285" s="141"/>
      <c r="P1285" s="140"/>
      <c r="Q1285" s="142"/>
      <c r="R1285" s="140"/>
      <c r="S1285" s="142"/>
      <c r="T1285" s="140"/>
    </row>
    <row r="1286" spans="3:20" ht="39.75" customHeight="1">
      <c r="C1286" s="196">
        <v>1283</v>
      </c>
      <c r="D1286" s="127"/>
      <c r="E1286" s="129"/>
      <c r="F1286" s="128"/>
      <c r="G1286" s="129"/>
      <c r="H1286" s="129"/>
      <c r="I1286" s="166"/>
      <c r="J1286" s="180"/>
      <c r="K1286" s="128"/>
      <c r="L1286" s="127"/>
      <c r="M1286" s="168"/>
      <c r="N1286" s="173"/>
      <c r="O1286" s="141"/>
      <c r="P1286" s="140"/>
      <c r="Q1286" s="142"/>
      <c r="R1286" s="140"/>
      <c r="S1286" s="142"/>
      <c r="T1286" s="140"/>
    </row>
    <row r="1287" spans="3:20" ht="39.75" customHeight="1">
      <c r="C1287" s="196">
        <v>1284</v>
      </c>
      <c r="D1287" s="127"/>
      <c r="E1287" s="129"/>
      <c r="F1287" s="128"/>
      <c r="G1287" s="129"/>
      <c r="H1287" s="129"/>
      <c r="I1287" s="166"/>
      <c r="J1287" s="180"/>
      <c r="K1287" s="128"/>
      <c r="L1287" s="127"/>
      <c r="M1287" s="168"/>
      <c r="N1287" s="173"/>
      <c r="O1287" s="141"/>
      <c r="P1287" s="140"/>
      <c r="Q1287" s="142"/>
      <c r="R1287" s="140"/>
      <c r="S1287" s="142"/>
      <c r="T1287" s="140"/>
    </row>
    <row r="1288" spans="3:20" ht="39.75" customHeight="1">
      <c r="C1288" s="196">
        <v>1285</v>
      </c>
      <c r="D1288" s="127"/>
      <c r="E1288" s="129"/>
      <c r="F1288" s="128"/>
      <c r="G1288" s="129"/>
      <c r="H1288" s="129"/>
      <c r="I1288" s="166"/>
      <c r="J1288" s="180"/>
      <c r="K1288" s="128"/>
      <c r="L1288" s="127"/>
      <c r="M1288" s="168"/>
      <c r="N1288" s="173"/>
      <c r="O1288" s="141"/>
      <c r="P1288" s="140"/>
      <c r="Q1288" s="142"/>
      <c r="R1288" s="140"/>
      <c r="S1288" s="142"/>
      <c r="T1288" s="140"/>
    </row>
    <row r="1289" spans="3:20" ht="39.75" customHeight="1">
      <c r="C1289" s="196">
        <v>1286</v>
      </c>
      <c r="D1289" s="127"/>
      <c r="E1289" s="129"/>
      <c r="F1289" s="128"/>
      <c r="G1289" s="129"/>
      <c r="H1289" s="129"/>
      <c r="I1289" s="166"/>
      <c r="J1289" s="180"/>
      <c r="K1289" s="128"/>
      <c r="L1289" s="127"/>
      <c r="M1289" s="168"/>
      <c r="N1289" s="173"/>
      <c r="O1289" s="141"/>
      <c r="P1289" s="140"/>
      <c r="Q1289" s="142"/>
      <c r="R1289" s="140"/>
      <c r="S1289" s="142"/>
      <c r="T1289" s="140"/>
    </row>
    <row r="1290" spans="3:20" ht="39.75" customHeight="1">
      <c r="C1290" s="196">
        <v>1287</v>
      </c>
      <c r="D1290" s="127"/>
      <c r="E1290" s="129"/>
      <c r="F1290" s="128"/>
      <c r="G1290" s="129"/>
      <c r="H1290" s="129"/>
      <c r="I1290" s="166"/>
      <c r="J1290" s="180"/>
      <c r="K1290" s="128"/>
      <c r="L1290" s="127"/>
      <c r="M1290" s="168"/>
      <c r="N1290" s="173"/>
      <c r="O1290" s="141"/>
      <c r="P1290" s="140"/>
      <c r="Q1290" s="142"/>
      <c r="R1290" s="140"/>
      <c r="S1290" s="142"/>
      <c r="T1290" s="140"/>
    </row>
    <row r="1291" spans="3:20" ht="39.75" customHeight="1">
      <c r="C1291" s="196">
        <v>1288</v>
      </c>
      <c r="D1291" s="127"/>
      <c r="E1291" s="129"/>
      <c r="F1291" s="128"/>
      <c r="G1291" s="129"/>
      <c r="H1291" s="129"/>
      <c r="I1291" s="166"/>
      <c r="J1291" s="180"/>
      <c r="K1291" s="128"/>
      <c r="L1291" s="127"/>
      <c r="M1291" s="168"/>
      <c r="N1291" s="173"/>
      <c r="O1291" s="141"/>
      <c r="P1291" s="140"/>
      <c r="Q1291" s="142"/>
      <c r="R1291" s="140"/>
      <c r="S1291" s="142"/>
      <c r="T1291" s="140"/>
    </row>
    <row r="1292" spans="3:20" ht="39.75" customHeight="1">
      <c r="C1292" s="196">
        <v>1289</v>
      </c>
      <c r="D1292" s="127"/>
      <c r="E1292" s="129"/>
      <c r="F1292" s="128"/>
      <c r="G1292" s="129"/>
      <c r="H1292" s="129"/>
      <c r="I1292" s="166"/>
      <c r="J1292" s="180"/>
      <c r="K1292" s="128"/>
      <c r="L1292" s="127"/>
      <c r="M1292" s="168"/>
      <c r="N1292" s="173"/>
      <c r="O1292" s="141"/>
      <c r="P1292" s="140"/>
      <c r="Q1292" s="142"/>
      <c r="R1292" s="140"/>
      <c r="S1292" s="142"/>
      <c r="T1292" s="140"/>
    </row>
    <row r="1293" spans="3:20" ht="39.75" customHeight="1">
      <c r="C1293" s="196">
        <v>1290</v>
      </c>
      <c r="D1293" s="127"/>
      <c r="E1293" s="129"/>
      <c r="F1293" s="128"/>
      <c r="G1293" s="129"/>
      <c r="H1293" s="129"/>
      <c r="I1293" s="166"/>
      <c r="J1293" s="180"/>
      <c r="K1293" s="128"/>
      <c r="L1293" s="127"/>
      <c r="M1293" s="168"/>
      <c r="N1293" s="173"/>
      <c r="O1293" s="141"/>
      <c r="P1293" s="140"/>
      <c r="Q1293" s="142"/>
      <c r="R1293" s="140"/>
      <c r="S1293" s="142"/>
      <c r="T1293" s="140"/>
    </row>
    <row r="1294" spans="3:20" ht="39.75" customHeight="1">
      <c r="C1294" s="196">
        <v>1291</v>
      </c>
      <c r="D1294" s="127"/>
      <c r="E1294" s="129"/>
      <c r="F1294" s="128"/>
      <c r="G1294" s="129"/>
      <c r="H1294" s="129"/>
      <c r="I1294" s="166"/>
      <c r="J1294" s="180"/>
      <c r="K1294" s="128"/>
      <c r="L1294" s="127"/>
      <c r="M1294" s="168"/>
      <c r="N1294" s="173"/>
      <c r="O1294" s="141"/>
      <c r="P1294" s="140"/>
      <c r="Q1294" s="142"/>
      <c r="R1294" s="140"/>
      <c r="S1294" s="142"/>
      <c r="T1294" s="140"/>
    </row>
    <row r="1295" spans="3:20" ht="39.75" customHeight="1">
      <c r="C1295" s="196">
        <v>1292</v>
      </c>
      <c r="D1295" s="127"/>
      <c r="E1295" s="129"/>
      <c r="F1295" s="128"/>
      <c r="G1295" s="129"/>
      <c r="H1295" s="129"/>
      <c r="I1295" s="166"/>
      <c r="J1295" s="180"/>
      <c r="K1295" s="128"/>
      <c r="L1295" s="127"/>
      <c r="M1295" s="168"/>
      <c r="N1295" s="173"/>
      <c r="O1295" s="141"/>
      <c r="P1295" s="140"/>
      <c r="Q1295" s="142"/>
      <c r="R1295" s="140"/>
      <c r="S1295" s="142"/>
      <c r="T1295" s="140"/>
    </row>
    <row r="1296" spans="3:20" ht="39.75" customHeight="1">
      <c r="C1296" s="196">
        <v>1293</v>
      </c>
      <c r="D1296" s="127"/>
      <c r="E1296" s="129"/>
      <c r="F1296" s="128"/>
      <c r="G1296" s="129"/>
      <c r="H1296" s="129"/>
      <c r="I1296" s="166"/>
      <c r="J1296" s="180"/>
      <c r="K1296" s="128"/>
      <c r="L1296" s="127"/>
      <c r="M1296" s="168"/>
      <c r="N1296" s="173"/>
      <c r="O1296" s="141"/>
      <c r="P1296" s="140"/>
      <c r="Q1296" s="142"/>
      <c r="R1296" s="140"/>
      <c r="S1296" s="142"/>
      <c r="T1296" s="140"/>
    </row>
    <row r="1297" spans="3:20" ht="39.75" customHeight="1">
      <c r="C1297" s="196">
        <v>1294</v>
      </c>
      <c r="D1297" s="127"/>
      <c r="E1297" s="129"/>
      <c r="F1297" s="128"/>
      <c r="G1297" s="129"/>
      <c r="H1297" s="129"/>
      <c r="I1297" s="166"/>
      <c r="J1297" s="180"/>
      <c r="K1297" s="128"/>
      <c r="L1297" s="127"/>
      <c r="M1297" s="168"/>
      <c r="N1297" s="173"/>
      <c r="O1297" s="141"/>
      <c r="P1297" s="140"/>
      <c r="Q1297" s="142"/>
      <c r="R1297" s="140"/>
      <c r="S1297" s="142"/>
      <c r="T1297" s="140"/>
    </row>
    <row r="1298" spans="3:20" ht="39.75" customHeight="1">
      <c r="C1298" s="196">
        <v>1295</v>
      </c>
      <c r="D1298" s="127"/>
      <c r="E1298" s="129"/>
      <c r="F1298" s="128"/>
      <c r="G1298" s="129"/>
      <c r="H1298" s="129"/>
      <c r="I1298" s="166"/>
      <c r="J1298" s="180"/>
      <c r="K1298" s="128"/>
      <c r="L1298" s="127"/>
      <c r="M1298" s="168"/>
      <c r="N1298" s="173"/>
      <c r="O1298" s="141"/>
      <c r="P1298" s="140"/>
      <c r="Q1298" s="142"/>
      <c r="R1298" s="140"/>
      <c r="S1298" s="142"/>
      <c r="T1298" s="140"/>
    </row>
    <row r="1299" spans="3:20" ht="39.75" customHeight="1">
      <c r="C1299" s="196">
        <v>1296</v>
      </c>
      <c r="D1299" s="127"/>
      <c r="E1299" s="129"/>
      <c r="F1299" s="128"/>
      <c r="G1299" s="129"/>
      <c r="H1299" s="129"/>
      <c r="I1299" s="166"/>
      <c r="J1299" s="180"/>
      <c r="K1299" s="128"/>
      <c r="L1299" s="127"/>
      <c r="M1299" s="168"/>
      <c r="N1299" s="173"/>
      <c r="O1299" s="141"/>
      <c r="P1299" s="140"/>
      <c r="Q1299" s="142"/>
      <c r="R1299" s="140"/>
      <c r="S1299" s="142"/>
      <c r="T1299" s="140"/>
    </row>
    <row r="1300" spans="3:20" ht="39.75" customHeight="1">
      <c r="C1300" s="196">
        <v>1297</v>
      </c>
      <c r="D1300" s="127"/>
      <c r="E1300" s="129"/>
      <c r="F1300" s="128"/>
      <c r="G1300" s="129"/>
      <c r="H1300" s="129"/>
      <c r="I1300" s="166"/>
      <c r="J1300" s="180"/>
      <c r="K1300" s="128"/>
      <c r="L1300" s="127"/>
      <c r="M1300" s="168"/>
      <c r="N1300" s="173"/>
      <c r="O1300" s="141"/>
      <c r="P1300" s="140"/>
      <c r="Q1300" s="142"/>
      <c r="R1300" s="140"/>
      <c r="S1300" s="142"/>
      <c r="T1300" s="140"/>
    </row>
    <row r="1301" spans="3:20" ht="39.75" customHeight="1">
      <c r="C1301" s="196">
        <v>1298</v>
      </c>
      <c r="D1301" s="127"/>
      <c r="E1301" s="129"/>
      <c r="F1301" s="128"/>
      <c r="G1301" s="129"/>
      <c r="H1301" s="129"/>
      <c r="I1301" s="166"/>
      <c r="J1301" s="180"/>
      <c r="K1301" s="128"/>
      <c r="L1301" s="127"/>
      <c r="M1301" s="168"/>
      <c r="N1301" s="173"/>
      <c r="O1301" s="141"/>
      <c r="P1301" s="140"/>
      <c r="Q1301" s="142"/>
      <c r="R1301" s="140"/>
      <c r="S1301" s="142"/>
      <c r="T1301" s="140"/>
    </row>
    <row r="1302" spans="3:20" ht="39.75" customHeight="1">
      <c r="C1302" s="196">
        <v>1299</v>
      </c>
      <c r="D1302" s="127"/>
      <c r="E1302" s="129"/>
      <c r="F1302" s="128"/>
      <c r="G1302" s="129"/>
      <c r="H1302" s="129"/>
      <c r="I1302" s="166"/>
      <c r="J1302" s="180"/>
      <c r="K1302" s="128"/>
      <c r="L1302" s="127"/>
      <c r="M1302" s="168"/>
      <c r="N1302" s="173"/>
      <c r="O1302" s="141"/>
      <c r="P1302" s="140"/>
      <c r="Q1302" s="142"/>
      <c r="R1302" s="140"/>
      <c r="S1302" s="142"/>
      <c r="T1302" s="140"/>
    </row>
    <row r="1303" spans="3:20" ht="39.75" customHeight="1">
      <c r="C1303" s="196">
        <v>1300</v>
      </c>
      <c r="D1303" s="127"/>
      <c r="E1303" s="129"/>
      <c r="F1303" s="128"/>
      <c r="G1303" s="129"/>
      <c r="H1303" s="129"/>
      <c r="I1303" s="166"/>
      <c r="J1303" s="180"/>
      <c r="K1303" s="128"/>
      <c r="L1303" s="127"/>
      <c r="M1303" s="168"/>
      <c r="N1303" s="173"/>
      <c r="O1303" s="141"/>
      <c r="P1303" s="140"/>
      <c r="Q1303" s="142"/>
      <c r="R1303" s="140"/>
      <c r="S1303" s="142"/>
      <c r="T1303" s="140"/>
    </row>
    <row r="1304" spans="3:20" ht="39.75" customHeight="1">
      <c r="C1304" s="196">
        <v>1301</v>
      </c>
      <c r="D1304" s="127"/>
      <c r="E1304" s="129"/>
      <c r="F1304" s="128"/>
      <c r="G1304" s="129"/>
      <c r="H1304" s="129"/>
      <c r="I1304" s="166"/>
      <c r="J1304" s="180"/>
      <c r="K1304" s="128"/>
      <c r="L1304" s="127"/>
      <c r="M1304" s="168"/>
      <c r="N1304" s="173"/>
      <c r="O1304" s="141"/>
      <c r="P1304" s="140"/>
      <c r="Q1304" s="142"/>
      <c r="R1304" s="140"/>
      <c r="S1304" s="142"/>
      <c r="T1304" s="140"/>
    </row>
    <row r="1305" spans="3:20" ht="39.75" customHeight="1">
      <c r="C1305" s="196">
        <v>1302</v>
      </c>
      <c r="D1305" s="127"/>
      <c r="E1305" s="129"/>
      <c r="F1305" s="128"/>
      <c r="G1305" s="129"/>
      <c r="H1305" s="129"/>
      <c r="I1305" s="166"/>
      <c r="J1305" s="180"/>
      <c r="K1305" s="128"/>
      <c r="L1305" s="127"/>
      <c r="M1305" s="168"/>
      <c r="N1305" s="173"/>
      <c r="O1305" s="141"/>
      <c r="P1305" s="140"/>
      <c r="Q1305" s="142"/>
      <c r="R1305" s="140"/>
      <c r="S1305" s="142"/>
      <c r="T1305" s="140"/>
    </row>
    <row r="1306" spans="3:20" ht="39.75" customHeight="1">
      <c r="C1306" s="196">
        <v>1303</v>
      </c>
      <c r="D1306" s="127"/>
      <c r="E1306" s="129"/>
      <c r="F1306" s="128"/>
      <c r="G1306" s="129"/>
      <c r="H1306" s="129"/>
      <c r="I1306" s="166"/>
      <c r="J1306" s="180"/>
      <c r="K1306" s="128"/>
      <c r="L1306" s="127"/>
      <c r="M1306" s="168"/>
      <c r="N1306" s="173"/>
      <c r="O1306" s="141"/>
      <c r="P1306" s="140"/>
      <c r="Q1306" s="142"/>
      <c r="R1306" s="140"/>
      <c r="S1306" s="142"/>
      <c r="T1306" s="140"/>
    </row>
    <row r="1307" spans="3:20" ht="39.75" customHeight="1">
      <c r="C1307" s="196">
        <v>1304</v>
      </c>
      <c r="D1307" s="127"/>
      <c r="E1307" s="129"/>
      <c r="F1307" s="128"/>
      <c r="G1307" s="129"/>
      <c r="H1307" s="129"/>
      <c r="I1307" s="166"/>
      <c r="J1307" s="180"/>
      <c r="K1307" s="128"/>
      <c r="L1307" s="127"/>
      <c r="M1307" s="168"/>
      <c r="N1307" s="173"/>
      <c r="O1307" s="141"/>
      <c r="P1307" s="140"/>
      <c r="Q1307" s="142"/>
      <c r="R1307" s="140"/>
      <c r="S1307" s="142"/>
      <c r="T1307" s="140"/>
    </row>
    <row r="1308" spans="3:20" ht="39.75" customHeight="1">
      <c r="C1308" s="196">
        <v>1305</v>
      </c>
      <c r="D1308" s="127"/>
      <c r="E1308" s="129"/>
      <c r="F1308" s="128"/>
      <c r="G1308" s="129"/>
      <c r="H1308" s="129"/>
      <c r="I1308" s="166"/>
      <c r="J1308" s="180"/>
      <c r="K1308" s="128"/>
      <c r="L1308" s="127"/>
      <c r="M1308" s="168"/>
      <c r="N1308" s="173"/>
      <c r="O1308" s="141"/>
      <c r="P1308" s="140"/>
      <c r="Q1308" s="142"/>
      <c r="R1308" s="140"/>
      <c r="S1308" s="142"/>
      <c r="T1308" s="140"/>
    </row>
    <row r="1309" spans="3:20" ht="39.75" customHeight="1">
      <c r="C1309" s="196">
        <v>1306</v>
      </c>
      <c r="D1309" s="127"/>
      <c r="E1309" s="129"/>
      <c r="F1309" s="128"/>
      <c r="G1309" s="129"/>
      <c r="H1309" s="129"/>
      <c r="I1309" s="166"/>
      <c r="J1309" s="180"/>
      <c r="K1309" s="128"/>
      <c r="L1309" s="127"/>
      <c r="M1309" s="168"/>
      <c r="N1309" s="173"/>
      <c r="O1309" s="141"/>
      <c r="P1309" s="140"/>
      <c r="Q1309" s="142"/>
      <c r="R1309" s="140"/>
      <c r="S1309" s="142"/>
      <c r="T1309" s="140"/>
    </row>
    <row r="1310" spans="3:20" ht="39.75" customHeight="1">
      <c r="C1310" s="196">
        <v>1307</v>
      </c>
      <c r="D1310" s="127"/>
      <c r="E1310" s="129"/>
      <c r="F1310" s="128"/>
      <c r="G1310" s="129"/>
      <c r="H1310" s="129"/>
      <c r="I1310" s="166"/>
      <c r="J1310" s="180"/>
      <c r="K1310" s="128"/>
      <c r="L1310" s="127"/>
      <c r="M1310" s="168"/>
      <c r="N1310" s="173"/>
      <c r="O1310" s="141"/>
      <c r="P1310" s="140"/>
      <c r="Q1310" s="142"/>
      <c r="R1310" s="140"/>
      <c r="S1310" s="142"/>
      <c r="T1310" s="140"/>
    </row>
    <row r="1311" spans="3:20" ht="39.75" customHeight="1">
      <c r="C1311" s="196">
        <v>1308</v>
      </c>
      <c r="D1311" s="127"/>
      <c r="E1311" s="129"/>
      <c r="F1311" s="128"/>
      <c r="G1311" s="129"/>
      <c r="H1311" s="129"/>
      <c r="I1311" s="166"/>
      <c r="J1311" s="180"/>
      <c r="K1311" s="128"/>
      <c r="L1311" s="127"/>
      <c r="M1311" s="168"/>
      <c r="N1311" s="173"/>
      <c r="O1311" s="141"/>
      <c r="P1311" s="140"/>
      <c r="Q1311" s="142"/>
      <c r="R1311" s="140"/>
      <c r="S1311" s="142"/>
      <c r="T1311" s="140"/>
    </row>
    <row r="1312" spans="3:20" ht="39.75" customHeight="1">
      <c r="C1312" s="196">
        <v>1309</v>
      </c>
      <c r="D1312" s="127"/>
      <c r="E1312" s="129"/>
      <c r="F1312" s="128"/>
      <c r="G1312" s="129"/>
      <c r="H1312" s="129"/>
      <c r="I1312" s="166"/>
      <c r="J1312" s="180"/>
      <c r="K1312" s="128"/>
      <c r="L1312" s="127"/>
      <c r="M1312" s="168"/>
      <c r="N1312" s="173"/>
      <c r="O1312" s="141"/>
      <c r="P1312" s="140"/>
      <c r="Q1312" s="142"/>
      <c r="R1312" s="140"/>
      <c r="S1312" s="142"/>
      <c r="T1312" s="140"/>
    </row>
    <row r="1313" spans="3:20" ht="39.75" customHeight="1">
      <c r="C1313" s="196">
        <v>1310</v>
      </c>
      <c r="D1313" s="127"/>
      <c r="E1313" s="129"/>
      <c r="F1313" s="128"/>
      <c r="G1313" s="129"/>
      <c r="H1313" s="129"/>
      <c r="I1313" s="166"/>
      <c r="J1313" s="180"/>
      <c r="K1313" s="128"/>
      <c r="L1313" s="127"/>
      <c r="M1313" s="168"/>
      <c r="N1313" s="173"/>
      <c r="O1313" s="141"/>
      <c r="P1313" s="140"/>
      <c r="Q1313" s="142"/>
      <c r="R1313" s="140"/>
      <c r="S1313" s="142"/>
      <c r="T1313" s="140"/>
    </row>
    <row r="1314" spans="3:20" ht="39.75" customHeight="1">
      <c r="C1314" s="196">
        <v>1311</v>
      </c>
      <c r="D1314" s="127"/>
      <c r="E1314" s="129"/>
      <c r="F1314" s="128"/>
      <c r="G1314" s="129"/>
      <c r="H1314" s="129"/>
      <c r="I1314" s="166"/>
      <c r="J1314" s="180"/>
      <c r="K1314" s="128"/>
      <c r="L1314" s="127"/>
      <c r="M1314" s="168"/>
      <c r="N1314" s="173"/>
      <c r="O1314" s="141"/>
      <c r="P1314" s="140"/>
      <c r="Q1314" s="142"/>
      <c r="R1314" s="140"/>
      <c r="S1314" s="142"/>
      <c r="T1314" s="140"/>
    </row>
    <row r="1315" spans="3:20" ht="39.75" customHeight="1">
      <c r="C1315" s="196">
        <v>1312</v>
      </c>
      <c r="D1315" s="127"/>
      <c r="E1315" s="129"/>
      <c r="F1315" s="128"/>
      <c r="G1315" s="129"/>
      <c r="H1315" s="129"/>
      <c r="I1315" s="166"/>
      <c r="J1315" s="180"/>
      <c r="K1315" s="128"/>
      <c r="L1315" s="127"/>
      <c r="M1315" s="168"/>
      <c r="N1315" s="173"/>
      <c r="O1315" s="141"/>
      <c r="P1315" s="140"/>
      <c r="Q1315" s="142"/>
      <c r="R1315" s="140"/>
      <c r="S1315" s="142"/>
      <c r="T1315" s="140"/>
    </row>
    <row r="1316" spans="3:20" ht="39.75" customHeight="1">
      <c r="C1316" s="196">
        <v>1313</v>
      </c>
      <c r="D1316" s="127"/>
      <c r="E1316" s="129"/>
      <c r="F1316" s="128"/>
      <c r="G1316" s="129"/>
      <c r="H1316" s="129"/>
      <c r="I1316" s="166"/>
      <c r="J1316" s="180"/>
      <c r="K1316" s="128"/>
      <c r="L1316" s="127"/>
      <c r="M1316" s="168"/>
      <c r="N1316" s="173"/>
      <c r="O1316" s="141"/>
      <c r="P1316" s="140"/>
      <c r="Q1316" s="142"/>
      <c r="R1316" s="140"/>
      <c r="S1316" s="142"/>
      <c r="T1316" s="140"/>
    </row>
    <row r="1317" spans="3:20" ht="39.75" customHeight="1">
      <c r="C1317" s="196">
        <v>1314</v>
      </c>
      <c r="D1317" s="127"/>
      <c r="E1317" s="129"/>
      <c r="F1317" s="128"/>
      <c r="G1317" s="129"/>
      <c r="H1317" s="129"/>
      <c r="I1317" s="166"/>
      <c r="J1317" s="180"/>
      <c r="K1317" s="128"/>
      <c r="L1317" s="127"/>
      <c r="M1317" s="168"/>
      <c r="N1317" s="173"/>
      <c r="O1317" s="141"/>
      <c r="P1317" s="140"/>
      <c r="Q1317" s="142"/>
      <c r="R1317" s="140"/>
      <c r="S1317" s="142"/>
      <c r="T1317" s="140"/>
    </row>
    <row r="1318" spans="3:20" ht="39.75" customHeight="1">
      <c r="C1318" s="196">
        <v>1315</v>
      </c>
      <c r="D1318" s="127"/>
      <c r="E1318" s="129"/>
      <c r="F1318" s="128"/>
      <c r="G1318" s="129"/>
      <c r="H1318" s="129"/>
      <c r="I1318" s="166"/>
      <c r="J1318" s="180"/>
      <c r="K1318" s="128"/>
      <c r="L1318" s="127"/>
      <c r="M1318" s="168"/>
      <c r="N1318" s="173"/>
      <c r="O1318" s="141"/>
      <c r="P1318" s="140"/>
      <c r="Q1318" s="142"/>
      <c r="R1318" s="140"/>
      <c r="S1318" s="142"/>
      <c r="T1318" s="140"/>
    </row>
    <row r="1319" spans="3:20" ht="39.75" customHeight="1">
      <c r="C1319" s="196">
        <v>1316</v>
      </c>
      <c r="D1319" s="127"/>
      <c r="E1319" s="129"/>
      <c r="F1319" s="128"/>
      <c r="G1319" s="129"/>
      <c r="H1319" s="129"/>
      <c r="I1319" s="166"/>
      <c r="J1319" s="180"/>
      <c r="K1319" s="128"/>
      <c r="L1319" s="127"/>
      <c r="M1319" s="168"/>
      <c r="N1319" s="173"/>
      <c r="O1319" s="141"/>
      <c r="P1319" s="140"/>
      <c r="Q1319" s="142"/>
      <c r="R1319" s="140"/>
      <c r="S1319" s="142"/>
      <c r="T1319" s="140"/>
    </row>
    <row r="1320" spans="3:20" ht="39.75" customHeight="1">
      <c r="C1320" s="196">
        <v>1317</v>
      </c>
      <c r="D1320" s="127"/>
      <c r="E1320" s="129"/>
      <c r="F1320" s="128"/>
      <c r="G1320" s="129"/>
      <c r="H1320" s="129"/>
      <c r="I1320" s="166"/>
      <c r="J1320" s="180"/>
      <c r="K1320" s="128"/>
      <c r="L1320" s="127"/>
      <c r="M1320" s="168"/>
      <c r="N1320" s="173"/>
      <c r="O1320" s="141"/>
      <c r="P1320" s="140"/>
      <c r="Q1320" s="142"/>
      <c r="R1320" s="140"/>
      <c r="S1320" s="142"/>
      <c r="T1320" s="140"/>
    </row>
    <row r="1321" spans="3:20" ht="39.75" customHeight="1">
      <c r="C1321" s="196">
        <v>1318</v>
      </c>
      <c r="D1321" s="127"/>
      <c r="E1321" s="129"/>
      <c r="F1321" s="128"/>
      <c r="G1321" s="129"/>
      <c r="H1321" s="129"/>
      <c r="I1321" s="166"/>
      <c r="J1321" s="180"/>
      <c r="K1321" s="128"/>
      <c r="L1321" s="127"/>
      <c r="M1321" s="168"/>
      <c r="N1321" s="173"/>
      <c r="O1321" s="141"/>
      <c r="P1321" s="140"/>
      <c r="Q1321" s="142"/>
      <c r="R1321" s="140"/>
      <c r="S1321" s="142"/>
      <c r="T1321" s="140"/>
    </row>
    <row r="1322" spans="3:20" ht="39.75" customHeight="1">
      <c r="C1322" s="196">
        <v>1319</v>
      </c>
      <c r="D1322" s="127"/>
      <c r="E1322" s="129"/>
      <c r="F1322" s="128"/>
      <c r="G1322" s="129"/>
      <c r="H1322" s="129"/>
      <c r="I1322" s="166"/>
      <c r="J1322" s="180"/>
      <c r="K1322" s="128"/>
      <c r="L1322" s="127"/>
      <c r="M1322" s="168"/>
      <c r="N1322" s="173"/>
      <c r="O1322" s="141"/>
      <c r="P1322" s="140"/>
      <c r="Q1322" s="142"/>
      <c r="R1322" s="140"/>
      <c r="S1322" s="142"/>
      <c r="T1322" s="140"/>
    </row>
    <row r="1323" spans="3:20" ht="39.75" customHeight="1">
      <c r="C1323" s="196">
        <v>1320</v>
      </c>
      <c r="D1323" s="127"/>
      <c r="E1323" s="129"/>
      <c r="F1323" s="128"/>
      <c r="G1323" s="129"/>
      <c r="H1323" s="129"/>
      <c r="I1323" s="166"/>
      <c r="J1323" s="180"/>
      <c r="K1323" s="128"/>
      <c r="L1323" s="127"/>
      <c r="M1323" s="168"/>
      <c r="N1323" s="173"/>
      <c r="O1323" s="141"/>
      <c r="P1323" s="140"/>
      <c r="Q1323" s="142"/>
      <c r="R1323" s="140"/>
      <c r="S1323" s="142"/>
      <c r="T1323" s="140"/>
    </row>
    <row r="1324" spans="3:20" ht="39.75" customHeight="1">
      <c r="C1324" s="196">
        <v>1321</v>
      </c>
      <c r="D1324" s="127"/>
      <c r="E1324" s="129"/>
      <c r="F1324" s="128"/>
      <c r="G1324" s="129"/>
      <c r="H1324" s="129"/>
      <c r="I1324" s="166"/>
      <c r="J1324" s="180"/>
      <c r="K1324" s="128"/>
      <c r="L1324" s="127"/>
      <c r="M1324" s="168"/>
      <c r="N1324" s="173"/>
      <c r="O1324" s="141"/>
      <c r="P1324" s="140"/>
      <c r="Q1324" s="142"/>
      <c r="R1324" s="140"/>
      <c r="S1324" s="142"/>
      <c r="T1324" s="140"/>
    </row>
    <row r="1325" spans="3:20" ht="39.75" customHeight="1">
      <c r="C1325" s="196">
        <v>1322</v>
      </c>
      <c r="D1325" s="127"/>
      <c r="E1325" s="129"/>
      <c r="F1325" s="128"/>
      <c r="G1325" s="129"/>
      <c r="H1325" s="129"/>
      <c r="I1325" s="166"/>
      <c r="J1325" s="180"/>
      <c r="K1325" s="128"/>
      <c r="L1325" s="127"/>
      <c r="M1325" s="168"/>
      <c r="N1325" s="173"/>
      <c r="O1325" s="141"/>
      <c r="P1325" s="140"/>
      <c r="Q1325" s="142"/>
      <c r="R1325" s="140"/>
      <c r="S1325" s="142"/>
      <c r="T1325" s="140"/>
    </row>
    <row r="1326" spans="3:20" ht="39.75" customHeight="1">
      <c r="C1326" s="196">
        <v>1323</v>
      </c>
      <c r="D1326" s="127"/>
      <c r="E1326" s="129"/>
      <c r="F1326" s="128"/>
      <c r="G1326" s="129"/>
      <c r="H1326" s="129"/>
      <c r="I1326" s="166"/>
      <c r="J1326" s="180"/>
      <c r="K1326" s="128"/>
      <c r="L1326" s="127"/>
      <c r="M1326" s="168"/>
      <c r="N1326" s="173"/>
      <c r="O1326" s="141"/>
      <c r="P1326" s="140"/>
      <c r="Q1326" s="142"/>
      <c r="R1326" s="140"/>
      <c r="S1326" s="142"/>
      <c r="T1326" s="140"/>
    </row>
    <row r="1327" spans="3:20" ht="39.75" customHeight="1">
      <c r="C1327" s="196">
        <v>1324</v>
      </c>
      <c r="D1327" s="127"/>
      <c r="E1327" s="129"/>
      <c r="F1327" s="128"/>
      <c r="G1327" s="129"/>
      <c r="H1327" s="129"/>
      <c r="I1327" s="166"/>
      <c r="J1327" s="180"/>
      <c r="K1327" s="128"/>
      <c r="L1327" s="127"/>
      <c r="M1327" s="168"/>
      <c r="N1327" s="173"/>
      <c r="O1327" s="141"/>
      <c r="P1327" s="140"/>
      <c r="Q1327" s="142"/>
      <c r="R1327" s="140"/>
      <c r="S1327" s="142"/>
      <c r="T1327" s="140"/>
    </row>
    <row r="1328" spans="3:20" ht="39.75" customHeight="1">
      <c r="C1328" s="196">
        <v>1325</v>
      </c>
      <c r="D1328" s="127"/>
      <c r="E1328" s="129"/>
      <c r="F1328" s="128"/>
      <c r="G1328" s="129"/>
      <c r="H1328" s="129"/>
      <c r="I1328" s="166"/>
      <c r="J1328" s="180"/>
      <c r="K1328" s="128"/>
      <c r="L1328" s="127"/>
      <c r="M1328" s="168"/>
      <c r="N1328" s="173"/>
      <c r="O1328" s="141"/>
      <c r="P1328" s="140"/>
      <c r="Q1328" s="142"/>
      <c r="R1328" s="140"/>
      <c r="S1328" s="142"/>
      <c r="T1328" s="140"/>
    </row>
    <row r="1329" spans="3:20" ht="39.75" customHeight="1">
      <c r="C1329" s="196">
        <v>1326</v>
      </c>
      <c r="D1329" s="127"/>
      <c r="E1329" s="129"/>
      <c r="F1329" s="128"/>
      <c r="G1329" s="129"/>
      <c r="H1329" s="129"/>
      <c r="I1329" s="166"/>
      <c r="J1329" s="180"/>
      <c r="K1329" s="128"/>
      <c r="L1329" s="127"/>
      <c r="M1329" s="168"/>
      <c r="N1329" s="173"/>
      <c r="O1329" s="141"/>
      <c r="P1329" s="140"/>
      <c r="Q1329" s="142"/>
      <c r="R1329" s="140"/>
      <c r="S1329" s="142"/>
      <c r="T1329" s="140"/>
    </row>
    <row r="1330" spans="3:20" ht="39.75" customHeight="1">
      <c r="C1330" s="196">
        <v>1327</v>
      </c>
      <c r="D1330" s="127"/>
      <c r="E1330" s="129"/>
      <c r="F1330" s="128"/>
      <c r="G1330" s="129"/>
      <c r="H1330" s="129"/>
      <c r="I1330" s="166"/>
      <c r="J1330" s="180"/>
      <c r="K1330" s="128"/>
      <c r="L1330" s="127"/>
      <c r="M1330" s="168"/>
      <c r="N1330" s="173"/>
      <c r="O1330" s="141"/>
      <c r="P1330" s="140"/>
      <c r="Q1330" s="142"/>
      <c r="R1330" s="140"/>
      <c r="S1330" s="142"/>
      <c r="T1330" s="140"/>
    </row>
    <row r="1331" spans="3:20" ht="39.75" customHeight="1">
      <c r="C1331" s="196">
        <v>1328</v>
      </c>
      <c r="D1331" s="127"/>
      <c r="E1331" s="129"/>
      <c r="F1331" s="128"/>
      <c r="G1331" s="129"/>
      <c r="H1331" s="129"/>
      <c r="I1331" s="166"/>
      <c r="J1331" s="180"/>
      <c r="K1331" s="128"/>
      <c r="L1331" s="127"/>
      <c r="M1331" s="168"/>
      <c r="N1331" s="173"/>
      <c r="O1331" s="141"/>
      <c r="P1331" s="140"/>
      <c r="Q1331" s="142"/>
      <c r="R1331" s="140"/>
      <c r="S1331" s="142"/>
      <c r="T1331" s="140"/>
    </row>
    <row r="1332" spans="3:20" ht="39.75" customHeight="1">
      <c r="C1332" s="196">
        <v>1329</v>
      </c>
      <c r="D1332" s="127"/>
      <c r="E1332" s="129"/>
      <c r="F1332" s="128"/>
      <c r="G1332" s="129"/>
      <c r="H1332" s="129"/>
      <c r="I1332" s="166"/>
      <c r="J1332" s="180"/>
      <c r="K1332" s="128"/>
      <c r="L1332" s="127"/>
      <c r="M1332" s="168"/>
      <c r="N1332" s="173"/>
      <c r="O1332" s="141"/>
      <c r="P1332" s="140"/>
      <c r="Q1332" s="142"/>
      <c r="R1332" s="140"/>
      <c r="S1332" s="142"/>
      <c r="T1332" s="140"/>
    </row>
    <row r="1333" spans="3:20" ht="39.75" customHeight="1">
      <c r="C1333" s="196">
        <v>1330</v>
      </c>
      <c r="D1333" s="127"/>
      <c r="E1333" s="129"/>
      <c r="F1333" s="128"/>
      <c r="G1333" s="129"/>
      <c r="H1333" s="129"/>
      <c r="I1333" s="166"/>
      <c r="J1333" s="180"/>
      <c r="K1333" s="128"/>
      <c r="L1333" s="127"/>
      <c r="M1333" s="168"/>
      <c r="N1333" s="173"/>
      <c r="O1333" s="141"/>
      <c r="P1333" s="140"/>
      <c r="Q1333" s="142"/>
      <c r="R1333" s="140"/>
      <c r="S1333" s="142"/>
      <c r="T1333" s="140"/>
    </row>
    <row r="1334" spans="3:20" ht="39.75" customHeight="1">
      <c r="C1334" s="196">
        <v>1331</v>
      </c>
      <c r="D1334" s="127"/>
      <c r="E1334" s="129"/>
      <c r="F1334" s="128"/>
      <c r="G1334" s="129"/>
      <c r="H1334" s="129"/>
      <c r="I1334" s="166"/>
      <c r="J1334" s="180"/>
      <c r="K1334" s="128"/>
      <c r="L1334" s="127"/>
      <c r="M1334" s="168"/>
      <c r="N1334" s="173"/>
      <c r="O1334" s="141"/>
      <c r="P1334" s="140"/>
      <c r="Q1334" s="142"/>
      <c r="R1334" s="140"/>
      <c r="S1334" s="142"/>
      <c r="T1334" s="140"/>
    </row>
    <row r="1335" spans="3:20" ht="39.75" customHeight="1">
      <c r="C1335" s="196">
        <v>1332</v>
      </c>
      <c r="D1335" s="127"/>
      <c r="E1335" s="129"/>
      <c r="F1335" s="128"/>
      <c r="G1335" s="129"/>
      <c r="H1335" s="129"/>
      <c r="I1335" s="166"/>
      <c r="J1335" s="180"/>
      <c r="K1335" s="128"/>
      <c r="L1335" s="127"/>
      <c r="M1335" s="168"/>
      <c r="N1335" s="173"/>
      <c r="O1335" s="141"/>
      <c r="P1335" s="140"/>
      <c r="Q1335" s="142"/>
      <c r="R1335" s="140"/>
      <c r="S1335" s="142"/>
      <c r="T1335" s="140"/>
    </row>
    <row r="1336" spans="3:20" ht="39.75" customHeight="1">
      <c r="C1336" s="196">
        <v>1333</v>
      </c>
      <c r="D1336" s="127"/>
      <c r="E1336" s="129"/>
      <c r="F1336" s="128"/>
      <c r="G1336" s="129"/>
      <c r="H1336" s="129"/>
      <c r="I1336" s="166"/>
      <c r="J1336" s="180"/>
      <c r="K1336" s="128"/>
      <c r="L1336" s="127"/>
      <c r="M1336" s="168"/>
      <c r="N1336" s="173"/>
      <c r="O1336" s="141"/>
      <c r="P1336" s="140"/>
      <c r="Q1336" s="142"/>
      <c r="R1336" s="140"/>
      <c r="S1336" s="142"/>
      <c r="T1336" s="140"/>
    </row>
    <row r="1337" spans="3:20" ht="39.75" customHeight="1">
      <c r="C1337" s="196">
        <v>1334</v>
      </c>
      <c r="D1337" s="127"/>
      <c r="E1337" s="129"/>
      <c r="F1337" s="128"/>
      <c r="G1337" s="129"/>
      <c r="H1337" s="129"/>
      <c r="I1337" s="166"/>
      <c r="J1337" s="180"/>
      <c r="K1337" s="128"/>
      <c r="L1337" s="127"/>
      <c r="M1337" s="168"/>
      <c r="N1337" s="173"/>
      <c r="O1337" s="141"/>
      <c r="P1337" s="140"/>
      <c r="Q1337" s="142"/>
      <c r="R1337" s="140"/>
      <c r="S1337" s="142"/>
      <c r="T1337" s="140"/>
    </row>
    <row r="1338" spans="3:20" ht="39.75" customHeight="1">
      <c r="C1338" s="196">
        <v>1335</v>
      </c>
      <c r="D1338" s="127"/>
      <c r="E1338" s="129"/>
      <c r="F1338" s="128"/>
      <c r="G1338" s="129"/>
      <c r="H1338" s="129"/>
      <c r="I1338" s="166"/>
      <c r="J1338" s="180"/>
      <c r="K1338" s="128"/>
      <c r="L1338" s="127"/>
      <c r="M1338" s="168"/>
      <c r="N1338" s="173"/>
      <c r="O1338" s="141"/>
      <c r="P1338" s="140"/>
      <c r="Q1338" s="142"/>
      <c r="R1338" s="140"/>
      <c r="S1338" s="142"/>
      <c r="T1338" s="140"/>
    </row>
    <row r="1339" spans="3:20" ht="39.75" customHeight="1">
      <c r="C1339" s="196">
        <v>1336</v>
      </c>
      <c r="D1339" s="127"/>
      <c r="E1339" s="129"/>
      <c r="F1339" s="128"/>
      <c r="G1339" s="129"/>
      <c r="H1339" s="129"/>
      <c r="I1339" s="166"/>
      <c r="J1339" s="180"/>
      <c r="K1339" s="128"/>
      <c r="L1339" s="127"/>
      <c r="M1339" s="168"/>
      <c r="N1339" s="173"/>
      <c r="O1339" s="141"/>
      <c r="P1339" s="140"/>
      <c r="Q1339" s="142"/>
      <c r="R1339" s="140"/>
      <c r="S1339" s="142"/>
      <c r="T1339" s="140"/>
    </row>
    <row r="1340" spans="3:20" ht="39.75" customHeight="1">
      <c r="C1340" s="196">
        <v>1337</v>
      </c>
      <c r="D1340" s="127"/>
      <c r="E1340" s="129"/>
      <c r="F1340" s="128"/>
      <c r="G1340" s="129"/>
      <c r="H1340" s="129"/>
      <c r="I1340" s="166"/>
      <c r="J1340" s="180"/>
      <c r="K1340" s="128"/>
      <c r="L1340" s="127"/>
      <c r="M1340" s="168"/>
      <c r="N1340" s="173"/>
      <c r="O1340" s="141"/>
      <c r="P1340" s="140"/>
      <c r="Q1340" s="142"/>
      <c r="R1340" s="140"/>
      <c r="S1340" s="142"/>
      <c r="T1340" s="140"/>
    </row>
    <row r="1341" spans="3:20" ht="39.75" customHeight="1">
      <c r="C1341" s="196">
        <v>1338</v>
      </c>
      <c r="D1341" s="127"/>
      <c r="E1341" s="129"/>
      <c r="F1341" s="128"/>
      <c r="G1341" s="129"/>
      <c r="H1341" s="129"/>
      <c r="I1341" s="166"/>
      <c r="J1341" s="180"/>
      <c r="K1341" s="128"/>
      <c r="L1341" s="127"/>
      <c r="M1341" s="168"/>
      <c r="N1341" s="173"/>
      <c r="O1341" s="141"/>
      <c r="P1341" s="140"/>
      <c r="Q1341" s="142"/>
      <c r="R1341" s="140"/>
      <c r="S1341" s="142"/>
      <c r="T1341" s="140"/>
    </row>
    <row r="1342" spans="3:20" ht="39.75" customHeight="1">
      <c r="C1342" s="196">
        <v>1339</v>
      </c>
      <c r="D1342" s="127"/>
      <c r="E1342" s="129"/>
      <c r="F1342" s="128"/>
      <c r="G1342" s="129"/>
      <c r="H1342" s="129"/>
      <c r="I1342" s="166"/>
      <c r="J1342" s="180"/>
      <c r="K1342" s="128"/>
      <c r="L1342" s="127"/>
      <c r="M1342" s="168"/>
      <c r="N1342" s="173"/>
      <c r="O1342" s="141"/>
      <c r="P1342" s="140"/>
      <c r="Q1342" s="142"/>
      <c r="R1342" s="140"/>
      <c r="S1342" s="142"/>
      <c r="T1342" s="140"/>
    </row>
    <row r="1343" spans="3:20" ht="39.75" customHeight="1">
      <c r="C1343" s="196">
        <v>1340</v>
      </c>
      <c r="D1343" s="127"/>
      <c r="E1343" s="129"/>
      <c r="F1343" s="128"/>
      <c r="G1343" s="129"/>
      <c r="H1343" s="129"/>
      <c r="I1343" s="166"/>
      <c r="J1343" s="180"/>
      <c r="K1343" s="128"/>
      <c r="L1343" s="127"/>
      <c r="M1343" s="168"/>
      <c r="N1343" s="173"/>
      <c r="O1343" s="141"/>
      <c r="P1343" s="140"/>
      <c r="Q1343" s="142"/>
      <c r="R1343" s="140"/>
      <c r="S1343" s="142"/>
      <c r="T1343" s="140"/>
    </row>
    <row r="1344" spans="3:20" ht="39.75" customHeight="1">
      <c r="C1344" s="196">
        <v>1341</v>
      </c>
      <c r="D1344" s="127"/>
      <c r="E1344" s="129"/>
      <c r="F1344" s="128"/>
      <c r="G1344" s="129"/>
      <c r="H1344" s="129"/>
      <c r="I1344" s="166"/>
      <c r="J1344" s="180"/>
      <c r="K1344" s="128"/>
      <c r="L1344" s="127"/>
      <c r="M1344" s="168"/>
      <c r="N1344" s="173"/>
      <c r="O1344" s="141"/>
      <c r="P1344" s="140"/>
      <c r="Q1344" s="142"/>
      <c r="R1344" s="140"/>
      <c r="S1344" s="142"/>
      <c r="T1344" s="140"/>
    </row>
    <row r="1345" spans="3:20" ht="39.75" customHeight="1">
      <c r="C1345" s="196">
        <v>1342</v>
      </c>
      <c r="D1345" s="127"/>
      <c r="E1345" s="129"/>
      <c r="F1345" s="128"/>
      <c r="G1345" s="129"/>
      <c r="H1345" s="129"/>
      <c r="I1345" s="166"/>
      <c r="J1345" s="180"/>
      <c r="K1345" s="128"/>
      <c r="L1345" s="127"/>
      <c r="M1345" s="168"/>
      <c r="N1345" s="173"/>
      <c r="O1345" s="141"/>
      <c r="P1345" s="140"/>
      <c r="Q1345" s="142"/>
      <c r="R1345" s="140"/>
      <c r="S1345" s="142"/>
      <c r="T1345" s="140"/>
    </row>
    <row r="1346" spans="3:20" ht="39.75" customHeight="1">
      <c r="C1346" s="196">
        <v>1343</v>
      </c>
      <c r="D1346" s="127"/>
      <c r="E1346" s="129"/>
      <c r="F1346" s="128"/>
      <c r="G1346" s="129"/>
      <c r="H1346" s="129"/>
      <c r="I1346" s="166"/>
      <c r="J1346" s="180"/>
      <c r="K1346" s="128"/>
      <c r="L1346" s="127"/>
      <c r="M1346" s="168"/>
      <c r="N1346" s="173"/>
      <c r="O1346" s="141"/>
      <c r="P1346" s="140"/>
      <c r="Q1346" s="142"/>
      <c r="R1346" s="140"/>
      <c r="S1346" s="142"/>
      <c r="T1346" s="140"/>
    </row>
    <row r="1347" spans="3:20" ht="39.75" customHeight="1">
      <c r="C1347" s="196">
        <v>1344</v>
      </c>
      <c r="D1347" s="127"/>
      <c r="E1347" s="129"/>
      <c r="F1347" s="128"/>
      <c r="G1347" s="129"/>
      <c r="H1347" s="129"/>
      <c r="I1347" s="166"/>
      <c r="J1347" s="180"/>
      <c r="K1347" s="128"/>
      <c r="L1347" s="127"/>
      <c r="M1347" s="168"/>
      <c r="N1347" s="173"/>
      <c r="O1347" s="141"/>
      <c r="P1347" s="140"/>
      <c r="Q1347" s="142"/>
      <c r="R1347" s="140"/>
      <c r="S1347" s="142"/>
      <c r="T1347" s="140"/>
    </row>
    <row r="1348" spans="3:20" ht="39.75" customHeight="1">
      <c r="C1348" s="196">
        <v>1345</v>
      </c>
      <c r="D1348" s="127"/>
      <c r="E1348" s="129"/>
      <c r="F1348" s="128"/>
      <c r="G1348" s="129"/>
      <c r="H1348" s="129"/>
      <c r="I1348" s="166"/>
      <c r="J1348" s="180"/>
      <c r="K1348" s="128"/>
      <c r="L1348" s="127"/>
      <c r="M1348" s="168"/>
      <c r="N1348" s="173"/>
      <c r="O1348" s="141"/>
      <c r="P1348" s="140"/>
      <c r="Q1348" s="142"/>
      <c r="R1348" s="140"/>
      <c r="S1348" s="142"/>
      <c r="T1348" s="140"/>
    </row>
    <row r="1349" spans="3:20" ht="39.75" customHeight="1">
      <c r="C1349" s="196">
        <v>1346</v>
      </c>
      <c r="D1349" s="127"/>
      <c r="E1349" s="129"/>
      <c r="F1349" s="128"/>
      <c r="G1349" s="129"/>
      <c r="H1349" s="129"/>
      <c r="I1349" s="166"/>
      <c r="J1349" s="180"/>
      <c r="K1349" s="128"/>
      <c r="L1349" s="127"/>
      <c r="M1349" s="168"/>
      <c r="N1349" s="173"/>
      <c r="O1349" s="141"/>
      <c r="P1349" s="140"/>
      <c r="Q1349" s="142"/>
      <c r="R1349" s="140"/>
      <c r="S1349" s="142"/>
      <c r="T1349" s="140"/>
    </row>
    <row r="1350" spans="3:20" ht="39.75" customHeight="1">
      <c r="C1350" s="196">
        <v>1347</v>
      </c>
      <c r="D1350" s="127"/>
      <c r="E1350" s="129"/>
      <c r="F1350" s="128"/>
      <c r="G1350" s="129"/>
      <c r="H1350" s="129"/>
      <c r="I1350" s="166"/>
      <c r="J1350" s="180"/>
      <c r="K1350" s="128"/>
      <c r="L1350" s="127"/>
      <c r="M1350" s="168"/>
      <c r="N1350" s="173"/>
      <c r="O1350" s="141"/>
      <c r="P1350" s="140"/>
      <c r="Q1350" s="142"/>
      <c r="R1350" s="140"/>
      <c r="S1350" s="142"/>
      <c r="T1350" s="140"/>
    </row>
    <row r="1351" spans="3:20" ht="39.75" customHeight="1">
      <c r="C1351" s="196">
        <v>1348</v>
      </c>
      <c r="D1351" s="127"/>
      <c r="E1351" s="129"/>
      <c r="F1351" s="128"/>
      <c r="G1351" s="129"/>
      <c r="H1351" s="129"/>
      <c r="I1351" s="166"/>
      <c r="J1351" s="180"/>
      <c r="K1351" s="128"/>
      <c r="L1351" s="127"/>
      <c r="M1351" s="168"/>
      <c r="N1351" s="173"/>
      <c r="O1351" s="141"/>
      <c r="P1351" s="140"/>
      <c r="Q1351" s="142"/>
      <c r="R1351" s="140"/>
      <c r="S1351" s="142"/>
      <c r="T1351" s="140"/>
    </row>
    <row r="1352" spans="3:20" ht="39.75" customHeight="1">
      <c r="C1352" s="196">
        <v>1349</v>
      </c>
      <c r="D1352" s="127"/>
      <c r="E1352" s="129"/>
      <c r="F1352" s="128"/>
      <c r="G1352" s="129"/>
      <c r="H1352" s="129"/>
      <c r="I1352" s="166"/>
      <c r="J1352" s="180"/>
      <c r="K1352" s="128"/>
      <c r="L1352" s="127"/>
      <c r="M1352" s="168"/>
      <c r="N1352" s="173"/>
      <c r="O1352" s="141"/>
      <c r="P1352" s="140"/>
      <c r="Q1352" s="142"/>
      <c r="R1352" s="140"/>
      <c r="S1352" s="142"/>
      <c r="T1352" s="140"/>
    </row>
    <row r="1353" spans="3:20" ht="39.75" customHeight="1">
      <c r="C1353" s="196">
        <v>1350</v>
      </c>
      <c r="D1353" s="127"/>
      <c r="E1353" s="129"/>
      <c r="F1353" s="128"/>
      <c r="G1353" s="129"/>
      <c r="H1353" s="129"/>
      <c r="I1353" s="166"/>
      <c r="J1353" s="180"/>
      <c r="K1353" s="128"/>
      <c r="L1353" s="127"/>
      <c r="M1353" s="168"/>
      <c r="N1353" s="173"/>
      <c r="O1353" s="141"/>
      <c r="P1353" s="140"/>
      <c r="Q1353" s="142"/>
      <c r="R1353" s="140"/>
      <c r="S1353" s="142"/>
      <c r="T1353" s="140"/>
    </row>
    <row r="1354" spans="3:20" ht="39.75" customHeight="1">
      <c r="C1354" s="196">
        <v>1351</v>
      </c>
      <c r="D1354" s="127"/>
      <c r="E1354" s="129"/>
      <c r="F1354" s="128"/>
      <c r="G1354" s="129"/>
      <c r="H1354" s="129"/>
      <c r="I1354" s="166"/>
      <c r="J1354" s="180"/>
      <c r="K1354" s="128"/>
      <c r="L1354" s="127"/>
      <c r="M1354" s="168"/>
      <c r="N1354" s="173"/>
      <c r="O1354" s="141"/>
      <c r="P1354" s="140"/>
      <c r="Q1354" s="142"/>
      <c r="R1354" s="140"/>
      <c r="S1354" s="142"/>
      <c r="T1354" s="140"/>
    </row>
    <row r="1355" spans="3:20" ht="39.75" customHeight="1">
      <c r="C1355" s="196">
        <v>1352</v>
      </c>
      <c r="D1355" s="127"/>
      <c r="E1355" s="129"/>
      <c r="F1355" s="128"/>
      <c r="G1355" s="129"/>
      <c r="H1355" s="129"/>
      <c r="I1355" s="166"/>
      <c r="J1355" s="180"/>
      <c r="K1355" s="128"/>
      <c r="L1355" s="127"/>
      <c r="M1355" s="168"/>
      <c r="N1355" s="173"/>
      <c r="O1355" s="141"/>
      <c r="P1355" s="140"/>
      <c r="Q1355" s="142"/>
      <c r="R1355" s="140"/>
      <c r="S1355" s="142"/>
      <c r="T1355" s="140"/>
    </row>
    <row r="1356" spans="3:20" ht="39.75" customHeight="1">
      <c r="C1356" s="196">
        <v>1353</v>
      </c>
      <c r="D1356" s="127"/>
      <c r="E1356" s="129"/>
      <c r="F1356" s="128"/>
      <c r="G1356" s="129"/>
      <c r="H1356" s="129"/>
      <c r="I1356" s="166"/>
      <c r="J1356" s="180"/>
      <c r="K1356" s="128"/>
      <c r="L1356" s="127"/>
      <c r="M1356" s="168"/>
      <c r="N1356" s="173"/>
      <c r="O1356" s="141"/>
      <c r="P1356" s="140"/>
      <c r="Q1356" s="142"/>
      <c r="R1356" s="140"/>
      <c r="S1356" s="142"/>
      <c r="T1356" s="140"/>
    </row>
    <row r="1357" spans="3:20" ht="39.75" customHeight="1">
      <c r="C1357" s="196">
        <v>1354</v>
      </c>
      <c r="D1357" s="127"/>
      <c r="E1357" s="129"/>
      <c r="F1357" s="128"/>
      <c r="G1357" s="129"/>
      <c r="H1357" s="129"/>
      <c r="I1357" s="166"/>
      <c r="J1357" s="180"/>
      <c r="K1357" s="128"/>
      <c r="L1357" s="127"/>
      <c r="M1357" s="168"/>
      <c r="N1357" s="173"/>
      <c r="O1357" s="141"/>
      <c r="P1357" s="140"/>
      <c r="Q1357" s="142"/>
      <c r="R1357" s="140"/>
      <c r="S1357" s="142"/>
      <c r="T1357" s="140"/>
    </row>
    <row r="1358" spans="3:20" ht="39.75" customHeight="1">
      <c r="C1358" s="196">
        <v>1355</v>
      </c>
      <c r="D1358" s="127"/>
      <c r="E1358" s="129"/>
      <c r="F1358" s="128"/>
      <c r="G1358" s="129"/>
      <c r="H1358" s="129"/>
      <c r="I1358" s="166"/>
      <c r="J1358" s="180"/>
      <c r="K1358" s="128"/>
      <c r="L1358" s="127"/>
      <c r="M1358" s="168"/>
      <c r="N1358" s="173"/>
      <c r="O1358" s="141"/>
      <c r="P1358" s="140"/>
      <c r="Q1358" s="142"/>
      <c r="R1358" s="140"/>
      <c r="S1358" s="142"/>
      <c r="T1358" s="140"/>
    </row>
    <row r="1359" spans="3:20" ht="39.75" customHeight="1">
      <c r="C1359" s="196">
        <v>1356</v>
      </c>
      <c r="D1359" s="127"/>
      <c r="E1359" s="129"/>
      <c r="F1359" s="128"/>
      <c r="G1359" s="129"/>
      <c r="H1359" s="129"/>
      <c r="I1359" s="166"/>
      <c r="J1359" s="180"/>
      <c r="K1359" s="128"/>
      <c r="L1359" s="127"/>
      <c r="M1359" s="168"/>
      <c r="N1359" s="173"/>
      <c r="O1359" s="141"/>
      <c r="P1359" s="140"/>
      <c r="Q1359" s="142"/>
      <c r="R1359" s="140"/>
      <c r="S1359" s="142"/>
      <c r="T1359" s="140"/>
    </row>
    <row r="1360" spans="3:20" ht="39.75" customHeight="1">
      <c r="C1360" s="196">
        <v>1357</v>
      </c>
      <c r="D1360" s="127"/>
      <c r="E1360" s="129"/>
      <c r="F1360" s="128"/>
      <c r="G1360" s="129"/>
      <c r="H1360" s="129"/>
      <c r="I1360" s="166"/>
      <c r="J1360" s="180"/>
      <c r="K1360" s="128"/>
      <c r="L1360" s="127"/>
      <c r="M1360" s="168"/>
      <c r="N1360" s="173"/>
      <c r="O1360" s="141"/>
      <c r="P1360" s="140"/>
      <c r="Q1360" s="142"/>
      <c r="R1360" s="140"/>
      <c r="S1360" s="142"/>
      <c r="T1360" s="140"/>
    </row>
    <row r="1361" spans="3:20" ht="39.75" customHeight="1">
      <c r="C1361" s="196">
        <v>1358</v>
      </c>
      <c r="D1361" s="127"/>
      <c r="E1361" s="129"/>
      <c r="F1361" s="128"/>
      <c r="G1361" s="129"/>
      <c r="H1361" s="129"/>
      <c r="I1361" s="166"/>
      <c r="J1361" s="180"/>
      <c r="K1361" s="128"/>
      <c r="L1361" s="127"/>
      <c r="M1361" s="168"/>
      <c r="N1361" s="173"/>
      <c r="O1361" s="141"/>
      <c r="P1361" s="140"/>
      <c r="Q1361" s="142"/>
      <c r="R1361" s="140"/>
      <c r="S1361" s="142"/>
      <c r="T1361" s="140"/>
    </row>
    <row r="1362" spans="3:20" ht="39.75" customHeight="1">
      <c r="C1362" s="196">
        <v>1359</v>
      </c>
      <c r="D1362" s="127"/>
      <c r="E1362" s="129"/>
      <c r="F1362" s="128"/>
      <c r="G1362" s="129"/>
      <c r="H1362" s="129"/>
      <c r="I1362" s="166"/>
      <c r="J1362" s="180"/>
      <c r="K1362" s="128"/>
      <c r="L1362" s="127"/>
      <c r="M1362" s="168"/>
      <c r="N1362" s="173"/>
      <c r="O1362" s="141"/>
      <c r="P1362" s="140"/>
      <c r="Q1362" s="142"/>
      <c r="R1362" s="140"/>
      <c r="S1362" s="142"/>
      <c r="T1362" s="140"/>
    </row>
    <row r="1363" spans="3:20" ht="39.75" customHeight="1">
      <c r="C1363" s="196">
        <v>1360</v>
      </c>
      <c r="D1363" s="127"/>
      <c r="E1363" s="129"/>
      <c r="F1363" s="128"/>
      <c r="G1363" s="129"/>
      <c r="H1363" s="129"/>
      <c r="I1363" s="166"/>
      <c r="J1363" s="180"/>
      <c r="K1363" s="128"/>
      <c r="L1363" s="127"/>
      <c r="M1363" s="168"/>
      <c r="N1363" s="173"/>
      <c r="O1363" s="141"/>
      <c r="P1363" s="140"/>
      <c r="Q1363" s="142"/>
      <c r="R1363" s="140"/>
      <c r="S1363" s="142"/>
      <c r="T1363" s="140"/>
    </row>
    <row r="1364" spans="3:20" ht="39.75" customHeight="1">
      <c r="C1364" s="196">
        <v>1361</v>
      </c>
      <c r="D1364" s="127"/>
      <c r="E1364" s="129"/>
      <c r="F1364" s="128"/>
      <c r="G1364" s="129"/>
      <c r="H1364" s="129"/>
      <c r="I1364" s="166"/>
      <c r="J1364" s="180"/>
      <c r="K1364" s="128"/>
      <c r="L1364" s="127"/>
      <c r="M1364" s="168"/>
      <c r="N1364" s="173"/>
      <c r="O1364" s="141"/>
      <c r="P1364" s="140"/>
      <c r="Q1364" s="142"/>
      <c r="R1364" s="140"/>
      <c r="S1364" s="142"/>
      <c r="T1364" s="140"/>
    </row>
    <row r="1365" spans="3:20" ht="39.75" customHeight="1">
      <c r="C1365" s="196">
        <v>1362</v>
      </c>
      <c r="D1365" s="127"/>
      <c r="E1365" s="129"/>
      <c r="F1365" s="128"/>
      <c r="G1365" s="129"/>
      <c r="H1365" s="129"/>
      <c r="I1365" s="166"/>
      <c r="J1365" s="180"/>
      <c r="K1365" s="128"/>
      <c r="L1365" s="127"/>
      <c r="M1365" s="168"/>
      <c r="N1365" s="173"/>
      <c r="O1365" s="141"/>
      <c r="P1365" s="140"/>
      <c r="Q1365" s="142"/>
      <c r="R1365" s="140"/>
      <c r="S1365" s="142"/>
      <c r="T1365" s="140"/>
    </row>
    <row r="1366" spans="3:20" ht="39.75" customHeight="1">
      <c r="C1366" s="196">
        <v>1363</v>
      </c>
      <c r="D1366" s="127"/>
      <c r="E1366" s="129"/>
      <c r="F1366" s="128"/>
      <c r="G1366" s="129"/>
      <c r="H1366" s="129"/>
      <c r="I1366" s="166"/>
      <c r="J1366" s="180"/>
      <c r="K1366" s="128"/>
      <c r="L1366" s="127"/>
      <c r="M1366" s="168"/>
      <c r="N1366" s="173"/>
      <c r="O1366" s="141"/>
      <c r="P1366" s="140"/>
      <c r="Q1366" s="142"/>
      <c r="R1366" s="140"/>
      <c r="S1366" s="142"/>
      <c r="T1366" s="140"/>
    </row>
    <row r="1367" spans="3:20" ht="39.75" customHeight="1">
      <c r="C1367" s="196">
        <v>1364</v>
      </c>
      <c r="D1367" s="127"/>
      <c r="E1367" s="129"/>
      <c r="F1367" s="128"/>
      <c r="G1367" s="129"/>
      <c r="H1367" s="129"/>
      <c r="I1367" s="166"/>
      <c r="J1367" s="180"/>
      <c r="K1367" s="128"/>
      <c r="L1367" s="127"/>
      <c r="M1367" s="168"/>
      <c r="N1367" s="173"/>
      <c r="O1367" s="141"/>
      <c r="P1367" s="140"/>
      <c r="Q1367" s="142"/>
      <c r="R1367" s="140"/>
      <c r="S1367" s="142"/>
      <c r="T1367" s="140"/>
    </row>
    <row r="1368" spans="3:20" ht="39.75" customHeight="1">
      <c r="C1368" s="196">
        <v>1365</v>
      </c>
      <c r="D1368" s="127"/>
      <c r="E1368" s="129"/>
      <c r="F1368" s="128"/>
      <c r="G1368" s="129"/>
      <c r="H1368" s="129"/>
      <c r="I1368" s="166"/>
      <c r="J1368" s="180"/>
      <c r="K1368" s="128"/>
      <c r="L1368" s="127"/>
      <c r="M1368" s="168"/>
      <c r="N1368" s="173"/>
      <c r="O1368" s="141"/>
      <c r="P1368" s="140"/>
      <c r="Q1368" s="142"/>
      <c r="R1368" s="140"/>
      <c r="S1368" s="142"/>
      <c r="T1368" s="140"/>
    </row>
    <row r="1369" spans="3:20" ht="39.75" customHeight="1">
      <c r="C1369" s="196">
        <v>1366</v>
      </c>
      <c r="D1369" s="127"/>
      <c r="E1369" s="129"/>
      <c r="F1369" s="128"/>
      <c r="G1369" s="129"/>
      <c r="H1369" s="129"/>
      <c r="I1369" s="166"/>
      <c r="J1369" s="180"/>
      <c r="K1369" s="128"/>
      <c r="L1369" s="127"/>
      <c r="M1369" s="168"/>
      <c r="N1369" s="173"/>
      <c r="O1369" s="141"/>
      <c r="P1369" s="140"/>
      <c r="Q1369" s="142"/>
      <c r="R1369" s="140"/>
      <c r="S1369" s="142"/>
      <c r="T1369" s="140"/>
    </row>
    <row r="1370" spans="3:20" ht="39.75" customHeight="1">
      <c r="C1370" s="196">
        <v>1367</v>
      </c>
      <c r="D1370" s="127"/>
      <c r="E1370" s="129"/>
      <c r="F1370" s="128"/>
      <c r="G1370" s="129"/>
      <c r="H1370" s="129"/>
      <c r="I1370" s="166"/>
      <c r="J1370" s="180"/>
      <c r="K1370" s="128"/>
      <c r="L1370" s="127"/>
      <c r="M1370" s="168"/>
      <c r="N1370" s="173"/>
      <c r="O1370" s="141"/>
      <c r="P1370" s="140"/>
      <c r="Q1370" s="142"/>
      <c r="R1370" s="140"/>
      <c r="S1370" s="142"/>
      <c r="T1370" s="140"/>
    </row>
    <row r="1371" spans="3:20" ht="39.75" customHeight="1">
      <c r="C1371" s="196">
        <v>1368</v>
      </c>
      <c r="D1371" s="127"/>
      <c r="E1371" s="129"/>
      <c r="F1371" s="128"/>
      <c r="G1371" s="129"/>
      <c r="H1371" s="129"/>
      <c r="I1371" s="166"/>
      <c r="J1371" s="180"/>
      <c r="K1371" s="128"/>
      <c r="L1371" s="127"/>
      <c r="M1371" s="168"/>
      <c r="N1371" s="173"/>
      <c r="O1371" s="141"/>
      <c r="P1371" s="140"/>
      <c r="Q1371" s="142"/>
      <c r="R1371" s="140"/>
      <c r="S1371" s="142"/>
      <c r="T1371" s="140"/>
    </row>
    <row r="1372" spans="3:20" ht="39.75" customHeight="1">
      <c r="C1372" s="196">
        <v>1369</v>
      </c>
      <c r="D1372" s="127"/>
      <c r="E1372" s="129"/>
      <c r="F1372" s="128"/>
      <c r="G1372" s="129"/>
      <c r="H1372" s="129"/>
      <c r="I1372" s="166"/>
      <c r="J1372" s="180"/>
      <c r="K1372" s="128"/>
      <c r="L1372" s="127"/>
      <c r="M1372" s="168"/>
      <c r="N1372" s="173"/>
      <c r="O1372" s="141"/>
      <c r="P1372" s="140"/>
      <c r="Q1372" s="142"/>
      <c r="R1372" s="140"/>
      <c r="S1372" s="142"/>
      <c r="T1372" s="140"/>
    </row>
    <row r="1373" spans="3:20" ht="39.75" customHeight="1">
      <c r="C1373" s="196">
        <v>1370</v>
      </c>
      <c r="D1373" s="127"/>
      <c r="E1373" s="129"/>
      <c r="F1373" s="128"/>
      <c r="G1373" s="129"/>
      <c r="H1373" s="129"/>
      <c r="I1373" s="166"/>
      <c r="J1373" s="180"/>
      <c r="K1373" s="128"/>
      <c r="L1373" s="127"/>
      <c r="M1373" s="168"/>
      <c r="N1373" s="173"/>
      <c r="O1373" s="141"/>
      <c r="P1373" s="140"/>
      <c r="Q1373" s="142"/>
      <c r="R1373" s="140"/>
      <c r="S1373" s="142"/>
      <c r="T1373" s="140"/>
    </row>
    <row r="1374" spans="3:20" ht="39.75" customHeight="1">
      <c r="C1374" s="196">
        <v>1371</v>
      </c>
      <c r="D1374" s="127"/>
      <c r="E1374" s="129"/>
      <c r="F1374" s="128"/>
      <c r="G1374" s="129"/>
      <c r="H1374" s="129"/>
      <c r="I1374" s="166"/>
      <c r="J1374" s="180"/>
      <c r="K1374" s="128"/>
      <c r="L1374" s="127"/>
      <c r="M1374" s="168"/>
      <c r="N1374" s="173"/>
      <c r="O1374" s="141"/>
      <c r="P1374" s="140"/>
      <c r="Q1374" s="142"/>
      <c r="R1374" s="140"/>
      <c r="S1374" s="142"/>
      <c r="T1374" s="140"/>
    </row>
    <row r="1375" spans="3:20" ht="39.75" customHeight="1">
      <c r="C1375" s="196">
        <v>1372</v>
      </c>
      <c r="D1375" s="127"/>
      <c r="E1375" s="129"/>
      <c r="F1375" s="128"/>
      <c r="G1375" s="129"/>
      <c r="H1375" s="129"/>
      <c r="I1375" s="166"/>
      <c r="J1375" s="180"/>
      <c r="K1375" s="128"/>
      <c r="L1375" s="127"/>
      <c r="M1375" s="168"/>
      <c r="N1375" s="173"/>
      <c r="O1375" s="141"/>
      <c r="P1375" s="140"/>
      <c r="Q1375" s="142"/>
      <c r="R1375" s="140"/>
      <c r="S1375" s="142"/>
      <c r="T1375" s="140"/>
    </row>
    <row r="1376" spans="3:20" ht="39.75" customHeight="1">
      <c r="C1376" s="196">
        <v>1373</v>
      </c>
      <c r="D1376" s="127"/>
      <c r="E1376" s="129"/>
      <c r="F1376" s="128"/>
      <c r="G1376" s="129"/>
      <c r="H1376" s="129"/>
      <c r="I1376" s="166"/>
      <c r="J1376" s="180"/>
      <c r="K1376" s="128"/>
      <c r="L1376" s="127"/>
      <c r="M1376" s="168"/>
      <c r="N1376" s="173"/>
      <c r="O1376" s="141"/>
      <c r="P1376" s="140"/>
      <c r="Q1376" s="142"/>
      <c r="R1376" s="140"/>
      <c r="S1376" s="142"/>
      <c r="T1376" s="140"/>
    </row>
    <row r="1377" spans="3:20" ht="39.75" customHeight="1">
      <c r="C1377" s="196">
        <v>1374</v>
      </c>
      <c r="D1377" s="127"/>
      <c r="E1377" s="129"/>
      <c r="F1377" s="128"/>
      <c r="G1377" s="129"/>
      <c r="H1377" s="129"/>
      <c r="I1377" s="166"/>
      <c r="J1377" s="180"/>
      <c r="K1377" s="128"/>
      <c r="L1377" s="127"/>
      <c r="M1377" s="168"/>
      <c r="N1377" s="173"/>
      <c r="O1377" s="141"/>
      <c r="P1377" s="140"/>
      <c r="Q1377" s="142"/>
      <c r="R1377" s="140"/>
      <c r="S1377" s="142"/>
      <c r="T1377" s="140"/>
    </row>
    <row r="1378" spans="3:20" ht="39.75" customHeight="1">
      <c r="C1378" s="196">
        <v>1375</v>
      </c>
      <c r="D1378" s="127"/>
      <c r="E1378" s="129"/>
      <c r="F1378" s="128"/>
      <c r="G1378" s="129"/>
      <c r="H1378" s="129"/>
      <c r="I1378" s="166"/>
      <c r="J1378" s="180"/>
      <c r="K1378" s="128"/>
      <c r="L1378" s="127"/>
      <c r="M1378" s="168"/>
      <c r="N1378" s="173"/>
      <c r="O1378" s="141"/>
      <c r="P1378" s="140"/>
      <c r="Q1378" s="142"/>
      <c r="R1378" s="140"/>
      <c r="S1378" s="142"/>
      <c r="T1378" s="140"/>
    </row>
    <row r="1379" spans="3:20" ht="39.75" customHeight="1">
      <c r="C1379" s="196">
        <v>1376</v>
      </c>
      <c r="D1379" s="127"/>
      <c r="E1379" s="129"/>
      <c r="F1379" s="128"/>
      <c r="G1379" s="129"/>
      <c r="H1379" s="129"/>
      <c r="I1379" s="166"/>
      <c r="J1379" s="180"/>
      <c r="K1379" s="128"/>
      <c r="L1379" s="127"/>
      <c r="M1379" s="168"/>
      <c r="N1379" s="173"/>
      <c r="O1379" s="141"/>
      <c r="P1379" s="140"/>
      <c r="Q1379" s="142"/>
      <c r="R1379" s="140"/>
      <c r="S1379" s="142"/>
      <c r="T1379" s="140"/>
    </row>
    <row r="1380" spans="3:20" ht="39.75" customHeight="1">
      <c r="C1380" s="196">
        <v>1377</v>
      </c>
      <c r="D1380" s="127"/>
      <c r="E1380" s="129"/>
      <c r="F1380" s="128"/>
      <c r="G1380" s="129"/>
      <c r="H1380" s="129"/>
      <c r="I1380" s="166"/>
      <c r="J1380" s="180"/>
      <c r="K1380" s="128"/>
      <c r="L1380" s="127"/>
      <c r="M1380" s="168"/>
      <c r="N1380" s="173"/>
      <c r="O1380" s="141"/>
      <c r="P1380" s="140"/>
      <c r="Q1380" s="142"/>
      <c r="R1380" s="140"/>
      <c r="S1380" s="142"/>
      <c r="T1380" s="140"/>
    </row>
    <row r="1381" spans="3:20" ht="39.75" customHeight="1">
      <c r="C1381" s="196">
        <v>1378</v>
      </c>
      <c r="D1381" s="127"/>
      <c r="E1381" s="129"/>
      <c r="F1381" s="128"/>
      <c r="G1381" s="129"/>
      <c r="H1381" s="129"/>
      <c r="I1381" s="166"/>
      <c r="J1381" s="180"/>
      <c r="K1381" s="128"/>
      <c r="L1381" s="127"/>
      <c r="M1381" s="168"/>
      <c r="N1381" s="173"/>
      <c r="O1381" s="141"/>
      <c r="P1381" s="140"/>
      <c r="Q1381" s="142"/>
      <c r="R1381" s="140"/>
      <c r="S1381" s="142"/>
      <c r="T1381" s="140"/>
    </row>
    <row r="1382" spans="3:20" ht="39.75" customHeight="1">
      <c r="C1382" s="196">
        <v>1379</v>
      </c>
      <c r="D1382" s="127"/>
      <c r="E1382" s="129"/>
      <c r="F1382" s="128"/>
      <c r="G1382" s="129"/>
      <c r="H1382" s="129"/>
      <c r="I1382" s="166"/>
      <c r="J1382" s="180"/>
      <c r="K1382" s="128"/>
      <c r="L1382" s="127"/>
      <c r="M1382" s="168"/>
      <c r="N1382" s="173"/>
      <c r="O1382" s="141"/>
      <c r="P1382" s="140"/>
      <c r="Q1382" s="142"/>
      <c r="R1382" s="140"/>
      <c r="S1382" s="142"/>
      <c r="T1382" s="140"/>
    </row>
    <row r="1383" spans="3:20" ht="39.75" customHeight="1">
      <c r="C1383" s="196">
        <v>1380</v>
      </c>
      <c r="D1383" s="127"/>
      <c r="E1383" s="129"/>
      <c r="F1383" s="128"/>
      <c r="G1383" s="129"/>
      <c r="H1383" s="129"/>
      <c r="I1383" s="166"/>
      <c r="J1383" s="180"/>
      <c r="K1383" s="128"/>
      <c r="L1383" s="127"/>
      <c r="M1383" s="168"/>
      <c r="N1383" s="173"/>
      <c r="O1383" s="141"/>
      <c r="P1383" s="140"/>
      <c r="Q1383" s="142"/>
      <c r="R1383" s="140"/>
      <c r="S1383" s="142"/>
      <c r="T1383" s="140"/>
    </row>
    <row r="1384" spans="3:20" ht="39.75" customHeight="1">
      <c r="C1384" s="196">
        <v>1381</v>
      </c>
      <c r="D1384" s="127"/>
      <c r="E1384" s="129"/>
      <c r="F1384" s="128"/>
      <c r="G1384" s="129"/>
      <c r="H1384" s="129"/>
      <c r="I1384" s="166"/>
      <c r="J1384" s="180"/>
      <c r="K1384" s="128"/>
      <c r="L1384" s="127"/>
      <c r="M1384" s="168"/>
      <c r="N1384" s="173"/>
      <c r="O1384" s="141"/>
      <c r="P1384" s="140"/>
      <c r="Q1384" s="142"/>
      <c r="R1384" s="140"/>
      <c r="S1384" s="142"/>
      <c r="T1384" s="140"/>
    </row>
    <row r="1385" spans="3:20" ht="39.75" customHeight="1">
      <c r="C1385" s="196">
        <v>1382</v>
      </c>
      <c r="D1385" s="127"/>
      <c r="E1385" s="129"/>
      <c r="F1385" s="128"/>
      <c r="G1385" s="129"/>
      <c r="H1385" s="129"/>
      <c r="I1385" s="166"/>
      <c r="J1385" s="180"/>
      <c r="K1385" s="128"/>
      <c r="L1385" s="127"/>
      <c r="M1385" s="168"/>
      <c r="N1385" s="173"/>
      <c r="O1385" s="141"/>
      <c r="P1385" s="140"/>
      <c r="Q1385" s="142"/>
      <c r="R1385" s="140"/>
      <c r="S1385" s="142"/>
      <c r="T1385" s="140"/>
    </row>
    <row r="1386" spans="3:20" ht="39.75" customHeight="1">
      <c r="C1386" s="196">
        <v>1383</v>
      </c>
      <c r="D1386" s="127"/>
      <c r="E1386" s="129"/>
      <c r="F1386" s="128"/>
      <c r="G1386" s="129"/>
      <c r="H1386" s="129"/>
      <c r="I1386" s="166"/>
      <c r="J1386" s="180"/>
      <c r="K1386" s="128"/>
      <c r="L1386" s="127"/>
      <c r="M1386" s="168"/>
      <c r="N1386" s="173"/>
      <c r="O1386" s="141"/>
      <c r="P1386" s="140"/>
      <c r="Q1386" s="142"/>
      <c r="R1386" s="140"/>
      <c r="S1386" s="142"/>
      <c r="T1386" s="140"/>
    </row>
    <row r="1387" spans="3:20" ht="39.75" customHeight="1">
      <c r="C1387" s="196">
        <v>1384</v>
      </c>
      <c r="D1387" s="127"/>
      <c r="E1387" s="129"/>
      <c r="F1387" s="128"/>
      <c r="G1387" s="129"/>
      <c r="H1387" s="129"/>
      <c r="I1387" s="166"/>
      <c r="J1387" s="180"/>
      <c r="K1387" s="128"/>
      <c r="L1387" s="127"/>
      <c r="M1387" s="168"/>
      <c r="N1387" s="173"/>
      <c r="O1387" s="141"/>
      <c r="P1387" s="140"/>
      <c r="Q1387" s="142"/>
      <c r="R1387" s="140"/>
      <c r="S1387" s="142"/>
      <c r="T1387" s="140"/>
    </row>
    <row r="1388" spans="3:20" ht="39.75" customHeight="1">
      <c r="C1388" s="196">
        <v>1385</v>
      </c>
      <c r="D1388" s="127"/>
      <c r="E1388" s="129"/>
      <c r="F1388" s="128"/>
      <c r="G1388" s="129"/>
      <c r="H1388" s="129"/>
      <c r="I1388" s="166"/>
      <c r="J1388" s="180"/>
      <c r="K1388" s="128"/>
      <c r="L1388" s="127"/>
      <c r="M1388" s="168"/>
      <c r="N1388" s="173"/>
      <c r="O1388" s="141"/>
      <c r="P1388" s="140"/>
      <c r="Q1388" s="142"/>
      <c r="R1388" s="140"/>
      <c r="S1388" s="142"/>
      <c r="T1388" s="140"/>
    </row>
    <row r="1389" spans="3:20" ht="39.75" customHeight="1">
      <c r="C1389" s="196">
        <v>1386</v>
      </c>
      <c r="D1389" s="127"/>
      <c r="E1389" s="129"/>
      <c r="F1389" s="128"/>
      <c r="G1389" s="129"/>
      <c r="H1389" s="129"/>
      <c r="I1389" s="166"/>
      <c r="J1389" s="180"/>
      <c r="K1389" s="128"/>
      <c r="L1389" s="127"/>
      <c r="M1389" s="168"/>
      <c r="N1389" s="173"/>
      <c r="O1389" s="141"/>
      <c r="P1389" s="140"/>
      <c r="Q1389" s="142"/>
      <c r="R1389" s="140"/>
      <c r="S1389" s="142"/>
      <c r="T1389" s="140"/>
    </row>
    <row r="1390" spans="3:20" ht="39.75" customHeight="1">
      <c r="C1390" s="196">
        <v>1387</v>
      </c>
      <c r="D1390" s="127"/>
      <c r="E1390" s="129"/>
      <c r="F1390" s="128"/>
      <c r="G1390" s="129"/>
      <c r="H1390" s="129"/>
      <c r="I1390" s="166"/>
      <c r="J1390" s="180"/>
      <c r="K1390" s="128"/>
      <c r="L1390" s="127"/>
      <c r="M1390" s="168"/>
      <c r="N1390" s="173"/>
      <c r="O1390" s="141"/>
      <c r="P1390" s="140"/>
      <c r="Q1390" s="142"/>
      <c r="R1390" s="140"/>
      <c r="S1390" s="142"/>
      <c r="T1390" s="140"/>
    </row>
    <row r="1391" spans="3:20" ht="39.75" customHeight="1">
      <c r="C1391" s="196">
        <v>1388</v>
      </c>
      <c r="D1391" s="127"/>
      <c r="E1391" s="129"/>
      <c r="F1391" s="128"/>
      <c r="G1391" s="129"/>
      <c r="H1391" s="129"/>
      <c r="I1391" s="166"/>
      <c r="J1391" s="180"/>
      <c r="K1391" s="128"/>
      <c r="L1391" s="127"/>
      <c r="M1391" s="168"/>
      <c r="N1391" s="173"/>
      <c r="O1391" s="141"/>
      <c r="P1391" s="140"/>
      <c r="Q1391" s="142"/>
      <c r="R1391" s="140"/>
      <c r="S1391" s="142"/>
      <c r="T1391" s="140"/>
    </row>
    <row r="1392" spans="3:20" ht="39.75" customHeight="1">
      <c r="C1392" s="196">
        <v>1389</v>
      </c>
      <c r="D1392" s="127"/>
      <c r="E1392" s="129"/>
      <c r="F1392" s="128"/>
      <c r="G1392" s="129"/>
      <c r="H1392" s="129"/>
      <c r="I1392" s="166"/>
      <c r="J1392" s="180"/>
      <c r="K1392" s="128"/>
      <c r="L1392" s="127"/>
      <c r="M1392" s="168"/>
      <c r="N1392" s="173"/>
      <c r="O1392" s="141"/>
      <c r="P1392" s="140"/>
      <c r="Q1392" s="142"/>
      <c r="R1392" s="140"/>
      <c r="S1392" s="142"/>
      <c r="T1392" s="140"/>
    </row>
    <row r="1393" spans="3:20" ht="39.75" customHeight="1">
      <c r="C1393" s="196">
        <v>1390</v>
      </c>
      <c r="D1393" s="127"/>
      <c r="E1393" s="129"/>
      <c r="F1393" s="128"/>
      <c r="G1393" s="129"/>
      <c r="H1393" s="129"/>
      <c r="I1393" s="166"/>
      <c r="J1393" s="180"/>
      <c r="K1393" s="128"/>
      <c r="L1393" s="127"/>
      <c r="M1393" s="168"/>
      <c r="N1393" s="173"/>
      <c r="O1393" s="141"/>
      <c r="P1393" s="140"/>
      <c r="Q1393" s="142"/>
      <c r="R1393" s="140"/>
      <c r="S1393" s="142"/>
      <c r="T1393" s="140"/>
    </row>
    <row r="1394" spans="3:20" ht="39.75" customHeight="1">
      <c r="C1394" s="196">
        <v>1391</v>
      </c>
      <c r="D1394" s="127"/>
      <c r="E1394" s="129"/>
      <c r="F1394" s="128"/>
      <c r="G1394" s="129"/>
      <c r="H1394" s="129"/>
      <c r="I1394" s="166"/>
      <c r="J1394" s="180"/>
      <c r="K1394" s="128"/>
      <c r="L1394" s="127"/>
      <c r="M1394" s="168"/>
      <c r="N1394" s="173"/>
      <c r="O1394" s="141"/>
      <c r="P1394" s="140"/>
      <c r="Q1394" s="142"/>
      <c r="R1394" s="140"/>
      <c r="S1394" s="142"/>
      <c r="T1394" s="140"/>
    </row>
    <row r="1395" spans="3:20" ht="39.75" customHeight="1">
      <c r="C1395" s="196">
        <v>1392</v>
      </c>
      <c r="D1395" s="127"/>
      <c r="E1395" s="129"/>
      <c r="F1395" s="128"/>
      <c r="G1395" s="129"/>
      <c r="H1395" s="129"/>
      <c r="I1395" s="166"/>
      <c r="J1395" s="180"/>
      <c r="K1395" s="128"/>
      <c r="L1395" s="127"/>
      <c r="M1395" s="168"/>
      <c r="N1395" s="173"/>
      <c r="O1395" s="141"/>
      <c r="P1395" s="140"/>
      <c r="Q1395" s="142"/>
      <c r="R1395" s="140"/>
      <c r="S1395" s="142"/>
      <c r="T1395" s="140"/>
    </row>
    <row r="1396" spans="3:20" ht="39.75" customHeight="1">
      <c r="C1396" s="196">
        <v>1393</v>
      </c>
      <c r="D1396" s="127"/>
      <c r="E1396" s="129"/>
      <c r="F1396" s="128"/>
      <c r="G1396" s="129"/>
      <c r="H1396" s="129"/>
      <c r="I1396" s="166"/>
      <c r="J1396" s="180"/>
      <c r="K1396" s="128"/>
      <c r="L1396" s="127"/>
      <c r="M1396" s="168"/>
      <c r="N1396" s="173"/>
      <c r="O1396" s="141"/>
      <c r="P1396" s="140"/>
      <c r="Q1396" s="142"/>
      <c r="R1396" s="140"/>
      <c r="S1396" s="142"/>
      <c r="T1396" s="140"/>
    </row>
    <row r="1397" spans="3:20" ht="39.75" customHeight="1">
      <c r="C1397" s="196">
        <v>1394</v>
      </c>
      <c r="D1397" s="127"/>
      <c r="E1397" s="129"/>
      <c r="F1397" s="128"/>
      <c r="G1397" s="129"/>
      <c r="H1397" s="129"/>
      <c r="I1397" s="166"/>
      <c r="J1397" s="180"/>
      <c r="K1397" s="128"/>
      <c r="L1397" s="127"/>
      <c r="M1397" s="168"/>
      <c r="N1397" s="173"/>
      <c r="O1397" s="141"/>
      <c r="P1397" s="140"/>
      <c r="Q1397" s="142"/>
      <c r="R1397" s="140"/>
      <c r="S1397" s="142"/>
      <c r="T1397" s="140"/>
    </row>
    <row r="1398" spans="3:20" ht="39.75" customHeight="1">
      <c r="C1398" s="196">
        <v>1395</v>
      </c>
      <c r="D1398" s="127"/>
      <c r="E1398" s="129"/>
      <c r="F1398" s="128"/>
      <c r="G1398" s="129"/>
      <c r="H1398" s="129"/>
      <c r="I1398" s="166"/>
      <c r="J1398" s="180"/>
      <c r="K1398" s="128"/>
      <c r="L1398" s="127"/>
      <c r="M1398" s="168"/>
      <c r="N1398" s="173"/>
      <c r="O1398" s="141"/>
      <c r="P1398" s="140"/>
      <c r="Q1398" s="142"/>
      <c r="R1398" s="140"/>
      <c r="S1398" s="142"/>
      <c r="T1398" s="140"/>
    </row>
    <row r="1399" spans="3:20" ht="39.75" customHeight="1">
      <c r="C1399" s="196">
        <v>1396</v>
      </c>
      <c r="D1399" s="127"/>
      <c r="E1399" s="129"/>
      <c r="F1399" s="128"/>
      <c r="G1399" s="129"/>
      <c r="H1399" s="129"/>
      <c r="I1399" s="166"/>
      <c r="J1399" s="180"/>
      <c r="K1399" s="128"/>
      <c r="L1399" s="127"/>
      <c r="M1399" s="168"/>
      <c r="N1399" s="173"/>
      <c r="O1399" s="141"/>
      <c r="P1399" s="140"/>
      <c r="Q1399" s="142"/>
      <c r="R1399" s="140"/>
      <c r="S1399" s="142"/>
      <c r="T1399" s="140"/>
    </row>
    <row r="1400" spans="3:20" ht="39.75" customHeight="1">
      <c r="C1400" s="196">
        <v>1397</v>
      </c>
      <c r="D1400" s="127"/>
      <c r="E1400" s="129"/>
      <c r="F1400" s="128"/>
      <c r="G1400" s="129"/>
      <c r="H1400" s="129"/>
      <c r="I1400" s="166"/>
      <c r="J1400" s="180"/>
      <c r="K1400" s="128"/>
      <c r="L1400" s="127"/>
      <c r="M1400" s="168"/>
      <c r="N1400" s="173"/>
      <c r="O1400" s="141"/>
      <c r="P1400" s="140"/>
      <c r="Q1400" s="142"/>
      <c r="R1400" s="140"/>
      <c r="S1400" s="142"/>
      <c r="T1400" s="140"/>
    </row>
    <row r="1401" spans="3:20" ht="39.75" customHeight="1">
      <c r="C1401" s="196">
        <v>1398</v>
      </c>
      <c r="D1401" s="127"/>
      <c r="E1401" s="129"/>
      <c r="F1401" s="128"/>
      <c r="G1401" s="129"/>
      <c r="H1401" s="129"/>
      <c r="I1401" s="166"/>
      <c r="J1401" s="180"/>
      <c r="K1401" s="128"/>
      <c r="L1401" s="127"/>
      <c r="M1401" s="168"/>
      <c r="N1401" s="173"/>
      <c r="O1401" s="141"/>
      <c r="P1401" s="140"/>
      <c r="Q1401" s="142"/>
      <c r="R1401" s="140"/>
      <c r="S1401" s="142"/>
      <c r="T1401" s="140"/>
    </row>
    <row r="1402" spans="3:20" ht="39.75" customHeight="1">
      <c r="C1402" s="196">
        <v>1399</v>
      </c>
      <c r="D1402" s="127"/>
      <c r="E1402" s="129"/>
      <c r="F1402" s="128"/>
      <c r="G1402" s="129"/>
      <c r="H1402" s="129"/>
      <c r="I1402" s="166"/>
      <c r="J1402" s="180"/>
      <c r="K1402" s="128"/>
      <c r="L1402" s="127"/>
      <c r="M1402" s="168"/>
      <c r="N1402" s="173"/>
      <c r="O1402" s="141"/>
      <c r="P1402" s="140"/>
      <c r="Q1402" s="142"/>
      <c r="R1402" s="140"/>
      <c r="S1402" s="142"/>
      <c r="T1402" s="140"/>
    </row>
    <row r="1403" spans="3:20" ht="39.75" customHeight="1">
      <c r="C1403" s="196">
        <v>1400</v>
      </c>
      <c r="D1403" s="127"/>
      <c r="E1403" s="129"/>
      <c r="F1403" s="128"/>
      <c r="G1403" s="129"/>
      <c r="H1403" s="129"/>
      <c r="I1403" s="166"/>
      <c r="J1403" s="180"/>
      <c r="K1403" s="128"/>
      <c r="L1403" s="127"/>
      <c r="M1403" s="168"/>
      <c r="N1403" s="173"/>
      <c r="O1403" s="141"/>
      <c r="P1403" s="140"/>
      <c r="Q1403" s="142"/>
      <c r="R1403" s="140"/>
      <c r="S1403" s="142"/>
      <c r="T1403" s="140"/>
    </row>
    <row r="1404" spans="3:20" ht="39.75" customHeight="1">
      <c r="C1404" s="196">
        <v>1401</v>
      </c>
      <c r="D1404" s="127"/>
      <c r="E1404" s="129"/>
      <c r="F1404" s="128"/>
      <c r="G1404" s="129"/>
      <c r="H1404" s="129"/>
      <c r="I1404" s="166"/>
      <c r="J1404" s="180"/>
      <c r="K1404" s="128"/>
      <c r="L1404" s="127"/>
      <c r="M1404" s="168"/>
      <c r="N1404" s="173"/>
      <c r="O1404" s="141"/>
      <c r="P1404" s="140"/>
      <c r="Q1404" s="142"/>
      <c r="R1404" s="140"/>
      <c r="S1404" s="142"/>
      <c r="T1404" s="140"/>
    </row>
    <row r="1405" spans="3:20" ht="39.75" customHeight="1">
      <c r="C1405" s="196">
        <v>1402</v>
      </c>
      <c r="D1405" s="127"/>
      <c r="E1405" s="129"/>
      <c r="F1405" s="128"/>
      <c r="G1405" s="129"/>
      <c r="H1405" s="129"/>
      <c r="I1405" s="166"/>
      <c r="J1405" s="180"/>
      <c r="K1405" s="128"/>
      <c r="L1405" s="127"/>
      <c r="M1405" s="168"/>
      <c r="N1405" s="173"/>
      <c r="O1405" s="141"/>
      <c r="P1405" s="140"/>
      <c r="Q1405" s="142"/>
      <c r="R1405" s="140"/>
      <c r="S1405" s="142"/>
      <c r="T1405" s="140"/>
    </row>
    <row r="1406" spans="3:20" ht="39.75" customHeight="1">
      <c r="C1406" s="196">
        <v>1403</v>
      </c>
      <c r="D1406" s="127"/>
      <c r="E1406" s="129"/>
      <c r="F1406" s="128"/>
      <c r="G1406" s="129"/>
      <c r="H1406" s="129"/>
      <c r="I1406" s="166"/>
      <c r="J1406" s="180"/>
      <c r="K1406" s="128"/>
      <c r="L1406" s="127"/>
      <c r="M1406" s="168"/>
      <c r="N1406" s="173"/>
      <c r="O1406" s="141"/>
      <c r="P1406" s="140"/>
      <c r="Q1406" s="142"/>
      <c r="R1406" s="140"/>
      <c r="S1406" s="142"/>
      <c r="T1406" s="140"/>
    </row>
    <row r="1407" spans="3:20" ht="39.75" customHeight="1">
      <c r="C1407" s="196">
        <v>1404</v>
      </c>
      <c r="D1407" s="127"/>
      <c r="E1407" s="129"/>
      <c r="F1407" s="128"/>
      <c r="G1407" s="129"/>
      <c r="H1407" s="129"/>
      <c r="I1407" s="166"/>
      <c r="J1407" s="180"/>
      <c r="K1407" s="128"/>
      <c r="L1407" s="127"/>
      <c r="M1407" s="168"/>
      <c r="N1407" s="173"/>
      <c r="O1407" s="141"/>
      <c r="P1407" s="140"/>
      <c r="Q1407" s="142"/>
      <c r="R1407" s="140"/>
      <c r="S1407" s="142"/>
      <c r="T1407" s="140"/>
    </row>
    <row r="1408" spans="3:20" ht="39.75" customHeight="1">
      <c r="C1408" s="196">
        <v>1405</v>
      </c>
      <c r="D1408" s="127"/>
      <c r="E1408" s="129"/>
      <c r="F1408" s="128"/>
      <c r="G1408" s="129"/>
      <c r="H1408" s="129"/>
      <c r="I1408" s="166"/>
      <c r="J1408" s="180"/>
      <c r="K1408" s="128"/>
      <c r="L1408" s="127"/>
      <c r="M1408" s="168"/>
      <c r="N1408" s="173"/>
      <c r="O1408" s="141"/>
      <c r="P1408" s="140"/>
      <c r="Q1408" s="142"/>
      <c r="R1408" s="140"/>
      <c r="S1408" s="142"/>
      <c r="T1408" s="140"/>
    </row>
    <row r="1409" spans="3:20" ht="39.75" customHeight="1">
      <c r="C1409" s="196">
        <v>1406</v>
      </c>
      <c r="D1409" s="127"/>
      <c r="E1409" s="129"/>
      <c r="F1409" s="128"/>
      <c r="G1409" s="129"/>
      <c r="H1409" s="129"/>
      <c r="I1409" s="166"/>
      <c r="J1409" s="180"/>
      <c r="K1409" s="128"/>
      <c r="L1409" s="127"/>
      <c r="M1409" s="168"/>
      <c r="N1409" s="173"/>
      <c r="O1409" s="141"/>
      <c r="P1409" s="140"/>
      <c r="Q1409" s="142"/>
      <c r="R1409" s="140"/>
      <c r="S1409" s="142"/>
      <c r="T1409" s="140"/>
    </row>
    <row r="1410" spans="3:20" ht="39.75" customHeight="1">
      <c r="C1410" s="196">
        <v>1407</v>
      </c>
      <c r="D1410" s="127"/>
      <c r="E1410" s="129"/>
      <c r="F1410" s="128"/>
      <c r="G1410" s="129"/>
      <c r="H1410" s="129"/>
      <c r="I1410" s="166"/>
      <c r="J1410" s="180"/>
      <c r="K1410" s="128"/>
      <c r="L1410" s="127"/>
      <c r="M1410" s="168"/>
      <c r="N1410" s="173"/>
      <c r="O1410" s="141"/>
      <c r="P1410" s="140"/>
      <c r="Q1410" s="142"/>
      <c r="R1410" s="140"/>
      <c r="S1410" s="142"/>
      <c r="T1410" s="140"/>
    </row>
    <row r="1411" spans="3:20" ht="39.75" customHeight="1">
      <c r="C1411" s="196">
        <v>1408</v>
      </c>
      <c r="D1411" s="127"/>
      <c r="E1411" s="129"/>
      <c r="F1411" s="128"/>
      <c r="G1411" s="129"/>
      <c r="H1411" s="129"/>
      <c r="I1411" s="166"/>
      <c r="J1411" s="180"/>
      <c r="K1411" s="128"/>
      <c r="L1411" s="127"/>
      <c r="M1411" s="168"/>
      <c r="N1411" s="173"/>
      <c r="O1411" s="141"/>
      <c r="P1411" s="140"/>
      <c r="Q1411" s="142"/>
      <c r="R1411" s="140"/>
      <c r="S1411" s="142"/>
      <c r="T1411" s="140"/>
    </row>
    <row r="1412" spans="3:20" ht="39.75" customHeight="1">
      <c r="C1412" s="196">
        <v>1409</v>
      </c>
      <c r="D1412" s="127"/>
      <c r="E1412" s="129"/>
      <c r="F1412" s="128"/>
      <c r="G1412" s="129"/>
      <c r="H1412" s="129"/>
      <c r="I1412" s="166"/>
      <c r="J1412" s="180"/>
      <c r="K1412" s="128"/>
      <c r="L1412" s="127"/>
      <c r="M1412" s="168"/>
      <c r="N1412" s="173"/>
      <c r="O1412" s="141"/>
      <c r="P1412" s="140"/>
      <c r="Q1412" s="142"/>
      <c r="R1412" s="140"/>
      <c r="S1412" s="142"/>
      <c r="T1412" s="140"/>
    </row>
    <row r="1413" spans="3:20" ht="39.75" customHeight="1">
      <c r="C1413" s="196">
        <v>1410</v>
      </c>
      <c r="D1413" s="127"/>
      <c r="E1413" s="129"/>
      <c r="F1413" s="128"/>
      <c r="G1413" s="129"/>
      <c r="H1413" s="129"/>
      <c r="I1413" s="166"/>
      <c r="J1413" s="180"/>
      <c r="K1413" s="128"/>
      <c r="L1413" s="127"/>
      <c r="M1413" s="168"/>
      <c r="N1413" s="173"/>
      <c r="O1413" s="141"/>
      <c r="P1413" s="140"/>
      <c r="Q1413" s="142"/>
      <c r="R1413" s="140"/>
      <c r="S1413" s="142"/>
      <c r="T1413" s="140"/>
    </row>
    <row r="1414" spans="3:20" ht="39.75" customHeight="1">
      <c r="C1414" s="196">
        <v>1411</v>
      </c>
      <c r="D1414" s="127"/>
      <c r="E1414" s="129"/>
      <c r="F1414" s="128"/>
      <c r="G1414" s="129"/>
      <c r="H1414" s="129"/>
      <c r="I1414" s="166"/>
      <c r="J1414" s="180"/>
      <c r="K1414" s="128"/>
      <c r="L1414" s="127"/>
      <c r="M1414" s="168"/>
      <c r="N1414" s="173"/>
      <c r="O1414" s="141"/>
      <c r="P1414" s="140"/>
      <c r="Q1414" s="142"/>
      <c r="R1414" s="140"/>
      <c r="S1414" s="142"/>
      <c r="T1414" s="140"/>
    </row>
    <row r="1415" spans="3:20" ht="39.75" customHeight="1">
      <c r="C1415" s="196">
        <v>1412</v>
      </c>
      <c r="D1415" s="127"/>
      <c r="E1415" s="129"/>
      <c r="F1415" s="128"/>
      <c r="G1415" s="129"/>
      <c r="H1415" s="129"/>
      <c r="I1415" s="166"/>
      <c r="J1415" s="180"/>
      <c r="K1415" s="128"/>
      <c r="L1415" s="127"/>
      <c r="M1415" s="168"/>
      <c r="N1415" s="173"/>
      <c r="O1415" s="141"/>
      <c r="P1415" s="140"/>
      <c r="Q1415" s="142"/>
      <c r="R1415" s="140"/>
      <c r="S1415" s="142"/>
      <c r="T1415" s="140"/>
    </row>
    <row r="1416" spans="3:20" ht="39.75" customHeight="1">
      <c r="C1416" s="196">
        <v>1413</v>
      </c>
      <c r="D1416" s="127"/>
      <c r="E1416" s="129"/>
      <c r="F1416" s="128"/>
      <c r="G1416" s="129"/>
      <c r="H1416" s="129"/>
      <c r="I1416" s="166"/>
      <c r="J1416" s="180"/>
      <c r="K1416" s="128"/>
      <c r="L1416" s="127"/>
      <c r="M1416" s="168"/>
      <c r="N1416" s="173"/>
      <c r="O1416" s="141"/>
      <c r="P1416" s="140"/>
      <c r="Q1416" s="142"/>
      <c r="R1416" s="140"/>
      <c r="S1416" s="142"/>
      <c r="T1416" s="140"/>
    </row>
    <row r="1417" spans="3:20" ht="39.75" customHeight="1">
      <c r="C1417" s="196">
        <v>1414</v>
      </c>
      <c r="D1417" s="127"/>
      <c r="E1417" s="129"/>
      <c r="F1417" s="128"/>
      <c r="G1417" s="129"/>
      <c r="H1417" s="129"/>
      <c r="I1417" s="166"/>
      <c r="J1417" s="180"/>
      <c r="K1417" s="128"/>
      <c r="L1417" s="127"/>
      <c r="M1417" s="168"/>
      <c r="N1417" s="173"/>
      <c r="O1417" s="141"/>
      <c r="P1417" s="140"/>
      <c r="Q1417" s="142"/>
      <c r="R1417" s="140"/>
      <c r="S1417" s="142"/>
      <c r="T1417" s="140"/>
    </row>
    <row r="1418" spans="3:20" ht="39.75" customHeight="1">
      <c r="C1418" s="196">
        <v>1415</v>
      </c>
      <c r="D1418" s="127"/>
      <c r="E1418" s="129"/>
      <c r="F1418" s="128"/>
      <c r="G1418" s="129"/>
      <c r="H1418" s="129"/>
      <c r="I1418" s="166"/>
      <c r="J1418" s="180"/>
      <c r="K1418" s="128"/>
      <c r="L1418" s="127"/>
      <c r="M1418" s="168"/>
      <c r="N1418" s="173"/>
      <c r="O1418" s="141"/>
      <c r="P1418" s="140"/>
      <c r="Q1418" s="142"/>
      <c r="R1418" s="140"/>
      <c r="S1418" s="142"/>
      <c r="T1418" s="140"/>
    </row>
    <row r="1419" spans="3:20" ht="39.75" customHeight="1">
      <c r="C1419" s="196">
        <v>1416</v>
      </c>
      <c r="D1419" s="127"/>
      <c r="E1419" s="129"/>
      <c r="F1419" s="128"/>
      <c r="G1419" s="129"/>
      <c r="H1419" s="129"/>
      <c r="I1419" s="166"/>
      <c r="J1419" s="180"/>
      <c r="K1419" s="128"/>
      <c r="L1419" s="127"/>
      <c r="M1419" s="168"/>
      <c r="N1419" s="173"/>
      <c r="O1419" s="141"/>
      <c r="P1419" s="140"/>
      <c r="Q1419" s="142"/>
      <c r="R1419" s="140"/>
      <c r="S1419" s="142"/>
      <c r="T1419" s="140"/>
    </row>
    <row r="1420" spans="3:20" ht="39.75" customHeight="1">
      <c r="C1420" s="196">
        <v>1417</v>
      </c>
      <c r="D1420" s="127"/>
      <c r="E1420" s="129"/>
      <c r="F1420" s="128"/>
      <c r="G1420" s="129"/>
      <c r="H1420" s="129"/>
      <c r="I1420" s="166"/>
      <c r="J1420" s="180"/>
      <c r="K1420" s="128"/>
      <c r="L1420" s="127"/>
      <c r="M1420" s="168"/>
      <c r="N1420" s="173"/>
      <c r="O1420" s="141"/>
      <c r="P1420" s="140"/>
      <c r="Q1420" s="142"/>
      <c r="R1420" s="140"/>
      <c r="S1420" s="142"/>
      <c r="T1420" s="140"/>
    </row>
    <row r="1421" spans="3:20" ht="39.75" customHeight="1">
      <c r="C1421" s="196">
        <v>1418</v>
      </c>
      <c r="D1421" s="127"/>
      <c r="E1421" s="129"/>
      <c r="F1421" s="128"/>
      <c r="G1421" s="129"/>
      <c r="H1421" s="129"/>
      <c r="I1421" s="166"/>
      <c r="J1421" s="180"/>
      <c r="K1421" s="128"/>
      <c r="L1421" s="127"/>
      <c r="M1421" s="168"/>
      <c r="N1421" s="173"/>
      <c r="O1421" s="141"/>
      <c r="P1421" s="140"/>
      <c r="Q1421" s="142"/>
      <c r="R1421" s="140"/>
      <c r="S1421" s="142"/>
      <c r="T1421" s="140"/>
    </row>
    <row r="1422" spans="3:20" ht="39.75" customHeight="1">
      <c r="C1422" s="196">
        <v>1419</v>
      </c>
      <c r="D1422" s="127"/>
      <c r="E1422" s="129"/>
      <c r="F1422" s="128"/>
      <c r="G1422" s="129"/>
      <c r="H1422" s="129"/>
      <c r="I1422" s="166"/>
      <c r="J1422" s="180"/>
      <c r="K1422" s="128"/>
      <c r="L1422" s="127"/>
      <c r="M1422" s="168"/>
      <c r="N1422" s="173"/>
      <c r="O1422" s="141"/>
      <c r="P1422" s="140"/>
      <c r="Q1422" s="142"/>
      <c r="R1422" s="140"/>
      <c r="S1422" s="142"/>
      <c r="T1422" s="140"/>
    </row>
    <row r="1423" spans="3:20" ht="39.75" customHeight="1">
      <c r="C1423" s="196">
        <v>1420</v>
      </c>
      <c r="D1423" s="127"/>
      <c r="E1423" s="129"/>
      <c r="F1423" s="128"/>
      <c r="G1423" s="129"/>
      <c r="H1423" s="129"/>
      <c r="I1423" s="166"/>
      <c r="J1423" s="180"/>
      <c r="K1423" s="128"/>
      <c r="L1423" s="127"/>
      <c r="M1423" s="168"/>
      <c r="N1423" s="173"/>
      <c r="O1423" s="141"/>
      <c r="P1423" s="140"/>
      <c r="Q1423" s="142"/>
      <c r="R1423" s="140"/>
      <c r="S1423" s="142"/>
      <c r="T1423" s="140"/>
    </row>
    <row r="1424" spans="3:20" ht="39.75" customHeight="1">
      <c r="C1424" s="196">
        <v>1421</v>
      </c>
      <c r="D1424" s="127"/>
      <c r="E1424" s="129"/>
      <c r="F1424" s="128"/>
      <c r="G1424" s="129"/>
      <c r="H1424" s="129"/>
      <c r="I1424" s="166"/>
      <c r="J1424" s="180"/>
      <c r="K1424" s="128"/>
      <c r="L1424" s="127"/>
      <c r="M1424" s="168"/>
      <c r="N1424" s="173"/>
      <c r="O1424" s="141"/>
      <c r="P1424" s="140"/>
      <c r="Q1424" s="142"/>
      <c r="R1424" s="140"/>
      <c r="S1424" s="142"/>
      <c r="T1424" s="140"/>
    </row>
    <row r="1425" spans="3:20" ht="39.75" customHeight="1">
      <c r="C1425" s="196">
        <v>1422</v>
      </c>
      <c r="D1425" s="127"/>
      <c r="E1425" s="129"/>
      <c r="F1425" s="128"/>
      <c r="G1425" s="129"/>
      <c r="H1425" s="129"/>
      <c r="I1425" s="166"/>
      <c r="J1425" s="180"/>
      <c r="K1425" s="128"/>
      <c r="L1425" s="127"/>
      <c r="M1425" s="168"/>
      <c r="N1425" s="173"/>
      <c r="O1425" s="141"/>
      <c r="P1425" s="140"/>
      <c r="Q1425" s="142"/>
      <c r="R1425" s="140"/>
      <c r="S1425" s="142"/>
      <c r="T1425" s="140"/>
    </row>
    <row r="1426" spans="3:20" ht="39.75" customHeight="1">
      <c r="C1426" s="196">
        <v>1423</v>
      </c>
      <c r="D1426" s="127"/>
      <c r="E1426" s="129"/>
      <c r="F1426" s="128"/>
      <c r="G1426" s="129"/>
      <c r="H1426" s="129"/>
      <c r="I1426" s="166"/>
      <c r="J1426" s="180"/>
      <c r="K1426" s="128"/>
      <c r="L1426" s="127"/>
      <c r="M1426" s="168"/>
      <c r="N1426" s="173"/>
      <c r="O1426" s="141"/>
      <c r="P1426" s="140"/>
      <c r="Q1426" s="142"/>
      <c r="R1426" s="140"/>
      <c r="S1426" s="142"/>
      <c r="T1426" s="140"/>
    </row>
    <row r="1427" spans="3:20" ht="39.75" customHeight="1">
      <c r="C1427" s="196">
        <v>1424</v>
      </c>
      <c r="D1427" s="127"/>
      <c r="E1427" s="129"/>
      <c r="F1427" s="128"/>
      <c r="G1427" s="129"/>
      <c r="H1427" s="129"/>
      <c r="I1427" s="166"/>
      <c r="J1427" s="180"/>
      <c r="K1427" s="128"/>
      <c r="L1427" s="127"/>
      <c r="M1427" s="168"/>
      <c r="N1427" s="173"/>
      <c r="O1427" s="141"/>
      <c r="P1427" s="140"/>
      <c r="Q1427" s="142"/>
      <c r="R1427" s="140"/>
      <c r="S1427" s="142"/>
      <c r="T1427" s="140"/>
    </row>
    <row r="1428" spans="3:20" ht="39.75" customHeight="1">
      <c r="C1428" s="196">
        <v>1425</v>
      </c>
      <c r="D1428" s="127"/>
      <c r="E1428" s="129"/>
      <c r="F1428" s="128"/>
      <c r="G1428" s="129"/>
      <c r="H1428" s="129"/>
      <c r="I1428" s="166"/>
      <c r="J1428" s="180"/>
      <c r="K1428" s="128"/>
      <c r="L1428" s="127"/>
      <c r="M1428" s="168"/>
      <c r="N1428" s="173"/>
      <c r="O1428" s="141"/>
      <c r="P1428" s="140"/>
      <c r="Q1428" s="142"/>
      <c r="R1428" s="140"/>
      <c r="S1428" s="142"/>
      <c r="T1428" s="140"/>
    </row>
    <row r="1429" spans="3:20" ht="39.75" customHeight="1">
      <c r="C1429" s="196">
        <v>1426</v>
      </c>
      <c r="D1429" s="127"/>
      <c r="E1429" s="129"/>
      <c r="F1429" s="128"/>
      <c r="G1429" s="129"/>
      <c r="H1429" s="129"/>
      <c r="I1429" s="166"/>
      <c r="J1429" s="180"/>
      <c r="K1429" s="128"/>
      <c r="L1429" s="127"/>
      <c r="M1429" s="168"/>
      <c r="N1429" s="173"/>
      <c r="O1429" s="141"/>
      <c r="P1429" s="140"/>
      <c r="Q1429" s="142"/>
      <c r="R1429" s="140"/>
      <c r="S1429" s="142"/>
      <c r="T1429" s="140"/>
    </row>
    <row r="1430" spans="3:20" ht="39.75" customHeight="1">
      <c r="C1430" s="196">
        <v>1427</v>
      </c>
      <c r="D1430" s="127"/>
      <c r="E1430" s="129"/>
      <c r="F1430" s="128"/>
      <c r="G1430" s="129"/>
      <c r="H1430" s="129"/>
      <c r="I1430" s="166"/>
      <c r="J1430" s="180"/>
      <c r="K1430" s="128"/>
      <c r="L1430" s="127"/>
      <c r="M1430" s="168"/>
      <c r="N1430" s="173"/>
      <c r="O1430" s="141"/>
      <c r="P1430" s="140"/>
      <c r="Q1430" s="142"/>
      <c r="R1430" s="140"/>
      <c r="S1430" s="142"/>
      <c r="T1430" s="140"/>
    </row>
    <row r="1431" spans="3:20" ht="39.75" customHeight="1">
      <c r="C1431" s="196">
        <v>1428</v>
      </c>
      <c r="D1431" s="127"/>
      <c r="E1431" s="129"/>
      <c r="F1431" s="128"/>
      <c r="G1431" s="129"/>
      <c r="H1431" s="129"/>
      <c r="I1431" s="166"/>
      <c r="J1431" s="180"/>
      <c r="K1431" s="128"/>
      <c r="L1431" s="127"/>
      <c r="M1431" s="168"/>
      <c r="N1431" s="173"/>
      <c r="O1431" s="141"/>
      <c r="P1431" s="140"/>
      <c r="Q1431" s="142"/>
      <c r="R1431" s="140"/>
      <c r="S1431" s="142"/>
      <c r="T1431" s="140"/>
    </row>
    <row r="1432" spans="3:20" ht="39.75" customHeight="1">
      <c r="C1432" s="196">
        <v>1429</v>
      </c>
      <c r="D1432" s="127"/>
      <c r="E1432" s="129"/>
      <c r="F1432" s="128"/>
      <c r="G1432" s="129"/>
      <c r="H1432" s="129"/>
      <c r="I1432" s="166"/>
      <c r="J1432" s="180"/>
      <c r="K1432" s="128"/>
      <c r="L1432" s="127"/>
      <c r="M1432" s="168"/>
      <c r="N1432" s="173"/>
      <c r="O1432" s="141"/>
      <c r="P1432" s="140"/>
      <c r="Q1432" s="142"/>
      <c r="R1432" s="140"/>
      <c r="S1432" s="142"/>
      <c r="T1432" s="140"/>
    </row>
    <row r="1433" spans="3:20" ht="39.75" customHeight="1">
      <c r="C1433" s="196">
        <v>1430</v>
      </c>
      <c r="D1433" s="127"/>
      <c r="E1433" s="129"/>
      <c r="F1433" s="128"/>
      <c r="G1433" s="129"/>
      <c r="H1433" s="129"/>
      <c r="I1433" s="166"/>
      <c r="J1433" s="180"/>
      <c r="K1433" s="128"/>
      <c r="L1433" s="127"/>
      <c r="M1433" s="168"/>
      <c r="N1433" s="173"/>
      <c r="O1433" s="141"/>
      <c r="P1433" s="140"/>
      <c r="Q1433" s="142"/>
      <c r="R1433" s="140"/>
      <c r="S1433" s="142"/>
      <c r="T1433" s="140"/>
    </row>
    <row r="1434" spans="3:20" ht="39.75" customHeight="1">
      <c r="C1434" s="196">
        <v>1431</v>
      </c>
      <c r="D1434" s="127"/>
      <c r="E1434" s="129"/>
      <c r="F1434" s="128"/>
      <c r="G1434" s="129"/>
      <c r="H1434" s="129"/>
      <c r="I1434" s="166"/>
      <c r="J1434" s="180"/>
      <c r="K1434" s="128"/>
      <c r="L1434" s="127"/>
      <c r="M1434" s="168"/>
      <c r="N1434" s="173"/>
      <c r="O1434" s="141"/>
      <c r="P1434" s="140"/>
      <c r="Q1434" s="142"/>
      <c r="R1434" s="140"/>
      <c r="S1434" s="142"/>
      <c r="T1434" s="140"/>
    </row>
    <row r="1435" spans="3:20" ht="39.75" customHeight="1">
      <c r="C1435" s="196">
        <v>1432</v>
      </c>
      <c r="D1435" s="127"/>
      <c r="E1435" s="129"/>
      <c r="F1435" s="128"/>
      <c r="G1435" s="129"/>
      <c r="H1435" s="129"/>
      <c r="I1435" s="166"/>
      <c r="J1435" s="180"/>
      <c r="K1435" s="128"/>
      <c r="L1435" s="127"/>
      <c r="M1435" s="168"/>
      <c r="N1435" s="173"/>
      <c r="O1435" s="141"/>
      <c r="P1435" s="140"/>
      <c r="Q1435" s="142"/>
      <c r="R1435" s="140"/>
      <c r="S1435" s="142"/>
      <c r="T1435" s="140"/>
    </row>
    <row r="1436" spans="3:20" ht="39.75" customHeight="1">
      <c r="C1436" s="196">
        <v>1433</v>
      </c>
      <c r="D1436" s="127"/>
      <c r="E1436" s="129"/>
      <c r="F1436" s="128"/>
      <c r="G1436" s="129"/>
      <c r="H1436" s="129"/>
      <c r="I1436" s="166"/>
      <c r="J1436" s="180"/>
      <c r="K1436" s="128"/>
      <c r="L1436" s="127"/>
      <c r="M1436" s="168"/>
      <c r="N1436" s="173"/>
      <c r="O1436" s="141"/>
      <c r="P1436" s="140"/>
      <c r="Q1436" s="142"/>
      <c r="R1436" s="140"/>
      <c r="S1436" s="142"/>
      <c r="T1436" s="140"/>
    </row>
    <row r="1437" spans="3:20" ht="39.75" customHeight="1">
      <c r="C1437" s="196">
        <v>1434</v>
      </c>
      <c r="D1437" s="127"/>
      <c r="E1437" s="129"/>
      <c r="F1437" s="128"/>
      <c r="G1437" s="129"/>
      <c r="H1437" s="129"/>
      <c r="I1437" s="166"/>
      <c r="J1437" s="180"/>
      <c r="K1437" s="128"/>
      <c r="L1437" s="127"/>
      <c r="M1437" s="168"/>
      <c r="N1437" s="173"/>
      <c r="O1437" s="141"/>
      <c r="P1437" s="140"/>
      <c r="Q1437" s="142"/>
      <c r="R1437" s="140"/>
      <c r="S1437" s="142"/>
      <c r="T1437" s="140"/>
    </row>
    <row r="1438" spans="3:20" ht="39.75" customHeight="1">
      <c r="C1438" s="196">
        <v>1435</v>
      </c>
      <c r="D1438" s="127"/>
      <c r="E1438" s="129"/>
      <c r="F1438" s="128"/>
      <c r="G1438" s="129"/>
      <c r="H1438" s="129"/>
      <c r="I1438" s="166"/>
      <c r="J1438" s="180"/>
      <c r="K1438" s="128"/>
      <c r="L1438" s="127"/>
      <c r="M1438" s="168"/>
      <c r="N1438" s="173"/>
      <c r="O1438" s="141"/>
      <c r="P1438" s="140"/>
      <c r="Q1438" s="142"/>
      <c r="R1438" s="140"/>
      <c r="S1438" s="142"/>
      <c r="T1438" s="140"/>
    </row>
    <row r="1439" spans="3:20" ht="39.75" customHeight="1">
      <c r="C1439" s="196">
        <v>1436</v>
      </c>
      <c r="D1439" s="127"/>
      <c r="E1439" s="129"/>
      <c r="F1439" s="128"/>
      <c r="G1439" s="129"/>
      <c r="H1439" s="129"/>
      <c r="I1439" s="166"/>
      <c r="J1439" s="180"/>
      <c r="K1439" s="128"/>
      <c r="L1439" s="127"/>
      <c r="M1439" s="168"/>
      <c r="N1439" s="173"/>
      <c r="O1439" s="141"/>
      <c r="P1439" s="140"/>
      <c r="Q1439" s="142"/>
      <c r="R1439" s="140"/>
      <c r="S1439" s="142"/>
      <c r="T1439" s="140"/>
    </row>
    <row r="1440" spans="3:20" ht="39.75" customHeight="1">
      <c r="C1440" s="196">
        <v>1437</v>
      </c>
      <c r="D1440" s="127"/>
      <c r="E1440" s="129"/>
      <c r="F1440" s="128"/>
      <c r="G1440" s="129"/>
      <c r="H1440" s="129"/>
      <c r="I1440" s="166"/>
      <c r="J1440" s="180"/>
      <c r="K1440" s="128"/>
      <c r="L1440" s="127"/>
      <c r="M1440" s="168"/>
      <c r="N1440" s="173"/>
      <c r="O1440" s="141"/>
      <c r="P1440" s="140"/>
      <c r="Q1440" s="142"/>
      <c r="R1440" s="140"/>
      <c r="S1440" s="142"/>
      <c r="T1440" s="140"/>
    </row>
    <row r="1441" spans="3:20" ht="39.75" customHeight="1">
      <c r="C1441" s="196">
        <v>1438</v>
      </c>
      <c r="D1441" s="127"/>
      <c r="E1441" s="129"/>
      <c r="F1441" s="128"/>
      <c r="G1441" s="129"/>
      <c r="H1441" s="129"/>
      <c r="I1441" s="166"/>
      <c r="J1441" s="180"/>
      <c r="K1441" s="128"/>
      <c r="L1441" s="127"/>
      <c r="M1441" s="168"/>
      <c r="N1441" s="173"/>
      <c r="O1441" s="141"/>
      <c r="P1441" s="140"/>
      <c r="Q1441" s="142"/>
      <c r="R1441" s="140"/>
      <c r="S1441" s="142"/>
      <c r="T1441" s="140"/>
    </row>
    <row r="1442" spans="3:20" ht="39.75" customHeight="1">
      <c r="C1442" s="196">
        <v>1439</v>
      </c>
      <c r="D1442" s="127"/>
      <c r="E1442" s="129"/>
      <c r="F1442" s="128"/>
      <c r="G1442" s="129"/>
      <c r="H1442" s="129"/>
      <c r="I1442" s="166"/>
      <c r="J1442" s="180"/>
      <c r="K1442" s="128"/>
      <c r="L1442" s="127"/>
      <c r="M1442" s="168"/>
      <c r="N1442" s="173"/>
      <c r="O1442" s="141"/>
      <c r="P1442" s="140"/>
      <c r="Q1442" s="142"/>
      <c r="R1442" s="140"/>
      <c r="S1442" s="142"/>
      <c r="T1442" s="140"/>
    </row>
    <row r="1443" spans="3:20" ht="39.75" customHeight="1">
      <c r="C1443" s="196">
        <v>1440</v>
      </c>
      <c r="D1443" s="127"/>
      <c r="E1443" s="129"/>
      <c r="F1443" s="128"/>
      <c r="G1443" s="129"/>
      <c r="H1443" s="129"/>
      <c r="I1443" s="166"/>
      <c r="J1443" s="180"/>
      <c r="K1443" s="128"/>
      <c r="L1443" s="127"/>
      <c r="M1443" s="168"/>
      <c r="N1443" s="173"/>
      <c r="O1443" s="141"/>
      <c r="P1443" s="140"/>
      <c r="Q1443" s="142"/>
      <c r="R1443" s="140"/>
      <c r="S1443" s="142"/>
      <c r="T1443" s="140"/>
    </row>
    <row r="1444" spans="3:20" ht="39.75" customHeight="1">
      <c r="C1444" s="196">
        <v>1441</v>
      </c>
      <c r="D1444" s="127"/>
      <c r="E1444" s="129"/>
      <c r="F1444" s="128"/>
      <c r="G1444" s="129"/>
      <c r="H1444" s="129"/>
      <c r="I1444" s="166"/>
      <c r="J1444" s="180"/>
      <c r="K1444" s="128"/>
      <c r="L1444" s="127"/>
      <c r="M1444" s="168"/>
      <c r="N1444" s="173"/>
      <c r="O1444" s="141"/>
      <c r="P1444" s="140"/>
      <c r="Q1444" s="142"/>
      <c r="R1444" s="140"/>
      <c r="S1444" s="142"/>
      <c r="T1444" s="140"/>
    </row>
    <row r="1445" spans="3:20" ht="39.75" customHeight="1">
      <c r="C1445" s="196">
        <v>1442</v>
      </c>
      <c r="D1445" s="127"/>
      <c r="E1445" s="129"/>
      <c r="F1445" s="128"/>
      <c r="G1445" s="129"/>
      <c r="H1445" s="129"/>
      <c r="I1445" s="166"/>
      <c r="J1445" s="180"/>
      <c r="K1445" s="128"/>
      <c r="L1445" s="127"/>
      <c r="M1445" s="168"/>
      <c r="N1445" s="173"/>
      <c r="O1445" s="141"/>
      <c r="P1445" s="140"/>
      <c r="Q1445" s="142"/>
      <c r="R1445" s="140"/>
      <c r="S1445" s="142"/>
      <c r="T1445" s="140"/>
    </row>
    <row r="1446" spans="3:20" ht="39.75" customHeight="1">
      <c r="C1446" s="196">
        <v>1443</v>
      </c>
      <c r="D1446" s="127"/>
      <c r="E1446" s="129"/>
      <c r="F1446" s="128"/>
      <c r="G1446" s="129"/>
      <c r="H1446" s="129"/>
      <c r="I1446" s="166"/>
      <c r="J1446" s="180"/>
      <c r="K1446" s="128"/>
      <c r="L1446" s="127"/>
      <c r="M1446" s="168"/>
      <c r="N1446" s="173"/>
      <c r="O1446" s="141"/>
      <c r="P1446" s="140"/>
      <c r="Q1446" s="142"/>
      <c r="R1446" s="140"/>
      <c r="S1446" s="142"/>
      <c r="T1446" s="140"/>
    </row>
    <row r="1447" spans="3:20" ht="39.75" customHeight="1">
      <c r="C1447" s="196">
        <v>1444</v>
      </c>
      <c r="D1447" s="127"/>
      <c r="E1447" s="129"/>
      <c r="F1447" s="128"/>
      <c r="G1447" s="129"/>
      <c r="H1447" s="129"/>
      <c r="I1447" s="166"/>
      <c r="J1447" s="180"/>
      <c r="K1447" s="128"/>
      <c r="L1447" s="127"/>
      <c r="M1447" s="168"/>
      <c r="N1447" s="173"/>
      <c r="O1447" s="141"/>
      <c r="P1447" s="140"/>
      <c r="Q1447" s="142"/>
      <c r="R1447" s="140"/>
      <c r="S1447" s="142"/>
      <c r="T1447" s="140"/>
    </row>
    <row r="1448" spans="3:20" ht="39.75" customHeight="1">
      <c r="C1448" s="196">
        <v>1445</v>
      </c>
      <c r="D1448" s="127"/>
      <c r="E1448" s="129"/>
      <c r="F1448" s="128"/>
      <c r="G1448" s="129"/>
      <c r="H1448" s="129"/>
      <c r="I1448" s="166"/>
      <c r="J1448" s="180"/>
      <c r="K1448" s="128"/>
      <c r="L1448" s="127"/>
      <c r="M1448" s="168"/>
      <c r="N1448" s="173"/>
      <c r="O1448" s="141"/>
      <c r="P1448" s="140"/>
      <c r="Q1448" s="142"/>
      <c r="R1448" s="140"/>
      <c r="S1448" s="142"/>
      <c r="T1448" s="140"/>
    </row>
    <row r="1449" spans="3:20" ht="39.75" customHeight="1">
      <c r="C1449" s="196">
        <v>1446</v>
      </c>
      <c r="D1449" s="127"/>
      <c r="E1449" s="129"/>
      <c r="F1449" s="128"/>
      <c r="G1449" s="129"/>
      <c r="H1449" s="129"/>
      <c r="I1449" s="166"/>
      <c r="J1449" s="180"/>
      <c r="K1449" s="128"/>
      <c r="L1449" s="127"/>
      <c r="M1449" s="168"/>
      <c r="N1449" s="173"/>
      <c r="O1449" s="141"/>
      <c r="P1449" s="140"/>
      <c r="Q1449" s="142"/>
      <c r="R1449" s="140"/>
      <c r="S1449" s="142"/>
      <c r="T1449" s="140"/>
    </row>
    <row r="1450" spans="3:20" ht="39.75" customHeight="1">
      <c r="C1450" s="196">
        <v>1447</v>
      </c>
      <c r="D1450" s="127"/>
      <c r="E1450" s="129"/>
      <c r="F1450" s="128"/>
      <c r="G1450" s="129"/>
      <c r="H1450" s="129"/>
      <c r="I1450" s="166"/>
      <c r="J1450" s="180"/>
      <c r="K1450" s="128"/>
      <c r="L1450" s="127"/>
      <c r="M1450" s="168"/>
      <c r="N1450" s="173"/>
      <c r="O1450" s="141"/>
      <c r="P1450" s="140"/>
      <c r="Q1450" s="142"/>
      <c r="R1450" s="140"/>
      <c r="S1450" s="142"/>
      <c r="T1450" s="140"/>
    </row>
    <row r="1451" spans="3:20" ht="39.75" customHeight="1">
      <c r="C1451" s="196">
        <v>1448</v>
      </c>
      <c r="D1451" s="127"/>
      <c r="E1451" s="129"/>
      <c r="F1451" s="128"/>
      <c r="G1451" s="129"/>
      <c r="H1451" s="129"/>
      <c r="I1451" s="166"/>
      <c r="J1451" s="180"/>
      <c r="K1451" s="128"/>
      <c r="L1451" s="127"/>
      <c r="M1451" s="168"/>
      <c r="N1451" s="173"/>
      <c r="O1451" s="141"/>
      <c r="P1451" s="140"/>
      <c r="Q1451" s="142"/>
      <c r="R1451" s="140"/>
      <c r="S1451" s="142"/>
      <c r="T1451" s="140"/>
    </row>
    <row r="1452" spans="3:20" ht="39.75" customHeight="1">
      <c r="C1452" s="196">
        <v>1449</v>
      </c>
      <c r="D1452" s="127"/>
      <c r="E1452" s="129"/>
      <c r="F1452" s="128"/>
      <c r="G1452" s="129"/>
      <c r="H1452" s="129"/>
      <c r="I1452" s="166"/>
      <c r="J1452" s="180"/>
      <c r="K1452" s="128"/>
      <c r="L1452" s="127"/>
      <c r="M1452" s="168"/>
      <c r="N1452" s="173"/>
      <c r="O1452" s="141"/>
      <c r="P1452" s="140"/>
      <c r="Q1452" s="142"/>
      <c r="R1452" s="140"/>
      <c r="S1452" s="142"/>
      <c r="T1452" s="140"/>
    </row>
    <row r="1453" spans="3:20" ht="39.75" customHeight="1">
      <c r="C1453" s="196">
        <v>1450</v>
      </c>
      <c r="D1453" s="127"/>
      <c r="E1453" s="129"/>
      <c r="F1453" s="128"/>
      <c r="G1453" s="129"/>
      <c r="H1453" s="129"/>
      <c r="I1453" s="166"/>
      <c r="J1453" s="180"/>
      <c r="K1453" s="128"/>
      <c r="L1453" s="127"/>
      <c r="M1453" s="168"/>
      <c r="N1453" s="173"/>
      <c r="O1453" s="141"/>
      <c r="P1453" s="140"/>
      <c r="Q1453" s="142"/>
      <c r="R1453" s="140"/>
      <c r="S1453" s="142"/>
      <c r="T1453" s="140"/>
    </row>
    <row r="1454" spans="3:20" ht="39.75" customHeight="1">
      <c r="C1454" s="196">
        <v>1451</v>
      </c>
      <c r="D1454" s="127"/>
      <c r="E1454" s="129"/>
      <c r="F1454" s="128"/>
      <c r="G1454" s="129"/>
      <c r="H1454" s="129"/>
      <c r="I1454" s="166"/>
      <c r="J1454" s="180"/>
      <c r="K1454" s="128"/>
      <c r="L1454" s="127"/>
      <c r="M1454" s="168"/>
      <c r="N1454" s="173"/>
      <c r="O1454" s="141"/>
      <c r="P1454" s="140"/>
      <c r="Q1454" s="142"/>
      <c r="R1454" s="140"/>
      <c r="S1454" s="142"/>
      <c r="T1454" s="140"/>
    </row>
    <row r="1455" spans="3:20" ht="39.75" customHeight="1">
      <c r="C1455" s="196">
        <v>1452</v>
      </c>
      <c r="D1455" s="127"/>
      <c r="E1455" s="129"/>
      <c r="F1455" s="128"/>
      <c r="G1455" s="129"/>
      <c r="H1455" s="129"/>
      <c r="I1455" s="166"/>
      <c r="J1455" s="180"/>
      <c r="K1455" s="128"/>
      <c r="L1455" s="127"/>
      <c r="M1455" s="168"/>
      <c r="N1455" s="173"/>
      <c r="O1455" s="141"/>
      <c r="P1455" s="140"/>
      <c r="Q1455" s="142"/>
      <c r="R1455" s="140"/>
      <c r="S1455" s="142"/>
      <c r="T1455" s="140"/>
    </row>
    <row r="1456" spans="3:20" ht="39.75" customHeight="1">
      <c r="C1456" s="196">
        <v>1453</v>
      </c>
      <c r="D1456" s="127"/>
      <c r="E1456" s="129"/>
      <c r="F1456" s="128"/>
      <c r="G1456" s="129"/>
      <c r="H1456" s="129"/>
      <c r="I1456" s="166"/>
      <c r="J1456" s="180"/>
      <c r="K1456" s="128"/>
      <c r="L1456" s="127"/>
      <c r="M1456" s="168"/>
      <c r="N1456" s="173"/>
      <c r="O1456" s="141"/>
      <c r="P1456" s="140"/>
      <c r="Q1456" s="142"/>
      <c r="R1456" s="140"/>
      <c r="S1456" s="142"/>
      <c r="T1456" s="140"/>
    </row>
    <row r="1457" spans="3:20" ht="39.75" customHeight="1">
      <c r="C1457" s="196">
        <v>1454</v>
      </c>
      <c r="D1457" s="127"/>
      <c r="E1457" s="129"/>
      <c r="F1457" s="128"/>
      <c r="G1457" s="129"/>
      <c r="H1457" s="129"/>
      <c r="I1457" s="166"/>
      <c r="J1457" s="180"/>
      <c r="K1457" s="128"/>
      <c r="L1457" s="127"/>
      <c r="M1457" s="168"/>
      <c r="N1457" s="173"/>
      <c r="O1457" s="141"/>
      <c r="P1457" s="140"/>
      <c r="Q1457" s="142"/>
      <c r="R1457" s="140"/>
      <c r="S1457" s="142"/>
      <c r="T1457" s="140"/>
    </row>
    <row r="1458" spans="3:20" ht="39.75" customHeight="1">
      <c r="C1458" s="196">
        <v>1455</v>
      </c>
      <c r="D1458" s="127"/>
      <c r="E1458" s="129"/>
      <c r="F1458" s="128"/>
      <c r="G1458" s="129"/>
      <c r="H1458" s="129"/>
      <c r="I1458" s="166"/>
      <c r="J1458" s="180"/>
      <c r="K1458" s="128"/>
      <c r="L1458" s="127"/>
      <c r="M1458" s="168"/>
      <c r="N1458" s="173"/>
      <c r="O1458" s="141"/>
      <c r="P1458" s="140"/>
      <c r="Q1458" s="142"/>
      <c r="R1458" s="140"/>
      <c r="S1458" s="142"/>
      <c r="T1458" s="140"/>
    </row>
    <row r="1459" spans="3:20" ht="39.75" customHeight="1">
      <c r="C1459" s="196">
        <v>1456</v>
      </c>
      <c r="D1459" s="127"/>
      <c r="E1459" s="129"/>
      <c r="F1459" s="128"/>
      <c r="G1459" s="129"/>
      <c r="H1459" s="129"/>
      <c r="I1459" s="166"/>
      <c r="J1459" s="180"/>
      <c r="K1459" s="128"/>
      <c r="L1459" s="127"/>
      <c r="M1459" s="168"/>
      <c r="N1459" s="173"/>
      <c r="O1459" s="141"/>
      <c r="P1459" s="140"/>
      <c r="Q1459" s="142"/>
      <c r="R1459" s="140"/>
      <c r="S1459" s="142"/>
      <c r="T1459" s="140"/>
    </row>
    <row r="1460" spans="3:20" ht="39.75" customHeight="1">
      <c r="C1460" s="196">
        <v>1457</v>
      </c>
      <c r="D1460" s="127"/>
      <c r="E1460" s="129"/>
      <c r="F1460" s="128"/>
      <c r="G1460" s="129"/>
      <c r="H1460" s="129"/>
      <c r="I1460" s="166"/>
      <c r="J1460" s="180"/>
      <c r="K1460" s="128"/>
      <c r="L1460" s="127"/>
      <c r="M1460" s="168"/>
      <c r="N1460" s="173"/>
      <c r="O1460" s="141"/>
      <c r="P1460" s="140"/>
      <c r="Q1460" s="142"/>
      <c r="R1460" s="140"/>
      <c r="S1460" s="142"/>
      <c r="T1460" s="140"/>
    </row>
    <row r="1461" spans="3:20" ht="39.75" customHeight="1">
      <c r="C1461" s="196">
        <v>1458</v>
      </c>
      <c r="D1461" s="127"/>
      <c r="E1461" s="129"/>
      <c r="F1461" s="128"/>
      <c r="G1461" s="129"/>
      <c r="H1461" s="129"/>
      <c r="I1461" s="166"/>
      <c r="J1461" s="180"/>
      <c r="K1461" s="128"/>
      <c r="L1461" s="127"/>
      <c r="M1461" s="168"/>
      <c r="N1461" s="173"/>
      <c r="O1461" s="141"/>
      <c r="P1461" s="140"/>
      <c r="Q1461" s="142"/>
      <c r="R1461" s="140"/>
      <c r="S1461" s="142"/>
      <c r="T1461" s="140"/>
    </row>
    <row r="1462" spans="3:20" ht="39.75" customHeight="1">
      <c r="C1462" s="196">
        <v>1459</v>
      </c>
      <c r="D1462" s="127"/>
      <c r="E1462" s="129"/>
      <c r="F1462" s="128"/>
      <c r="G1462" s="129"/>
      <c r="H1462" s="129"/>
      <c r="I1462" s="166"/>
      <c r="J1462" s="180"/>
      <c r="K1462" s="128"/>
      <c r="L1462" s="127"/>
      <c r="M1462" s="168"/>
      <c r="N1462" s="173"/>
      <c r="O1462" s="141"/>
      <c r="P1462" s="140"/>
      <c r="Q1462" s="142"/>
      <c r="R1462" s="140"/>
      <c r="S1462" s="142"/>
      <c r="T1462" s="140"/>
    </row>
    <row r="1463" spans="3:20" ht="39.75" customHeight="1">
      <c r="C1463" s="196">
        <v>1460</v>
      </c>
      <c r="D1463" s="127"/>
      <c r="E1463" s="129"/>
      <c r="F1463" s="128"/>
      <c r="G1463" s="129"/>
      <c r="H1463" s="129"/>
      <c r="I1463" s="166"/>
      <c r="J1463" s="180"/>
      <c r="K1463" s="128"/>
      <c r="L1463" s="127"/>
      <c r="M1463" s="168"/>
      <c r="N1463" s="173"/>
      <c r="O1463" s="141"/>
      <c r="P1463" s="140"/>
      <c r="Q1463" s="142"/>
      <c r="R1463" s="140"/>
      <c r="S1463" s="142"/>
      <c r="T1463" s="140"/>
    </row>
    <row r="1464" spans="3:20" ht="39.75" customHeight="1">
      <c r="C1464" s="196">
        <v>1461</v>
      </c>
      <c r="D1464" s="127"/>
      <c r="E1464" s="129"/>
      <c r="F1464" s="128"/>
      <c r="G1464" s="129"/>
      <c r="H1464" s="129"/>
      <c r="I1464" s="166"/>
      <c r="J1464" s="180"/>
      <c r="K1464" s="128"/>
      <c r="L1464" s="127"/>
      <c r="M1464" s="168"/>
      <c r="N1464" s="173"/>
      <c r="O1464" s="141"/>
      <c r="P1464" s="140"/>
      <c r="Q1464" s="142"/>
      <c r="R1464" s="140"/>
      <c r="S1464" s="142"/>
      <c r="T1464" s="140"/>
    </row>
    <row r="1465" spans="3:20" ht="39.75" customHeight="1">
      <c r="C1465" s="196">
        <v>1462</v>
      </c>
      <c r="D1465" s="127"/>
      <c r="E1465" s="129"/>
      <c r="F1465" s="128"/>
      <c r="G1465" s="129"/>
      <c r="H1465" s="129"/>
      <c r="I1465" s="166"/>
      <c r="J1465" s="180"/>
      <c r="K1465" s="128"/>
      <c r="L1465" s="127"/>
      <c r="M1465" s="168"/>
      <c r="N1465" s="173"/>
      <c r="O1465" s="141"/>
      <c r="P1465" s="140"/>
      <c r="Q1465" s="142"/>
      <c r="R1465" s="140"/>
      <c r="S1465" s="142"/>
      <c r="T1465" s="140"/>
    </row>
    <row r="1466" spans="3:20" ht="39.75" customHeight="1">
      <c r="C1466" s="196">
        <v>1463</v>
      </c>
      <c r="D1466" s="127"/>
      <c r="E1466" s="129"/>
      <c r="F1466" s="128"/>
      <c r="G1466" s="129"/>
      <c r="H1466" s="129"/>
      <c r="I1466" s="166"/>
      <c r="J1466" s="180"/>
      <c r="K1466" s="128"/>
      <c r="L1466" s="127"/>
      <c r="M1466" s="168"/>
      <c r="N1466" s="173"/>
      <c r="O1466" s="141"/>
      <c r="P1466" s="140"/>
      <c r="Q1466" s="142"/>
      <c r="R1466" s="140"/>
      <c r="S1466" s="142"/>
      <c r="T1466" s="140"/>
    </row>
    <row r="1467" spans="3:20" ht="39.75" customHeight="1">
      <c r="C1467" s="196">
        <v>1464</v>
      </c>
      <c r="D1467" s="127"/>
      <c r="E1467" s="129"/>
      <c r="F1467" s="128"/>
      <c r="G1467" s="129"/>
      <c r="H1467" s="129"/>
      <c r="I1467" s="166"/>
      <c r="J1467" s="180"/>
      <c r="K1467" s="128"/>
      <c r="L1467" s="127"/>
      <c r="M1467" s="168"/>
      <c r="N1467" s="173"/>
      <c r="O1467" s="141"/>
      <c r="P1467" s="140"/>
      <c r="Q1467" s="142"/>
      <c r="R1467" s="140"/>
      <c r="S1467" s="142"/>
      <c r="T1467" s="140"/>
    </row>
    <row r="1468" spans="3:20" ht="39.75" customHeight="1">
      <c r="C1468" s="196">
        <v>1465</v>
      </c>
      <c r="D1468" s="127"/>
      <c r="E1468" s="129"/>
      <c r="F1468" s="128"/>
      <c r="G1468" s="129"/>
      <c r="H1468" s="129"/>
      <c r="I1468" s="166"/>
      <c r="J1468" s="180"/>
      <c r="K1468" s="128"/>
      <c r="L1468" s="127"/>
      <c r="M1468" s="168"/>
      <c r="N1468" s="173"/>
      <c r="O1468" s="141"/>
      <c r="P1468" s="140"/>
      <c r="Q1468" s="142"/>
      <c r="R1468" s="140"/>
      <c r="S1468" s="142"/>
      <c r="T1468" s="140"/>
    </row>
    <row r="1469" spans="3:20" ht="39.75" customHeight="1">
      <c r="C1469" s="196">
        <v>1466</v>
      </c>
      <c r="D1469" s="127"/>
      <c r="E1469" s="129"/>
      <c r="F1469" s="128"/>
      <c r="G1469" s="129"/>
      <c r="H1469" s="129"/>
      <c r="I1469" s="166"/>
      <c r="J1469" s="180"/>
      <c r="K1469" s="128"/>
      <c r="L1469" s="127"/>
      <c r="M1469" s="168"/>
      <c r="N1469" s="173"/>
      <c r="O1469" s="141"/>
      <c r="P1469" s="140"/>
      <c r="Q1469" s="142"/>
      <c r="R1469" s="140"/>
      <c r="S1469" s="142"/>
      <c r="T1469" s="140"/>
    </row>
    <row r="1470" spans="3:20" ht="39.75" customHeight="1">
      <c r="C1470" s="196">
        <v>1467</v>
      </c>
      <c r="D1470" s="127"/>
      <c r="E1470" s="129"/>
      <c r="F1470" s="128"/>
      <c r="G1470" s="129"/>
      <c r="H1470" s="129"/>
      <c r="I1470" s="166"/>
      <c r="J1470" s="180"/>
      <c r="K1470" s="128"/>
      <c r="L1470" s="127"/>
      <c r="M1470" s="168"/>
      <c r="N1470" s="173"/>
      <c r="O1470" s="141"/>
      <c r="P1470" s="140"/>
      <c r="Q1470" s="142"/>
      <c r="R1470" s="140"/>
      <c r="S1470" s="142"/>
      <c r="T1470" s="140"/>
    </row>
    <row r="1471" spans="3:20" ht="39.75" customHeight="1">
      <c r="C1471" s="196">
        <v>1468</v>
      </c>
      <c r="D1471" s="127"/>
      <c r="E1471" s="129"/>
      <c r="F1471" s="128"/>
      <c r="G1471" s="129"/>
      <c r="H1471" s="129"/>
      <c r="I1471" s="166"/>
      <c r="J1471" s="180"/>
      <c r="K1471" s="128"/>
      <c r="L1471" s="127"/>
      <c r="M1471" s="168"/>
      <c r="N1471" s="173"/>
      <c r="O1471" s="141"/>
      <c r="P1471" s="140"/>
      <c r="Q1471" s="142"/>
      <c r="R1471" s="140"/>
      <c r="S1471" s="142"/>
      <c r="T1471" s="140"/>
    </row>
    <row r="1472" spans="3:20" ht="39.75" customHeight="1">
      <c r="C1472" s="196">
        <v>1469</v>
      </c>
      <c r="D1472" s="127"/>
      <c r="E1472" s="129"/>
      <c r="F1472" s="128"/>
      <c r="G1472" s="129"/>
      <c r="H1472" s="129"/>
      <c r="I1472" s="166"/>
      <c r="J1472" s="180"/>
      <c r="K1472" s="128"/>
      <c r="L1472" s="127"/>
      <c r="M1472" s="168"/>
      <c r="N1472" s="173"/>
      <c r="O1472" s="141"/>
      <c r="P1472" s="140"/>
      <c r="Q1472" s="142"/>
      <c r="R1472" s="140"/>
      <c r="S1472" s="142"/>
      <c r="T1472" s="140"/>
    </row>
    <row r="1473" spans="3:20" ht="39.75" customHeight="1">
      <c r="C1473" s="196">
        <v>1470</v>
      </c>
      <c r="D1473" s="127"/>
      <c r="E1473" s="129"/>
      <c r="F1473" s="128"/>
      <c r="G1473" s="129"/>
      <c r="H1473" s="129"/>
      <c r="I1473" s="166"/>
      <c r="J1473" s="180"/>
      <c r="K1473" s="128"/>
      <c r="L1473" s="127"/>
      <c r="M1473" s="168"/>
      <c r="N1473" s="173"/>
      <c r="O1473" s="141"/>
      <c r="P1473" s="140"/>
      <c r="Q1473" s="142"/>
      <c r="R1473" s="140"/>
      <c r="S1473" s="142"/>
      <c r="T1473" s="140"/>
    </row>
    <row r="1474" spans="3:20" ht="39.75" customHeight="1">
      <c r="C1474" s="196">
        <v>1471</v>
      </c>
      <c r="D1474" s="127"/>
      <c r="E1474" s="129"/>
      <c r="F1474" s="128"/>
      <c r="G1474" s="129"/>
      <c r="H1474" s="129"/>
      <c r="I1474" s="166"/>
      <c r="J1474" s="180"/>
      <c r="K1474" s="128"/>
      <c r="L1474" s="127"/>
      <c r="M1474" s="168"/>
      <c r="N1474" s="173"/>
      <c r="O1474" s="141"/>
      <c r="P1474" s="140"/>
      <c r="Q1474" s="142"/>
      <c r="R1474" s="140"/>
      <c r="S1474" s="142"/>
      <c r="T1474" s="140"/>
    </row>
    <row r="1475" spans="3:20" ht="39.75" customHeight="1">
      <c r="C1475" s="196">
        <v>1472</v>
      </c>
      <c r="D1475" s="127"/>
      <c r="E1475" s="129"/>
      <c r="F1475" s="128"/>
      <c r="G1475" s="129"/>
      <c r="H1475" s="129"/>
      <c r="I1475" s="166"/>
      <c r="J1475" s="180"/>
      <c r="K1475" s="128"/>
      <c r="L1475" s="127"/>
      <c r="M1475" s="168"/>
      <c r="N1475" s="173"/>
      <c r="O1475" s="141"/>
      <c r="P1475" s="140"/>
      <c r="Q1475" s="142"/>
      <c r="R1475" s="140"/>
      <c r="S1475" s="142"/>
      <c r="T1475" s="140"/>
    </row>
    <row r="1476" spans="3:20" ht="39.75" customHeight="1">
      <c r="C1476" s="196">
        <v>1473</v>
      </c>
      <c r="D1476" s="127"/>
      <c r="E1476" s="129"/>
      <c r="F1476" s="128"/>
      <c r="G1476" s="129"/>
      <c r="H1476" s="129"/>
      <c r="I1476" s="166"/>
      <c r="J1476" s="180"/>
      <c r="K1476" s="128"/>
      <c r="L1476" s="127"/>
      <c r="M1476" s="168"/>
      <c r="N1476" s="173"/>
      <c r="O1476" s="141"/>
      <c r="P1476" s="140"/>
      <c r="Q1476" s="142"/>
      <c r="R1476" s="140"/>
      <c r="S1476" s="142"/>
      <c r="T1476" s="140"/>
    </row>
    <row r="1477" spans="3:20" ht="39.75" customHeight="1">
      <c r="C1477" s="196">
        <v>1474</v>
      </c>
      <c r="D1477" s="127"/>
      <c r="E1477" s="129"/>
      <c r="F1477" s="128"/>
      <c r="G1477" s="129"/>
      <c r="H1477" s="129"/>
      <c r="I1477" s="166"/>
      <c r="J1477" s="180"/>
      <c r="K1477" s="128"/>
      <c r="L1477" s="127"/>
      <c r="M1477" s="168"/>
      <c r="N1477" s="173"/>
      <c r="O1477" s="141"/>
      <c r="P1477" s="140"/>
      <c r="Q1477" s="142"/>
      <c r="R1477" s="140"/>
      <c r="S1477" s="142"/>
      <c r="T1477" s="140"/>
    </row>
    <row r="1478" spans="3:20" ht="39.75" customHeight="1">
      <c r="C1478" s="196">
        <v>1475</v>
      </c>
      <c r="D1478" s="127"/>
      <c r="E1478" s="129"/>
      <c r="F1478" s="128"/>
      <c r="G1478" s="129"/>
      <c r="H1478" s="129"/>
      <c r="I1478" s="166"/>
      <c r="J1478" s="180"/>
      <c r="K1478" s="128"/>
      <c r="L1478" s="127"/>
      <c r="M1478" s="168"/>
      <c r="N1478" s="173"/>
      <c r="O1478" s="141"/>
      <c r="P1478" s="140"/>
      <c r="Q1478" s="142"/>
      <c r="R1478" s="140"/>
      <c r="S1478" s="142"/>
      <c r="T1478" s="140"/>
    </row>
    <row r="1479" spans="3:20" ht="39.75" customHeight="1">
      <c r="C1479" s="196">
        <v>1476</v>
      </c>
      <c r="D1479" s="127"/>
      <c r="E1479" s="129"/>
      <c r="F1479" s="128"/>
      <c r="G1479" s="129"/>
      <c r="H1479" s="129"/>
      <c r="I1479" s="166"/>
      <c r="J1479" s="180"/>
      <c r="K1479" s="128"/>
      <c r="L1479" s="127"/>
      <c r="M1479" s="168"/>
      <c r="N1479" s="173"/>
      <c r="O1479" s="141"/>
      <c r="P1479" s="140"/>
      <c r="Q1479" s="142"/>
      <c r="R1479" s="140"/>
      <c r="S1479" s="142"/>
      <c r="T1479" s="140"/>
    </row>
    <row r="1480" spans="3:20" ht="39.75" customHeight="1">
      <c r="C1480" s="196">
        <v>1477</v>
      </c>
      <c r="D1480" s="127"/>
      <c r="E1480" s="129"/>
      <c r="F1480" s="128"/>
      <c r="G1480" s="129"/>
      <c r="H1480" s="129"/>
      <c r="I1480" s="166"/>
      <c r="J1480" s="180"/>
      <c r="K1480" s="128"/>
      <c r="L1480" s="127"/>
      <c r="M1480" s="168"/>
      <c r="N1480" s="173"/>
      <c r="O1480" s="141"/>
      <c r="P1480" s="140"/>
      <c r="Q1480" s="142"/>
      <c r="R1480" s="140"/>
      <c r="S1480" s="142"/>
      <c r="T1480" s="140"/>
    </row>
    <row r="1481" spans="3:20" ht="39.75" customHeight="1">
      <c r="C1481" s="196">
        <v>1478</v>
      </c>
      <c r="D1481" s="127"/>
      <c r="E1481" s="129"/>
      <c r="F1481" s="128"/>
      <c r="G1481" s="129"/>
      <c r="H1481" s="129"/>
      <c r="I1481" s="166"/>
      <c r="J1481" s="180"/>
      <c r="K1481" s="128"/>
      <c r="L1481" s="127"/>
      <c r="M1481" s="168"/>
      <c r="N1481" s="173"/>
      <c r="O1481" s="141"/>
      <c r="P1481" s="140"/>
      <c r="Q1481" s="142"/>
      <c r="R1481" s="140"/>
      <c r="S1481" s="142"/>
      <c r="T1481" s="140"/>
    </row>
    <row r="1482" spans="3:20" ht="39.75" customHeight="1">
      <c r="C1482" s="196">
        <v>1479</v>
      </c>
      <c r="D1482" s="127"/>
      <c r="E1482" s="129"/>
      <c r="F1482" s="128"/>
      <c r="G1482" s="129"/>
      <c r="H1482" s="129"/>
      <c r="I1482" s="166"/>
      <c r="J1482" s="180"/>
      <c r="K1482" s="128"/>
      <c r="L1482" s="127"/>
      <c r="M1482" s="168"/>
      <c r="N1482" s="173"/>
      <c r="O1482" s="141"/>
      <c r="P1482" s="140"/>
      <c r="Q1482" s="142"/>
      <c r="R1482" s="140"/>
      <c r="S1482" s="142"/>
      <c r="T1482" s="140"/>
    </row>
    <row r="1483" spans="3:20" ht="39.75" customHeight="1">
      <c r="C1483" s="196">
        <v>1480</v>
      </c>
      <c r="D1483" s="127"/>
      <c r="E1483" s="129"/>
      <c r="F1483" s="128"/>
      <c r="G1483" s="129"/>
      <c r="H1483" s="129"/>
      <c r="I1483" s="166"/>
      <c r="J1483" s="180"/>
      <c r="K1483" s="128"/>
      <c r="L1483" s="127"/>
      <c r="M1483" s="168"/>
      <c r="N1483" s="173"/>
      <c r="O1483" s="141"/>
      <c r="P1483" s="140"/>
      <c r="Q1483" s="142"/>
      <c r="R1483" s="140"/>
      <c r="S1483" s="142"/>
      <c r="T1483" s="140"/>
    </row>
    <row r="1484" spans="3:20" ht="39.75" customHeight="1">
      <c r="C1484" s="196">
        <v>1481</v>
      </c>
      <c r="D1484" s="127"/>
      <c r="E1484" s="129"/>
      <c r="F1484" s="128"/>
      <c r="G1484" s="129"/>
      <c r="H1484" s="129"/>
      <c r="I1484" s="166"/>
      <c r="J1484" s="180"/>
      <c r="K1484" s="128"/>
      <c r="L1484" s="127"/>
      <c r="M1484" s="168"/>
      <c r="N1484" s="173"/>
      <c r="O1484" s="141"/>
      <c r="P1484" s="140"/>
      <c r="Q1484" s="142"/>
      <c r="R1484" s="140"/>
      <c r="S1484" s="142"/>
      <c r="T1484" s="140"/>
    </row>
    <row r="1485" spans="3:20" ht="39.75" customHeight="1">
      <c r="C1485" s="196">
        <v>1482</v>
      </c>
      <c r="D1485" s="127"/>
      <c r="E1485" s="129"/>
      <c r="F1485" s="128"/>
      <c r="G1485" s="129"/>
      <c r="H1485" s="129"/>
      <c r="I1485" s="166"/>
      <c r="J1485" s="180"/>
      <c r="K1485" s="128"/>
      <c r="L1485" s="127"/>
      <c r="M1485" s="168"/>
      <c r="N1485" s="173"/>
      <c r="O1485" s="141"/>
      <c r="P1485" s="140"/>
      <c r="Q1485" s="142"/>
      <c r="R1485" s="140"/>
      <c r="S1485" s="142"/>
      <c r="T1485" s="140"/>
    </row>
    <row r="1486" spans="3:20" ht="39.75" customHeight="1">
      <c r="C1486" s="196">
        <v>1483</v>
      </c>
      <c r="D1486" s="127"/>
      <c r="E1486" s="129"/>
      <c r="F1486" s="128"/>
      <c r="G1486" s="129"/>
      <c r="H1486" s="129"/>
      <c r="I1486" s="166"/>
      <c r="J1486" s="180"/>
      <c r="K1486" s="128"/>
      <c r="L1486" s="127"/>
      <c r="M1486" s="168"/>
      <c r="N1486" s="173"/>
      <c r="O1486" s="141"/>
      <c r="P1486" s="140"/>
      <c r="Q1486" s="142"/>
      <c r="R1486" s="140"/>
      <c r="S1486" s="142"/>
      <c r="T1486" s="140"/>
    </row>
    <row r="1487" spans="3:20" ht="39.75" customHeight="1">
      <c r="C1487" s="196">
        <v>1484</v>
      </c>
      <c r="D1487" s="127"/>
      <c r="E1487" s="129"/>
      <c r="F1487" s="128"/>
      <c r="G1487" s="129"/>
      <c r="H1487" s="129"/>
      <c r="I1487" s="166"/>
      <c r="J1487" s="180"/>
      <c r="K1487" s="128"/>
      <c r="L1487" s="127"/>
      <c r="M1487" s="168"/>
      <c r="N1487" s="173"/>
      <c r="O1487" s="141"/>
      <c r="P1487" s="140"/>
      <c r="Q1487" s="142"/>
      <c r="R1487" s="140"/>
      <c r="S1487" s="142"/>
      <c r="T1487" s="140"/>
    </row>
    <row r="1488" spans="3:20" ht="39.75" customHeight="1">
      <c r="C1488" s="196">
        <v>1485</v>
      </c>
      <c r="D1488" s="127"/>
      <c r="E1488" s="129"/>
      <c r="F1488" s="128"/>
      <c r="G1488" s="129"/>
      <c r="H1488" s="129"/>
      <c r="I1488" s="166"/>
      <c r="J1488" s="180"/>
      <c r="K1488" s="128"/>
      <c r="L1488" s="127"/>
      <c r="M1488" s="168"/>
      <c r="N1488" s="173"/>
      <c r="O1488" s="141"/>
      <c r="P1488" s="140"/>
      <c r="Q1488" s="142"/>
      <c r="R1488" s="140"/>
      <c r="S1488" s="142"/>
      <c r="T1488" s="140"/>
    </row>
    <row r="1489" spans="3:20" ht="39.75" customHeight="1">
      <c r="C1489" s="196">
        <v>1486</v>
      </c>
      <c r="D1489" s="127"/>
      <c r="E1489" s="129"/>
      <c r="F1489" s="128"/>
      <c r="G1489" s="129"/>
      <c r="H1489" s="129"/>
      <c r="I1489" s="166"/>
      <c r="J1489" s="180"/>
      <c r="K1489" s="128"/>
      <c r="L1489" s="127"/>
      <c r="M1489" s="168"/>
      <c r="N1489" s="173"/>
      <c r="O1489" s="141"/>
      <c r="P1489" s="140"/>
      <c r="Q1489" s="142"/>
      <c r="R1489" s="140"/>
      <c r="S1489" s="142"/>
      <c r="T1489" s="140"/>
    </row>
    <row r="1490" spans="3:20" ht="39.75" customHeight="1">
      <c r="C1490" s="196">
        <v>1487</v>
      </c>
      <c r="D1490" s="127"/>
      <c r="E1490" s="129"/>
      <c r="F1490" s="128"/>
      <c r="G1490" s="129"/>
      <c r="H1490" s="129"/>
      <c r="I1490" s="166"/>
      <c r="J1490" s="180"/>
      <c r="K1490" s="128"/>
      <c r="L1490" s="127"/>
      <c r="M1490" s="168"/>
      <c r="N1490" s="173"/>
      <c r="O1490" s="141"/>
      <c r="P1490" s="140"/>
      <c r="Q1490" s="142"/>
      <c r="R1490" s="140"/>
      <c r="S1490" s="142"/>
      <c r="T1490" s="140"/>
    </row>
    <row r="1491" spans="3:20" ht="39.75" customHeight="1">
      <c r="C1491" s="196">
        <v>1488</v>
      </c>
      <c r="D1491" s="127"/>
      <c r="E1491" s="129"/>
      <c r="F1491" s="128"/>
      <c r="G1491" s="129"/>
      <c r="H1491" s="129"/>
      <c r="I1491" s="166"/>
      <c r="J1491" s="180"/>
      <c r="K1491" s="128"/>
      <c r="L1491" s="127"/>
      <c r="M1491" s="168"/>
      <c r="N1491" s="173"/>
      <c r="O1491" s="141"/>
      <c r="P1491" s="140"/>
      <c r="Q1491" s="142"/>
      <c r="R1491" s="140"/>
      <c r="S1491" s="142"/>
      <c r="T1491" s="140"/>
    </row>
    <row r="1492" spans="3:20" ht="39.75" customHeight="1">
      <c r="C1492" s="196">
        <v>1489</v>
      </c>
      <c r="D1492" s="127"/>
      <c r="E1492" s="129"/>
      <c r="F1492" s="128"/>
      <c r="G1492" s="129"/>
      <c r="H1492" s="129"/>
      <c r="I1492" s="166"/>
      <c r="J1492" s="180"/>
      <c r="K1492" s="128"/>
      <c r="L1492" s="127"/>
      <c r="M1492" s="168"/>
      <c r="N1492" s="173"/>
      <c r="O1492" s="141"/>
      <c r="P1492" s="140"/>
      <c r="Q1492" s="142"/>
      <c r="R1492" s="140"/>
      <c r="S1492" s="142"/>
      <c r="T1492" s="140"/>
    </row>
    <row r="1493" spans="3:20" ht="39.75" customHeight="1">
      <c r="C1493" s="196">
        <v>1490</v>
      </c>
      <c r="D1493" s="127"/>
      <c r="E1493" s="129"/>
      <c r="F1493" s="128"/>
      <c r="G1493" s="129"/>
      <c r="H1493" s="129"/>
      <c r="I1493" s="166"/>
      <c r="J1493" s="180"/>
      <c r="K1493" s="128"/>
      <c r="L1493" s="127"/>
      <c r="M1493" s="168"/>
      <c r="N1493" s="173"/>
      <c r="O1493" s="141"/>
      <c r="P1493" s="140"/>
      <c r="Q1493" s="142"/>
      <c r="R1493" s="140"/>
      <c r="S1493" s="142"/>
      <c r="T1493" s="140"/>
    </row>
    <row r="1494" spans="3:20" ht="39.75" customHeight="1">
      <c r="C1494" s="196">
        <v>1491</v>
      </c>
      <c r="D1494" s="127"/>
      <c r="E1494" s="129"/>
      <c r="F1494" s="128"/>
      <c r="G1494" s="129"/>
      <c r="H1494" s="129"/>
      <c r="I1494" s="166"/>
      <c r="J1494" s="180"/>
      <c r="K1494" s="128"/>
      <c r="L1494" s="127"/>
      <c r="M1494" s="168"/>
      <c r="N1494" s="173"/>
      <c r="O1494" s="141"/>
      <c r="P1494" s="140"/>
      <c r="Q1494" s="142"/>
      <c r="R1494" s="140"/>
      <c r="S1494" s="142"/>
      <c r="T1494" s="140"/>
    </row>
    <row r="1495" spans="3:20" ht="39.75" customHeight="1">
      <c r="C1495" s="196">
        <v>1492</v>
      </c>
      <c r="D1495" s="127"/>
      <c r="E1495" s="129"/>
      <c r="F1495" s="128"/>
      <c r="G1495" s="129"/>
      <c r="H1495" s="129"/>
      <c r="I1495" s="166"/>
      <c r="J1495" s="180"/>
      <c r="K1495" s="128"/>
      <c r="L1495" s="127"/>
      <c r="M1495" s="168"/>
      <c r="N1495" s="173"/>
      <c r="O1495" s="141"/>
      <c r="P1495" s="140"/>
      <c r="Q1495" s="142"/>
      <c r="R1495" s="140"/>
      <c r="S1495" s="142"/>
      <c r="T1495" s="140"/>
    </row>
    <row r="1496" spans="3:20" ht="39.75" customHeight="1">
      <c r="C1496" s="196">
        <v>1493</v>
      </c>
      <c r="D1496" s="127"/>
      <c r="E1496" s="129"/>
      <c r="F1496" s="128"/>
      <c r="G1496" s="129"/>
      <c r="H1496" s="129"/>
      <c r="I1496" s="166"/>
      <c r="J1496" s="180"/>
      <c r="K1496" s="128"/>
      <c r="L1496" s="127"/>
      <c r="M1496" s="168"/>
      <c r="N1496" s="173"/>
      <c r="O1496" s="141"/>
      <c r="P1496" s="140"/>
      <c r="Q1496" s="142"/>
      <c r="R1496" s="140"/>
      <c r="S1496" s="142"/>
      <c r="T1496" s="140"/>
    </row>
    <row r="1497" spans="3:20" ht="39.75" customHeight="1">
      <c r="C1497" s="196">
        <v>1494</v>
      </c>
      <c r="D1497" s="127"/>
      <c r="E1497" s="129"/>
      <c r="F1497" s="128"/>
      <c r="G1497" s="129"/>
      <c r="H1497" s="129"/>
      <c r="I1497" s="166"/>
      <c r="J1497" s="180"/>
      <c r="K1497" s="128"/>
      <c r="L1497" s="127"/>
      <c r="M1497" s="168"/>
      <c r="N1497" s="173"/>
      <c r="O1497" s="141"/>
      <c r="P1497" s="140"/>
      <c r="Q1497" s="142"/>
      <c r="R1497" s="140"/>
      <c r="S1497" s="142"/>
      <c r="T1497" s="140"/>
    </row>
    <row r="1498" spans="3:20" ht="39.75" customHeight="1">
      <c r="C1498" s="196">
        <v>1495</v>
      </c>
      <c r="D1498" s="127"/>
      <c r="E1498" s="129"/>
      <c r="F1498" s="128"/>
      <c r="G1498" s="129"/>
      <c r="H1498" s="129"/>
      <c r="I1498" s="166"/>
      <c r="J1498" s="180"/>
      <c r="K1498" s="128"/>
      <c r="L1498" s="127"/>
      <c r="M1498" s="168"/>
      <c r="N1498" s="173"/>
      <c r="O1498" s="141"/>
      <c r="P1498" s="140"/>
      <c r="Q1498" s="142"/>
      <c r="R1498" s="140"/>
      <c r="S1498" s="142"/>
      <c r="T1498" s="140"/>
    </row>
    <row r="1499" spans="3:20" ht="39.75" customHeight="1">
      <c r="C1499" s="196">
        <v>1496</v>
      </c>
      <c r="D1499" s="127"/>
      <c r="E1499" s="129"/>
      <c r="F1499" s="128"/>
      <c r="G1499" s="129"/>
      <c r="H1499" s="129"/>
      <c r="I1499" s="166"/>
      <c r="J1499" s="180"/>
      <c r="K1499" s="128"/>
      <c r="L1499" s="127"/>
      <c r="M1499" s="168"/>
      <c r="N1499" s="173"/>
      <c r="O1499" s="141"/>
      <c r="P1499" s="140"/>
      <c r="Q1499" s="142"/>
      <c r="R1499" s="140"/>
      <c r="S1499" s="142"/>
      <c r="T1499" s="140"/>
    </row>
    <row r="1500" spans="3:20" ht="39.75" customHeight="1">
      <c r="C1500" s="196">
        <v>1497</v>
      </c>
      <c r="D1500" s="127"/>
      <c r="E1500" s="129"/>
      <c r="F1500" s="128"/>
      <c r="G1500" s="129"/>
      <c r="H1500" s="129"/>
      <c r="I1500" s="166"/>
      <c r="J1500" s="180"/>
      <c r="K1500" s="128"/>
      <c r="L1500" s="127"/>
      <c r="M1500" s="168"/>
      <c r="N1500" s="173"/>
      <c r="O1500" s="141"/>
      <c r="P1500" s="140"/>
      <c r="Q1500" s="142"/>
      <c r="R1500" s="140"/>
      <c r="S1500" s="142"/>
      <c r="T1500" s="140"/>
    </row>
    <row r="1501" spans="3:20" ht="39.75" customHeight="1">
      <c r="C1501" s="196">
        <v>1498</v>
      </c>
      <c r="D1501" s="127"/>
      <c r="E1501" s="129"/>
      <c r="F1501" s="128"/>
      <c r="G1501" s="129"/>
      <c r="H1501" s="129"/>
      <c r="I1501" s="166"/>
      <c r="J1501" s="180"/>
      <c r="K1501" s="128"/>
      <c r="L1501" s="127"/>
      <c r="M1501" s="168"/>
      <c r="N1501" s="173"/>
      <c r="O1501" s="141"/>
      <c r="P1501" s="140"/>
      <c r="Q1501" s="142"/>
      <c r="R1501" s="140"/>
      <c r="S1501" s="142"/>
      <c r="T1501" s="140"/>
    </row>
    <row r="1502" spans="3:20" ht="39.75" customHeight="1">
      <c r="C1502" s="196">
        <v>1499</v>
      </c>
      <c r="D1502" s="127"/>
      <c r="E1502" s="129"/>
      <c r="F1502" s="128"/>
      <c r="G1502" s="129"/>
      <c r="H1502" s="129"/>
      <c r="I1502" s="166"/>
      <c r="J1502" s="180"/>
      <c r="K1502" s="128"/>
      <c r="L1502" s="127"/>
      <c r="M1502" s="168"/>
      <c r="N1502" s="173"/>
      <c r="O1502" s="141"/>
      <c r="P1502" s="140"/>
      <c r="Q1502" s="142"/>
      <c r="R1502" s="140"/>
      <c r="S1502" s="142"/>
      <c r="T1502" s="140"/>
    </row>
    <row r="1503" spans="3:20" ht="39.75" customHeight="1">
      <c r="C1503" s="196">
        <v>1500</v>
      </c>
      <c r="D1503" s="127"/>
      <c r="E1503" s="129"/>
      <c r="F1503" s="128"/>
      <c r="G1503" s="129"/>
      <c r="H1503" s="129"/>
      <c r="I1503" s="166"/>
      <c r="J1503" s="180"/>
      <c r="K1503" s="128"/>
      <c r="L1503" s="127"/>
      <c r="M1503" s="168"/>
      <c r="N1503" s="173"/>
      <c r="O1503" s="141"/>
      <c r="P1503" s="140"/>
      <c r="Q1503" s="142"/>
      <c r="R1503" s="140"/>
      <c r="S1503" s="142"/>
      <c r="T1503" s="140"/>
    </row>
    <row r="1504" spans="3:20" ht="39.75" customHeight="1">
      <c r="C1504" s="196">
        <v>1501</v>
      </c>
      <c r="D1504" s="127"/>
      <c r="E1504" s="129"/>
      <c r="F1504" s="128"/>
      <c r="G1504" s="129"/>
      <c r="H1504" s="129"/>
      <c r="I1504" s="166"/>
      <c r="J1504" s="180"/>
      <c r="K1504" s="128"/>
      <c r="L1504" s="127"/>
      <c r="M1504" s="168"/>
      <c r="N1504" s="173"/>
      <c r="O1504" s="141"/>
      <c r="P1504" s="140"/>
      <c r="Q1504" s="142"/>
      <c r="R1504" s="140"/>
      <c r="S1504" s="142"/>
      <c r="T1504" s="140"/>
    </row>
    <row r="1505" spans="3:20" ht="39.75" customHeight="1">
      <c r="C1505" s="196">
        <v>1502</v>
      </c>
      <c r="D1505" s="127"/>
      <c r="E1505" s="129"/>
      <c r="F1505" s="128"/>
      <c r="G1505" s="129"/>
      <c r="H1505" s="129"/>
      <c r="I1505" s="166"/>
      <c r="J1505" s="180"/>
      <c r="K1505" s="128"/>
      <c r="L1505" s="127"/>
      <c r="M1505" s="168"/>
      <c r="N1505" s="173"/>
      <c r="O1505" s="141"/>
      <c r="P1505" s="140"/>
      <c r="Q1505" s="142"/>
      <c r="R1505" s="140"/>
      <c r="S1505" s="142"/>
      <c r="T1505" s="140"/>
    </row>
    <row r="1506" spans="3:20" ht="39.75" customHeight="1">
      <c r="C1506" s="196">
        <v>1503</v>
      </c>
      <c r="D1506" s="127"/>
      <c r="E1506" s="129"/>
      <c r="F1506" s="128"/>
      <c r="G1506" s="129"/>
      <c r="H1506" s="129"/>
      <c r="I1506" s="166"/>
      <c r="J1506" s="180"/>
      <c r="K1506" s="128"/>
      <c r="L1506" s="127"/>
      <c r="M1506" s="168"/>
      <c r="N1506" s="173"/>
      <c r="O1506" s="141"/>
      <c r="P1506" s="140"/>
      <c r="Q1506" s="142"/>
      <c r="R1506" s="140"/>
      <c r="S1506" s="142"/>
      <c r="T1506" s="140"/>
    </row>
    <row r="1507" spans="3:20" ht="39.75" customHeight="1">
      <c r="C1507" s="196">
        <v>1504</v>
      </c>
      <c r="D1507" s="127"/>
      <c r="E1507" s="129"/>
      <c r="F1507" s="128"/>
      <c r="G1507" s="129"/>
      <c r="H1507" s="129"/>
      <c r="I1507" s="166"/>
      <c r="J1507" s="180"/>
      <c r="K1507" s="128"/>
      <c r="L1507" s="127"/>
      <c r="M1507" s="168"/>
      <c r="N1507" s="173"/>
      <c r="O1507" s="141"/>
      <c r="P1507" s="140"/>
      <c r="Q1507" s="142"/>
      <c r="R1507" s="140"/>
      <c r="S1507" s="142"/>
      <c r="T1507" s="140"/>
    </row>
    <row r="1508" spans="3:20" ht="39.75" customHeight="1">
      <c r="C1508" s="196">
        <v>1505</v>
      </c>
      <c r="D1508" s="127"/>
      <c r="E1508" s="129"/>
      <c r="F1508" s="128"/>
      <c r="G1508" s="129"/>
      <c r="H1508" s="129"/>
      <c r="I1508" s="166"/>
      <c r="J1508" s="180"/>
      <c r="K1508" s="128"/>
      <c r="L1508" s="127"/>
      <c r="M1508" s="168"/>
      <c r="N1508" s="173"/>
      <c r="O1508" s="141"/>
      <c r="P1508" s="140"/>
      <c r="Q1508" s="142"/>
      <c r="R1508" s="140"/>
      <c r="S1508" s="142"/>
      <c r="T1508" s="140"/>
    </row>
    <row r="1509" spans="3:20" ht="39.75" customHeight="1">
      <c r="C1509" s="196">
        <v>1506</v>
      </c>
      <c r="D1509" s="127"/>
      <c r="E1509" s="129"/>
      <c r="F1509" s="128"/>
      <c r="G1509" s="129"/>
      <c r="H1509" s="129"/>
      <c r="I1509" s="166"/>
      <c r="J1509" s="180"/>
      <c r="K1509" s="128"/>
      <c r="L1509" s="127"/>
      <c r="M1509" s="168"/>
      <c r="N1509" s="173"/>
      <c r="O1509" s="141"/>
      <c r="P1509" s="140"/>
      <c r="Q1509" s="142"/>
      <c r="R1509" s="140"/>
      <c r="S1509" s="142"/>
      <c r="T1509" s="140"/>
    </row>
    <row r="1510" spans="3:20" ht="39.75" customHeight="1">
      <c r="C1510" s="196">
        <v>1507</v>
      </c>
      <c r="D1510" s="127"/>
      <c r="E1510" s="129"/>
      <c r="F1510" s="128"/>
      <c r="G1510" s="129"/>
      <c r="H1510" s="129"/>
      <c r="I1510" s="166"/>
      <c r="J1510" s="180"/>
      <c r="K1510" s="128"/>
      <c r="L1510" s="127"/>
      <c r="M1510" s="168"/>
      <c r="N1510" s="173"/>
      <c r="O1510" s="141"/>
      <c r="P1510" s="140"/>
      <c r="Q1510" s="142"/>
      <c r="R1510" s="140"/>
      <c r="S1510" s="142"/>
      <c r="T1510" s="140"/>
    </row>
    <row r="1511" spans="3:20" ht="39.75" customHeight="1">
      <c r="C1511" s="196">
        <v>1508</v>
      </c>
      <c r="D1511" s="127"/>
      <c r="E1511" s="129"/>
      <c r="F1511" s="128"/>
      <c r="G1511" s="129"/>
      <c r="H1511" s="129"/>
      <c r="I1511" s="166"/>
      <c r="J1511" s="180"/>
      <c r="K1511" s="128"/>
      <c r="L1511" s="127"/>
      <c r="M1511" s="168"/>
      <c r="N1511" s="173"/>
      <c r="O1511" s="141"/>
      <c r="P1511" s="140"/>
      <c r="Q1511" s="142"/>
      <c r="R1511" s="140"/>
      <c r="S1511" s="142"/>
      <c r="T1511" s="140"/>
    </row>
    <row r="1512" spans="3:20" ht="39.75" customHeight="1">
      <c r="C1512" s="196">
        <v>1509</v>
      </c>
      <c r="D1512" s="127"/>
      <c r="E1512" s="129"/>
      <c r="F1512" s="128"/>
      <c r="G1512" s="129"/>
      <c r="H1512" s="129"/>
      <c r="I1512" s="166"/>
      <c r="J1512" s="180"/>
      <c r="K1512" s="128"/>
      <c r="L1512" s="127"/>
      <c r="M1512" s="168"/>
      <c r="N1512" s="173"/>
      <c r="O1512" s="141"/>
      <c r="P1512" s="140"/>
      <c r="Q1512" s="142"/>
      <c r="R1512" s="140"/>
      <c r="S1512" s="142"/>
      <c r="T1512" s="140"/>
    </row>
    <row r="1513" spans="3:20" ht="39.75" customHeight="1">
      <c r="C1513" s="196">
        <v>1510</v>
      </c>
      <c r="D1513" s="127"/>
      <c r="E1513" s="129"/>
      <c r="F1513" s="128"/>
      <c r="G1513" s="129"/>
      <c r="H1513" s="129"/>
      <c r="I1513" s="166"/>
      <c r="J1513" s="180"/>
      <c r="K1513" s="128"/>
      <c r="L1513" s="127"/>
      <c r="M1513" s="168"/>
      <c r="N1513" s="173"/>
      <c r="O1513" s="141"/>
      <c r="P1513" s="140"/>
      <c r="Q1513" s="142"/>
      <c r="R1513" s="140"/>
      <c r="S1513" s="142"/>
      <c r="T1513" s="140"/>
    </row>
    <row r="1514" spans="3:20" ht="39.75" customHeight="1">
      <c r="C1514" s="196">
        <v>1511</v>
      </c>
      <c r="D1514" s="127"/>
      <c r="E1514" s="129"/>
      <c r="F1514" s="128"/>
      <c r="G1514" s="129"/>
      <c r="H1514" s="129"/>
      <c r="I1514" s="166"/>
      <c r="J1514" s="180"/>
      <c r="K1514" s="128"/>
      <c r="L1514" s="127"/>
      <c r="M1514" s="168"/>
      <c r="N1514" s="173"/>
      <c r="O1514" s="141"/>
      <c r="P1514" s="140"/>
      <c r="Q1514" s="142"/>
      <c r="R1514" s="140"/>
      <c r="S1514" s="142"/>
      <c r="T1514" s="140"/>
    </row>
    <row r="1515" spans="3:20" ht="39.75" customHeight="1">
      <c r="C1515" s="196">
        <v>1512</v>
      </c>
      <c r="D1515" s="127"/>
      <c r="E1515" s="129"/>
      <c r="F1515" s="128"/>
      <c r="G1515" s="129"/>
      <c r="H1515" s="129"/>
      <c r="I1515" s="166"/>
      <c r="J1515" s="180"/>
      <c r="K1515" s="128"/>
      <c r="L1515" s="127"/>
      <c r="M1515" s="168"/>
      <c r="N1515" s="173"/>
      <c r="O1515" s="141"/>
      <c r="P1515" s="140"/>
      <c r="Q1515" s="142"/>
      <c r="R1515" s="140"/>
      <c r="S1515" s="142"/>
      <c r="T1515" s="140"/>
    </row>
    <row r="1516" spans="3:20" ht="39.75" customHeight="1">
      <c r="C1516" s="196">
        <v>1513</v>
      </c>
      <c r="D1516" s="127"/>
      <c r="E1516" s="129"/>
      <c r="F1516" s="128"/>
      <c r="G1516" s="129"/>
      <c r="H1516" s="129"/>
      <c r="I1516" s="166"/>
      <c r="J1516" s="180"/>
      <c r="K1516" s="128"/>
      <c r="L1516" s="127"/>
      <c r="M1516" s="168"/>
      <c r="N1516" s="173"/>
      <c r="O1516" s="141"/>
      <c r="P1516" s="140"/>
      <c r="Q1516" s="142"/>
      <c r="R1516" s="140"/>
      <c r="S1516" s="142"/>
      <c r="T1516" s="140"/>
    </row>
    <row r="1517" spans="3:20" ht="39.75" customHeight="1">
      <c r="C1517" s="196">
        <v>1514</v>
      </c>
      <c r="D1517" s="127"/>
      <c r="E1517" s="129"/>
      <c r="F1517" s="128"/>
      <c r="G1517" s="129"/>
      <c r="H1517" s="129"/>
      <c r="I1517" s="166"/>
      <c r="J1517" s="180"/>
      <c r="K1517" s="128"/>
      <c r="L1517" s="127"/>
      <c r="M1517" s="168"/>
      <c r="N1517" s="173"/>
      <c r="O1517" s="141"/>
      <c r="P1517" s="140"/>
      <c r="Q1517" s="142"/>
      <c r="R1517" s="140"/>
      <c r="S1517" s="142"/>
      <c r="T1517" s="140"/>
    </row>
    <row r="1518" spans="3:20" ht="39.75" customHeight="1">
      <c r="C1518" s="196">
        <v>1515</v>
      </c>
      <c r="D1518" s="127"/>
      <c r="E1518" s="129"/>
      <c r="F1518" s="128"/>
      <c r="G1518" s="129"/>
      <c r="H1518" s="129"/>
      <c r="I1518" s="166"/>
      <c r="J1518" s="180"/>
      <c r="K1518" s="128"/>
      <c r="L1518" s="127"/>
      <c r="M1518" s="168"/>
      <c r="N1518" s="173"/>
      <c r="O1518" s="141"/>
      <c r="P1518" s="140"/>
      <c r="Q1518" s="142"/>
      <c r="R1518" s="140"/>
      <c r="S1518" s="142"/>
      <c r="T1518" s="140"/>
    </row>
    <row r="1519" spans="3:20" ht="39.75" customHeight="1">
      <c r="C1519" s="196">
        <v>1516</v>
      </c>
      <c r="D1519" s="127"/>
      <c r="E1519" s="129"/>
      <c r="F1519" s="128"/>
      <c r="G1519" s="129"/>
      <c r="H1519" s="129"/>
      <c r="I1519" s="166"/>
      <c r="J1519" s="180"/>
      <c r="K1519" s="128"/>
      <c r="L1519" s="127"/>
      <c r="M1519" s="168"/>
      <c r="N1519" s="173"/>
      <c r="O1519" s="141"/>
      <c r="P1519" s="140"/>
      <c r="Q1519" s="142"/>
      <c r="R1519" s="140"/>
      <c r="S1519" s="142"/>
      <c r="T1519" s="140"/>
    </row>
    <row r="1520" spans="3:20" ht="39.75" customHeight="1">
      <c r="C1520" s="196">
        <v>1517</v>
      </c>
      <c r="D1520" s="127"/>
      <c r="E1520" s="129"/>
      <c r="F1520" s="128"/>
      <c r="G1520" s="129"/>
      <c r="H1520" s="129"/>
      <c r="I1520" s="166"/>
      <c r="J1520" s="180"/>
      <c r="K1520" s="128"/>
      <c r="L1520" s="127"/>
      <c r="M1520" s="168"/>
      <c r="N1520" s="173"/>
      <c r="O1520" s="141"/>
      <c r="P1520" s="140"/>
      <c r="Q1520" s="142"/>
      <c r="R1520" s="140"/>
      <c r="S1520" s="142"/>
      <c r="T1520" s="140"/>
    </row>
    <row r="1521" spans="3:20" ht="39.75" customHeight="1">
      <c r="C1521" s="196">
        <v>1518</v>
      </c>
      <c r="D1521" s="127"/>
      <c r="E1521" s="129"/>
      <c r="F1521" s="128"/>
      <c r="G1521" s="129"/>
      <c r="H1521" s="129"/>
      <c r="I1521" s="166"/>
      <c r="J1521" s="180"/>
      <c r="K1521" s="128"/>
      <c r="L1521" s="127"/>
      <c r="M1521" s="168"/>
      <c r="N1521" s="173"/>
      <c r="O1521" s="141"/>
      <c r="P1521" s="140"/>
      <c r="Q1521" s="142"/>
      <c r="R1521" s="140"/>
      <c r="S1521" s="142"/>
      <c r="T1521" s="140"/>
    </row>
    <row r="1522" spans="3:20" ht="39.75" customHeight="1">
      <c r="C1522" s="196">
        <v>1519</v>
      </c>
      <c r="D1522" s="127"/>
      <c r="E1522" s="129"/>
      <c r="F1522" s="128"/>
      <c r="G1522" s="129"/>
      <c r="H1522" s="129"/>
      <c r="I1522" s="166"/>
      <c r="J1522" s="180"/>
      <c r="K1522" s="128"/>
      <c r="L1522" s="127"/>
      <c r="M1522" s="168"/>
      <c r="N1522" s="173"/>
      <c r="O1522" s="141"/>
      <c r="P1522" s="140"/>
      <c r="Q1522" s="142"/>
      <c r="R1522" s="140"/>
      <c r="S1522" s="142"/>
      <c r="T1522" s="140"/>
    </row>
    <row r="1523" spans="3:20" ht="39.75" customHeight="1">
      <c r="C1523" s="196">
        <v>1520</v>
      </c>
      <c r="D1523" s="127"/>
      <c r="E1523" s="129"/>
      <c r="F1523" s="128"/>
      <c r="G1523" s="129"/>
      <c r="H1523" s="129"/>
      <c r="I1523" s="166"/>
      <c r="J1523" s="180"/>
      <c r="K1523" s="128"/>
      <c r="L1523" s="127"/>
      <c r="M1523" s="168"/>
      <c r="N1523" s="173"/>
      <c r="O1523" s="141"/>
      <c r="P1523" s="140"/>
      <c r="Q1523" s="142"/>
      <c r="R1523" s="140"/>
      <c r="S1523" s="142"/>
      <c r="T1523" s="140"/>
    </row>
    <row r="1524" spans="3:20" ht="39.75" customHeight="1">
      <c r="C1524" s="196">
        <v>1521</v>
      </c>
      <c r="D1524" s="127"/>
      <c r="E1524" s="129"/>
      <c r="F1524" s="128"/>
      <c r="G1524" s="129"/>
      <c r="H1524" s="129"/>
      <c r="I1524" s="166"/>
      <c r="J1524" s="180"/>
      <c r="K1524" s="128"/>
      <c r="L1524" s="127"/>
      <c r="M1524" s="168"/>
      <c r="N1524" s="173"/>
      <c r="O1524" s="141"/>
      <c r="P1524" s="140"/>
      <c r="Q1524" s="142"/>
      <c r="R1524" s="140"/>
      <c r="S1524" s="142"/>
      <c r="T1524" s="140"/>
    </row>
    <row r="1525" spans="3:20" ht="39.75" customHeight="1">
      <c r="C1525" s="196">
        <v>1522</v>
      </c>
      <c r="D1525" s="127"/>
      <c r="E1525" s="129"/>
      <c r="F1525" s="128"/>
      <c r="G1525" s="129"/>
      <c r="H1525" s="129"/>
      <c r="I1525" s="166"/>
      <c r="J1525" s="180"/>
      <c r="K1525" s="128"/>
      <c r="L1525" s="127"/>
      <c r="M1525" s="168"/>
      <c r="N1525" s="173"/>
      <c r="O1525" s="141"/>
      <c r="P1525" s="140"/>
      <c r="Q1525" s="142"/>
      <c r="R1525" s="140"/>
      <c r="S1525" s="142"/>
      <c r="T1525" s="140"/>
    </row>
    <row r="1526" spans="3:20" ht="39.75" customHeight="1">
      <c r="C1526" s="196">
        <v>1523</v>
      </c>
      <c r="D1526" s="127"/>
      <c r="E1526" s="129"/>
      <c r="F1526" s="128"/>
      <c r="G1526" s="129"/>
      <c r="H1526" s="129"/>
      <c r="I1526" s="166"/>
      <c r="J1526" s="180"/>
      <c r="K1526" s="128"/>
      <c r="L1526" s="127"/>
      <c r="M1526" s="168"/>
      <c r="N1526" s="173"/>
      <c r="O1526" s="141"/>
      <c r="P1526" s="140"/>
      <c r="Q1526" s="142"/>
      <c r="R1526" s="140"/>
      <c r="S1526" s="142"/>
      <c r="T1526" s="140"/>
    </row>
    <row r="1527" spans="3:20" ht="39.75" customHeight="1">
      <c r="C1527" s="196">
        <v>1524</v>
      </c>
      <c r="D1527" s="127"/>
      <c r="E1527" s="129"/>
      <c r="F1527" s="128"/>
      <c r="G1527" s="129"/>
      <c r="H1527" s="129"/>
      <c r="I1527" s="166"/>
      <c r="J1527" s="180"/>
      <c r="K1527" s="128"/>
      <c r="L1527" s="127"/>
      <c r="M1527" s="168"/>
      <c r="N1527" s="173"/>
      <c r="O1527" s="141"/>
      <c r="P1527" s="140"/>
      <c r="Q1527" s="142"/>
      <c r="R1527" s="140"/>
      <c r="S1527" s="142"/>
      <c r="T1527" s="140"/>
    </row>
    <row r="1528" spans="3:20" ht="39.75" customHeight="1">
      <c r="C1528" s="196">
        <v>1525</v>
      </c>
      <c r="D1528" s="127"/>
      <c r="E1528" s="129"/>
      <c r="F1528" s="128"/>
      <c r="G1528" s="129"/>
      <c r="H1528" s="129"/>
      <c r="I1528" s="166"/>
      <c r="J1528" s="180"/>
      <c r="K1528" s="128"/>
      <c r="L1528" s="127"/>
      <c r="M1528" s="168"/>
      <c r="N1528" s="173"/>
      <c r="O1528" s="141"/>
      <c r="P1528" s="140"/>
      <c r="Q1528" s="142"/>
      <c r="R1528" s="140"/>
      <c r="S1528" s="142"/>
      <c r="T1528" s="140"/>
    </row>
    <row r="1529" spans="3:20" ht="39.75" customHeight="1">
      <c r="C1529" s="196">
        <v>1526</v>
      </c>
      <c r="D1529" s="127"/>
      <c r="E1529" s="129"/>
      <c r="F1529" s="128"/>
      <c r="G1529" s="129"/>
      <c r="H1529" s="129"/>
      <c r="I1529" s="166"/>
      <c r="J1529" s="180"/>
      <c r="K1529" s="128"/>
      <c r="L1529" s="127"/>
      <c r="M1529" s="168"/>
      <c r="N1529" s="173"/>
      <c r="O1529" s="141"/>
      <c r="P1529" s="140"/>
      <c r="Q1529" s="142"/>
      <c r="R1529" s="140"/>
      <c r="S1529" s="142"/>
      <c r="T1529" s="140"/>
    </row>
    <row r="1530" spans="3:20" ht="39.75" customHeight="1">
      <c r="C1530" s="196">
        <v>1527</v>
      </c>
      <c r="D1530" s="127"/>
      <c r="E1530" s="129"/>
      <c r="F1530" s="128"/>
      <c r="G1530" s="129"/>
      <c r="H1530" s="129"/>
      <c r="I1530" s="166"/>
      <c r="J1530" s="180"/>
      <c r="K1530" s="128"/>
      <c r="L1530" s="127"/>
      <c r="M1530" s="168"/>
      <c r="N1530" s="173"/>
      <c r="O1530" s="141"/>
      <c r="P1530" s="140"/>
      <c r="Q1530" s="142"/>
      <c r="R1530" s="140"/>
      <c r="S1530" s="142"/>
      <c r="T1530" s="140"/>
    </row>
    <row r="1531" spans="3:20" ht="39.75" customHeight="1">
      <c r="C1531" s="196">
        <v>1528</v>
      </c>
      <c r="D1531" s="127"/>
      <c r="E1531" s="129"/>
      <c r="F1531" s="128"/>
      <c r="G1531" s="129"/>
      <c r="H1531" s="129"/>
      <c r="I1531" s="166"/>
      <c r="J1531" s="180"/>
      <c r="K1531" s="128"/>
      <c r="L1531" s="127"/>
      <c r="M1531" s="168"/>
      <c r="N1531" s="173"/>
      <c r="O1531" s="141"/>
      <c r="P1531" s="140"/>
      <c r="Q1531" s="142"/>
      <c r="R1531" s="140"/>
      <c r="S1531" s="142"/>
      <c r="T1531" s="140"/>
    </row>
    <row r="1532" spans="3:20" ht="39.75" customHeight="1">
      <c r="C1532" s="196">
        <v>1529</v>
      </c>
      <c r="D1532" s="127"/>
      <c r="E1532" s="129"/>
      <c r="F1532" s="128"/>
      <c r="G1532" s="129"/>
      <c r="H1532" s="129"/>
      <c r="I1532" s="166"/>
      <c r="J1532" s="180"/>
      <c r="K1532" s="128"/>
      <c r="L1532" s="127"/>
      <c r="M1532" s="168"/>
      <c r="N1532" s="173"/>
      <c r="O1532" s="141"/>
      <c r="P1532" s="140"/>
      <c r="Q1532" s="142"/>
      <c r="R1532" s="140"/>
      <c r="S1532" s="142"/>
      <c r="T1532" s="140"/>
    </row>
    <row r="1533" spans="3:20" ht="39.75" customHeight="1">
      <c r="C1533" s="196">
        <v>1530</v>
      </c>
      <c r="D1533" s="127"/>
      <c r="E1533" s="129"/>
      <c r="F1533" s="128"/>
      <c r="G1533" s="129"/>
      <c r="H1533" s="129"/>
      <c r="I1533" s="166"/>
      <c r="J1533" s="180"/>
      <c r="K1533" s="128"/>
      <c r="L1533" s="127"/>
      <c r="M1533" s="168"/>
      <c r="N1533" s="173"/>
      <c r="O1533" s="141"/>
      <c r="P1533" s="140"/>
      <c r="Q1533" s="142"/>
      <c r="R1533" s="140"/>
      <c r="S1533" s="142"/>
      <c r="T1533" s="140"/>
    </row>
    <row r="1534" spans="3:20" ht="39.75" customHeight="1">
      <c r="C1534" s="196">
        <v>1531</v>
      </c>
      <c r="D1534" s="127"/>
      <c r="E1534" s="129"/>
      <c r="F1534" s="128"/>
      <c r="G1534" s="129"/>
      <c r="H1534" s="129"/>
      <c r="I1534" s="166"/>
      <c r="J1534" s="180"/>
      <c r="K1534" s="128"/>
      <c r="L1534" s="127"/>
      <c r="M1534" s="168"/>
      <c r="N1534" s="173"/>
      <c r="O1534" s="141"/>
      <c r="P1534" s="140"/>
      <c r="Q1534" s="142"/>
      <c r="R1534" s="140"/>
      <c r="S1534" s="142"/>
      <c r="T1534" s="140"/>
    </row>
    <row r="1535" spans="3:20" ht="39.75" customHeight="1">
      <c r="C1535" s="196">
        <v>1532</v>
      </c>
      <c r="D1535" s="127"/>
      <c r="E1535" s="129"/>
      <c r="F1535" s="128"/>
      <c r="G1535" s="129"/>
      <c r="H1535" s="129"/>
      <c r="I1535" s="166"/>
      <c r="J1535" s="180"/>
      <c r="K1535" s="128"/>
      <c r="L1535" s="127"/>
      <c r="M1535" s="168"/>
      <c r="N1535" s="173"/>
      <c r="O1535" s="141"/>
      <c r="P1535" s="140"/>
      <c r="Q1535" s="142"/>
      <c r="R1535" s="140"/>
      <c r="S1535" s="142"/>
      <c r="T1535" s="140"/>
    </row>
    <row r="1536" spans="3:20" ht="39.75" customHeight="1">
      <c r="C1536" s="196">
        <v>1533</v>
      </c>
      <c r="D1536" s="127"/>
      <c r="E1536" s="129"/>
      <c r="F1536" s="128"/>
      <c r="G1536" s="129"/>
      <c r="H1536" s="129"/>
      <c r="I1536" s="166"/>
      <c r="J1536" s="180"/>
      <c r="K1536" s="128"/>
      <c r="L1536" s="127"/>
      <c r="M1536" s="168"/>
      <c r="N1536" s="173"/>
      <c r="O1536" s="141"/>
      <c r="P1536" s="140"/>
      <c r="Q1536" s="142"/>
      <c r="R1536" s="140"/>
      <c r="S1536" s="142"/>
      <c r="T1536" s="140"/>
    </row>
    <row r="1537" spans="3:20" ht="39.75" customHeight="1">
      <c r="C1537" s="196">
        <v>1534</v>
      </c>
      <c r="D1537" s="127"/>
      <c r="E1537" s="129"/>
      <c r="F1537" s="128"/>
      <c r="G1537" s="129"/>
      <c r="H1537" s="129"/>
      <c r="I1537" s="166"/>
      <c r="J1537" s="180"/>
      <c r="K1537" s="128"/>
      <c r="L1537" s="127"/>
      <c r="M1537" s="168"/>
      <c r="N1537" s="173"/>
      <c r="O1537" s="141"/>
      <c r="P1537" s="140"/>
      <c r="Q1537" s="142"/>
      <c r="R1537" s="140"/>
      <c r="S1537" s="142"/>
      <c r="T1537" s="140"/>
    </row>
    <row r="1538" spans="3:20" ht="39.75" customHeight="1">
      <c r="C1538" s="196">
        <v>1535</v>
      </c>
      <c r="D1538" s="127"/>
      <c r="E1538" s="129"/>
      <c r="F1538" s="128"/>
      <c r="G1538" s="129"/>
      <c r="H1538" s="129"/>
      <c r="I1538" s="166"/>
      <c r="J1538" s="180"/>
      <c r="K1538" s="128"/>
      <c r="L1538" s="127"/>
      <c r="M1538" s="168"/>
      <c r="N1538" s="173"/>
      <c r="O1538" s="141"/>
      <c r="P1538" s="140"/>
      <c r="Q1538" s="142"/>
      <c r="R1538" s="140"/>
      <c r="S1538" s="142"/>
      <c r="T1538" s="140"/>
    </row>
    <row r="1539" spans="3:20" ht="39.75" customHeight="1">
      <c r="C1539" s="196">
        <v>1536</v>
      </c>
      <c r="D1539" s="127"/>
      <c r="E1539" s="129"/>
      <c r="F1539" s="128"/>
      <c r="G1539" s="129"/>
      <c r="H1539" s="129"/>
      <c r="I1539" s="166"/>
      <c r="J1539" s="180"/>
      <c r="K1539" s="128"/>
      <c r="L1539" s="127"/>
      <c r="M1539" s="168"/>
      <c r="N1539" s="173"/>
      <c r="O1539" s="141"/>
      <c r="P1539" s="140"/>
      <c r="Q1539" s="142"/>
      <c r="R1539" s="140"/>
      <c r="S1539" s="142"/>
      <c r="T1539" s="140"/>
    </row>
    <row r="1540" spans="3:20" ht="39.75" customHeight="1">
      <c r="C1540" s="196">
        <v>1537</v>
      </c>
      <c r="D1540" s="127"/>
      <c r="E1540" s="129"/>
      <c r="F1540" s="128"/>
      <c r="G1540" s="129"/>
      <c r="H1540" s="129"/>
      <c r="I1540" s="166"/>
      <c r="J1540" s="180"/>
      <c r="K1540" s="128"/>
      <c r="L1540" s="127"/>
      <c r="M1540" s="168"/>
      <c r="N1540" s="173"/>
      <c r="O1540" s="141"/>
      <c r="P1540" s="140"/>
      <c r="Q1540" s="142"/>
      <c r="R1540" s="140"/>
      <c r="S1540" s="142"/>
      <c r="T1540" s="140"/>
    </row>
    <row r="1541" spans="3:20" ht="39.75" customHeight="1">
      <c r="C1541" s="196">
        <v>1538</v>
      </c>
      <c r="D1541" s="127"/>
      <c r="E1541" s="129"/>
      <c r="F1541" s="128"/>
      <c r="G1541" s="129"/>
      <c r="H1541" s="129"/>
      <c r="I1541" s="166"/>
      <c r="J1541" s="180"/>
      <c r="K1541" s="128"/>
      <c r="L1541" s="127"/>
      <c r="M1541" s="168"/>
      <c r="N1541" s="173"/>
      <c r="O1541" s="141"/>
      <c r="P1541" s="140"/>
      <c r="Q1541" s="142"/>
      <c r="R1541" s="140"/>
      <c r="S1541" s="142"/>
      <c r="T1541" s="140"/>
    </row>
    <row r="1542" spans="3:20" ht="39.75" customHeight="1">
      <c r="C1542" s="196">
        <v>1539</v>
      </c>
      <c r="D1542" s="127"/>
      <c r="E1542" s="129"/>
      <c r="F1542" s="128"/>
      <c r="G1542" s="129"/>
      <c r="H1542" s="129"/>
      <c r="I1542" s="166"/>
      <c r="J1542" s="180"/>
      <c r="K1542" s="128"/>
      <c r="L1542" s="127"/>
      <c r="M1542" s="168"/>
      <c r="N1542" s="173"/>
      <c r="O1542" s="141"/>
      <c r="P1542" s="140"/>
      <c r="Q1542" s="142"/>
      <c r="R1542" s="140"/>
      <c r="S1542" s="142"/>
      <c r="T1542" s="140"/>
    </row>
    <row r="1543" spans="3:20" ht="39.75" customHeight="1">
      <c r="C1543" s="196">
        <v>1540</v>
      </c>
      <c r="D1543" s="127"/>
      <c r="E1543" s="129"/>
      <c r="F1543" s="128"/>
      <c r="G1543" s="129"/>
      <c r="H1543" s="129"/>
      <c r="I1543" s="166"/>
      <c r="J1543" s="180"/>
      <c r="K1543" s="128"/>
      <c r="L1543" s="127"/>
      <c r="M1543" s="168"/>
      <c r="N1543" s="173"/>
      <c r="O1543" s="141"/>
      <c r="P1543" s="140"/>
      <c r="Q1543" s="142"/>
      <c r="R1543" s="140"/>
      <c r="S1543" s="142"/>
      <c r="T1543" s="140"/>
    </row>
    <row r="1544" spans="3:20" ht="39.75" customHeight="1">
      <c r="C1544" s="196">
        <v>1541</v>
      </c>
      <c r="D1544" s="127"/>
      <c r="E1544" s="129"/>
      <c r="F1544" s="128"/>
      <c r="G1544" s="129"/>
      <c r="H1544" s="129"/>
      <c r="I1544" s="166"/>
      <c r="J1544" s="180"/>
      <c r="K1544" s="128"/>
      <c r="L1544" s="127"/>
      <c r="M1544" s="168"/>
      <c r="N1544" s="173"/>
      <c r="O1544" s="141"/>
      <c r="P1544" s="140"/>
      <c r="Q1544" s="142"/>
      <c r="R1544" s="140"/>
      <c r="S1544" s="142"/>
      <c r="T1544" s="140"/>
    </row>
    <row r="1545" spans="3:20" ht="39.75" customHeight="1">
      <c r="C1545" s="196">
        <v>1542</v>
      </c>
      <c r="D1545" s="127"/>
      <c r="E1545" s="129"/>
      <c r="F1545" s="128"/>
      <c r="G1545" s="129"/>
      <c r="H1545" s="129"/>
      <c r="I1545" s="166"/>
      <c r="J1545" s="180"/>
      <c r="K1545" s="128"/>
      <c r="L1545" s="127"/>
      <c r="M1545" s="168"/>
      <c r="N1545" s="173"/>
      <c r="O1545" s="141"/>
      <c r="P1545" s="140"/>
      <c r="Q1545" s="142"/>
      <c r="R1545" s="140"/>
      <c r="S1545" s="142"/>
      <c r="T1545" s="140"/>
    </row>
    <row r="1546" spans="3:20" ht="39.75" customHeight="1">
      <c r="C1546" s="196">
        <v>1543</v>
      </c>
      <c r="D1546" s="127"/>
      <c r="E1546" s="129"/>
      <c r="F1546" s="128"/>
      <c r="G1546" s="129"/>
      <c r="H1546" s="129"/>
      <c r="I1546" s="166"/>
      <c r="J1546" s="180"/>
      <c r="K1546" s="128"/>
      <c r="L1546" s="127"/>
      <c r="M1546" s="168"/>
      <c r="N1546" s="173"/>
      <c r="O1546" s="141"/>
      <c r="P1546" s="140"/>
      <c r="Q1546" s="142"/>
      <c r="R1546" s="140"/>
      <c r="S1546" s="142"/>
      <c r="T1546" s="140"/>
    </row>
    <row r="1547" spans="3:20" ht="39.75" customHeight="1">
      <c r="C1547" s="196">
        <v>1544</v>
      </c>
      <c r="D1547" s="127"/>
      <c r="E1547" s="129"/>
      <c r="F1547" s="128"/>
      <c r="G1547" s="129"/>
      <c r="H1547" s="129"/>
      <c r="I1547" s="166"/>
      <c r="J1547" s="180"/>
      <c r="K1547" s="128"/>
      <c r="L1547" s="127"/>
      <c r="M1547" s="168"/>
      <c r="N1547" s="173"/>
      <c r="O1547" s="141"/>
      <c r="P1547" s="140"/>
      <c r="Q1547" s="142"/>
      <c r="R1547" s="140"/>
      <c r="S1547" s="142"/>
      <c r="T1547" s="140"/>
    </row>
    <row r="1548" spans="3:20" ht="39.75" customHeight="1">
      <c r="C1548" s="196">
        <v>1545</v>
      </c>
      <c r="D1548" s="127"/>
      <c r="E1548" s="129"/>
      <c r="F1548" s="128"/>
      <c r="G1548" s="129"/>
      <c r="H1548" s="129"/>
      <c r="I1548" s="166"/>
      <c r="J1548" s="180"/>
      <c r="K1548" s="128"/>
      <c r="L1548" s="127"/>
      <c r="M1548" s="168"/>
      <c r="N1548" s="173"/>
      <c r="O1548" s="141"/>
      <c r="P1548" s="140"/>
      <c r="Q1548" s="142"/>
      <c r="R1548" s="140"/>
      <c r="S1548" s="142"/>
      <c r="T1548" s="140"/>
    </row>
    <row r="1549" spans="3:20" ht="39.75" customHeight="1">
      <c r="C1549" s="196">
        <v>1546</v>
      </c>
      <c r="D1549" s="127"/>
      <c r="E1549" s="129"/>
      <c r="F1549" s="128"/>
      <c r="G1549" s="129"/>
      <c r="H1549" s="129"/>
      <c r="I1549" s="166"/>
      <c r="J1549" s="180"/>
      <c r="K1549" s="128"/>
      <c r="L1549" s="127"/>
      <c r="M1549" s="168"/>
      <c r="N1549" s="173"/>
      <c r="O1549" s="141"/>
      <c r="P1549" s="140"/>
      <c r="Q1549" s="142"/>
      <c r="R1549" s="140"/>
      <c r="S1549" s="142"/>
      <c r="T1549" s="140"/>
    </row>
    <row r="1550" spans="3:20" ht="39.75" customHeight="1">
      <c r="C1550" s="196">
        <v>1547</v>
      </c>
      <c r="D1550" s="127"/>
      <c r="E1550" s="129"/>
      <c r="F1550" s="128"/>
      <c r="G1550" s="129"/>
      <c r="H1550" s="129"/>
      <c r="I1550" s="166"/>
      <c r="J1550" s="180"/>
      <c r="K1550" s="128"/>
      <c r="L1550" s="127"/>
      <c r="M1550" s="168"/>
      <c r="N1550" s="173"/>
      <c r="O1550" s="141"/>
      <c r="P1550" s="140"/>
      <c r="Q1550" s="142"/>
      <c r="R1550" s="140"/>
      <c r="S1550" s="142"/>
      <c r="T1550" s="140"/>
    </row>
    <row r="1551" spans="3:20" ht="39.75" customHeight="1">
      <c r="C1551" s="196">
        <v>1548</v>
      </c>
      <c r="D1551" s="127"/>
      <c r="E1551" s="129"/>
      <c r="F1551" s="128"/>
      <c r="G1551" s="129"/>
      <c r="H1551" s="129"/>
      <c r="I1551" s="166"/>
      <c r="J1551" s="180"/>
      <c r="K1551" s="128"/>
      <c r="L1551" s="127"/>
      <c r="M1551" s="168"/>
      <c r="N1551" s="173"/>
      <c r="O1551" s="141"/>
      <c r="P1551" s="140"/>
      <c r="Q1551" s="142"/>
      <c r="R1551" s="140"/>
      <c r="S1551" s="142"/>
      <c r="T1551" s="140"/>
    </row>
    <row r="1552" spans="3:20" ht="39.75" customHeight="1">
      <c r="C1552" s="196">
        <v>1549</v>
      </c>
      <c r="D1552" s="127"/>
      <c r="E1552" s="129"/>
      <c r="F1552" s="128"/>
      <c r="G1552" s="129"/>
      <c r="H1552" s="129"/>
      <c r="I1552" s="166"/>
      <c r="J1552" s="180"/>
      <c r="K1552" s="128"/>
      <c r="L1552" s="127"/>
      <c r="M1552" s="168"/>
      <c r="N1552" s="173"/>
      <c r="O1552" s="141"/>
      <c r="P1552" s="140"/>
      <c r="Q1552" s="142"/>
      <c r="R1552" s="140"/>
      <c r="S1552" s="142"/>
      <c r="T1552" s="140"/>
    </row>
    <row r="1553" spans="3:20" ht="39.75" customHeight="1">
      <c r="C1553" s="196">
        <v>1550</v>
      </c>
      <c r="D1553" s="127"/>
      <c r="E1553" s="129"/>
      <c r="F1553" s="128"/>
      <c r="G1553" s="129"/>
      <c r="H1553" s="129"/>
      <c r="I1553" s="166"/>
      <c r="J1553" s="180"/>
      <c r="K1553" s="128"/>
      <c r="L1553" s="127"/>
      <c r="M1553" s="168"/>
      <c r="N1553" s="173"/>
      <c r="O1553" s="141"/>
      <c r="P1553" s="140"/>
      <c r="Q1553" s="142"/>
      <c r="R1553" s="140"/>
      <c r="S1553" s="142"/>
      <c r="T1553" s="140"/>
    </row>
    <row r="1554" spans="3:20" ht="39.75" customHeight="1">
      <c r="C1554" s="196">
        <v>1551</v>
      </c>
      <c r="D1554" s="127"/>
      <c r="E1554" s="129"/>
      <c r="F1554" s="128"/>
      <c r="G1554" s="129"/>
      <c r="H1554" s="129"/>
      <c r="I1554" s="166"/>
      <c r="J1554" s="180"/>
      <c r="K1554" s="128"/>
      <c r="L1554" s="127"/>
      <c r="M1554" s="168"/>
      <c r="N1554" s="173"/>
      <c r="O1554" s="141"/>
      <c r="P1554" s="140"/>
      <c r="Q1554" s="142"/>
      <c r="R1554" s="140"/>
      <c r="S1554" s="142"/>
      <c r="T1554" s="140"/>
    </row>
    <row r="1555" spans="3:20" ht="39.75" customHeight="1">
      <c r="C1555" s="196">
        <v>1552</v>
      </c>
      <c r="D1555" s="127"/>
      <c r="E1555" s="129"/>
      <c r="F1555" s="128"/>
      <c r="G1555" s="129"/>
      <c r="H1555" s="129"/>
      <c r="I1555" s="166"/>
      <c r="J1555" s="180"/>
      <c r="K1555" s="128"/>
      <c r="L1555" s="127"/>
      <c r="M1555" s="168"/>
      <c r="N1555" s="173"/>
      <c r="O1555" s="141"/>
      <c r="P1555" s="140"/>
      <c r="Q1555" s="142"/>
      <c r="R1555" s="140"/>
      <c r="S1555" s="142"/>
      <c r="T1555" s="140"/>
    </row>
    <row r="1556" spans="3:20" ht="39.75" customHeight="1">
      <c r="C1556" s="196">
        <v>1553</v>
      </c>
      <c r="D1556" s="127"/>
      <c r="E1556" s="129"/>
      <c r="F1556" s="128"/>
      <c r="G1556" s="129"/>
      <c r="H1556" s="129"/>
      <c r="I1556" s="166"/>
      <c r="J1556" s="180"/>
      <c r="K1556" s="128"/>
      <c r="L1556" s="127"/>
      <c r="M1556" s="168"/>
      <c r="N1556" s="173"/>
      <c r="O1556" s="141"/>
      <c r="P1556" s="140"/>
      <c r="Q1556" s="142"/>
      <c r="R1556" s="140"/>
      <c r="S1556" s="142"/>
      <c r="T1556" s="140"/>
    </row>
    <row r="1557" spans="3:20" ht="39.75" customHeight="1">
      <c r="C1557" s="196">
        <v>1554</v>
      </c>
      <c r="D1557" s="127"/>
      <c r="E1557" s="129"/>
      <c r="F1557" s="128"/>
      <c r="G1557" s="129"/>
      <c r="H1557" s="129"/>
      <c r="I1557" s="166"/>
      <c r="J1557" s="180"/>
      <c r="K1557" s="128"/>
      <c r="L1557" s="127"/>
      <c r="M1557" s="168"/>
      <c r="N1557" s="173"/>
      <c r="O1557" s="141"/>
      <c r="P1557" s="140"/>
      <c r="Q1557" s="142"/>
      <c r="R1557" s="140"/>
      <c r="S1557" s="142"/>
      <c r="T1557" s="140"/>
    </row>
    <row r="1558" spans="3:20" ht="39.75" customHeight="1">
      <c r="C1558" s="196">
        <v>1555</v>
      </c>
      <c r="D1558" s="127"/>
      <c r="E1558" s="129"/>
      <c r="F1558" s="128"/>
      <c r="G1558" s="129"/>
      <c r="H1558" s="129"/>
      <c r="I1558" s="166"/>
      <c r="J1558" s="180"/>
      <c r="K1558" s="128"/>
      <c r="L1558" s="127"/>
      <c r="M1558" s="168"/>
      <c r="N1558" s="173"/>
      <c r="O1558" s="141"/>
      <c r="P1558" s="140"/>
      <c r="Q1558" s="142"/>
      <c r="R1558" s="140"/>
      <c r="S1558" s="142"/>
      <c r="T1558" s="140"/>
    </row>
    <row r="1559" spans="3:20" ht="39.75" customHeight="1">
      <c r="C1559" s="196">
        <v>1556</v>
      </c>
      <c r="D1559" s="127"/>
      <c r="E1559" s="129"/>
      <c r="F1559" s="128"/>
      <c r="G1559" s="129"/>
      <c r="H1559" s="129"/>
      <c r="I1559" s="166"/>
      <c r="J1559" s="180"/>
      <c r="K1559" s="128"/>
      <c r="L1559" s="127"/>
      <c r="M1559" s="168"/>
      <c r="N1559" s="173"/>
      <c r="O1559" s="141"/>
      <c r="P1559" s="140"/>
      <c r="Q1559" s="142"/>
      <c r="R1559" s="140"/>
      <c r="S1559" s="142"/>
      <c r="T1559" s="140"/>
    </row>
    <row r="1560" spans="3:20" ht="39.75" customHeight="1">
      <c r="C1560" s="196">
        <v>1557</v>
      </c>
      <c r="D1560" s="127"/>
      <c r="E1560" s="129"/>
      <c r="F1560" s="128"/>
      <c r="G1560" s="129"/>
      <c r="H1560" s="129"/>
      <c r="I1560" s="166"/>
      <c r="J1560" s="180"/>
      <c r="K1560" s="128"/>
      <c r="L1560" s="127"/>
      <c r="M1560" s="168"/>
      <c r="N1560" s="173"/>
      <c r="O1560" s="141"/>
      <c r="P1560" s="140"/>
      <c r="Q1560" s="142"/>
      <c r="R1560" s="140"/>
      <c r="S1560" s="142"/>
      <c r="T1560" s="140"/>
    </row>
    <row r="1561" spans="3:20" ht="39.75" customHeight="1">
      <c r="C1561" s="196">
        <v>1558</v>
      </c>
      <c r="D1561" s="127"/>
      <c r="E1561" s="129"/>
      <c r="F1561" s="128"/>
      <c r="G1561" s="129"/>
      <c r="H1561" s="129"/>
      <c r="I1561" s="166"/>
      <c r="J1561" s="180"/>
      <c r="K1561" s="128"/>
      <c r="L1561" s="127"/>
      <c r="M1561" s="168"/>
      <c r="N1561" s="173"/>
      <c r="O1561" s="141"/>
      <c r="P1561" s="140"/>
      <c r="Q1561" s="142"/>
      <c r="R1561" s="140"/>
      <c r="S1561" s="142"/>
      <c r="T1561" s="140"/>
    </row>
    <row r="1562" spans="3:20" ht="39.75" customHeight="1">
      <c r="C1562" s="196">
        <v>1559</v>
      </c>
      <c r="D1562" s="127"/>
      <c r="E1562" s="129"/>
      <c r="F1562" s="128"/>
      <c r="G1562" s="129"/>
      <c r="H1562" s="129"/>
      <c r="I1562" s="166"/>
      <c r="J1562" s="180"/>
      <c r="K1562" s="128"/>
      <c r="L1562" s="127"/>
      <c r="M1562" s="168"/>
      <c r="N1562" s="173"/>
      <c r="O1562" s="141"/>
      <c r="P1562" s="140"/>
      <c r="Q1562" s="142"/>
      <c r="R1562" s="140"/>
      <c r="S1562" s="142"/>
      <c r="T1562" s="140"/>
    </row>
    <row r="1563" spans="3:20" ht="39.75" customHeight="1">
      <c r="C1563" s="196">
        <v>1560</v>
      </c>
      <c r="D1563" s="127"/>
      <c r="E1563" s="129"/>
      <c r="F1563" s="128"/>
      <c r="G1563" s="129"/>
      <c r="H1563" s="129"/>
      <c r="I1563" s="166"/>
      <c r="J1563" s="180"/>
      <c r="K1563" s="128"/>
      <c r="L1563" s="127"/>
      <c r="M1563" s="168"/>
      <c r="N1563" s="173"/>
      <c r="O1563" s="141"/>
      <c r="P1563" s="140"/>
      <c r="Q1563" s="142"/>
      <c r="R1563" s="140"/>
      <c r="S1563" s="142"/>
      <c r="T1563" s="140"/>
    </row>
    <row r="1564" spans="3:20" ht="39.75" customHeight="1">
      <c r="C1564" s="196">
        <v>1561</v>
      </c>
      <c r="D1564" s="127"/>
      <c r="E1564" s="129"/>
      <c r="F1564" s="128"/>
      <c r="G1564" s="129"/>
      <c r="H1564" s="129"/>
      <c r="I1564" s="166"/>
      <c r="J1564" s="180"/>
      <c r="K1564" s="128"/>
      <c r="L1564" s="127"/>
      <c r="M1564" s="168"/>
      <c r="N1564" s="173"/>
      <c r="O1564" s="141"/>
      <c r="P1564" s="140"/>
      <c r="Q1564" s="142"/>
      <c r="R1564" s="140"/>
      <c r="S1564" s="142"/>
      <c r="T1564" s="140"/>
    </row>
    <row r="1565" spans="3:20" ht="39.75" customHeight="1">
      <c r="C1565" s="196">
        <v>1562</v>
      </c>
      <c r="D1565" s="127"/>
      <c r="E1565" s="129"/>
      <c r="F1565" s="128"/>
      <c r="G1565" s="129"/>
      <c r="H1565" s="129"/>
      <c r="I1565" s="166"/>
      <c r="J1565" s="180"/>
      <c r="K1565" s="128"/>
      <c r="L1565" s="127"/>
      <c r="M1565" s="168"/>
      <c r="N1565" s="173"/>
      <c r="O1565" s="141"/>
      <c r="P1565" s="140"/>
      <c r="Q1565" s="142"/>
      <c r="R1565" s="140"/>
      <c r="S1565" s="142"/>
      <c r="T1565" s="140"/>
    </row>
    <row r="1566" spans="3:20" ht="39.75" customHeight="1">
      <c r="C1566" s="196">
        <v>1563</v>
      </c>
      <c r="D1566" s="127"/>
      <c r="E1566" s="129"/>
      <c r="F1566" s="128"/>
      <c r="G1566" s="129"/>
      <c r="H1566" s="129"/>
      <c r="I1566" s="166"/>
      <c r="J1566" s="180"/>
      <c r="K1566" s="128"/>
      <c r="L1566" s="127"/>
      <c r="M1566" s="168"/>
      <c r="N1566" s="173"/>
      <c r="O1566" s="141"/>
      <c r="P1566" s="140"/>
      <c r="Q1566" s="142"/>
      <c r="R1566" s="140"/>
      <c r="S1566" s="142"/>
      <c r="T1566" s="140"/>
    </row>
    <row r="1567" spans="3:20" ht="39.75" customHeight="1">
      <c r="C1567" s="196">
        <v>1564</v>
      </c>
      <c r="D1567" s="127"/>
      <c r="E1567" s="129"/>
      <c r="F1567" s="128"/>
      <c r="G1567" s="129"/>
      <c r="H1567" s="129"/>
      <c r="I1567" s="166"/>
      <c r="J1567" s="180"/>
      <c r="K1567" s="128"/>
      <c r="L1567" s="127"/>
      <c r="M1567" s="168"/>
      <c r="N1567" s="173"/>
      <c r="O1567" s="141"/>
      <c r="P1567" s="140"/>
      <c r="Q1567" s="142"/>
      <c r="R1567" s="140"/>
      <c r="S1567" s="142"/>
      <c r="T1567" s="140"/>
    </row>
    <row r="1568" spans="3:20" ht="39.75" customHeight="1">
      <c r="C1568" s="196">
        <v>1565</v>
      </c>
      <c r="D1568" s="127"/>
      <c r="E1568" s="129"/>
      <c r="F1568" s="128"/>
      <c r="G1568" s="129"/>
      <c r="H1568" s="129"/>
      <c r="I1568" s="166"/>
      <c r="J1568" s="180"/>
      <c r="K1568" s="128"/>
      <c r="L1568" s="127"/>
      <c r="M1568" s="168"/>
      <c r="N1568" s="173"/>
      <c r="O1568" s="141"/>
      <c r="P1568" s="140"/>
      <c r="Q1568" s="142"/>
      <c r="R1568" s="140"/>
      <c r="S1568" s="142"/>
      <c r="T1568" s="140"/>
    </row>
    <row r="1569" spans="3:20" ht="39.75" customHeight="1">
      <c r="C1569" s="196">
        <v>1566</v>
      </c>
      <c r="D1569" s="127"/>
      <c r="E1569" s="129"/>
      <c r="F1569" s="128"/>
      <c r="G1569" s="129"/>
      <c r="H1569" s="129"/>
      <c r="I1569" s="166"/>
      <c r="J1569" s="180"/>
      <c r="K1569" s="128"/>
      <c r="L1569" s="127"/>
      <c r="M1569" s="168"/>
      <c r="N1569" s="173"/>
      <c r="O1569" s="141"/>
      <c r="P1569" s="140"/>
      <c r="Q1569" s="142"/>
      <c r="R1569" s="140"/>
      <c r="S1569" s="142"/>
      <c r="T1569" s="140"/>
    </row>
    <row r="1570" spans="3:20" ht="39.75" customHeight="1">
      <c r="C1570" s="196">
        <v>1567</v>
      </c>
      <c r="D1570" s="127"/>
      <c r="E1570" s="129"/>
      <c r="F1570" s="128"/>
      <c r="G1570" s="129"/>
      <c r="H1570" s="129"/>
      <c r="I1570" s="166"/>
      <c r="J1570" s="180"/>
      <c r="K1570" s="128"/>
      <c r="L1570" s="127"/>
      <c r="M1570" s="168"/>
      <c r="N1570" s="173"/>
      <c r="O1570" s="141"/>
      <c r="P1570" s="140"/>
      <c r="Q1570" s="142"/>
      <c r="R1570" s="140"/>
      <c r="S1570" s="142"/>
      <c r="T1570" s="140"/>
    </row>
    <row r="1571" spans="3:20" ht="39.75" customHeight="1">
      <c r="C1571" s="196">
        <v>1568</v>
      </c>
      <c r="D1571" s="127"/>
      <c r="E1571" s="129"/>
      <c r="F1571" s="128"/>
      <c r="G1571" s="129"/>
      <c r="H1571" s="129"/>
      <c r="I1571" s="166"/>
      <c r="J1571" s="180"/>
      <c r="K1571" s="128"/>
      <c r="L1571" s="127"/>
      <c r="M1571" s="168"/>
      <c r="N1571" s="173"/>
      <c r="O1571" s="141"/>
      <c r="P1571" s="140"/>
      <c r="Q1571" s="142"/>
      <c r="R1571" s="140"/>
      <c r="S1571" s="142"/>
      <c r="T1571" s="140"/>
    </row>
    <row r="1572" spans="3:20" ht="39.75" customHeight="1">
      <c r="C1572" s="196">
        <v>1569</v>
      </c>
      <c r="D1572" s="127"/>
      <c r="E1572" s="129"/>
      <c r="F1572" s="128"/>
      <c r="G1572" s="129"/>
      <c r="H1572" s="129"/>
      <c r="I1572" s="166"/>
      <c r="J1572" s="180"/>
      <c r="K1572" s="128"/>
      <c r="L1572" s="127"/>
      <c r="M1572" s="168"/>
      <c r="N1572" s="173"/>
      <c r="O1572" s="141"/>
      <c r="P1572" s="140"/>
      <c r="Q1572" s="142"/>
      <c r="R1572" s="140"/>
      <c r="S1572" s="142"/>
      <c r="T1572" s="140"/>
    </row>
    <row r="1573" spans="3:20" ht="39.75" customHeight="1">
      <c r="C1573" s="196">
        <v>1570</v>
      </c>
      <c r="D1573" s="127"/>
      <c r="E1573" s="129"/>
      <c r="F1573" s="128"/>
      <c r="G1573" s="129"/>
      <c r="H1573" s="129"/>
      <c r="I1573" s="166"/>
      <c r="J1573" s="180"/>
      <c r="K1573" s="128"/>
      <c r="L1573" s="127"/>
      <c r="M1573" s="168"/>
      <c r="N1573" s="173"/>
      <c r="O1573" s="141"/>
      <c r="P1573" s="140"/>
      <c r="Q1573" s="142"/>
      <c r="R1573" s="140"/>
      <c r="S1573" s="142"/>
      <c r="T1573" s="140"/>
    </row>
    <row r="1574" spans="3:20" ht="39.75" customHeight="1">
      <c r="C1574" s="196">
        <v>1571</v>
      </c>
      <c r="D1574" s="127"/>
      <c r="E1574" s="129"/>
      <c r="F1574" s="128"/>
      <c r="G1574" s="129"/>
      <c r="H1574" s="129"/>
      <c r="I1574" s="166"/>
      <c r="J1574" s="180"/>
      <c r="K1574" s="128"/>
      <c r="L1574" s="127"/>
      <c r="M1574" s="168"/>
      <c r="N1574" s="173"/>
      <c r="O1574" s="141"/>
      <c r="P1574" s="140"/>
      <c r="Q1574" s="142"/>
      <c r="R1574" s="140"/>
      <c r="S1574" s="142"/>
      <c r="T1574" s="140"/>
    </row>
    <row r="1575" spans="3:20" ht="39.75" customHeight="1">
      <c r="C1575" s="196">
        <v>1572</v>
      </c>
      <c r="D1575" s="127"/>
      <c r="E1575" s="129"/>
      <c r="F1575" s="128"/>
      <c r="G1575" s="129"/>
      <c r="H1575" s="129"/>
      <c r="I1575" s="166"/>
      <c r="J1575" s="180"/>
      <c r="K1575" s="128"/>
      <c r="L1575" s="127"/>
      <c r="M1575" s="168"/>
      <c r="N1575" s="173"/>
      <c r="O1575" s="141"/>
      <c r="P1575" s="140"/>
      <c r="Q1575" s="142"/>
      <c r="R1575" s="140"/>
      <c r="S1575" s="142"/>
      <c r="T1575" s="140"/>
    </row>
    <row r="1576" spans="3:20" ht="39.75" customHeight="1">
      <c r="C1576" s="196">
        <v>1573</v>
      </c>
      <c r="D1576" s="127"/>
      <c r="E1576" s="129"/>
      <c r="F1576" s="128"/>
      <c r="G1576" s="129"/>
      <c r="H1576" s="129"/>
      <c r="I1576" s="166"/>
      <c r="J1576" s="180"/>
      <c r="K1576" s="128"/>
      <c r="L1576" s="127"/>
      <c r="M1576" s="168"/>
      <c r="N1576" s="173"/>
      <c r="O1576" s="141"/>
      <c r="P1576" s="140"/>
      <c r="Q1576" s="142"/>
      <c r="R1576" s="140"/>
      <c r="S1576" s="142"/>
      <c r="T1576" s="140"/>
    </row>
    <row r="1577" spans="3:20" ht="39.75" customHeight="1">
      <c r="C1577" s="196">
        <v>1574</v>
      </c>
      <c r="D1577" s="127"/>
      <c r="E1577" s="129"/>
      <c r="F1577" s="128"/>
      <c r="G1577" s="129"/>
      <c r="H1577" s="129"/>
      <c r="I1577" s="166"/>
      <c r="J1577" s="180"/>
      <c r="K1577" s="128"/>
      <c r="L1577" s="127"/>
      <c r="M1577" s="168"/>
      <c r="N1577" s="173"/>
      <c r="O1577" s="141"/>
      <c r="P1577" s="140"/>
      <c r="Q1577" s="142"/>
      <c r="R1577" s="140"/>
      <c r="S1577" s="142"/>
      <c r="T1577" s="140"/>
    </row>
    <row r="1578" spans="3:20" ht="39.75" customHeight="1">
      <c r="C1578" s="196">
        <v>1575</v>
      </c>
      <c r="D1578" s="127"/>
      <c r="E1578" s="129"/>
      <c r="F1578" s="128"/>
      <c r="G1578" s="129"/>
      <c r="H1578" s="129"/>
      <c r="I1578" s="166"/>
      <c r="J1578" s="180"/>
      <c r="K1578" s="128"/>
      <c r="L1578" s="127"/>
      <c r="M1578" s="168"/>
      <c r="N1578" s="173"/>
      <c r="O1578" s="141"/>
      <c r="P1578" s="140"/>
      <c r="Q1578" s="142"/>
      <c r="R1578" s="140"/>
      <c r="S1578" s="142"/>
      <c r="T1578" s="140"/>
    </row>
    <row r="1579" spans="3:20" ht="39.75" customHeight="1">
      <c r="C1579" s="196">
        <v>1576</v>
      </c>
      <c r="D1579" s="127"/>
      <c r="E1579" s="129"/>
      <c r="F1579" s="128"/>
      <c r="G1579" s="129"/>
      <c r="H1579" s="129"/>
      <c r="I1579" s="166"/>
      <c r="J1579" s="180"/>
      <c r="K1579" s="128"/>
      <c r="L1579" s="127"/>
      <c r="M1579" s="168"/>
      <c r="N1579" s="173"/>
      <c r="O1579" s="141"/>
      <c r="P1579" s="140"/>
      <c r="Q1579" s="142"/>
      <c r="R1579" s="140"/>
      <c r="S1579" s="142"/>
      <c r="T1579" s="140"/>
    </row>
    <row r="1580" spans="3:20" ht="39.75" customHeight="1">
      <c r="C1580" s="196">
        <v>1577</v>
      </c>
      <c r="D1580" s="127"/>
      <c r="E1580" s="129"/>
      <c r="F1580" s="128"/>
      <c r="G1580" s="129"/>
      <c r="H1580" s="129"/>
      <c r="I1580" s="166"/>
      <c r="J1580" s="180"/>
      <c r="K1580" s="128"/>
      <c r="L1580" s="127"/>
      <c r="M1580" s="168"/>
      <c r="N1580" s="173"/>
      <c r="O1580" s="141"/>
      <c r="P1580" s="140"/>
      <c r="Q1580" s="142"/>
      <c r="R1580" s="140"/>
      <c r="S1580" s="142"/>
      <c r="T1580" s="140"/>
    </row>
    <row r="1581" spans="3:20" ht="39.75" customHeight="1">
      <c r="C1581" s="196">
        <v>1578</v>
      </c>
      <c r="D1581" s="127"/>
      <c r="E1581" s="129"/>
      <c r="F1581" s="128"/>
      <c r="G1581" s="129"/>
      <c r="H1581" s="129"/>
      <c r="I1581" s="166"/>
      <c r="J1581" s="180"/>
      <c r="K1581" s="128"/>
      <c r="L1581" s="127"/>
      <c r="M1581" s="168"/>
      <c r="N1581" s="173"/>
      <c r="O1581" s="141"/>
      <c r="P1581" s="140"/>
      <c r="Q1581" s="142"/>
      <c r="R1581" s="140"/>
      <c r="S1581" s="142"/>
      <c r="T1581" s="140"/>
    </row>
    <row r="1582" spans="3:20" ht="39.75" customHeight="1">
      <c r="C1582" s="196">
        <v>1579</v>
      </c>
      <c r="D1582" s="127"/>
      <c r="E1582" s="129"/>
      <c r="F1582" s="128"/>
      <c r="G1582" s="129"/>
      <c r="H1582" s="129"/>
      <c r="I1582" s="166"/>
      <c r="J1582" s="180"/>
      <c r="K1582" s="128"/>
      <c r="L1582" s="127"/>
      <c r="M1582" s="168"/>
      <c r="N1582" s="173"/>
      <c r="O1582" s="141"/>
      <c r="P1582" s="140"/>
      <c r="Q1582" s="142"/>
      <c r="R1582" s="140"/>
      <c r="S1582" s="142"/>
      <c r="T1582" s="140"/>
    </row>
    <row r="1583" spans="3:20" ht="39.75" customHeight="1">
      <c r="C1583" s="196">
        <v>1580</v>
      </c>
      <c r="D1583" s="127"/>
      <c r="E1583" s="129"/>
      <c r="F1583" s="128"/>
      <c r="G1583" s="129"/>
      <c r="H1583" s="129"/>
      <c r="I1583" s="166"/>
      <c r="J1583" s="180"/>
      <c r="K1583" s="128"/>
      <c r="L1583" s="127"/>
      <c r="M1583" s="168"/>
      <c r="N1583" s="173"/>
      <c r="O1583" s="141"/>
      <c r="P1583" s="140"/>
      <c r="Q1583" s="142"/>
      <c r="R1583" s="140"/>
      <c r="S1583" s="142"/>
      <c r="T1583" s="140"/>
    </row>
    <row r="1584" spans="3:20" ht="39.75" customHeight="1">
      <c r="C1584" s="196">
        <v>1581</v>
      </c>
      <c r="D1584" s="127"/>
      <c r="E1584" s="129"/>
      <c r="F1584" s="128"/>
      <c r="G1584" s="129"/>
      <c r="H1584" s="129"/>
      <c r="I1584" s="166"/>
      <c r="J1584" s="180"/>
      <c r="K1584" s="128"/>
      <c r="L1584" s="127"/>
      <c r="M1584" s="168"/>
      <c r="N1584" s="173"/>
      <c r="O1584" s="141"/>
      <c r="P1584" s="140"/>
      <c r="Q1584" s="142"/>
      <c r="R1584" s="140"/>
      <c r="S1584" s="142"/>
      <c r="T1584" s="140"/>
    </row>
    <row r="1585" spans="3:20" ht="39.75" customHeight="1">
      <c r="C1585" s="196">
        <v>1582</v>
      </c>
      <c r="D1585" s="127"/>
      <c r="E1585" s="129"/>
      <c r="F1585" s="128"/>
      <c r="G1585" s="129"/>
      <c r="H1585" s="129"/>
      <c r="I1585" s="166"/>
      <c r="J1585" s="180"/>
      <c r="K1585" s="128"/>
      <c r="L1585" s="127"/>
      <c r="M1585" s="168"/>
      <c r="N1585" s="173"/>
      <c r="O1585" s="141"/>
      <c r="P1585" s="140"/>
      <c r="Q1585" s="142"/>
      <c r="R1585" s="140"/>
      <c r="S1585" s="142"/>
      <c r="T1585" s="140"/>
    </row>
    <row r="1586" spans="3:20" ht="39.75" customHeight="1">
      <c r="C1586" s="196">
        <v>1583</v>
      </c>
      <c r="D1586" s="127"/>
      <c r="E1586" s="129"/>
      <c r="F1586" s="128"/>
      <c r="G1586" s="129"/>
      <c r="H1586" s="129"/>
      <c r="I1586" s="166"/>
      <c r="J1586" s="180"/>
      <c r="K1586" s="128"/>
      <c r="L1586" s="127"/>
      <c r="M1586" s="168"/>
      <c r="N1586" s="173"/>
      <c r="O1586" s="141"/>
      <c r="P1586" s="140"/>
      <c r="Q1586" s="142"/>
      <c r="R1586" s="140"/>
      <c r="S1586" s="142"/>
      <c r="T1586" s="140"/>
    </row>
    <row r="1587" spans="3:20" ht="39.75" customHeight="1">
      <c r="C1587" s="196">
        <v>1584</v>
      </c>
      <c r="D1587" s="127"/>
      <c r="E1587" s="129"/>
      <c r="F1587" s="128"/>
      <c r="G1587" s="129"/>
      <c r="H1587" s="129"/>
      <c r="I1587" s="166"/>
      <c r="J1587" s="180"/>
      <c r="K1587" s="128"/>
      <c r="L1587" s="127"/>
      <c r="M1587" s="168"/>
      <c r="N1587" s="173"/>
      <c r="O1587" s="141"/>
      <c r="P1587" s="140"/>
      <c r="Q1587" s="142"/>
      <c r="R1587" s="140"/>
      <c r="S1587" s="142"/>
      <c r="T1587" s="140"/>
    </row>
    <row r="1588" spans="3:20" ht="39.75" customHeight="1">
      <c r="C1588" s="196">
        <v>1585</v>
      </c>
      <c r="D1588" s="127"/>
      <c r="E1588" s="129"/>
      <c r="F1588" s="128"/>
      <c r="G1588" s="129"/>
      <c r="H1588" s="129"/>
      <c r="I1588" s="166"/>
      <c r="J1588" s="180"/>
      <c r="K1588" s="128"/>
      <c r="L1588" s="127"/>
      <c r="M1588" s="168"/>
      <c r="N1588" s="173"/>
      <c r="O1588" s="141"/>
      <c r="P1588" s="140"/>
      <c r="Q1588" s="142"/>
      <c r="R1588" s="140"/>
      <c r="S1588" s="142"/>
      <c r="T1588" s="140"/>
    </row>
    <row r="1589" spans="3:20" ht="39.75" customHeight="1">
      <c r="C1589" s="196">
        <v>1586</v>
      </c>
      <c r="D1589" s="127"/>
      <c r="E1589" s="129"/>
      <c r="F1589" s="128"/>
      <c r="G1589" s="129"/>
      <c r="H1589" s="129"/>
      <c r="I1589" s="166"/>
      <c r="J1589" s="180"/>
      <c r="K1589" s="128"/>
      <c r="L1589" s="127"/>
      <c r="M1589" s="168"/>
      <c r="N1589" s="173"/>
      <c r="O1589" s="141"/>
      <c r="P1589" s="140"/>
      <c r="Q1589" s="142"/>
      <c r="R1589" s="140"/>
      <c r="S1589" s="142"/>
      <c r="T1589" s="140"/>
    </row>
    <row r="1590" spans="3:20" ht="39.75" customHeight="1">
      <c r="C1590" s="196">
        <v>1587</v>
      </c>
      <c r="D1590" s="127"/>
      <c r="E1590" s="129"/>
      <c r="F1590" s="128"/>
      <c r="G1590" s="129"/>
      <c r="H1590" s="129"/>
      <c r="I1590" s="166"/>
      <c r="J1590" s="180"/>
      <c r="K1590" s="128"/>
      <c r="L1590" s="127"/>
      <c r="M1590" s="168"/>
      <c r="N1590" s="173"/>
      <c r="O1590" s="141"/>
      <c r="P1590" s="140"/>
      <c r="Q1590" s="142"/>
      <c r="R1590" s="140"/>
      <c r="S1590" s="142"/>
      <c r="T1590" s="140"/>
    </row>
    <row r="1591" spans="3:20" ht="39.75" customHeight="1">
      <c r="C1591" s="196">
        <v>1588</v>
      </c>
      <c r="D1591" s="127"/>
      <c r="E1591" s="129"/>
      <c r="F1591" s="128"/>
      <c r="G1591" s="129"/>
      <c r="H1591" s="129"/>
      <c r="I1591" s="166"/>
      <c r="J1591" s="180"/>
      <c r="K1591" s="128"/>
      <c r="L1591" s="127"/>
      <c r="M1591" s="168"/>
      <c r="N1591" s="173"/>
      <c r="O1591" s="141"/>
      <c r="P1591" s="140"/>
      <c r="Q1591" s="142"/>
      <c r="R1591" s="140"/>
      <c r="S1591" s="142"/>
      <c r="T1591" s="140"/>
    </row>
    <row r="1592" spans="3:20" ht="39.75" customHeight="1">
      <c r="C1592" s="196">
        <v>1589</v>
      </c>
      <c r="D1592" s="127"/>
      <c r="E1592" s="129"/>
      <c r="F1592" s="128"/>
      <c r="G1592" s="129"/>
      <c r="H1592" s="129"/>
      <c r="I1592" s="166"/>
      <c r="J1592" s="180"/>
      <c r="K1592" s="128"/>
      <c r="L1592" s="127"/>
      <c r="M1592" s="168"/>
      <c r="N1592" s="173"/>
      <c r="O1592" s="141"/>
      <c r="P1592" s="140"/>
      <c r="Q1592" s="142"/>
      <c r="R1592" s="140"/>
      <c r="S1592" s="142"/>
      <c r="T1592" s="140"/>
    </row>
    <row r="1593" spans="3:20" ht="39.75" customHeight="1">
      <c r="C1593" s="196">
        <v>1590</v>
      </c>
      <c r="D1593" s="127"/>
      <c r="E1593" s="129"/>
      <c r="F1593" s="128"/>
      <c r="G1593" s="129"/>
      <c r="H1593" s="129"/>
      <c r="I1593" s="166"/>
      <c r="J1593" s="180"/>
      <c r="K1593" s="128"/>
      <c r="L1593" s="127"/>
      <c r="M1593" s="168"/>
      <c r="N1593" s="173"/>
      <c r="O1593" s="141"/>
      <c r="P1593" s="140"/>
      <c r="Q1593" s="142"/>
      <c r="R1593" s="140"/>
      <c r="S1593" s="142"/>
      <c r="T1593" s="140"/>
    </row>
    <row r="1594" spans="3:20" ht="39.75" customHeight="1">
      <c r="C1594" s="196">
        <v>1591</v>
      </c>
      <c r="D1594" s="127"/>
      <c r="E1594" s="129"/>
      <c r="F1594" s="128"/>
      <c r="G1594" s="129"/>
      <c r="H1594" s="129"/>
      <c r="I1594" s="166"/>
      <c r="J1594" s="180"/>
      <c r="K1594" s="128"/>
      <c r="L1594" s="127"/>
      <c r="M1594" s="168"/>
      <c r="N1594" s="173"/>
      <c r="O1594" s="141"/>
      <c r="P1594" s="140"/>
      <c r="Q1594" s="142"/>
      <c r="R1594" s="140"/>
      <c r="S1594" s="142"/>
      <c r="T1594" s="140"/>
    </row>
    <row r="1595" spans="3:20" ht="39.75" customHeight="1">
      <c r="C1595" s="196">
        <v>1592</v>
      </c>
      <c r="D1595" s="127"/>
      <c r="E1595" s="129"/>
      <c r="F1595" s="128"/>
      <c r="G1595" s="129"/>
      <c r="H1595" s="129"/>
      <c r="I1595" s="166"/>
      <c r="J1595" s="180"/>
      <c r="K1595" s="128"/>
      <c r="L1595" s="127"/>
      <c r="M1595" s="168"/>
      <c r="N1595" s="173"/>
      <c r="O1595" s="141"/>
      <c r="P1595" s="140"/>
      <c r="Q1595" s="142"/>
      <c r="R1595" s="140"/>
      <c r="S1595" s="142"/>
      <c r="T1595" s="140"/>
    </row>
    <row r="1596" spans="3:20" ht="39.75" customHeight="1">
      <c r="C1596" s="196">
        <v>1593</v>
      </c>
      <c r="D1596" s="127"/>
      <c r="E1596" s="129"/>
      <c r="F1596" s="128"/>
      <c r="G1596" s="129"/>
      <c r="H1596" s="129"/>
      <c r="I1596" s="166"/>
      <c r="J1596" s="180"/>
      <c r="K1596" s="128"/>
      <c r="L1596" s="127"/>
      <c r="M1596" s="168"/>
      <c r="N1596" s="173"/>
      <c r="O1596" s="141"/>
      <c r="P1596" s="140"/>
      <c r="Q1596" s="142"/>
      <c r="R1596" s="140"/>
      <c r="S1596" s="142"/>
      <c r="T1596" s="140"/>
    </row>
    <row r="1597" spans="3:20" ht="39.75" customHeight="1">
      <c r="C1597" s="196">
        <v>1594</v>
      </c>
      <c r="D1597" s="127"/>
      <c r="E1597" s="129"/>
      <c r="F1597" s="128"/>
      <c r="G1597" s="129"/>
      <c r="H1597" s="129"/>
      <c r="I1597" s="166"/>
      <c r="J1597" s="180"/>
      <c r="K1597" s="128"/>
      <c r="L1597" s="127"/>
      <c r="M1597" s="168"/>
      <c r="N1597" s="173"/>
      <c r="O1597" s="141"/>
      <c r="P1597" s="140"/>
      <c r="Q1597" s="142"/>
      <c r="R1597" s="140"/>
      <c r="S1597" s="142"/>
      <c r="T1597" s="140"/>
    </row>
    <row r="1598" spans="3:20" ht="39.75" customHeight="1">
      <c r="C1598" s="196">
        <v>1595</v>
      </c>
      <c r="D1598" s="127"/>
      <c r="E1598" s="129"/>
      <c r="F1598" s="128"/>
      <c r="G1598" s="129"/>
      <c r="H1598" s="129"/>
      <c r="I1598" s="166"/>
      <c r="J1598" s="180"/>
      <c r="K1598" s="128"/>
      <c r="L1598" s="127"/>
      <c r="M1598" s="168"/>
      <c r="N1598" s="173"/>
      <c r="O1598" s="141"/>
      <c r="P1598" s="140"/>
      <c r="Q1598" s="142"/>
      <c r="R1598" s="140"/>
      <c r="S1598" s="142"/>
      <c r="T1598" s="140"/>
    </row>
    <row r="1599" spans="3:20" ht="39.75" customHeight="1">
      <c r="C1599" s="196">
        <v>1596</v>
      </c>
      <c r="D1599" s="127"/>
      <c r="E1599" s="129"/>
      <c r="F1599" s="128"/>
      <c r="G1599" s="129"/>
      <c r="H1599" s="129"/>
      <c r="I1599" s="166"/>
      <c r="J1599" s="180"/>
      <c r="K1599" s="128"/>
      <c r="L1599" s="127"/>
      <c r="M1599" s="168"/>
      <c r="N1599" s="173"/>
      <c r="O1599" s="141"/>
      <c r="P1599" s="140"/>
      <c r="Q1599" s="142"/>
      <c r="R1599" s="140"/>
      <c r="S1599" s="142"/>
      <c r="T1599" s="140"/>
    </row>
    <row r="1600" spans="3:20" ht="39.75" customHeight="1">
      <c r="C1600" s="196">
        <v>1597</v>
      </c>
      <c r="D1600" s="127"/>
      <c r="E1600" s="129"/>
      <c r="F1600" s="128"/>
      <c r="G1600" s="129"/>
      <c r="H1600" s="129"/>
      <c r="I1600" s="166"/>
      <c r="J1600" s="180"/>
      <c r="K1600" s="128"/>
      <c r="L1600" s="127"/>
      <c r="M1600" s="168"/>
      <c r="N1600" s="173"/>
      <c r="O1600" s="141"/>
      <c r="P1600" s="140"/>
      <c r="Q1600" s="142"/>
      <c r="R1600" s="140"/>
      <c r="S1600" s="142"/>
      <c r="T1600" s="140"/>
    </row>
    <row r="1601" spans="3:20" ht="39.75" customHeight="1">
      <c r="C1601" s="196">
        <v>1598</v>
      </c>
      <c r="D1601" s="127"/>
      <c r="E1601" s="129"/>
      <c r="F1601" s="128"/>
      <c r="G1601" s="129"/>
      <c r="H1601" s="129"/>
      <c r="I1601" s="166"/>
      <c r="J1601" s="180"/>
      <c r="K1601" s="128"/>
      <c r="L1601" s="127"/>
      <c r="M1601" s="168"/>
      <c r="N1601" s="173"/>
      <c r="O1601" s="141"/>
      <c r="P1601" s="140"/>
      <c r="Q1601" s="142"/>
      <c r="R1601" s="140"/>
      <c r="S1601" s="142"/>
      <c r="T1601" s="140"/>
    </row>
    <row r="1602" spans="3:20" ht="39.75" customHeight="1">
      <c r="C1602" s="196">
        <v>1599</v>
      </c>
      <c r="D1602" s="127"/>
      <c r="E1602" s="129"/>
      <c r="F1602" s="128"/>
      <c r="G1602" s="129"/>
      <c r="H1602" s="129"/>
      <c r="I1602" s="166"/>
      <c r="J1602" s="180"/>
      <c r="K1602" s="128"/>
      <c r="L1602" s="127"/>
      <c r="M1602" s="168"/>
      <c r="N1602" s="173"/>
      <c r="O1602" s="141"/>
      <c r="P1602" s="140"/>
      <c r="Q1602" s="142"/>
      <c r="R1602" s="140"/>
      <c r="S1602" s="142"/>
      <c r="T1602" s="140"/>
    </row>
    <row r="1603" spans="3:20" ht="39.75" customHeight="1">
      <c r="C1603" s="196">
        <v>1600</v>
      </c>
      <c r="D1603" s="127"/>
      <c r="E1603" s="129"/>
      <c r="F1603" s="128"/>
      <c r="G1603" s="129"/>
      <c r="H1603" s="129"/>
      <c r="I1603" s="166"/>
      <c r="J1603" s="180"/>
      <c r="K1603" s="128"/>
      <c r="L1603" s="127"/>
      <c r="M1603" s="168"/>
      <c r="N1603" s="173"/>
      <c r="O1603" s="141"/>
      <c r="P1603" s="140"/>
      <c r="Q1603" s="142"/>
      <c r="R1603" s="140"/>
      <c r="S1603" s="142"/>
      <c r="T1603" s="140"/>
    </row>
    <row r="1604" spans="3:20" ht="39.75" customHeight="1">
      <c r="C1604" s="196">
        <v>1601</v>
      </c>
      <c r="D1604" s="127"/>
      <c r="E1604" s="129"/>
      <c r="F1604" s="128"/>
      <c r="G1604" s="129"/>
      <c r="H1604" s="129"/>
      <c r="I1604" s="166"/>
      <c r="J1604" s="180"/>
      <c r="K1604" s="128"/>
      <c r="L1604" s="127"/>
      <c r="M1604" s="168"/>
      <c r="N1604" s="173"/>
      <c r="O1604" s="141"/>
      <c r="P1604" s="140"/>
      <c r="Q1604" s="142"/>
      <c r="R1604" s="140"/>
      <c r="S1604" s="142"/>
      <c r="T1604" s="140"/>
    </row>
    <row r="1605" spans="3:20" ht="39.75" customHeight="1">
      <c r="C1605" s="196">
        <v>1602</v>
      </c>
      <c r="D1605" s="127"/>
      <c r="E1605" s="129"/>
      <c r="F1605" s="128"/>
      <c r="G1605" s="129"/>
      <c r="H1605" s="129"/>
      <c r="I1605" s="166"/>
      <c r="J1605" s="180"/>
      <c r="K1605" s="128"/>
      <c r="L1605" s="127"/>
      <c r="M1605" s="168"/>
      <c r="N1605" s="173"/>
      <c r="O1605" s="141"/>
      <c r="P1605" s="140"/>
      <c r="Q1605" s="142"/>
      <c r="R1605" s="140"/>
      <c r="S1605" s="142"/>
      <c r="T1605" s="140"/>
    </row>
    <row r="1606" spans="3:20" ht="39.75" customHeight="1">
      <c r="C1606" s="196">
        <v>1603</v>
      </c>
      <c r="D1606" s="127"/>
      <c r="E1606" s="129"/>
      <c r="F1606" s="128"/>
      <c r="G1606" s="129"/>
      <c r="H1606" s="129"/>
      <c r="I1606" s="166"/>
      <c r="J1606" s="180"/>
      <c r="K1606" s="128"/>
      <c r="L1606" s="127"/>
      <c r="M1606" s="168"/>
      <c r="N1606" s="173"/>
      <c r="O1606" s="141"/>
      <c r="P1606" s="140"/>
      <c r="Q1606" s="142"/>
      <c r="R1606" s="140"/>
      <c r="S1606" s="142"/>
      <c r="T1606" s="140"/>
    </row>
    <row r="1607" spans="3:20" ht="39.75" customHeight="1">
      <c r="C1607" s="196">
        <v>1604</v>
      </c>
      <c r="D1607" s="127"/>
      <c r="E1607" s="129"/>
      <c r="F1607" s="128"/>
      <c r="G1607" s="129"/>
      <c r="H1607" s="129"/>
      <c r="I1607" s="166"/>
      <c r="J1607" s="180"/>
      <c r="K1607" s="128"/>
      <c r="L1607" s="127"/>
      <c r="M1607" s="168"/>
      <c r="N1607" s="173"/>
      <c r="O1607" s="141"/>
      <c r="P1607" s="140"/>
      <c r="Q1607" s="142"/>
      <c r="R1607" s="140"/>
      <c r="S1607" s="142"/>
      <c r="T1607" s="140"/>
    </row>
    <row r="1608" spans="3:20" ht="39.75" customHeight="1">
      <c r="C1608" s="196">
        <v>1605</v>
      </c>
      <c r="D1608" s="127"/>
      <c r="E1608" s="129"/>
      <c r="F1608" s="128"/>
      <c r="G1608" s="129"/>
      <c r="H1608" s="129"/>
      <c r="I1608" s="166"/>
      <c r="J1608" s="180"/>
      <c r="K1608" s="128"/>
      <c r="L1608" s="127"/>
      <c r="M1608" s="168"/>
      <c r="N1608" s="173"/>
      <c r="O1608" s="141"/>
      <c r="P1608" s="140"/>
      <c r="Q1608" s="142"/>
      <c r="R1608" s="140"/>
      <c r="S1608" s="142"/>
      <c r="T1608" s="140"/>
    </row>
    <row r="1609" spans="3:20" ht="39.75" customHeight="1">
      <c r="C1609" s="196">
        <v>1606</v>
      </c>
      <c r="D1609" s="127"/>
      <c r="E1609" s="129"/>
      <c r="F1609" s="128"/>
      <c r="G1609" s="129"/>
      <c r="H1609" s="129"/>
      <c r="I1609" s="166"/>
      <c r="J1609" s="180"/>
      <c r="K1609" s="128"/>
      <c r="L1609" s="127"/>
      <c r="M1609" s="168"/>
      <c r="N1609" s="173"/>
      <c r="O1609" s="141"/>
      <c r="P1609" s="140"/>
      <c r="Q1609" s="142"/>
      <c r="R1609" s="140"/>
      <c r="S1609" s="142"/>
      <c r="T1609" s="140"/>
    </row>
    <row r="1610" spans="3:20" ht="39.75" customHeight="1">
      <c r="C1610" s="196">
        <v>1607</v>
      </c>
      <c r="D1610" s="127"/>
      <c r="E1610" s="129"/>
      <c r="F1610" s="128"/>
      <c r="G1610" s="129"/>
      <c r="H1610" s="129"/>
      <c r="I1610" s="166"/>
      <c r="J1610" s="180"/>
      <c r="K1610" s="128"/>
      <c r="L1610" s="127"/>
      <c r="M1610" s="168"/>
      <c r="N1610" s="173"/>
      <c r="O1610" s="141"/>
      <c r="P1610" s="140"/>
      <c r="Q1610" s="142"/>
      <c r="R1610" s="140"/>
      <c r="S1610" s="142"/>
      <c r="T1610" s="140"/>
    </row>
    <row r="1611" spans="3:20" ht="39.75" customHeight="1">
      <c r="C1611" s="196">
        <v>1608</v>
      </c>
      <c r="D1611" s="127"/>
      <c r="E1611" s="129"/>
      <c r="F1611" s="128"/>
      <c r="G1611" s="129"/>
      <c r="H1611" s="129"/>
      <c r="I1611" s="166"/>
      <c r="J1611" s="180"/>
      <c r="K1611" s="128"/>
      <c r="L1611" s="127"/>
      <c r="M1611" s="168"/>
      <c r="N1611" s="173"/>
      <c r="O1611" s="141"/>
      <c r="P1611" s="140"/>
      <c r="Q1611" s="142"/>
      <c r="R1611" s="140"/>
      <c r="S1611" s="142"/>
      <c r="T1611" s="140"/>
    </row>
    <row r="1612" spans="3:20" ht="39.75" customHeight="1">
      <c r="C1612" s="196">
        <v>1609</v>
      </c>
      <c r="D1612" s="127"/>
      <c r="E1612" s="129"/>
      <c r="F1612" s="128"/>
      <c r="G1612" s="129"/>
      <c r="H1612" s="129"/>
      <c r="I1612" s="166"/>
      <c r="J1612" s="180"/>
      <c r="K1612" s="128"/>
      <c r="L1612" s="127"/>
      <c r="M1612" s="168"/>
      <c r="N1612" s="173"/>
      <c r="O1612" s="141"/>
      <c r="P1612" s="140"/>
      <c r="Q1612" s="142"/>
      <c r="R1612" s="140"/>
      <c r="S1612" s="142"/>
      <c r="T1612" s="140"/>
    </row>
    <row r="1613" spans="3:20" ht="39.75" customHeight="1">
      <c r="C1613" s="196">
        <v>1610</v>
      </c>
      <c r="D1613" s="127"/>
      <c r="E1613" s="129"/>
      <c r="F1613" s="128"/>
      <c r="G1613" s="129"/>
      <c r="H1613" s="129"/>
      <c r="I1613" s="166"/>
      <c r="J1613" s="180"/>
      <c r="K1613" s="128"/>
      <c r="L1613" s="127"/>
      <c r="M1613" s="168"/>
      <c r="N1613" s="173"/>
      <c r="O1613" s="141"/>
      <c r="P1613" s="140"/>
      <c r="Q1613" s="142"/>
      <c r="R1613" s="140"/>
      <c r="S1613" s="142"/>
      <c r="T1613" s="140"/>
    </row>
    <row r="1614" spans="3:20" ht="39.75" customHeight="1">
      <c r="C1614" s="196">
        <v>1611</v>
      </c>
      <c r="D1614" s="127"/>
      <c r="E1614" s="129"/>
      <c r="F1614" s="128"/>
      <c r="G1614" s="129"/>
      <c r="H1614" s="129"/>
      <c r="I1614" s="166"/>
      <c r="J1614" s="180"/>
      <c r="K1614" s="128"/>
      <c r="L1614" s="127"/>
      <c r="M1614" s="168"/>
      <c r="N1614" s="173"/>
      <c r="O1614" s="141"/>
      <c r="P1614" s="140"/>
      <c r="Q1614" s="142"/>
      <c r="R1614" s="140"/>
      <c r="S1614" s="142"/>
      <c r="T1614" s="140"/>
    </row>
    <row r="1615" spans="3:20" ht="39.75" customHeight="1">
      <c r="C1615" s="196">
        <v>1612</v>
      </c>
      <c r="D1615" s="127"/>
      <c r="E1615" s="129"/>
      <c r="F1615" s="128"/>
      <c r="G1615" s="129"/>
      <c r="H1615" s="129"/>
      <c r="I1615" s="166"/>
      <c r="J1615" s="180"/>
      <c r="K1615" s="128"/>
      <c r="L1615" s="127"/>
      <c r="M1615" s="168"/>
      <c r="N1615" s="173"/>
      <c r="O1615" s="141"/>
      <c r="P1615" s="140"/>
      <c r="Q1615" s="142"/>
      <c r="R1615" s="140"/>
      <c r="S1615" s="142"/>
      <c r="T1615" s="140"/>
    </row>
    <row r="1616" spans="3:20" ht="39.75" customHeight="1">
      <c r="C1616" s="196">
        <v>1613</v>
      </c>
      <c r="D1616" s="127"/>
      <c r="E1616" s="129"/>
      <c r="F1616" s="128"/>
      <c r="G1616" s="129"/>
      <c r="H1616" s="129"/>
      <c r="I1616" s="166"/>
      <c r="J1616" s="180"/>
      <c r="K1616" s="128"/>
      <c r="L1616" s="127"/>
      <c r="M1616" s="168"/>
      <c r="N1616" s="173"/>
      <c r="O1616" s="141"/>
      <c r="P1616" s="140"/>
      <c r="Q1616" s="142"/>
      <c r="R1616" s="140"/>
      <c r="S1616" s="142"/>
      <c r="T1616" s="140"/>
    </row>
    <row r="1617" spans="3:20" ht="39.75" customHeight="1">
      <c r="C1617" s="196">
        <v>1614</v>
      </c>
      <c r="D1617" s="127"/>
      <c r="E1617" s="129"/>
      <c r="F1617" s="128"/>
      <c r="G1617" s="129"/>
      <c r="H1617" s="129"/>
      <c r="I1617" s="166"/>
      <c r="J1617" s="180"/>
      <c r="K1617" s="128"/>
      <c r="L1617" s="127"/>
      <c r="M1617" s="168"/>
      <c r="N1617" s="173"/>
      <c r="O1617" s="141"/>
      <c r="P1617" s="140"/>
      <c r="Q1617" s="142"/>
      <c r="R1617" s="140"/>
      <c r="S1617" s="142"/>
      <c r="T1617" s="140"/>
    </row>
    <row r="1618" spans="3:20" ht="39.75" customHeight="1">
      <c r="C1618" s="196">
        <v>1615</v>
      </c>
      <c r="D1618" s="127"/>
      <c r="E1618" s="129"/>
      <c r="F1618" s="128"/>
      <c r="G1618" s="129"/>
      <c r="H1618" s="129"/>
      <c r="I1618" s="166"/>
      <c r="J1618" s="180"/>
      <c r="K1618" s="128"/>
      <c r="L1618" s="127"/>
      <c r="M1618" s="168"/>
      <c r="N1618" s="173"/>
      <c r="O1618" s="141"/>
      <c r="P1618" s="140"/>
      <c r="Q1618" s="142"/>
      <c r="R1618" s="140"/>
      <c r="S1618" s="142"/>
      <c r="T1618" s="140"/>
    </row>
    <row r="1619" spans="3:20" ht="39.75" customHeight="1">
      <c r="C1619" s="196">
        <v>1616</v>
      </c>
      <c r="D1619" s="127"/>
      <c r="E1619" s="129"/>
      <c r="F1619" s="128"/>
      <c r="G1619" s="129"/>
      <c r="H1619" s="129"/>
      <c r="I1619" s="166"/>
      <c r="J1619" s="180"/>
      <c r="K1619" s="128"/>
      <c r="L1619" s="127"/>
      <c r="M1619" s="168"/>
      <c r="N1619" s="173"/>
      <c r="O1619" s="141"/>
      <c r="P1619" s="140"/>
      <c r="Q1619" s="142"/>
      <c r="R1619" s="140"/>
      <c r="S1619" s="142"/>
      <c r="T1619" s="140"/>
    </row>
    <row r="1620" spans="3:20" ht="39.75" customHeight="1">
      <c r="C1620" s="196">
        <v>1617</v>
      </c>
      <c r="D1620" s="127"/>
      <c r="E1620" s="129"/>
      <c r="F1620" s="128"/>
      <c r="G1620" s="129"/>
      <c r="H1620" s="129"/>
      <c r="I1620" s="166"/>
      <c r="J1620" s="180"/>
      <c r="K1620" s="128"/>
      <c r="L1620" s="127"/>
      <c r="M1620" s="168"/>
      <c r="N1620" s="173"/>
      <c r="O1620" s="141"/>
      <c r="P1620" s="140"/>
      <c r="Q1620" s="142"/>
      <c r="R1620" s="140"/>
      <c r="S1620" s="142"/>
      <c r="T1620" s="140"/>
    </row>
    <row r="1621" spans="3:20" ht="39.75" customHeight="1">
      <c r="C1621" s="196">
        <v>1618</v>
      </c>
      <c r="D1621" s="127"/>
      <c r="E1621" s="129"/>
      <c r="F1621" s="128"/>
      <c r="G1621" s="129"/>
      <c r="H1621" s="129"/>
      <c r="I1621" s="166"/>
      <c r="J1621" s="180"/>
      <c r="K1621" s="128"/>
      <c r="L1621" s="127"/>
      <c r="M1621" s="168"/>
      <c r="N1621" s="173"/>
      <c r="O1621" s="141"/>
      <c r="P1621" s="140"/>
      <c r="Q1621" s="142"/>
      <c r="R1621" s="140"/>
      <c r="S1621" s="142"/>
      <c r="T1621" s="140"/>
    </row>
    <row r="1622" spans="3:20" ht="39.75" customHeight="1">
      <c r="C1622" s="196">
        <v>1619</v>
      </c>
      <c r="D1622" s="127"/>
      <c r="E1622" s="129"/>
      <c r="F1622" s="128"/>
      <c r="G1622" s="129"/>
      <c r="H1622" s="129"/>
      <c r="I1622" s="166"/>
      <c r="J1622" s="180"/>
      <c r="K1622" s="128"/>
      <c r="L1622" s="127"/>
      <c r="M1622" s="168"/>
      <c r="N1622" s="173"/>
      <c r="O1622" s="141"/>
      <c r="P1622" s="140"/>
      <c r="Q1622" s="142"/>
      <c r="R1622" s="140"/>
      <c r="S1622" s="142"/>
      <c r="T1622" s="140"/>
    </row>
    <row r="1623" spans="3:20" ht="39.75" customHeight="1">
      <c r="C1623" s="196">
        <v>1620</v>
      </c>
      <c r="D1623" s="127"/>
      <c r="E1623" s="129"/>
      <c r="F1623" s="128"/>
      <c r="G1623" s="129"/>
      <c r="H1623" s="129"/>
      <c r="I1623" s="166"/>
      <c r="J1623" s="180"/>
      <c r="K1623" s="128"/>
      <c r="L1623" s="127"/>
      <c r="M1623" s="168"/>
      <c r="N1623" s="173"/>
      <c r="O1623" s="141"/>
      <c r="P1623" s="140"/>
      <c r="Q1623" s="142"/>
      <c r="R1623" s="140"/>
      <c r="S1623" s="142"/>
      <c r="T1623" s="140"/>
    </row>
    <row r="1624" spans="3:20" ht="39.75" customHeight="1">
      <c r="C1624" s="196">
        <v>1621</v>
      </c>
      <c r="D1624" s="127"/>
      <c r="E1624" s="129"/>
      <c r="F1624" s="128"/>
      <c r="G1624" s="129"/>
      <c r="H1624" s="129"/>
      <c r="I1624" s="166"/>
      <c r="J1624" s="180"/>
      <c r="K1624" s="128"/>
      <c r="L1624" s="127"/>
      <c r="M1624" s="168"/>
      <c r="N1624" s="173"/>
      <c r="O1624" s="141"/>
      <c r="P1624" s="140"/>
      <c r="Q1624" s="142"/>
      <c r="R1624" s="140"/>
      <c r="S1624" s="142"/>
      <c r="T1624" s="140"/>
    </row>
    <row r="1625" spans="3:20" ht="39.75" customHeight="1">
      <c r="C1625" s="196">
        <v>1622</v>
      </c>
      <c r="D1625" s="127"/>
      <c r="E1625" s="129"/>
      <c r="F1625" s="128"/>
      <c r="G1625" s="129"/>
      <c r="H1625" s="129"/>
      <c r="I1625" s="166"/>
      <c r="J1625" s="180"/>
      <c r="K1625" s="128"/>
      <c r="L1625" s="127"/>
      <c r="M1625" s="168"/>
      <c r="N1625" s="173"/>
      <c r="O1625" s="141"/>
      <c r="P1625" s="140"/>
      <c r="Q1625" s="142"/>
      <c r="R1625" s="140"/>
      <c r="S1625" s="142"/>
      <c r="T1625" s="140"/>
    </row>
    <row r="1626" spans="3:20" ht="39.75" customHeight="1">
      <c r="C1626" s="196">
        <v>1623</v>
      </c>
      <c r="D1626" s="127"/>
      <c r="E1626" s="129"/>
      <c r="F1626" s="128"/>
      <c r="G1626" s="129"/>
      <c r="H1626" s="129"/>
      <c r="I1626" s="166"/>
      <c r="J1626" s="180"/>
      <c r="K1626" s="128"/>
      <c r="L1626" s="127"/>
      <c r="M1626" s="168"/>
      <c r="N1626" s="173"/>
      <c r="O1626" s="141"/>
      <c r="P1626" s="140"/>
      <c r="Q1626" s="142"/>
      <c r="R1626" s="140"/>
      <c r="S1626" s="142"/>
      <c r="T1626" s="140"/>
    </row>
    <row r="1627" spans="3:20" ht="39.75" customHeight="1">
      <c r="C1627" s="196">
        <v>1624</v>
      </c>
      <c r="D1627" s="127"/>
      <c r="E1627" s="129"/>
      <c r="F1627" s="128"/>
      <c r="G1627" s="129"/>
      <c r="H1627" s="129"/>
      <c r="I1627" s="166"/>
      <c r="J1627" s="180"/>
      <c r="K1627" s="128"/>
      <c r="L1627" s="127"/>
      <c r="M1627" s="168"/>
      <c r="N1627" s="173"/>
      <c r="O1627" s="141"/>
      <c r="P1627" s="140"/>
      <c r="Q1627" s="142"/>
      <c r="R1627" s="140"/>
      <c r="S1627" s="142"/>
      <c r="T1627" s="140"/>
    </row>
    <row r="1628" spans="3:20" ht="39.75" customHeight="1">
      <c r="C1628" s="196">
        <v>1625</v>
      </c>
      <c r="D1628" s="127"/>
      <c r="E1628" s="129"/>
      <c r="F1628" s="128"/>
      <c r="G1628" s="129"/>
      <c r="H1628" s="129"/>
      <c r="I1628" s="166"/>
      <c r="J1628" s="180"/>
      <c r="K1628" s="128"/>
      <c r="L1628" s="127"/>
      <c r="M1628" s="168"/>
      <c r="N1628" s="173"/>
      <c r="O1628" s="141"/>
      <c r="P1628" s="140"/>
      <c r="Q1628" s="142"/>
      <c r="R1628" s="140"/>
      <c r="S1628" s="142"/>
      <c r="T1628" s="140"/>
    </row>
    <row r="1629" spans="3:20" ht="39.75" customHeight="1">
      <c r="C1629" s="196">
        <v>1626</v>
      </c>
      <c r="D1629" s="127"/>
      <c r="E1629" s="129"/>
      <c r="F1629" s="128"/>
      <c r="G1629" s="129"/>
      <c r="H1629" s="129"/>
      <c r="I1629" s="166"/>
      <c r="J1629" s="180"/>
      <c r="K1629" s="128"/>
      <c r="L1629" s="127"/>
      <c r="M1629" s="168"/>
      <c r="N1629" s="173"/>
      <c r="O1629" s="141"/>
      <c r="P1629" s="140"/>
      <c r="Q1629" s="142"/>
      <c r="R1629" s="140"/>
      <c r="S1629" s="142"/>
      <c r="T1629" s="140"/>
    </row>
    <row r="1630" spans="3:20" ht="39.75" customHeight="1">
      <c r="C1630" s="196">
        <v>1627</v>
      </c>
      <c r="D1630" s="127"/>
      <c r="E1630" s="129"/>
      <c r="F1630" s="128"/>
      <c r="G1630" s="129"/>
      <c r="H1630" s="129"/>
      <c r="I1630" s="166"/>
      <c r="J1630" s="180"/>
      <c r="K1630" s="128"/>
      <c r="L1630" s="127"/>
      <c r="M1630" s="168"/>
      <c r="N1630" s="173"/>
      <c r="O1630" s="141"/>
      <c r="P1630" s="140"/>
      <c r="Q1630" s="142"/>
      <c r="R1630" s="140"/>
      <c r="S1630" s="142"/>
      <c r="T1630" s="140"/>
    </row>
    <row r="1631" spans="3:20" ht="39.75" customHeight="1">
      <c r="C1631" s="196">
        <v>1628</v>
      </c>
      <c r="D1631" s="127"/>
      <c r="E1631" s="129"/>
      <c r="F1631" s="128"/>
      <c r="G1631" s="129"/>
      <c r="H1631" s="129"/>
      <c r="I1631" s="166"/>
      <c r="J1631" s="180"/>
      <c r="K1631" s="128"/>
      <c r="L1631" s="127"/>
      <c r="M1631" s="168"/>
      <c r="N1631" s="173"/>
      <c r="O1631" s="141"/>
      <c r="P1631" s="140"/>
      <c r="Q1631" s="142"/>
      <c r="R1631" s="140"/>
      <c r="S1631" s="142"/>
      <c r="T1631" s="140"/>
    </row>
    <row r="1632" spans="3:20" ht="39.75" customHeight="1">
      <c r="C1632" s="196">
        <v>1629</v>
      </c>
      <c r="D1632" s="127"/>
      <c r="E1632" s="129"/>
      <c r="F1632" s="128"/>
      <c r="G1632" s="129"/>
      <c r="H1632" s="129"/>
      <c r="I1632" s="166"/>
      <c r="J1632" s="180"/>
      <c r="K1632" s="128"/>
      <c r="L1632" s="127"/>
      <c r="M1632" s="168"/>
      <c r="N1632" s="173"/>
      <c r="O1632" s="141"/>
      <c r="P1632" s="140"/>
      <c r="Q1632" s="142"/>
      <c r="R1632" s="140"/>
      <c r="S1632" s="142"/>
      <c r="T1632" s="140"/>
    </row>
    <row r="1633" spans="3:20" ht="39.75" customHeight="1">
      <c r="C1633" s="196">
        <v>1630</v>
      </c>
      <c r="D1633" s="127"/>
      <c r="E1633" s="129"/>
      <c r="F1633" s="128"/>
      <c r="G1633" s="129"/>
      <c r="H1633" s="129"/>
      <c r="I1633" s="166"/>
      <c r="J1633" s="180"/>
      <c r="K1633" s="128"/>
      <c r="L1633" s="127"/>
      <c r="M1633" s="168"/>
      <c r="N1633" s="173"/>
      <c r="O1633" s="141"/>
      <c r="P1633" s="140"/>
      <c r="Q1633" s="142"/>
      <c r="R1633" s="140"/>
      <c r="S1633" s="142"/>
      <c r="T1633" s="140"/>
    </row>
    <row r="1634" spans="3:20" ht="39.75" customHeight="1">
      <c r="C1634" s="196">
        <v>1631</v>
      </c>
      <c r="D1634" s="127"/>
      <c r="E1634" s="129"/>
      <c r="F1634" s="128"/>
      <c r="G1634" s="129"/>
      <c r="H1634" s="129"/>
      <c r="I1634" s="166"/>
      <c r="J1634" s="180"/>
      <c r="K1634" s="128"/>
      <c r="L1634" s="127"/>
      <c r="M1634" s="168"/>
      <c r="N1634" s="173"/>
      <c r="O1634" s="141"/>
      <c r="P1634" s="140"/>
      <c r="Q1634" s="142"/>
      <c r="R1634" s="140"/>
      <c r="S1634" s="142"/>
      <c r="T1634" s="140"/>
    </row>
    <row r="1635" spans="3:20" ht="39.75" customHeight="1">
      <c r="C1635" s="196">
        <v>1632</v>
      </c>
      <c r="D1635" s="127"/>
      <c r="E1635" s="129"/>
      <c r="F1635" s="128"/>
      <c r="G1635" s="129"/>
      <c r="H1635" s="129"/>
      <c r="I1635" s="166"/>
      <c r="J1635" s="180"/>
      <c r="K1635" s="128"/>
      <c r="L1635" s="127"/>
      <c r="M1635" s="168"/>
      <c r="N1635" s="173"/>
      <c r="O1635" s="141"/>
      <c r="P1635" s="140"/>
      <c r="Q1635" s="142"/>
      <c r="R1635" s="140"/>
      <c r="S1635" s="142"/>
      <c r="T1635" s="140"/>
    </row>
    <row r="1636" spans="3:20" ht="39.75" customHeight="1">
      <c r="C1636" s="196">
        <v>1633</v>
      </c>
      <c r="D1636" s="127"/>
      <c r="E1636" s="129"/>
      <c r="F1636" s="128"/>
      <c r="G1636" s="129"/>
      <c r="H1636" s="129"/>
      <c r="I1636" s="166"/>
      <c r="J1636" s="180"/>
      <c r="K1636" s="128"/>
      <c r="L1636" s="127"/>
      <c r="M1636" s="168"/>
      <c r="N1636" s="173"/>
      <c r="O1636" s="141"/>
      <c r="P1636" s="140"/>
      <c r="Q1636" s="142"/>
      <c r="R1636" s="140"/>
      <c r="S1636" s="142"/>
      <c r="T1636" s="140"/>
    </row>
    <row r="1637" spans="3:20" ht="39.75" customHeight="1">
      <c r="C1637" s="196">
        <v>1634</v>
      </c>
      <c r="D1637" s="127"/>
      <c r="E1637" s="129"/>
      <c r="F1637" s="128"/>
      <c r="G1637" s="129"/>
      <c r="H1637" s="129"/>
      <c r="I1637" s="166"/>
      <c r="J1637" s="180"/>
      <c r="K1637" s="128"/>
      <c r="L1637" s="127"/>
      <c r="M1637" s="168"/>
      <c r="N1637" s="173"/>
      <c r="O1637" s="141"/>
      <c r="P1637" s="140"/>
      <c r="Q1637" s="142"/>
      <c r="R1637" s="140"/>
      <c r="S1637" s="142"/>
      <c r="T1637" s="140"/>
    </row>
    <row r="1638" spans="3:20" ht="39.75" customHeight="1">
      <c r="C1638" s="196">
        <v>1635</v>
      </c>
      <c r="D1638" s="127"/>
      <c r="E1638" s="129"/>
      <c r="F1638" s="128"/>
      <c r="G1638" s="129"/>
      <c r="H1638" s="129"/>
      <c r="I1638" s="166"/>
      <c r="J1638" s="180"/>
      <c r="K1638" s="128"/>
      <c r="L1638" s="127"/>
      <c r="M1638" s="168"/>
      <c r="N1638" s="173"/>
      <c r="O1638" s="141"/>
      <c r="P1638" s="140"/>
      <c r="Q1638" s="142"/>
      <c r="R1638" s="140"/>
      <c r="S1638" s="142"/>
      <c r="T1638" s="140"/>
    </row>
    <row r="1639" spans="3:20" ht="39.75" customHeight="1">
      <c r="C1639" s="196">
        <v>1636</v>
      </c>
      <c r="D1639" s="127"/>
      <c r="E1639" s="129"/>
      <c r="F1639" s="128"/>
      <c r="G1639" s="129"/>
      <c r="H1639" s="129"/>
      <c r="I1639" s="166"/>
      <c r="J1639" s="180"/>
      <c r="K1639" s="128"/>
      <c r="L1639" s="127"/>
      <c r="M1639" s="168"/>
      <c r="N1639" s="173"/>
      <c r="O1639" s="141"/>
      <c r="P1639" s="140"/>
      <c r="Q1639" s="142"/>
      <c r="R1639" s="140"/>
      <c r="S1639" s="142"/>
      <c r="T1639" s="140"/>
    </row>
    <row r="1640" spans="3:20" ht="39.75" customHeight="1">
      <c r="C1640" s="196">
        <v>1637</v>
      </c>
      <c r="D1640" s="127"/>
      <c r="E1640" s="129"/>
      <c r="F1640" s="128"/>
      <c r="G1640" s="129"/>
      <c r="H1640" s="129"/>
      <c r="I1640" s="166"/>
      <c r="J1640" s="180"/>
      <c r="K1640" s="128"/>
      <c r="L1640" s="127"/>
      <c r="M1640" s="168"/>
      <c r="N1640" s="173"/>
      <c r="O1640" s="141"/>
      <c r="P1640" s="140"/>
      <c r="Q1640" s="142"/>
      <c r="R1640" s="140"/>
      <c r="S1640" s="142"/>
      <c r="T1640" s="140"/>
    </row>
    <row r="1641" spans="3:20" ht="39.75" customHeight="1">
      <c r="C1641" s="196">
        <v>1638</v>
      </c>
      <c r="D1641" s="127"/>
      <c r="E1641" s="129"/>
      <c r="F1641" s="128"/>
      <c r="G1641" s="129"/>
      <c r="H1641" s="129"/>
      <c r="I1641" s="166"/>
      <c r="J1641" s="180"/>
      <c r="K1641" s="128"/>
      <c r="L1641" s="127"/>
      <c r="M1641" s="168"/>
      <c r="N1641" s="173"/>
      <c r="O1641" s="141"/>
      <c r="P1641" s="140"/>
      <c r="Q1641" s="142"/>
      <c r="R1641" s="140"/>
      <c r="S1641" s="142"/>
      <c r="T1641" s="140"/>
    </row>
    <row r="1642" spans="3:20" ht="39.75" customHeight="1">
      <c r="C1642" s="196">
        <v>1639</v>
      </c>
      <c r="D1642" s="127"/>
      <c r="E1642" s="129"/>
      <c r="F1642" s="128"/>
      <c r="G1642" s="129"/>
      <c r="H1642" s="129"/>
      <c r="I1642" s="166"/>
      <c r="J1642" s="180"/>
      <c r="K1642" s="128"/>
      <c r="L1642" s="127"/>
      <c r="M1642" s="168"/>
      <c r="N1642" s="173"/>
      <c r="O1642" s="141"/>
      <c r="P1642" s="140"/>
      <c r="Q1642" s="142"/>
      <c r="R1642" s="140"/>
      <c r="S1642" s="142"/>
      <c r="T1642" s="140"/>
    </row>
    <row r="1643" spans="3:20" ht="39.75" customHeight="1">
      <c r="C1643" s="196">
        <v>1640</v>
      </c>
      <c r="D1643" s="127"/>
      <c r="E1643" s="129"/>
      <c r="F1643" s="128"/>
      <c r="G1643" s="129"/>
      <c r="H1643" s="129"/>
      <c r="I1643" s="166"/>
      <c r="J1643" s="180"/>
      <c r="K1643" s="128"/>
      <c r="L1643" s="127"/>
      <c r="M1643" s="168"/>
      <c r="N1643" s="173"/>
      <c r="O1643" s="141"/>
      <c r="P1643" s="140"/>
      <c r="Q1643" s="142"/>
      <c r="R1643" s="140"/>
      <c r="S1643" s="142"/>
      <c r="T1643" s="140"/>
    </row>
    <row r="1644" spans="3:20" ht="39.75" customHeight="1">
      <c r="C1644" s="196">
        <v>1641</v>
      </c>
      <c r="D1644" s="127"/>
      <c r="E1644" s="129"/>
      <c r="F1644" s="128"/>
      <c r="G1644" s="129"/>
      <c r="H1644" s="129"/>
      <c r="I1644" s="166"/>
      <c r="J1644" s="180"/>
      <c r="K1644" s="128"/>
      <c r="L1644" s="127"/>
      <c r="M1644" s="168"/>
      <c r="N1644" s="173"/>
      <c r="O1644" s="141"/>
      <c r="P1644" s="140"/>
      <c r="Q1644" s="142"/>
      <c r="R1644" s="140"/>
      <c r="S1644" s="142"/>
      <c r="T1644" s="140"/>
    </row>
    <row r="1645" spans="3:20" ht="39.75" customHeight="1">
      <c r="C1645" s="196">
        <v>1642</v>
      </c>
      <c r="D1645" s="127"/>
      <c r="E1645" s="129"/>
      <c r="F1645" s="128"/>
      <c r="G1645" s="129"/>
      <c r="H1645" s="129"/>
      <c r="I1645" s="166"/>
      <c r="J1645" s="180"/>
      <c r="K1645" s="128"/>
      <c r="L1645" s="127"/>
      <c r="M1645" s="168"/>
      <c r="N1645" s="173"/>
      <c r="O1645" s="141"/>
      <c r="P1645" s="140"/>
      <c r="Q1645" s="142"/>
      <c r="R1645" s="140"/>
      <c r="S1645" s="142"/>
      <c r="T1645" s="140"/>
    </row>
    <row r="1646" spans="3:20" ht="39.75" customHeight="1">
      <c r="C1646" s="196">
        <v>1643</v>
      </c>
      <c r="D1646" s="127"/>
      <c r="E1646" s="129"/>
      <c r="F1646" s="128"/>
      <c r="G1646" s="129"/>
      <c r="H1646" s="129"/>
      <c r="I1646" s="166"/>
      <c r="J1646" s="180"/>
      <c r="K1646" s="128"/>
      <c r="L1646" s="127"/>
      <c r="M1646" s="168"/>
      <c r="N1646" s="173"/>
      <c r="O1646" s="141"/>
      <c r="P1646" s="140"/>
      <c r="Q1646" s="142"/>
      <c r="R1646" s="140"/>
      <c r="S1646" s="142"/>
      <c r="T1646" s="140"/>
    </row>
    <row r="1647" spans="3:20" ht="39.75" customHeight="1">
      <c r="C1647" s="196">
        <v>1644</v>
      </c>
      <c r="D1647" s="127"/>
      <c r="E1647" s="129"/>
      <c r="F1647" s="128"/>
      <c r="G1647" s="129"/>
      <c r="H1647" s="129"/>
      <c r="I1647" s="166"/>
      <c r="J1647" s="180"/>
      <c r="K1647" s="128"/>
      <c r="L1647" s="127"/>
      <c r="M1647" s="168"/>
      <c r="N1647" s="173"/>
      <c r="O1647" s="141"/>
      <c r="P1647" s="140"/>
      <c r="Q1647" s="142"/>
      <c r="R1647" s="140"/>
      <c r="S1647" s="142"/>
      <c r="T1647" s="140"/>
    </row>
    <row r="1648" spans="3:20" ht="39.75" customHeight="1">
      <c r="C1648" s="196">
        <v>1645</v>
      </c>
      <c r="D1648" s="127"/>
      <c r="E1648" s="129"/>
      <c r="F1648" s="128"/>
      <c r="G1648" s="129"/>
      <c r="H1648" s="129"/>
      <c r="I1648" s="166"/>
      <c r="J1648" s="180"/>
      <c r="K1648" s="128"/>
      <c r="L1648" s="127"/>
      <c r="M1648" s="168"/>
      <c r="N1648" s="173"/>
      <c r="O1648" s="141"/>
      <c r="P1648" s="140"/>
      <c r="Q1648" s="142"/>
      <c r="R1648" s="140"/>
      <c r="S1648" s="142"/>
      <c r="T1648" s="140"/>
    </row>
    <row r="1649" spans="3:20" ht="39.75" customHeight="1">
      <c r="C1649" s="196">
        <v>1646</v>
      </c>
      <c r="D1649" s="127"/>
      <c r="E1649" s="129"/>
      <c r="F1649" s="128"/>
      <c r="G1649" s="129"/>
      <c r="H1649" s="129"/>
      <c r="I1649" s="166"/>
      <c r="J1649" s="180"/>
      <c r="K1649" s="128"/>
      <c r="L1649" s="127"/>
      <c r="M1649" s="168"/>
      <c r="N1649" s="173"/>
      <c r="O1649" s="141"/>
      <c r="P1649" s="140"/>
      <c r="Q1649" s="142"/>
      <c r="R1649" s="140"/>
      <c r="S1649" s="142"/>
      <c r="T1649" s="140"/>
    </row>
    <row r="1650" spans="3:20" ht="39.75" customHeight="1">
      <c r="C1650" s="196">
        <v>1647</v>
      </c>
      <c r="D1650" s="127"/>
      <c r="E1650" s="129"/>
      <c r="F1650" s="128"/>
      <c r="G1650" s="129"/>
      <c r="H1650" s="129"/>
      <c r="I1650" s="166"/>
      <c r="J1650" s="180"/>
      <c r="K1650" s="128"/>
      <c r="L1650" s="127"/>
      <c r="M1650" s="168"/>
      <c r="N1650" s="173"/>
      <c r="O1650" s="141"/>
      <c r="P1650" s="140"/>
      <c r="Q1650" s="142"/>
      <c r="R1650" s="140"/>
      <c r="S1650" s="142"/>
      <c r="T1650" s="140"/>
    </row>
    <row r="1651" spans="3:20" ht="39.75" customHeight="1">
      <c r="C1651" s="196">
        <v>1648</v>
      </c>
      <c r="D1651" s="127"/>
      <c r="E1651" s="129"/>
      <c r="F1651" s="128"/>
      <c r="G1651" s="129"/>
      <c r="H1651" s="129"/>
      <c r="I1651" s="166"/>
      <c r="J1651" s="180"/>
      <c r="K1651" s="128"/>
      <c r="L1651" s="127"/>
      <c r="M1651" s="168"/>
      <c r="N1651" s="173"/>
      <c r="O1651" s="141"/>
      <c r="P1651" s="140"/>
      <c r="Q1651" s="142"/>
      <c r="R1651" s="140"/>
      <c r="S1651" s="142"/>
      <c r="T1651" s="140"/>
    </row>
    <row r="1652" spans="3:20" ht="39.75" customHeight="1">
      <c r="C1652" s="196">
        <v>1649</v>
      </c>
      <c r="D1652" s="127"/>
      <c r="E1652" s="129"/>
      <c r="F1652" s="128"/>
      <c r="G1652" s="129"/>
      <c r="H1652" s="129"/>
      <c r="I1652" s="166"/>
      <c r="J1652" s="180"/>
      <c r="K1652" s="128"/>
      <c r="L1652" s="127"/>
      <c r="M1652" s="168"/>
      <c r="N1652" s="173"/>
      <c r="O1652" s="141"/>
      <c r="P1652" s="140"/>
      <c r="Q1652" s="142"/>
      <c r="R1652" s="140"/>
      <c r="S1652" s="142"/>
      <c r="T1652" s="140"/>
    </row>
    <row r="1653" spans="3:20" ht="39.75" customHeight="1">
      <c r="C1653" s="196">
        <v>1650</v>
      </c>
      <c r="D1653" s="127"/>
      <c r="E1653" s="129"/>
      <c r="F1653" s="128"/>
      <c r="G1653" s="129"/>
      <c r="H1653" s="129"/>
      <c r="I1653" s="166"/>
      <c r="J1653" s="180"/>
      <c r="K1653" s="128"/>
      <c r="L1653" s="127"/>
      <c r="M1653" s="168"/>
      <c r="N1653" s="173"/>
      <c r="O1653" s="141"/>
      <c r="P1653" s="140"/>
      <c r="Q1653" s="142"/>
      <c r="R1653" s="140"/>
      <c r="S1653" s="142"/>
      <c r="T1653" s="140"/>
    </row>
    <row r="1654" spans="3:20" ht="39.75" customHeight="1">
      <c r="C1654" s="196">
        <v>1651</v>
      </c>
      <c r="D1654" s="127"/>
      <c r="E1654" s="129"/>
      <c r="F1654" s="128"/>
      <c r="G1654" s="129"/>
      <c r="H1654" s="129"/>
      <c r="I1654" s="166"/>
      <c r="J1654" s="180"/>
      <c r="K1654" s="128"/>
      <c r="L1654" s="127"/>
      <c r="M1654" s="168"/>
      <c r="N1654" s="173"/>
      <c r="O1654" s="141"/>
      <c r="P1654" s="140"/>
      <c r="Q1654" s="142"/>
      <c r="R1654" s="140"/>
      <c r="S1654" s="142"/>
      <c r="T1654" s="140"/>
    </row>
    <row r="1655" spans="3:20" ht="39.75" customHeight="1">
      <c r="C1655" s="196">
        <v>1652</v>
      </c>
      <c r="D1655" s="127"/>
      <c r="E1655" s="129"/>
      <c r="F1655" s="128"/>
      <c r="G1655" s="129"/>
      <c r="H1655" s="129"/>
      <c r="I1655" s="166"/>
      <c r="J1655" s="180"/>
      <c r="K1655" s="128"/>
      <c r="L1655" s="127"/>
      <c r="M1655" s="168"/>
      <c r="N1655" s="173"/>
      <c r="O1655" s="141"/>
      <c r="P1655" s="140"/>
      <c r="Q1655" s="142"/>
      <c r="R1655" s="140"/>
      <c r="S1655" s="142"/>
      <c r="T1655" s="140"/>
    </row>
    <row r="1656" spans="3:20" ht="39.75" customHeight="1">
      <c r="C1656" s="196">
        <v>1653</v>
      </c>
      <c r="D1656" s="127"/>
      <c r="E1656" s="129"/>
      <c r="F1656" s="128"/>
      <c r="G1656" s="129"/>
      <c r="H1656" s="129"/>
      <c r="I1656" s="166"/>
      <c r="J1656" s="180"/>
      <c r="K1656" s="128"/>
      <c r="L1656" s="127"/>
      <c r="M1656" s="168"/>
      <c r="N1656" s="173"/>
      <c r="O1656" s="141"/>
      <c r="P1656" s="140"/>
      <c r="Q1656" s="142"/>
      <c r="R1656" s="140"/>
      <c r="S1656" s="142"/>
      <c r="T1656" s="140"/>
    </row>
    <row r="1657" spans="3:20" ht="39.75" customHeight="1">
      <c r="C1657" s="196">
        <v>1654</v>
      </c>
      <c r="D1657" s="127"/>
      <c r="E1657" s="129"/>
      <c r="F1657" s="128"/>
      <c r="G1657" s="129"/>
      <c r="H1657" s="129"/>
      <c r="I1657" s="166"/>
      <c r="J1657" s="180"/>
      <c r="K1657" s="128"/>
      <c r="L1657" s="127"/>
      <c r="M1657" s="168"/>
      <c r="N1657" s="173"/>
      <c r="O1657" s="141"/>
      <c r="P1657" s="140"/>
      <c r="Q1657" s="142"/>
      <c r="R1657" s="140"/>
      <c r="S1657" s="142"/>
      <c r="T1657" s="140"/>
    </row>
    <row r="1658" spans="3:20" ht="39.75" customHeight="1">
      <c r="C1658" s="196">
        <v>1655</v>
      </c>
      <c r="D1658" s="127"/>
      <c r="E1658" s="129"/>
      <c r="F1658" s="128"/>
      <c r="G1658" s="129"/>
      <c r="H1658" s="129"/>
      <c r="I1658" s="166"/>
      <c r="J1658" s="180"/>
      <c r="K1658" s="128"/>
      <c r="L1658" s="127"/>
      <c r="M1658" s="168"/>
      <c r="N1658" s="173"/>
      <c r="O1658" s="141"/>
      <c r="P1658" s="140"/>
      <c r="Q1658" s="142"/>
      <c r="R1658" s="140"/>
      <c r="S1658" s="142"/>
      <c r="T1658" s="140"/>
    </row>
    <row r="1659" spans="3:20" ht="39.75" customHeight="1">
      <c r="C1659" s="196">
        <v>1656</v>
      </c>
      <c r="D1659" s="127"/>
      <c r="E1659" s="129"/>
      <c r="F1659" s="128"/>
      <c r="G1659" s="129"/>
      <c r="H1659" s="129"/>
      <c r="I1659" s="166"/>
      <c r="J1659" s="180"/>
      <c r="K1659" s="128"/>
      <c r="L1659" s="127"/>
      <c r="M1659" s="168"/>
      <c r="N1659" s="173"/>
      <c r="O1659" s="141"/>
      <c r="P1659" s="140"/>
      <c r="Q1659" s="142"/>
      <c r="R1659" s="140"/>
      <c r="S1659" s="142"/>
      <c r="T1659" s="140"/>
    </row>
    <row r="1660" spans="3:20" ht="39.75" customHeight="1">
      <c r="C1660" s="196">
        <v>1657</v>
      </c>
      <c r="D1660" s="127"/>
      <c r="E1660" s="129"/>
      <c r="F1660" s="128"/>
      <c r="G1660" s="129"/>
      <c r="H1660" s="129"/>
      <c r="I1660" s="166"/>
      <c r="J1660" s="180"/>
      <c r="K1660" s="128"/>
      <c r="L1660" s="127"/>
      <c r="M1660" s="168"/>
      <c r="N1660" s="173"/>
      <c r="O1660" s="141"/>
      <c r="P1660" s="140"/>
      <c r="Q1660" s="142"/>
      <c r="R1660" s="140"/>
      <c r="S1660" s="142"/>
      <c r="T1660" s="140"/>
    </row>
    <row r="1661" spans="3:20" ht="39.75" customHeight="1">
      <c r="C1661" s="196">
        <v>1658</v>
      </c>
      <c r="D1661" s="127"/>
      <c r="E1661" s="129"/>
      <c r="F1661" s="128"/>
      <c r="G1661" s="129"/>
      <c r="H1661" s="129"/>
      <c r="I1661" s="166"/>
      <c r="J1661" s="180"/>
      <c r="K1661" s="128"/>
      <c r="L1661" s="127"/>
      <c r="M1661" s="168"/>
      <c r="N1661" s="173"/>
      <c r="O1661" s="141"/>
      <c r="P1661" s="140"/>
      <c r="Q1661" s="142"/>
      <c r="R1661" s="140"/>
      <c r="S1661" s="142"/>
      <c r="T1661" s="140"/>
    </row>
    <row r="1662" spans="3:20" ht="39.75" customHeight="1">
      <c r="C1662" s="196">
        <v>1659</v>
      </c>
      <c r="D1662" s="127"/>
      <c r="E1662" s="129"/>
      <c r="F1662" s="128"/>
      <c r="G1662" s="129"/>
      <c r="H1662" s="129"/>
      <c r="I1662" s="166"/>
      <c r="J1662" s="180"/>
      <c r="K1662" s="128"/>
      <c r="L1662" s="127"/>
      <c r="M1662" s="168"/>
      <c r="N1662" s="173"/>
      <c r="O1662" s="141"/>
      <c r="P1662" s="140"/>
      <c r="Q1662" s="142"/>
      <c r="R1662" s="140"/>
      <c r="S1662" s="142"/>
      <c r="T1662" s="140"/>
    </row>
    <row r="1663" spans="3:20" ht="39.75" customHeight="1">
      <c r="C1663" s="196">
        <v>1660</v>
      </c>
      <c r="D1663" s="127"/>
      <c r="E1663" s="129"/>
      <c r="F1663" s="128"/>
      <c r="G1663" s="129"/>
      <c r="H1663" s="129"/>
      <c r="I1663" s="166"/>
      <c r="J1663" s="180"/>
      <c r="K1663" s="128"/>
      <c r="L1663" s="127"/>
      <c r="M1663" s="168"/>
      <c r="N1663" s="173"/>
      <c r="O1663" s="141"/>
      <c r="P1663" s="140"/>
      <c r="Q1663" s="142"/>
      <c r="R1663" s="140"/>
      <c r="S1663" s="142"/>
      <c r="T1663" s="140"/>
    </row>
    <row r="1664" spans="3:20" ht="39.75" customHeight="1">
      <c r="C1664" s="196">
        <v>1661</v>
      </c>
      <c r="D1664" s="127"/>
      <c r="E1664" s="129"/>
      <c r="F1664" s="128"/>
      <c r="G1664" s="129"/>
      <c r="H1664" s="129"/>
      <c r="I1664" s="166"/>
      <c r="J1664" s="180"/>
      <c r="K1664" s="128"/>
      <c r="L1664" s="127"/>
      <c r="M1664" s="168"/>
      <c r="N1664" s="173"/>
      <c r="O1664" s="141"/>
      <c r="P1664" s="140"/>
      <c r="Q1664" s="142"/>
      <c r="R1664" s="140"/>
      <c r="S1664" s="142"/>
      <c r="T1664" s="140"/>
    </row>
    <row r="1665" spans="3:20" ht="39.75" customHeight="1">
      <c r="C1665" s="196">
        <v>1662</v>
      </c>
      <c r="D1665" s="127"/>
      <c r="E1665" s="129"/>
      <c r="F1665" s="128"/>
      <c r="G1665" s="129"/>
      <c r="H1665" s="129"/>
      <c r="I1665" s="166"/>
      <c r="J1665" s="180"/>
      <c r="K1665" s="128"/>
      <c r="L1665" s="127"/>
      <c r="M1665" s="168"/>
      <c r="N1665" s="173"/>
      <c r="O1665" s="141"/>
      <c r="P1665" s="140"/>
      <c r="Q1665" s="142"/>
      <c r="R1665" s="140"/>
      <c r="S1665" s="142"/>
      <c r="T1665" s="140"/>
    </row>
    <row r="1666" spans="3:20" ht="39.75" customHeight="1">
      <c r="C1666" s="196">
        <v>1663</v>
      </c>
      <c r="D1666" s="127"/>
      <c r="E1666" s="129"/>
      <c r="F1666" s="128"/>
      <c r="G1666" s="129"/>
      <c r="H1666" s="129"/>
      <c r="I1666" s="166"/>
      <c r="J1666" s="180"/>
      <c r="K1666" s="128"/>
      <c r="L1666" s="127"/>
      <c r="M1666" s="168"/>
      <c r="N1666" s="173"/>
      <c r="O1666" s="141"/>
      <c r="P1666" s="140"/>
      <c r="Q1666" s="142"/>
      <c r="R1666" s="140"/>
      <c r="S1666" s="142"/>
      <c r="T1666" s="140"/>
    </row>
    <row r="1667" spans="3:20" ht="39.75" customHeight="1">
      <c r="C1667" s="196">
        <v>1664</v>
      </c>
      <c r="D1667" s="127"/>
      <c r="E1667" s="129"/>
      <c r="F1667" s="128"/>
      <c r="G1667" s="129"/>
      <c r="H1667" s="129"/>
      <c r="I1667" s="166"/>
      <c r="J1667" s="180"/>
      <c r="K1667" s="128"/>
      <c r="L1667" s="127"/>
      <c r="M1667" s="168"/>
      <c r="N1667" s="173"/>
      <c r="O1667" s="141"/>
      <c r="P1667" s="140"/>
      <c r="Q1667" s="142"/>
      <c r="R1667" s="140"/>
      <c r="S1667" s="142"/>
      <c r="T1667" s="140"/>
    </row>
    <row r="1668" spans="3:20" ht="39.75" customHeight="1">
      <c r="C1668" s="196">
        <v>1665</v>
      </c>
      <c r="D1668" s="127"/>
      <c r="E1668" s="129"/>
      <c r="F1668" s="128"/>
      <c r="G1668" s="129"/>
      <c r="H1668" s="129"/>
      <c r="I1668" s="166"/>
      <c r="J1668" s="180"/>
      <c r="K1668" s="128"/>
      <c r="L1668" s="127"/>
      <c r="M1668" s="168"/>
      <c r="N1668" s="173"/>
      <c r="O1668" s="141"/>
      <c r="P1668" s="140"/>
      <c r="Q1668" s="142"/>
      <c r="R1668" s="140"/>
      <c r="S1668" s="142"/>
      <c r="T1668" s="140"/>
    </row>
    <row r="1669" spans="3:20" ht="39.75" customHeight="1">
      <c r="C1669" s="196">
        <v>1666</v>
      </c>
      <c r="D1669" s="127"/>
      <c r="E1669" s="129"/>
      <c r="F1669" s="128"/>
      <c r="G1669" s="129"/>
      <c r="H1669" s="129"/>
      <c r="I1669" s="166"/>
      <c r="J1669" s="180"/>
      <c r="K1669" s="128"/>
      <c r="L1669" s="127"/>
      <c r="M1669" s="168"/>
      <c r="N1669" s="173"/>
      <c r="O1669" s="141"/>
      <c r="P1669" s="140"/>
      <c r="Q1669" s="142"/>
      <c r="R1669" s="140"/>
      <c r="S1669" s="142"/>
      <c r="T1669" s="140"/>
    </row>
    <row r="1670" spans="3:20" ht="39.75" customHeight="1">
      <c r="C1670" s="196">
        <v>1667</v>
      </c>
      <c r="D1670" s="127"/>
      <c r="E1670" s="129"/>
      <c r="F1670" s="128"/>
      <c r="G1670" s="129"/>
      <c r="H1670" s="129"/>
      <c r="I1670" s="166"/>
      <c r="J1670" s="180"/>
      <c r="K1670" s="128"/>
      <c r="L1670" s="127"/>
      <c r="M1670" s="168"/>
      <c r="N1670" s="173"/>
      <c r="O1670" s="141"/>
      <c r="P1670" s="140"/>
      <c r="Q1670" s="142"/>
      <c r="R1670" s="140"/>
      <c r="S1670" s="142"/>
      <c r="T1670" s="140"/>
    </row>
    <row r="1671" spans="3:20" ht="39.75" customHeight="1">
      <c r="C1671" s="196">
        <v>1668</v>
      </c>
      <c r="D1671" s="127"/>
      <c r="E1671" s="129"/>
      <c r="F1671" s="128"/>
      <c r="G1671" s="129"/>
      <c r="H1671" s="129"/>
      <c r="I1671" s="166"/>
      <c r="J1671" s="180"/>
      <c r="K1671" s="128"/>
      <c r="L1671" s="127"/>
      <c r="M1671" s="168"/>
      <c r="N1671" s="173"/>
      <c r="O1671" s="141"/>
      <c r="P1671" s="140"/>
      <c r="Q1671" s="142"/>
      <c r="R1671" s="140"/>
      <c r="S1671" s="142"/>
      <c r="T1671" s="140"/>
    </row>
    <row r="1672" spans="3:20" ht="39.75" customHeight="1">
      <c r="C1672" s="196">
        <v>1669</v>
      </c>
      <c r="D1672" s="127"/>
      <c r="E1672" s="129"/>
      <c r="F1672" s="128"/>
      <c r="G1672" s="129"/>
      <c r="H1672" s="129"/>
      <c r="I1672" s="166"/>
      <c r="J1672" s="180"/>
      <c r="K1672" s="128"/>
      <c r="L1672" s="127"/>
      <c r="M1672" s="168"/>
      <c r="N1672" s="173"/>
      <c r="O1672" s="141"/>
      <c r="P1672" s="140"/>
      <c r="Q1672" s="142"/>
      <c r="R1672" s="140"/>
      <c r="S1672" s="142"/>
      <c r="T1672" s="140"/>
    </row>
    <row r="1673" spans="3:20" ht="39.75" customHeight="1">
      <c r="C1673" s="196">
        <v>1670</v>
      </c>
      <c r="D1673" s="127"/>
      <c r="E1673" s="129"/>
      <c r="F1673" s="128"/>
      <c r="G1673" s="129"/>
      <c r="H1673" s="129"/>
      <c r="I1673" s="166"/>
      <c r="J1673" s="180"/>
      <c r="K1673" s="128"/>
      <c r="L1673" s="127"/>
      <c r="M1673" s="168"/>
      <c r="N1673" s="173"/>
      <c r="O1673" s="141"/>
      <c r="P1673" s="140"/>
      <c r="Q1673" s="142"/>
      <c r="R1673" s="140"/>
      <c r="S1673" s="142"/>
      <c r="T1673" s="140"/>
    </row>
    <row r="1674" spans="3:20" ht="39.75" customHeight="1">
      <c r="C1674" s="196">
        <v>1671</v>
      </c>
      <c r="D1674" s="127"/>
      <c r="E1674" s="129"/>
      <c r="F1674" s="128"/>
      <c r="G1674" s="129"/>
      <c r="H1674" s="129"/>
      <c r="I1674" s="166"/>
      <c r="J1674" s="180"/>
      <c r="K1674" s="128"/>
      <c r="L1674" s="127"/>
      <c r="M1674" s="168"/>
      <c r="N1674" s="173"/>
      <c r="O1674" s="141"/>
      <c r="P1674" s="140"/>
      <c r="Q1674" s="142"/>
      <c r="R1674" s="140"/>
      <c r="S1674" s="142"/>
      <c r="T1674" s="140"/>
    </row>
    <row r="1675" spans="3:20" ht="39.75" customHeight="1">
      <c r="C1675" s="196">
        <v>1672</v>
      </c>
      <c r="D1675" s="127"/>
      <c r="E1675" s="129"/>
      <c r="F1675" s="128"/>
      <c r="G1675" s="129"/>
      <c r="H1675" s="129"/>
      <c r="I1675" s="166"/>
      <c r="J1675" s="180"/>
      <c r="K1675" s="128"/>
      <c r="L1675" s="127"/>
      <c r="M1675" s="168"/>
      <c r="N1675" s="173"/>
      <c r="O1675" s="141"/>
      <c r="P1675" s="140"/>
      <c r="Q1675" s="142"/>
      <c r="R1675" s="140"/>
      <c r="S1675" s="142"/>
      <c r="T1675" s="140"/>
    </row>
    <row r="1676" spans="3:20" ht="39.75" customHeight="1">
      <c r="C1676" s="196">
        <v>1673</v>
      </c>
      <c r="D1676" s="127"/>
      <c r="E1676" s="129"/>
      <c r="F1676" s="128"/>
      <c r="G1676" s="129"/>
      <c r="H1676" s="129"/>
      <c r="I1676" s="166"/>
      <c r="J1676" s="180"/>
      <c r="K1676" s="128"/>
      <c r="L1676" s="127"/>
      <c r="M1676" s="168"/>
      <c r="N1676" s="173"/>
      <c r="O1676" s="141"/>
      <c r="P1676" s="140"/>
      <c r="Q1676" s="142"/>
      <c r="R1676" s="140"/>
      <c r="S1676" s="142"/>
      <c r="T1676" s="140"/>
    </row>
    <row r="1677" spans="3:20" ht="39.75" customHeight="1">
      <c r="C1677" s="196">
        <v>1674</v>
      </c>
      <c r="D1677" s="127"/>
      <c r="E1677" s="129"/>
      <c r="F1677" s="128"/>
      <c r="G1677" s="129"/>
      <c r="H1677" s="129"/>
      <c r="I1677" s="166"/>
      <c r="J1677" s="180"/>
      <c r="K1677" s="128"/>
      <c r="L1677" s="127"/>
      <c r="M1677" s="168"/>
      <c r="N1677" s="173"/>
      <c r="O1677" s="141"/>
      <c r="P1677" s="140"/>
      <c r="Q1677" s="142"/>
      <c r="R1677" s="140"/>
      <c r="S1677" s="142"/>
      <c r="T1677" s="140"/>
    </row>
    <row r="1678" spans="3:20" ht="39.75" customHeight="1">
      <c r="C1678" s="196">
        <v>1675</v>
      </c>
      <c r="D1678" s="127"/>
      <c r="E1678" s="129"/>
      <c r="F1678" s="128"/>
      <c r="G1678" s="129"/>
      <c r="H1678" s="129"/>
      <c r="I1678" s="166"/>
      <c r="J1678" s="180"/>
      <c r="K1678" s="128"/>
      <c r="L1678" s="127"/>
      <c r="M1678" s="168"/>
      <c r="N1678" s="173"/>
      <c r="O1678" s="141"/>
      <c r="P1678" s="140"/>
      <c r="Q1678" s="142"/>
      <c r="R1678" s="140"/>
      <c r="S1678" s="142"/>
      <c r="T1678" s="140"/>
    </row>
    <row r="1679" spans="3:20" ht="39.75" customHeight="1">
      <c r="C1679" s="196">
        <v>1676</v>
      </c>
      <c r="D1679" s="127"/>
      <c r="E1679" s="129"/>
      <c r="F1679" s="128"/>
      <c r="G1679" s="129"/>
      <c r="H1679" s="129"/>
      <c r="I1679" s="166"/>
      <c r="J1679" s="180"/>
      <c r="K1679" s="128"/>
      <c r="L1679" s="127"/>
      <c r="M1679" s="168"/>
      <c r="N1679" s="173"/>
      <c r="O1679" s="141"/>
      <c r="P1679" s="140"/>
      <c r="Q1679" s="142"/>
      <c r="R1679" s="140"/>
      <c r="S1679" s="142"/>
      <c r="T1679" s="140"/>
    </row>
    <row r="1680" spans="3:20" ht="39.75" customHeight="1">
      <c r="C1680" s="196">
        <v>1677</v>
      </c>
      <c r="D1680" s="127"/>
      <c r="E1680" s="129"/>
      <c r="F1680" s="128"/>
      <c r="G1680" s="129"/>
      <c r="H1680" s="129"/>
      <c r="I1680" s="166"/>
      <c r="J1680" s="180"/>
      <c r="K1680" s="128"/>
      <c r="L1680" s="127"/>
      <c r="M1680" s="168"/>
      <c r="N1680" s="173"/>
      <c r="O1680" s="141"/>
      <c r="P1680" s="140"/>
      <c r="Q1680" s="142"/>
      <c r="R1680" s="140"/>
      <c r="S1680" s="142"/>
      <c r="T1680" s="140"/>
    </row>
    <row r="1681" spans="3:20" ht="39.75" customHeight="1">
      <c r="C1681" s="196">
        <v>1678</v>
      </c>
      <c r="D1681" s="127"/>
      <c r="E1681" s="129"/>
      <c r="F1681" s="128"/>
      <c r="G1681" s="129"/>
      <c r="H1681" s="129"/>
      <c r="I1681" s="166"/>
      <c r="J1681" s="180"/>
      <c r="K1681" s="128"/>
      <c r="L1681" s="127"/>
      <c r="M1681" s="168"/>
      <c r="N1681" s="173"/>
      <c r="O1681" s="141"/>
      <c r="P1681" s="140"/>
      <c r="Q1681" s="142"/>
      <c r="R1681" s="140"/>
      <c r="S1681" s="142"/>
      <c r="T1681" s="140"/>
    </row>
    <row r="1682" spans="3:20" ht="39.75" customHeight="1">
      <c r="C1682" s="196">
        <v>1679</v>
      </c>
      <c r="D1682" s="127"/>
      <c r="E1682" s="129"/>
      <c r="F1682" s="128"/>
      <c r="G1682" s="129"/>
      <c r="H1682" s="129"/>
      <c r="I1682" s="166"/>
      <c r="J1682" s="180"/>
      <c r="K1682" s="128"/>
      <c r="L1682" s="127"/>
      <c r="M1682" s="168"/>
      <c r="N1682" s="173"/>
      <c r="O1682" s="141"/>
      <c r="P1682" s="140"/>
      <c r="Q1682" s="142"/>
      <c r="R1682" s="140"/>
      <c r="S1682" s="142"/>
      <c r="T1682" s="140"/>
    </row>
    <row r="1683" spans="3:20" ht="39.75" customHeight="1">
      <c r="C1683" s="196">
        <v>1680</v>
      </c>
      <c r="D1683" s="127"/>
      <c r="E1683" s="129"/>
      <c r="F1683" s="128"/>
      <c r="G1683" s="129"/>
      <c r="H1683" s="129"/>
      <c r="I1683" s="166"/>
      <c r="J1683" s="180"/>
      <c r="K1683" s="128"/>
      <c r="L1683" s="127"/>
      <c r="M1683" s="168"/>
      <c r="N1683" s="173"/>
      <c r="O1683" s="141"/>
      <c r="P1683" s="140"/>
      <c r="Q1683" s="142"/>
      <c r="R1683" s="140"/>
      <c r="S1683" s="142"/>
      <c r="T1683" s="140"/>
    </row>
    <row r="1684" spans="3:20" ht="39.75" customHeight="1">
      <c r="C1684" s="196">
        <v>1681</v>
      </c>
      <c r="D1684" s="127"/>
      <c r="E1684" s="129"/>
      <c r="F1684" s="128"/>
      <c r="G1684" s="129"/>
      <c r="H1684" s="129"/>
      <c r="I1684" s="166"/>
      <c r="J1684" s="180"/>
      <c r="K1684" s="128"/>
      <c r="L1684" s="127"/>
      <c r="M1684" s="168"/>
      <c r="N1684" s="173"/>
      <c r="O1684" s="141"/>
      <c r="P1684" s="140"/>
      <c r="Q1684" s="142"/>
      <c r="R1684" s="140"/>
      <c r="S1684" s="142"/>
      <c r="T1684" s="140"/>
    </row>
    <row r="1685" spans="3:20" ht="39.75" customHeight="1">
      <c r="C1685" s="196">
        <v>1682</v>
      </c>
      <c r="D1685" s="127"/>
      <c r="E1685" s="129"/>
      <c r="F1685" s="128"/>
      <c r="G1685" s="129"/>
      <c r="H1685" s="129"/>
      <c r="I1685" s="166"/>
      <c r="J1685" s="180"/>
      <c r="K1685" s="128"/>
      <c r="L1685" s="127"/>
      <c r="M1685" s="168"/>
      <c r="N1685" s="173"/>
      <c r="O1685" s="141"/>
      <c r="P1685" s="140"/>
      <c r="Q1685" s="142"/>
      <c r="R1685" s="140"/>
      <c r="S1685" s="142"/>
      <c r="T1685" s="140"/>
    </row>
    <row r="1686" spans="3:20" ht="39.75" customHeight="1">
      <c r="C1686" s="196">
        <v>1683</v>
      </c>
      <c r="D1686" s="127"/>
      <c r="E1686" s="129"/>
      <c r="F1686" s="128"/>
      <c r="G1686" s="129"/>
      <c r="H1686" s="129"/>
      <c r="I1686" s="166"/>
      <c r="J1686" s="180"/>
      <c r="K1686" s="128"/>
      <c r="L1686" s="127"/>
      <c r="M1686" s="168"/>
      <c r="N1686" s="173"/>
      <c r="O1686" s="141"/>
      <c r="P1686" s="140"/>
      <c r="Q1686" s="142"/>
      <c r="R1686" s="140"/>
      <c r="S1686" s="142"/>
      <c r="T1686" s="140"/>
    </row>
    <row r="1687" spans="3:20" ht="39.75" customHeight="1">
      <c r="C1687" s="196">
        <v>1684</v>
      </c>
      <c r="D1687" s="127"/>
      <c r="E1687" s="129"/>
      <c r="F1687" s="128"/>
      <c r="G1687" s="129"/>
      <c r="H1687" s="129"/>
      <c r="I1687" s="166"/>
      <c r="J1687" s="180"/>
      <c r="K1687" s="128"/>
      <c r="L1687" s="127"/>
      <c r="M1687" s="168"/>
      <c r="N1687" s="173"/>
      <c r="O1687" s="141"/>
      <c r="P1687" s="140"/>
      <c r="Q1687" s="142"/>
      <c r="R1687" s="140"/>
      <c r="S1687" s="142"/>
      <c r="T1687" s="140"/>
    </row>
    <row r="1688" spans="3:20" ht="39.75" customHeight="1">
      <c r="C1688" s="196">
        <v>1685</v>
      </c>
      <c r="D1688" s="127"/>
      <c r="E1688" s="129"/>
      <c r="F1688" s="128"/>
      <c r="G1688" s="129"/>
      <c r="H1688" s="129"/>
      <c r="I1688" s="166"/>
      <c r="J1688" s="180"/>
      <c r="K1688" s="128"/>
      <c r="L1688" s="127"/>
      <c r="M1688" s="168"/>
      <c r="N1688" s="173"/>
      <c r="O1688" s="141"/>
      <c r="P1688" s="140"/>
      <c r="Q1688" s="142"/>
      <c r="R1688" s="140"/>
      <c r="S1688" s="142"/>
      <c r="T1688" s="140"/>
    </row>
    <row r="1689" spans="3:20" ht="39.75" customHeight="1">
      <c r="C1689" s="196">
        <v>1686</v>
      </c>
      <c r="D1689" s="127"/>
      <c r="E1689" s="129"/>
      <c r="F1689" s="128"/>
      <c r="G1689" s="129"/>
      <c r="H1689" s="129"/>
      <c r="I1689" s="166"/>
      <c r="J1689" s="180"/>
      <c r="K1689" s="128"/>
      <c r="L1689" s="127"/>
      <c r="M1689" s="168"/>
      <c r="N1689" s="173"/>
      <c r="O1689" s="141"/>
      <c r="P1689" s="140"/>
      <c r="Q1689" s="142"/>
      <c r="R1689" s="140"/>
      <c r="S1689" s="142"/>
      <c r="T1689" s="140"/>
    </row>
    <row r="1690" spans="3:20" ht="39.75" customHeight="1">
      <c r="C1690" s="196">
        <v>1687</v>
      </c>
      <c r="D1690" s="127"/>
      <c r="E1690" s="129"/>
      <c r="F1690" s="128"/>
      <c r="G1690" s="129"/>
      <c r="H1690" s="129"/>
      <c r="I1690" s="166"/>
      <c r="J1690" s="180"/>
      <c r="K1690" s="128"/>
      <c r="L1690" s="127"/>
      <c r="M1690" s="168"/>
      <c r="N1690" s="173"/>
      <c r="O1690" s="141"/>
      <c r="P1690" s="140"/>
      <c r="Q1690" s="142"/>
      <c r="R1690" s="140"/>
      <c r="S1690" s="142"/>
      <c r="T1690" s="140"/>
    </row>
    <row r="1691" spans="3:20" ht="39.75" customHeight="1">
      <c r="C1691" s="196">
        <v>1688</v>
      </c>
      <c r="D1691" s="127"/>
      <c r="E1691" s="129"/>
      <c r="F1691" s="128"/>
      <c r="G1691" s="129"/>
      <c r="H1691" s="129"/>
      <c r="I1691" s="166"/>
      <c r="J1691" s="180"/>
      <c r="K1691" s="128"/>
      <c r="L1691" s="127"/>
      <c r="M1691" s="168"/>
      <c r="N1691" s="173"/>
      <c r="O1691" s="141"/>
      <c r="P1691" s="140"/>
      <c r="Q1691" s="142"/>
      <c r="R1691" s="140"/>
      <c r="S1691" s="142"/>
      <c r="T1691" s="140"/>
    </row>
    <row r="1692" spans="3:20" ht="39.75" customHeight="1">
      <c r="C1692" s="196">
        <v>1689</v>
      </c>
      <c r="D1692" s="127"/>
      <c r="E1692" s="129"/>
      <c r="F1692" s="128"/>
      <c r="G1692" s="129"/>
      <c r="H1692" s="129"/>
      <c r="I1692" s="166"/>
      <c r="J1692" s="180"/>
      <c r="K1692" s="128"/>
      <c r="L1692" s="127"/>
      <c r="M1692" s="168"/>
      <c r="N1692" s="173"/>
      <c r="O1692" s="141"/>
      <c r="P1692" s="140"/>
      <c r="Q1692" s="142"/>
      <c r="R1692" s="140"/>
      <c r="S1692" s="142"/>
      <c r="T1692" s="140"/>
    </row>
    <row r="1693" spans="3:20" ht="39.75" customHeight="1">
      <c r="C1693" s="196">
        <v>1690</v>
      </c>
      <c r="D1693" s="127"/>
      <c r="E1693" s="129"/>
      <c r="F1693" s="128"/>
      <c r="G1693" s="129"/>
      <c r="H1693" s="129"/>
      <c r="I1693" s="166"/>
      <c r="J1693" s="180"/>
      <c r="K1693" s="128"/>
      <c r="L1693" s="127"/>
      <c r="M1693" s="168"/>
      <c r="N1693" s="173"/>
      <c r="O1693" s="141"/>
      <c r="P1693" s="140"/>
      <c r="Q1693" s="142"/>
      <c r="R1693" s="140"/>
      <c r="S1693" s="142"/>
      <c r="T1693" s="140"/>
    </row>
    <row r="1694" spans="3:20" ht="39.75" customHeight="1">
      <c r="C1694" s="196">
        <v>1691</v>
      </c>
      <c r="D1694" s="127"/>
      <c r="E1694" s="129"/>
      <c r="F1694" s="128"/>
      <c r="G1694" s="129"/>
      <c r="H1694" s="129"/>
      <c r="I1694" s="166"/>
      <c r="J1694" s="180"/>
      <c r="K1694" s="128"/>
      <c r="L1694" s="127"/>
      <c r="M1694" s="168"/>
      <c r="N1694" s="173"/>
      <c r="O1694" s="141"/>
      <c r="P1694" s="140"/>
      <c r="Q1694" s="142"/>
      <c r="R1694" s="140"/>
      <c r="S1694" s="142"/>
      <c r="T1694" s="140"/>
    </row>
    <row r="1695" spans="3:20" ht="39.75" customHeight="1">
      <c r="C1695" s="196">
        <v>1692</v>
      </c>
      <c r="D1695" s="127"/>
      <c r="E1695" s="129"/>
      <c r="F1695" s="128"/>
      <c r="G1695" s="129"/>
      <c r="H1695" s="129"/>
      <c r="I1695" s="166"/>
      <c r="J1695" s="180"/>
      <c r="K1695" s="128"/>
      <c r="L1695" s="127"/>
      <c r="M1695" s="168"/>
      <c r="N1695" s="173"/>
      <c r="O1695" s="141"/>
      <c r="P1695" s="140"/>
      <c r="Q1695" s="142"/>
      <c r="R1695" s="140"/>
      <c r="S1695" s="142"/>
      <c r="T1695" s="140"/>
    </row>
    <row r="1696" spans="3:20" ht="39.75" customHeight="1">
      <c r="C1696" s="196">
        <v>1693</v>
      </c>
      <c r="D1696" s="127"/>
      <c r="E1696" s="129"/>
      <c r="F1696" s="128"/>
      <c r="G1696" s="129"/>
      <c r="H1696" s="129"/>
      <c r="I1696" s="166"/>
      <c r="J1696" s="180"/>
      <c r="K1696" s="128"/>
      <c r="L1696" s="127"/>
      <c r="M1696" s="168"/>
      <c r="N1696" s="173"/>
      <c r="O1696" s="141"/>
      <c r="P1696" s="140"/>
      <c r="Q1696" s="142"/>
      <c r="R1696" s="140"/>
      <c r="S1696" s="142"/>
      <c r="T1696" s="140"/>
    </row>
    <row r="1697" spans="3:20" ht="39.75" customHeight="1">
      <c r="C1697" s="196">
        <v>1694</v>
      </c>
      <c r="D1697" s="127"/>
      <c r="E1697" s="129"/>
      <c r="F1697" s="128"/>
      <c r="G1697" s="129"/>
      <c r="H1697" s="129"/>
      <c r="I1697" s="166"/>
      <c r="J1697" s="180"/>
      <c r="K1697" s="128"/>
      <c r="L1697" s="127"/>
      <c r="M1697" s="168"/>
      <c r="N1697" s="173"/>
      <c r="O1697" s="141"/>
      <c r="P1697" s="140"/>
      <c r="Q1697" s="142"/>
      <c r="R1697" s="140"/>
      <c r="S1697" s="142"/>
      <c r="T1697" s="140"/>
    </row>
    <row r="1698" spans="3:20" ht="39.75" customHeight="1">
      <c r="C1698" s="196">
        <v>1695</v>
      </c>
      <c r="D1698" s="127"/>
      <c r="E1698" s="129"/>
      <c r="F1698" s="128"/>
      <c r="G1698" s="129"/>
      <c r="H1698" s="129"/>
      <c r="I1698" s="166"/>
      <c r="J1698" s="180"/>
      <c r="K1698" s="128"/>
      <c r="L1698" s="127"/>
      <c r="M1698" s="168"/>
      <c r="N1698" s="173"/>
      <c r="O1698" s="141"/>
      <c r="P1698" s="140"/>
      <c r="Q1698" s="142"/>
      <c r="R1698" s="140"/>
      <c r="S1698" s="142"/>
      <c r="T1698" s="140"/>
    </row>
    <row r="1699" spans="3:20" ht="39.75" customHeight="1">
      <c r="C1699" s="196">
        <v>1696</v>
      </c>
      <c r="D1699" s="127"/>
      <c r="E1699" s="129"/>
      <c r="F1699" s="128"/>
      <c r="G1699" s="129"/>
      <c r="H1699" s="129"/>
      <c r="I1699" s="166"/>
      <c r="J1699" s="180"/>
      <c r="K1699" s="128"/>
      <c r="L1699" s="127"/>
      <c r="M1699" s="168"/>
      <c r="N1699" s="173"/>
      <c r="O1699" s="141"/>
      <c r="P1699" s="140"/>
      <c r="Q1699" s="142"/>
      <c r="R1699" s="140"/>
      <c r="S1699" s="142"/>
      <c r="T1699" s="140"/>
    </row>
    <row r="1700" spans="3:20" ht="39.75" customHeight="1">
      <c r="C1700" s="196">
        <v>1697</v>
      </c>
      <c r="D1700" s="127"/>
      <c r="E1700" s="129"/>
      <c r="F1700" s="128"/>
      <c r="G1700" s="129"/>
      <c r="H1700" s="129"/>
      <c r="I1700" s="166"/>
      <c r="J1700" s="180"/>
      <c r="K1700" s="128"/>
      <c r="L1700" s="127"/>
      <c r="M1700" s="168"/>
      <c r="N1700" s="173"/>
      <c r="O1700" s="141"/>
      <c r="P1700" s="140"/>
      <c r="Q1700" s="142"/>
      <c r="R1700" s="140"/>
      <c r="S1700" s="142"/>
      <c r="T1700" s="140"/>
    </row>
    <row r="1701" spans="3:20" ht="39.75" customHeight="1">
      <c r="C1701" s="196">
        <v>1698</v>
      </c>
      <c r="D1701" s="127"/>
      <c r="E1701" s="129"/>
      <c r="F1701" s="128"/>
      <c r="G1701" s="129"/>
      <c r="H1701" s="129"/>
      <c r="I1701" s="166"/>
      <c r="J1701" s="180"/>
      <c r="K1701" s="128"/>
      <c r="L1701" s="127"/>
      <c r="M1701" s="168"/>
      <c r="N1701" s="173"/>
      <c r="O1701" s="141"/>
      <c r="P1701" s="140"/>
      <c r="Q1701" s="142"/>
      <c r="R1701" s="140"/>
      <c r="S1701" s="142"/>
      <c r="T1701" s="140"/>
    </row>
    <row r="1702" spans="3:20" ht="39.75" customHeight="1">
      <c r="C1702" s="196">
        <v>1699</v>
      </c>
      <c r="D1702" s="127"/>
      <c r="E1702" s="129"/>
      <c r="F1702" s="128"/>
      <c r="G1702" s="129"/>
      <c r="H1702" s="129"/>
      <c r="I1702" s="166"/>
      <c r="J1702" s="180"/>
      <c r="K1702" s="128"/>
      <c r="L1702" s="127"/>
      <c r="M1702" s="168"/>
      <c r="N1702" s="173"/>
      <c r="O1702" s="141"/>
      <c r="P1702" s="140"/>
      <c r="Q1702" s="142"/>
      <c r="R1702" s="140"/>
      <c r="S1702" s="142"/>
      <c r="T1702" s="140"/>
    </row>
    <row r="1703" spans="3:20" ht="39.75" customHeight="1">
      <c r="C1703" s="196">
        <v>1700</v>
      </c>
      <c r="D1703" s="127"/>
      <c r="E1703" s="129"/>
      <c r="F1703" s="128"/>
      <c r="G1703" s="129"/>
      <c r="H1703" s="129"/>
      <c r="I1703" s="166"/>
      <c r="J1703" s="180"/>
      <c r="K1703" s="128"/>
      <c r="L1703" s="127"/>
      <c r="M1703" s="168"/>
      <c r="N1703" s="173"/>
      <c r="O1703" s="141"/>
      <c r="P1703" s="140"/>
      <c r="Q1703" s="142"/>
      <c r="R1703" s="140"/>
      <c r="S1703" s="142"/>
      <c r="T1703" s="140"/>
    </row>
    <row r="1704" spans="3:20" ht="39.75" customHeight="1">
      <c r="C1704" s="196">
        <v>1701</v>
      </c>
      <c r="D1704" s="127"/>
      <c r="E1704" s="129"/>
      <c r="F1704" s="128"/>
      <c r="G1704" s="129"/>
      <c r="H1704" s="129"/>
      <c r="I1704" s="166"/>
      <c r="J1704" s="180"/>
      <c r="K1704" s="128"/>
      <c r="L1704" s="127"/>
      <c r="M1704" s="168"/>
      <c r="N1704" s="173"/>
      <c r="O1704" s="141"/>
      <c r="P1704" s="140"/>
      <c r="Q1704" s="142"/>
      <c r="R1704" s="140"/>
      <c r="S1704" s="142"/>
      <c r="T1704" s="140"/>
    </row>
    <row r="1705" spans="3:20" ht="39.75" customHeight="1">
      <c r="C1705" s="196">
        <v>1702</v>
      </c>
      <c r="D1705" s="127"/>
      <c r="E1705" s="129"/>
      <c r="F1705" s="128"/>
      <c r="G1705" s="129"/>
      <c r="H1705" s="129"/>
      <c r="I1705" s="166"/>
      <c r="J1705" s="180"/>
      <c r="K1705" s="128"/>
      <c r="L1705" s="127"/>
      <c r="M1705" s="168"/>
      <c r="N1705" s="173"/>
      <c r="O1705" s="141"/>
      <c r="P1705" s="140"/>
      <c r="Q1705" s="142"/>
      <c r="R1705" s="140"/>
      <c r="S1705" s="142"/>
      <c r="T1705" s="140"/>
    </row>
    <row r="1706" spans="3:20" ht="39.75" customHeight="1">
      <c r="C1706" s="196">
        <v>1703</v>
      </c>
      <c r="D1706" s="127"/>
      <c r="E1706" s="129"/>
      <c r="F1706" s="128"/>
      <c r="G1706" s="129"/>
      <c r="H1706" s="129"/>
      <c r="I1706" s="166"/>
      <c r="J1706" s="180"/>
      <c r="K1706" s="128"/>
      <c r="L1706" s="127"/>
      <c r="M1706" s="168"/>
      <c r="N1706" s="173"/>
      <c r="O1706" s="141"/>
      <c r="P1706" s="140"/>
      <c r="Q1706" s="142"/>
      <c r="R1706" s="140"/>
      <c r="S1706" s="142"/>
      <c r="T1706" s="140"/>
    </row>
    <row r="1707" spans="3:20" ht="39.75" customHeight="1">
      <c r="C1707" s="196">
        <v>1704</v>
      </c>
      <c r="D1707" s="127"/>
      <c r="E1707" s="129"/>
      <c r="F1707" s="128"/>
      <c r="G1707" s="129"/>
      <c r="H1707" s="129"/>
      <c r="I1707" s="166"/>
      <c r="J1707" s="180"/>
      <c r="K1707" s="128"/>
      <c r="L1707" s="127"/>
      <c r="M1707" s="168"/>
      <c r="N1707" s="173"/>
      <c r="O1707" s="141"/>
      <c r="P1707" s="140"/>
      <c r="Q1707" s="142"/>
      <c r="R1707" s="140"/>
      <c r="S1707" s="142"/>
      <c r="T1707" s="140"/>
    </row>
    <row r="1708" spans="3:20" ht="39.75" customHeight="1">
      <c r="C1708" s="196">
        <v>1705</v>
      </c>
      <c r="D1708" s="127"/>
      <c r="E1708" s="129"/>
      <c r="F1708" s="128"/>
      <c r="G1708" s="129"/>
      <c r="H1708" s="129"/>
      <c r="I1708" s="166"/>
      <c r="J1708" s="180"/>
      <c r="K1708" s="128"/>
      <c r="L1708" s="127"/>
      <c r="M1708" s="168"/>
      <c r="N1708" s="173"/>
      <c r="O1708" s="141"/>
      <c r="P1708" s="140"/>
      <c r="Q1708" s="142"/>
      <c r="R1708" s="140"/>
      <c r="S1708" s="142"/>
      <c r="T1708" s="140"/>
    </row>
    <row r="1709" spans="3:20" ht="39.75" customHeight="1">
      <c r="C1709" s="196">
        <v>1706</v>
      </c>
      <c r="D1709" s="127"/>
      <c r="E1709" s="129"/>
      <c r="F1709" s="128"/>
      <c r="G1709" s="129"/>
      <c r="H1709" s="129"/>
      <c r="I1709" s="166"/>
      <c r="J1709" s="180"/>
      <c r="K1709" s="128"/>
      <c r="L1709" s="127"/>
      <c r="M1709" s="168"/>
      <c r="N1709" s="173"/>
      <c r="O1709" s="141"/>
      <c r="P1709" s="140"/>
      <c r="Q1709" s="142"/>
      <c r="R1709" s="140"/>
      <c r="S1709" s="142"/>
      <c r="T1709" s="140"/>
    </row>
    <row r="1710" spans="3:20" ht="39.75" customHeight="1">
      <c r="C1710" s="196">
        <v>1707</v>
      </c>
      <c r="D1710" s="127"/>
      <c r="E1710" s="129"/>
      <c r="F1710" s="128"/>
      <c r="G1710" s="129"/>
      <c r="H1710" s="129"/>
      <c r="I1710" s="166"/>
      <c r="J1710" s="180"/>
      <c r="K1710" s="128"/>
      <c r="L1710" s="127"/>
      <c r="M1710" s="168"/>
      <c r="N1710" s="173"/>
      <c r="O1710" s="141"/>
      <c r="P1710" s="140"/>
      <c r="Q1710" s="142"/>
      <c r="R1710" s="140"/>
      <c r="S1710" s="142"/>
      <c r="T1710" s="140"/>
    </row>
    <row r="1711" spans="3:20" ht="39.75" customHeight="1">
      <c r="C1711" s="196">
        <v>1708</v>
      </c>
      <c r="D1711" s="127"/>
      <c r="E1711" s="129"/>
      <c r="F1711" s="128"/>
      <c r="G1711" s="129"/>
      <c r="H1711" s="129"/>
      <c r="I1711" s="166"/>
      <c r="J1711" s="180"/>
      <c r="K1711" s="128"/>
      <c r="L1711" s="127"/>
      <c r="M1711" s="168"/>
      <c r="N1711" s="173"/>
      <c r="O1711" s="141"/>
      <c r="P1711" s="140"/>
      <c r="Q1711" s="142"/>
      <c r="R1711" s="140"/>
      <c r="S1711" s="142"/>
      <c r="T1711" s="140"/>
    </row>
    <row r="1712" spans="3:20" ht="39.75" customHeight="1">
      <c r="C1712" s="196">
        <v>1709</v>
      </c>
      <c r="D1712" s="127"/>
      <c r="E1712" s="129"/>
      <c r="F1712" s="128"/>
      <c r="G1712" s="129"/>
      <c r="H1712" s="129"/>
      <c r="I1712" s="166"/>
      <c r="J1712" s="180"/>
      <c r="K1712" s="128"/>
      <c r="L1712" s="127"/>
      <c r="M1712" s="168"/>
      <c r="N1712" s="173"/>
      <c r="O1712" s="141"/>
      <c r="P1712" s="140"/>
      <c r="Q1712" s="142"/>
      <c r="R1712" s="140"/>
      <c r="S1712" s="142"/>
      <c r="T1712" s="140"/>
    </row>
    <row r="1713" spans="3:20" ht="39.75" customHeight="1">
      <c r="C1713" s="196">
        <v>1710</v>
      </c>
      <c r="D1713" s="127"/>
      <c r="E1713" s="129"/>
      <c r="F1713" s="128"/>
      <c r="G1713" s="129"/>
      <c r="H1713" s="129"/>
      <c r="I1713" s="166"/>
      <c r="J1713" s="180"/>
      <c r="K1713" s="128"/>
      <c r="L1713" s="127"/>
      <c r="M1713" s="168"/>
      <c r="N1713" s="173"/>
      <c r="O1713" s="141"/>
      <c r="P1713" s="140"/>
      <c r="Q1713" s="142"/>
      <c r="R1713" s="140"/>
      <c r="S1713" s="142"/>
      <c r="T1713" s="140"/>
    </row>
    <row r="1714" spans="3:20" ht="39.75" customHeight="1">
      <c r="C1714" s="196">
        <v>1711</v>
      </c>
      <c r="D1714" s="127"/>
      <c r="E1714" s="129"/>
      <c r="F1714" s="128"/>
      <c r="G1714" s="129"/>
      <c r="H1714" s="129"/>
      <c r="I1714" s="166"/>
      <c r="J1714" s="180"/>
      <c r="K1714" s="128"/>
      <c r="L1714" s="127"/>
      <c r="M1714" s="168"/>
      <c r="N1714" s="173"/>
      <c r="O1714" s="141"/>
      <c r="P1714" s="140"/>
      <c r="Q1714" s="142"/>
      <c r="R1714" s="140"/>
      <c r="S1714" s="142"/>
      <c r="T1714" s="140"/>
    </row>
    <row r="1715" spans="3:20" ht="39.75" customHeight="1">
      <c r="C1715" s="196">
        <v>1712</v>
      </c>
      <c r="D1715" s="127"/>
      <c r="E1715" s="129"/>
      <c r="F1715" s="128"/>
      <c r="G1715" s="129"/>
      <c r="H1715" s="129"/>
      <c r="I1715" s="166"/>
      <c r="J1715" s="180"/>
      <c r="K1715" s="128"/>
      <c r="L1715" s="127"/>
      <c r="M1715" s="168"/>
      <c r="N1715" s="173"/>
      <c r="O1715" s="141"/>
      <c r="P1715" s="140"/>
      <c r="Q1715" s="142"/>
      <c r="R1715" s="140"/>
      <c r="S1715" s="142"/>
      <c r="T1715" s="140"/>
    </row>
    <row r="1716" spans="3:20" ht="39.75" customHeight="1">
      <c r="C1716" s="196">
        <v>1713</v>
      </c>
      <c r="D1716" s="127"/>
      <c r="E1716" s="129"/>
      <c r="F1716" s="128"/>
      <c r="G1716" s="129"/>
      <c r="H1716" s="129"/>
      <c r="I1716" s="166"/>
      <c r="J1716" s="180"/>
      <c r="K1716" s="128"/>
      <c r="L1716" s="127"/>
      <c r="M1716" s="168"/>
      <c r="N1716" s="173"/>
      <c r="O1716" s="141"/>
      <c r="P1716" s="140"/>
      <c r="Q1716" s="142"/>
      <c r="R1716" s="140"/>
      <c r="S1716" s="142"/>
      <c r="T1716" s="140"/>
    </row>
    <row r="1717" spans="3:20" ht="39.75" customHeight="1">
      <c r="C1717" s="196">
        <v>1714</v>
      </c>
      <c r="D1717" s="127"/>
      <c r="E1717" s="129"/>
      <c r="F1717" s="128"/>
      <c r="G1717" s="129"/>
      <c r="H1717" s="129"/>
      <c r="I1717" s="166"/>
      <c r="J1717" s="180"/>
      <c r="K1717" s="128"/>
      <c r="L1717" s="127"/>
      <c r="M1717" s="168"/>
      <c r="N1717" s="173"/>
      <c r="O1717" s="141"/>
      <c r="P1717" s="140"/>
      <c r="Q1717" s="142"/>
      <c r="R1717" s="140"/>
      <c r="S1717" s="142"/>
      <c r="T1717" s="140"/>
    </row>
    <row r="1718" spans="3:20" ht="39.75" customHeight="1">
      <c r="C1718" s="196">
        <v>1715</v>
      </c>
      <c r="D1718" s="127"/>
      <c r="E1718" s="129"/>
      <c r="F1718" s="128"/>
      <c r="G1718" s="129"/>
      <c r="H1718" s="129"/>
      <c r="I1718" s="166"/>
      <c r="J1718" s="180"/>
      <c r="K1718" s="128"/>
      <c r="L1718" s="127"/>
      <c r="M1718" s="168"/>
      <c r="N1718" s="173"/>
      <c r="O1718" s="141"/>
      <c r="P1718" s="140"/>
      <c r="Q1718" s="142"/>
      <c r="R1718" s="140"/>
      <c r="S1718" s="142"/>
      <c r="T1718" s="140"/>
    </row>
    <row r="1719" spans="3:20" ht="39.75" customHeight="1">
      <c r="C1719" s="196">
        <v>1716</v>
      </c>
      <c r="D1719" s="127"/>
      <c r="E1719" s="129"/>
      <c r="F1719" s="128"/>
      <c r="G1719" s="129"/>
      <c r="H1719" s="129"/>
      <c r="I1719" s="166"/>
      <c r="J1719" s="180"/>
      <c r="K1719" s="128"/>
      <c r="L1719" s="127"/>
      <c r="M1719" s="168"/>
      <c r="N1719" s="173"/>
      <c r="O1719" s="141"/>
      <c r="P1719" s="140"/>
      <c r="Q1719" s="142"/>
      <c r="R1719" s="140"/>
      <c r="S1719" s="142"/>
      <c r="T1719" s="140"/>
    </row>
    <row r="1720" spans="3:20" ht="39.75" customHeight="1">
      <c r="C1720" s="196">
        <v>1717</v>
      </c>
      <c r="D1720" s="127"/>
      <c r="E1720" s="129"/>
      <c r="F1720" s="128"/>
      <c r="G1720" s="129"/>
      <c r="H1720" s="129"/>
      <c r="I1720" s="166"/>
      <c r="J1720" s="180"/>
      <c r="K1720" s="128"/>
      <c r="L1720" s="127"/>
      <c r="M1720" s="168"/>
      <c r="N1720" s="173"/>
      <c r="O1720" s="141"/>
      <c r="P1720" s="140"/>
      <c r="Q1720" s="142"/>
      <c r="R1720" s="140"/>
      <c r="S1720" s="142"/>
      <c r="T1720" s="140"/>
    </row>
    <row r="1721" spans="3:20" ht="39.75" customHeight="1">
      <c r="C1721" s="196">
        <v>1718</v>
      </c>
      <c r="D1721" s="127"/>
      <c r="E1721" s="129"/>
      <c r="F1721" s="128"/>
      <c r="G1721" s="129"/>
      <c r="H1721" s="129"/>
      <c r="I1721" s="166"/>
      <c r="J1721" s="180"/>
      <c r="K1721" s="128"/>
      <c r="L1721" s="127"/>
      <c r="M1721" s="168"/>
      <c r="N1721" s="173"/>
      <c r="O1721" s="141"/>
      <c r="P1721" s="140"/>
      <c r="Q1721" s="142"/>
      <c r="R1721" s="140"/>
      <c r="S1721" s="142"/>
      <c r="T1721" s="140"/>
    </row>
    <row r="1722" spans="3:20" ht="39.75" customHeight="1">
      <c r="C1722" s="196">
        <v>1719</v>
      </c>
      <c r="D1722" s="127"/>
      <c r="E1722" s="129"/>
      <c r="F1722" s="128"/>
      <c r="G1722" s="129"/>
      <c r="H1722" s="129"/>
      <c r="I1722" s="166"/>
      <c r="J1722" s="180"/>
      <c r="K1722" s="128"/>
      <c r="L1722" s="127"/>
      <c r="M1722" s="168"/>
      <c r="N1722" s="173"/>
      <c r="O1722" s="141"/>
      <c r="P1722" s="140"/>
      <c r="Q1722" s="142"/>
      <c r="R1722" s="140"/>
      <c r="S1722" s="142"/>
      <c r="T1722" s="140"/>
    </row>
    <row r="1723" spans="3:20" ht="39.75" customHeight="1">
      <c r="C1723" s="196">
        <v>1720</v>
      </c>
      <c r="D1723" s="127"/>
      <c r="E1723" s="129"/>
      <c r="F1723" s="128"/>
      <c r="G1723" s="129"/>
      <c r="H1723" s="129"/>
      <c r="I1723" s="166"/>
      <c r="J1723" s="180"/>
      <c r="K1723" s="128"/>
      <c r="L1723" s="127"/>
      <c r="M1723" s="168"/>
      <c r="N1723" s="173"/>
      <c r="O1723" s="141"/>
      <c r="P1723" s="140"/>
      <c r="Q1723" s="142"/>
      <c r="R1723" s="140"/>
      <c r="S1723" s="142"/>
      <c r="T1723" s="140"/>
    </row>
    <row r="1724" spans="3:20" ht="39.75" customHeight="1">
      <c r="C1724" s="196">
        <v>1721</v>
      </c>
      <c r="D1724" s="127"/>
      <c r="E1724" s="129"/>
      <c r="F1724" s="128"/>
      <c r="G1724" s="129"/>
      <c r="H1724" s="129"/>
      <c r="I1724" s="166"/>
      <c r="J1724" s="180"/>
      <c r="K1724" s="128"/>
      <c r="L1724" s="127"/>
      <c r="M1724" s="168"/>
      <c r="N1724" s="173"/>
      <c r="O1724" s="141"/>
      <c r="P1724" s="140"/>
      <c r="Q1724" s="142"/>
      <c r="R1724" s="140"/>
      <c r="S1724" s="142"/>
      <c r="T1724" s="140"/>
    </row>
    <row r="1725" spans="3:20" ht="39.75" customHeight="1">
      <c r="C1725" s="196">
        <v>1722</v>
      </c>
      <c r="D1725" s="127"/>
      <c r="E1725" s="129"/>
      <c r="F1725" s="128"/>
      <c r="G1725" s="129"/>
      <c r="H1725" s="129"/>
      <c r="I1725" s="166"/>
      <c r="J1725" s="180"/>
      <c r="K1725" s="128"/>
      <c r="L1725" s="127"/>
      <c r="M1725" s="168"/>
      <c r="N1725" s="173"/>
      <c r="O1725" s="141"/>
      <c r="P1725" s="140"/>
      <c r="Q1725" s="142"/>
      <c r="R1725" s="140"/>
      <c r="S1725" s="142"/>
      <c r="T1725" s="140"/>
    </row>
    <row r="1726" spans="3:20" ht="39.75" customHeight="1">
      <c r="C1726" s="196">
        <v>1723</v>
      </c>
      <c r="D1726" s="127"/>
      <c r="E1726" s="129"/>
      <c r="F1726" s="128"/>
      <c r="G1726" s="129"/>
      <c r="H1726" s="129"/>
      <c r="I1726" s="166"/>
      <c r="J1726" s="180"/>
      <c r="K1726" s="128"/>
      <c r="L1726" s="127"/>
      <c r="M1726" s="168"/>
      <c r="N1726" s="173"/>
      <c r="O1726" s="141"/>
      <c r="P1726" s="140"/>
      <c r="Q1726" s="142"/>
      <c r="R1726" s="140"/>
      <c r="S1726" s="142"/>
      <c r="T1726" s="140"/>
    </row>
    <row r="1727" spans="3:20" ht="39.75" customHeight="1">
      <c r="C1727" s="196">
        <v>1724</v>
      </c>
      <c r="D1727" s="127"/>
      <c r="E1727" s="129"/>
      <c r="F1727" s="128"/>
      <c r="G1727" s="129"/>
      <c r="H1727" s="129"/>
      <c r="I1727" s="166"/>
      <c r="J1727" s="180"/>
      <c r="K1727" s="128"/>
      <c r="L1727" s="127"/>
      <c r="M1727" s="168"/>
      <c r="N1727" s="173"/>
      <c r="O1727" s="141"/>
      <c r="P1727" s="140"/>
      <c r="Q1727" s="142"/>
      <c r="R1727" s="140"/>
      <c r="S1727" s="142"/>
      <c r="T1727" s="140"/>
    </row>
    <row r="1728" spans="3:20" ht="39.75" customHeight="1">
      <c r="C1728" s="196">
        <v>1725</v>
      </c>
      <c r="D1728" s="127"/>
      <c r="E1728" s="129"/>
      <c r="F1728" s="128"/>
      <c r="G1728" s="129"/>
      <c r="H1728" s="129"/>
      <c r="I1728" s="166"/>
      <c r="J1728" s="180"/>
      <c r="K1728" s="128"/>
      <c r="L1728" s="127"/>
      <c r="M1728" s="168"/>
      <c r="N1728" s="173"/>
      <c r="O1728" s="141"/>
      <c r="P1728" s="140"/>
      <c r="Q1728" s="142"/>
      <c r="R1728" s="140"/>
      <c r="S1728" s="142"/>
      <c r="T1728" s="140"/>
    </row>
    <row r="1729" spans="3:20" ht="39.75" customHeight="1">
      <c r="C1729" s="196">
        <v>1726</v>
      </c>
      <c r="D1729" s="127"/>
      <c r="E1729" s="129"/>
      <c r="F1729" s="128"/>
      <c r="G1729" s="129"/>
      <c r="H1729" s="129"/>
      <c r="I1729" s="166"/>
      <c r="J1729" s="180"/>
      <c r="K1729" s="128"/>
      <c r="L1729" s="127"/>
      <c r="M1729" s="168"/>
      <c r="N1729" s="173"/>
      <c r="O1729" s="141"/>
      <c r="P1729" s="140"/>
      <c r="Q1729" s="142"/>
      <c r="R1729" s="140"/>
      <c r="S1729" s="142"/>
      <c r="T1729" s="140"/>
    </row>
    <row r="1730" spans="3:20" ht="39.75" customHeight="1">
      <c r="C1730" s="196">
        <v>1727</v>
      </c>
      <c r="D1730" s="127"/>
      <c r="E1730" s="129"/>
      <c r="F1730" s="128"/>
      <c r="G1730" s="129"/>
      <c r="H1730" s="129"/>
      <c r="I1730" s="166"/>
      <c r="J1730" s="180"/>
      <c r="K1730" s="128"/>
      <c r="L1730" s="127"/>
      <c r="M1730" s="168"/>
      <c r="N1730" s="173"/>
      <c r="O1730" s="141"/>
      <c r="P1730" s="140"/>
      <c r="Q1730" s="142"/>
      <c r="R1730" s="140"/>
      <c r="S1730" s="142"/>
      <c r="T1730" s="140"/>
    </row>
    <row r="1731" spans="3:20" ht="39.75" customHeight="1">
      <c r="C1731" s="196">
        <v>1728</v>
      </c>
      <c r="D1731" s="127"/>
      <c r="E1731" s="129"/>
      <c r="F1731" s="128"/>
      <c r="G1731" s="129"/>
      <c r="H1731" s="129"/>
      <c r="I1731" s="166"/>
      <c r="J1731" s="180"/>
      <c r="K1731" s="128"/>
      <c r="L1731" s="127"/>
      <c r="M1731" s="168"/>
      <c r="N1731" s="173"/>
      <c r="O1731" s="141"/>
      <c r="P1731" s="140"/>
      <c r="Q1731" s="142"/>
      <c r="R1731" s="140"/>
      <c r="S1731" s="142"/>
      <c r="T1731" s="140"/>
    </row>
    <row r="1732" spans="3:20" ht="39.75" customHeight="1">
      <c r="C1732" s="196">
        <v>1729</v>
      </c>
      <c r="D1732" s="127"/>
      <c r="E1732" s="129"/>
      <c r="F1732" s="128"/>
      <c r="G1732" s="129"/>
      <c r="H1732" s="129"/>
      <c r="I1732" s="166"/>
      <c r="J1732" s="180"/>
      <c r="K1732" s="128"/>
      <c r="L1732" s="127"/>
      <c r="M1732" s="168"/>
      <c r="N1732" s="173"/>
      <c r="O1732" s="141"/>
      <c r="P1732" s="140"/>
      <c r="Q1732" s="142"/>
      <c r="R1732" s="140"/>
      <c r="S1732" s="142"/>
      <c r="T1732" s="140"/>
    </row>
    <row r="1733" spans="3:20" ht="39.75" customHeight="1">
      <c r="C1733" s="196">
        <v>1730</v>
      </c>
      <c r="D1733" s="127"/>
      <c r="E1733" s="129"/>
      <c r="F1733" s="128"/>
      <c r="G1733" s="129"/>
      <c r="H1733" s="129"/>
      <c r="I1733" s="166"/>
      <c r="J1733" s="180"/>
      <c r="K1733" s="128"/>
      <c r="L1733" s="127"/>
      <c r="M1733" s="168"/>
      <c r="N1733" s="173"/>
      <c r="O1733" s="141"/>
      <c r="P1733" s="140"/>
      <c r="Q1733" s="142"/>
      <c r="R1733" s="140"/>
      <c r="S1733" s="142"/>
      <c r="T1733" s="140"/>
    </row>
    <row r="1734" spans="3:20" ht="39.75" customHeight="1">
      <c r="C1734" s="196">
        <v>1731</v>
      </c>
      <c r="D1734" s="127"/>
      <c r="E1734" s="129"/>
      <c r="F1734" s="128"/>
      <c r="G1734" s="129"/>
      <c r="H1734" s="129"/>
      <c r="I1734" s="166"/>
      <c r="J1734" s="180"/>
      <c r="K1734" s="128"/>
      <c r="L1734" s="127"/>
      <c r="M1734" s="168"/>
      <c r="N1734" s="173"/>
      <c r="O1734" s="141"/>
      <c r="P1734" s="140"/>
      <c r="Q1734" s="142"/>
      <c r="R1734" s="140"/>
      <c r="S1734" s="142"/>
      <c r="T1734" s="140"/>
    </row>
    <row r="1735" spans="3:20" ht="39.75" customHeight="1">
      <c r="C1735" s="196">
        <v>1732</v>
      </c>
      <c r="D1735" s="127"/>
      <c r="E1735" s="129"/>
      <c r="F1735" s="128"/>
      <c r="G1735" s="129"/>
      <c r="H1735" s="129"/>
      <c r="I1735" s="166"/>
      <c r="J1735" s="180"/>
      <c r="K1735" s="128"/>
      <c r="L1735" s="127"/>
      <c r="M1735" s="168"/>
      <c r="N1735" s="173"/>
      <c r="O1735" s="141"/>
      <c r="P1735" s="140"/>
      <c r="Q1735" s="142"/>
      <c r="R1735" s="140"/>
      <c r="S1735" s="142"/>
      <c r="T1735" s="140"/>
    </row>
    <row r="1736" spans="3:20" ht="39.75" customHeight="1">
      <c r="C1736" s="196">
        <v>1733</v>
      </c>
      <c r="D1736" s="127"/>
      <c r="E1736" s="129"/>
      <c r="F1736" s="128"/>
      <c r="G1736" s="129"/>
      <c r="H1736" s="129"/>
      <c r="I1736" s="166"/>
      <c r="J1736" s="180"/>
      <c r="K1736" s="128"/>
      <c r="L1736" s="127"/>
      <c r="M1736" s="168"/>
      <c r="N1736" s="173"/>
      <c r="O1736" s="141"/>
      <c r="P1736" s="140"/>
      <c r="Q1736" s="142"/>
      <c r="R1736" s="140"/>
      <c r="S1736" s="142"/>
      <c r="T1736" s="140"/>
    </row>
    <row r="1737" spans="3:20" ht="39.75" customHeight="1">
      <c r="C1737" s="196">
        <v>1734</v>
      </c>
      <c r="D1737" s="127"/>
      <c r="E1737" s="129"/>
      <c r="F1737" s="128"/>
      <c r="G1737" s="129"/>
      <c r="H1737" s="129"/>
      <c r="I1737" s="166"/>
      <c r="J1737" s="180"/>
      <c r="K1737" s="128"/>
      <c r="L1737" s="127"/>
      <c r="M1737" s="168"/>
      <c r="N1737" s="173"/>
      <c r="O1737" s="141"/>
      <c r="P1737" s="140"/>
      <c r="Q1737" s="142"/>
      <c r="R1737" s="140"/>
      <c r="S1737" s="142"/>
      <c r="T1737" s="140"/>
    </row>
    <row r="1738" spans="3:20" ht="39.75" customHeight="1">
      <c r="C1738" s="196">
        <v>1735</v>
      </c>
      <c r="D1738" s="127"/>
      <c r="E1738" s="129"/>
      <c r="F1738" s="128"/>
      <c r="G1738" s="129"/>
      <c r="H1738" s="129"/>
      <c r="I1738" s="166"/>
      <c r="J1738" s="180"/>
      <c r="K1738" s="128"/>
      <c r="L1738" s="127"/>
      <c r="M1738" s="168"/>
      <c r="N1738" s="173"/>
      <c r="O1738" s="141"/>
      <c r="P1738" s="140"/>
      <c r="Q1738" s="142"/>
      <c r="R1738" s="140"/>
      <c r="S1738" s="142"/>
      <c r="T1738" s="140"/>
    </row>
    <row r="1739" spans="3:20" ht="39.75" customHeight="1">
      <c r="C1739" s="196">
        <v>1736</v>
      </c>
      <c r="D1739" s="127"/>
      <c r="E1739" s="129"/>
      <c r="F1739" s="128"/>
      <c r="G1739" s="129"/>
      <c r="H1739" s="129"/>
      <c r="I1739" s="166"/>
      <c r="J1739" s="180"/>
      <c r="K1739" s="128"/>
      <c r="L1739" s="127"/>
      <c r="M1739" s="168"/>
      <c r="N1739" s="173"/>
      <c r="O1739" s="141"/>
      <c r="P1739" s="140"/>
      <c r="Q1739" s="142"/>
      <c r="R1739" s="140"/>
      <c r="S1739" s="142"/>
      <c r="T1739" s="140"/>
    </row>
    <row r="1740" spans="3:20" ht="39.75" customHeight="1">
      <c r="C1740" s="196">
        <v>1737</v>
      </c>
      <c r="D1740" s="127"/>
      <c r="E1740" s="129"/>
      <c r="F1740" s="128"/>
      <c r="G1740" s="129"/>
      <c r="H1740" s="129"/>
      <c r="I1740" s="166"/>
      <c r="J1740" s="180"/>
      <c r="K1740" s="128"/>
      <c r="L1740" s="127"/>
      <c r="M1740" s="168"/>
      <c r="N1740" s="173"/>
      <c r="O1740" s="141"/>
      <c r="P1740" s="140"/>
      <c r="Q1740" s="142"/>
      <c r="R1740" s="140"/>
      <c r="S1740" s="142"/>
      <c r="T1740" s="140"/>
    </row>
    <row r="1741" spans="3:20" ht="39.75" customHeight="1">
      <c r="C1741" s="196">
        <v>1738</v>
      </c>
      <c r="D1741" s="127"/>
      <c r="E1741" s="129"/>
      <c r="F1741" s="128"/>
      <c r="G1741" s="129"/>
      <c r="H1741" s="129"/>
      <c r="I1741" s="166"/>
      <c r="J1741" s="180"/>
      <c r="K1741" s="128"/>
      <c r="L1741" s="127"/>
      <c r="M1741" s="168"/>
      <c r="N1741" s="173"/>
      <c r="O1741" s="141"/>
      <c r="P1741" s="140"/>
      <c r="Q1741" s="142"/>
      <c r="R1741" s="140"/>
      <c r="S1741" s="142"/>
      <c r="T1741" s="140"/>
    </row>
    <row r="1742" spans="3:20" ht="39.75" customHeight="1">
      <c r="C1742" s="196">
        <v>1739</v>
      </c>
      <c r="D1742" s="127"/>
      <c r="E1742" s="129"/>
      <c r="F1742" s="128"/>
      <c r="G1742" s="129"/>
      <c r="H1742" s="129"/>
      <c r="I1742" s="166"/>
      <c r="J1742" s="180"/>
      <c r="K1742" s="128"/>
      <c r="L1742" s="127"/>
      <c r="M1742" s="168"/>
      <c r="N1742" s="173"/>
      <c r="O1742" s="141"/>
      <c r="P1742" s="140"/>
      <c r="Q1742" s="142"/>
      <c r="R1742" s="140"/>
      <c r="S1742" s="142"/>
      <c r="T1742" s="140"/>
    </row>
    <row r="1743" spans="3:20" ht="39.75" customHeight="1">
      <c r="C1743" s="196">
        <v>1740</v>
      </c>
      <c r="D1743" s="127"/>
      <c r="E1743" s="129"/>
      <c r="F1743" s="128"/>
      <c r="G1743" s="129"/>
      <c r="H1743" s="129"/>
      <c r="I1743" s="166"/>
      <c r="J1743" s="180"/>
      <c r="K1743" s="128"/>
      <c r="L1743" s="127"/>
      <c r="M1743" s="168"/>
      <c r="N1743" s="173"/>
      <c r="O1743" s="141"/>
      <c r="P1743" s="140"/>
      <c r="Q1743" s="142"/>
      <c r="R1743" s="140"/>
      <c r="S1743" s="142"/>
      <c r="T1743" s="140"/>
    </row>
    <row r="1744" spans="3:20" ht="39.75" customHeight="1">
      <c r="C1744" s="196">
        <v>1741</v>
      </c>
      <c r="D1744" s="127"/>
      <c r="E1744" s="129"/>
      <c r="F1744" s="128"/>
      <c r="G1744" s="129"/>
      <c r="H1744" s="129"/>
      <c r="I1744" s="166"/>
      <c r="J1744" s="180"/>
      <c r="K1744" s="128"/>
      <c r="L1744" s="127"/>
      <c r="M1744" s="168"/>
      <c r="N1744" s="173"/>
      <c r="O1744" s="141"/>
      <c r="P1744" s="140"/>
      <c r="Q1744" s="142"/>
      <c r="R1744" s="140"/>
      <c r="S1744" s="142"/>
      <c r="T1744" s="140"/>
    </row>
    <row r="1745" spans="3:20" ht="39.75" customHeight="1">
      <c r="C1745" s="196">
        <v>1742</v>
      </c>
      <c r="D1745" s="127"/>
      <c r="E1745" s="129"/>
      <c r="F1745" s="128"/>
      <c r="G1745" s="129"/>
      <c r="H1745" s="129"/>
      <c r="I1745" s="166"/>
      <c r="J1745" s="180"/>
      <c r="K1745" s="128"/>
      <c r="L1745" s="127"/>
      <c r="M1745" s="168"/>
      <c r="N1745" s="173"/>
      <c r="O1745" s="141"/>
      <c r="P1745" s="140"/>
      <c r="Q1745" s="142"/>
      <c r="R1745" s="140"/>
      <c r="S1745" s="142"/>
      <c r="T1745" s="140"/>
    </row>
    <row r="1746" spans="3:20" ht="39.75" customHeight="1">
      <c r="C1746" s="196">
        <v>1743</v>
      </c>
      <c r="D1746" s="127"/>
      <c r="E1746" s="129"/>
      <c r="F1746" s="128"/>
      <c r="G1746" s="129"/>
      <c r="H1746" s="129"/>
      <c r="I1746" s="166"/>
      <c r="J1746" s="180"/>
      <c r="K1746" s="128"/>
      <c r="L1746" s="127"/>
      <c r="M1746" s="168"/>
      <c r="N1746" s="173"/>
      <c r="O1746" s="141"/>
      <c r="P1746" s="140"/>
      <c r="Q1746" s="142"/>
      <c r="R1746" s="140"/>
      <c r="S1746" s="142"/>
      <c r="T1746" s="140"/>
    </row>
    <row r="1747" spans="3:20" ht="39.75" customHeight="1">
      <c r="C1747" s="196">
        <v>1744</v>
      </c>
      <c r="D1747" s="127"/>
      <c r="E1747" s="129"/>
      <c r="F1747" s="128"/>
      <c r="G1747" s="129"/>
      <c r="H1747" s="129"/>
      <c r="I1747" s="166"/>
      <c r="J1747" s="180"/>
      <c r="K1747" s="128"/>
      <c r="L1747" s="127"/>
      <c r="M1747" s="168"/>
      <c r="N1747" s="173"/>
      <c r="O1747" s="141"/>
      <c r="P1747" s="140"/>
      <c r="Q1747" s="142"/>
      <c r="R1747" s="140"/>
      <c r="S1747" s="142"/>
      <c r="T1747" s="140"/>
    </row>
    <row r="1748" spans="3:20" ht="39.75" customHeight="1">
      <c r="C1748" s="196">
        <v>1745</v>
      </c>
      <c r="D1748" s="127"/>
      <c r="E1748" s="129"/>
      <c r="F1748" s="128"/>
      <c r="G1748" s="129"/>
      <c r="H1748" s="129"/>
      <c r="I1748" s="166"/>
      <c r="J1748" s="180"/>
      <c r="K1748" s="128"/>
      <c r="L1748" s="127"/>
      <c r="M1748" s="168"/>
      <c r="N1748" s="173"/>
      <c r="O1748" s="141"/>
      <c r="P1748" s="140"/>
      <c r="Q1748" s="142"/>
      <c r="R1748" s="140"/>
      <c r="S1748" s="142"/>
      <c r="T1748" s="140"/>
    </row>
    <row r="1749" spans="3:20" ht="39.75" customHeight="1">
      <c r="C1749" s="196">
        <v>1746</v>
      </c>
      <c r="D1749" s="127"/>
      <c r="E1749" s="129"/>
      <c r="F1749" s="128"/>
      <c r="G1749" s="129"/>
      <c r="H1749" s="129"/>
      <c r="I1749" s="166"/>
      <c r="J1749" s="180"/>
      <c r="K1749" s="128"/>
      <c r="L1749" s="127"/>
      <c r="M1749" s="168"/>
      <c r="N1749" s="173"/>
      <c r="O1749" s="141"/>
      <c r="P1749" s="140"/>
      <c r="Q1749" s="142"/>
      <c r="R1749" s="140"/>
      <c r="S1749" s="142"/>
      <c r="T1749" s="140"/>
    </row>
    <row r="1750" spans="3:20" ht="39.75" customHeight="1">
      <c r="C1750" s="196">
        <v>1747</v>
      </c>
      <c r="D1750" s="127"/>
      <c r="E1750" s="129"/>
      <c r="F1750" s="128"/>
      <c r="G1750" s="129"/>
      <c r="H1750" s="129"/>
      <c r="I1750" s="166"/>
      <c r="J1750" s="180"/>
      <c r="K1750" s="128"/>
      <c r="L1750" s="127"/>
      <c r="M1750" s="168"/>
      <c r="N1750" s="173"/>
      <c r="O1750" s="141"/>
      <c r="P1750" s="140"/>
      <c r="Q1750" s="142"/>
      <c r="R1750" s="140"/>
      <c r="S1750" s="142"/>
      <c r="T1750" s="140"/>
    </row>
    <row r="1751" spans="3:20" ht="39.75" customHeight="1">
      <c r="C1751" s="196">
        <v>1748</v>
      </c>
      <c r="D1751" s="127"/>
      <c r="E1751" s="129"/>
      <c r="F1751" s="128"/>
      <c r="G1751" s="129"/>
      <c r="H1751" s="129"/>
      <c r="I1751" s="166"/>
      <c r="J1751" s="180"/>
      <c r="K1751" s="128"/>
      <c r="L1751" s="127"/>
      <c r="M1751" s="168"/>
      <c r="N1751" s="173"/>
      <c r="O1751" s="141"/>
      <c r="P1751" s="140"/>
      <c r="Q1751" s="142"/>
      <c r="R1751" s="140"/>
      <c r="S1751" s="142"/>
      <c r="T1751" s="140"/>
    </row>
    <row r="1752" spans="3:20" ht="39.75" customHeight="1">
      <c r="C1752" s="196">
        <v>1749</v>
      </c>
      <c r="D1752" s="127"/>
      <c r="E1752" s="129"/>
      <c r="F1752" s="128"/>
      <c r="G1752" s="129"/>
      <c r="H1752" s="129"/>
      <c r="I1752" s="166"/>
      <c r="J1752" s="180"/>
      <c r="K1752" s="128"/>
      <c r="L1752" s="127"/>
      <c r="M1752" s="168"/>
      <c r="N1752" s="173"/>
      <c r="O1752" s="141"/>
      <c r="P1752" s="140"/>
      <c r="Q1752" s="142"/>
      <c r="R1752" s="140"/>
      <c r="S1752" s="142"/>
      <c r="T1752" s="140"/>
    </row>
    <row r="1753" spans="3:20" ht="39.75" customHeight="1">
      <c r="C1753" s="196">
        <v>1750</v>
      </c>
      <c r="D1753" s="127"/>
      <c r="E1753" s="129"/>
      <c r="F1753" s="128"/>
      <c r="G1753" s="129"/>
      <c r="H1753" s="129"/>
      <c r="I1753" s="166"/>
      <c r="J1753" s="180"/>
      <c r="K1753" s="128"/>
      <c r="L1753" s="127"/>
      <c r="M1753" s="168"/>
      <c r="N1753" s="173"/>
      <c r="O1753" s="141"/>
      <c r="P1753" s="140"/>
      <c r="Q1753" s="142"/>
      <c r="R1753" s="140"/>
      <c r="S1753" s="142"/>
      <c r="T1753" s="140"/>
    </row>
    <row r="1754" spans="3:20" ht="39.75" customHeight="1">
      <c r="C1754" s="196">
        <v>1751</v>
      </c>
      <c r="D1754" s="127"/>
      <c r="E1754" s="129"/>
      <c r="F1754" s="128"/>
      <c r="G1754" s="129"/>
      <c r="H1754" s="129"/>
      <c r="I1754" s="166"/>
      <c r="J1754" s="180"/>
      <c r="K1754" s="128"/>
      <c r="L1754" s="127"/>
      <c r="M1754" s="168"/>
      <c r="N1754" s="173"/>
      <c r="O1754" s="141"/>
      <c r="P1754" s="140"/>
      <c r="Q1754" s="142"/>
      <c r="R1754" s="140"/>
      <c r="S1754" s="142"/>
      <c r="T1754" s="140"/>
    </row>
    <row r="1755" spans="3:20" ht="39.75" customHeight="1">
      <c r="C1755" s="196">
        <v>1752</v>
      </c>
      <c r="D1755" s="127"/>
      <c r="E1755" s="129"/>
      <c r="F1755" s="128"/>
      <c r="G1755" s="129"/>
      <c r="H1755" s="129"/>
      <c r="I1755" s="166"/>
      <c r="J1755" s="180"/>
      <c r="K1755" s="128"/>
      <c r="L1755" s="127"/>
      <c r="M1755" s="168"/>
      <c r="N1755" s="173"/>
      <c r="O1755" s="141"/>
      <c r="P1755" s="140"/>
      <c r="Q1755" s="142"/>
      <c r="R1755" s="140"/>
      <c r="S1755" s="142"/>
      <c r="T1755" s="140"/>
    </row>
    <row r="1756" spans="3:20" ht="39.75" customHeight="1">
      <c r="C1756" s="196">
        <v>1753</v>
      </c>
      <c r="D1756" s="127"/>
      <c r="E1756" s="129"/>
      <c r="F1756" s="128"/>
      <c r="G1756" s="129"/>
      <c r="H1756" s="129"/>
      <c r="I1756" s="166"/>
      <c r="J1756" s="180"/>
      <c r="K1756" s="128"/>
      <c r="L1756" s="127"/>
      <c r="M1756" s="168"/>
      <c r="N1756" s="173"/>
      <c r="O1756" s="141"/>
      <c r="P1756" s="140"/>
      <c r="Q1756" s="142"/>
      <c r="R1756" s="140"/>
      <c r="S1756" s="142"/>
      <c r="T1756" s="140"/>
    </row>
    <row r="1757" spans="3:20" ht="39.75" customHeight="1">
      <c r="C1757" s="196">
        <v>1754</v>
      </c>
      <c r="D1757" s="127"/>
      <c r="E1757" s="129"/>
      <c r="F1757" s="128"/>
      <c r="G1757" s="129"/>
      <c r="H1757" s="129"/>
      <c r="I1757" s="166"/>
      <c r="J1757" s="180"/>
      <c r="K1757" s="128"/>
      <c r="L1757" s="127"/>
      <c r="M1757" s="168"/>
      <c r="N1757" s="173"/>
      <c r="O1757" s="141"/>
      <c r="P1757" s="140"/>
      <c r="Q1757" s="142"/>
      <c r="R1757" s="140"/>
      <c r="S1757" s="142"/>
      <c r="T1757" s="140"/>
    </row>
    <row r="1758" spans="3:20" ht="39.75" customHeight="1">
      <c r="C1758" s="196">
        <v>1755</v>
      </c>
      <c r="D1758" s="127"/>
      <c r="E1758" s="129"/>
      <c r="F1758" s="128"/>
      <c r="G1758" s="129"/>
      <c r="H1758" s="129"/>
      <c r="I1758" s="166"/>
      <c r="J1758" s="180"/>
      <c r="K1758" s="128"/>
      <c r="L1758" s="127"/>
      <c r="M1758" s="168"/>
      <c r="N1758" s="173"/>
      <c r="O1758" s="141"/>
      <c r="P1758" s="140"/>
      <c r="Q1758" s="142"/>
      <c r="R1758" s="140"/>
      <c r="S1758" s="142"/>
      <c r="T1758" s="140"/>
    </row>
    <row r="1759" spans="3:20" ht="39.75" customHeight="1">
      <c r="C1759" s="196">
        <v>1756</v>
      </c>
      <c r="D1759" s="127"/>
      <c r="E1759" s="129"/>
      <c r="F1759" s="128"/>
      <c r="G1759" s="129"/>
      <c r="H1759" s="129"/>
      <c r="I1759" s="166"/>
      <c r="J1759" s="180"/>
      <c r="K1759" s="128"/>
      <c r="L1759" s="127"/>
      <c r="M1759" s="168"/>
      <c r="N1759" s="173"/>
      <c r="O1759" s="141"/>
      <c r="P1759" s="140"/>
      <c r="Q1759" s="142"/>
      <c r="R1759" s="140"/>
      <c r="S1759" s="142"/>
      <c r="T1759" s="140"/>
    </row>
    <row r="1760" spans="3:20" ht="39.75" customHeight="1">
      <c r="C1760" s="196">
        <v>1757</v>
      </c>
      <c r="D1760" s="127"/>
      <c r="E1760" s="129"/>
      <c r="F1760" s="128"/>
      <c r="G1760" s="129"/>
      <c r="H1760" s="129"/>
      <c r="I1760" s="166"/>
      <c r="J1760" s="180"/>
      <c r="K1760" s="128"/>
      <c r="L1760" s="127"/>
      <c r="M1760" s="168"/>
      <c r="N1760" s="173"/>
      <c r="O1760" s="141"/>
      <c r="P1760" s="140"/>
      <c r="Q1760" s="142"/>
      <c r="R1760" s="140"/>
      <c r="S1760" s="142"/>
      <c r="T1760" s="140"/>
    </row>
    <row r="1761" spans="3:20" ht="39.75" customHeight="1">
      <c r="C1761" s="196">
        <v>1758</v>
      </c>
      <c r="D1761" s="127"/>
      <c r="E1761" s="129"/>
      <c r="F1761" s="128"/>
      <c r="G1761" s="129"/>
      <c r="H1761" s="129"/>
      <c r="I1761" s="166"/>
      <c r="J1761" s="180"/>
      <c r="K1761" s="128"/>
      <c r="L1761" s="127"/>
      <c r="M1761" s="168"/>
      <c r="N1761" s="173"/>
      <c r="O1761" s="141"/>
      <c r="P1761" s="140"/>
      <c r="Q1761" s="142"/>
      <c r="R1761" s="140"/>
      <c r="S1761" s="142"/>
      <c r="T1761" s="140"/>
    </row>
    <row r="1762" spans="3:20" ht="39.75" customHeight="1">
      <c r="C1762" s="196">
        <v>1759</v>
      </c>
      <c r="D1762" s="127"/>
      <c r="E1762" s="129"/>
      <c r="F1762" s="128"/>
      <c r="G1762" s="129"/>
      <c r="H1762" s="129"/>
      <c r="I1762" s="166"/>
      <c r="J1762" s="180"/>
      <c r="K1762" s="128"/>
      <c r="L1762" s="127"/>
      <c r="M1762" s="168"/>
      <c r="N1762" s="173"/>
      <c r="O1762" s="141"/>
      <c r="P1762" s="140"/>
      <c r="Q1762" s="142"/>
      <c r="R1762" s="140"/>
      <c r="S1762" s="142"/>
      <c r="T1762" s="140"/>
    </row>
    <row r="1763" spans="3:20" ht="39.75" customHeight="1">
      <c r="C1763" s="196">
        <v>1760</v>
      </c>
      <c r="D1763" s="127"/>
      <c r="E1763" s="129"/>
      <c r="F1763" s="128"/>
      <c r="G1763" s="129"/>
      <c r="H1763" s="129"/>
      <c r="I1763" s="166"/>
      <c r="J1763" s="180"/>
      <c r="K1763" s="128"/>
      <c r="L1763" s="127"/>
      <c r="M1763" s="168"/>
      <c r="N1763" s="173"/>
      <c r="O1763" s="141"/>
      <c r="P1763" s="140"/>
      <c r="Q1763" s="142"/>
      <c r="R1763" s="140"/>
      <c r="S1763" s="142"/>
      <c r="T1763" s="140"/>
    </row>
    <row r="1764" spans="3:20" ht="39.75" customHeight="1">
      <c r="C1764" s="196">
        <v>1761</v>
      </c>
      <c r="D1764" s="127"/>
      <c r="E1764" s="129"/>
      <c r="F1764" s="128"/>
      <c r="G1764" s="129"/>
      <c r="H1764" s="129"/>
      <c r="I1764" s="166"/>
      <c r="J1764" s="180"/>
      <c r="K1764" s="128"/>
      <c r="L1764" s="127"/>
      <c r="M1764" s="168"/>
      <c r="N1764" s="173"/>
      <c r="O1764" s="141"/>
      <c r="P1764" s="140"/>
      <c r="Q1764" s="142"/>
      <c r="R1764" s="140"/>
      <c r="S1764" s="142"/>
      <c r="T1764" s="140"/>
    </row>
    <row r="1765" spans="3:20" ht="39.75" customHeight="1">
      <c r="C1765" s="196">
        <v>1762</v>
      </c>
      <c r="D1765" s="127"/>
      <c r="E1765" s="129"/>
      <c r="F1765" s="128"/>
      <c r="G1765" s="129"/>
      <c r="H1765" s="129"/>
      <c r="I1765" s="166"/>
      <c r="J1765" s="180"/>
      <c r="K1765" s="128"/>
      <c r="L1765" s="127"/>
      <c r="M1765" s="168"/>
      <c r="N1765" s="173"/>
      <c r="O1765" s="141"/>
      <c r="P1765" s="140"/>
      <c r="Q1765" s="142"/>
      <c r="R1765" s="140"/>
      <c r="S1765" s="142"/>
      <c r="T1765" s="140"/>
    </row>
    <row r="1766" spans="3:20" ht="39.75" customHeight="1">
      <c r="C1766" s="196">
        <v>1763</v>
      </c>
      <c r="D1766" s="127"/>
      <c r="E1766" s="129"/>
      <c r="F1766" s="128"/>
      <c r="G1766" s="129"/>
      <c r="H1766" s="129"/>
      <c r="I1766" s="166"/>
      <c r="J1766" s="180"/>
      <c r="K1766" s="128"/>
      <c r="L1766" s="127"/>
      <c r="M1766" s="168"/>
      <c r="N1766" s="173"/>
      <c r="O1766" s="141"/>
      <c r="P1766" s="140"/>
      <c r="Q1766" s="142"/>
      <c r="R1766" s="140"/>
      <c r="S1766" s="142"/>
      <c r="T1766" s="140"/>
    </row>
    <row r="1767" spans="3:20" ht="39.75" customHeight="1">
      <c r="C1767" s="196">
        <v>1764</v>
      </c>
      <c r="D1767" s="127"/>
      <c r="E1767" s="129"/>
      <c r="F1767" s="128"/>
      <c r="G1767" s="129"/>
      <c r="H1767" s="129"/>
      <c r="I1767" s="166"/>
      <c r="J1767" s="180"/>
      <c r="K1767" s="128"/>
      <c r="L1767" s="127"/>
      <c r="M1767" s="168"/>
      <c r="N1767" s="173"/>
      <c r="O1767" s="141"/>
      <c r="P1767" s="140"/>
      <c r="Q1767" s="142"/>
      <c r="R1767" s="140"/>
      <c r="S1767" s="142"/>
      <c r="T1767" s="140"/>
    </row>
    <row r="1768" spans="3:20" ht="39.75" customHeight="1">
      <c r="C1768" s="196">
        <v>1765</v>
      </c>
      <c r="D1768" s="127"/>
      <c r="E1768" s="129"/>
      <c r="F1768" s="128"/>
      <c r="G1768" s="129"/>
      <c r="H1768" s="129"/>
      <c r="I1768" s="166"/>
      <c r="J1768" s="180"/>
      <c r="K1768" s="128"/>
      <c r="L1768" s="127"/>
      <c r="M1768" s="168"/>
      <c r="N1768" s="173"/>
      <c r="O1768" s="141"/>
      <c r="P1768" s="140"/>
      <c r="Q1768" s="142"/>
      <c r="R1768" s="140"/>
      <c r="S1768" s="142"/>
      <c r="T1768" s="140"/>
    </row>
    <row r="1769" spans="3:20" ht="39.75" customHeight="1">
      <c r="C1769" s="196">
        <v>1766</v>
      </c>
      <c r="D1769" s="127"/>
      <c r="E1769" s="129"/>
      <c r="F1769" s="128"/>
      <c r="G1769" s="129"/>
      <c r="H1769" s="129"/>
      <c r="I1769" s="166"/>
      <c r="J1769" s="180"/>
      <c r="K1769" s="128"/>
      <c r="L1769" s="127"/>
      <c r="M1769" s="168"/>
      <c r="N1769" s="173"/>
      <c r="O1769" s="141"/>
      <c r="P1769" s="140"/>
      <c r="Q1769" s="142"/>
      <c r="R1769" s="140"/>
      <c r="S1769" s="142"/>
      <c r="T1769" s="140"/>
    </row>
    <row r="1770" spans="3:20" ht="39.75" customHeight="1">
      <c r="C1770" s="196">
        <v>1767</v>
      </c>
      <c r="D1770" s="127"/>
      <c r="E1770" s="129"/>
      <c r="F1770" s="128"/>
      <c r="G1770" s="129"/>
      <c r="H1770" s="129"/>
      <c r="I1770" s="166"/>
      <c r="J1770" s="180"/>
      <c r="K1770" s="128"/>
      <c r="L1770" s="127"/>
      <c r="M1770" s="168"/>
      <c r="N1770" s="173"/>
      <c r="O1770" s="141"/>
      <c r="P1770" s="140"/>
      <c r="Q1770" s="142"/>
      <c r="R1770" s="140"/>
      <c r="S1770" s="142"/>
      <c r="T1770" s="140"/>
    </row>
    <row r="1771" spans="3:20" ht="39.75" customHeight="1">
      <c r="C1771" s="196">
        <v>1768</v>
      </c>
      <c r="D1771" s="127"/>
      <c r="E1771" s="129"/>
      <c r="F1771" s="128"/>
      <c r="G1771" s="129"/>
      <c r="H1771" s="129"/>
      <c r="I1771" s="166"/>
      <c r="J1771" s="180"/>
      <c r="K1771" s="128"/>
      <c r="L1771" s="127"/>
      <c r="M1771" s="168"/>
      <c r="N1771" s="173"/>
      <c r="O1771" s="141"/>
      <c r="P1771" s="140"/>
      <c r="Q1771" s="142"/>
      <c r="R1771" s="140"/>
      <c r="S1771" s="142"/>
      <c r="T1771" s="140"/>
    </row>
    <row r="1772" spans="3:20" ht="39.75" customHeight="1">
      <c r="C1772" s="196">
        <v>1769</v>
      </c>
      <c r="D1772" s="127"/>
      <c r="E1772" s="129"/>
      <c r="F1772" s="128"/>
      <c r="G1772" s="129"/>
      <c r="H1772" s="129"/>
      <c r="I1772" s="166"/>
      <c r="J1772" s="180"/>
      <c r="K1772" s="128"/>
      <c r="L1772" s="127"/>
      <c r="M1772" s="168"/>
      <c r="N1772" s="173"/>
      <c r="O1772" s="141"/>
      <c r="P1772" s="140"/>
      <c r="Q1772" s="142"/>
      <c r="R1772" s="140"/>
      <c r="S1772" s="142"/>
      <c r="T1772" s="140"/>
    </row>
    <row r="1773" spans="3:20" ht="39.75" customHeight="1">
      <c r="C1773" s="196">
        <v>1770</v>
      </c>
      <c r="D1773" s="127"/>
      <c r="E1773" s="129"/>
      <c r="F1773" s="128"/>
      <c r="G1773" s="129"/>
      <c r="H1773" s="129"/>
      <c r="I1773" s="166"/>
      <c r="J1773" s="180"/>
      <c r="K1773" s="128"/>
      <c r="L1773" s="127"/>
      <c r="M1773" s="168"/>
      <c r="N1773" s="173"/>
      <c r="O1773" s="141"/>
      <c r="P1773" s="140"/>
      <c r="Q1773" s="142"/>
      <c r="R1773" s="140"/>
      <c r="S1773" s="142"/>
      <c r="T1773" s="140"/>
    </row>
    <row r="1774" spans="3:20" ht="39.75" customHeight="1">
      <c r="C1774" s="196">
        <v>1771</v>
      </c>
      <c r="D1774" s="127"/>
      <c r="E1774" s="129"/>
      <c r="F1774" s="128"/>
      <c r="G1774" s="129"/>
      <c r="H1774" s="129"/>
      <c r="I1774" s="166"/>
      <c r="J1774" s="180"/>
      <c r="K1774" s="128"/>
      <c r="L1774" s="127"/>
      <c r="M1774" s="168"/>
      <c r="N1774" s="173"/>
      <c r="O1774" s="141"/>
      <c r="P1774" s="140"/>
      <c r="Q1774" s="142"/>
      <c r="R1774" s="140"/>
      <c r="S1774" s="142"/>
      <c r="T1774" s="140"/>
    </row>
    <row r="1775" spans="3:20" ht="39.75" customHeight="1">
      <c r="C1775" s="196">
        <v>1772</v>
      </c>
      <c r="D1775" s="127"/>
      <c r="E1775" s="129"/>
      <c r="F1775" s="128"/>
      <c r="G1775" s="129"/>
      <c r="H1775" s="129"/>
      <c r="I1775" s="166"/>
      <c r="J1775" s="180"/>
      <c r="K1775" s="128"/>
      <c r="L1775" s="127"/>
      <c r="M1775" s="168"/>
      <c r="N1775" s="173"/>
      <c r="O1775" s="141"/>
      <c r="P1775" s="140"/>
      <c r="Q1775" s="142"/>
      <c r="R1775" s="140"/>
      <c r="S1775" s="142"/>
      <c r="T1775" s="140"/>
    </row>
    <row r="1776" spans="3:20" ht="39.75" customHeight="1">
      <c r="C1776" s="196">
        <v>1773</v>
      </c>
      <c r="D1776" s="127"/>
      <c r="E1776" s="129"/>
      <c r="F1776" s="128"/>
      <c r="G1776" s="129"/>
      <c r="H1776" s="129"/>
      <c r="I1776" s="166"/>
      <c r="J1776" s="180"/>
      <c r="K1776" s="128"/>
      <c r="L1776" s="127"/>
      <c r="M1776" s="168"/>
      <c r="N1776" s="173"/>
      <c r="O1776" s="141"/>
      <c r="P1776" s="140"/>
      <c r="Q1776" s="142"/>
      <c r="R1776" s="140"/>
      <c r="S1776" s="142"/>
      <c r="T1776" s="140"/>
    </row>
    <row r="1777" spans="3:20" ht="39.75" customHeight="1">
      <c r="C1777" s="196">
        <v>1774</v>
      </c>
      <c r="D1777" s="127"/>
      <c r="E1777" s="129"/>
      <c r="F1777" s="128"/>
      <c r="G1777" s="129"/>
      <c r="H1777" s="129"/>
      <c r="I1777" s="166"/>
      <c r="J1777" s="180"/>
      <c r="K1777" s="128"/>
      <c r="L1777" s="127"/>
      <c r="M1777" s="168"/>
      <c r="N1777" s="173"/>
      <c r="O1777" s="141"/>
      <c r="P1777" s="140"/>
      <c r="Q1777" s="142"/>
      <c r="R1777" s="140"/>
      <c r="S1777" s="142"/>
      <c r="T1777" s="140"/>
    </row>
    <row r="1778" spans="3:20" ht="39.75" customHeight="1">
      <c r="C1778" s="196">
        <v>1775</v>
      </c>
      <c r="D1778" s="127"/>
      <c r="E1778" s="129"/>
      <c r="F1778" s="128"/>
      <c r="G1778" s="129"/>
      <c r="H1778" s="129"/>
      <c r="I1778" s="166"/>
      <c r="J1778" s="180"/>
      <c r="K1778" s="128"/>
      <c r="L1778" s="127"/>
      <c r="M1778" s="168"/>
      <c r="N1778" s="173"/>
      <c r="O1778" s="141"/>
      <c r="P1778" s="140"/>
      <c r="Q1778" s="142"/>
      <c r="R1778" s="140"/>
      <c r="S1778" s="142"/>
      <c r="T1778" s="140"/>
    </row>
    <row r="1779" spans="3:20" ht="39.75" customHeight="1">
      <c r="C1779" s="196">
        <v>1776</v>
      </c>
      <c r="D1779" s="127"/>
      <c r="E1779" s="129"/>
      <c r="F1779" s="128"/>
      <c r="G1779" s="129"/>
      <c r="H1779" s="129"/>
      <c r="I1779" s="166"/>
      <c r="J1779" s="180"/>
      <c r="K1779" s="128"/>
      <c r="L1779" s="127"/>
      <c r="M1779" s="168"/>
      <c r="N1779" s="173"/>
      <c r="O1779" s="141"/>
      <c r="P1779" s="140"/>
      <c r="Q1779" s="142"/>
      <c r="R1779" s="140"/>
      <c r="S1779" s="142"/>
      <c r="T1779" s="140"/>
    </row>
    <row r="1780" spans="3:20" ht="39.75" customHeight="1">
      <c r="C1780" s="196">
        <v>1777</v>
      </c>
      <c r="D1780" s="127"/>
      <c r="E1780" s="129"/>
      <c r="F1780" s="128"/>
      <c r="G1780" s="129"/>
      <c r="H1780" s="129"/>
      <c r="I1780" s="166"/>
      <c r="J1780" s="180"/>
      <c r="K1780" s="128"/>
      <c r="L1780" s="127"/>
      <c r="M1780" s="168"/>
      <c r="N1780" s="173"/>
      <c r="O1780" s="141"/>
      <c r="P1780" s="140"/>
      <c r="Q1780" s="142"/>
      <c r="R1780" s="140"/>
      <c r="S1780" s="142"/>
      <c r="T1780" s="140"/>
    </row>
    <row r="1781" spans="3:20" ht="39.75" customHeight="1">
      <c r="C1781" s="196">
        <v>1778</v>
      </c>
      <c r="D1781" s="127"/>
      <c r="E1781" s="129"/>
      <c r="F1781" s="128"/>
      <c r="G1781" s="129"/>
      <c r="H1781" s="129"/>
      <c r="I1781" s="166"/>
      <c r="J1781" s="180"/>
      <c r="K1781" s="128"/>
      <c r="L1781" s="127"/>
      <c r="M1781" s="168"/>
      <c r="N1781" s="173"/>
      <c r="O1781" s="141"/>
      <c r="P1781" s="140"/>
      <c r="Q1781" s="142"/>
      <c r="R1781" s="140"/>
      <c r="S1781" s="142"/>
      <c r="T1781" s="140"/>
    </row>
    <row r="1782" spans="3:20" ht="39.75" customHeight="1">
      <c r="C1782" s="196">
        <v>1779</v>
      </c>
      <c r="D1782" s="127"/>
      <c r="E1782" s="129"/>
      <c r="F1782" s="128"/>
      <c r="G1782" s="129"/>
      <c r="H1782" s="129"/>
      <c r="I1782" s="166"/>
      <c r="J1782" s="180"/>
      <c r="K1782" s="128"/>
      <c r="L1782" s="127"/>
      <c r="M1782" s="168"/>
      <c r="N1782" s="173"/>
      <c r="O1782" s="141"/>
      <c r="P1782" s="140"/>
      <c r="Q1782" s="142"/>
      <c r="R1782" s="140"/>
      <c r="S1782" s="142"/>
      <c r="T1782" s="140"/>
    </row>
    <row r="1783" spans="3:20" ht="39.75" customHeight="1">
      <c r="C1783" s="196">
        <v>1780</v>
      </c>
      <c r="D1783" s="127"/>
      <c r="E1783" s="129"/>
      <c r="F1783" s="128"/>
      <c r="G1783" s="129"/>
      <c r="H1783" s="129"/>
      <c r="I1783" s="166"/>
      <c r="J1783" s="180"/>
      <c r="K1783" s="128"/>
      <c r="L1783" s="127"/>
      <c r="M1783" s="168"/>
      <c r="N1783" s="173"/>
      <c r="O1783" s="141"/>
      <c r="P1783" s="140"/>
      <c r="Q1783" s="142"/>
      <c r="R1783" s="140"/>
      <c r="S1783" s="142"/>
      <c r="T1783" s="140"/>
    </row>
    <row r="1784" spans="3:20" ht="39.75" customHeight="1">
      <c r="C1784" s="196">
        <v>1781</v>
      </c>
      <c r="D1784" s="127"/>
      <c r="E1784" s="129"/>
      <c r="F1784" s="128"/>
      <c r="G1784" s="129"/>
      <c r="H1784" s="129"/>
      <c r="I1784" s="166"/>
      <c r="J1784" s="180"/>
      <c r="K1784" s="128"/>
      <c r="L1784" s="127"/>
      <c r="M1784" s="168"/>
      <c r="N1784" s="173"/>
      <c r="O1784" s="141"/>
      <c r="P1784" s="140"/>
      <c r="Q1784" s="142"/>
      <c r="R1784" s="140"/>
      <c r="S1784" s="142"/>
      <c r="T1784" s="140"/>
    </row>
    <row r="1785" spans="3:20" ht="39.75" customHeight="1">
      <c r="C1785" s="196">
        <v>1782</v>
      </c>
      <c r="D1785" s="127"/>
      <c r="E1785" s="129"/>
      <c r="F1785" s="128"/>
      <c r="G1785" s="129"/>
      <c r="H1785" s="129"/>
      <c r="I1785" s="166"/>
      <c r="J1785" s="180"/>
      <c r="K1785" s="128"/>
      <c r="L1785" s="127"/>
      <c r="M1785" s="168"/>
      <c r="N1785" s="173"/>
      <c r="O1785" s="141"/>
      <c r="P1785" s="140"/>
      <c r="Q1785" s="142"/>
      <c r="R1785" s="140"/>
      <c r="S1785" s="142"/>
      <c r="T1785" s="140"/>
    </row>
    <row r="1786" spans="3:20" ht="39.75" customHeight="1">
      <c r="C1786" s="196">
        <v>1783</v>
      </c>
      <c r="D1786" s="127"/>
      <c r="E1786" s="129"/>
      <c r="F1786" s="128"/>
      <c r="G1786" s="129"/>
      <c r="H1786" s="129"/>
      <c r="I1786" s="166"/>
      <c r="J1786" s="180"/>
      <c r="K1786" s="128"/>
      <c r="L1786" s="127"/>
      <c r="M1786" s="168"/>
      <c r="N1786" s="173"/>
      <c r="O1786" s="141"/>
      <c r="P1786" s="140"/>
      <c r="Q1786" s="142"/>
      <c r="R1786" s="140"/>
      <c r="S1786" s="142"/>
      <c r="T1786" s="140"/>
    </row>
    <row r="1787" spans="3:20" ht="39.75" customHeight="1">
      <c r="C1787" s="196">
        <v>1784</v>
      </c>
      <c r="D1787" s="127"/>
      <c r="E1787" s="129"/>
      <c r="F1787" s="128"/>
      <c r="G1787" s="129"/>
      <c r="H1787" s="129"/>
      <c r="I1787" s="166"/>
      <c r="J1787" s="180"/>
      <c r="K1787" s="128"/>
      <c r="L1787" s="127"/>
      <c r="M1787" s="168"/>
      <c r="N1787" s="173"/>
      <c r="O1787" s="141"/>
      <c r="P1787" s="140"/>
      <c r="Q1787" s="142"/>
      <c r="R1787" s="140"/>
      <c r="S1787" s="142"/>
      <c r="T1787" s="140"/>
    </row>
    <row r="1788" spans="3:20" ht="39.75" customHeight="1">
      <c r="C1788" s="196">
        <v>1785</v>
      </c>
      <c r="D1788" s="127"/>
      <c r="E1788" s="129"/>
      <c r="F1788" s="128"/>
      <c r="G1788" s="129"/>
      <c r="H1788" s="129"/>
      <c r="I1788" s="166"/>
      <c r="J1788" s="180"/>
      <c r="K1788" s="128"/>
      <c r="L1788" s="127"/>
      <c r="M1788" s="168"/>
      <c r="N1788" s="173"/>
      <c r="O1788" s="141"/>
      <c r="P1788" s="140"/>
      <c r="Q1788" s="142"/>
      <c r="R1788" s="140"/>
      <c r="S1788" s="142"/>
      <c r="T1788" s="140"/>
    </row>
    <row r="1789" spans="3:20" ht="39.75" customHeight="1">
      <c r="C1789" s="196">
        <v>1786</v>
      </c>
      <c r="D1789" s="127"/>
      <c r="E1789" s="129"/>
      <c r="F1789" s="128"/>
      <c r="G1789" s="129"/>
      <c r="H1789" s="129"/>
      <c r="I1789" s="166"/>
      <c r="J1789" s="180"/>
      <c r="K1789" s="128"/>
      <c r="L1789" s="127"/>
      <c r="M1789" s="168"/>
      <c r="N1789" s="173"/>
      <c r="O1789" s="141"/>
      <c r="P1789" s="140"/>
      <c r="Q1789" s="142"/>
      <c r="R1789" s="140"/>
      <c r="S1789" s="142"/>
      <c r="T1789" s="140"/>
    </row>
    <row r="1790" spans="3:20" ht="39.75" customHeight="1">
      <c r="C1790" s="196">
        <v>1787</v>
      </c>
      <c r="D1790" s="127"/>
      <c r="E1790" s="129"/>
      <c r="F1790" s="128"/>
      <c r="G1790" s="129"/>
      <c r="H1790" s="129"/>
      <c r="I1790" s="166"/>
      <c r="J1790" s="180"/>
      <c r="K1790" s="128"/>
      <c r="L1790" s="127"/>
      <c r="M1790" s="168"/>
      <c r="N1790" s="173"/>
      <c r="O1790" s="141"/>
      <c r="P1790" s="140"/>
      <c r="Q1790" s="142"/>
      <c r="R1790" s="140"/>
      <c r="S1790" s="142"/>
      <c r="T1790" s="140"/>
    </row>
    <row r="1791" spans="3:20" ht="39.75" customHeight="1">
      <c r="C1791" s="196">
        <v>1788</v>
      </c>
      <c r="D1791" s="127"/>
      <c r="E1791" s="129"/>
      <c r="F1791" s="128"/>
      <c r="G1791" s="129"/>
      <c r="H1791" s="129"/>
      <c r="I1791" s="166"/>
      <c r="J1791" s="180"/>
      <c r="K1791" s="128"/>
      <c r="L1791" s="127"/>
      <c r="M1791" s="168"/>
      <c r="N1791" s="173"/>
      <c r="O1791" s="141"/>
      <c r="P1791" s="140"/>
      <c r="Q1791" s="142"/>
      <c r="R1791" s="140"/>
      <c r="S1791" s="142"/>
      <c r="T1791" s="140"/>
    </row>
    <row r="1792" spans="3:20" ht="39.75" customHeight="1">
      <c r="C1792" s="196">
        <v>1789</v>
      </c>
      <c r="D1792" s="127"/>
      <c r="E1792" s="129"/>
      <c r="F1792" s="128"/>
      <c r="G1792" s="129"/>
      <c r="H1792" s="129"/>
      <c r="I1792" s="166"/>
      <c r="J1792" s="180"/>
      <c r="K1792" s="128"/>
      <c r="L1792" s="127"/>
      <c r="M1792" s="168"/>
      <c r="N1792" s="173"/>
      <c r="O1792" s="141"/>
      <c r="P1792" s="140"/>
      <c r="Q1792" s="142"/>
      <c r="R1792" s="140"/>
      <c r="S1792" s="142"/>
      <c r="T1792" s="140"/>
    </row>
    <row r="1793" spans="3:20" ht="39.75" customHeight="1">
      <c r="C1793" s="196">
        <v>1790</v>
      </c>
      <c r="D1793" s="127"/>
      <c r="E1793" s="129"/>
      <c r="F1793" s="128"/>
      <c r="G1793" s="129"/>
      <c r="H1793" s="129"/>
      <c r="I1793" s="166"/>
      <c r="J1793" s="180"/>
      <c r="K1793" s="128"/>
      <c r="L1793" s="127"/>
      <c r="M1793" s="168"/>
      <c r="N1793" s="173"/>
      <c r="O1793" s="141"/>
      <c r="P1793" s="140"/>
      <c r="Q1793" s="142"/>
      <c r="R1793" s="140"/>
      <c r="S1793" s="142"/>
      <c r="T1793" s="140"/>
    </row>
    <row r="1794" spans="3:20" ht="39.75" customHeight="1">
      <c r="C1794" s="196">
        <v>1791</v>
      </c>
      <c r="D1794" s="127"/>
      <c r="E1794" s="129"/>
      <c r="F1794" s="128"/>
      <c r="G1794" s="129"/>
      <c r="H1794" s="129"/>
      <c r="I1794" s="166"/>
      <c r="J1794" s="180"/>
      <c r="K1794" s="128"/>
      <c r="L1794" s="127"/>
      <c r="M1794" s="168"/>
      <c r="N1794" s="173"/>
      <c r="O1794" s="141"/>
      <c r="P1794" s="140"/>
      <c r="Q1794" s="142"/>
      <c r="R1794" s="140"/>
      <c r="S1794" s="142"/>
      <c r="T1794" s="140"/>
    </row>
    <row r="1795" spans="3:20" ht="39.75" customHeight="1">
      <c r="C1795" s="196">
        <v>1792</v>
      </c>
      <c r="D1795" s="127"/>
      <c r="E1795" s="129"/>
      <c r="F1795" s="128"/>
      <c r="G1795" s="129"/>
      <c r="H1795" s="129"/>
      <c r="I1795" s="166"/>
      <c r="J1795" s="180"/>
      <c r="K1795" s="128"/>
      <c r="L1795" s="127"/>
      <c r="M1795" s="168"/>
      <c r="N1795" s="173"/>
      <c r="O1795" s="141"/>
      <c r="P1795" s="140"/>
      <c r="Q1795" s="142"/>
      <c r="R1795" s="140"/>
      <c r="S1795" s="142"/>
      <c r="T1795" s="140"/>
    </row>
    <row r="1796" spans="3:20" ht="39.75" customHeight="1">
      <c r="C1796" s="196">
        <v>1793</v>
      </c>
      <c r="D1796" s="127"/>
      <c r="E1796" s="129"/>
      <c r="F1796" s="128"/>
      <c r="G1796" s="129"/>
      <c r="H1796" s="129"/>
      <c r="I1796" s="166"/>
      <c r="J1796" s="180"/>
      <c r="K1796" s="128"/>
      <c r="L1796" s="127"/>
      <c r="M1796" s="168"/>
      <c r="N1796" s="173"/>
      <c r="O1796" s="141"/>
      <c r="P1796" s="140"/>
      <c r="Q1796" s="142"/>
      <c r="R1796" s="140"/>
      <c r="S1796" s="142"/>
      <c r="T1796" s="140"/>
    </row>
    <row r="1797" spans="3:20" ht="39.75" customHeight="1">
      <c r="C1797" s="196">
        <v>1794</v>
      </c>
      <c r="D1797" s="127"/>
      <c r="E1797" s="129"/>
      <c r="F1797" s="128"/>
      <c r="G1797" s="129"/>
      <c r="H1797" s="129"/>
      <c r="I1797" s="166"/>
      <c r="J1797" s="180"/>
      <c r="K1797" s="128"/>
      <c r="L1797" s="127"/>
      <c r="M1797" s="168"/>
      <c r="N1797" s="173"/>
      <c r="O1797" s="141"/>
      <c r="P1797" s="140"/>
      <c r="Q1797" s="142"/>
      <c r="R1797" s="140"/>
      <c r="S1797" s="142"/>
      <c r="T1797" s="140"/>
    </row>
    <row r="1798" spans="3:20" ht="39.75" customHeight="1">
      <c r="C1798" s="196">
        <v>1795</v>
      </c>
      <c r="D1798" s="127"/>
      <c r="E1798" s="129"/>
      <c r="F1798" s="128"/>
      <c r="G1798" s="129"/>
      <c r="H1798" s="129"/>
      <c r="I1798" s="166"/>
      <c r="J1798" s="180"/>
      <c r="K1798" s="128"/>
      <c r="L1798" s="127"/>
      <c r="M1798" s="168"/>
      <c r="N1798" s="173"/>
      <c r="O1798" s="141"/>
      <c r="P1798" s="140"/>
      <c r="Q1798" s="142"/>
      <c r="R1798" s="140"/>
      <c r="S1798" s="142"/>
      <c r="T1798" s="140"/>
    </row>
    <row r="1799" spans="3:20" ht="39.75" customHeight="1">
      <c r="C1799" s="196">
        <v>1796</v>
      </c>
      <c r="D1799" s="127"/>
      <c r="E1799" s="129"/>
      <c r="F1799" s="128"/>
      <c r="G1799" s="129"/>
      <c r="H1799" s="129"/>
      <c r="I1799" s="166"/>
      <c r="J1799" s="180"/>
      <c r="K1799" s="128"/>
      <c r="L1799" s="127"/>
      <c r="M1799" s="168"/>
      <c r="N1799" s="173"/>
      <c r="O1799" s="141"/>
      <c r="P1799" s="140"/>
      <c r="Q1799" s="142"/>
      <c r="R1799" s="140"/>
      <c r="S1799" s="142"/>
      <c r="T1799" s="140"/>
    </row>
    <row r="1800" spans="3:20" ht="39.75" customHeight="1">
      <c r="C1800" s="196">
        <v>1797</v>
      </c>
      <c r="D1800" s="127"/>
      <c r="E1800" s="129"/>
      <c r="F1800" s="128"/>
      <c r="G1800" s="129"/>
      <c r="H1800" s="129"/>
      <c r="I1800" s="166"/>
      <c r="J1800" s="180"/>
      <c r="K1800" s="128"/>
      <c r="L1800" s="127"/>
      <c r="M1800" s="168"/>
      <c r="N1800" s="173"/>
      <c r="O1800" s="141"/>
      <c r="P1800" s="140"/>
      <c r="Q1800" s="142"/>
      <c r="R1800" s="140"/>
      <c r="S1800" s="142"/>
      <c r="T1800" s="140"/>
    </row>
    <row r="1801" spans="3:20" ht="39.75" customHeight="1">
      <c r="C1801" s="196">
        <v>1798</v>
      </c>
      <c r="D1801" s="127"/>
      <c r="E1801" s="129"/>
      <c r="F1801" s="128"/>
      <c r="G1801" s="129"/>
      <c r="H1801" s="129"/>
      <c r="I1801" s="166"/>
      <c r="J1801" s="180"/>
      <c r="K1801" s="128"/>
      <c r="L1801" s="127"/>
      <c r="M1801" s="168"/>
      <c r="N1801" s="173"/>
      <c r="O1801" s="141"/>
      <c r="P1801" s="140"/>
      <c r="Q1801" s="142"/>
      <c r="R1801" s="140"/>
      <c r="S1801" s="142"/>
      <c r="T1801" s="140"/>
    </row>
    <row r="1802" spans="3:20" ht="39.75" customHeight="1">
      <c r="C1802" s="196">
        <v>1799</v>
      </c>
      <c r="D1802" s="127"/>
      <c r="E1802" s="129"/>
      <c r="F1802" s="128"/>
      <c r="G1802" s="129"/>
      <c r="H1802" s="129"/>
      <c r="I1802" s="166"/>
      <c r="J1802" s="180"/>
      <c r="K1802" s="128"/>
      <c r="L1802" s="127"/>
      <c r="M1802" s="168"/>
      <c r="N1802" s="173"/>
      <c r="O1802" s="141"/>
      <c r="P1802" s="140"/>
      <c r="Q1802" s="142"/>
      <c r="R1802" s="140"/>
      <c r="S1802" s="142"/>
      <c r="T1802" s="140"/>
    </row>
    <row r="1803" spans="3:20" ht="39.75" customHeight="1">
      <c r="C1803" s="196">
        <v>1800</v>
      </c>
      <c r="D1803" s="127"/>
      <c r="E1803" s="129"/>
      <c r="F1803" s="128"/>
      <c r="G1803" s="129"/>
      <c r="H1803" s="129"/>
      <c r="I1803" s="166"/>
      <c r="J1803" s="180"/>
      <c r="K1803" s="128"/>
      <c r="L1803" s="127"/>
      <c r="M1803" s="168"/>
      <c r="N1803" s="173"/>
      <c r="O1803" s="141"/>
      <c r="P1803" s="140"/>
      <c r="Q1803" s="142"/>
      <c r="R1803" s="140"/>
      <c r="S1803" s="142"/>
      <c r="T1803" s="140"/>
    </row>
    <row r="1804" spans="3:20" ht="39.75" customHeight="1">
      <c r="C1804" s="196">
        <v>1801</v>
      </c>
      <c r="D1804" s="127"/>
      <c r="E1804" s="129"/>
      <c r="F1804" s="128"/>
      <c r="G1804" s="129"/>
      <c r="H1804" s="129"/>
      <c r="I1804" s="166"/>
      <c r="J1804" s="180"/>
      <c r="K1804" s="128"/>
      <c r="L1804" s="127"/>
      <c r="M1804" s="168"/>
      <c r="N1804" s="173"/>
      <c r="O1804" s="141"/>
      <c r="P1804" s="140"/>
      <c r="Q1804" s="142"/>
      <c r="R1804" s="140"/>
      <c r="S1804" s="142"/>
      <c r="T1804" s="140"/>
    </row>
    <row r="1805" spans="3:20" ht="39.75" customHeight="1">
      <c r="C1805" s="196">
        <v>1802</v>
      </c>
      <c r="D1805" s="127"/>
      <c r="E1805" s="129"/>
      <c r="F1805" s="128"/>
      <c r="G1805" s="129"/>
      <c r="H1805" s="129"/>
      <c r="I1805" s="166"/>
      <c r="J1805" s="180"/>
      <c r="K1805" s="128"/>
      <c r="L1805" s="127"/>
      <c r="M1805" s="168"/>
      <c r="N1805" s="173"/>
      <c r="O1805" s="141"/>
      <c r="P1805" s="140"/>
      <c r="Q1805" s="142"/>
      <c r="R1805" s="140"/>
      <c r="S1805" s="142"/>
      <c r="T1805" s="140"/>
    </row>
    <row r="1806" spans="3:20" ht="39.75" customHeight="1">
      <c r="C1806" s="196">
        <v>1803</v>
      </c>
      <c r="D1806" s="127"/>
      <c r="E1806" s="129"/>
      <c r="F1806" s="128"/>
      <c r="G1806" s="129"/>
      <c r="H1806" s="129"/>
      <c r="I1806" s="166"/>
      <c r="J1806" s="180"/>
      <c r="K1806" s="128"/>
      <c r="L1806" s="127"/>
      <c r="M1806" s="168"/>
      <c r="N1806" s="173"/>
      <c r="O1806" s="141"/>
      <c r="P1806" s="140"/>
      <c r="Q1806" s="142"/>
      <c r="R1806" s="140"/>
      <c r="S1806" s="142"/>
      <c r="T1806" s="140"/>
    </row>
    <row r="1807" spans="3:20" ht="39.75" customHeight="1">
      <c r="C1807" s="196">
        <v>1804</v>
      </c>
      <c r="D1807" s="127"/>
      <c r="E1807" s="129"/>
      <c r="F1807" s="128"/>
      <c r="G1807" s="129"/>
      <c r="H1807" s="129"/>
      <c r="I1807" s="166"/>
      <c r="J1807" s="180"/>
      <c r="K1807" s="128"/>
      <c r="L1807" s="127"/>
      <c r="M1807" s="168"/>
      <c r="N1807" s="173"/>
      <c r="O1807" s="141"/>
      <c r="P1807" s="140"/>
      <c r="Q1807" s="142"/>
      <c r="R1807" s="140"/>
      <c r="S1807" s="142"/>
      <c r="T1807" s="140"/>
    </row>
    <row r="1808" spans="3:20" ht="39.75" customHeight="1">
      <c r="C1808" s="196">
        <v>1805</v>
      </c>
      <c r="D1808" s="127"/>
      <c r="E1808" s="129"/>
      <c r="F1808" s="128"/>
      <c r="G1808" s="129"/>
      <c r="H1808" s="129"/>
      <c r="I1808" s="166"/>
      <c r="J1808" s="180"/>
      <c r="K1808" s="128"/>
      <c r="L1808" s="127"/>
      <c r="M1808" s="168"/>
      <c r="N1808" s="173"/>
      <c r="O1808" s="141"/>
      <c r="P1808" s="140"/>
      <c r="Q1808" s="142"/>
      <c r="R1808" s="140"/>
      <c r="S1808" s="142"/>
      <c r="T1808" s="140"/>
    </row>
    <row r="1809" spans="3:20" ht="39.75" customHeight="1">
      <c r="C1809" s="196">
        <v>1806</v>
      </c>
      <c r="D1809" s="127"/>
      <c r="E1809" s="129"/>
      <c r="F1809" s="128"/>
      <c r="G1809" s="129"/>
      <c r="H1809" s="129"/>
      <c r="I1809" s="166"/>
      <c r="J1809" s="180"/>
      <c r="K1809" s="128"/>
      <c r="L1809" s="127"/>
      <c r="M1809" s="168"/>
      <c r="N1809" s="173"/>
      <c r="O1809" s="141"/>
      <c r="P1809" s="140"/>
      <c r="Q1809" s="142"/>
      <c r="R1809" s="140"/>
      <c r="S1809" s="142"/>
      <c r="T1809" s="140"/>
    </row>
    <row r="1810" spans="3:20" ht="39.75" customHeight="1">
      <c r="C1810" s="196">
        <v>1807</v>
      </c>
      <c r="D1810" s="127"/>
      <c r="E1810" s="129"/>
      <c r="F1810" s="128"/>
      <c r="G1810" s="129"/>
      <c r="H1810" s="129"/>
      <c r="I1810" s="166"/>
      <c r="J1810" s="180"/>
      <c r="K1810" s="128"/>
      <c r="L1810" s="127"/>
      <c r="M1810" s="168"/>
      <c r="N1810" s="173"/>
      <c r="O1810" s="141"/>
      <c r="P1810" s="140"/>
      <c r="Q1810" s="142"/>
      <c r="R1810" s="140"/>
      <c r="S1810" s="142"/>
      <c r="T1810" s="140"/>
    </row>
    <row r="1811" spans="3:20" ht="39.75" customHeight="1">
      <c r="C1811" s="196">
        <v>1808</v>
      </c>
      <c r="D1811" s="127"/>
      <c r="E1811" s="129"/>
      <c r="F1811" s="128"/>
      <c r="G1811" s="129"/>
      <c r="H1811" s="129"/>
      <c r="I1811" s="166"/>
      <c r="J1811" s="180"/>
      <c r="K1811" s="128"/>
      <c r="L1811" s="127"/>
      <c r="M1811" s="168"/>
      <c r="N1811" s="173"/>
      <c r="O1811" s="141"/>
      <c r="P1811" s="140"/>
      <c r="Q1811" s="142"/>
      <c r="R1811" s="140"/>
      <c r="S1811" s="142"/>
      <c r="T1811" s="140"/>
    </row>
    <row r="1812" spans="3:20" ht="39.75" customHeight="1">
      <c r="C1812" s="196">
        <v>1809</v>
      </c>
      <c r="D1812" s="127"/>
      <c r="E1812" s="129"/>
      <c r="F1812" s="128"/>
      <c r="G1812" s="129"/>
      <c r="H1812" s="129"/>
      <c r="I1812" s="166"/>
      <c r="J1812" s="180"/>
      <c r="K1812" s="128"/>
      <c r="L1812" s="127"/>
      <c r="M1812" s="168"/>
      <c r="N1812" s="173"/>
      <c r="O1812" s="141"/>
      <c r="P1812" s="140"/>
      <c r="Q1812" s="142"/>
      <c r="R1812" s="140"/>
      <c r="S1812" s="142"/>
      <c r="T1812" s="140"/>
    </row>
    <row r="1813" spans="3:20" ht="39.75" customHeight="1">
      <c r="C1813" s="196">
        <v>1810</v>
      </c>
      <c r="D1813" s="127"/>
      <c r="E1813" s="129"/>
      <c r="F1813" s="128"/>
      <c r="G1813" s="129"/>
      <c r="H1813" s="129"/>
      <c r="I1813" s="166"/>
      <c r="J1813" s="180"/>
      <c r="K1813" s="128"/>
      <c r="L1813" s="127"/>
      <c r="M1813" s="168"/>
      <c r="N1813" s="173"/>
      <c r="O1813" s="141"/>
      <c r="P1813" s="140"/>
      <c r="Q1813" s="142"/>
      <c r="R1813" s="140"/>
      <c r="S1813" s="142"/>
      <c r="T1813" s="140"/>
    </row>
    <row r="1814" spans="3:20" ht="39.75" customHeight="1">
      <c r="C1814" s="196">
        <v>1811</v>
      </c>
      <c r="D1814" s="127"/>
      <c r="E1814" s="129"/>
      <c r="F1814" s="128"/>
      <c r="G1814" s="129"/>
      <c r="H1814" s="129"/>
      <c r="I1814" s="166"/>
      <c r="J1814" s="180"/>
      <c r="K1814" s="128"/>
      <c r="L1814" s="127"/>
      <c r="M1814" s="168"/>
      <c r="N1814" s="173"/>
      <c r="O1814" s="141"/>
      <c r="P1814" s="140"/>
      <c r="Q1814" s="142"/>
      <c r="R1814" s="140"/>
      <c r="S1814" s="142"/>
      <c r="T1814" s="140"/>
    </row>
    <row r="1815" spans="3:20" ht="39.75" customHeight="1">
      <c r="C1815" s="196">
        <v>1812</v>
      </c>
      <c r="D1815" s="127"/>
      <c r="E1815" s="129"/>
      <c r="F1815" s="128"/>
      <c r="G1815" s="129"/>
      <c r="H1815" s="129"/>
      <c r="I1815" s="166"/>
      <c r="J1815" s="180"/>
      <c r="K1815" s="128"/>
      <c r="L1815" s="127"/>
      <c r="M1815" s="168"/>
      <c r="N1815" s="173"/>
      <c r="O1815" s="141"/>
      <c r="P1815" s="140"/>
      <c r="Q1815" s="142"/>
      <c r="R1815" s="140"/>
      <c r="S1815" s="142"/>
      <c r="T1815" s="140"/>
    </row>
    <row r="1816" spans="3:20" ht="39.75" customHeight="1">
      <c r="C1816" s="196">
        <v>1813</v>
      </c>
      <c r="D1816" s="127"/>
      <c r="E1816" s="129"/>
      <c r="F1816" s="128"/>
      <c r="G1816" s="129"/>
      <c r="H1816" s="129"/>
      <c r="I1816" s="166"/>
      <c r="J1816" s="180"/>
      <c r="K1816" s="128"/>
      <c r="L1816" s="127"/>
      <c r="M1816" s="168"/>
      <c r="N1816" s="173"/>
      <c r="O1816" s="141"/>
      <c r="P1816" s="140"/>
      <c r="Q1816" s="142"/>
      <c r="R1816" s="140"/>
      <c r="S1816" s="142"/>
      <c r="T1816" s="140"/>
    </row>
    <row r="1817" spans="3:20" ht="39.75" customHeight="1">
      <c r="C1817" s="196">
        <v>1814</v>
      </c>
      <c r="D1817" s="127"/>
      <c r="E1817" s="129"/>
      <c r="F1817" s="128"/>
      <c r="G1817" s="129"/>
      <c r="H1817" s="129"/>
      <c r="I1817" s="166"/>
      <c r="J1817" s="180"/>
      <c r="K1817" s="128"/>
      <c r="L1817" s="127"/>
      <c r="M1817" s="168"/>
      <c r="N1817" s="173"/>
      <c r="O1817" s="141"/>
      <c r="P1817" s="140"/>
      <c r="Q1817" s="142"/>
      <c r="R1817" s="140"/>
      <c r="S1817" s="142"/>
      <c r="T1817" s="140"/>
    </row>
    <row r="1818" spans="3:20" ht="39.75" customHeight="1">
      <c r="C1818" s="196">
        <v>1815</v>
      </c>
      <c r="D1818" s="127"/>
      <c r="E1818" s="129"/>
      <c r="F1818" s="128"/>
      <c r="G1818" s="129"/>
      <c r="H1818" s="129"/>
      <c r="I1818" s="166"/>
      <c r="J1818" s="180"/>
      <c r="K1818" s="128"/>
      <c r="L1818" s="127"/>
      <c r="M1818" s="168"/>
      <c r="N1818" s="173"/>
      <c r="O1818" s="141"/>
      <c r="P1818" s="140"/>
      <c r="Q1818" s="142"/>
      <c r="R1818" s="140"/>
      <c r="S1818" s="142"/>
      <c r="T1818" s="140"/>
    </row>
    <row r="1819" spans="3:20" ht="39.75" customHeight="1">
      <c r="C1819" s="196">
        <v>1816</v>
      </c>
      <c r="D1819" s="127"/>
      <c r="E1819" s="129"/>
      <c r="F1819" s="128"/>
      <c r="G1819" s="129"/>
      <c r="H1819" s="129"/>
      <c r="I1819" s="166"/>
      <c r="J1819" s="180"/>
      <c r="K1819" s="128"/>
      <c r="L1819" s="127"/>
      <c r="M1819" s="168"/>
      <c r="N1819" s="173"/>
      <c r="O1819" s="141"/>
      <c r="P1819" s="140"/>
      <c r="Q1819" s="142"/>
      <c r="R1819" s="140"/>
      <c r="S1819" s="142"/>
      <c r="T1819" s="140"/>
    </row>
    <row r="1820" spans="3:20" ht="39.75" customHeight="1">
      <c r="C1820" s="196">
        <v>1817</v>
      </c>
      <c r="D1820" s="127"/>
      <c r="E1820" s="129"/>
      <c r="F1820" s="128"/>
      <c r="G1820" s="129"/>
      <c r="H1820" s="129"/>
      <c r="I1820" s="166"/>
      <c r="J1820" s="180"/>
      <c r="K1820" s="128"/>
      <c r="L1820" s="127"/>
      <c r="M1820" s="168"/>
      <c r="N1820" s="173"/>
      <c r="O1820" s="141"/>
      <c r="P1820" s="140"/>
      <c r="Q1820" s="142"/>
      <c r="R1820" s="140"/>
      <c r="S1820" s="142"/>
      <c r="T1820" s="140"/>
    </row>
    <row r="1821" spans="3:20" ht="39.75" customHeight="1">
      <c r="C1821" s="196">
        <v>1818</v>
      </c>
      <c r="D1821" s="127"/>
      <c r="E1821" s="129"/>
      <c r="F1821" s="128"/>
      <c r="G1821" s="129"/>
      <c r="H1821" s="129"/>
      <c r="I1821" s="166"/>
      <c r="J1821" s="180"/>
      <c r="K1821" s="128"/>
      <c r="L1821" s="127"/>
      <c r="M1821" s="168"/>
      <c r="N1821" s="173"/>
      <c r="O1821" s="141"/>
      <c r="P1821" s="140"/>
      <c r="Q1821" s="142"/>
      <c r="R1821" s="140"/>
      <c r="S1821" s="142"/>
      <c r="T1821" s="140"/>
    </row>
    <row r="1822" spans="3:20" ht="39.75" customHeight="1">
      <c r="C1822" s="196">
        <v>1819</v>
      </c>
      <c r="D1822" s="127"/>
      <c r="E1822" s="129"/>
      <c r="F1822" s="128"/>
      <c r="G1822" s="129"/>
      <c r="H1822" s="129"/>
      <c r="I1822" s="166"/>
      <c r="J1822" s="180"/>
      <c r="K1822" s="128"/>
      <c r="L1822" s="127"/>
      <c r="M1822" s="168"/>
      <c r="N1822" s="173"/>
      <c r="O1822" s="141"/>
      <c r="P1822" s="140"/>
      <c r="Q1822" s="142"/>
      <c r="R1822" s="140"/>
      <c r="S1822" s="142"/>
      <c r="T1822" s="140"/>
    </row>
    <row r="1823" spans="3:20" ht="39.75" customHeight="1">
      <c r="C1823" s="196">
        <v>1820</v>
      </c>
      <c r="D1823" s="127"/>
      <c r="E1823" s="129"/>
      <c r="F1823" s="128"/>
      <c r="G1823" s="129"/>
      <c r="H1823" s="129"/>
      <c r="I1823" s="166"/>
      <c r="J1823" s="180"/>
      <c r="K1823" s="128"/>
      <c r="L1823" s="127"/>
      <c r="M1823" s="168"/>
      <c r="N1823" s="173"/>
      <c r="O1823" s="141"/>
      <c r="P1823" s="140"/>
      <c r="Q1823" s="142"/>
      <c r="R1823" s="140"/>
      <c r="S1823" s="142"/>
      <c r="T1823" s="140"/>
    </row>
    <row r="1824" spans="3:20" ht="39.75" customHeight="1">
      <c r="C1824" s="196">
        <v>1821</v>
      </c>
      <c r="D1824" s="127"/>
      <c r="E1824" s="129"/>
      <c r="F1824" s="128"/>
      <c r="G1824" s="129"/>
      <c r="H1824" s="129"/>
      <c r="I1824" s="166"/>
      <c r="J1824" s="180"/>
      <c r="K1824" s="128"/>
      <c r="L1824" s="127"/>
      <c r="M1824" s="168"/>
      <c r="N1824" s="173"/>
      <c r="O1824" s="141"/>
      <c r="P1824" s="140"/>
      <c r="Q1824" s="142"/>
      <c r="R1824" s="140"/>
      <c r="S1824" s="142"/>
      <c r="T1824" s="140"/>
    </row>
    <row r="1825" spans="3:20" ht="39.75" customHeight="1">
      <c r="C1825" s="196">
        <v>1822</v>
      </c>
      <c r="D1825" s="127"/>
      <c r="E1825" s="129"/>
      <c r="F1825" s="128"/>
      <c r="G1825" s="129"/>
      <c r="H1825" s="129"/>
      <c r="I1825" s="166"/>
      <c r="J1825" s="180"/>
      <c r="K1825" s="128"/>
      <c r="L1825" s="127"/>
      <c r="M1825" s="168"/>
      <c r="N1825" s="173"/>
      <c r="O1825" s="141"/>
      <c r="P1825" s="140"/>
      <c r="Q1825" s="142"/>
      <c r="R1825" s="140"/>
      <c r="S1825" s="142"/>
      <c r="T1825" s="140"/>
    </row>
    <row r="1826" spans="3:20" ht="39.75" customHeight="1">
      <c r="C1826" s="196">
        <v>1823</v>
      </c>
      <c r="D1826" s="127"/>
      <c r="E1826" s="129"/>
      <c r="F1826" s="128"/>
      <c r="G1826" s="129"/>
      <c r="H1826" s="129"/>
      <c r="I1826" s="166"/>
      <c r="J1826" s="180"/>
      <c r="K1826" s="128"/>
      <c r="L1826" s="127"/>
      <c r="M1826" s="168"/>
      <c r="N1826" s="173"/>
      <c r="O1826" s="141"/>
      <c r="P1826" s="140"/>
      <c r="Q1826" s="142"/>
      <c r="R1826" s="140"/>
      <c r="S1826" s="142"/>
      <c r="T1826" s="140"/>
    </row>
    <row r="1827" spans="3:20" ht="39.75" customHeight="1">
      <c r="C1827" s="196">
        <v>1824</v>
      </c>
      <c r="D1827" s="127"/>
      <c r="E1827" s="129"/>
      <c r="F1827" s="128"/>
      <c r="G1827" s="129"/>
      <c r="H1827" s="129"/>
      <c r="I1827" s="166"/>
      <c r="J1827" s="180"/>
      <c r="K1827" s="128"/>
      <c r="L1827" s="127"/>
      <c r="M1827" s="168"/>
      <c r="N1827" s="173"/>
      <c r="O1827" s="141"/>
      <c r="P1827" s="140"/>
      <c r="Q1827" s="142"/>
      <c r="R1827" s="140"/>
      <c r="S1827" s="142"/>
      <c r="T1827" s="140"/>
    </row>
    <row r="1828" spans="3:20" ht="39.75" customHeight="1">
      <c r="C1828" s="196">
        <v>1825</v>
      </c>
      <c r="D1828" s="127"/>
      <c r="E1828" s="129"/>
      <c r="F1828" s="128"/>
      <c r="G1828" s="129"/>
      <c r="H1828" s="129"/>
      <c r="I1828" s="166"/>
      <c r="J1828" s="180"/>
      <c r="K1828" s="128"/>
      <c r="L1828" s="127"/>
      <c r="M1828" s="168"/>
      <c r="N1828" s="173"/>
      <c r="O1828" s="141"/>
      <c r="P1828" s="140"/>
      <c r="Q1828" s="142"/>
      <c r="R1828" s="140"/>
      <c r="S1828" s="142"/>
      <c r="T1828" s="140"/>
    </row>
    <row r="1829" spans="3:20" ht="39.75" customHeight="1">
      <c r="C1829" s="196">
        <v>1826</v>
      </c>
      <c r="D1829" s="127"/>
      <c r="E1829" s="129"/>
      <c r="F1829" s="128"/>
      <c r="G1829" s="129"/>
      <c r="H1829" s="129"/>
      <c r="I1829" s="166"/>
      <c r="J1829" s="180"/>
      <c r="K1829" s="128"/>
      <c r="L1829" s="127"/>
      <c r="M1829" s="168"/>
      <c r="N1829" s="173"/>
      <c r="O1829" s="141"/>
      <c r="P1829" s="140"/>
      <c r="Q1829" s="142"/>
      <c r="R1829" s="140"/>
      <c r="S1829" s="142"/>
      <c r="T1829" s="140"/>
    </row>
    <row r="1830" spans="3:20" ht="39.75" customHeight="1">
      <c r="C1830" s="196">
        <v>1827</v>
      </c>
      <c r="D1830" s="127"/>
      <c r="E1830" s="129"/>
      <c r="F1830" s="128"/>
      <c r="G1830" s="129"/>
      <c r="H1830" s="129"/>
      <c r="I1830" s="166"/>
      <c r="J1830" s="180"/>
      <c r="K1830" s="128"/>
      <c r="L1830" s="127"/>
      <c r="M1830" s="168"/>
      <c r="N1830" s="173"/>
      <c r="O1830" s="141"/>
      <c r="P1830" s="140"/>
      <c r="Q1830" s="142"/>
      <c r="R1830" s="140"/>
      <c r="S1830" s="142"/>
      <c r="T1830" s="140"/>
    </row>
    <row r="1831" spans="3:20" ht="39.75" customHeight="1">
      <c r="C1831" s="196">
        <v>1828</v>
      </c>
      <c r="D1831" s="127"/>
      <c r="E1831" s="129"/>
      <c r="F1831" s="128"/>
      <c r="G1831" s="129"/>
      <c r="H1831" s="129"/>
      <c r="I1831" s="166"/>
      <c r="J1831" s="180"/>
      <c r="K1831" s="128"/>
      <c r="L1831" s="127"/>
      <c r="M1831" s="168"/>
      <c r="N1831" s="173"/>
      <c r="O1831" s="141"/>
      <c r="P1831" s="140"/>
      <c r="Q1831" s="142"/>
      <c r="R1831" s="140"/>
      <c r="S1831" s="142"/>
      <c r="T1831" s="140"/>
    </row>
    <row r="1832" spans="3:20" ht="39.75" customHeight="1">
      <c r="C1832" s="196">
        <v>1829</v>
      </c>
      <c r="D1832" s="127"/>
      <c r="E1832" s="129"/>
      <c r="F1832" s="128"/>
      <c r="G1832" s="129"/>
      <c r="H1832" s="129"/>
      <c r="I1832" s="166"/>
      <c r="J1832" s="180"/>
      <c r="K1832" s="128"/>
      <c r="L1832" s="127"/>
      <c r="M1832" s="168"/>
      <c r="N1832" s="173"/>
      <c r="O1832" s="141"/>
      <c r="P1832" s="140"/>
      <c r="Q1832" s="142"/>
      <c r="R1832" s="140"/>
      <c r="S1832" s="142"/>
      <c r="T1832" s="140"/>
    </row>
    <row r="1833" spans="3:20" ht="39.75" customHeight="1">
      <c r="C1833" s="196">
        <v>1830</v>
      </c>
      <c r="D1833" s="127"/>
      <c r="E1833" s="129"/>
      <c r="F1833" s="128"/>
      <c r="G1833" s="129"/>
      <c r="H1833" s="129"/>
      <c r="I1833" s="166"/>
      <c r="J1833" s="180"/>
      <c r="K1833" s="128"/>
      <c r="L1833" s="127"/>
      <c r="M1833" s="168"/>
      <c r="N1833" s="173"/>
      <c r="O1833" s="141"/>
      <c r="P1833" s="140"/>
      <c r="Q1833" s="142"/>
      <c r="R1833" s="140"/>
      <c r="S1833" s="142"/>
      <c r="T1833" s="140"/>
    </row>
    <row r="1834" spans="3:20" ht="39.75" customHeight="1">
      <c r="C1834" s="196">
        <v>1831</v>
      </c>
      <c r="D1834" s="127"/>
      <c r="E1834" s="129"/>
      <c r="F1834" s="128"/>
      <c r="G1834" s="129"/>
      <c r="H1834" s="129"/>
      <c r="I1834" s="166"/>
      <c r="J1834" s="180"/>
      <c r="K1834" s="128"/>
      <c r="L1834" s="127"/>
      <c r="M1834" s="168"/>
      <c r="N1834" s="173"/>
      <c r="O1834" s="141"/>
      <c r="P1834" s="140"/>
      <c r="Q1834" s="142"/>
      <c r="R1834" s="140"/>
      <c r="S1834" s="142"/>
      <c r="T1834" s="140"/>
    </row>
    <row r="1835" spans="3:20" ht="39.75" customHeight="1">
      <c r="C1835" s="196">
        <v>1832</v>
      </c>
      <c r="D1835" s="127"/>
      <c r="E1835" s="129"/>
      <c r="F1835" s="128"/>
      <c r="G1835" s="129"/>
      <c r="H1835" s="129"/>
      <c r="I1835" s="166"/>
      <c r="J1835" s="180"/>
      <c r="K1835" s="128"/>
      <c r="L1835" s="127"/>
      <c r="M1835" s="168"/>
      <c r="N1835" s="173"/>
      <c r="O1835" s="141"/>
      <c r="P1835" s="140"/>
      <c r="Q1835" s="142"/>
      <c r="R1835" s="140"/>
      <c r="S1835" s="142"/>
      <c r="T1835" s="140"/>
    </row>
    <row r="1836" spans="3:20" ht="39.75" customHeight="1">
      <c r="C1836" s="196">
        <v>1833</v>
      </c>
      <c r="D1836" s="127"/>
      <c r="E1836" s="129"/>
      <c r="F1836" s="128"/>
      <c r="G1836" s="129"/>
      <c r="H1836" s="129"/>
      <c r="I1836" s="166"/>
      <c r="J1836" s="180"/>
      <c r="K1836" s="128"/>
      <c r="L1836" s="127"/>
      <c r="M1836" s="168"/>
      <c r="N1836" s="173"/>
      <c r="O1836" s="141"/>
      <c r="P1836" s="140"/>
      <c r="Q1836" s="142"/>
      <c r="R1836" s="140"/>
      <c r="S1836" s="142"/>
      <c r="T1836" s="140"/>
    </row>
    <row r="1837" spans="3:20" ht="39.75" customHeight="1">
      <c r="C1837" s="196">
        <v>1834</v>
      </c>
      <c r="D1837" s="127"/>
      <c r="E1837" s="129"/>
      <c r="F1837" s="128"/>
      <c r="G1837" s="129"/>
      <c r="H1837" s="129"/>
      <c r="I1837" s="166"/>
      <c r="J1837" s="180"/>
      <c r="K1837" s="128"/>
      <c r="L1837" s="127"/>
      <c r="M1837" s="168"/>
      <c r="N1837" s="173"/>
      <c r="O1837" s="141"/>
      <c r="P1837" s="140"/>
      <c r="Q1837" s="142"/>
      <c r="R1837" s="140"/>
      <c r="S1837" s="142"/>
      <c r="T1837" s="140"/>
    </row>
    <row r="1838" spans="3:20" ht="39.75" customHeight="1">
      <c r="C1838" s="196">
        <v>1835</v>
      </c>
      <c r="D1838" s="127"/>
      <c r="E1838" s="129"/>
      <c r="F1838" s="128"/>
      <c r="G1838" s="129"/>
      <c r="H1838" s="129"/>
      <c r="I1838" s="166"/>
      <c r="J1838" s="180"/>
      <c r="K1838" s="128"/>
      <c r="L1838" s="127"/>
      <c r="M1838" s="168"/>
      <c r="N1838" s="173"/>
      <c r="O1838" s="141"/>
      <c r="P1838" s="140"/>
      <c r="Q1838" s="142"/>
      <c r="R1838" s="140"/>
      <c r="S1838" s="142"/>
      <c r="T1838" s="140"/>
    </row>
    <row r="1839" spans="3:20" ht="39.75" customHeight="1">
      <c r="C1839" s="196">
        <v>1836</v>
      </c>
      <c r="D1839" s="127"/>
      <c r="E1839" s="129"/>
      <c r="F1839" s="128"/>
      <c r="G1839" s="129"/>
      <c r="H1839" s="129"/>
      <c r="I1839" s="166"/>
      <c r="J1839" s="180"/>
      <c r="K1839" s="128"/>
      <c r="L1839" s="127"/>
      <c r="M1839" s="168"/>
      <c r="N1839" s="173"/>
      <c r="O1839" s="141"/>
      <c r="P1839" s="140"/>
      <c r="Q1839" s="142"/>
      <c r="R1839" s="140"/>
      <c r="S1839" s="142"/>
      <c r="T1839" s="140"/>
    </row>
    <row r="1840" spans="3:20" ht="39.75" customHeight="1">
      <c r="C1840" s="196">
        <v>1837</v>
      </c>
      <c r="D1840" s="127"/>
      <c r="E1840" s="129"/>
      <c r="F1840" s="128"/>
      <c r="G1840" s="129"/>
      <c r="H1840" s="129"/>
      <c r="I1840" s="166"/>
      <c r="J1840" s="180"/>
      <c r="K1840" s="128"/>
      <c r="L1840" s="127"/>
      <c r="M1840" s="168"/>
      <c r="N1840" s="173"/>
      <c r="O1840" s="141"/>
      <c r="P1840" s="140"/>
      <c r="Q1840" s="142"/>
      <c r="R1840" s="140"/>
      <c r="S1840" s="142"/>
      <c r="T1840" s="140"/>
    </row>
    <row r="1841" spans="3:20" ht="39.75" customHeight="1">
      <c r="C1841" s="196">
        <v>1838</v>
      </c>
      <c r="D1841" s="127"/>
      <c r="E1841" s="129"/>
      <c r="F1841" s="128"/>
      <c r="G1841" s="129"/>
      <c r="H1841" s="129"/>
      <c r="I1841" s="166"/>
      <c r="J1841" s="180"/>
      <c r="K1841" s="128"/>
      <c r="L1841" s="127"/>
      <c r="M1841" s="168"/>
      <c r="N1841" s="173"/>
      <c r="O1841" s="141"/>
      <c r="P1841" s="140"/>
      <c r="Q1841" s="142"/>
      <c r="R1841" s="140"/>
      <c r="S1841" s="142"/>
      <c r="T1841" s="140"/>
    </row>
    <row r="1842" spans="3:20" ht="39.75" customHeight="1">
      <c r="C1842" s="196">
        <v>1839</v>
      </c>
      <c r="D1842" s="127"/>
      <c r="E1842" s="129"/>
      <c r="F1842" s="128"/>
      <c r="G1842" s="129"/>
      <c r="H1842" s="129"/>
      <c r="I1842" s="166"/>
      <c r="J1842" s="180"/>
      <c r="K1842" s="128"/>
      <c r="L1842" s="127"/>
      <c r="M1842" s="168"/>
      <c r="N1842" s="173"/>
      <c r="O1842" s="141"/>
      <c r="P1842" s="140"/>
      <c r="Q1842" s="142"/>
      <c r="R1842" s="140"/>
      <c r="S1842" s="142"/>
      <c r="T1842" s="140"/>
    </row>
    <row r="1843" spans="3:20" ht="39.75" customHeight="1">
      <c r="C1843" s="196">
        <v>1840</v>
      </c>
      <c r="D1843" s="127"/>
      <c r="E1843" s="129"/>
      <c r="F1843" s="128"/>
      <c r="G1843" s="129"/>
      <c r="H1843" s="129"/>
      <c r="I1843" s="166"/>
      <c r="J1843" s="180"/>
      <c r="K1843" s="128"/>
      <c r="L1843" s="127"/>
      <c r="M1843" s="168"/>
      <c r="N1843" s="173"/>
      <c r="O1843" s="141"/>
      <c r="P1843" s="140"/>
      <c r="Q1843" s="142"/>
      <c r="R1843" s="140"/>
      <c r="S1843" s="142"/>
      <c r="T1843" s="140"/>
    </row>
    <row r="1844" spans="3:20" ht="39.75" customHeight="1">
      <c r="C1844" s="196">
        <v>1841</v>
      </c>
      <c r="D1844" s="127"/>
      <c r="E1844" s="129"/>
      <c r="F1844" s="128"/>
      <c r="G1844" s="129"/>
      <c r="H1844" s="129"/>
      <c r="I1844" s="166"/>
      <c r="J1844" s="180"/>
      <c r="K1844" s="128"/>
      <c r="L1844" s="127"/>
      <c r="M1844" s="168"/>
      <c r="N1844" s="173"/>
      <c r="O1844" s="141"/>
      <c r="P1844" s="140"/>
      <c r="Q1844" s="142"/>
      <c r="R1844" s="140"/>
      <c r="S1844" s="142"/>
      <c r="T1844" s="140"/>
    </row>
    <row r="1845" spans="3:20" ht="39.75" customHeight="1">
      <c r="C1845" s="196">
        <v>1842</v>
      </c>
      <c r="D1845" s="127"/>
      <c r="E1845" s="129"/>
      <c r="F1845" s="128"/>
      <c r="G1845" s="129"/>
      <c r="H1845" s="129"/>
      <c r="I1845" s="166"/>
      <c r="J1845" s="180"/>
      <c r="K1845" s="128"/>
      <c r="L1845" s="127"/>
      <c r="M1845" s="168"/>
      <c r="N1845" s="173"/>
      <c r="O1845" s="141"/>
      <c r="P1845" s="140"/>
      <c r="Q1845" s="142"/>
      <c r="R1845" s="140"/>
      <c r="S1845" s="142"/>
      <c r="T1845" s="140"/>
    </row>
    <row r="1846" spans="3:20" ht="39.75" customHeight="1">
      <c r="C1846" s="196">
        <v>1843</v>
      </c>
      <c r="D1846" s="127"/>
      <c r="E1846" s="129"/>
      <c r="F1846" s="128"/>
      <c r="G1846" s="129"/>
      <c r="H1846" s="129"/>
      <c r="I1846" s="166"/>
      <c r="J1846" s="180"/>
      <c r="K1846" s="128"/>
      <c r="L1846" s="127"/>
      <c r="M1846" s="168"/>
      <c r="N1846" s="173"/>
      <c r="O1846" s="141"/>
      <c r="P1846" s="140"/>
      <c r="Q1846" s="142"/>
      <c r="R1846" s="140"/>
      <c r="S1846" s="142"/>
      <c r="T1846" s="140"/>
    </row>
    <row r="1847" spans="3:20" ht="39.75" customHeight="1">
      <c r="C1847" s="196">
        <v>1844</v>
      </c>
      <c r="D1847" s="127"/>
      <c r="E1847" s="129"/>
      <c r="F1847" s="128"/>
      <c r="G1847" s="129"/>
      <c r="H1847" s="129"/>
      <c r="I1847" s="166"/>
      <c r="J1847" s="180"/>
      <c r="K1847" s="128"/>
      <c r="L1847" s="127"/>
      <c r="M1847" s="168"/>
      <c r="N1847" s="173"/>
      <c r="O1847" s="141"/>
      <c r="P1847" s="140"/>
      <c r="Q1847" s="142"/>
      <c r="R1847" s="140"/>
      <c r="S1847" s="142"/>
      <c r="T1847" s="140"/>
    </row>
    <row r="1848" spans="3:20" ht="39.75" customHeight="1">
      <c r="C1848" s="196">
        <v>1845</v>
      </c>
      <c r="D1848" s="127"/>
      <c r="E1848" s="129"/>
      <c r="F1848" s="128"/>
      <c r="G1848" s="129"/>
      <c r="H1848" s="129"/>
      <c r="I1848" s="166"/>
      <c r="J1848" s="180"/>
      <c r="K1848" s="128"/>
      <c r="L1848" s="127"/>
      <c r="M1848" s="168"/>
      <c r="N1848" s="173"/>
      <c r="O1848" s="141"/>
      <c r="P1848" s="140"/>
      <c r="Q1848" s="142"/>
      <c r="R1848" s="140"/>
      <c r="S1848" s="142"/>
      <c r="T1848" s="140"/>
    </row>
    <row r="1849" spans="3:20" ht="39.75" customHeight="1">
      <c r="C1849" s="196">
        <v>1846</v>
      </c>
      <c r="D1849" s="127"/>
      <c r="E1849" s="129"/>
      <c r="F1849" s="128"/>
      <c r="G1849" s="129"/>
      <c r="H1849" s="129"/>
      <c r="I1849" s="166"/>
      <c r="J1849" s="180"/>
      <c r="K1849" s="128"/>
      <c r="L1849" s="127"/>
      <c r="M1849" s="168"/>
      <c r="N1849" s="173"/>
      <c r="O1849" s="141"/>
      <c r="P1849" s="140"/>
      <c r="Q1849" s="142"/>
      <c r="R1849" s="140"/>
      <c r="S1849" s="142"/>
      <c r="T1849" s="140"/>
    </row>
    <row r="1850" spans="3:20" ht="39.75" customHeight="1">
      <c r="C1850" s="196">
        <v>1847</v>
      </c>
      <c r="D1850" s="127"/>
      <c r="E1850" s="129"/>
      <c r="F1850" s="128"/>
      <c r="G1850" s="129"/>
      <c r="H1850" s="129"/>
      <c r="I1850" s="166"/>
      <c r="J1850" s="180"/>
      <c r="K1850" s="128"/>
      <c r="L1850" s="127"/>
      <c r="M1850" s="168"/>
      <c r="N1850" s="173"/>
      <c r="O1850" s="141"/>
      <c r="P1850" s="140"/>
      <c r="Q1850" s="142"/>
      <c r="R1850" s="140"/>
      <c r="S1850" s="142"/>
      <c r="T1850" s="140"/>
    </row>
    <row r="1851" spans="3:20" ht="39.75" customHeight="1">
      <c r="C1851" s="196">
        <v>1848</v>
      </c>
      <c r="D1851" s="127"/>
      <c r="E1851" s="129"/>
      <c r="F1851" s="128"/>
      <c r="G1851" s="129"/>
      <c r="H1851" s="129"/>
      <c r="I1851" s="166"/>
      <c r="J1851" s="180"/>
      <c r="K1851" s="128"/>
      <c r="L1851" s="127"/>
      <c r="M1851" s="168"/>
      <c r="N1851" s="173"/>
      <c r="O1851" s="141"/>
      <c r="P1851" s="140"/>
      <c r="Q1851" s="142"/>
      <c r="R1851" s="140"/>
      <c r="S1851" s="142"/>
      <c r="T1851" s="140"/>
    </row>
    <row r="1852" spans="3:20" ht="39.75" customHeight="1">
      <c r="C1852" s="196">
        <v>1849</v>
      </c>
      <c r="D1852" s="127"/>
      <c r="E1852" s="129"/>
      <c r="F1852" s="128"/>
      <c r="G1852" s="129"/>
      <c r="H1852" s="129"/>
      <c r="I1852" s="166"/>
      <c r="J1852" s="180"/>
      <c r="K1852" s="128"/>
      <c r="L1852" s="127"/>
      <c r="M1852" s="168"/>
      <c r="N1852" s="173"/>
      <c r="O1852" s="141"/>
      <c r="P1852" s="140"/>
      <c r="Q1852" s="142"/>
      <c r="R1852" s="140"/>
      <c r="S1852" s="142"/>
      <c r="T1852" s="140"/>
    </row>
    <row r="1853" spans="3:20" ht="39.75" customHeight="1">
      <c r="C1853" s="196">
        <v>1850</v>
      </c>
      <c r="D1853" s="127"/>
      <c r="E1853" s="129"/>
      <c r="F1853" s="128"/>
      <c r="G1853" s="129"/>
      <c r="H1853" s="129"/>
      <c r="I1853" s="166"/>
      <c r="J1853" s="180"/>
      <c r="K1853" s="128"/>
      <c r="L1853" s="127"/>
      <c r="M1853" s="168"/>
      <c r="N1853" s="173"/>
      <c r="O1853" s="141"/>
      <c r="P1853" s="140"/>
      <c r="Q1853" s="142"/>
      <c r="R1853" s="140"/>
      <c r="S1853" s="142"/>
      <c r="T1853" s="140"/>
    </row>
    <row r="1854" spans="3:20" ht="39.75" customHeight="1">
      <c r="C1854" s="196">
        <v>1851</v>
      </c>
      <c r="D1854" s="127"/>
      <c r="E1854" s="129"/>
      <c r="F1854" s="128"/>
      <c r="G1854" s="129"/>
      <c r="H1854" s="129"/>
      <c r="I1854" s="166"/>
      <c r="J1854" s="180"/>
      <c r="K1854" s="128"/>
      <c r="L1854" s="127"/>
      <c r="M1854" s="168"/>
      <c r="N1854" s="173"/>
      <c r="O1854" s="141"/>
      <c r="P1854" s="140"/>
      <c r="Q1854" s="142"/>
      <c r="R1854" s="140"/>
      <c r="S1854" s="142"/>
      <c r="T1854" s="140"/>
    </row>
    <row r="1855" spans="3:20" ht="39.75" customHeight="1">
      <c r="C1855" s="196">
        <v>1852</v>
      </c>
      <c r="D1855" s="127"/>
      <c r="E1855" s="129"/>
      <c r="F1855" s="128"/>
      <c r="G1855" s="129"/>
      <c r="H1855" s="129"/>
      <c r="I1855" s="166"/>
      <c r="J1855" s="180"/>
      <c r="K1855" s="128"/>
      <c r="L1855" s="127"/>
      <c r="M1855" s="168"/>
      <c r="N1855" s="173"/>
      <c r="O1855" s="141"/>
      <c r="P1855" s="140"/>
      <c r="Q1855" s="142"/>
      <c r="R1855" s="140"/>
      <c r="S1855" s="142"/>
      <c r="T1855" s="140"/>
    </row>
    <row r="1856" spans="3:20" ht="39.75" customHeight="1">
      <c r="C1856" s="196">
        <v>1853</v>
      </c>
      <c r="D1856" s="127"/>
      <c r="E1856" s="129"/>
      <c r="F1856" s="128"/>
      <c r="G1856" s="129"/>
      <c r="H1856" s="129"/>
      <c r="I1856" s="166"/>
      <c r="J1856" s="180"/>
      <c r="K1856" s="128"/>
      <c r="L1856" s="127"/>
      <c r="M1856" s="168"/>
      <c r="N1856" s="173"/>
      <c r="O1856" s="141"/>
      <c r="P1856" s="140"/>
      <c r="Q1856" s="142"/>
      <c r="R1856" s="140"/>
      <c r="S1856" s="142"/>
      <c r="T1856" s="140"/>
    </row>
    <row r="1857" spans="3:20" ht="39.75" customHeight="1">
      <c r="C1857" s="196">
        <v>1854</v>
      </c>
      <c r="D1857" s="127"/>
      <c r="E1857" s="129"/>
      <c r="F1857" s="128"/>
      <c r="G1857" s="129"/>
      <c r="H1857" s="129"/>
      <c r="I1857" s="166"/>
      <c r="J1857" s="180"/>
      <c r="K1857" s="128"/>
      <c r="L1857" s="127"/>
      <c r="M1857" s="168"/>
      <c r="N1857" s="173"/>
      <c r="O1857" s="141"/>
      <c r="P1857" s="140"/>
      <c r="Q1857" s="142"/>
      <c r="R1857" s="140"/>
      <c r="S1857" s="142"/>
      <c r="T1857" s="140"/>
    </row>
    <row r="1858" spans="3:20" ht="39.75" customHeight="1">
      <c r="C1858" s="196">
        <v>1855</v>
      </c>
      <c r="D1858" s="127"/>
      <c r="E1858" s="129"/>
      <c r="F1858" s="128"/>
      <c r="G1858" s="129"/>
      <c r="H1858" s="129"/>
      <c r="I1858" s="166"/>
      <c r="J1858" s="180"/>
      <c r="K1858" s="128"/>
      <c r="L1858" s="127"/>
      <c r="M1858" s="168"/>
      <c r="N1858" s="173"/>
      <c r="O1858" s="141"/>
      <c r="P1858" s="140"/>
      <c r="Q1858" s="142"/>
      <c r="R1858" s="140"/>
      <c r="S1858" s="142"/>
      <c r="T1858" s="140"/>
    </row>
    <row r="1859" spans="3:20" ht="39.75" customHeight="1">
      <c r="C1859" s="196">
        <v>1856</v>
      </c>
      <c r="D1859" s="127"/>
      <c r="E1859" s="129"/>
      <c r="F1859" s="128"/>
      <c r="G1859" s="129"/>
      <c r="H1859" s="129"/>
      <c r="I1859" s="166"/>
      <c r="J1859" s="180"/>
      <c r="K1859" s="128"/>
      <c r="L1859" s="127"/>
      <c r="M1859" s="168"/>
      <c r="N1859" s="173"/>
      <c r="O1859" s="141"/>
      <c r="P1859" s="140"/>
      <c r="Q1859" s="142"/>
      <c r="R1859" s="140"/>
      <c r="S1859" s="142"/>
      <c r="T1859" s="140"/>
    </row>
    <row r="1860" spans="3:20" ht="39.75" customHeight="1">
      <c r="C1860" s="196">
        <v>1857</v>
      </c>
      <c r="D1860" s="127"/>
      <c r="E1860" s="129"/>
      <c r="F1860" s="128"/>
      <c r="G1860" s="129"/>
      <c r="H1860" s="129"/>
      <c r="I1860" s="166"/>
      <c r="J1860" s="180"/>
      <c r="K1860" s="128"/>
      <c r="L1860" s="127"/>
      <c r="M1860" s="168"/>
      <c r="N1860" s="173"/>
      <c r="O1860" s="141"/>
      <c r="P1860" s="140"/>
      <c r="Q1860" s="142"/>
      <c r="R1860" s="140"/>
      <c r="S1860" s="142"/>
      <c r="T1860" s="140"/>
    </row>
    <row r="1861" spans="3:20" ht="39.75" customHeight="1">
      <c r="C1861" s="196">
        <v>1858</v>
      </c>
      <c r="D1861" s="127"/>
      <c r="E1861" s="129"/>
      <c r="F1861" s="128"/>
      <c r="G1861" s="129"/>
      <c r="H1861" s="129"/>
      <c r="I1861" s="166"/>
      <c r="J1861" s="180"/>
      <c r="K1861" s="128"/>
      <c r="L1861" s="127"/>
      <c r="M1861" s="168"/>
      <c r="N1861" s="173"/>
      <c r="O1861" s="141"/>
      <c r="P1861" s="140"/>
      <c r="Q1861" s="142"/>
      <c r="R1861" s="140"/>
      <c r="S1861" s="142"/>
      <c r="T1861" s="140"/>
    </row>
    <row r="1862" spans="3:20" ht="39.75" customHeight="1">
      <c r="C1862" s="196">
        <v>1859</v>
      </c>
      <c r="D1862" s="127"/>
      <c r="E1862" s="129"/>
      <c r="F1862" s="128"/>
      <c r="G1862" s="129"/>
      <c r="H1862" s="129"/>
      <c r="I1862" s="166"/>
      <c r="J1862" s="180"/>
      <c r="K1862" s="128"/>
      <c r="L1862" s="127"/>
      <c r="M1862" s="168"/>
      <c r="N1862" s="173"/>
      <c r="O1862" s="141"/>
      <c r="P1862" s="140"/>
      <c r="Q1862" s="142"/>
      <c r="R1862" s="140"/>
      <c r="S1862" s="142"/>
      <c r="T1862" s="140"/>
    </row>
    <row r="1863" spans="3:20" ht="39.75" customHeight="1">
      <c r="C1863" s="196">
        <v>1860</v>
      </c>
      <c r="D1863" s="127"/>
      <c r="E1863" s="129"/>
      <c r="F1863" s="128"/>
      <c r="G1863" s="129"/>
      <c r="H1863" s="129"/>
      <c r="I1863" s="166"/>
      <c r="J1863" s="180"/>
      <c r="K1863" s="128"/>
      <c r="L1863" s="127"/>
      <c r="M1863" s="168"/>
      <c r="N1863" s="173"/>
      <c r="O1863" s="141"/>
      <c r="P1863" s="140"/>
      <c r="Q1863" s="142"/>
      <c r="R1863" s="140"/>
      <c r="S1863" s="142"/>
      <c r="T1863" s="140"/>
    </row>
    <row r="1864" spans="3:20" ht="39.75" customHeight="1">
      <c r="C1864" s="196">
        <v>1861</v>
      </c>
      <c r="D1864" s="127"/>
      <c r="E1864" s="129"/>
      <c r="F1864" s="128"/>
      <c r="G1864" s="129"/>
      <c r="H1864" s="129"/>
      <c r="I1864" s="166"/>
      <c r="J1864" s="180"/>
      <c r="K1864" s="128"/>
      <c r="L1864" s="127"/>
      <c r="M1864" s="168"/>
      <c r="N1864" s="173"/>
      <c r="O1864" s="141"/>
      <c r="P1864" s="140"/>
      <c r="Q1864" s="142"/>
      <c r="R1864" s="140"/>
      <c r="S1864" s="142"/>
      <c r="T1864" s="140"/>
    </row>
    <row r="1865" spans="3:20" ht="39.75" customHeight="1">
      <c r="C1865" s="196">
        <v>1862</v>
      </c>
      <c r="D1865" s="127"/>
      <c r="E1865" s="129"/>
      <c r="F1865" s="128"/>
      <c r="G1865" s="129"/>
      <c r="H1865" s="129"/>
      <c r="I1865" s="166"/>
      <c r="J1865" s="180"/>
      <c r="K1865" s="128"/>
      <c r="L1865" s="127"/>
      <c r="M1865" s="168"/>
      <c r="N1865" s="173"/>
      <c r="O1865" s="141"/>
      <c r="P1865" s="140"/>
      <c r="Q1865" s="142"/>
      <c r="R1865" s="140"/>
      <c r="S1865" s="142"/>
      <c r="T1865" s="140"/>
    </row>
    <row r="1866" spans="3:20" ht="39.75" customHeight="1">
      <c r="C1866" s="196">
        <v>1863</v>
      </c>
      <c r="D1866" s="127"/>
      <c r="E1866" s="129"/>
      <c r="F1866" s="128"/>
      <c r="G1866" s="129"/>
      <c r="H1866" s="129"/>
      <c r="I1866" s="166"/>
      <c r="J1866" s="180"/>
      <c r="K1866" s="128"/>
      <c r="L1866" s="127"/>
      <c r="M1866" s="168"/>
      <c r="N1866" s="173"/>
      <c r="O1866" s="141"/>
      <c r="P1866" s="140"/>
      <c r="Q1866" s="142"/>
      <c r="R1866" s="140"/>
      <c r="S1866" s="142"/>
      <c r="T1866" s="140"/>
    </row>
    <row r="1867" spans="3:20" ht="39.75" customHeight="1">
      <c r="C1867" s="196">
        <v>1864</v>
      </c>
      <c r="D1867" s="127"/>
      <c r="E1867" s="129"/>
      <c r="F1867" s="128"/>
      <c r="G1867" s="129"/>
      <c r="H1867" s="129"/>
      <c r="I1867" s="166"/>
      <c r="J1867" s="180"/>
      <c r="K1867" s="128"/>
      <c r="L1867" s="127"/>
      <c r="M1867" s="168"/>
      <c r="N1867" s="173"/>
      <c r="O1867" s="141"/>
      <c r="P1867" s="140"/>
      <c r="Q1867" s="142"/>
      <c r="R1867" s="140"/>
      <c r="S1867" s="142"/>
      <c r="T1867" s="140"/>
    </row>
    <row r="1868" spans="3:20" ht="39.75" customHeight="1">
      <c r="C1868" s="196">
        <v>1865</v>
      </c>
      <c r="D1868" s="127"/>
      <c r="E1868" s="129"/>
      <c r="F1868" s="128"/>
      <c r="G1868" s="129"/>
      <c r="H1868" s="129"/>
      <c r="I1868" s="166"/>
      <c r="J1868" s="180"/>
      <c r="K1868" s="128"/>
      <c r="L1868" s="127"/>
      <c r="M1868" s="168"/>
      <c r="N1868" s="173"/>
      <c r="O1868" s="141"/>
      <c r="P1868" s="140"/>
      <c r="Q1868" s="142"/>
      <c r="R1868" s="140"/>
      <c r="S1868" s="142"/>
      <c r="T1868" s="140"/>
    </row>
    <row r="1869" spans="3:20" ht="39.75" customHeight="1">
      <c r="C1869" s="196">
        <v>1866</v>
      </c>
      <c r="D1869" s="127"/>
      <c r="E1869" s="129"/>
      <c r="F1869" s="128"/>
      <c r="G1869" s="129"/>
      <c r="H1869" s="129"/>
      <c r="I1869" s="166"/>
      <c r="J1869" s="180"/>
      <c r="K1869" s="128"/>
      <c r="L1869" s="127"/>
      <c r="M1869" s="168"/>
      <c r="N1869" s="173"/>
      <c r="O1869" s="141"/>
      <c r="P1869" s="140"/>
      <c r="Q1869" s="142"/>
      <c r="R1869" s="140"/>
      <c r="S1869" s="142"/>
      <c r="T1869" s="140"/>
    </row>
    <row r="1870" spans="3:20" ht="39.75" customHeight="1">
      <c r="C1870" s="196">
        <v>1867</v>
      </c>
      <c r="D1870" s="127"/>
      <c r="E1870" s="129"/>
      <c r="F1870" s="128"/>
      <c r="G1870" s="129"/>
      <c r="H1870" s="129"/>
      <c r="I1870" s="166"/>
      <c r="J1870" s="180"/>
      <c r="K1870" s="128"/>
      <c r="L1870" s="127"/>
      <c r="M1870" s="168"/>
      <c r="N1870" s="173"/>
      <c r="O1870" s="141"/>
      <c r="P1870" s="140"/>
      <c r="Q1870" s="142"/>
      <c r="R1870" s="140"/>
      <c r="S1870" s="142"/>
      <c r="T1870" s="140"/>
    </row>
    <row r="1871" spans="3:20" ht="39.75" customHeight="1">
      <c r="C1871" s="196">
        <v>1868</v>
      </c>
      <c r="D1871" s="127"/>
      <c r="E1871" s="129"/>
      <c r="F1871" s="128"/>
      <c r="G1871" s="129"/>
      <c r="H1871" s="129"/>
      <c r="I1871" s="166"/>
      <c r="J1871" s="180"/>
      <c r="K1871" s="128"/>
      <c r="L1871" s="127"/>
      <c r="M1871" s="168"/>
      <c r="N1871" s="173"/>
      <c r="O1871" s="141"/>
      <c r="P1871" s="140"/>
      <c r="Q1871" s="142"/>
      <c r="R1871" s="140"/>
      <c r="S1871" s="142"/>
      <c r="T1871" s="140"/>
    </row>
    <row r="1872" spans="3:20" ht="39.75" customHeight="1">
      <c r="C1872" s="196">
        <v>1869</v>
      </c>
      <c r="D1872" s="127"/>
      <c r="E1872" s="129"/>
      <c r="F1872" s="128"/>
      <c r="G1872" s="129"/>
      <c r="H1872" s="129"/>
      <c r="I1872" s="166"/>
      <c r="J1872" s="180"/>
      <c r="K1872" s="128"/>
      <c r="L1872" s="127"/>
      <c r="M1872" s="168"/>
      <c r="N1872" s="173"/>
      <c r="O1872" s="141"/>
      <c r="P1872" s="140"/>
      <c r="Q1872" s="142"/>
      <c r="R1872" s="140"/>
      <c r="S1872" s="142"/>
      <c r="T1872" s="140"/>
    </row>
    <row r="1873" spans="3:20" ht="39.75" customHeight="1">
      <c r="C1873" s="196">
        <v>1870</v>
      </c>
      <c r="D1873" s="127"/>
      <c r="E1873" s="129"/>
      <c r="F1873" s="128"/>
      <c r="G1873" s="129"/>
      <c r="H1873" s="129"/>
      <c r="I1873" s="166"/>
      <c r="J1873" s="180"/>
      <c r="K1873" s="128"/>
      <c r="L1873" s="127"/>
      <c r="M1873" s="168"/>
      <c r="N1873" s="173"/>
      <c r="O1873" s="141"/>
      <c r="P1873" s="140"/>
      <c r="Q1873" s="142"/>
      <c r="R1873" s="140"/>
      <c r="S1873" s="142"/>
      <c r="T1873" s="140"/>
    </row>
    <row r="1874" spans="3:20" ht="39.75" customHeight="1">
      <c r="C1874" s="196">
        <v>1871</v>
      </c>
      <c r="D1874" s="127"/>
      <c r="E1874" s="129"/>
      <c r="F1874" s="128"/>
      <c r="G1874" s="129"/>
      <c r="H1874" s="129"/>
      <c r="I1874" s="166"/>
      <c r="J1874" s="180"/>
      <c r="K1874" s="128"/>
      <c r="L1874" s="127"/>
      <c r="M1874" s="168"/>
      <c r="N1874" s="173"/>
      <c r="O1874" s="141"/>
      <c r="P1874" s="140"/>
      <c r="Q1874" s="142"/>
      <c r="R1874" s="140"/>
      <c r="S1874" s="142"/>
      <c r="T1874" s="140"/>
    </row>
    <row r="1875" spans="3:20" ht="39.75" customHeight="1">
      <c r="C1875" s="196">
        <v>1872</v>
      </c>
      <c r="D1875" s="127"/>
      <c r="E1875" s="129"/>
      <c r="F1875" s="128"/>
      <c r="G1875" s="129"/>
      <c r="H1875" s="129"/>
      <c r="I1875" s="166"/>
      <c r="J1875" s="180"/>
      <c r="K1875" s="128"/>
      <c r="L1875" s="127"/>
      <c r="M1875" s="168"/>
      <c r="N1875" s="173"/>
      <c r="O1875" s="141"/>
      <c r="P1875" s="140"/>
      <c r="Q1875" s="142"/>
      <c r="R1875" s="140"/>
      <c r="S1875" s="142"/>
      <c r="T1875" s="140"/>
    </row>
    <row r="1876" spans="3:20" ht="39.75" customHeight="1">
      <c r="C1876" s="196">
        <v>1873</v>
      </c>
      <c r="D1876" s="127"/>
      <c r="E1876" s="129"/>
      <c r="F1876" s="128"/>
      <c r="G1876" s="129"/>
      <c r="H1876" s="129"/>
      <c r="I1876" s="166"/>
      <c r="J1876" s="180"/>
      <c r="K1876" s="128"/>
      <c r="L1876" s="127"/>
      <c r="M1876" s="168"/>
      <c r="N1876" s="173"/>
      <c r="O1876" s="141"/>
      <c r="P1876" s="140"/>
      <c r="Q1876" s="142"/>
      <c r="R1876" s="140"/>
      <c r="S1876" s="142"/>
      <c r="T1876" s="140"/>
    </row>
    <row r="1877" spans="3:20" ht="39.75" customHeight="1">
      <c r="C1877" s="196">
        <v>1874</v>
      </c>
      <c r="D1877" s="127"/>
      <c r="E1877" s="129"/>
      <c r="F1877" s="128"/>
      <c r="G1877" s="129"/>
      <c r="H1877" s="129"/>
      <c r="I1877" s="166"/>
      <c r="J1877" s="180"/>
      <c r="K1877" s="128"/>
      <c r="L1877" s="127"/>
      <c r="M1877" s="168"/>
      <c r="N1877" s="173"/>
      <c r="O1877" s="141"/>
      <c r="P1877" s="140"/>
      <c r="Q1877" s="142"/>
      <c r="R1877" s="140"/>
      <c r="S1877" s="142"/>
      <c r="T1877" s="140"/>
    </row>
    <row r="1878" spans="3:20" ht="39.75" customHeight="1">
      <c r="C1878" s="196">
        <v>1875</v>
      </c>
      <c r="D1878" s="127"/>
      <c r="E1878" s="129"/>
      <c r="F1878" s="128"/>
      <c r="G1878" s="129"/>
      <c r="H1878" s="129"/>
      <c r="I1878" s="166"/>
      <c r="J1878" s="180"/>
      <c r="K1878" s="128"/>
      <c r="L1878" s="127"/>
      <c r="M1878" s="168"/>
      <c r="N1878" s="173"/>
      <c r="O1878" s="141"/>
      <c r="P1878" s="140"/>
      <c r="Q1878" s="142"/>
      <c r="R1878" s="140"/>
      <c r="S1878" s="142"/>
      <c r="T1878" s="140"/>
    </row>
    <row r="1879" spans="3:20" ht="39.75" customHeight="1">
      <c r="C1879" s="196">
        <v>1876</v>
      </c>
      <c r="D1879" s="127"/>
      <c r="E1879" s="129"/>
      <c r="F1879" s="128"/>
      <c r="G1879" s="129"/>
      <c r="H1879" s="129"/>
      <c r="I1879" s="166"/>
      <c r="J1879" s="180"/>
      <c r="K1879" s="128"/>
      <c r="L1879" s="127"/>
      <c r="M1879" s="168"/>
      <c r="N1879" s="173"/>
      <c r="O1879" s="141"/>
      <c r="P1879" s="140"/>
      <c r="Q1879" s="142"/>
      <c r="R1879" s="140"/>
      <c r="S1879" s="142"/>
      <c r="T1879" s="140"/>
    </row>
    <row r="1880" spans="3:20" ht="39.75" customHeight="1">
      <c r="C1880" s="196">
        <v>1877</v>
      </c>
      <c r="D1880" s="127"/>
      <c r="E1880" s="129"/>
      <c r="F1880" s="128"/>
      <c r="G1880" s="129"/>
      <c r="H1880" s="129"/>
      <c r="I1880" s="166"/>
      <c r="J1880" s="180"/>
      <c r="K1880" s="128"/>
      <c r="L1880" s="127"/>
      <c r="M1880" s="168"/>
      <c r="N1880" s="173"/>
      <c r="O1880" s="141"/>
      <c r="P1880" s="140"/>
      <c r="Q1880" s="142"/>
      <c r="R1880" s="140"/>
      <c r="S1880" s="142"/>
      <c r="T1880" s="140"/>
    </row>
    <row r="1881" spans="3:20" ht="39.75" customHeight="1">
      <c r="C1881" s="196">
        <v>1878</v>
      </c>
      <c r="D1881" s="127"/>
      <c r="E1881" s="129"/>
      <c r="F1881" s="128"/>
      <c r="G1881" s="129"/>
      <c r="H1881" s="129"/>
      <c r="I1881" s="166"/>
      <c r="J1881" s="180"/>
      <c r="K1881" s="128"/>
      <c r="L1881" s="127"/>
      <c r="M1881" s="168"/>
      <c r="N1881" s="173"/>
      <c r="O1881" s="141"/>
      <c r="P1881" s="140"/>
      <c r="Q1881" s="142"/>
      <c r="R1881" s="140"/>
      <c r="S1881" s="142"/>
      <c r="T1881" s="140"/>
    </row>
    <row r="1882" spans="3:20" ht="39.75" customHeight="1">
      <c r="C1882" s="196">
        <v>1879</v>
      </c>
      <c r="D1882" s="127"/>
      <c r="E1882" s="129"/>
      <c r="F1882" s="128"/>
      <c r="G1882" s="129"/>
      <c r="H1882" s="129"/>
      <c r="I1882" s="166"/>
      <c r="J1882" s="180"/>
      <c r="K1882" s="128"/>
      <c r="L1882" s="127"/>
      <c r="M1882" s="168"/>
      <c r="N1882" s="173"/>
      <c r="O1882" s="141"/>
      <c r="P1882" s="140"/>
      <c r="Q1882" s="142"/>
      <c r="R1882" s="140"/>
      <c r="S1882" s="142"/>
      <c r="T1882" s="140"/>
    </row>
    <row r="1883" spans="3:20" ht="39.75" customHeight="1">
      <c r="C1883" s="196">
        <v>1880</v>
      </c>
      <c r="D1883" s="127"/>
      <c r="E1883" s="129"/>
      <c r="F1883" s="128"/>
      <c r="G1883" s="129"/>
      <c r="H1883" s="129"/>
      <c r="I1883" s="166"/>
      <c r="J1883" s="180"/>
      <c r="K1883" s="128"/>
      <c r="L1883" s="127"/>
      <c r="M1883" s="168"/>
      <c r="N1883" s="173"/>
      <c r="O1883" s="141"/>
      <c r="P1883" s="140"/>
      <c r="Q1883" s="142"/>
      <c r="R1883" s="140"/>
      <c r="S1883" s="142"/>
      <c r="T1883" s="140"/>
    </row>
    <row r="1884" spans="3:20" ht="39.75" customHeight="1">
      <c r="C1884" s="196">
        <v>1881</v>
      </c>
      <c r="D1884" s="127"/>
      <c r="E1884" s="129"/>
      <c r="F1884" s="128"/>
      <c r="G1884" s="129"/>
      <c r="H1884" s="129"/>
      <c r="I1884" s="166"/>
      <c r="J1884" s="180"/>
      <c r="K1884" s="128"/>
      <c r="L1884" s="127"/>
      <c r="M1884" s="168"/>
      <c r="N1884" s="173"/>
      <c r="O1884" s="141"/>
      <c r="P1884" s="140"/>
      <c r="Q1884" s="142"/>
      <c r="R1884" s="140"/>
      <c r="S1884" s="142"/>
      <c r="T1884" s="140"/>
    </row>
    <row r="1885" spans="3:20" ht="39.75" customHeight="1">
      <c r="C1885" s="196">
        <v>1882</v>
      </c>
      <c r="D1885" s="127"/>
      <c r="E1885" s="129"/>
      <c r="F1885" s="128"/>
      <c r="G1885" s="129"/>
      <c r="H1885" s="129"/>
      <c r="I1885" s="166"/>
      <c r="J1885" s="180"/>
      <c r="K1885" s="128"/>
      <c r="L1885" s="127"/>
      <c r="M1885" s="168"/>
      <c r="N1885" s="173"/>
      <c r="O1885" s="141"/>
      <c r="P1885" s="140"/>
      <c r="Q1885" s="142"/>
      <c r="R1885" s="140"/>
      <c r="S1885" s="142"/>
      <c r="T1885" s="140"/>
    </row>
    <row r="1886" spans="3:20" ht="39.75" customHeight="1">
      <c r="C1886" s="196">
        <v>1883</v>
      </c>
      <c r="D1886" s="127"/>
      <c r="E1886" s="129"/>
      <c r="F1886" s="128"/>
      <c r="G1886" s="129"/>
      <c r="H1886" s="129"/>
      <c r="I1886" s="166"/>
      <c r="J1886" s="180"/>
      <c r="K1886" s="128"/>
      <c r="L1886" s="127"/>
      <c r="M1886" s="168"/>
      <c r="N1886" s="173"/>
      <c r="O1886" s="141"/>
      <c r="P1886" s="140"/>
      <c r="Q1886" s="142"/>
      <c r="R1886" s="140"/>
      <c r="S1886" s="142"/>
      <c r="T1886" s="140"/>
    </row>
    <row r="1887" spans="3:20" ht="39.75" customHeight="1">
      <c r="C1887" s="196">
        <v>1884</v>
      </c>
      <c r="D1887" s="127"/>
      <c r="E1887" s="129"/>
      <c r="F1887" s="128"/>
      <c r="G1887" s="129"/>
      <c r="H1887" s="129"/>
      <c r="I1887" s="166"/>
      <c r="J1887" s="180"/>
      <c r="K1887" s="128"/>
      <c r="L1887" s="127"/>
      <c r="M1887" s="168"/>
      <c r="N1887" s="173"/>
      <c r="O1887" s="141"/>
      <c r="P1887" s="140"/>
      <c r="Q1887" s="142"/>
      <c r="R1887" s="140"/>
      <c r="S1887" s="142"/>
      <c r="T1887" s="140"/>
    </row>
    <row r="1888" spans="3:20" ht="39.75" customHeight="1">
      <c r="C1888" s="196">
        <v>1885</v>
      </c>
      <c r="D1888" s="127"/>
      <c r="E1888" s="129"/>
      <c r="F1888" s="128"/>
      <c r="G1888" s="129"/>
      <c r="H1888" s="129"/>
      <c r="I1888" s="166"/>
      <c r="J1888" s="180"/>
      <c r="K1888" s="128"/>
      <c r="L1888" s="127"/>
      <c r="M1888" s="168"/>
      <c r="N1888" s="173"/>
      <c r="O1888" s="141"/>
      <c r="P1888" s="140"/>
      <c r="Q1888" s="142"/>
      <c r="R1888" s="140"/>
      <c r="S1888" s="142"/>
      <c r="T1888" s="140"/>
    </row>
    <row r="1889" spans="3:20" ht="39.75" customHeight="1">
      <c r="C1889" s="196">
        <v>1886</v>
      </c>
      <c r="D1889" s="127"/>
      <c r="E1889" s="129"/>
      <c r="F1889" s="128"/>
      <c r="G1889" s="129"/>
      <c r="H1889" s="129"/>
      <c r="I1889" s="166"/>
      <c r="J1889" s="180"/>
      <c r="K1889" s="128"/>
      <c r="L1889" s="127"/>
      <c r="M1889" s="168"/>
      <c r="N1889" s="173"/>
      <c r="O1889" s="141"/>
      <c r="P1889" s="140"/>
      <c r="Q1889" s="142"/>
      <c r="R1889" s="140"/>
      <c r="S1889" s="142"/>
      <c r="T1889" s="140"/>
    </row>
    <row r="1890" spans="3:20" ht="39.75" customHeight="1">
      <c r="C1890" s="196">
        <v>1887</v>
      </c>
      <c r="D1890" s="127"/>
      <c r="E1890" s="129"/>
      <c r="F1890" s="128"/>
      <c r="G1890" s="129"/>
      <c r="H1890" s="129"/>
      <c r="I1890" s="166"/>
      <c r="J1890" s="180"/>
      <c r="K1890" s="128"/>
      <c r="L1890" s="127"/>
      <c r="M1890" s="168"/>
      <c r="N1890" s="173"/>
      <c r="O1890" s="141"/>
      <c r="P1890" s="140"/>
      <c r="Q1890" s="142"/>
      <c r="R1890" s="140"/>
      <c r="S1890" s="142"/>
      <c r="T1890" s="140"/>
    </row>
    <row r="1891" spans="3:20" ht="39.75" customHeight="1">
      <c r="C1891" s="196">
        <v>1888</v>
      </c>
      <c r="D1891" s="127"/>
      <c r="E1891" s="129"/>
      <c r="F1891" s="128"/>
      <c r="G1891" s="129"/>
      <c r="H1891" s="129"/>
      <c r="I1891" s="166"/>
      <c r="J1891" s="180"/>
      <c r="K1891" s="128"/>
      <c r="L1891" s="127"/>
      <c r="M1891" s="168"/>
      <c r="N1891" s="173"/>
      <c r="O1891" s="141"/>
      <c r="P1891" s="140"/>
      <c r="Q1891" s="142"/>
      <c r="R1891" s="140"/>
      <c r="S1891" s="142"/>
      <c r="T1891" s="140"/>
    </row>
    <row r="1892" spans="3:20" ht="39.75" customHeight="1">
      <c r="C1892" s="196">
        <v>1889</v>
      </c>
      <c r="D1892" s="127"/>
      <c r="E1892" s="129"/>
      <c r="F1892" s="128"/>
      <c r="G1892" s="129"/>
      <c r="H1892" s="129"/>
      <c r="I1892" s="166"/>
      <c r="J1892" s="180"/>
      <c r="K1892" s="128"/>
      <c r="L1892" s="127"/>
      <c r="M1892" s="168"/>
      <c r="N1892" s="173"/>
      <c r="O1892" s="141"/>
      <c r="P1892" s="140"/>
      <c r="Q1892" s="142"/>
      <c r="R1892" s="140"/>
      <c r="S1892" s="142"/>
      <c r="T1892" s="140"/>
    </row>
    <row r="1893" spans="3:20" ht="39.75" customHeight="1">
      <c r="C1893" s="196">
        <v>1890</v>
      </c>
      <c r="D1893" s="127"/>
      <c r="E1893" s="129"/>
      <c r="F1893" s="128"/>
      <c r="G1893" s="129"/>
      <c r="H1893" s="129"/>
      <c r="I1893" s="166"/>
      <c r="J1893" s="180"/>
      <c r="K1893" s="128"/>
      <c r="L1893" s="127"/>
      <c r="M1893" s="168"/>
      <c r="N1893" s="173"/>
      <c r="O1893" s="141"/>
      <c r="P1893" s="140"/>
      <c r="Q1893" s="142"/>
      <c r="R1893" s="140"/>
      <c r="S1893" s="142"/>
      <c r="T1893" s="140"/>
    </row>
    <row r="1894" spans="3:20" ht="39.75" customHeight="1">
      <c r="C1894" s="196">
        <v>1891</v>
      </c>
      <c r="D1894" s="127"/>
      <c r="E1894" s="129"/>
      <c r="F1894" s="128"/>
      <c r="G1894" s="129"/>
      <c r="H1894" s="129"/>
      <c r="I1894" s="166"/>
      <c r="J1894" s="180"/>
      <c r="K1894" s="128"/>
      <c r="L1894" s="127"/>
      <c r="M1894" s="168"/>
      <c r="N1894" s="173"/>
      <c r="O1894" s="141"/>
      <c r="P1894" s="140"/>
      <c r="Q1894" s="142"/>
      <c r="R1894" s="140"/>
      <c r="S1894" s="142"/>
      <c r="T1894" s="140"/>
    </row>
    <row r="1895" spans="3:20" ht="39.75" customHeight="1">
      <c r="C1895" s="196">
        <v>1892</v>
      </c>
      <c r="D1895" s="127"/>
      <c r="E1895" s="129"/>
      <c r="F1895" s="128"/>
      <c r="G1895" s="129"/>
      <c r="H1895" s="129"/>
      <c r="I1895" s="166"/>
      <c r="J1895" s="180"/>
      <c r="K1895" s="128"/>
      <c r="L1895" s="127"/>
      <c r="M1895" s="168"/>
      <c r="N1895" s="173"/>
      <c r="O1895" s="141"/>
      <c r="P1895" s="140"/>
      <c r="Q1895" s="142"/>
      <c r="R1895" s="140"/>
      <c r="S1895" s="142"/>
      <c r="T1895" s="140"/>
    </row>
    <row r="1896" spans="3:20" ht="39.75" customHeight="1">
      <c r="C1896" s="196">
        <v>1893</v>
      </c>
      <c r="D1896" s="127"/>
      <c r="E1896" s="129"/>
      <c r="F1896" s="128"/>
      <c r="G1896" s="129"/>
      <c r="H1896" s="129"/>
      <c r="I1896" s="166"/>
      <c r="J1896" s="180"/>
      <c r="K1896" s="128"/>
      <c r="L1896" s="127"/>
      <c r="M1896" s="168"/>
      <c r="N1896" s="173"/>
      <c r="O1896" s="141"/>
      <c r="P1896" s="140"/>
      <c r="Q1896" s="142"/>
      <c r="R1896" s="140"/>
      <c r="S1896" s="142"/>
      <c r="T1896" s="140"/>
    </row>
    <row r="1897" spans="3:20" ht="39.75" customHeight="1">
      <c r="C1897" s="196">
        <v>1894</v>
      </c>
      <c r="D1897" s="127"/>
      <c r="E1897" s="129"/>
      <c r="F1897" s="128"/>
      <c r="G1897" s="129"/>
      <c r="H1897" s="129"/>
      <c r="I1897" s="166"/>
      <c r="J1897" s="180"/>
      <c r="K1897" s="128"/>
      <c r="L1897" s="127"/>
      <c r="M1897" s="168"/>
      <c r="N1897" s="173"/>
      <c r="O1897" s="141"/>
      <c r="P1897" s="140"/>
      <c r="Q1897" s="142"/>
      <c r="R1897" s="140"/>
      <c r="S1897" s="142"/>
      <c r="T1897" s="140"/>
    </row>
    <row r="1898" spans="3:20" ht="39.75" customHeight="1">
      <c r="C1898" s="196">
        <v>1895</v>
      </c>
      <c r="D1898" s="127"/>
      <c r="E1898" s="129"/>
      <c r="F1898" s="128"/>
      <c r="G1898" s="129"/>
      <c r="H1898" s="129"/>
      <c r="I1898" s="166"/>
      <c r="J1898" s="180"/>
      <c r="K1898" s="128"/>
      <c r="L1898" s="127"/>
      <c r="M1898" s="168"/>
      <c r="N1898" s="173"/>
      <c r="O1898" s="141"/>
      <c r="P1898" s="140"/>
      <c r="Q1898" s="142"/>
      <c r="R1898" s="140"/>
      <c r="S1898" s="142"/>
      <c r="T1898" s="140"/>
    </row>
    <row r="1899" spans="3:20" ht="39.75" customHeight="1">
      <c r="C1899" s="196">
        <v>1896</v>
      </c>
      <c r="D1899" s="127"/>
      <c r="E1899" s="129"/>
      <c r="F1899" s="128"/>
      <c r="G1899" s="129"/>
      <c r="H1899" s="129"/>
      <c r="I1899" s="166"/>
      <c r="J1899" s="180"/>
      <c r="K1899" s="128"/>
      <c r="L1899" s="127"/>
      <c r="M1899" s="168"/>
      <c r="N1899" s="173"/>
      <c r="O1899" s="141"/>
      <c r="P1899" s="140"/>
      <c r="Q1899" s="142"/>
      <c r="R1899" s="140"/>
      <c r="S1899" s="142"/>
      <c r="T1899" s="140"/>
    </row>
    <row r="1900" spans="3:20" ht="39.75" customHeight="1">
      <c r="C1900" s="196">
        <v>1897</v>
      </c>
      <c r="D1900" s="127"/>
      <c r="E1900" s="129"/>
      <c r="F1900" s="128"/>
      <c r="G1900" s="129"/>
      <c r="H1900" s="129"/>
      <c r="I1900" s="166"/>
      <c r="J1900" s="180"/>
      <c r="K1900" s="128"/>
      <c r="L1900" s="127"/>
      <c r="M1900" s="168"/>
      <c r="N1900" s="173"/>
      <c r="O1900" s="141"/>
      <c r="P1900" s="140"/>
      <c r="Q1900" s="142"/>
      <c r="R1900" s="140"/>
      <c r="S1900" s="142"/>
      <c r="T1900" s="140"/>
    </row>
    <row r="1901" spans="3:20" ht="39.75" customHeight="1">
      <c r="C1901" s="196">
        <v>1898</v>
      </c>
      <c r="D1901" s="127"/>
      <c r="E1901" s="129"/>
      <c r="F1901" s="128"/>
      <c r="G1901" s="129"/>
      <c r="H1901" s="129"/>
      <c r="I1901" s="166"/>
      <c r="J1901" s="180"/>
      <c r="K1901" s="128"/>
      <c r="L1901" s="127"/>
      <c r="M1901" s="168"/>
      <c r="N1901" s="173"/>
      <c r="O1901" s="141"/>
      <c r="P1901" s="140"/>
      <c r="Q1901" s="142"/>
      <c r="R1901" s="140"/>
      <c r="S1901" s="142"/>
      <c r="T1901" s="140"/>
    </row>
    <row r="1902" spans="3:20" ht="39.75" customHeight="1">
      <c r="C1902" s="196">
        <v>1899</v>
      </c>
      <c r="D1902" s="127"/>
      <c r="E1902" s="129"/>
      <c r="F1902" s="128"/>
      <c r="G1902" s="129"/>
      <c r="H1902" s="129"/>
      <c r="I1902" s="166"/>
      <c r="J1902" s="180"/>
      <c r="K1902" s="128"/>
      <c r="L1902" s="127"/>
      <c r="M1902" s="168"/>
      <c r="N1902" s="173"/>
      <c r="O1902" s="141"/>
      <c r="P1902" s="140"/>
      <c r="Q1902" s="142"/>
      <c r="R1902" s="140"/>
      <c r="S1902" s="142"/>
      <c r="T1902" s="140"/>
    </row>
    <row r="1903" spans="3:20" ht="39.75" customHeight="1">
      <c r="C1903" s="196">
        <v>1900</v>
      </c>
      <c r="D1903" s="127"/>
      <c r="E1903" s="129"/>
      <c r="F1903" s="128"/>
      <c r="G1903" s="129"/>
      <c r="H1903" s="129"/>
      <c r="I1903" s="166"/>
      <c r="J1903" s="180"/>
      <c r="K1903" s="128"/>
      <c r="L1903" s="127"/>
      <c r="M1903" s="168"/>
      <c r="N1903" s="173"/>
      <c r="O1903" s="141"/>
      <c r="P1903" s="140"/>
      <c r="Q1903" s="142"/>
      <c r="R1903" s="140"/>
      <c r="S1903" s="142"/>
      <c r="T1903" s="140"/>
    </row>
    <row r="1904" spans="3:20" ht="39.75" customHeight="1">
      <c r="C1904" s="196">
        <v>1901</v>
      </c>
      <c r="D1904" s="127"/>
      <c r="E1904" s="129"/>
      <c r="F1904" s="128"/>
      <c r="G1904" s="129"/>
      <c r="H1904" s="129"/>
      <c r="I1904" s="166"/>
      <c r="J1904" s="180"/>
      <c r="K1904" s="128"/>
      <c r="L1904" s="127"/>
      <c r="M1904" s="168"/>
      <c r="N1904" s="173"/>
      <c r="O1904" s="141"/>
      <c r="P1904" s="140"/>
      <c r="Q1904" s="142"/>
      <c r="R1904" s="140"/>
      <c r="S1904" s="142"/>
      <c r="T1904" s="140"/>
    </row>
    <row r="1905" spans="3:20" ht="39.75" customHeight="1">
      <c r="C1905" s="196">
        <v>1902</v>
      </c>
      <c r="D1905" s="127"/>
      <c r="E1905" s="129"/>
      <c r="F1905" s="128"/>
      <c r="G1905" s="129"/>
      <c r="H1905" s="129"/>
      <c r="I1905" s="166"/>
      <c r="J1905" s="180"/>
      <c r="K1905" s="128"/>
      <c r="L1905" s="127"/>
      <c r="M1905" s="168"/>
      <c r="N1905" s="173"/>
      <c r="O1905" s="141"/>
      <c r="P1905" s="140"/>
      <c r="Q1905" s="142"/>
      <c r="R1905" s="140"/>
      <c r="S1905" s="142"/>
      <c r="T1905" s="140"/>
    </row>
    <row r="1906" spans="3:20" ht="39.75" customHeight="1">
      <c r="C1906" s="196">
        <v>1903</v>
      </c>
      <c r="D1906" s="127"/>
      <c r="E1906" s="129"/>
      <c r="F1906" s="128"/>
      <c r="G1906" s="129"/>
      <c r="H1906" s="129"/>
      <c r="I1906" s="166"/>
      <c r="J1906" s="180"/>
      <c r="K1906" s="128"/>
      <c r="L1906" s="127"/>
      <c r="M1906" s="168"/>
      <c r="N1906" s="173"/>
      <c r="O1906" s="141"/>
      <c r="P1906" s="140"/>
      <c r="Q1906" s="142"/>
      <c r="R1906" s="140"/>
      <c r="S1906" s="142"/>
      <c r="T1906" s="140"/>
    </row>
    <row r="1907" spans="3:20" ht="39.75" customHeight="1">
      <c r="C1907" s="196">
        <v>1904</v>
      </c>
      <c r="D1907" s="127"/>
      <c r="E1907" s="129"/>
      <c r="F1907" s="128"/>
      <c r="G1907" s="129"/>
      <c r="H1907" s="129"/>
      <c r="I1907" s="166"/>
      <c r="J1907" s="180"/>
      <c r="K1907" s="128"/>
      <c r="L1907" s="127"/>
      <c r="M1907" s="168"/>
      <c r="N1907" s="173"/>
      <c r="O1907" s="141"/>
      <c r="P1907" s="140"/>
      <c r="Q1907" s="142"/>
      <c r="R1907" s="140"/>
      <c r="S1907" s="142"/>
      <c r="T1907" s="140"/>
    </row>
    <row r="1908" spans="3:20" ht="39.75" customHeight="1">
      <c r="C1908" s="196">
        <v>1905</v>
      </c>
      <c r="D1908" s="127"/>
      <c r="E1908" s="129"/>
      <c r="F1908" s="128"/>
      <c r="G1908" s="129"/>
      <c r="H1908" s="129"/>
      <c r="I1908" s="166"/>
      <c r="J1908" s="180"/>
      <c r="K1908" s="128"/>
      <c r="L1908" s="127"/>
      <c r="M1908" s="168"/>
      <c r="N1908" s="173"/>
      <c r="O1908" s="141"/>
      <c r="P1908" s="140"/>
      <c r="Q1908" s="142"/>
      <c r="R1908" s="140"/>
      <c r="S1908" s="142"/>
      <c r="T1908" s="140"/>
    </row>
    <row r="1909" spans="3:20" ht="39.75" customHeight="1">
      <c r="C1909" s="196">
        <v>1906</v>
      </c>
      <c r="D1909" s="127"/>
      <c r="E1909" s="129"/>
      <c r="F1909" s="128"/>
      <c r="G1909" s="129"/>
      <c r="H1909" s="129"/>
      <c r="I1909" s="166"/>
      <c r="J1909" s="180"/>
      <c r="K1909" s="128"/>
      <c r="L1909" s="127"/>
      <c r="M1909" s="168"/>
      <c r="N1909" s="173"/>
      <c r="O1909" s="141"/>
      <c r="P1909" s="140"/>
      <c r="Q1909" s="142"/>
      <c r="R1909" s="140"/>
      <c r="S1909" s="142"/>
      <c r="T1909" s="140"/>
    </row>
    <row r="1910" spans="3:20" ht="39.75" customHeight="1">
      <c r="C1910" s="196">
        <v>1907</v>
      </c>
      <c r="D1910" s="127"/>
      <c r="E1910" s="129"/>
      <c r="F1910" s="128"/>
      <c r="G1910" s="129"/>
      <c r="H1910" s="129"/>
      <c r="I1910" s="166"/>
      <c r="J1910" s="180"/>
      <c r="K1910" s="128"/>
      <c r="L1910" s="127"/>
      <c r="M1910" s="168"/>
      <c r="N1910" s="173"/>
      <c r="O1910" s="141"/>
      <c r="P1910" s="140"/>
      <c r="Q1910" s="142"/>
      <c r="R1910" s="140"/>
      <c r="S1910" s="142"/>
      <c r="T1910" s="140"/>
    </row>
    <row r="1911" spans="3:20" ht="39.75" customHeight="1">
      <c r="C1911" s="196">
        <v>1908</v>
      </c>
      <c r="D1911" s="127"/>
      <c r="E1911" s="129"/>
      <c r="F1911" s="128"/>
      <c r="G1911" s="129"/>
      <c r="H1911" s="129"/>
      <c r="I1911" s="166"/>
      <c r="J1911" s="180"/>
      <c r="K1911" s="128"/>
      <c r="L1911" s="127"/>
      <c r="M1911" s="168"/>
      <c r="N1911" s="173"/>
      <c r="O1911" s="141"/>
      <c r="P1911" s="140"/>
      <c r="Q1911" s="142"/>
      <c r="R1911" s="140"/>
      <c r="S1911" s="142"/>
      <c r="T1911" s="140"/>
    </row>
    <row r="1912" spans="3:20" ht="39.75" customHeight="1">
      <c r="C1912" s="196">
        <v>1909</v>
      </c>
      <c r="D1912" s="127"/>
      <c r="E1912" s="129"/>
      <c r="F1912" s="128"/>
      <c r="G1912" s="129"/>
      <c r="H1912" s="129"/>
      <c r="I1912" s="166"/>
      <c r="J1912" s="180"/>
      <c r="K1912" s="128"/>
      <c r="L1912" s="127"/>
      <c r="M1912" s="168"/>
      <c r="N1912" s="173"/>
      <c r="O1912" s="141"/>
      <c r="P1912" s="140"/>
      <c r="Q1912" s="142"/>
      <c r="R1912" s="140"/>
      <c r="S1912" s="142"/>
      <c r="T1912" s="140"/>
    </row>
    <row r="1913" spans="3:20" ht="39.75" customHeight="1">
      <c r="C1913" s="196">
        <v>1910</v>
      </c>
      <c r="D1913" s="127"/>
      <c r="E1913" s="129"/>
      <c r="F1913" s="128"/>
      <c r="G1913" s="129"/>
      <c r="H1913" s="129"/>
      <c r="I1913" s="166"/>
      <c r="J1913" s="180"/>
      <c r="K1913" s="128"/>
      <c r="L1913" s="127"/>
      <c r="M1913" s="168"/>
      <c r="N1913" s="173"/>
      <c r="O1913" s="141"/>
      <c r="P1913" s="140"/>
      <c r="Q1913" s="142"/>
      <c r="R1913" s="140"/>
      <c r="S1913" s="142"/>
      <c r="T1913" s="140"/>
    </row>
    <row r="1914" spans="3:20" ht="39.75" customHeight="1">
      <c r="C1914" s="196">
        <v>1911</v>
      </c>
      <c r="D1914" s="127"/>
      <c r="E1914" s="129"/>
      <c r="F1914" s="128"/>
      <c r="G1914" s="129"/>
      <c r="H1914" s="129"/>
      <c r="I1914" s="166"/>
      <c r="J1914" s="180"/>
      <c r="K1914" s="128"/>
      <c r="L1914" s="127"/>
      <c r="M1914" s="168"/>
      <c r="N1914" s="173"/>
      <c r="O1914" s="141"/>
      <c r="P1914" s="140"/>
      <c r="Q1914" s="142"/>
      <c r="R1914" s="140"/>
      <c r="S1914" s="142"/>
      <c r="T1914" s="140"/>
    </row>
    <row r="1915" spans="3:20" ht="39.75" customHeight="1">
      <c r="C1915" s="196">
        <v>1912</v>
      </c>
      <c r="D1915" s="127"/>
      <c r="E1915" s="129"/>
      <c r="F1915" s="128"/>
      <c r="G1915" s="129"/>
      <c r="H1915" s="129"/>
      <c r="I1915" s="166"/>
      <c r="J1915" s="180"/>
      <c r="K1915" s="128"/>
      <c r="L1915" s="127"/>
      <c r="M1915" s="168"/>
      <c r="N1915" s="173"/>
      <c r="O1915" s="141"/>
      <c r="P1915" s="140"/>
      <c r="Q1915" s="142"/>
      <c r="R1915" s="140"/>
      <c r="S1915" s="142"/>
      <c r="T1915" s="140"/>
    </row>
    <row r="1916" spans="3:20" ht="39.75" customHeight="1">
      <c r="C1916" s="196">
        <v>1913</v>
      </c>
      <c r="D1916" s="127"/>
      <c r="E1916" s="129"/>
      <c r="F1916" s="128"/>
      <c r="G1916" s="129"/>
      <c r="H1916" s="129"/>
      <c r="I1916" s="166"/>
      <c r="J1916" s="180"/>
      <c r="K1916" s="128"/>
      <c r="L1916" s="127"/>
      <c r="M1916" s="168"/>
      <c r="N1916" s="173"/>
      <c r="O1916" s="141"/>
      <c r="P1916" s="140"/>
      <c r="Q1916" s="142"/>
      <c r="R1916" s="140"/>
      <c r="S1916" s="142"/>
      <c r="T1916" s="140"/>
    </row>
    <row r="1917" spans="3:20" ht="39.75" customHeight="1">
      <c r="C1917" s="196">
        <v>1914</v>
      </c>
      <c r="D1917" s="127"/>
      <c r="E1917" s="129"/>
      <c r="F1917" s="128"/>
      <c r="G1917" s="129"/>
      <c r="H1917" s="129"/>
      <c r="I1917" s="166"/>
      <c r="J1917" s="180"/>
      <c r="K1917" s="128"/>
      <c r="L1917" s="127"/>
      <c r="M1917" s="168"/>
      <c r="N1917" s="173"/>
      <c r="O1917" s="141"/>
      <c r="P1917" s="140"/>
      <c r="Q1917" s="142"/>
      <c r="R1917" s="140"/>
      <c r="S1917" s="142"/>
      <c r="T1917" s="140"/>
    </row>
    <row r="1918" spans="3:20" ht="39.75" customHeight="1">
      <c r="C1918" s="196">
        <v>1915</v>
      </c>
      <c r="D1918" s="127"/>
      <c r="E1918" s="129"/>
      <c r="F1918" s="128"/>
      <c r="G1918" s="129"/>
      <c r="H1918" s="129"/>
      <c r="I1918" s="166"/>
      <c r="J1918" s="180"/>
      <c r="K1918" s="128"/>
      <c r="L1918" s="127"/>
      <c r="M1918" s="168"/>
      <c r="N1918" s="173"/>
      <c r="O1918" s="141"/>
      <c r="P1918" s="140"/>
      <c r="Q1918" s="142"/>
      <c r="R1918" s="140"/>
      <c r="S1918" s="142"/>
      <c r="T1918" s="140"/>
    </row>
    <row r="1919" spans="3:20" ht="39.75" customHeight="1">
      <c r="C1919" s="196">
        <v>1916</v>
      </c>
      <c r="D1919" s="127"/>
      <c r="E1919" s="129"/>
      <c r="F1919" s="128"/>
      <c r="G1919" s="129"/>
      <c r="H1919" s="129"/>
      <c r="I1919" s="166"/>
      <c r="J1919" s="180"/>
      <c r="K1919" s="128"/>
      <c r="L1919" s="127"/>
      <c r="M1919" s="168"/>
      <c r="N1919" s="173"/>
      <c r="O1919" s="141"/>
      <c r="P1919" s="140"/>
      <c r="Q1919" s="142"/>
      <c r="R1919" s="140"/>
      <c r="S1919" s="142"/>
      <c r="T1919" s="140"/>
    </row>
    <row r="1920" spans="3:20" ht="39.75" customHeight="1">
      <c r="C1920" s="196">
        <v>1917</v>
      </c>
      <c r="D1920" s="127"/>
      <c r="E1920" s="129"/>
      <c r="F1920" s="128"/>
      <c r="G1920" s="129"/>
      <c r="H1920" s="129"/>
      <c r="I1920" s="166"/>
      <c r="J1920" s="180"/>
      <c r="K1920" s="128"/>
      <c r="L1920" s="127"/>
      <c r="M1920" s="168"/>
      <c r="N1920" s="173"/>
      <c r="O1920" s="141"/>
      <c r="P1920" s="140"/>
      <c r="Q1920" s="142"/>
      <c r="R1920" s="140"/>
      <c r="S1920" s="142"/>
      <c r="T1920" s="140"/>
    </row>
    <row r="1921" spans="3:20" ht="39.75" customHeight="1">
      <c r="C1921" s="196">
        <v>1918</v>
      </c>
      <c r="D1921" s="127"/>
      <c r="E1921" s="129"/>
      <c r="F1921" s="128"/>
      <c r="G1921" s="129"/>
      <c r="H1921" s="129"/>
      <c r="I1921" s="166"/>
      <c r="J1921" s="180"/>
      <c r="K1921" s="128"/>
      <c r="L1921" s="127"/>
      <c r="M1921" s="168"/>
      <c r="N1921" s="173"/>
      <c r="O1921" s="141"/>
      <c r="P1921" s="140"/>
      <c r="Q1921" s="142"/>
      <c r="R1921" s="140"/>
      <c r="S1921" s="142"/>
      <c r="T1921" s="140"/>
    </row>
    <row r="1922" spans="3:20" ht="39.75" customHeight="1">
      <c r="C1922" s="196">
        <v>1919</v>
      </c>
      <c r="D1922" s="127"/>
      <c r="E1922" s="129"/>
      <c r="F1922" s="128"/>
      <c r="G1922" s="129"/>
      <c r="H1922" s="129"/>
      <c r="I1922" s="166"/>
      <c r="J1922" s="180"/>
      <c r="K1922" s="128"/>
      <c r="L1922" s="127"/>
      <c r="M1922" s="168"/>
      <c r="N1922" s="173"/>
      <c r="O1922" s="141"/>
      <c r="P1922" s="140"/>
      <c r="Q1922" s="142"/>
      <c r="R1922" s="140"/>
      <c r="S1922" s="142"/>
      <c r="T1922" s="140"/>
    </row>
    <row r="1923" spans="3:20" ht="39.75" customHeight="1">
      <c r="C1923" s="196">
        <v>1920</v>
      </c>
      <c r="D1923" s="127"/>
      <c r="E1923" s="129"/>
      <c r="F1923" s="128"/>
      <c r="G1923" s="129"/>
      <c r="H1923" s="129"/>
      <c r="I1923" s="166"/>
      <c r="J1923" s="180"/>
      <c r="K1923" s="128"/>
      <c r="L1923" s="127"/>
      <c r="M1923" s="168"/>
      <c r="N1923" s="173"/>
      <c r="O1923" s="141"/>
      <c r="P1923" s="140"/>
      <c r="Q1923" s="142"/>
      <c r="R1923" s="140"/>
      <c r="S1923" s="142"/>
      <c r="T1923" s="140"/>
    </row>
    <row r="1924" spans="3:20" ht="39.75" customHeight="1">
      <c r="C1924" s="196">
        <v>1921</v>
      </c>
      <c r="D1924" s="127"/>
      <c r="E1924" s="129"/>
      <c r="F1924" s="128"/>
      <c r="G1924" s="129"/>
      <c r="H1924" s="129"/>
      <c r="I1924" s="166"/>
      <c r="J1924" s="180"/>
      <c r="K1924" s="128"/>
      <c r="L1924" s="127"/>
      <c r="M1924" s="168"/>
      <c r="N1924" s="173"/>
      <c r="O1924" s="141"/>
      <c r="P1924" s="140"/>
      <c r="Q1924" s="142"/>
      <c r="R1924" s="140"/>
      <c r="S1924" s="142"/>
      <c r="T1924" s="140"/>
    </row>
    <row r="1925" spans="3:20" ht="39.75" customHeight="1">
      <c r="C1925" s="196">
        <v>1922</v>
      </c>
      <c r="D1925" s="127"/>
      <c r="E1925" s="129"/>
      <c r="F1925" s="128"/>
      <c r="G1925" s="129"/>
      <c r="H1925" s="129"/>
      <c r="I1925" s="166"/>
      <c r="J1925" s="180"/>
      <c r="K1925" s="128"/>
      <c r="L1925" s="127"/>
      <c r="M1925" s="168"/>
      <c r="N1925" s="173"/>
      <c r="O1925" s="141"/>
      <c r="P1925" s="140"/>
      <c r="Q1925" s="142"/>
      <c r="R1925" s="140"/>
      <c r="S1925" s="142"/>
      <c r="T1925" s="140"/>
    </row>
    <row r="1926" spans="3:20" ht="39.75" customHeight="1">
      <c r="C1926" s="196">
        <v>1923</v>
      </c>
      <c r="D1926" s="127"/>
      <c r="E1926" s="129"/>
      <c r="F1926" s="128"/>
      <c r="G1926" s="129"/>
      <c r="H1926" s="129"/>
      <c r="I1926" s="166"/>
      <c r="J1926" s="180"/>
      <c r="K1926" s="128"/>
      <c r="L1926" s="127"/>
      <c r="M1926" s="168"/>
      <c r="N1926" s="173"/>
      <c r="O1926" s="141"/>
      <c r="P1926" s="140"/>
      <c r="Q1926" s="142"/>
      <c r="R1926" s="140"/>
      <c r="S1926" s="142"/>
      <c r="T1926" s="140"/>
    </row>
    <row r="1927" spans="3:20" ht="39.75" customHeight="1">
      <c r="C1927" s="196">
        <v>1924</v>
      </c>
      <c r="D1927" s="127"/>
      <c r="E1927" s="129"/>
      <c r="F1927" s="128"/>
      <c r="G1927" s="129"/>
      <c r="H1927" s="129"/>
      <c r="I1927" s="166"/>
      <c r="J1927" s="180"/>
      <c r="K1927" s="128"/>
      <c r="L1927" s="127"/>
      <c r="M1927" s="168"/>
      <c r="N1927" s="173"/>
      <c r="O1927" s="141"/>
      <c r="P1927" s="140"/>
      <c r="Q1927" s="142"/>
      <c r="R1927" s="140"/>
      <c r="S1927" s="142"/>
      <c r="T1927" s="140"/>
    </row>
    <row r="1928" spans="3:20" ht="39.75" customHeight="1">
      <c r="C1928" s="196">
        <v>1925</v>
      </c>
      <c r="D1928" s="127"/>
      <c r="E1928" s="129"/>
      <c r="F1928" s="128"/>
      <c r="G1928" s="129"/>
      <c r="H1928" s="129"/>
      <c r="I1928" s="166"/>
      <c r="J1928" s="180"/>
      <c r="K1928" s="128"/>
      <c r="L1928" s="127"/>
      <c r="M1928" s="168"/>
      <c r="N1928" s="173"/>
      <c r="O1928" s="141"/>
      <c r="P1928" s="140"/>
      <c r="Q1928" s="142"/>
      <c r="R1928" s="140"/>
      <c r="S1928" s="142"/>
      <c r="T1928" s="140"/>
    </row>
    <row r="1929" spans="3:20" ht="39.75" customHeight="1">
      <c r="C1929" s="196">
        <v>1926</v>
      </c>
      <c r="D1929" s="127"/>
      <c r="E1929" s="129"/>
      <c r="F1929" s="128"/>
      <c r="G1929" s="129"/>
      <c r="H1929" s="129"/>
      <c r="I1929" s="166"/>
      <c r="J1929" s="180"/>
      <c r="K1929" s="128"/>
      <c r="L1929" s="127"/>
      <c r="M1929" s="168"/>
      <c r="N1929" s="173"/>
      <c r="O1929" s="141"/>
      <c r="P1929" s="140"/>
      <c r="Q1929" s="142"/>
      <c r="R1929" s="140"/>
      <c r="S1929" s="142"/>
      <c r="T1929" s="140"/>
    </row>
    <row r="1930" spans="3:20" ht="39.75" customHeight="1">
      <c r="C1930" s="196">
        <v>1927</v>
      </c>
      <c r="D1930" s="127"/>
      <c r="E1930" s="129"/>
      <c r="F1930" s="128"/>
      <c r="G1930" s="129"/>
      <c r="H1930" s="129"/>
      <c r="I1930" s="166"/>
      <c r="J1930" s="180"/>
      <c r="K1930" s="128"/>
      <c r="L1930" s="127"/>
      <c r="M1930" s="168"/>
      <c r="N1930" s="173"/>
      <c r="O1930" s="141"/>
      <c r="P1930" s="140"/>
      <c r="Q1930" s="142"/>
      <c r="R1930" s="140"/>
      <c r="S1930" s="142"/>
      <c r="T1930" s="140"/>
    </row>
    <row r="1931" spans="3:20" ht="39.75" customHeight="1">
      <c r="C1931" s="196">
        <v>1928</v>
      </c>
      <c r="D1931" s="127"/>
      <c r="E1931" s="129"/>
      <c r="F1931" s="128"/>
      <c r="G1931" s="129"/>
      <c r="H1931" s="129"/>
      <c r="I1931" s="166"/>
      <c r="J1931" s="180"/>
      <c r="K1931" s="128"/>
      <c r="L1931" s="127"/>
      <c r="M1931" s="168"/>
      <c r="N1931" s="173"/>
      <c r="O1931" s="141"/>
      <c r="P1931" s="140"/>
      <c r="Q1931" s="142"/>
      <c r="R1931" s="140"/>
      <c r="S1931" s="142"/>
      <c r="T1931" s="140"/>
    </row>
    <row r="1932" spans="3:20" ht="39.75" customHeight="1">
      <c r="C1932" s="196">
        <v>1929</v>
      </c>
      <c r="D1932" s="127"/>
      <c r="E1932" s="129"/>
      <c r="F1932" s="128"/>
      <c r="G1932" s="129"/>
      <c r="H1932" s="129"/>
      <c r="I1932" s="166"/>
      <c r="J1932" s="180"/>
      <c r="K1932" s="128"/>
      <c r="L1932" s="127"/>
      <c r="M1932" s="168"/>
      <c r="N1932" s="173"/>
      <c r="O1932" s="141"/>
      <c r="P1932" s="140"/>
      <c r="Q1932" s="142"/>
      <c r="R1932" s="140"/>
      <c r="S1932" s="142"/>
      <c r="T1932" s="140"/>
    </row>
    <row r="1933" spans="3:20" ht="39.75" customHeight="1">
      <c r="C1933" s="196">
        <v>1930</v>
      </c>
      <c r="D1933" s="127"/>
      <c r="E1933" s="129"/>
      <c r="F1933" s="128"/>
      <c r="G1933" s="129"/>
      <c r="H1933" s="129"/>
      <c r="I1933" s="166"/>
      <c r="J1933" s="180"/>
      <c r="K1933" s="128"/>
      <c r="L1933" s="127"/>
      <c r="M1933" s="168"/>
      <c r="N1933" s="173"/>
      <c r="O1933" s="141"/>
      <c r="P1933" s="140"/>
      <c r="Q1933" s="142"/>
      <c r="R1933" s="140"/>
      <c r="S1933" s="142"/>
      <c r="T1933" s="140"/>
    </row>
    <row r="1934" spans="3:20" ht="39.75" customHeight="1">
      <c r="C1934" s="196">
        <v>1931</v>
      </c>
      <c r="D1934" s="127"/>
      <c r="E1934" s="129"/>
      <c r="F1934" s="128"/>
      <c r="G1934" s="129"/>
      <c r="H1934" s="129"/>
      <c r="I1934" s="166"/>
      <c r="J1934" s="180"/>
      <c r="K1934" s="128"/>
      <c r="L1934" s="127"/>
      <c r="M1934" s="168"/>
      <c r="N1934" s="173"/>
      <c r="O1934" s="141"/>
      <c r="P1934" s="140"/>
      <c r="Q1934" s="142"/>
      <c r="R1934" s="140"/>
      <c r="S1934" s="142"/>
      <c r="T1934" s="140"/>
    </row>
    <row r="1935" spans="3:20" ht="39.75" customHeight="1">
      <c r="C1935" s="196">
        <v>1932</v>
      </c>
      <c r="D1935" s="127"/>
      <c r="E1935" s="129"/>
      <c r="F1935" s="128"/>
      <c r="G1935" s="129"/>
      <c r="H1935" s="129"/>
      <c r="I1935" s="166"/>
      <c r="J1935" s="180"/>
      <c r="K1935" s="128"/>
      <c r="L1935" s="127"/>
      <c r="M1935" s="168"/>
      <c r="N1935" s="173"/>
      <c r="O1935" s="141"/>
      <c r="P1935" s="140"/>
      <c r="Q1935" s="142"/>
      <c r="R1935" s="140"/>
      <c r="S1935" s="142"/>
      <c r="T1935" s="140"/>
    </row>
    <row r="1936" spans="3:20" ht="39.75" customHeight="1">
      <c r="C1936" s="196">
        <v>1933</v>
      </c>
      <c r="D1936" s="127"/>
      <c r="E1936" s="129"/>
      <c r="F1936" s="128"/>
      <c r="G1936" s="129"/>
      <c r="H1936" s="129"/>
      <c r="I1936" s="166"/>
      <c r="J1936" s="180"/>
      <c r="K1936" s="128"/>
      <c r="L1936" s="127"/>
      <c r="M1936" s="168"/>
      <c r="N1936" s="173"/>
      <c r="O1936" s="141"/>
      <c r="P1936" s="140"/>
      <c r="Q1936" s="142"/>
      <c r="R1936" s="140"/>
      <c r="S1936" s="142"/>
      <c r="T1936" s="140"/>
    </row>
    <row r="1937" spans="3:20" ht="39.75" customHeight="1">
      <c r="C1937" s="196">
        <v>1934</v>
      </c>
      <c r="D1937" s="127"/>
      <c r="E1937" s="129"/>
      <c r="F1937" s="128"/>
      <c r="G1937" s="129"/>
      <c r="H1937" s="129"/>
      <c r="I1937" s="166"/>
      <c r="J1937" s="180"/>
      <c r="K1937" s="128"/>
      <c r="L1937" s="127"/>
      <c r="M1937" s="168"/>
      <c r="N1937" s="173"/>
      <c r="O1937" s="141"/>
      <c r="P1937" s="140"/>
      <c r="Q1937" s="142"/>
      <c r="R1937" s="140"/>
      <c r="S1937" s="142"/>
      <c r="T1937" s="140"/>
    </row>
    <row r="1938" spans="3:20" ht="39.75" customHeight="1">
      <c r="C1938" s="196">
        <v>1935</v>
      </c>
      <c r="D1938" s="127"/>
      <c r="E1938" s="129"/>
      <c r="F1938" s="128"/>
      <c r="G1938" s="129"/>
      <c r="H1938" s="129"/>
      <c r="I1938" s="166"/>
      <c r="J1938" s="180"/>
      <c r="K1938" s="128"/>
      <c r="L1938" s="127"/>
      <c r="M1938" s="168"/>
      <c r="N1938" s="173"/>
      <c r="O1938" s="141"/>
      <c r="P1938" s="140"/>
      <c r="Q1938" s="142"/>
      <c r="R1938" s="140"/>
      <c r="S1938" s="142"/>
      <c r="T1938" s="140"/>
    </row>
    <row r="1939" spans="3:20" ht="39.75" customHeight="1">
      <c r="C1939" s="196">
        <v>1936</v>
      </c>
      <c r="D1939" s="127"/>
      <c r="E1939" s="129"/>
      <c r="F1939" s="128"/>
      <c r="G1939" s="129"/>
      <c r="H1939" s="129"/>
      <c r="I1939" s="166"/>
      <c r="J1939" s="180"/>
      <c r="K1939" s="128"/>
      <c r="L1939" s="127"/>
      <c r="M1939" s="168"/>
      <c r="N1939" s="173"/>
      <c r="O1939" s="141"/>
      <c r="P1939" s="140"/>
      <c r="Q1939" s="142"/>
      <c r="R1939" s="140"/>
      <c r="S1939" s="142"/>
      <c r="T1939" s="140"/>
    </row>
    <row r="1940" spans="3:20" ht="39.75" customHeight="1">
      <c r="C1940" s="196">
        <v>1937</v>
      </c>
      <c r="D1940" s="127"/>
      <c r="E1940" s="129"/>
      <c r="F1940" s="128"/>
      <c r="G1940" s="129"/>
      <c r="H1940" s="129"/>
      <c r="I1940" s="166"/>
      <c r="J1940" s="180"/>
      <c r="K1940" s="128"/>
      <c r="L1940" s="127"/>
      <c r="M1940" s="168"/>
      <c r="N1940" s="173"/>
      <c r="O1940" s="141"/>
      <c r="P1940" s="140"/>
      <c r="Q1940" s="142"/>
      <c r="R1940" s="140"/>
      <c r="S1940" s="142"/>
      <c r="T1940" s="140"/>
    </row>
    <row r="1941" spans="3:20" ht="39.75" customHeight="1">
      <c r="C1941" s="196">
        <v>1938</v>
      </c>
      <c r="D1941" s="127"/>
      <c r="E1941" s="129"/>
      <c r="F1941" s="128"/>
      <c r="G1941" s="129"/>
      <c r="H1941" s="129"/>
      <c r="I1941" s="166"/>
      <c r="J1941" s="180"/>
      <c r="K1941" s="128"/>
      <c r="L1941" s="127"/>
      <c r="M1941" s="168"/>
      <c r="N1941" s="173"/>
      <c r="O1941" s="141"/>
      <c r="P1941" s="140"/>
      <c r="Q1941" s="142"/>
      <c r="R1941" s="140"/>
      <c r="S1941" s="142"/>
      <c r="T1941" s="140"/>
    </row>
    <row r="1942" spans="3:20" ht="39.75" customHeight="1">
      <c r="C1942" s="196">
        <v>1939</v>
      </c>
      <c r="D1942" s="127"/>
      <c r="E1942" s="129"/>
      <c r="F1942" s="128"/>
      <c r="G1942" s="129"/>
      <c r="H1942" s="129"/>
      <c r="I1942" s="166"/>
      <c r="J1942" s="180"/>
      <c r="K1942" s="128"/>
      <c r="L1942" s="127"/>
      <c r="M1942" s="168"/>
      <c r="N1942" s="173"/>
      <c r="O1942" s="141"/>
      <c r="P1942" s="140"/>
      <c r="Q1942" s="142"/>
      <c r="R1942" s="140"/>
      <c r="S1942" s="142"/>
      <c r="T1942" s="140"/>
    </row>
    <row r="1943" spans="3:20" ht="39.75" customHeight="1">
      <c r="C1943" s="196">
        <v>1940</v>
      </c>
      <c r="D1943" s="127"/>
      <c r="E1943" s="129"/>
      <c r="F1943" s="128"/>
      <c r="G1943" s="129"/>
      <c r="H1943" s="129"/>
      <c r="I1943" s="166"/>
      <c r="J1943" s="180"/>
      <c r="K1943" s="128"/>
      <c r="L1943" s="127"/>
      <c r="M1943" s="168"/>
      <c r="N1943" s="173"/>
      <c r="O1943" s="141"/>
      <c r="P1943" s="140"/>
      <c r="Q1943" s="142"/>
      <c r="R1943" s="140"/>
      <c r="S1943" s="142"/>
      <c r="T1943" s="140"/>
    </row>
    <row r="1944" spans="3:20" ht="39.75" customHeight="1">
      <c r="C1944" s="196">
        <v>1941</v>
      </c>
      <c r="D1944" s="127"/>
      <c r="E1944" s="129"/>
      <c r="F1944" s="128"/>
      <c r="G1944" s="129"/>
      <c r="H1944" s="129"/>
      <c r="I1944" s="166"/>
      <c r="J1944" s="180"/>
      <c r="K1944" s="128"/>
      <c r="L1944" s="127"/>
      <c r="M1944" s="168"/>
      <c r="N1944" s="173"/>
      <c r="O1944" s="141"/>
      <c r="P1944" s="140"/>
      <c r="Q1944" s="142"/>
      <c r="R1944" s="140"/>
      <c r="S1944" s="142"/>
      <c r="T1944" s="140"/>
    </row>
    <row r="1945" spans="3:20" ht="39.75" customHeight="1">
      <c r="C1945" s="196">
        <v>1942</v>
      </c>
      <c r="D1945" s="127"/>
      <c r="E1945" s="129"/>
      <c r="F1945" s="128"/>
      <c r="G1945" s="129"/>
      <c r="H1945" s="129"/>
      <c r="I1945" s="166"/>
      <c r="J1945" s="180"/>
      <c r="K1945" s="128"/>
      <c r="L1945" s="127"/>
      <c r="M1945" s="168"/>
      <c r="N1945" s="173"/>
      <c r="O1945" s="141"/>
      <c r="P1945" s="140"/>
      <c r="Q1945" s="142"/>
      <c r="R1945" s="140"/>
      <c r="S1945" s="142"/>
      <c r="T1945" s="140"/>
    </row>
    <row r="1946" spans="3:20" ht="39.75" customHeight="1">
      <c r="C1946" s="196">
        <v>1943</v>
      </c>
      <c r="D1946" s="127"/>
      <c r="E1946" s="129"/>
      <c r="F1946" s="128"/>
      <c r="G1946" s="129"/>
      <c r="H1946" s="129"/>
      <c r="I1946" s="166"/>
      <c r="J1946" s="180"/>
      <c r="K1946" s="128"/>
      <c r="L1946" s="127"/>
      <c r="M1946" s="168"/>
      <c r="N1946" s="173"/>
      <c r="O1946" s="141"/>
      <c r="P1946" s="140"/>
      <c r="Q1946" s="142"/>
      <c r="R1946" s="140"/>
      <c r="S1946" s="142"/>
      <c r="T1946" s="140"/>
    </row>
    <row r="1947" spans="3:20" ht="39.75" customHeight="1">
      <c r="C1947" s="196">
        <v>1944</v>
      </c>
      <c r="D1947" s="127"/>
      <c r="E1947" s="129"/>
      <c r="F1947" s="128"/>
      <c r="G1947" s="129"/>
      <c r="H1947" s="129"/>
      <c r="I1947" s="166"/>
      <c r="J1947" s="180"/>
      <c r="K1947" s="128"/>
      <c r="L1947" s="127"/>
      <c r="M1947" s="168"/>
      <c r="N1947" s="173"/>
      <c r="O1947" s="141"/>
      <c r="P1947" s="140"/>
      <c r="Q1947" s="142"/>
      <c r="R1947" s="140"/>
      <c r="S1947" s="142"/>
      <c r="T1947" s="140"/>
    </row>
    <row r="1948" spans="3:20" ht="39.75" customHeight="1">
      <c r="C1948" s="196">
        <v>1945</v>
      </c>
      <c r="D1948" s="127"/>
      <c r="E1948" s="129"/>
      <c r="F1948" s="128"/>
      <c r="G1948" s="129"/>
      <c r="H1948" s="129"/>
      <c r="I1948" s="166"/>
      <c r="J1948" s="180"/>
      <c r="K1948" s="128"/>
      <c r="L1948" s="127"/>
      <c r="M1948" s="168"/>
      <c r="N1948" s="173"/>
      <c r="O1948" s="141"/>
      <c r="P1948" s="140"/>
      <c r="Q1948" s="142"/>
      <c r="R1948" s="140"/>
      <c r="S1948" s="142"/>
      <c r="T1948" s="140"/>
    </row>
    <row r="1949" spans="3:20" ht="39.75" customHeight="1">
      <c r="C1949" s="196">
        <v>1946</v>
      </c>
      <c r="D1949" s="127"/>
      <c r="E1949" s="129"/>
      <c r="F1949" s="128"/>
      <c r="G1949" s="129"/>
      <c r="H1949" s="129"/>
      <c r="I1949" s="166"/>
      <c r="J1949" s="180"/>
      <c r="K1949" s="128"/>
      <c r="L1949" s="127"/>
      <c r="M1949" s="168"/>
      <c r="N1949" s="173"/>
      <c r="O1949" s="141"/>
      <c r="P1949" s="140"/>
      <c r="Q1949" s="142"/>
      <c r="R1949" s="140"/>
      <c r="S1949" s="142"/>
      <c r="T1949" s="140"/>
    </row>
    <row r="1950" spans="3:20" ht="39.75" customHeight="1">
      <c r="C1950" s="196">
        <v>1947</v>
      </c>
      <c r="D1950" s="127"/>
      <c r="E1950" s="129"/>
      <c r="F1950" s="128"/>
      <c r="G1950" s="129"/>
      <c r="H1950" s="129"/>
      <c r="I1950" s="166"/>
      <c r="J1950" s="180"/>
      <c r="K1950" s="128"/>
      <c r="L1950" s="127"/>
      <c r="M1950" s="168"/>
      <c r="N1950" s="173"/>
      <c r="O1950" s="141"/>
      <c r="P1950" s="140"/>
      <c r="Q1950" s="142"/>
      <c r="R1950" s="140"/>
      <c r="S1950" s="142"/>
      <c r="T1950" s="140"/>
    </row>
    <row r="1951" spans="3:20" ht="39.75" customHeight="1">
      <c r="C1951" s="196">
        <v>1948</v>
      </c>
      <c r="D1951" s="127"/>
      <c r="E1951" s="129"/>
      <c r="F1951" s="128"/>
      <c r="G1951" s="129"/>
      <c r="H1951" s="129"/>
      <c r="I1951" s="166"/>
      <c r="J1951" s="180"/>
      <c r="K1951" s="128"/>
      <c r="L1951" s="127"/>
      <c r="M1951" s="168"/>
      <c r="N1951" s="173"/>
      <c r="O1951" s="141"/>
      <c r="P1951" s="140"/>
      <c r="Q1951" s="142"/>
      <c r="R1951" s="140"/>
      <c r="S1951" s="142"/>
      <c r="T1951" s="140"/>
    </row>
    <row r="1952" spans="3:20" ht="39.75" customHeight="1">
      <c r="C1952" s="196">
        <v>1949</v>
      </c>
      <c r="D1952" s="127"/>
      <c r="E1952" s="129"/>
      <c r="F1952" s="128"/>
      <c r="G1952" s="129"/>
      <c r="H1952" s="129"/>
      <c r="I1952" s="166"/>
      <c r="J1952" s="180"/>
      <c r="K1952" s="128"/>
      <c r="L1952" s="127"/>
      <c r="M1952" s="168"/>
      <c r="N1952" s="173"/>
      <c r="O1952" s="141"/>
      <c r="P1952" s="140"/>
      <c r="Q1952" s="142"/>
      <c r="R1952" s="140"/>
      <c r="S1952" s="142"/>
      <c r="T1952" s="140"/>
    </row>
    <row r="1953" spans="3:20" ht="39.75" customHeight="1">
      <c r="C1953" s="196">
        <v>1950</v>
      </c>
      <c r="D1953" s="127"/>
      <c r="E1953" s="129"/>
      <c r="F1953" s="128"/>
      <c r="G1953" s="129"/>
      <c r="H1953" s="129"/>
      <c r="I1953" s="166"/>
      <c r="J1953" s="180"/>
      <c r="K1953" s="128"/>
      <c r="L1953" s="127"/>
      <c r="M1953" s="168"/>
      <c r="N1953" s="173"/>
      <c r="O1953" s="141"/>
      <c r="P1953" s="140"/>
      <c r="Q1953" s="142"/>
      <c r="R1953" s="140"/>
      <c r="S1953" s="142"/>
      <c r="T1953" s="140"/>
    </row>
    <row r="1954" spans="3:20" ht="39.75" customHeight="1">
      <c r="C1954" s="196">
        <v>1951</v>
      </c>
      <c r="D1954" s="127"/>
      <c r="E1954" s="129"/>
      <c r="F1954" s="128"/>
      <c r="G1954" s="129"/>
      <c r="H1954" s="129"/>
      <c r="I1954" s="166"/>
      <c r="J1954" s="180"/>
      <c r="K1954" s="128"/>
      <c r="L1954" s="127"/>
      <c r="M1954" s="168"/>
      <c r="N1954" s="173"/>
      <c r="O1954" s="141"/>
      <c r="P1954" s="140"/>
      <c r="Q1954" s="142"/>
      <c r="R1954" s="140"/>
      <c r="S1954" s="142"/>
      <c r="T1954" s="140"/>
    </row>
    <row r="1955" spans="3:20" ht="39.75" customHeight="1">
      <c r="C1955" s="196">
        <v>1952</v>
      </c>
      <c r="D1955" s="127"/>
      <c r="E1955" s="129"/>
      <c r="F1955" s="128"/>
      <c r="G1955" s="129"/>
      <c r="H1955" s="129"/>
      <c r="I1955" s="166"/>
      <c r="J1955" s="180"/>
      <c r="K1955" s="128"/>
      <c r="L1955" s="127"/>
      <c r="M1955" s="168"/>
      <c r="N1955" s="173"/>
      <c r="O1955" s="141"/>
      <c r="P1955" s="140"/>
      <c r="Q1955" s="142"/>
      <c r="R1955" s="140"/>
      <c r="S1955" s="142"/>
      <c r="T1955" s="140"/>
    </row>
    <row r="1956" spans="3:20" ht="39.75" customHeight="1">
      <c r="C1956" s="196">
        <v>1953</v>
      </c>
      <c r="D1956" s="127"/>
      <c r="E1956" s="129"/>
      <c r="F1956" s="128"/>
      <c r="G1956" s="129"/>
      <c r="H1956" s="129"/>
      <c r="I1956" s="166"/>
      <c r="J1956" s="180"/>
      <c r="K1956" s="128"/>
      <c r="L1956" s="127"/>
      <c r="M1956" s="168"/>
      <c r="N1956" s="173"/>
      <c r="O1956" s="141"/>
      <c r="P1956" s="140"/>
      <c r="Q1956" s="142"/>
      <c r="R1956" s="140"/>
      <c r="S1956" s="142"/>
      <c r="T1956" s="140"/>
    </row>
    <row r="1957" spans="3:20" ht="39.75" customHeight="1">
      <c r="C1957" s="196">
        <v>1954</v>
      </c>
      <c r="D1957" s="127"/>
      <c r="E1957" s="129"/>
      <c r="F1957" s="128"/>
      <c r="G1957" s="129"/>
      <c r="H1957" s="129"/>
      <c r="I1957" s="166"/>
      <c r="J1957" s="180"/>
      <c r="K1957" s="128"/>
      <c r="L1957" s="127"/>
      <c r="M1957" s="168"/>
      <c r="N1957" s="173"/>
      <c r="O1957" s="141"/>
      <c r="P1957" s="140"/>
      <c r="Q1957" s="142"/>
      <c r="R1957" s="140"/>
      <c r="S1957" s="142"/>
      <c r="T1957" s="140"/>
    </row>
    <row r="1958" spans="3:20" ht="39.75" customHeight="1">
      <c r="C1958" s="196">
        <v>1955</v>
      </c>
      <c r="D1958" s="127"/>
      <c r="E1958" s="129"/>
      <c r="F1958" s="128"/>
      <c r="G1958" s="129"/>
      <c r="H1958" s="129"/>
      <c r="I1958" s="166"/>
      <c r="J1958" s="180"/>
      <c r="K1958" s="128"/>
      <c r="L1958" s="127"/>
      <c r="M1958" s="168"/>
      <c r="N1958" s="173"/>
      <c r="O1958" s="141"/>
      <c r="P1958" s="140"/>
      <c r="Q1958" s="142"/>
      <c r="R1958" s="140"/>
      <c r="S1958" s="142"/>
      <c r="T1958" s="140"/>
    </row>
    <row r="1959" spans="3:20" ht="39.75" customHeight="1">
      <c r="C1959" s="196">
        <v>1956</v>
      </c>
      <c r="D1959" s="127"/>
      <c r="E1959" s="129"/>
      <c r="F1959" s="128"/>
      <c r="G1959" s="129"/>
      <c r="H1959" s="129"/>
      <c r="I1959" s="166"/>
      <c r="J1959" s="180"/>
      <c r="K1959" s="128"/>
      <c r="L1959" s="127"/>
      <c r="M1959" s="168"/>
      <c r="N1959" s="173"/>
      <c r="O1959" s="141"/>
      <c r="P1959" s="140"/>
      <c r="Q1959" s="142"/>
      <c r="R1959" s="140"/>
      <c r="S1959" s="142"/>
      <c r="T1959" s="140"/>
    </row>
    <row r="1960" spans="3:20" ht="39.75" customHeight="1">
      <c r="C1960" s="196">
        <v>1957</v>
      </c>
      <c r="D1960" s="127"/>
      <c r="E1960" s="129"/>
      <c r="F1960" s="128"/>
      <c r="G1960" s="129"/>
      <c r="H1960" s="129"/>
      <c r="I1960" s="166"/>
      <c r="J1960" s="180"/>
      <c r="K1960" s="128"/>
      <c r="L1960" s="127"/>
      <c r="M1960" s="168"/>
      <c r="N1960" s="173"/>
      <c r="O1960" s="141"/>
      <c r="P1960" s="140"/>
      <c r="Q1960" s="142"/>
      <c r="R1960" s="140"/>
      <c r="S1960" s="142"/>
      <c r="T1960" s="140"/>
    </row>
    <row r="1961" spans="3:20" ht="39.75" customHeight="1">
      <c r="C1961" s="196">
        <v>1958</v>
      </c>
      <c r="D1961" s="127"/>
      <c r="E1961" s="129"/>
      <c r="F1961" s="128"/>
      <c r="G1961" s="129"/>
      <c r="H1961" s="129"/>
      <c r="I1961" s="166"/>
      <c r="J1961" s="180"/>
      <c r="K1961" s="128"/>
      <c r="L1961" s="127"/>
      <c r="M1961" s="168"/>
      <c r="N1961" s="173"/>
      <c r="O1961" s="141"/>
      <c r="P1961" s="140"/>
      <c r="Q1961" s="142"/>
      <c r="R1961" s="140"/>
      <c r="S1961" s="142"/>
      <c r="T1961" s="140"/>
    </row>
    <row r="1962" spans="3:20" ht="39.75" customHeight="1">
      <c r="C1962" s="196">
        <v>1959</v>
      </c>
      <c r="D1962" s="127"/>
      <c r="E1962" s="129"/>
      <c r="F1962" s="128"/>
      <c r="G1962" s="129"/>
      <c r="H1962" s="129"/>
      <c r="I1962" s="166"/>
      <c r="J1962" s="180"/>
      <c r="K1962" s="128"/>
      <c r="L1962" s="127"/>
      <c r="M1962" s="168"/>
      <c r="N1962" s="173"/>
      <c r="O1962" s="141"/>
      <c r="P1962" s="140"/>
      <c r="Q1962" s="142"/>
      <c r="R1962" s="140"/>
      <c r="S1962" s="142"/>
      <c r="T1962" s="140"/>
    </row>
    <row r="1963" spans="3:20" ht="39.75" customHeight="1">
      <c r="C1963" s="196">
        <v>1960</v>
      </c>
      <c r="D1963" s="127"/>
      <c r="E1963" s="129"/>
      <c r="F1963" s="128"/>
      <c r="G1963" s="129"/>
      <c r="H1963" s="129"/>
      <c r="I1963" s="166"/>
      <c r="J1963" s="180"/>
      <c r="K1963" s="128"/>
      <c r="L1963" s="127"/>
      <c r="M1963" s="168"/>
      <c r="N1963" s="173"/>
      <c r="O1963" s="141"/>
      <c r="P1963" s="140"/>
      <c r="Q1963" s="142"/>
      <c r="R1963" s="140"/>
      <c r="S1963" s="142"/>
      <c r="T1963" s="140"/>
    </row>
    <row r="1964" spans="3:20" ht="39.75" customHeight="1">
      <c r="C1964" s="196">
        <v>1961</v>
      </c>
      <c r="D1964" s="127"/>
      <c r="E1964" s="129"/>
      <c r="F1964" s="128"/>
      <c r="G1964" s="129"/>
      <c r="H1964" s="129"/>
      <c r="I1964" s="166"/>
      <c r="J1964" s="180"/>
      <c r="K1964" s="128"/>
      <c r="L1964" s="127"/>
      <c r="M1964" s="168"/>
      <c r="N1964" s="173"/>
      <c r="O1964" s="141"/>
      <c r="P1964" s="140"/>
      <c r="Q1964" s="142"/>
      <c r="R1964" s="140"/>
      <c r="S1964" s="142"/>
      <c r="T1964" s="140"/>
    </row>
    <row r="1965" spans="3:20" ht="39.75" customHeight="1">
      <c r="C1965" s="196">
        <v>1962</v>
      </c>
      <c r="D1965" s="127"/>
      <c r="E1965" s="129"/>
      <c r="F1965" s="128"/>
      <c r="G1965" s="129"/>
      <c r="H1965" s="129"/>
      <c r="I1965" s="166"/>
      <c r="J1965" s="180"/>
      <c r="K1965" s="128"/>
      <c r="L1965" s="127"/>
      <c r="M1965" s="168"/>
      <c r="N1965" s="173"/>
      <c r="O1965" s="141"/>
      <c r="P1965" s="140"/>
      <c r="Q1965" s="142"/>
      <c r="R1965" s="140"/>
      <c r="S1965" s="142"/>
      <c r="T1965" s="140"/>
    </row>
    <row r="1966" spans="3:20" ht="39.75" customHeight="1">
      <c r="C1966" s="196">
        <v>1963</v>
      </c>
      <c r="D1966" s="127"/>
      <c r="E1966" s="129"/>
      <c r="F1966" s="128"/>
      <c r="G1966" s="129"/>
      <c r="H1966" s="129"/>
      <c r="I1966" s="166"/>
      <c r="J1966" s="180"/>
      <c r="K1966" s="128"/>
      <c r="L1966" s="127"/>
      <c r="M1966" s="168"/>
      <c r="N1966" s="173"/>
      <c r="O1966" s="141"/>
      <c r="P1966" s="140"/>
      <c r="Q1966" s="142"/>
      <c r="R1966" s="140"/>
      <c r="S1966" s="142"/>
      <c r="T1966" s="140"/>
    </row>
    <row r="1967" spans="3:20" ht="39.75" customHeight="1">
      <c r="C1967" s="196">
        <v>1964</v>
      </c>
      <c r="D1967" s="127"/>
      <c r="E1967" s="129"/>
      <c r="F1967" s="128"/>
      <c r="G1967" s="129"/>
      <c r="H1967" s="129"/>
      <c r="I1967" s="166"/>
      <c r="J1967" s="180"/>
      <c r="K1967" s="128"/>
      <c r="L1967" s="127"/>
      <c r="M1967" s="168"/>
      <c r="N1967" s="173"/>
      <c r="O1967" s="141"/>
      <c r="P1967" s="140"/>
      <c r="Q1967" s="142"/>
      <c r="R1967" s="140"/>
      <c r="S1967" s="142"/>
      <c r="T1967" s="140"/>
    </row>
    <row r="1968" spans="3:20" ht="39.75" customHeight="1">
      <c r="C1968" s="196">
        <v>1965</v>
      </c>
      <c r="D1968" s="127"/>
      <c r="E1968" s="129"/>
      <c r="F1968" s="128"/>
      <c r="G1968" s="129"/>
      <c r="H1968" s="129"/>
      <c r="I1968" s="166"/>
      <c r="J1968" s="180"/>
      <c r="K1968" s="128"/>
      <c r="L1968" s="127"/>
      <c r="M1968" s="168"/>
      <c r="N1968" s="173"/>
      <c r="O1968" s="141"/>
      <c r="P1968" s="140"/>
      <c r="Q1968" s="142"/>
      <c r="R1968" s="140"/>
      <c r="S1968" s="142"/>
      <c r="T1968" s="140"/>
    </row>
    <row r="1969" spans="3:20" ht="39.75" customHeight="1">
      <c r="C1969" s="196">
        <v>1966</v>
      </c>
      <c r="D1969" s="127"/>
      <c r="E1969" s="129"/>
      <c r="F1969" s="128"/>
      <c r="G1969" s="129"/>
      <c r="H1969" s="129"/>
      <c r="I1969" s="166"/>
      <c r="J1969" s="180"/>
      <c r="K1969" s="128"/>
      <c r="L1969" s="127"/>
      <c r="M1969" s="168"/>
      <c r="N1969" s="173"/>
      <c r="O1969" s="141"/>
      <c r="P1969" s="140"/>
      <c r="Q1969" s="142"/>
      <c r="R1969" s="140"/>
      <c r="S1969" s="142"/>
      <c r="T1969" s="140"/>
    </row>
    <row r="1970" spans="3:20" ht="39.75" customHeight="1">
      <c r="C1970" s="196">
        <v>1967</v>
      </c>
      <c r="D1970" s="127"/>
      <c r="E1970" s="129"/>
      <c r="F1970" s="128"/>
      <c r="G1970" s="129"/>
      <c r="H1970" s="129"/>
      <c r="I1970" s="166"/>
      <c r="J1970" s="180"/>
      <c r="K1970" s="128"/>
      <c r="L1970" s="127"/>
      <c r="M1970" s="168"/>
      <c r="N1970" s="173"/>
      <c r="O1970" s="141"/>
      <c r="P1970" s="140"/>
      <c r="Q1970" s="142"/>
      <c r="R1970" s="140"/>
      <c r="S1970" s="142"/>
      <c r="T1970" s="140"/>
    </row>
    <row r="1971" spans="3:20" ht="39.75" customHeight="1">
      <c r="C1971" s="196">
        <v>1968</v>
      </c>
      <c r="D1971" s="127"/>
      <c r="E1971" s="129"/>
      <c r="F1971" s="128"/>
      <c r="G1971" s="129"/>
      <c r="H1971" s="129"/>
      <c r="I1971" s="166"/>
      <c r="J1971" s="180"/>
      <c r="K1971" s="128"/>
      <c r="L1971" s="127"/>
      <c r="M1971" s="168"/>
      <c r="N1971" s="173"/>
      <c r="O1971" s="141"/>
      <c r="P1971" s="140"/>
      <c r="Q1971" s="142"/>
      <c r="R1971" s="140"/>
      <c r="S1971" s="142"/>
      <c r="T1971" s="140"/>
    </row>
    <row r="1972" spans="3:20" ht="39.75" customHeight="1">
      <c r="C1972" s="196">
        <v>1969</v>
      </c>
      <c r="D1972" s="127"/>
      <c r="E1972" s="129"/>
      <c r="F1972" s="128"/>
      <c r="G1972" s="129"/>
      <c r="H1972" s="129"/>
      <c r="I1972" s="166"/>
      <c r="J1972" s="180"/>
      <c r="K1972" s="128"/>
      <c r="L1972" s="127"/>
      <c r="M1972" s="168"/>
      <c r="N1972" s="173"/>
      <c r="O1972" s="141"/>
      <c r="P1972" s="140"/>
      <c r="Q1972" s="142"/>
      <c r="R1972" s="140"/>
      <c r="S1972" s="142"/>
      <c r="T1972" s="140"/>
    </row>
    <row r="1973" spans="3:20" ht="39.75" customHeight="1">
      <c r="C1973" s="196">
        <v>1970</v>
      </c>
      <c r="D1973" s="127"/>
      <c r="E1973" s="129"/>
      <c r="F1973" s="128"/>
      <c r="G1973" s="129"/>
      <c r="H1973" s="129"/>
      <c r="I1973" s="166"/>
      <c r="J1973" s="180"/>
      <c r="K1973" s="128"/>
      <c r="L1973" s="127"/>
      <c r="M1973" s="168"/>
      <c r="N1973" s="173"/>
      <c r="O1973" s="141"/>
      <c r="P1973" s="140"/>
      <c r="Q1973" s="142"/>
      <c r="R1973" s="140"/>
      <c r="S1973" s="142"/>
      <c r="T1973" s="140"/>
    </row>
    <row r="1974" spans="3:20" ht="39.75" customHeight="1">
      <c r="C1974" s="196">
        <v>1971</v>
      </c>
      <c r="D1974" s="127"/>
      <c r="E1974" s="129"/>
      <c r="F1974" s="128"/>
      <c r="G1974" s="129"/>
      <c r="H1974" s="129"/>
      <c r="I1974" s="166"/>
      <c r="J1974" s="180"/>
      <c r="K1974" s="128"/>
      <c r="L1974" s="127"/>
      <c r="M1974" s="168"/>
      <c r="N1974" s="173"/>
      <c r="O1974" s="141"/>
      <c r="P1974" s="140"/>
      <c r="Q1974" s="142"/>
      <c r="R1974" s="140"/>
      <c r="S1974" s="142"/>
      <c r="T1974" s="140"/>
    </row>
    <row r="1975" spans="3:20" ht="39.75" customHeight="1">
      <c r="C1975" s="196">
        <v>1972</v>
      </c>
      <c r="D1975" s="127"/>
      <c r="E1975" s="129"/>
      <c r="F1975" s="128"/>
      <c r="G1975" s="129"/>
      <c r="H1975" s="129"/>
      <c r="I1975" s="166"/>
      <c r="J1975" s="180"/>
      <c r="K1975" s="128"/>
      <c r="L1975" s="127"/>
      <c r="M1975" s="168"/>
      <c r="N1975" s="173"/>
      <c r="O1975" s="141"/>
      <c r="P1975" s="140"/>
      <c r="Q1975" s="142"/>
      <c r="R1975" s="140"/>
      <c r="S1975" s="142"/>
      <c r="T1975" s="140"/>
    </row>
    <row r="1976" spans="3:20" ht="39.75" customHeight="1">
      <c r="C1976" s="196">
        <v>1973</v>
      </c>
      <c r="D1976" s="127"/>
      <c r="E1976" s="129"/>
      <c r="F1976" s="128"/>
      <c r="G1976" s="129"/>
      <c r="H1976" s="129"/>
      <c r="I1976" s="166"/>
      <c r="J1976" s="180"/>
      <c r="K1976" s="128"/>
      <c r="L1976" s="127"/>
      <c r="M1976" s="168"/>
      <c r="N1976" s="173"/>
      <c r="O1976" s="141"/>
      <c r="P1976" s="140"/>
      <c r="Q1976" s="142"/>
      <c r="R1976" s="140"/>
      <c r="S1976" s="142"/>
      <c r="T1976" s="140"/>
    </row>
    <row r="1977" spans="3:20" ht="39.75" customHeight="1">
      <c r="C1977" s="196">
        <v>1974</v>
      </c>
      <c r="D1977" s="127"/>
      <c r="E1977" s="129"/>
      <c r="F1977" s="128"/>
      <c r="G1977" s="129"/>
      <c r="H1977" s="129"/>
      <c r="I1977" s="166"/>
      <c r="J1977" s="180"/>
      <c r="K1977" s="128"/>
      <c r="L1977" s="127"/>
      <c r="M1977" s="168"/>
      <c r="N1977" s="173"/>
      <c r="O1977" s="141"/>
      <c r="P1977" s="140"/>
      <c r="Q1977" s="142"/>
      <c r="R1977" s="140"/>
      <c r="S1977" s="142"/>
      <c r="T1977" s="140"/>
    </row>
    <row r="1978" spans="3:20" ht="39.75" customHeight="1">
      <c r="C1978" s="196">
        <v>1975</v>
      </c>
      <c r="D1978" s="127"/>
      <c r="E1978" s="129"/>
      <c r="F1978" s="128"/>
      <c r="G1978" s="129"/>
      <c r="H1978" s="129"/>
      <c r="I1978" s="166"/>
      <c r="J1978" s="180"/>
      <c r="K1978" s="128"/>
      <c r="L1978" s="127"/>
      <c r="M1978" s="168"/>
      <c r="N1978" s="173"/>
      <c r="O1978" s="141"/>
      <c r="P1978" s="140"/>
      <c r="Q1978" s="142"/>
      <c r="R1978" s="140"/>
      <c r="S1978" s="142"/>
      <c r="T1978" s="140"/>
    </row>
    <row r="1979" spans="3:20" ht="39.75" customHeight="1">
      <c r="C1979" s="196">
        <v>1976</v>
      </c>
      <c r="D1979" s="127"/>
      <c r="E1979" s="129"/>
      <c r="F1979" s="128"/>
      <c r="G1979" s="129"/>
      <c r="H1979" s="129"/>
      <c r="I1979" s="166"/>
      <c r="J1979" s="180"/>
      <c r="K1979" s="128"/>
      <c r="L1979" s="127"/>
      <c r="M1979" s="168"/>
      <c r="N1979" s="173"/>
      <c r="O1979" s="141"/>
      <c r="P1979" s="140"/>
      <c r="Q1979" s="142"/>
      <c r="R1979" s="140"/>
      <c r="S1979" s="142"/>
      <c r="T1979" s="140"/>
    </row>
    <row r="1980" spans="3:20" ht="39.75" customHeight="1">
      <c r="C1980" s="196">
        <v>1977</v>
      </c>
      <c r="D1980" s="127"/>
      <c r="E1980" s="129"/>
      <c r="F1980" s="128"/>
      <c r="G1980" s="129"/>
      <c r="H1980" s="129"/>
      <c r="I1980" s="166"/>
      <c r="J1980" s="180"/>
      <c r="K1980" s="128"/>
      <c r="L1980" s="127"/>
      <c r="M1980" s="168"/>
      <c r="N1980" s="173"/>
      <c r="O1980" s="141"/>
      <c r="P1980" s="140"/>
      <c r="Q1980" s="142"/>
      <c r="R1980" s="140"/>
      <c r="S1980" s="142"/>
      <c r="T1980" s="140"/>
    </row>
    <row r="1981" spans="3:20" ht="39.75" customHeight="1">
      <c r="C1981" s="196">
        <v>1978</v>
      </c>
      <c r="D1981" s="127"/>
      <c r="E1981" s="129"/>
      <c r="F1981" s="128"/>
      <c r="G1981" s="129"/>
      <c r="H1981" s="129"/>
      <c r="I1981" s="166"/>
      <c r="J1981" s="180"/>
      <c r="K1981" s="128"/>
      <c r="L1981" s="127"/>
      <c r="M1981" s="168"/>
      <c r="N1981" s="173"/>
      <c r="O1981" s="141"/>
      <c r="P1981" s="140"/>
      <c r="Q1981" s="142"/>
      <c r="R1981" s="140"/>
      <c r="S1981" s="142"/>
      <c r="T1981" s="140"/>
    </row>
    <row r="1982" spans="3:20" ht="39.75" customHeight="1">
      <c r="C1982" s="196">
        <v>1979</v>
      </c>
      <c r="D1982" s="127"/>
      <c r="E1982" s="129"/>
      <c r="F1982" s="128"/>
      <c r="G1982" s="129"/>
      <c r="H1982" s="129"/>
      <c r="I1982" s="166"/>
      <c r="J1982" s="180"/>
      <c r="K1982" s="128"/>
      <c r="L1982" s="127"/>
      <c r="M1982" s="168"/>
      <c r="N1982" s="173"/>
      <c r="O1982" s="141"/>
      <c r="P1982" s="140"/>
      <c r="Q1982" s="142"/>
      <c r="R1982" s="140"/>
      <c r="S1982" s="142"/>
      <c r="T1982" s="140"/>
    </row>
    <row r="1983" spans="3:20" ht="39.75" customHeight="1">
      <c r="C1983" s="196">
        <v>1980</v>
      </c>
      <c r="D1983" s="127"/>
      <c r="E1983" s="129"/>
      <c r="F1983" s="128"/>
      <c r="G1983" s="129"/>
      <c r="H1983" s="129"/>
      <c r="I1983" s="166"/>
      <c r="J1983" s="180"/>
      <c r="K1983" s="128"/>
      <c r="L1983" s="127"/>
      <c r="M1983" s="168"/>
      <c r="N1983" s="173"/>
      <c r="O1983" s="141"/>
      <c r="P1983" s="140"/>
      <c r="Q1983" s="142"/>
      <c r="R1983" s="140"/>
      <c r="S1983" s="142"/>
      <c r="T1983" s="140"/>
    </row>
    <row r="1984" spans="3:20" ht="39.75" customHeight="1">
      <c r="C1984" s="196">
        <v>1981</v>
      </c>
      <c r="D1984" s="127"/>
      <c r="E1984" s="129"/>
      <c r="F1984" s="128"/>
      <c r="G1984" s="129"/>
      <c r="H1984" s="129"/>
      <c r="I1984" s="166"/>
      <c r="J1984" s="180"/>
      <c r="K1984" s="128"/>
      <c r="L1984" s="127"/>
      <c r="M1984" s="168"/>
      <c r="N1984" s="173"/>
      <c r="O1984" s="141"/>
      <c r="P1984" s="140"/>
      <c r="Q1984" s="142"/>
      <c r="R1984" s="140"/>
      <c r="S1984" s="142"/>
      <c r="T1984" s="140"/>
    </row>
    <row r="1985" spans="3:20" ht="39.75" customHeight="1">
      <c r="C1985" s="196">
        <v>1982</v>
      </c>
      <c r="D1985" s="127"/>
      <c r="E1985" s="129"/>
      <c r="F1985" s="128"/>
      <c r="G1985" s="129"/>
      <c r="H1985" s="129"/>
      <c r="I1985" s="166"/>
      <c r="J1985" s="180"/>
      <c r="K1985" s="128"/>
      <c r="L1985" s="127"/>
      <c r="M1985" s="168"/>
      <c r="N1985" s="173"/>
      <c r="O1985" s="141"/>
      <c r="P1985" s="140"/>
      <c r="Q1985" s="142"/>
      <c r="R1985" s="140"/>
      <c r="S1985" s="142"/>
      <c r="T1985" s="140"/>
    </row>
    <row r="1986" spans="3:20" ht="39.75" customHeight="1">
      <c r="C1986" s="196">
        <v>1983</v>
      </c>
      <c r="D1986" s="127"/>
      <c r="E1986" s="129"/>
      <c r="F1986" s="128"/>
      <c r="G1986" s="129"/>
      <c r="H1986" s="129"/>
      <c r="I1986" s="166"/>
      <c r="J1986" s="180"/>
      <c r="K1986" s="128"/>
      <c r="L1986" s="127"/>
      <c r="M1986" s="168"/>
      <c r="N1986" s="173"/>
      <c r="O1986" s="141"/>
      <c r="P1986" s="140"/>
      <c r="Q1986" s="142"/>
      <c r="R1986" s="140"/>
      <c r="S1986" s="142"/>
      <c r="T1986" s="140"/>
    </row>
    <row r="1987" spans="3:20" ht="39.75" customHeight="1">
      <c r="C1987" s="196">
        <v>1984</v>
      </c>
      <c r="D1987" s="127"/>
      <c r="E1987" s="129"/>
      <c r="F1987" s="128"/>
      <c r="G1987" s="129"/>
      <c r="H1987" s="129"/>
      <c r="I1987" s="166"/>
      <c r="J1987" s="180"/>
      <c r="K1987" s="128"/>
      <c r="L1987" s="127"/>
      <c r="M1987" s="168"/>
      <c r="N1987" s="173"/>
      <c r="O1987" s="141"/>
      <c r="P1987" s="140"/>
      <c r="Q1987" s="142"/>
      <c r="R1987" s="140"/>
      <c r="S1987" s="142"/>
      <c r="T1987" s="140"/>
    </row>
    <row r="1988" spans="3:20" ht="39.75" customHeight="1">
      <c r="C1988" s="196">
        <v>1985</v>
      </c>
      <c r="D1988" s="127"/>
      <c r="E1988" s="129"/>
      <c r="F1988" s="128"/>
      <c r="G1988" s="129"/>
      <c r="H1988" s="129"/>
      <c r="I1988" s="166"/>
      <c r="J1988" s="180"/>
      <c r="K1988" s="128"/>
      <c r="L1988" s="127"/>
      <c r="M1988" s="168"/>
      <c r="N1988" s="173"/>
      <c r="O1988" s="141"/>
      <c r="P1988" s="140"/>
      <c r="Q1988" s="142"/>
      <c r="R1988" s="140"/>
      <c r="S1988" s="142"/>
      <c r="T1988" s="140"/>
    </row>
    <row r="1989" spans="3:20" ht="39.75" customHeight="1">
      <c r="C1989" s="196">
        <v>1986</v>
      </c>
      <c r="D1989" s="127"/>
      <c r="E1989" s="129"/>
      <c r="F1989" s="128"/>
      <c r="G1989" s="129"/>
      <c r="H1989" s="129"/>
      <c r="I1989" s="166"/>
      <c r="J1989" s="180"/>
      <c r="K1989" s="128"/>
      <c r="L1989" s="127"/>
      <c r="M1989" s="168"/>
      <c r="N1989" s="173"/>
      <c r="O1989" s="141"/>
      <c r="P1989" s="140"/>
      <c r="Q1989" s="142"/>
      <c r="R1989" s="140"/>
      <c r="S1989" s="142"/>
      <c r="T1989" s="140"/>
    </row>
    <row r="1990" spans="3:20" ht="39.75" customHeight="1">
      <c r="C1990" s="196">
        <v>1987</v>
      </c>
      <c r="D1990" s="127"/>
      <c r="E1990" s="129"/>
      <c r="F1990" s="128"/>
      <c r="G1990" s="129"/>
      <c r="H1990" s="129"/>
      <c r="I1990" s="166"/>
      <c r="J1990" s="180"/>
      <c r="K1990" s="128"/>
      <c r="L1990" s="127"/>
      <c r="M1990" s="168"/>
      <c r="N1990" s="173"/>
      <c r="O1990" s="141"/>
      <c r="P1990" s="140"/>
      <c r="Q1990" s="142"/>
      <c r="R1990" s="140"/>
      <c r="S1990" s="142"/>
      <c r="T1990" s="140"/>
    </row>
    <row r="1991" spans="3:20" ht="39.75" customHeight="1">
      <c r="C1991" s="196">
        <v>1988</v>
      </c>
      <c r="D1991" s="127"/>
      <c r="E1991" s="129"/>
      <c r="F1991" s="128"/>
      <c r="G1991" s="129"/>
      <c r="H1991" s="129"/>
      <c r="I1991" s="166"/>
      <c r="J1991" s="180"/>
      <c r="K1991" s="128"/>
      <c r="L1991" s="127"/>
      <c r="M1991" s="168"/>
      <c r="N1991" s="173"/>
      <c r="O1991" s="141"/>
      <c r="P1991" s="140"/>
      <c r="Q1991" s="142"/>
      <c r="R1991" s="140"/>
      <c r="S1991" s="142"/>
      <c r="T1991" s="140"/>
    </row>
    <row r="1992" spans="3:20" ht="39.75" customHeight="1">
      <c r="C1992" s="196">
        <v>1989</v>
      </c>
      <c r="D1992" s="127"/>
      <c r="E1992" s="129"/>
      <c r="F1992" s="128"/>
      <c r="G1992" s="129"/>
      <c r="H1992" s="129"/>
      <c r="I1992" s="166"/>
      <c r="J1992" s="180"/>
      <c r="K1992" s="128"/>
      <c r="L1992" s="127"/>
      <c r="M1992" s="168"/>
      <c r="N1992" s="173"/>
      <c r="O1992" s="141"/>
      <c r="P1992" s="140"/>
      <c r="Q1992" s="142"/>
      <c r="R1992" s="140"/>
      <c r="S1992" s="142"/>
      <c r="T1992" s="140"/>
    </row>
    <row r="1993" spans="3:20" ht="39.75" customHeight="1">
      <c r="C1993" s="196">
        <v>1990</v>
      </c>
      <c r="D1993" s="127"/>
      <c r="E1993" s="129"/>
      <c r="F1993" s="128"/>
      <c r="G1993" s="129"/>
      <c r="H1993" s="129"/>
      <c r="I1993" s="166"/>
      <c r="J1993" s="180"/>
      <c r="K1993" s="128"/>
      <c r="L1993" s="127"/>
      <c r="M1993" s="168"/>
      <c r="N1993" s="173"/>
      <c r="O1993" s="141"/>
      <c r="P1993" s="140"/>
      <c r="Q1993" s="142"/>
      <c r="R1993" s="140"/>
      <c r="S1993" s="142"/>
      <c r="T1993" s="140"/>
    </row>
    <row r="1994" spans="3:20" ht="39.75" customHeight="1">
      <c r="C1994" s="196">
        <v>1991</v>
      </c>
      <c r="D1994" s="127"/>
      <c r="E1994" s="129"/>
      <c r="F1994" s="128"/>
      <c r="G1994" s="129"/>
      <c r="H1994" s="129"/>
      <c r="I1994" s="166"/>
      <c r="J1994" s="180"/>
      <c r="K1994" s="128"/>
      <c r="L1994" s="127"/>
      <c r="M1994" s="168"/>
      <c r="N1994" s="173"/>
      <c r="O1994" s="141"/>
      <c r="P1994" s="140"/>
      <c r="Q1994" s="142"/>
      <c r="R1994" s="140"/>
      <c r="S1994" s="142"/>
      <c r="T1994" s="140"/>
    </row>
    <row r="1995" spans="3:20" ht="39.75" customHeight="1">
      <c r="C1995" s="196">
        <v>1992</v>
      </c>
      <c r="D1995" s="127"/>
      <c r="E1995" s="129"/>
      <c r="F1995" s="128"/>
      <c r="G1995" s="129"/>
      <c r="H1995" s="129"/>
      <c r="I1995" s="166"/>
      <c r="J1995" s="180"/>
      <c r="K1995" s="128"/>
      <c r="L1995" s="127"/>
      <c r="M1995" s="168"/>
      <c r="N1995" s="173"/>
      <c r="O1995" s="141"/>
      <c r="P1995" s="140"/>
      <c r="Q1995" s="142"/>
      <c r="R1995" s="140"/>
      <c r="S1995" s="142"/>
      <c r="T1995" s="140"/>
    </row>
    <row r="1996" spans="3:20" ht="39.75" customHeight="1">
      <c r="C1996" s="196">
        <v>1993</v>
      </c>
      <c r="D1996" s="127"/>
      <c r="E1996" s="129"/>
      <c r="F1996" s="128"/>
      <c r="G1996" s="129"/>
      <c r="H1996" s="129"/>
      <c r="I1996" s="166"/>
      <c r="J1996" s="180"/>
      <c r="K1996" s="128"/>
      <c r="L1996" s="127"/>
      <c r="M1996" s="168"/>
      <c r="N1996" s="173"/>
      <c r="O1996" s="141"/>
      <c r="P1996" s="140"/>
      <c r="Q1996" s="142"/>
      <c r="R1996" s="140"/>
      <c r="S1996" s="142"/>
      <c r="T1996" s="140"/>
    </row>
    <row r="1997" spans="3:20" ht="39.75" customHeight="1">
      <c r="C1997" s="196">
        <v>1994</v>
      </c>
      <c r="D1997" s="127"/>
      <c r="E1997" s="129"/>
      <c r="F1997" s="128"/>
      <c r="G1997" s="129"/>
      <c r="H1997" s="129"/>
      <c r="I1997" s="166"/>
      <c r="J1997" s="180"/>
      <c r="K1997" s="128"/>
      <c r="L1997" s="127"/>
      <c r="M1997" s="168"/>
      <c r="N1997" s="173"/>
      <c r="O1997" s="141"/>
      <c r="P1997" s="140"/>
      <c r="Q1997" s="142"/>
      <c r="R1997" s="140"/>
      <c r="S1997" s="142"/>
      <c r="T1997" s="140"/>
    </row>
    <row r="1998" spans="3:20">
      <c r="C1998" s="197"/>
      <c r="D1998" s="49"/>
      <c r="E1998" s="47"/>
      <c r="F1998" s="46"/>
      <c r="G1998" s="48"/>
      <c r="H1998" s="47"/>
      <c r="I1998" s="186"/>
      <c r="J1998" s="181"/>
      <c r="K1998" s="46"/>
      <c r="L1998" s="49"/>
      <c r="M1998" s="184"/>
      <c r="N1998" s="174"/>
      <c r="O1998" s="51"/>
      <c r="P1998" s="50"/>
      <c r="Q1998" s="85"/>
      <c r="R1998" s="50"/>
      <c r="S1998" s="85"/>
      <c r="T1998" s="50"/>
    </row>
  </sheetData>
  <mergeCells count="9">
    <mergeCell ref="C1:T1"/>
    <mergeCell ref="Q2:R2"/>
    <mergeCell ref="S2:T2"/>
    <mergeCell ref="M2:P2"/>
    <mergeCell ref="C2:C3"/>
    <mergeCell ref="D2:D3"/>
    <mergeCell ref="E2:E3"/>
    <mergeCell ref="L2:L3"/>
    <mergeCell ref="F2:K2"/>
  </mergeCells>
  <pageMargins left="0.45" right="0.2" top="0.5" bottom="0.5" header="0.3" footer="0.3"/>
  <pageSetup paperSize="8" scale="80" fitToHeight="0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E761B7A1-B316-45FA-9D1F-A52BA559D442}">
            <xm:f>$L5=Setting!$A$6</xm:f>
            <x14:dxf>
              <font>
                <color rgb="FF7030A0"/>
              </font>
              <fill>
                <patternFill>
                  <bgColor theme="0" tint="-4.9989318521683403E-2"/>
                </patternFill>
              </fill>
            </x14:dxf>
          </x14:cfRule>
          <x14:cfRule type="expression" priority="2" id="{A8B5C510-663B-4960-ACA0-ACFA6BEC5BE4}">
            <xm:f>$L5=Setting!$A$4</xm:f>
            <x14:dxf>
              <font>
                <color rgb="FF0000FF"/>
              </font>
              <fill>
                <patternFill>
                  <bgColor theme="9" tint="0.79998168889431442"/>
                </patternFill>
              </fill>
            </x14:dxf>
          </x14:cfRule>
          <x14:cfRule type="expression" priority="3" id="{44308A19-5232-4C4F-9448-B7F5DBC6DD6C}">
            <xm:f>$L5=Setting!$A$5</xm:f>
            <x14:dxf>
              <font>
                <color rgb="FFFF0000"/>
              </font>
            </x14:dxf>
          </x14:cfRule>
          <x14:cfRule type="expression" priority="4" id="{8CC478D5-00EF-4361-AD9B-20312AEC8657}">
            <xm:f>$L5=Setting!$A$3</xm:f>
            <x14:dxf>
              <font>
                <color theme="1" tint="0.34998626667073579"/>
              </font>
              <fill>
                <patternFill>
                  <bgColor theme="0" tint="-0.14996795556505021"/>
                </patternFill>
              </fill>
            </x14:dxf>
          </x14:cfRule>
          <xm:sqref>C5:T1997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7030A0"/>
  </sheetPr>
  <dimension ref="A1:H19"/>
  <sheetViews>
    <sheetView showGridLines="0" workbookViewId="0">
      <selection activeCell="F9" sqref="F9"/>
    </sheetView>
  </sheetViews>
  <sheetFormatPr defaultColWidth="0" defaultRowHeight="15.75" zeroHeight="1"/>
  <cols>
    <col min="1" max="1" width="13.25" customWidth="1"/>
    <col min="2" max="2" width="16.75" customWidth="1"/>
    <col min="3" max="3" width="13.8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  <col min="9" max="16384" width="9" hidden="1"/>
  </cols>
  <sheetData>
    <row r="1" spans="1:8" ht="22.5" customHeight="1">
      <c r="A1" s="300" t="s">
        <v>42</v>
      </c>
      <c r="B1" s="301"/>
      <c r="C1" s="301"/>
      <c r="D1" s="301"/>
      <c r="E1" s="301"/>
      <c r="F1" s="301"/>
      <c r="G1" s="19"/>
      <c r="H1" s="32"/>
    </row>
    <row r="2" spans="1:8" ht="15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34">
        <f>COUNTA(BK_CV_Den!D5:D1997)+1</f>
        <v>59</v>
      </c>
      <c r="C3" s="17" t="s">
        <v>18</v>
      </c>
      <c r="D3" s="54" t="str">
        <f>IF(B5="","","I-"&amp;VLOOKUP($B$5,Setting!$B$3:$C$47,2,0)&amp;"-"&amp;TEXT(COUNTIF(BK_CV_Den!$F$5:$F$1997,$B$5)+1,"00#"))</f>
        <v/>
      </c>
      <c r="E3" s="17" t="s">
        <v>29</v>
      </c>
      <c r="F3" s="52"/>
      <c r="G3" s="23"/>
      <c r="H3" s="33"/>
    </row>
    <row r="4" spans="1:8" ht="15" customHeight="1">
      <c r="A4" s="24"/>
      <c r="B4" s="12"/>
      <c r="C4" s="15"/>
      <c r="D4" s="12"/>
      <c r="E4" s="15"/>
      <c r="F4" s="12"/>
      <c r="G4" s="23"/>
      <c r="H4" s="33"/>
    </row>
    <row r="5" spans="1:8" ht="22.5" customHeight="1">
      <c r="A5" s="17" t="s">
        <v>17</v>
      </c>
      <c r="B5" s="35"/>
      <c r="C5" s="17" t="s">
        <v>19</v>
      </c>
      <c r="D5" s="53"/>
      <c r="E5" s="17" t="s">
        <v>43</v>
      </c>
      <c r="F5" s="53"/>
      <c r="G5" s="23"/>
      <c r="H5" s="33"/>
    </row>
    <row r="6" spans="1:8" ht="15" customHeight="1">
      <c r="A6" s="24"/>
      <c r="B6" s="12"/>
      <c r="C6" s="16"/>
      <c r="D6" s="12"/>
      <c r="E6" s="16"/>
      <c r="F6" s="12"/>
      <c r="G6" s="23"/>
      <c r="H6" s="33"/>
    </row>
    <row r="7" spans="1:8" ht="45" customHeight="1">
      <c r="A7" s="18" t="s">
        <v>45</v>
      </c>
      <c r="B7" s="314"/>
      <c r="C7" s="315"/>
      <c r="D7" s="315"/>
      <c r="E7" s="315"/>
      <c r="F7" s="316"/>
      <c r="G7" s="23"/>
      <c r="H7" s="33"/>
    </row>
    <row r="8" spans="1:8" ht="15" customHeight="1">
      <c r="A8" s="25"/>
      <c r="B8" s="13"/>
      <c r="C8" s="13"/>
      <c r="D8" s="13"/>
      <c r="E8" s="14"/>
      <c r="F8" s="13"/>
      <c r="G8" s="23"/>
      <c r="H8" s="33"/>
    </row>
    <row r="9" spans="1:8" ht="22.5" customHeight="1">
      <c r="A9" s="17" t="s">
        <v>44</v>
      </c>
      <c r="B9" s="317"/>
      <c r="C9" s="318"/>
      <c r="D9" s="319"/>
      <c r="E9" s="17" t="s">
        <v>22</v>
      </c>
      <c r="F9" s="35"/>
      <c r="G9" s="23"/>
      <c r="H9" s="33"/>
    </row>
    <row r="10" spans="1:8">
      <c r="A10" s="26"/>
      <c r="B10" s="27"/>
      <c r="C10" s="27"/>
      <c r="D10" s="27"/>
      <c r="E10" s="27"/>
      <c r="F10" s="27"/>
      <c r="G10" s="23"/>
      <c r="H10" s="33"/>
    </row>
    <row r="11" spans="1:8">
      <c r="A11" s="28"/>
      <c r="B11" s="27"/>
      <c r="C11" s="27"/>
      <c r="D11" s="27"/>
      <c r="E11" s="27"/>
      <c r="F11" s="27"/>
      <c r="G11" s="23"/>
      <c r="H11" s="33"/>
    </row>
    <row r="12" spans="1:8">
      <c r="A12" s="28"/>
      <c r="B12" s="27"/>
      <c r="C12" s="27"/>
      <c r="D12" s="27"/>
      <c r="E12" s="27"/>
      <c r="F12" s="27"/>
      <c r="G12" s="23"/>
      <c r="H12" s="33"/>
    </row>
    <row r="13" spans="1:8">
      <c r="A13" s="29"/>
      <c r="B13" s="30"/>
      <c r="C13" s="30"/>
      <c r="D13" s="30"/>
      <c r="E13" s="30"/>
      <c r="F13" s="30"/>
      <c r="G13" s="31"/>
      <c r="H13" s="33"/>
    </row>
    <row r="14" spans="1:8" ht="30.75" customHeight="1">
      <c r="A14" s="33"/>
      <c r="B14" s="33"/>
      <c r="C14" s="33"/>
      <c r="D14" s="33"/>
      <c r="E14" s="33"/>
      <c r="F14" s="33"/>
      <c r="G14" s="33"/>
      <c r="H14" s="33"/>
    </row>
    <row r="15" spans="1:8" hidden="1">
      <c r="A15" s="2"/>
      <c r="B15" s="2"/>
      <c r="C15" s="2"/>
      <c r="D15" s="2"/>
      <c r="E15" s="2"/>
      <c r="F15" s="2"/>
      <c r="G15" s="2"/>
      <c r="H15" s="2"/>
    </row>
    <row r="16" spans="1:8" hidden="1"/>
    <row r="17" hidden="1"/>
    <row r="18" hidden="1"/>
    <row r="19" hidden="1"/>
  </sheetData>
  <sheetProtection sheet="1" objects="1" scenarios="1" selectLockedCells="1"/>
  <mergeCells count="3">
    <mergeCell ref="A1:F1"/>
    <mergeCell ref="B7:F7"/>
    <mergeCell ref="B9:D9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OFFSET(Setting!$B$3,0,0,COUNTA(Setting!$B$3:$B$47))</xm:f>
          </x14:formula1>
          <xm:sqref>B5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B9:D9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7030A0"/>
  </sheetPr>
  <dimension ref="A1:H16"/>
  <sheetViews>
    <sheetView showGridLines="0" workbookViewId="0">
      <selection activeCell="E13" sqref="E13:F13"/>
    </sheetView>
  </sheetViews>
  <sheetFormatPr defaultRowHeight="15.75"/>
  <cols>
    <col min="1" max="1" width="14.375" customWidth="1"/>
    <col min="2" max="2" width="16.75" customWidth="1"/>
    <col min="3" max="3" width="12.75" customWidth="1"/>
    <col min="4" max="4" width="19.25" customWidth="1"/>
    <col min="5" max="5" width="13.875" customWidth="1"/>
    <col min="6" max="6" width="21.875" customWidth="1"/>
    <col min="7" max="7" width="1.875" customWidth="1"/>
    <col min="8" max="8" width="7.25" customWidth="1"/>
  </cols>
  <sheetData>
    <row r="1" spans="1:8" ht="22.5" customHeight="1">
      <c r="A1" s="300" t="s">
        <v>58</v>
      </c>
      <c r="B1" s="301"/>
      <c r="C1" s="301"/>
      <c r="D1" s="301"/>
      <c r="E1" s="301"/>
      <c r="F1" s="301"/>
      <c r="G1" s="19"/>
      <c r="H1" s="32"/>
    </row>
    <row r="2" spans="1:8" ht="9" customHeight="1">
      <c r="A2" s="20"/>
      <c r="B2" s="21"/>
      <c r="C2" s="21"/>
      <c r="D2" s="21"/>
      <c r="E2" s="21"/>
      <c r="F2" s="21"/>
      <c r="G2" s="22"/>
      <c r="H2" s="32"/>
    </row>
    <row r="3" spans="1:8" ht="22.5" customHeight="1">
      <c r="A3" s="17" t="s">
        <v>47</v>
      </c>
      <c r="B3" s="54">
        <v>5</v>
      </c>
      <c r="C3" s="17" t="s">
        <v>19</v>
      </c>
      <c r="D3" s="76" t="s">
        <v>170</v>
      </c>
      <c r="E3" s="17" t="s">
        <v>43</v>
      </c>
      <c r="F3" s="76">
        <v>44204</v>
      </c>
      <c r="G3" s="23"/>
      <c r="H3" s="33"/>
    </row>
    <row r="4" spans="1:8" ht="9" customHeight="1">
      <c r="A4" s="24"/>
      <c r="B4" s="12"/>
      <c r="C4" s="16"/>
      <c r="D4" s="12"/>
      <c r="E4" s="16"/>
      <c r="F4" s="12"/>
      <c r="G4" s="23"/>
      <c r="H4" s="33"/>
    </row>
    <row r="5" spans="1:8" ht="45" customHeight="1">
      <c r="A5" s="18" t="s">
        <v>45</v>
      </c>
      <c r="B5" s="346" t="s">
        <v>171</v>
      </c>
      <c r="C5" s="347"/>
      <c r="D5" s="347"/>
      <c r="E5" s="347"/>
      <c r="F5" s="348"/>
      <c r="G5" s="23"/>
      <c r="H5" s="33"/>
    </row>
    <row r="6" spans="1:8" ht="9" customHeight="1">
      <c r="A6" s="25"/>
      <c r="B6" s="14"/>
      <c r="C6" s="14"/>
      <c r="D6" s="14"/>
      <c r="E6" s="14"/>
      <c r="F6" s="14"/>
      <c r="G6" s="23"/>
      <c r="H6" s="33"/>
    </row>
    <row r="7" spans="1:8" ht="9" customHeight="1">
      <c r="A7" s="72"/>
      <c r="B7" s="14"/>
      <c r="C7" s="14"/>
      <c r="D7" s="14"/>
      <c r="E7" s="14"/>
      <c r="F7" s="14"/>
      <c r="G7" s="73"/>
      <c r="H7" s="33"/>
    </row>
    <row r="8" spans="1:8" ht="45" customHeight="1">
      <c r="A8" s="18" t="s">
        <v>61</v>
      </c>
      <c r="B8" s="317"/>
      <c r="C8" s="318"/>
      <c r="D8" s="318"/>
      <c r="E8" s="318"/>
      <c r="F8" s="319"/>
      <c r="G8" s="23"/>
      <c r="H8" s="33"/>
    </row>
    <row r="9" spans="1:8" ht="9" customHeight="1">
      <c r="A9" s="26"/>
      <c r="B9" s="27"/>
      <c r="C9" s="27"/>
      <c r="D9" s="27"/>
      <c r="E9" s="27"/>
      <c r="F9" s="27"/>
      <c r="G9" s="23"/>
      <c r="H9" s="33"/>
    </row>
    <row r="10" spans="1:8" ht="22.5" customHeight="1">
      <c r="A10" s="17" t="s">
        <v>25</v>
      </c>
      <c r="B10" s="75"/>
      <c r="C10" s="17" t="s">
        <v>26</v>
      </c>
      <c r="D10" s="53"/>
      <c r="E10" s="17" t="s">
        <v>59</v>
      </c>
      <c r="F10" s="53"/>
      <c r="G10" s="23"/>
      <c r="H10" s="33"/>
    </row>
    <row r="11" spans="1:8" ht="9" customHeight="1">
      <c r="A11" s="28"/>
      <c r="B11" s="27"/>
      <c r="C11" s="27"/>
      <c r="D11" s="27"/>
      <c r="E11" s="27"/>
      <c r="F11" s="27"/>
      <c r="G11" s="23"/>
      <c r="H11" s="33"/>
    </row>
    <row r="12" spans="1:8" ht="22.5" customHeight="1">
      <c r="A12" s="349" t="s">
        <v>79</v>
      </c>
      <c r="B12" s="80" t="s">
        <v>80</v>
      </c>
      <c r="C12" s="94"/>
      <c r="D12" s="82" t="s">
        <v>82</v>
      </c>
      <c r="E12" s="309"/>
      <c r="F12" s="310"/>
      <c r="G12" s="23"/>
      <c r="H12" s="33"/>
    </row>
    <row r="13" spans="1:8" ht="22.5" customHeight="1">
      <c r="A13" s="349"/>
      <c r="B13" s="81" t="s">
        <v>81</v>
      </c>
      <c r="C13" s="95"/>
      <c r="D13" s="83" t="s">
        <v>82</v>
      </c>
      <c r="E13" s="311"/>
      <c r="F13" s="312"/>
      <c r="G13" s="23"/>
      <c r="H13" s="33"/>
    </row>
    <row r="14" spans="1:8" ht="24" customHeight="1">
      <c r="A14" s="28"/>
      <c r="B14" s="27"/>
      <c r="C14" s="27"/>
      <c r="D14" s="27"/>
      <c r="E14" s="27"/>
      <c r="F14" s="27"/>
      <c r="G14" s="23"/>
      <c r="H14" s="33"/>
    </row>
    <row r="15" spans="1:8" ht="24" customHeight="1">
      <c r="A15" s="29"/>
      <c r="B15" s="30"/>
      <c r="C15" s="30"/>
      <c r="D15" s="30"/>
      <c r="E15" s="30"/>
      <c r="F15" s="30"/>
      <c r="G15" s="31"/>
      <c r="H15" s="33"/>
    </row>
    <row r="16" spans="1:8">
      <c r="A16" s="33"/>
      <c r="B16" s="33"/>
      <c r="C16" s="33"/>
      <c r="D16" s="33"/>
      <c r="E16" s="33"/>
      <c r="F16" s="33"/>
      <c r="G16" s="33"/>
      <c r="H16" s="33"/>
    </row>
  </sheetData>
  <sheetProtection sheet="1" objects="1" scenarios="1" selectLockedCells="1"/>
  <mergeCells count="6">
    <mergeCell ref="A1:F1"/>
    <mergeCell ref="B5:F5"/>
    <mergeCell ref="B8:F8"/>
    <mergeCell ref="A12:A13"/>
    <mergeCell ref="E12:F12"/>
    <mergeCell ref="E13:F13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OFFSET(Setting!$I$3,0,0,COUNTA(Setting!$I$3:$I$47))</xm:f>
          </x14:formula1>
          <xm:sqref>E12:F13</xm:sqref>
        </x14:dataValidation>
        <x14:dataValidation type="list" allowBlank="1" showInputMessage="1" showErrorMessage="1">
          <x14:formula1>
            <xm:f>OFFSET(Setting!$D$3,0,0,COUNTA(Setting!$D$3:$D$47))</xm:f>
          </x14:formula1>
          <xm:sqref>B10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filterMode="1">
    <tabColor rgb="FF7030A0"/>
  </sheetPr>
  <dimension ref="A1:J34"/>
  <sheetViews>
    <sheetView showGridLines="0" topLeftCell="A7" workbookViewId="0">
      <selection activeCell="L10" sqref="L10"/>
    </sheetView>
  </sheetViews>
  <sheetFormatPr defaultRowHeight="15.75"/>
  <cols>
    <col min="2" max="2" width="11.25" customWidth="1"/>
    <col min="3" max="3" width="5.25" customWidth="1"/>
    <col min="4" max="4" width="13" customWidth="1"/>
    <col min="5" max="5" width="11.375" customWidth="1"/>
    <col min="6" max="9" width="10.75" customWidth="1"/>
    <col min="10" max="10" width="8.75" hidden="1" customWidth="1"/>
  </cols>
  <sheetData>
    <row r="1" spans="1:10" ht="27" customHeight="1">
      <c r="C1" s="320" t="s">
        <v>37</v>
      </c>
      <c r="D1" s="320"/>
      <c r="E1" s="320"/>
      <c r="F1" s="320"/>
      <c r="G1" s="320"/>
      <c r="H1" s="320"/>
      <c r="I1" s="320"/>
    </row>
    <row r="2" spans="1:10" ht="19.5" customHeight="1">
      <c r="A2" s="2" t="s">
        <v>39</v>
      </c>
      <c r="B2" s="119">
        <v>44166</v>
      </c>
      <c r="C2" s="321" t="str">
        <f>A2&amp;TEXT(B2,"dd/mm/yyyy")&amp;"  -  "&amp;A3&amp;TEXT(B3,"dd/mm/yyyy")</f>
        <v>Từ ngày 01/12/2020  -  Đến ngày 31/12/2021</v>
      </c>
      <c r="D2" s="321"/>
      <c r="E2" s="321"/>
      <c r="F2" s="321"/>
      <c r="G2" s="321"/>
      <c r="H2" s="321"/>
      <c r="I2" s="321"/>
    </row>
    <row r="3" spans="1:10" ht="22.5" customHeight="1">
      <c r="A3" s="2" t="s">
        <v>38</v>
      </c>
      <c r="B3" s="120">
        <v>44561</v>
      </c>
      <c r="C3" s="5" t="s">
        <v>0</v>
      </c>
      <c r="D3" s="5" t="s">
        <v>17</v>
      </c>
      <c r="E3" s="5" t="s">
        <v>40</v>
      </c>
      <c r="F3" s="5" t="s">
        <v>1</v>
      </c>
      <c r="G3" s="5" t="s">
        <v>30</v>
      </c>
      <c r="H3" s="5" t="s">
        <v>3</v>
      </c>
      <c r="I3" s="5" t="s">
        <v>4</v>
      </c>
      <c r="J3" s="101" t="s">
        <v>34</v>
      </c>
    </row>
    <row r="4" spans="1:10" ht="18.75" customHeight="1">
      <c r="C4" s="8">
        <v>1</v>
      </c>
      <c r="D4" s="8" t="str">
        <f>Setting!B3</f>
        <v>Công văn</v>
      </c>
      <c r="E4" s="9">
        <f>COUNTIFS(BK_CV_Den!$F$5:$F$1997,$D4,BK_CV_Den!$H$5:$H$1997,"&gt;="&amp;$B$2,BK_CV_Den!$H$5:$H$1997,"&lt;="&amp;$B$3)</f>
        <v>57</v>
      </c>
      <c r="F4" s="9">
        <f>COUNTIFS(BK_CV_Den!$F$5:$F$1997,$D4,BK_CV_Den!$H$5:$H$1997,"&gt;="&amp;$B$2,BK_CV_Den!$H$5:$H$1997,"&lt;="&amp;$B$3,BK_CV_Den!$L$5:$L$1997,F$3)</f>
        <v>57</v>
      </c>
      <c r="G4" s="9">
        <f>COUNTIFS(BK_CV_Den!$F$5:$F$1997,$D4,BK_CV_Den!$H$5:$H$1997,"&gt;="&amp;$B$2,BK_CV_Den!$H$5:$H$1997,"&lt;="&amp;$B$3,BK_CV_Den!$L$5:$L$1997,G$3)</f>
        <v>0</v>
      </c>
      <c r="H4" s="9">
        <f>COUNTIFS(BK_CV_Den!$F$5:$F$1997,$D4,BK_CV_Den!$H$5:$H$1997,"&gt;="&amp;$B$2,BK_CV_Den!$H$5:$H$1997,"&lt;="&amp;$B$3,BK_CV_Den!$L$5:$L$1997,H$3)</f>
        <v>0</v>
      </c>
      <c r="I4" s="9">
        <f>COUNTIFS(BK_CV_Den!$F$5:$F$1997,$D4,BK_CV_Den!$H$5:$H$1997,"&gt;="&amp;$B$2,BK_CV_Den!$H$5:$H$1997,"&lt;="&amp;$B$3,BK_CV_Den!$L$5:$L$1997,I$3)</f>
        <v>0</v>
      </c>
      <c r="J4" t="str">
        <f>IF(D4=0,"","x")</f>
        <v>x</v>
      </c>
    </row>
    <row r="5" spans="1:10" ht="18.75" customHeight="1">
      <c r="C5" s="8">
        <v>2</v>
      </c>
      <c r="D5" s="8" t="str">
        <f>Setting!B4</f>
        <v>Quyết định</v>
      </c>
      <c r="E5" s="9">
        <f>COUNTIFS(BK_CV_Den!$F$5:$F$1997,$D5,BK_CV_Den!$H$5:$H$1997,"&gt;="&amp;$B$2,BK_CV_Den!$H$5:$H$1997,"&lt;="&amp;$B$3)</f>
        <v>1</v>
      </c>
      <c r="F5" s="9">
        <f>COUNTIFS(BK_CV_Den!$F$5:$F$1997,$D5,BK_CV_Den!$H$5:$H$1997,"&gt;="&amp;$B$2,BK_CV_Den!$H$5:$H$1997,"&lt;="&amp;$B$3,BK_CV_Den!$L$5:$L$1997,F$3)</f>
        <v>1</v>
      </c>
      <c r="G5" s="9">
        <f>COUNTIFS(BK_CV_Den!$F$5:$F$1997,$D5,BK_CV_Den!$H$5:$H$1997,"&gt;="&amp;$B$2,BK_CV_Den!$H$5:$H$1997,"&lt;="&amp;$B$3,BK_CV_Den!$L$5:$L$1997,G$3)</f>
        <v>0</v>
      </c>
      <c r="H5" s="9">
        <f>COUNTIFS(BK_CV_Den!$F$5:$F$1997,$D5,BK_CV_Den!$H$5:$H$1997,"&gt;="&amp;$B$2,BK_CV_Den!$H$5:$H$1997,"&lt;="&amp;$B$3,BK_CV_Den!$L$5:$L$1997,H$3)</f>
        <v>0</v>
      </c>
      <c r="I5" s="9">
        <f>COUNTIFS(BK_CV_Den!$F$5:$F$1997,$D5,BK_CV_Den!$H$5:$H$1997,"&gt;="&amp;$B$2,BK_CV_Den!$H$5:$H$1997,"&lt;="&amp;$B$3,BK_CV_Den!$L$5:$L$1997,I$3)</f>
        <v>0</v>
      </c>
      <c r="J5" t="str">
        <f t="shared" ref="J5:J33" si="0">IF(D5=0,"","x")</f>
        <v>x</v>
      </c>
    </row>
    <row r="6" spans="1:10" ht="18.75" customHeight="1">
      <c r="C6" s="8">
        <v>3</v>
      </c>
      <c r="D6" s="8" t="str">
        <f>Setting!B5</f>
        <v>Tờ trình</v>
      </c>
      <c r="E6" s="9">
        <f>COUNTIFS(BK_CV_Den!$F$5:$F$1997,$D6,BK_CV_Den!$H$5:$H$1997,"&gt;="&amp;$B$2,BK_CV_Den!$H$5:$H$1997,"&lt;="&amp;$B$3)</f>
        <v>0</v>
      </c>
      <c r="F6" s="9">
        <f>COUNTIFS(BK_CV_Den!$F$5:$F$1997,$D6,BK_CV_Den!$H$5:$H$1997,"&gt;="&amp;$B$2,BK_CV_Den!$H$5:$H$1997,"&lt;="&amp;$B$3,BK_CV_Den!$L$5:$L$1997,F$3)</f>
        <v>0</v>
      </c>
      <c r="G6" s="9">
        <f>COUNTIFS(BK_CV_Den!$F$5:$F$1997,$D6,BK_CV_Den!$H$5:$H$1997,"&gt;="&amp;$B$2,BK_CV_Den!$H$5:$H$1997,"&lt;="&amp;$B$3,BK_CV_Den!$L$5:$L$1997,G$3)</f>
        <v>0</v>
      </c>
      <c r="H6" s="9">
        <f>COUNTIFS(BK_CV_Den!$F$5:$F$1997,$D6,BK_CV_Den!$H$5:$H$1997,"&gt;="&amp;$B$2,BK_CV_Den!$H$5:$H$1997,"&lt;="&amp;$B$3,BK_CV_Den!$L$5:$L$1997,H$3)</f>
        <v>0</v>
      </c>
      <c r="I6" s="9">
        <f>COUNTIFS(BK_CV_Den!$F$5:$F$1997,$D6,BK_CV_Den!$H$5:$H$1997,"&gt;="&amp;$B$2,BK_CV_Den!$H$5:$H$1997,"&lt;="&amp;$B$3,BK_CV_Den!$L$5:$L$1997,I$3)</f>
        <v>0</v>
      </c>
      <c r="J6" t="str">
        <f t="shared" si="0"/>
        <v>x</v>
      </c>
    </row>
    <row r="7" spans="1:10" ht="18.75" customHeight="1">
      <c r="C7" s="8">
        <v>4</v>
      </c>
      <c r="D7" s="8" t="str">
        <f>Setting!B6</f>
        <v>Nghị quyết</v>
      </c>
      <c r="E7" s="9">
        <f>COUNTIFS(BK_CV_Den!$F$5:$F$1997,$D7,BK_CV_Den!$H$5:$H$1997,"&gt;="&amp;$B$2,BK_CV_Den!$H$5:$H$1997,"&lt;="&amp;$B$3)</f>
        <v>0</v>
      </c>
      <c r="F7" s="9">
        <f>COUNTIFS(BK_CV_Den!$F$5:$F$1997,$D7,BK_CV_Den!$H$5:$H$1997,"&gt;="&amp;$B$2,BK_CV_Den!$H$5:$H$1997,"&lt;="&amp;$B$3,BK_CV_Den!$L$5:$L$1997,F$3)</f>
        <v>0</v>
      </c>
      <c r="G7" s="9">
        <f>COUNTIFS(BK_CV_Den!$F$5:$F$1997,$D7,BK_CV_Den!$H$5:$H$1997,"&gt;="&amp;$B$2,BK_CV_Den!$H$5:$H$1997,"&lt;="&amp;$B$3,BK_CV_Den!$L$5:$L$1997,G$3)</f>
        <v>0</v>
      </c>
      <c r="H7" s="9">
        <f>COUNTIFS(BK_CV_Den!$F$5:$F$1997,$D7,BK_CV_Den!$H$5:$H$1997,"&gt;="&amp;$B$2,BK_CV_Den!$H$5:$H$1997,"&lt;="&amp;$B$3,BK_CV_Den!$L$5:$L$1997,H$3)</f>
        <v>0</v>
      </c>
      <c r="I7" s="9">
        <f>COUNTIFS(BK_CV_Den!$F$5:$F$1997,$D7,BK_CV_Den!$H$5:$H$1997,"&gt;="&amp;$B$2,BK_CV_Den!$H$5:$H$1997,"&lt;="&amp;$B$3,BK_CV_Den!$L$5:$L$1997,I$3)</f>
        <v>0</v>
      </c>
      <c r="J7" t="str">
        <f t="shared" si="0"/>
        <v>x</v>
      </c>
    </row>
    <row r="8" spans="1:10" ht="18.75" customHeight="1">
      <c r="C8" s="8">
        <v>5</v>
      </c>
      <c r="D8" s="8" t="str">
        <f>Setting!B7</f>
        <v>Thông báo</v>
      </c>
      <c r="E8" s="9">
        <f>COUNTIFS(BK_CV_Den!$F$5:$F$1997,$D8,BK_CV_Den!$H$5:$H$1997,"&gt;="&amp;$B$2,BK_CV_Den!$H$5:$H$1997,"&lt;="&amp;$B$3)</f>
        <v>0</v>
      </c>
      <c r="F8" s="9">
        <f>COUNTIFS(BK_CV_Den!$F$5:$F$1997,$D8,BK_CV_Den!$H$5:$H$1997,"&gt;="&amp;$B$2,BK_CV_Den!$H$5:$H$1997,"&lt;="&amp;$B$3,BK_CV_Den!$L$5:$L$1997,F$3)</f>
        <v>0</v>
      </c>
      <c r="G8" s="9">
        <f>COUNTIFS(BK_CV_Den!$F$5:$F$1997,$D8,BK_CV_Den!$H$5:$H$1997,"&gt;="&amp;$B$2,BK_CV_Den!$H$5:$H$1997,"&lt;="&amp;$B$3,BK_CV_Den!$L$5:$L$1997,G$3)</f>
        <v>0</v>
      </c>
      <c r="H8" s="9">
        <f>COUNTIFS(BK_CV_Den!$F$5:$F$1997,$D8,BK_CV_Den!$H$5:$H$1997,"&gt;="&amp;$B$2,BK_CV_Den!$H$5:$H$1997,"&lt;="&amp;$B$3,BK_CV_Den!$L$5:$L$1997,H$3)</f>
        <v>0</v>
      </c>
      <c r="I8" s="9">
        <f>COUNTIFS(BK_CV_Den!$F$5:$F$1997,$D8,BK_CV_Den!$H$5:$H$1997,"&gt;="&amp;$B$2,BK_CV_Den!$H$5:$H$1997,"&lt;="&amp;$B$3,BK_CV_Den!$L$5:$L$1997,I$3)</f>
        <v>0</v>
      </c>
      <c r="J8" t="str">
        <f t="shared" si="0"/>
        <v>x</v>
      </c>
    </row>
    <row r="9" spans="1:10" ht="18.75" customHeight="1">
      <c r="C9" s="8">
        <v>6</v>
      </c>
      <c r="D9" s="8" t="str">
        <f>Setting!B8</f>
        <v>Báo cáo</v>
      </c>
      <c r="E9" s="9">
        <f>COUNTIFS(BK_CV_Den!$F$5:$F$1997,$D9,BK_CV_Den!$H$5:$H$1997,"&gt;="&amp;$B$2,BK_CV_Den!$H$5:$H$1997,"&lt;="&amp;$B$3)</f>
        <v>0</v>
      </c>
      <c r="F9" s="9">
        <f>COUNTIFS(BK_CV_Den!$F$5:$F$1997,$D9,BK_CV_Den!$H$5:$H$1997,"&gt;="&amp;$B$2,BK_CV_Den!$H$5:$H$1997,"&lt;="&amp;$B$3,BK_CV_Den!$L$5:$L$1997,F$3)</f>
        <v>0</v>
      </c>
      <c r="G9" s="9">
        <f>COUNTIFS(BK_CV_Den!$F$5:$F$1997,$D9,BK_CV_Den!$H$5:$H$1997,"&gt;="&amp;$B$2,BK_CV_Den!$H$5:$H$1997,"&lt;="&amp;$B$3,BK_CV_Den!$L$5:$L$1997,G$3)</f>
        <v>0</v>
      </c>
      <c r="H9" s="9">
        <f>COUNTIFS(BK_CV_Den!$F$5:$F$1997,$D9,BK_CV_Den!$H$5:$H$1997,"&gt;="&amp;$B$2,BK_CV_Den!$H$5:$H$1997,"&lt;="&amp;$B$3,BK_CV_Den!$L$5:$L$1997,H$3)</f>
        <v>0</v>
      </c>
      <c r="I9" s="9">
        <f>COUNTIFS(BK_CV_Den!$F$5:$F$1997,$D9,BK_CV_Den!$H$5:$H$1997,"&gt;="&amp;$B$2,BK_CV_Den!$H$5:$H$1997,"&lt;="&amp;$B$3,BK_CV_Den!$L$5:$L$1997,I$3)</f>
        <v>0</v>
      </c>
      <c r="J9" t="str">
        <f t="shared" si="0"/>
        <v>x</v>
      </c>
    </row>
    <row r="10" spans="1:10" ht="18.75" customHeight="1">
      <c r="C10" s="8">
        <v>7</v>
      </c>
      <c r="D10" s="8" t="str">
        <f>Setting!B9</f>
        <v>Kế hoạch</v>
      </c>
      <c r="E10" s="9">
        <f>COUNTIFS(BK_CV_Den!$F$5:$F$1997,$D10,BK_CV_Den!$H$5:$H$1997,"&gt;="&amp;$B$2,BK_CV_Den!$H$5:$H$1997,"&lt;="&amp;$B$3)</f>
        <v>0</v>
      </c>
      <c r="F10" s="9">
        <f>COUNTIFS(BK_CV_Den!$F$5:$F$1997,$D10,BK_CV_Den!$H$5:$H$1997,"&gt;="&amp;$B$2,BK_CV_Den!$H$5:$H$1997,"&lt;="&amp;$B$3,BK_CV_Den!$L$5:$L$1997,F$3)</f>
        <v>0</v>
      </c>
      <c r="G10" s="9">
        <f>COUNTIFS(BK_CV_Den!$F$5:$F$1997,$D10,BK_CV_Den!$H$5:$H$1997,"&gt;="&amp;$B$2,BK_CV_Den!$H$5:$H$1997,"&lt;="&amp;$B$3,BK_CV_Den!$L$5:$L$1997,G$3)</f>
        <v>0</v>
      </c>
      <c r="H10" s="9">
        <f>COUNTIFS(BK_CV_Den!$F$5:$F$1997,$D10,BK_CV_Den!$H$5:$H$1997,"&gt;="&amp;$B$2,BK_CV_Den!$H$5:$H$1997,"&lt;="&amp;$B$3,BK_CV_Den!$L$5:$L$1997,H$3)</f>
        <v>0</v>
      </c>
      <c r="I10" s="9">
        <f>COUNTIFS(BK_CV_Den!$F$5:$F$1997,$D10,BK_CV_Den!$H$5:$H$1997,"&gt;="&amp;$B$2,BK_CV_Den!$H$5:$H$1997,"&lt;="&amp;$B$3,BK_CV_Den!$L$5:$L$1997,I$3)</f>
        <v>0</v>
      </c>
      <c r="J10" t="str">
        <f t="shared" si="0"/>
        <v>x</v>
      </c>
    </row>
    <row r="11" spans="1:10" ht="18.75" customHeight="1">
      <c r="C11" s="8">
        <v>8</v>
      </c>
      <c r="D11" s="8" t="str">
        <f>Setting!B10</f>
        <v>Giấy mời</v>
      </c>
      <c r="E11" s="9">
        <f>COUNTIFS(BK_CV_Den!$F$5:$F$1997,$D11,BK_CV_Den!$H$5:$H$1997,"&gt;="&amp;$B$2,BK_CV_Den!$H$5:$H$1997,"&lt;="&amp;$B$3)</f>
        <v>0</v>
      </c>
      <c r="F11" s="9">
        <f>COUNTIFS(BK_CV_Den!$F$5:$F$1997,$D11,BK_CV_Den!$H$5:$H$1997,"&gt;="&amp;$B$2,BK_CV_Den!$H$5:$H$1997,"&lt;="&amp;$B$3,BK_CV_Den!$L$5:$L$1997,F$3)</f>
        <v>0</v>
      </c>
      <c r="G11" s="9">
        <f>COUNTIFS(BK_CV_Den!$F$5:$F$1997,$D11,BK_CV_Den!$H$5:$H$1997,"&gt;="&amp;$B$2,BK_CV_Den!$H$5:$H$1997,"&lt;="&amp;$B$3,BK_CV_Den!$L$5:$L$1997,G$3)</f>
        <v>0</v>
      </c>
      <c r="H11" s="9">
        <f>COUNTIFS(BK_CV_Den!$F$5:$F$1997,$D11,BK_CV_Den!$H$5:$H$1997,"&gt;="&amp;$B$2,BK_CV_Den!$H$5:$H$1997,"&lt;="&amp;$B$3,BK_CV_Den!$L$5:$L$1997,H$3)</f>
        <v>0</v>
      </c>
      <c r="I11" s="9">
        <f>COUNTIFS(BK_CV_Den!$F$5:$F$1997,$D11,BK_CV_Den!$H$5:$H$1997,"&gt;="&amp;$B$2,BK_CV_Den!$H$5:$H$1997,"&lt;="&amp;$B$3,BK_CV_Den!$L$5:$L$1997,I$3)</f>
        <v>0</v>
      </c>
      <c r="J11" t="str">
        <f t="shared" si="0"/>
        <v>x</v>
      </c>
    </row>
    <row r="12" spans="1:10" ht="18.75" customHeight="1">
      <c r="C12" s="8">
        <v>9</v>
      </c>
      <c r="D12" s="8" t="str">
        <f>Setting!B11</f>
        <v>Biên bản</v>
      </c>
      <c r="E12" s="9">
        <f>COUNTIFS(BK_CV_Den!$F$5:$F$1997,$D12,BK_CV_Den!$H$5:$H$1997,"&gt;="&amp;$B$2,BK_CV_Den!$H$5:$H$1997,"&lt;="&amp;$B$3)</f>
        <v>0</v>
      </c>
      <c r="F12" s="9">
        <f>COUNTIFS(BK_CV_Den!$F$5:$F$1997,$D12,BK_CV_Den!$H$5:$H$1997,"&gt;="&amp;$B$2,BK_CV_Den!$H$5:$H$1997,"&lt;="&amp;$B$3,BK_CV_Den!$L$5:$L$1997,F$3)</f>
        <v>0</v>
      </c>
      <c r="G12" s="9">
        <f>COUNTIFS(BK_CV_Den!$F$5:$F$1997,$D12,BK_CV_Den!$H$5:$H$1997,"&gt;="&amp;$B$2,BK_CV_Den!$H$5:$H$1997,"&lt;="&amp;$B$3,BK_CV_Den!$L$5:$L$1997,G$3)</f>
        <v>0</v>
      </c>
      <c r="H12" s="9">
        <f>COUNTIFS(BK_CV_Den!$F$5:$F$1997,$D12,BK_CV_Den!$H$5:$H$1997,"&gt;="&amp;$B$2,BK_CV_Den!$H$5:$H$1997,"&lt;="&amp;$B$3,BK_CV_Den!$L$5:$L$1997,H$3)</f>
        <v>0</v>
      </c>
      <c r="I12" s="9">
        <f>COUNTIFS(BK_CV_Den!$F$5:$F$1997,$D12,BK_CV_Den!$H$5:$H$1997,"&gt;="&amp;$B$2,BK_CV_Den!$H$5:$H$1997,"&lt;="&amp;$B$3,BK_CV_Den!$L$5:$L$1997,I$3)</f>
        <v>0</v>
      </c>
      <c r="J12" t="str">
        <f t="shared" si="0"/>
        <v>x</v>
      </c>
    </row>
    <row r="13" spans="1:10" ht="18.75" customHeight="1">
      <c r="C13" s="8">
        <v>10</v>
      </c>
      <c r="D13" s="8" t="str">
        <f>Setting!B12</f>
        <v>Hướng dẫn</v>
      </c>
      <c r="E13" s="9">
        <f>COUNTIFS(BK_CV_Den!$F$5:$F$1997,$D13,BK_CV_Den!$H$5:$H$1997,"&gt;="&amp;$B$2,BK_CV_Den!$H$5:$H$1997,"&lt;="&amp;$B$3)</f>
        <v>0</v>
      </c>
      <c r="F13" s="9">
        <f>COUNTIFS(BK_CV_Den!$F$5:$F$1997,$D13,BK_CV_Den!$H$5:$H$1997,"&gt;="&amp;$B$2,BK_CV_Den!$H$5:$H$1997,"&lt;="&amp;$B$3,BK_CV_Den!$L$5:$L$1997,F$3)</f>
        <v>0</v>
      </c>
      <c r="G13" s="9">
        <f>COUNTIFS(BK_CV_Den!$F$5:$F$1997,$D13,BK_CV_Den!$H$5:$H$1997,"&gt;="&amp;$B$2,BK_CV_Den!$H$5:$H$1997,"&lt;="&amp;$B$3,BK_CV_Den!$L$5:$L$1997,G$3)</f>
        <v>0</v>
      </c>
      <c r="H13" s="9">
        <f>COUNTIFS(BK_CV_Den!$F$5:$F$1997,$D13,BK_CV_Den!$H$5:$H$1997,"&gt;="&amp;$B$2,BK_CV_Den!$H$5:$H$1997,"&lt;="&amp;$B$3,BK_CV_Den!$L$5:$L$1997,H$3)</f>
        <v>0</v>
      </c>
      <c r="I13" s="9">
        <f>COUNTIFS(BK_CV_Den!$F$5:$F$1997,$D13,BK_CV_Den!$H$5:$H$1997,"&gt;="&amp;$B$2,BK_CV_Den!$H$5:$H$1997,"&lt;="&amp;$B$3,BK_CV_Den!$L$5:$L$1997,I$3)</f>
        <v>0</v>
      </c>
      <c r="J13" t="str">
        <f t="shared" si="0"/>
        <v>x</v>
      </c>
    </row>
    <row r="14" spans="1:10" ht="18.75" customHeight="1">
      <c r="C14" s="8">
        <v>11</v>
      </c>
      <c r="D14" s="8" t="str">
        <f>Setting!B13</f>
        <v>Nghị định</v>
      </c>
      <c r="E14" s="9">
        <f>COUNTIFS(BK_CV_Den!$F$5:$F$1997,$D14,BK_CV_Den!$H$5:$H$1997,"&gt;="&amp;$B$2,BK_CV_Den!$H$5:$H$1997,"&lt;="&amp;$B$3)</f>
        <v>0</v>
      </c>
      <c r="F14" s="9">
        <f>COUNTIFS(BK_CV_Den!$F$5:$F$1997,$D14,BK_CV_Den!$H$5:$H$1997,"&gt;="&amp;$B$2,BK_CV_Den!$H$5:$H$1997,"&lt;="&amp;$B$3,BK_CV_Den!$L$5:$L$1997,F$3)</f>
        <v>0</v>
      </c>
      <c r="G14" s="9">
        <f>COUNTIFS(BK_CV_Den!$F$5:$F$1997,$D14,BK_CV_Den!$H$5:$H$1997,"&gt;="&amp;$B$2,BK_CV_Den!$H$5:$H$1997,"&lt;="&amp;$B$3,BK_CV_Den!$L$5:$L$1997,G$3)</f>
        <v>0</v>
      </c>
      <c r="H14" s="9">
        <f>COUNTIFS(BK_CV_Den!$F$5:$F$1997,$D14,BK_CV_Den!$H$5:$H$1997,"&gt;="&amp;$B$2,BK_CV_Den!$H$5:$H$1997,"&lt;="&amp;$B$3,BK_CV_Den!$L$5:$L$1997,H$3)</f>
        <v>0</v>
      </c>
      <c r="I14" s="9">
        <f>COUNTIFS(BK_CV_Den!$F$5:$F$1997,$D14,BK_CV_Den!$H$5:$H$1997,"&gt;="&amp;$B$2,BK_CV_Den!$H$5:$H$1997,"&lt;="&amp;$B$3,BK_CV_Den!$L$5:$L$1997,I$3)</f>
        <v>0</v>
      </c>
      <c r="J14" t="str">
        <f t="shared" si="0"/>
        <v>x</v>
      </c>
    </row>
    <row r="15" spans="1:10" ht="18.75" customHeight="1">
      <c r="C15" s="8">
        <v>12</v>
      </c>
      <c r="D15" s="8" t="str">
        <f>Setting!B14</f>
        <v>Chỉ thị</v>
      </c>
      <c r="E15" s="9">
        <f>COUNTIFS(BK_CV_Den!$F$5:$F$1997,$D15,BK_CV_Den!$H$5:$H$1997,"&gt;="&amp;$B$2,BK_CV_Den!$H$5:$H$1997,"&lt;="&amp;$B$3)</f>
        <v>0</v>
      </c>
      <c r="F15" s="9">
        <f>COUNTIFS(BK_CV_Den!$F$5:$F$1997,$D15,BK_CV_Den!$H$5:$H$1997,"&gt;="&amp;$B$2,BK_CV_Den!$H$5:$H$1997,"&lt;="&amp;$B$3,BK_CV_Den!$L$5:$L$1997,F$3)</f>
        <v>0</v>
      </c>
      <c r="G15" s="9">
        <f>COUNTIFS(BK_CV_Den!$F$5:$F$1997,$D15,BK_CV_Den!$H$5:$H$1997,"&gt;="&amp;$B$2,BK_CV_Den!$H$5:$H$1997,"&lt;="&amp;$B$3,BK_CV_Den!$L$5:$L$1997,G$3)</f>
        <v>0</v>
      </c>
      <c r="H15" s="9">
        <f>COUNTIFS(BK_CV_Den!$F$5:$F$1997,$D15,BK_CV_Den!$H$5:$H$1997,"&gt;="&amp;$B$2,BK_CV_Den!$H$5:$H$1997,"&lt;="&amp;$B$3,BK_CV_Den!$L$5:$L$1997,H$3)</f>
        <v>0</v>
      </c>
      <c r="I15" s="9">
        <f>COUNTIFS(BK_CV_Den!$F$5:$F$1997,$D15,BK_CV_Den!$H$5:$H$1997,"&gt;="&amp;$B$2,BK_CV_Den!$H$5:$H$1997,"&lt;="&amp;$B$3,BK_CV_Den!$L$5:$L$1997,I$3)</f>
        <v>0</v>
      </c>
      <c r="J15" t="str">
        <f t="shared" si="0"/>
        <v>x</v>
      </c>
    </row>
    <row r="16" spans="1:10" ht="18.75" customHeight="1">
      <c r="C16" s="8">
        <v>13</v>
      </c>
      <c r="D16" s="8" t="str">
        <f>Setting!B15</f>
        <v>Đơn</v>
      </c>
      <c r="E16" s="9">
        <f>COUNTIFS(BK_CV_Den!$F$5:$F$1997,$D16,BK_CV_Den!$H$5:$H$1997,"&gt;="&amp;$B$2,BK_CV_Den!$H$5:$H$1997,"&lt;="&amp;$B$3)</f>
        <v>0</v>
      </c>
      <c r="F16" s="9">
        <f>COUNTIFS(BK_CV_Den!$F$5:$F$1997,$D16,BK_CV_Den!$H$5:$H$1997,"&gt;="&amp;$B$2,BK_CV_Den!$H$5:$H$1997,"&lt;="&amp;$B$3,BK_CV_Den!$L$5:$L$1997,F$3)</f>
        <v>0</v>
      </c>
      <c r="G16" s="9">
        <f>COUNTIFS(BK_CV_Den!$F$5:$F$1997,$D16,BK_CV_Den!$H$5:$H$1997,"&gt;="&amp;$B$2,BK_CV_Den!$H$5:$H$1997,"&lt;="&amp;$B$3,BK_CV_Den!$L$5:$L$1997,G$3)</f>
        <v>0</v>
      </c>
      <c r="H16" s="9">
        <f>COUNTIFS(BK_CV_Den!$F$5:$F$1997,$D16,BK_CV_Den!$H$5:$H$1997,"&gt;="&amp;$B$2,BK_CV_Den!$H$5:$H$1997,"&lt;="&amp;$B$3,BK_CV_Den!$L$5:$L$1997,H$3)</f>
        <v>0</v>
      </c>
      <c r="I16" s="9">
        <f>COUNTIFS(BK_CV_Den!$F$5:$F$1997,$D16,BK_CV_Den!$H$5:$H$1997,"&gt;="&amp;$B$2,BK_CV_Den!$H$5:$H$1997,"&lt;="&amp;$B$3,BK_CV_Den!$L$5:$L$1997,I$3)</f>
        <v>0</v>
      </c>
      <c r="J16" t="str">
        <f t="shared" si="0"/>
        <v>x</v>
      </c>
    </row>
    <row r="17" spans="3:10" ht="18.75" customHeight="1">
      <c r="C17" s="8">
        <v>14</v>
      </c>
      <c r="D17" s="8" t="str">
        <f>Setting!B16</f>
        <v>Thư</v>
      </c>
      <c r="E17" s="9">
        <f>COUNTIFS(BK_CV_Den!$F$5:$F$1997,$D17,BK_CV_Den!$H$5:$H$1997,"&gt;="&amp;$B$2,BK_CV_Den!$H$5:$H$1997,"&lt;="&amp;$B$3)</f>
        <v>0</v>
      </c>
      <c r="F17" s="9">
        <f>COUNTIFS(BK_CV_Den!$F$5:$F$1997,$D17,BK_CV_Den!$H$5:$H$1997,"&gt;="&amp;$B$2,BK_CV_Den!$H$5:$H$1997,"&lt;="&amp;$B$3,BK_CV_Den!$L$5:$L$1997,F$3)</f>
        <v>0</v>
      </c>
      <c r="G17" s="9">
        <f>COUNTIFS(BK_CV_Den!$F$5:$F$1997,$D17,BK_CV_Den!$H$5:$H$1997,"&gt;="&amp;$B$2,BK_CV_Den!$H$5:$H$1997,"&lt;="&amp;$B$3,BK_CV_Den!$L$5:$L$1997,G$3)</f>
        <v>0</v>
      </c>
      <c r="H17" s="9">
        <f>COUNTIFS(BK_CV_Den!$F$5:$F$1997,$D17,BK_CV_Den!$H$5:$H$1997,"&gt;="&amp;$B$2,BK_CV_Den!$H$5:$H$1997,"&lt;="&amp;$B$3,BK_CV_Den!$L$5:$L$1997,H$3)</f>
        <v>0</v>
      </c>
      <c r="I17" s="9">
        <f>COUNTIFS(BK_CV_Den!$F$5:$F$1997,$D17,BK_CV_Den!$H$5:$H$1997,"&gt;="&amp;$B$2,BK_CV_Den!$H$5:$H$1997,"&lt;="&amp;$B$3,BK_CV_Den!$L$5:$L$1997,I$3)</f>
        <v>0</v>
      </c>
      <c r="J17" t="str">
        <f t="shared" si="0"/>
        <v>x</v>
      </c>
    </row>
    <row r="18" spans="3:10" ht="18" customHeight="1">
      <c r="C18" s="8">
        <v>15</v>
      </c>
      <c r="D18" s="8" t="str">
        <f>Setting!B17</f>
        <v>Kết luận</v>
      </c>
      <c r="E18" s="9">
        <f>COUNTIFS(BK_CV_Den!$F$5:$F$1997,$D18,BK_CV_Den!$H$5:$H$1997,"&gt;="&amp;$B$2,BK_CV_Den!$H$5:$H$1997,"&lt;="&amp;$B$3)</f>
        <v>0</v>
      </c>
      <c r="F18" s="9">
        <f>COUNTIFS(BK_CV_Den!$F$5:$F$1997,$D18,BK_CV_Den!$H$5:$H$1997,"&gt;="&amp;$B$2,BK_CV_Den!$H$5:$H$1997,"&lt;="&amp;$B$3,BK_CV_Den!$L$5:$L$1997,F$3)</f>
        <v>0</v>
      </c>
      <c r="G18" s="9">
        <f>COUNTIFS(BK_CV_Den!$F$5:$F$1997,$D18,BK_CV_Den!$H$5:$H$1997,"&gt;="&amp;$B$2,BK_CV_Den!$H$5:$H$1997,"&lt;="&amp;$B$3,BK_CV_Den!$L$5:$L$1997,G$3)</f>
        <v>0</v>
      </c>
      <c r="H18" s="9">
        <f>COUNTIFS(BK_CV_Den!$F$5:$F$1997,$D18,BK_CV_Den!$H$5:$H$1997,"&gt;="&amp;$B$2,BK_CV_Den!$H$5:$H$1997,"&lt;="&amp;$B$3,BK_CV_Den!$L$5:$L$1997,H$3)</f>
        <v>0</v>
      </c>
      <c r="I18" s="9">
        <f>COUNTIFS(BK_CV_Den!$F$5:$F$1997,$D18,BK_CV_Den!$H$5:$H$1997,"&gt;="&amp;$B$2,BK_CV_Den!$H$5:$H$1997,"&lt;="&amp;$B$3,BK_CV_Den!$L$5:$L$1997,I$3)</f>
        <v>0</v>
      </c>
      <c r="J18" t="str">
        <f t="shared" si="0"/>
        <v>x</v>
      </c>
    </row>
    <row r="19" spans="3:10" ht="18.75" customHeight="1">
      <c r="C19" s="8">
        <v>16</v>
      </c>
      <c r="D19" s="8">
        <f>Setting!B18</f>
        <v>0</v>
      </c>
      <c r="E19" s="9">
        <f>COUNTIFS(BK_CV_Den!$F$5:$F$1997,$D19,BK_CV_Den!$H$5:$H$1997,"&gt;="&amp;$B$2,BK_CV_Den!$H$5:$H$1997,"&lt;="&amp;$B$3)</f>
        <v>0</v>
      </c>
      <c r="F19" s="9">
        <f>COUNTIFS(BK_CV_Den!$F$5:$F$1997,$D19,BK_CV_Den!$H$5:$H$1997,"&gt;="&amp;$B$2,BK_CV_Den!$H$5:$H$1997,"&lt;="&amp;$B$3,BK_CV_Den!$L$5:$L$1997,F$3)</f>
        <v>0</v>
      </c>
      <c r="G19" s="9">
        <f>COUNTIFS(BK_CV_Den!$F$5:$F$1997,$D19,BK_CV_Den!$H$5:$H$1997,"&gt;="&amp;$B$2,BK_CV_Den!$H$5:$H$1997,"&lt;="&amp;$B$3,BK_CV_Den!$L$5:$L$1997,G$3)</f>
        <v>0</v>
      </c>
      <c r="H19" s="9">
        <f>COUNTIFS(BK_CV_Den!$F$5:$F$1997,$D19,BK_CV_Den!$H$5:$H$1997,"&gt;="&amp;$B$2,BK_CV_Den!$H$5:$H$1997,"&lt;="&amp;$B$3,BK_CV_Den!$L$5:$L$1997,H$3)</f>
        <v>0</v>
      </c>
      <c r="I19" s="9">
        <f>COUNTIFS(BK_CV_Den!$F$5:$F$1997,$D19,BK_CV_Den!$H$5:$H$1997,"&gt;="&amp;$B$2,BK_CV_Den!$H$5:$H$1997,"&lt;="&amp;$B$3,BK_CV_Den!$L$5:$L$1997,I$3)</f>
        <v>0</v>
      </c>
      <c r="J19" t="str">
        <f t="shared" si="0"/>
        <v/>
      </c>
    </row>
    <row r="20" spans="3:10" ht="18" customHeight="1">
      <c r="C20" s="8">
        <v>17</v>
      </c>
      <c r="D20" s="8">
        <f>Setting!B18</f>
        <v>0</v>
      </c>
      <c r="E20" s="9">
        <f>COUNTIFS(BK_CV_Den!$F$5:$F$1997,$D20,BK_CV_Den!$H$5:$H$1997,"&gt;="&amp;$B$2,BK_CV_Den!$H$5:$H$1997,"&lt;="&amp;$B$3)</f>
        <v>0</v>
      </c>
      <c r="F20" s="9">
        <f>COUNTIFS(BK_CV_Den!$F$5:$F$1997,$D20,BK_CV_Den!$H$5:$H$1997,"&gt;="&amp;$B$2,BK_CV_Den!$H$5:$H$1997,"&lt;="&amp;$B$3,BK_CV_Den!$L$5:$L$1997,F$3)</f>
        <v>0</v>
      </c>
      <c r="G20" s="9">
        <f>COUNTIFS(BK_CV_Den!$F$5:$F$1997,$D20,BK_CV_Den!$H$5:$H$1997,"&gt;="&amp;$B$2,BK_CV_Den!$H$5:$H$1997,"&lt;="&amp;$B$3,BK_CV_Den!$L$5:$L$1997,G$3)</f>
        <v>0</v>
      </c>
      <c r="H20" s="9">
        <f>COUNTIFS(BK_CV_Den!$F$5:$F$1997,$D20,BK_CV_Den!$H$5:$H$1997,"&gt;="&amp;$B$2,BK_CV_Den!$H$5:$H$1997,"&lt;="&amp;$B$3,BK_CV_Den!$L$5:$L$1997,H$3)</f>
        <v>0</v>
      </c>
      <c r="I20" s="9">
        <f>COUNTIFS(BK_CV_Den!$F$5:$F$1997,$D20,BK_CV_Den!$H$5:$H$1997,"&gt;="&amp;$B$2,BK_CV_Den!$H$5:$H$1997,"&lt;="&amp;$B$3,BK_CV_Den!$L$5:$L$1997,I$3)</f>
        <v>0</v>
      </c>
      <c r="J20" t="str">
        <f t="shared" si="0"/>
        <v/>
      </c>
    </row>
    <row r="21" spans="3:10" ht="18.75" customHeight="1">
      <c r="C21" s="8">
        <v>18</v>
      </c>
      <c r="D21" s="8">
        <f>Setting!B35</f>
        <v>0</v>
      </c>
      <c r="E21" s="9">
        <f>COUNTIFS(BK_CV_Den!$F$5:$F$1997,$D21,BK_CV_Den!$H$5:$H$1997,"&gt;="&amp;$B$2,BK_CV_Den!$H$5:$H$1997,"&lt;="&amp;$B$3)</f>
        <v>0</v>
      </c>
      <c r="F21" s="9">
        <f>COUNTIFS(BK_CV_Den!$F$5:$F$1997,$D21,BK_CV_Den!$H$5:$H$1997,"&gt;="&amp;$B$2,BK_CV_Den!$H$5:$H$1997,"&lt;="&amp;$B$3,BK_CV_Den!$L$5:$L$1997,F$3)</f>
        <v>0</v>
      </c>
      <c r="G21" s="9">
        <f>COUNTIFS(BK_CV_Den!$F$5:$F$1997,$D21,BK_CV_Den!$H$5:$H$1997,"&gt;="&amp;$B$2,BK_CV_Den!$H$5:$H$1997,"&lt;="&amp;$B$3,BK_CV_Den!$L$5:$L$1997,G$3)</f>
        <v>0</v>
      </c>
      <c r="H21" s="9">
        <f>COUNTIFS(BK_CV_Den!$F$5:$F$1997,$D21,BK_CV_Den!$H$5:$H$1997,"&gt;="&amp;$B$2,BK_CV_Den!$H$5:$H$1997,"&lt;="&amp;$B$3,BK_CV_Den!$L$5:$L$1997,H$3)</f>
        <v>0</v>
      </c>
      <c r="I21" s="9">
        <f>COUNTIFS(BK_CV_Den!$F$5:$F$1997,$D21,BK_CV_Den!$H$5:$H$1997,"&gt;="&amp;$B$2,BK_CV_Den!$H$5:$H$1997,"&lt;="&amp;$B$3,BK_CV_Den!$L$5:$L$1997,I$3)</f>
        <v>0</v>
      </c>
      <c r="J21" t="str">
        <f t="shared" si="0"/>
        <v/>
      </c>
    </row>
    <row r="22" spans="3:10" ht="18" customHeight="1">
      <c r="C22" s="8">
        <v>19</v>
      </c>
      <c r="D22" s="8">
        <f>Setting!B36</f>
        <v>0</v>
      </c>
      <c r="E22" s="9">
        <f>COUNTIFS(BK_CV_Den!$F$5:$F$1997,$D22,BK_CV_Den!$H$5:$H$1997,"&gt;="&amp;$B$2,BK_CV_Den!$H$5:$H$1997,"&lt;="&amp;$B$3)</f>
        <v>0</v>
      </c>
      <c r="F22" s="9">
        <f>COUNTIFS(BK_CV_Den!$F$5:$F$1997,$D22,BK_CV_Den!$H$5:$H$1997,"&gt;="&amp;$B$2,BK_CV_Den!$H$5:$H$1997,"&lt;="&amp;$B$3,BK_CV_Den!$L$5:$L$1997,F$3)</f>
        <v>0</v>
      </c>
      <c r="G22" s="9">
        <f>COUNTIFS(BK_CV_Den!$F$5:$F$1997,$D22,BK_CV_Den!$H$5:$H$1997,"&gt;="&amp;$B$2,BK_CV_Den!$H$5:$H$1997,"&lt;="&amp;$B$3,BK_CV_Den!$L$5:$L$1997,G$3)</f>
        <v>0</v>
      </c>
      <c r="H22" s="9">
        <f>COUNTIFS(BK_CV_Den!$F$5:$F$1997,$D22,BK_CV_Den!$H$5:$H$1997,"&gt;="&amp;$B$2,BK_CV_Den!$H$5:$H$1997,"&lt;="&amp;$B$3,BK_CV_Den!$L$5:$L$1997,H$3)</f>
        <v>0</v>
      </c>
      <c r="I22" s="9">
        <f>COUNTIFS(BK_CV_Den!$F$5:$F$1997,$D22,BK_CV_Den!$H$5:$H$1997,"&gt;="&amp;$B$2,BK_CV_Den!$H$5:$H$1997,"&lt;="&amp;$B$3,BK_CV_Den!$L$5:$L$1997,I$3)</f>
        <v>0</v>
      </c>
      <c r="J22" t="str">
        <f t="shared" si="0"/>
        <v/>
      </c>
    </row>
    <row r="23" spans="3:10" ht="17.25" customHeight="1">
      <c r="C23" s="8">
        <v>20</v>
      </c>
      <c r="D23" s="8">
        <f>Setting!B37</f>
        <v>0</v>
      </c>
      <c r="E23" s="9">
        <f>COUNTIFS(BK_CV_Den!$F$5:$F$1997,$D23,BK_CV_Den!$H$5:$H$1997,"&gt;="&amp;$B$2,BK_CV_Den!$H$5:$H$1997,"&lt;="&amp;$B$3)</f>
        <v>0</v>
      </c>
      <c r="F23" s="9">
        <f>COUNTIFS(BK_CV_Den!$F$5:$F$1997,$D23,BK_CV_Den!$H$5:$H$1997,"&gt;="&amp;$B$2,BK_CV_Den!$H$5:$H$1997,"&lt;="&amp;$B$3,BK_CV_Den!$L$5:$L$1997,F$3)</f>
        <v>0</v>
      </c>
      <c r="G23" s="9">
        <f>COUNTIFS(BK_CV_Den!$F$5:$F$1997,$D23,BK_CV_Den!$H$5:$H$1997,"&gt;="&amp;$B$2,BK_CV_Den!$H$5:$H$1997,"&lt;="&amp;$B$3,BK_CV_Den!$L$5:$L$1997,G$3)</f>
        <v>0</v>
      </c>
      <c r="H23" s="9">
        <f>COUNTIFS(BK_CV_Den!$F$5:$F$1997,$D23,BK_CV_Den!$H$5:$H$1997,"&gt;="&amp;$B$2,BK_CV_Den!$H$5:$H$1997,"&lt;="&amp;$B$3,BK_CV_Den!$L$5:$L$1997,H$3)</f>
        <v>0</v>
      </c>
      <c r="I23" s="9">
        <f>COUNTIFS(BK_CV_Den!$F$5:$F$1997,$D23,BK_CV_Den!$H$5:$H$1997,"&gt;="&amp;$B$2,BK_CV_Den!$H$5:$H$1997,"&lt;="&amp;$B$3,BK_CV_Den!$L$5:$L$1997,I$3)</f>
        <v>0</v>
      </c>
      <c r="J23" t="str">
        <f t="shared" si="0"/>
        <v/>
      </c>
    </row>
    <row r="24" spans="3:10" ht="18" customHeight="1">
      <c r="C24" s="8">
        <v>21</v>
      </c>
      <c r="D24" s="8">
        <f>Setting!B38</f>
        <v>0</v>
      </c>
      <c r="E24" s="9">
        <f>COUNTIFS(BK_CV_Den!$F$5:$F$1997,$D24,BK_CV_Den!$H$5:$H$1997,"&gt;="&amp;$B$2,BK_CV_Den!$H$5:$H$1997,"&lt;="&amp;$B$3)</f>
        <v>0</v>
      </c>
      <c r="F24" s="9">
        <f>COUNTIFS(BK_CV_Den!$F$5:$F$1997,$D24,BK_CV_Den!$H$5:$H$1997,"&gt;="&amp;$B$2,BK_CV_Den!$H$5:$H$1997,"&lt;="&amp;$B$3,BK_CV_Den!$L$5:$L$1997,F$3)</f>
        <v>0</v>
      </c>
      <c r="G24" s="9">
        <f>COUNTIFS(BK_CV_Den!$F$5:$F$1997,$D24,BK_CV_Den!$H$5:$H$1997,"&gt;="&amp;$B$2,BK_CV_Den!$H$5:$H$1997,"&lt;="&amp;$B$3,BK_CV_Den!$L$5:$L$1997,G$3)</f>
        <v>0</v>
      </c>
      <c r="H24" s="9">
        <f>COUNTIFS(BK_CV_Den!$F$5:$F$1997,$D24,BK_CV_Den!$H$5:$H$1997,"&gt;="&amp;$B$2,BK_CV_Den!$H$5:$H$1997,"&lt;="&amp;$B$3,BK_CV_Den!$L$5:$L$1997,H$3)</f>
        <v>0</v>
      </c>
      <c r="I24" s="9">
        <f>COUNTIFS(BK_CV_Den!$F$5:$F$1997,$D24,BK_CV_Den!$H$5:$H$1997,"&gt;="&amp;$B$2,BK_CV_Den!$H$5:$H$1997,"&lt;="&amp;$B$3,BK_CV_Den!$L$5:$L$1997,I$3)</f>
        <v>0</v>
      </c>
      <c r="J24" t="str">
        <f t="shared" si="0"/>
        <v/>
      </c>
    </row>
    <row r="25" spans="3:10" ht="18" customHeight="1">
      <c r="C25" s="8">
        <v>22</v>
      </c>
      <c r="D25" s="8">
        <f>Setting!B39</f>
        <v>0</v>
      </c>
      <c r="E25" s="9">
        <f>COUNTIFS(BK_CV_Den!$F$5:$F$1997,$D25,BK_CV_Den!$H$5:$H$1997,"&gt;="&amp;$B$2,BK_CV_Den!$H$5:$H$1997,"&lt;="&amp;$B$3)</f>
        <v>0</v>
      </c>
      <c r="F25" s="9">
        <f>COUNTIFS(BK_CV_Den!$F$5:$F$1997,$D25,BK_CV_Den!$H$5:$H$1997,"&gt;="&amp;$B$2,BK_CV_Den!$H$5:$H$1997,"&lt;="&amp;$B$3,BK_CV_Den!$L$5:$L$1997,F$3)</f>
        <v>0</v>
      </c>
      <c r="G25" s="9">
        <f>COUNTIFS(BK_CV_Den!$F$5:$F$1997,$D25,BK_CV_Den!$H$5:$H$1997,"&gt;="&amp;$B$2,BK_CV_Den!$H$5:$H$1997,"&lt;="&amp;$B$3,BK_CV_Den!$L$5:$L$1997,G$3)</f>
        <v>0</v>
      </c>
      <c r="H25" s="9">
        <f>COUNTIFS(BK_CV_Den!$F$5:$F$1997,$D25,BK_CV_Den!$H$5:$H$1997,"&gt;="&amp;$B$2,BK_CV_Den!$H$5:$H$1997,"&lt;="&amp;$B$3,BK_CV_Den!$L$5:$L$1997,H$3)</f>
        <v>0</v>
      </c>
      <c r="I25" s="9">
        <f>COUNTIFS(BK_CV_Den!$F$5:$F$1997,$D25,BK_CV_Den!$H$5:$H$1997,"&gt;="&amp;$B$2,BK_CV_Den!$H$5:$H$1997,"&lt;="&amp;$B$3,BK_CV_Den!$L$5:$L$1997,I$3)</f>
        <v>0</v>
      </c>
      <c r="J25" t="str">
        <f t="shared" si="0"/>
        <v/>
      </c>
    </row>
    <row r="26" spans="3:10" ht="18.75" customHeight="1">
      <c r="C26" s="8">
        <v>23</v>
      </c>
      <c r="D26" s="8">
        <f>Setting!B40</f>
        <v>0</v>
      </c>
      <c r="E26" s="9">
        <f>COUNTIFS(BK_CV_Den!$F$5:$F$1997,$D26,BK_CV_Den!$H$5:$H$1997,"&gt;="&amp;$B$2,BK_CV_Den!$H$5:$H$1997,"&lt;="&amp;$B$3)</f>
        <v>0</v>
      </c>
      <c r="F26" s="9">
        <f>COUNTIFS(BK_CV_Den!$F$5:$F$1997,$D26,BK_CV_Den!$H$5:$H$1997,"&gt;="&amp;$B$2,BK_CV_Den!$H$5:$H$1997,"&lt;="&amp;$B$3,BK_CV_Den!$L$5:$L$1997,F$3)</f>
        <v>0</v>
      </c>
      <c r="G26" s="9">
        <f>COUNTIFS(BK_CV_Den!$F$5:$F$1997,$D26,BK_CV_Den!$H$5:$H$1997,"&gt;="&amp;$B$2,BK_CV_Den!$H$5:$H$1997,"&lt;="&amp;$B$3,BK_CV_Den!$L$5:$L$1997,G$3)</f>
        <v>0</v>
      </c>
      <c r="H26" s="9">
        <f>COUNTIFS(BK_CV_Den!$F$5:$F$1997,$D26,BK_CV_Den!$H$5:$H$1997,"&gt;="&amp;$B$2,BK_CV_Den!$H$5:$H$1997,"&lt;="&amp;$B$3,BK_CV_Den!$L$5:$L$1997,H$3)</f>
        <v>0</v>
      </c>
      <c r="I26" s="9">
        <f>COUNTIFS(BK_CV_Den!$F$5:$F$1997,$D26,BK_CV_Den!$H$5:$H$1997,"&gt;="&amp;$B$2,BK_CV_Den!$H$5:$H$1997,"&lt;="&amp;$B$3,BK_CV_Den!$L$5:$L$1997,I$3)</f>
        <v>0</v>
      </c>
      <c r="J26" t="str">
        <f t="shared" si="0"/>
        <v/>
      </c>
    </row>
    <row r="27" spans="3:10" ht="18.75" customHeight="1">
      <c r="C27" s="8">
        <v>24</v>
      </c>
      <c r="D27" s="8">
        <f>Setting!B41</f>
        <v>0</v>
      </c>
      <c r="E27" s="9">
        <f>COUNTIFS(BK_CV_Den!$F$5:$F$1997,$D27,BK_CV_Den!$H$5:$H$1997,"&gt;="&amp;$B$2,BK_CV_Den!$H$5:$H$1997,"&lt;="&amp;$B$3)</f>
        <v>0</v>
      </c>
      <c r="F27" s="9">
        <f>COUNTIFS(BK_CV_Den!$F$5:$F$1997,$D27,BK_CV_Den!$H$5:$H$1997,"&gt;="&amp;$B$2,BK_CV_Den!$H$5:$H$1997,"&lt;="&amp;$B$3,BK_CV_Den!$L$5:$L$1997,F$3)</f>
        <v>0</v>
      </c>
      <c r="G27" s="9">
        <f>COUNTIFS(BK_CV_Den!$F$5:$F$1997,$D27,BK_CV_Den!$H$5:$H$1997,"&gt;="&amp;$B$2,BK_CV_Den!$H$5:$H$1997,"&lt;="&amp;$B$3,BK_CV_Den!$L$5:$L$1997,G$3)</f>
        <v>0</v>
      </c>
      <c r="H27" s="9">
        <f>COUNTIFS(BK_CV_Den!$F$5:$F$1997,$D27,BK_CV_Den!$H$5:$H$1997,"&gt;="&amp;$B$2,BK_CV_Den!$H$5:$H$1997,"&lt;="&amp;$B$3,BK_CV_Den!$L$5:$L$1997,H$3)</f>
        <v>0</v>
      </c>
      <c r="I27" s="9">
        <f>COUNTIFS(BK_CV_Den!$F$5:$F$1997,$D27,BK_CV_Den!$H$5:$H$1997,"&gt;="&amp;$B$2,BK_CV_Den!$H$5:$H$1997,"&lt;="&amp;$B$3,BK_CV_Den!$L$5:$L$1997,I$3)</f>
        <v>0</v>
      </c>
      <c r="J27" t="str">
        <f t="shared" si="0"/>
        <v/>
      </c>
    </row>
    <row r="28" spans="3:10" ht="18.75" customHeight="1">
      <c r="C28" s="8">
        <v>25</v>
      </c>
      <c r="D28" s="8">
        <f>Setting!B42</f>
        <v>0</v>
      </c>
      <c r="E28" s="9">
        <f>COUNTIFS(BK_CV_Den!$F$5:$F$1997,$D28,BK_CV_Den!$H$5:$H$1997,"&gt;="&amp;$B$2,BK_CV_Den!$H$5:$H$1997,"&lt;="&amp;$B$3)</f>
        <v>0</v>
      </c>
      <c r="F28" s="9">
        <f>COUNTIFS(BK_CV_Den!$F$5:$F$1997,$D28,BK_CV_Den!$H$5:$H$1997,"&gt;="&amp;$B$2,BK_CV_Den!$H$5:$H$1997,"&lt;="&amp;$B$3,BK_CV_Den!$L$5:$L$1997,F$3)</f>
        <v>0</v>
      </c>
      <c r="G28" s="9">
        <f>COUNTIFS(BK_CV_Den!$F$5:$F$1997,$D28,BK_CV_Den!$H$5:$H$1997,"&gt;="&amp;$B$2,BK_CV_Den!$H$5:$H$1997,"&lt;="&amp;$B$3,BK_CV_Den!$L$5:$L$1997,G$3)</f>
        <v>0</v>
      </c>
      <c r="H28" s="9">
        <f>COUNTIFS(BK_CV_Den!$F$5:$F$1997,$D28,BK_CV_Den!$H$5:$H$1997,"&gt;="&amp;$B$2,BK_CV_Den!$H$5:$H$1997,"&lt;="&amp;$B$3,BK_CV_Den!$L$5:$L$1997,H$3)</f>
        <v>0</v>
      </c>
      <c r="I28" s="9">
        <f>COUNTIFS(BK_CV_Den!$F$5:$F$1997,$D28,BK_CV_Den!$H$5:$H$1997,"&gt;="&amp;$B$2,BK_CV_Den!$H$5:$H$1997,"&lt;="&amp;$B$3,BK_CV_Den!$L$5:$L$1997,I$3)</f>
        <v>0</v>
      </c>
      <c r="J28" t="str">
        <f t="shared" si="0"/>
        <v/>
      </c>
    </row>
    <row r="29" spans="3:10" ht="19.5" customHeight="1">
      <c r="C29" s="8">
        <v>26</v>
      </c>
      <c r="D29" s="8">
        <f>Setting!B43</f>
        <v>0</v>
      </c>
      <c r="E29" s="9">
        <f>COUNTIFS(BK_CV_Den!$F$5:$F$1997,$D29,BK_CV_Den!$H$5:$H$1997,"&gt;="&amp;$B$2,BK_CV_Den!$H$5:$H$1997,"&lt;="&amp;$B$3)</f>
        <v>0</v>
      </c>
      <c r="F29" s="9">
        <f>COUNTIFS(BK_CV_Den!$F$5:$F$1997,$D29,BK_CV_Den!$H$5:$H$1997,"&gt;="&amp;$B$2,BK_CV_Den!$H$5:$H$1997,"&lt;="&amp;$B$3,BK_CV_Den!$L$5:$L$1997,F$3)</f>
        <v>0</v>
      </c>
      <c r="G29" s="9">
        <f>COUNTIFS(BK_CV_Den!$F$5:$F$1997,$D29,BK_CV_Den!$H$5:$H$1997,"&gt;="&amp;$B$2,BK_CV_Den!$H$5:$H$1997,"&lt;="&amp;$B$3,BK_CV_Den!$L$5:$L$1997,G$3)</f>
        <v>0</v>
      </c>
      <c r="H29" s="9">
        <f>COUNTIFS(BK_CV_Den!$F$5:$F$1997,$D29,BK_CV_Den!$H$5:$H$1997,"&gt;="&amp;$B$2,BK_CV_Den!$H$5:$H$1997,"&lt;="&amp;$B$3,BK_CV_Den!$L$5:$L$1997,H$3)</f>
        <v>0</v>
      </c>
      <c r="I29" s="9">
        <f>COUNTIFS(BK_CV_Den!$F$5:$F$1997,$D29,BK_CV_Den!$H$5:$H$1997,"&gt;="&amp;$B$2,BK_CV_Den!$H$5:$H$1997,"&lt;="&amp;$B$3,BK_CV_Den!$L$5:$L$1997,I$3)</f>
        <v>0</v>
      </c>
      <c r="J29" t="str">
        <f t="shared" si="0"/>
        <v/>
      </c>
    </row>
    <row r="30" spans="3:10" ht="18" customHeight="1">
      <c r="C30" s="8">
        <v>27</v>
      </c>
      <c r="D30" s="8">
        <f>Setting!B44</f>
        <v>0</v>
      </c>
      <c r="E30" s="9">
        <f>COUNTIFS(BK_CV_Den!$F$5:$F$1997,$D30,BK_CV_Den!$H$5:$H$1997,"&gt;="&amp;$B$2,BK_CV_Den!$H$5:$H$1997,"&lt;="&amp;$B$3)</f>
        <v>0</v>
      </c>
      <c r="F30" s="9">
        <f>COUNTIFS(BK_CV_Den!$F$5:$F$1997,$D30,BK_CV_Den!$H$5:$H$1997,"&gt;="&amp;$B$2,BK_CV_Den!$H$5:$H$1997,"&lt;="&amp;$B$3,BK_CV_Den!$L$5:$L$1997,F$3)</f>
        <v>0</v>
      </c>
      <c r="G30" s="9">
        <f>COUNTIFS(BK_CV_Den!$F$5:$F$1997,$D30,BK_CV_Den!$H$5:$H$1997,"&gt;="&amp;$B$2,BK_CV_Den!$H$5:$H$1997,"&lt;="&amp;$B$3,BK_CV_Den!$L$5:$L$1997,G$3)</f>
        <v>0</v>
      </c>
      <c r="H30" s="9">
        <f>COUNTIFS(BK_CV_Den!$F$5:$F$1997,$D30,BK_CV_Den!$H$5:$H$1997,"&gt;="&amp;$B$2,BK_CV_Den!$H$5:$H$1997,"&lt;="&amp;$B$3,BK_CV_Den!$L$5:$L$1997,H$3)</f>
        <v>0</v>
      </c>
      <c r="I30" s="9">
        <f>COUNTIFS(BK_CV_Den!$F$5:$F$1997,$D30,BK_CV_Den!$H$5:$H$1997,"&gt;="&amp;$B$2,BK_CV_Den!$H$5:$H$1997,"&lt;="&amp;$B$3,BK_CV_Den!$L$5:$L$1997,I$3)</f>
        <v>0</v>
      </c>
      <c r="J30" t="str">
        <f t="shared" si="0"/>
        <v/>
      </c>
    </row>
    <row r="31" spans="3:10" ht="17.25" customHeight="1">
      <c r="C31" s="8">
        <v>28</v>
      </c>
      <c r="D31" s="8">
        <f>Setting!B45</f>
        <v>0</v>
      </c>
      <c r="E31" s="9">
        <f>COUNTIFS(BK_CV_Den!$F$5:$F$1997,$D31,BK_CV_Den!$H$5:$H$1997,"&gt;="&amp;$B$2,BK_CV_Den!$H$5:$H$1997,"&lt;="&amp;$B$3)</f>
        <v>0</v>
      </c>
      <c r="F31" s="9">
        <f>COUNTIFS(BK_CV_Den!$F$5:$F$1997,$D31,BK_CV_Den!$H$5:$H$1997,"&gt;="&amp;$B$2,BK_CV_Den!$H$5:$H$1997,"&lt;="&amp;$B$3,BK_CV_Den!$L$5:$L$1997,F$3)</f>
        <v>0</v>
      </c>
      <c r="G31" s="9">
        <f>COUNTIFS(BK_CV_Den!$F$5:$F$1997,$D31,BK_CV_Den!$H$5:$H$1997,"&gt;="&amp;$B$2,BK_CV_Den!$H$5:$H$1997,"&lt;="&amp;$B$3,BK_CV_Den!$L$5:$L$1997,G$3)</f>
        <v>0</v>
      </c>
      <c r="H31" s="9">
        <f>COUNTIFS(BK_CV_Den!$F$5:$F$1997,$D31,BK_CV_Den!$H$5:$H$1997,"&gt;="&amp;$B$2,BK_CV_Den!$H$5:$H$1997,"&lt;="&amp;$B$3,BK_CV_Den!$L$5:$L$1997,H$3)</f>
        <v>0</v>
      </c>
      <c r="I31" s="9">
        <f>COUNTIFS(BK_CV_Den!$F$5:$F$1997,$D31,BK_CV_Den!$H$5:$H$1997,"&gt;="&amp;$B$2,BK_CV_Den!$H$5:$H$1997,"&lt;="&amp;$B$3,BK_CV_Den!$L$5:$L$1997,I$3)</f>
        <v>0</v>
      </c>
      <c r="J31" t="str">
        <f t="shared" si="0"/>
        <v/>
      </c>
    </row>
    <row r="32" spans="3:10" ht="17.25" customHeight="1">
      <c r="C32" s="8">
        <v>29</v>
      </c>
      <c r="D32" s="8">
        <f>Setting!B46</f>
        <v>0</v>
      </c>
      <c r="E32" s="9">
        <f>COUNTIFS(BK_CV_Den!$F$5:$F$1997,$D32,BK_CV_Den!$H$5:$H$1997,"&gt;="&amp;$B$2,BK_CV_Den!$H$5:$H$1997,"&lt;="&amp;$B$3)</f>
        <v>0</v>
      </c>
      <c r="F32" s="9">
        <f>COUNTIFS(BK_CV_Den!$F$5:$F$1997,$D32,BK_CV_Den!$H$5:$H$1997,"&gt;="&amp;$B$2,BK_CV_Den!$H$5:$H$1997,"&lt;="&amp;$B$3,BK_CV_Den!$L$5:$L$1997,F$3)</f>
        <v>0</v>
      </c>
      <c r="G32" s="9">
        <f>COUNTIFS(BK_CV_Den!$F$5:$F$1997,$D32,BK_CV_Den!$H$5:$H$1997,"&gt;="&amp;$B$2,BK_CV_Den!$H$5:$H$1997,"&lt;="&amp;$B$3,BK_CV_Den!$L$5:$L$1997,G$3)</f>
        <v>0</v>
      </c>
      <c r="H32" s="9">
        <f>COUNTIFS(BK_CV_Den!$F$5:$F$1997,$D32,BK_CV_Den!$H$5:$H$1997,"&gt;="&amp;$B$2,BK_CV_Den!$H$5:$H$1997,"&lt;="&amp;$B$3,BK_CV_Den!$L$5:$L$1997,H$3)</f>
        <v>0</v>
      </c>
      <c r="I32" s="9">
        <f>COUNTIFS(BK_CV_Den!$F$5:$F$1997,$D32,BK_CV_Den!$H$5:$H$1997,"&gt;="&amp;$B$2,BK_CV_Den!$H$5:$H$1997,"&lt;="&amp;$B$3,BK_CV_Den!$L$5:$L$1997,I$3)</f>
        <v>0</v>
      </c>
      <c r="J32" t="str">
        <f t="shared" si="0"/>
        <v/>
      </c>
    </row>
    <row r="33" spans="3:10" ht="18" customHeight="1">
      <c r="C33" s="8">
        <v>30</v>
      </c>
      <c r="D33" s="8">
        <f>Setting!B47</f>
        <v>0</v>
      </c>
      <c r="E33" s="9">
        <f>COUNTIFS(BK_CV_Den!$F$5:$F$1997,$D33,BK_CV_Den!$H$5:$H$1997,"&gt;="&amp;$B$2,BK_CV_Den!$H$5:$H$1997,"&lt;="&amp;$B$3)</f>
        <v>0</v>
      </c>
      <c r="F33" s="9">
        <f>COUNTIFS(BK_CV_Den!$F$5:$F$1997,$D33,BK_CV_Den!$H$5:$H$1997,"&gt;="&amp;$B$2,BK_CV_Den!$H$5:$H$1997,"&lt;="&amp;$B$3,BK_CV_Den!$L$5:$L$1997,F$3)</f>
        <v>0</v>
      </c>
      <c r="G33" s="9">
        <f>COUNTIFS(BK_CV_Den!$F$5:$F$1997,$D33,BK_CV_Den!$H$5:$H$1997,"&gt;="&amp;$B$2,BK_CV_Den!$H$5:$H$1997,"&lt;="&amp;$B$3,BK_CV_Den!$L$5:$L$1997,G$3)</f>
        <v>0</v>
      </c>
      <c r="H33" s="9">
        <f>COUNTIFS(BK_CV_Den!$F$5:$F$1997,$D33,BK_CV_Den!$H$5:$H$1997,"&gt;="&amp;$B$2,BK_CV_Den!$H$5:$H$1997,"&lt;="&amp;$B$3,BK_CV_Den!$L$5:$L$1997,H$3)</f>
        <v>0</v>
      </c>
      <c r="I33" s="9">
        <f>COUNTIFS(BK_CV_Den!$F$5:$F$1997,$D33,BK_CV_Den!$H$5:$H$1997,"&gt;="&amp;$B$2,BK_CV_Den!$H$5:$H$1997,"&lt;="&amp;$B$3,BK_CV_Den!$L$5:$L$1997,I$3)</f>
        <v>0</v>
      </c>
      <c r="J33" t="str">
        <f t="shared" si="0"/>
        <v/>
      </c>
    </row>
    <row r="34" spans="3:10" ht="18.75" customHeight="1">
      <c r="C34" s="10"/>
      <c r="D34" s="5" t="s">
        <v>41</v>
      </c>
      <c r="E34" s="11">
        <f>SUM(E4:E33)</f>
        <v>58</v>
      </c>
      <c r="F34" s="11">
        <f t="shared" ref="F34:I34" si="1">SUM(F4:F33)</f>
        <v>58</v>
      </c>
      <c r="G34" s="11">
        <f t="shared" si="1"/>
        <v>0</v>
      </c>
      <c r="H34" s="11">
        <f t="shared" si="1"/>
        <v>0</v>
      </c>
      <c r="I34" s="11">
        <f t="shared" si="1"/>
        <v>0</v>
      </c>
      <c r="J34" t="s">
        <v>102</v>
      </c>
    </row>
  </sheetData>
  <autoFilter ref="J3:J34">
    <filterColumn colId="0">
      <customFilters>
        <customFilter operator="notEqual" val=" "/>
      </customFilters>
    </filterColumn>
  </autoFilter>
  <mergeCells count="2">
    <mergeCell ref="C1:I1"/>
    <mergeCell ref="C2:I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filterMode="1">
    <tabColor rgb="FF7030A0"/>
  </sheetPr>
  <dimension ref="A1:U2007"/>
  <sheetViews>
    <sheetView showGridLines="0" zoomScale="70" zoomScaleNormal="70" workbookViewId="0">
      <selection activeCell="I10" sqref="I10"/>
    </sheetView>
  </sheetViews>
  <sheetFormatPr defaultRowHeight="15.75"/>
  <cols>
    <col min="1" max="1" width="9" style="2" customWidth="1"/>
    <col min="2" max="2" width="10.375" style="210" customWidth="1"/>
    <col min="3" max="3" width="5.25" style="1" customWidth="1"/>
    <col min="4" max="4" width="9" style="1" customWidth="1"/>
    <col min="5" max="5" width="10.75" style="215" customWidth="1"/>
    <col min="6" max="6" width="10.25" style="200" customWidth="1"/>
    <col min="7" max="7" width="13.25" style="210" customWidth="1"/>
    <col min="8" max="8" width="10.375" style="235" customWidth="1"/>
    <col min="9" max="9" width="37.25" style="199" customWidth="1"/>
    <col min="10" max="10" width="11.375" style="261" customWidth="1"/>
    <col min="11" max="11" width="16.25" style="261" customWidth="1"/>
    <col min="12" max="12" width="9.875" style="1" customWidth="1"/>
    <col min="13" max="13" width="34.625" style="199" customWidth="1"/>
    <col min="14" max="14" width="9.5" style="223" customWidth="1"/>
    <col min="15" max="15" width="11" style="200" customWidth="1"/>
    <col min="16" max="16" width="9.125" style="2" customWidth="1"/>
    <col min="17" max="17" width="5.5" style="2" customWidth="1"/>
    <col min="18" max="18" width="9.75" style="2" customWidth="1"/>
    <col min="19" max="19" width="5.875" style="2" customWidth="1"/>
    <col min="20" max="20" width="14.125" style="2" customWidth="1"/>
    <col min="21" max="21" width="10.5" hidden="1" customWidth="1"/>
    <col min="22" max="16384" width="9" style="2"/>
  </cols>
  <sheetData>
    <row r="1" spans="1:21" ht="30" customHeight="1">
      <c r="C1" s="354" t="s">
        <v>36</v>
      </c>
      <c r="D1" s="354"/>
      <c r="E1" s="354"/>
      <c r="F1" s="354"/>
      <c r="G1" s="355"/>
      <c r="H1" s="355"/>
      <c r="I1" s="356"/>
      <c r="J1" s="326"/>
      <c r="K1" s="326"/>
      <c r="L1" s="251"/>
    </row>
    <row r="2" spans="1:21" ht="16.899999999999999" customHeight="1">
      <c r="A2" s="121" t="s">
        <v>31</v>
      </c>
      <c r="B2" s="248">
        <v>43831</v>
      </c>
      <c r="C2" s="327" t="s">
        <v>103</v>
      </c>
      <c r="D2" s="363"/>
      <c r="E2" s="364"/>
      <c r="F2" s="331"/>
      <c r="G2" s="190" t="s">
        <v>21</v>
      </c>
      <c r="H2" s="352"/>
      <c r="I2" s="353"/>
      <c r="J2" s="257"/>
      <c r="K2" s="257"/>
    </row>
    <row r="3" spans="1:21" ht="16.899999999999999" customHeight="1">
      <c r="A3" s="121" t="s">
        <v>32</v>
      </c>
      <c r="B3" s="249">
        <v>44561</v>
      </c>
      <c r="C3" s="329" t="s">
        <v>64</v>
      </c>
      <c r="D3" s="363"/>
      <c r="E3" s="365"/>
      <c r="F3" s="333"/>
      <c r="G3" s="191" t="s">
        <v>65</v>
      </c>
      <c r="H3" s="350"/>
      <c r="I3" s="351"/>
      <c r="J3" s="257"/>
      <c r="K3" s="257"/>
    </row>
    <row r="4" spans="1:21" ht="17.45" customHeight="1">
      <c r="C4" s="322" t="s">
        <v>0</v>
      </c>
      <c r="D4" s="359" t="s">
        <v>66</v>
      </c>
      <c r="E4" s="361" t="s">
        <v>29</v>
      </c>
      <c r="F4" s="361" t="s">
        <v>87</v>
      </c>
      <c r="G4" s="324"/>
      <c r="H4" s="324"/>
      <c r="I4" s="361"/>
      <c r="J4" s="324"/>
      <c r="K4" s="324"/>
      <c r="L4" s="362" t="s">
        <v>23</v>
      </c>
      <c r="M4" s="362" t="s">
        <v>86</v>
      </c>
      <c r="N4" s="362"/>
      <c r="O4" s="362"/>
      <c r="P4" s="362"/>
      <c r="Q4" s="357" t="s">
        <v>83</v>
      </c>
      <c r="R4" s="358"/>
      <c r="S4" s="357" t="s">
        <v>85</v>
      </c>
      <c r="T4" s="358"/>
    </row>
    <row r="5" spans="1:21" ht="31.5" customHeight="1">
      <c r="C5" s="322"/>
      <c r="D5" s="360"/>
      <c r="E5" s="361"/>
      <c r="F5" s="194" t="s">
        <v>17</v>
      </c>
      <c r="G5" s="192" t="s">
        <v>19</v>
      </c>
      <c r="H5" s="228" t="s">
        <v>28</v>
      </c>
      <c r="I5" s="195" t="s">
        <v>20</v>
      </c>
      <c r="J5" s="192" t="s">
        <v>21</v>
      </c>
      <c r="K5" s="192" t="s">
        <v>22</v>
      </c>
      <c r="L5" s="362"/>
      <c r="M5" s="96" t="s">
        <v>60</v>
      </c>
      <c r="N5" s="216" t="s">
        <v>25</v>
      </c>
      <c r="O5" s="194" t="s">
        <v>26</v>
      </c>
      <c r="P5" s="195" t="s">
        <v>27</v>
      </c>
      <c r="Q5" s="193" t="s">
        <v>106</v>
      </c>
      <c r="R5" s="193" t="s">
        <v>84</v>
      </c>
      <c r="S5" s="193" t="s">
        <v>106</v>
      </c>
      <c r="T5" s="193" t="s">
        <v>84</v>
      </c>
    </row>
    <row r="6" spans="1:21">
      <c r="C6" s="193">
        <v>1</v>
      </c>
      <c r="D6" s="193">
        <v>2</v>
      </c>
      <c r="E6" s="193">
        <v>3</v>
      </c>
      <c r="F6" s="193">
        <v>4</v>
      </c>
      <c r="G6" s="192">
        <v>5</v>
      </c>
      <c r="H6" s="192">
        <v>6</v>
      </c>
      <c r="I6" s="195">
        <v>7</v>
      </c>
      <c r="J6" s="192">
        <v>8</v>
      </c>
      <c r="K6" s="192">
        <v>9</v>
      </c>
      <c r="L6" s="252">
        <v>10</v>
      </c>
      <c r="M6" s="195">
        <v>11</v>
      </c>
      <c r="N6" s="216">
        <v>12</v>
      </c>
      <c r="O6" s="193">
        <v>13</v>
      </c>
      <c r="P6" s="193">
        <v>14</v>
      </c>
      <c r="Q6" s="193">
        <v>15</v>
      </c>
      <c r="R6" s="193">
        <v>16</v>
      </c>
      <c r="S6" s="193">
        <v>17</v>
      </c>
      <c r="T6" s="193">
        <v>18</v>
      </c>
      <c r="U6" t="s">
        <v>34</v>
      </c>
    </row>
    <row r="7" spans="1:21">
      <c r="C7" s="66"/>
      <c r="D7" s="66"/>
      <c r="E7" s="211"/>
      <c r="F7" s="201"/>
      <c r="G7" s="202"/>
      <c r="H7" s="230"/>
      <c r="I7" s="203"/>
      <c r="J7" s="258"/>
      <c r="K7" s="258"/>
      <c r="L7" s="66"/>
      <c r="M7" s="203"/>
      <c r="N7" s="224"/>
      <c r="O7" s="201"/>
      <c r="P7" s="187"/>
      <c r="Q7" s="187"/>
      <c r="R7" s="187"/>
      <c r="S7" s="187"/>
      <c r="T7" s="187"/>
      <c r="U7" t="str">
        <f t="shared" ref="U7:U70" si="0">IF(D7="","","x")</f>
        <v/>
      </c>
    </row>
    <row r="8" spans="1:21">
      <c r="C8" s="67"/>
      <c r="D8" s="67"/>
      <c r="E8" s="212"/>
      <c r="F8" s="204"/>
      <c r="G8" s="205"/>
      <c r="H8" s="231"/>
      <c r="I8" s="206"/>
      <c r="J8" s="259"/>
      <c r="K8" s="259"/>
      <c r="L8" s="67"/>
      <c r="M8" s="206"/>
      <c r="N8" s="225"/>
      <c r="O8" s="204"/>
      <c r="P8" s="188"/>
      <c r="Q8" s="188"/>
      <c r="R8" s="188"/>
      <c r="S8" s="188"/>
      <c r="T8" s="188"/>
      <c r="U8" t="str">
        <f t="shared" si="0"/>
        <v/>
      </c>
    </row>
    <row r="9" spans="1:21" ht="52.5" customHeight="1">
      <c r="C9" s="67"/>
      <c r="D9" s="67"/>
      <c r="E9" s="213"/>
      <c r="F9" s="204"/>
      <c r="G9" s="205"/>
      <c r="H9" s="231"/>
      <c r="I9" s="206"/>
      <c r="J9" s="259"/>
      <c r="K9" s="259"/>
      <c r="L9" s="67"/>
      <c r="M9" s="206"/>
      <c r="N9" s="225"/>
      <c r="O9" s="204"/>
      <c r="P9" s="188"/>
      <c r="Q9" s="188"/>
      <c r="R9" s="188"/>
      <c r="S9" s="188"/>
      <c r="T9" s="188"/>
      <c r="U9" t="str">
        <f t="shared" si="0"/>
        <v/>
      </c>
    </row>
    <row r="10" spans="1:21" ht="51" customHeight="1">
      <c r="C10" s="67"/>
      <c r="D10" s="67"/>
      <c r="E10" s="213"/>
      <c r="F10" s="204"/>
      <c r="G10" s="205"/>
      <c r="H10" s="231"/>
      <c r="I10" s="206"/>
      <c r="J10" s="259"/>
      <c r="K10" s="259"/>
      <c r="L10" s="67"/>
      <c r="M10" s="206"/>
      <c r="N10" s="225"/>
      <c r="O10" s="204"/>
      <c r="P10" s="188"/>
      <c r="Q10" s="188"/>
      <c r="R10" s="188"/>
      <c r="S10" s="188"/>
      <c r="T10" s="188"/>
      <c r="U10" t="str">
        <f t="shared" si="0"/>
        <v/>
      </c>
    </row>
    <row r="11" spans="1:21" ht="49.5" customHeight="1">
      <c r="C11" s="67"/>
      <c r="D11" s="67"/>
      <c r="E11" s="213"/>
      <c r="F11" s="204"/>
      <c r="G11" s="205"/>
      <c r="H11" s="231"/>
      <c r="I11" s="206"/>
      <c r="J11" s="259"/>
      <c r="K11" s="259"/>
      <c r="L11" s="67"/>
      <c r="M11" s="206"/>
      <c r="N11" s="225"/>
      <c r="O11" s="204"/>
      <c r="P11" s="188"/>
      <c r="Q11" s="188"/>
      <c r="R11" s="188"/>
      <c r="S11" s="188"/>
      <c r="T11" s="188"/>
      <c r="U11" t="str">
        <f t="shared" si="0"/>
        <v/>
      </c>
    </row>
    <row r="12" spans="1:21" ht="59.25" customHeight="1">
      <c r="C12" s="67"/>
      <c r="D12" s="67"/>
      <c r="E12" s="213"/>
      <c r="F12" s="204"/>
      <c r="G12" s="205"/>
      <c r="H12" s="231"/>
      <c r="I12" s="206"/>
      <c r="J12" s="259"/>
      <c r="K12" s="259"/>
      <c r="L12" s="67"/>
      <c r="M12" s="206"/>
      <c r="N12" s="225"/>
      <c r="O12" s="204"/>
      <c r="P12" s="188"/>
      <c r="Q12" s="188"/>
      <c r="R12" s="188"/>
      <c r="S12" s="188"/>
      <c r="T12" s="188"/>
      <c r="U12" t="str">
        <f t="shared" si="0"/>
        <v/>
      </c>
    </row>
    <row r="13" spans="1:21" ht="74.25" hidden="1" customHeight="1">
      <c r="C13" s="67">
        <v>7</v>
      </c>
      <c r="D13" s="67" t="s">
        <v>174</v>
      </c>
      <c r="E13" s="213">
        <v>44207</v>
      </c>
      <c r="F13" s="204" t="s">
        <v>5</v>
      </c>
      <c r="G13" s="205" t="s">
        <v>172</v>
      </c>
      <c r="H13" s="231">
        <v>44204</v>
      </c>
      <c r="I13" s="206" t="s">
        <v>173</v>
      </c>
      <c r="J13" s="259" t="s">
        <v>164</v>
      </c>
      <c r="K13" s="259" t="s">
        <v>169</v>
      </c>
      <c r="L13" s="67" t="s">
        <v>3</v>
      </c>
      <c r="M13" s="206"/>
      <c r="N13" s="225"/>
      <c r="O13" s="204"/>
      <c r="P13" s="188"/>
      <c r="Q13" s="188"/>
      <c r="R13" s="188"/>
      <c r="S13" s="188"/>
      <c r="T13" s="188"/>
      <c r="U13" t="str">
        <f t="shared" si="0"/>
        <v>x</v>
      </c>
    </row>
    <row r="14" spans="1:21" hidden="1">
      <c r="C14" s="67">
        <v>8</v>
      </c>
      <c r="D14" s="67"/>
      <c r="E14" s="213"/>
      <c r="F14" s="204"/>
      <c r="G14" s="205"/>
      <c r="H14" s="231"/>
      <c r="I14" s="206"/>
      <c r="J14" s="188"/>
      <c r="K14" s="205"/>
      <c r="L14" s="188"/>
      <c r="M14" s="206"/>
      <c r="N14" s="225"/>
      <c r="O14" s="204"/>
      <c r="P14" s="188"/>
      <c r="Q14" s="188"/>
      <c r="R14" s="188"/>
      <c r="S14" s="188"/>
      <c r="T14" s="188"/>
      <c r="U14" t="str">
        <f t="shared" si="0"/>
        <v/>
      </c>
    </row>
    <row r="15" spans="1:21" ht="50.25" hidden="1" customHeight="1">
      <c r="C15" s="67">
        <v>9</v>
      </c>
      <c r="D15" s="67"/>
      <c r="E15" s="213"/>
      <c r="F15" s="204"/>
      <c r="G15" s="205"/>
      <c r="H15" s="231"/>
      <c r="I15" s="206"/>
      <c r="J15" s="188"/>
      <c r="K15" s="205"/>
      <c r="L15" s="188"/>
      <c r="M15" s="206"/>
      <c r="N15" s="225"/>
      <c r="O15" s="204"/>
      <c r="P15" s="188"/>
      <c r="Q15" s="188"/>
      <c r="R15" s="188"/>
      <c r="S15" s="188"/>
      <c r="T15" s="188"/>
      <c r="U15" t="str">
        <f t="shared" si="0"/>
        <v/>
      </c>
    </row>
    <row r="16" spans="1:21" hidden="1">
      <c r="B16" s="2"/>
      <c r="C16" s="67">
        <v>10</v>
      </c>
      <c r="D16" s="67"/>
      <c r="E16" s="213"/>
      <c r="F16" s="204"/>
      <c r="G16" s="205"/>
      <c r="H16" s="212"/>
      <c r="I16" s="206"/>
      <c r="J16" s="188"/>
      <c r="K16" s="188"/>
      <c r="L16" s="188"/>
      <c r="M16" s="206"/>
      <c r="N16" s="225"/>
      <c r="O16" s="204"/>
      <c r="P16" s="188"/>
      <c r="Q16" s="188"/>
      <c r="R16" s="188"/>
      <c r="S16" s="188"/>
      <c r="T16" s="188"/>
      <c r="U16" t="str">
        <f t="shared" si="0"/>
        <v/>
      </c>
    </row>
    <row r="17" spans="3:21" customFormat="1" hidden="1">
      <c r="C17" s="6">
        <v>11</v>
      </c>
      <c r="D17" s="6"/>
      <c r="E17" s="98"/>
      <c r="F17" s="3"/>
      <c r="G17" s="6"/>
      <c r="H17" s="3"/>
      <c r="I17" s="6"/>
      <c r="J17" s="6"/>
      <c r="K17" s="6"/>
      <c r="L17" s="6"/>
      <c r="M17" s="6"/>
      <c r="N17" s="6"/>
      <c r="O17" s="3"/>
      <c r="P17" s="6"/>
      <c r="Q17" s="6"/>
      <c r="R17" s="6"/>
      <c r="S17" s="6"/>
      <c r="T17" s="6"/>
      <c r="U17" t="str">
        <f t="shared" si="0"/>
        <v/>
      </c>
    </row>
    <row r="18" spans="3:21" customFormat="1" hidden="1">
      <c r="C18" s="6">
        <v>12</v>
      </c>
      <c r="D18" s="6"/>
      <c r="E18" s="98"/>
      <c r="F18" s="3"/>
      <c r="G18" s="6"/>
      <c r="H18" s="3"/>
      <c r="I18" s="6"/>
      <c r="J18" s="6"/>
      <c r="K18" s="6"/>
      <c r="L18" s="6"/>
      <c r="M18" s="6"/>
      <c r="N18" s="6"/>
      <c r="O18" s="3"/>
      <c r="P18" s="6"/>
      <c r="Q18" s="6"/>
      <c r="R18" s="6"/>
      <c r="S18" s="6"/>
      <c r="T18" s="6"/>
      <c r="U18" t="str">
        <f t="shared" si="0"/>
        <v/>
      </c>
    </row>
    <row r="19" spans="3:21" customFormat="1" hidden="1">
      <c r="C19" s="6">
        <v>13</v>
      </c>
      <c r="D19" s="6"/>
      <c r="E19" s="98"/>
      <c r="F19" s="3"/>
      <c r="G19" s="6"/>
      <c r="H19" s="3"/>
      <c r="I19" s="6"/>
      <c r="J19" s="6"/>
      <c r="K19" s="6"/>
      <c r="L19" s="6"/>
      <c r="M19" s="6"/>
      <c r="N19" s="6"/>
      <c r="O19" s="3"/>
      <c r="P19" s="6"/>
      <c r="Q19" s="6"/>
      <c r="R19" s="6"/>
      <c r="S19" s="6"/>
      <c r="T19" s="6"/>
      <c r="U19" t="str">
        <f t="shared" si="0"/>
        <v/>
      </c>
    </row>
    <row r="20" spans="3:21" customFormat="1" hidden="1">
      <c r="C20" s="6">
        <v>14</v>
      </c>
      <c r="D20" s="6"/>
      <c r="E20" s="98"/>
      <c r="F20" s="3"/>
      <c r="G20" s="6"/>
      <c r="H20" s="3"/>
      <c r="I20" s="6"/>
      <c r="J20" s="6"/>
      <c r="K20" s="6"/>
      <c r="L20" s="6"/>
      <c r="M20" s="6"/>
      <c r="N20" s="6"/>
      <c r="O20" s="3"/>
      <c r="P20" s="6"/>
      <c r="Q20" s="6"/>
      <c r="R20" s="6"/>
      <c r="S20" s="6"/>
      <c r="T20" s="6"/>
      <c r="U20" t="str">
        <f t="shared" si="0"/>
        <v/>
      </c>
    </row>
    <row r="21" spans="3:21" customFormat="1" hidden="1">
      <c r="C21" s="6">
        <v>15</v>
      </c>
      <c r="D21" s="6"/>
      <c r="E21" s="98"/>
      <c r="F21" s="3"/>
      <c r="G21" s="6"/>
      <c r="H21" s="3"/>
      <c r="I21" s="6"/>
      <c r="J21" s="6"/>
      <c r="K21" s="6"/>
      <c r="L21" s="6"/>
      <c r="M21" s="6"/>
      <c r="N21" s="6"/>
      <c r="O21" s="3"/>
      <c r="P21" s="6"/>
      <c r="Q21" s="6"/>
      <c r="R21" s="6"/>
      <c r="S21" s="6"/>
      <c r="T21" s="6"/>
      <c r="U21" t="str">
        <f t="shared" si="0"/>
        <v/>
      </c>
    </row>
    <row r="22" spans="3:21" customFormat="1" hidden="1">
      <c r="C22" s="6">
        <v>16</v>
      </c>
      <c r="D22" s="6"/>
      <c r="E22" s="98"/>
      <c r="F22" s="3"/>
      <c r="G22" s="6"/>
      <c r="H22" s="3"/>
      <c r="I22" s="6"/>
      <c r="J22" s="6"/>
      <c r="K22" s="6"/>
      <c r="L22" s="6"/>
      <c r="M22" s="6"/>
      <c r="N22" s="6"/>
      <c r="O22" s="3"/>
      <c r="P22" s="6"/>
      <c r="Q22" s="6"/>
      <c r="R22" s="6"/>
      <c r="S22" s="6"/>
      <c r="T22" s="6"/>
      <c r="U22" t="str">
        <f t="shared" si="0"/>
        <v/>
      </c>
    </row>
    <row r="23" spans="3:21" customFormat="1" hidden="1">
      <c r="C23" s="6"/>
      <c r="D23" s="6"/>
      <c r="E23" s="98"/>
      <c r="F23" s="3"/>
      <c r="G23" s="6"/>
      <c r="H23" s="3"/>
      <c r="I23" s="6"/>
      <c r="J23" s="6"/>
      <c r="K23" s="6"/>
      <c r="L23" s="6"/>
      <c r="M23" s="6"/>
      <c r="N23" s="6"/>
      <c r="O23" s="3"/>
      <c r="P23" s="6"/>
      <c r="Q23" s="6"/>
      <c r="R23" s="6"/>
      <c r="S23" s="6"/>
      <c r="T23" s="6"/>
      <c r="U23" t="str">
        <f t="shared" si="0"/>
        <v/>
      </c>
    </row>
    <row r="24" spans="3:21" customFormat="1" hidden="1">
      <c r="C24" s="6"/>
      <c r="D24" s="6"/>
      <c r="E24" s="98"/>
      <c r="F24" s="3"/>
      <c r="G24" s="6"/>
      <c r="H24" s="3"/>
      <c r="I24" s="6"/>
      <c r="J24" s="6"/>
      <c r="K24" s="6"/>
      <c r="L24" s="6"/>
      <c r="M24" s="6"/>
      <c r="N24" s="6"/>
      <c r="O24" s="3"/>
      <c r="P24" s="6"/>
      <c r="Q24" s="6"/>
      <c r="R24" s="6"/>
      <c r="S24" s="6"/>
      <c r="T24" s="6"/>
      <c r="U24" t="str">
        <f t="shared" si="0"/>
        <v/>
      </c>
    </row>
    <row r="25" spans="3:21" customFormat="1" hidden="1">
      <c r="C25" s="6"/>
      <c r="D25" s="6"/>
      <c r="E25" s="98"/>
      <c r="F25" s="3"/>
      <c r="G25" s="6"/>
      <c r="H25" s="3"/>
      <c r="I25" s="6"/>
      <c r="J25" s="6"/>
      <c r="K25" s="6"/>
      <c r="L25" s="6"/>
      <c r="M25" s="6"/>
      <c r="N25" s="6"/>
      <c r="O25" s="3"/>
      <c r="P25" s="6"/>
      <c r="Q25" s="6"/>
      <c r="R25" s="6"/>
      <c r="S25" s="6"/>
      <c r="T25" s="6"/>
      <c r="U25" t="str">
        <f t="shared" si="0"/>
        <v/>
      </c>
    </row>
    <row r="26" spans="3:21" customFormat="1" hidden="1">
      <c r="C26" s="6"/>
      <c r="D26" s="6"/>
      <c r="E26" s="98"/>
      <c r="F26" s="3"/>
      <c r="G26" s="6"/>
      <c r="H26" s="3"/>
      <c r="I26" s="6"/>
      <c r="J26" s="6"/>
      <c r="K26" s="6"/>
      <c r="L26" s="6"/>
      <c r="M26" s="6"/>
      <c r="N26" s="6"/>
      <c r="O26" s="3"/>
      <c r="P26" s="6"/>
      <c r="Q26" s="6"/>
      <c r="R26" s="6"/>
      <c r="S26" s="6"/>
      <c r="T26" s="6"/>
      <c r="U26" t="str">
        <f t="shared" si="0"/>
        <v/>
      </c>
    </row>
    <row r="27" spans="3:21" customFormat="1" hidden="1">
      <c r="C27" s="6"/>
      <c r="D27" s="6"/>
      <c r="E27" s="98"/>
      <c r="F27" s="3"/>
      <c r="G27" s="6"/>
      <c r="H27" s="3"/>
      <c r="I27" s="6"/>
      <c r="J27" s="6"/>
      <c r="K27" s="6"/>
      <c r="L27" s="6"/>
      <c r="M27" s="6"/>
      <c r="N27" s="6"/>
      <c r="O27" s="3"/>
      <c r="P27" s="6"/>
      <c r="Q27" s="6"/>
      <c r="R27" s="6"/>
      <c r="S27" s="6"/>
      <c r="T27" s="6"/>
      <c r="U27" t="str">
        <f t="shared" si="0"/>
        <v/>
      </c>
    </row>
    <row r="28" spans="3:21" customFormat="1" hidden="1">
      <c r="C28" s="6"/>
      <c r="D28" s="6"/>
      <c r="E28" s="98"/>
      <c r="F28" s="3"/>
      <c r="G28" s="6"/>
      <c r="H28" s="3"/>
      <c r="I28" s="6"/>
      <c r="J28" s="6"/>
      <c r="K28" s="6"/>
      <c r="L28" s="6"/>
      <c r="M28" s="6"/>
      <c r="N28" s="6"/>
      <c r="O28" s="3"/>
      <c r="P28" s="6"/>
      <c r="Q28" s="6"/>
      <c r="R28" s="6"/>
      <c r="S28" s="6"/>
      <c r="T28" s="6"/>
      <c r="U28" t="str">
        <f t="shared" si="0"/>
        <v/>
      </c>
    </row>
    <row r="29" spans="3:21" customFormat="1" hidden="1">
      <c r="C29" s="6"/>
      <c r="D29" s="6"/>
      <c r="E29" s="98"/>
      <c r="F29" s="3"/>
      <c r="G29" s="6"/>
      <c r="H29" s="3"/>
      <c r="I29" s="6"/>
      <c r="J29" s="6"/>
      <c r="K29" s="6"/>
      <c r="L29" s="6"/>
      <c r="M29" s="6"/>
      <c r="N29" s="6"/>
      <c r="O29" s="3"/>
      <c r="P29" s="6"/>
      <c r="Q29" s="6"/>
      <c r="R29" s="6"/>
      <c r="S29" s="6"/>
      <c r="T29" s="6"/>
      <c r="U29" t="str">
        <f t="shared" si="0"/>
        <v/>
      </c>
    </row>
    <row r="30" spans="3:21" customFormat="1" hidden="1">
      <c r="C30" s="6"/>
      <c r="D30" s="6"/>
      <c r="E30" s="98"/>
      <c r="F30" s="3"/>
      <c r="G30" s="6"/>
      <c r="H30" s="3"/>
      <c r="I30" s="6"/>
      <c r="J30" s="6"/>
      <c r="K30" s="6"/>
      <c r="L30" s="6"/>
      <c r="M30" s="6"/>
      <c r="N30" s="6"/>
      <c r="O30" s="3"/>
      <c r="P30" s="6"/>
      <c r="Q30" s="6"/>
      <c r="R30" s="6"/>
      <c r="S30" s="6"/>
      <c r="T30" s="6"/>
      <c r="U30" t="str">
        <f t="shared" si="0"/>
        <v/>
      </c>
    </row>
    <row r="31" spans="3:21" customFormat="1" hidden="1">
      <c r="C31" s="6"/>
      <c r="D31" s="6"/>
      <c r="E31" s="98"/>
      <c r="F31" s="3"/>
      <c r="G31" s="6"/>
      <c r="H31" s="3"/>
      <c r="I31" s="6"/>
      <c r="J31" s="6"/>
      <c r="K31" s="6"/>
      <c r="L31" s="6"/>
      <c r="M31" s="6"/>
      <c r="N31" s="6"/>
      <c r="O31" s="3"/>
      <c r="P31" s="6"/>
      <c r="Q31" s="6"/>
      <c r="R31" s="6"/>
      <c r="S31" s="6"/>
      <c r="T31" s="6"/>
      <c r="U31" t="str">
        <f t="shared" si="0"/>
        <v/>
      </c>
    </row>
    <row r="32" spans="3:21" customFormat="1" hidden="1">
      <c r="C32" s="6"/>
      <c r="D32" s="6"/>
      <c r="E32" s="98"/>
      <c r="F32" s="3"/>
      <c r="G32" s="6"/>
      <c r="H32" s="3"/>
      <c r="I32" s="6"/>
      <c r="J32" s="6"/>
      <c r="K32" s="6"/>
      <c r="L32" s="6"/>
      <c r="M32" s="6"/>
      <c r="N32" s="6"/>
      <c r="O32" s="3"/>
      <c r="P32" s="6"/>
      <c r="Q32" s="6"/>
      <c r="R32" s="6"/>
      <c r="S32" s="6"/>
      <c r="T32" s="6"/>
      <c r="U32" t="str">
        <f t="shared" si="0"/>
        <v/>
      </c>
    </row>
    <row r="33" spans="3:21" customFormat="1" hidden="1">
      <c r="C33" s="6"/>
      <c r="D33" s="6"/>
      <c r="E33" s="98"/>
      <c r="F33" s="3"/>
      <c r="G33" s="6"/>
      <c r="H33" s="3"/>
      <c r="I33" s="6"/>
      <c r="J33" s="6"/>
      <c r="K33" s="6"/>
      <c r="L33" s="6"/>
      <c r="M33" s="6"/>
      <c r="N33" s="6"/>
      <c r="O33" s="3"/>
      <c r="P33" s="6"/>
      <c r="Q33" s="6"/>
      <c r="R33" s="6"/>
      <c r="S33" s="6"/>
      <c r="T33" s="6"/>
      <c r="U33" t="str">
        <f t="shared" si="0"/>
        <v/>
      </c>
    </row>
    <row r="34" spans="3:21" customFormat="1" hidden="1">
      <c r="C34" s="6"/>
      <c r="D34" s="6"/>
      <c r="E34" s="98"/>
      <c r="F34" s="3"/>
      <c r="G34" s="6"/>
      <c r="H34" s="3"/>
      <c r="I34" s="6"/>
      <c r="J34" s="6"/>
      <c r="K34" s="6"/>
      <c r="L34" s="6"/>
      <c r="M34" s="6"/>
      <c r="N34" s="6"/>
      <c r="O34" s="3"/>
      <c r="P34" s="6"/>
      <c r="Q34" s="6"/>
      <c r="R34" s="6"/>
      <c r="S34" s="6"/>
      <c r="T34" s="6"/>
      <c r="U34" t="str">
        <f t="shared" si="0"/>
        <v/>
      </c>
    </row>
    <row r="35" spans="3:21" customFormat="1" hidden="1">
      <c r="C35" s="6"/>
      <c r="D35" s="6"/>
      <c r="E35" s="98"/>
      <c r="F35" s="3"/>
      <c r="G35" s="6"/>
      <c r="H35" s="3"/>
      <c r="I35" s="6"/>
      <c r="J35" s="6"/>
      <c r="K35" s="6"/>
      <c r="L35" s="6"/>
      <c r="M35" s="6"/>
      <c r="N35" s="6"/>
      <c r="O35" s="3"/>
      <c r="P35" s="6"/>
      <c r="Q35" s="6"/>
      <c r="R35" s="6"/>
      <c r="S35" s="6"/>
      <c r="T35" s="6"/>
      <c r="U35" t="str">
        <f t="shared" si="0"/>
        <v/>
      </c>
    </row>
    <row r="36" spans="3:21" customFormat="1" hidden="1">
      <c r="C36" s="6"/>
      <c r="D36" s="6"/>
      <c r="E36" s="98"/>
      <c r="F36" s="3"/>
      <c r="G36" s="6"/>
      <c r="H36" s="3"/>
      <c r="I36" s="6"/>
      <c r="J36" s="6"/>
      <c r="K36" s="6"/>
      <c r="L36" s="6"/>
      <c r="M36" s="6"/>
      <c r="N36" s="6"/>
      <c r="O36" s="3"/>
      <c r="P36" s="6"/>
      <c r="Q36" s="6"/>
      <c r="R36" s="6"/>
      <c r="S36" s="6"/>
      <c r="T36" s="6"/>
      <c r="U36" t="str">
        <f t="shared" si="0"/>
        <v/>
      </c>
    </row>
    <row r="37" spans="3:21" customFormat="1" hidden="1">
      <c r="C37" s="6"/>
      <c r="D37" s="6"/>
      <c r="E37" s="98"/>
      <c r="F37" s="3"/>
      <c r="G37" s="6"/>
      <c r="H37" s="3"/>
      <c r="I37" s="6"/>
      <c r="J37" s="6"/>
      <c r="K37" s="6"/>
      <c r="L37" s="6"/>
      <c r="M37" s="6"/>
      <c r="N37" s="6"/>
      <c r="O37" s="3"/>
      <c r="P37" s="6"/>
      <c r="Q37" s="6"/>
      <c r="R37" s="6"/>
      <c r="S37" s="6"/>
      <c r="T37" s="6"/>
      <c r="U37" t="str">
        <f t="shared" si="0"/>
        <v/>
      </c>
    </row>
    <row r="38" spans="3:21" customFormat="1" hidden="1">
      <c r="C38" s="6"/>
      <c r="D38" s="6"/>
      <c r="E38" s="98"/>
      <c r="F38" s="3"/>
      <c r="G38" s="6"/>
      <c r="H38" s="3"/>
      <c r="I38" s="6"/>
      <c r="J38" s="6"/>
      <c r="K38" s="6"/>
      <c r="L38" s="6"/>
      <c r="M38" s="6"/>
      <c r="N38" s="6"/>
      <c r="O38" s="3"/>
      <c r="P38" s="6"/>
      <c r="Q38" s="6"/>
      <c r="R38" s="6"/>
      <c r="S38" s="6"/>
      <c r="T38" s="6"/>
      <c r="U38" t="str">
        <f t="shared" si="0"/>
        <v/>
      </c>
    </row>
    <row r="39" spans="3:21" customFormat="1" hidden="1">
      <c r="C39" s="6"/>
      <c r="D39" s="6"/>
      <c r="E39" s="98"/>
      <c r="F39" s="3"/>
      <c r="G39" s="6"/>
      <c r="H39" s="3"/>
      <c r="I39" s="6"/>
      <c r="J39" s="6"/>
      <c r="K39" s="6"/>
      <c r="L39" s="6"/>
      <c r="M39" s="6"/>
      <c r="N39" s="6"/>
      <c r="O39" s="3"/>
      <c r="P39" s="6"/>
      <c r="Q39" s="6"/>
      <c r="R39" s="6"/>
      <c r="S39" s="6"/>
      <c r="T39" s="6"/>
      <c r="U39" t="str">
        <f t="shared" si="0"/>
        <v/>
      </c>
    </row>
    <row r="40" spans="3:21" customFormat="1" hidden="1">
      <c r="C40" s="6"/>
      <c r="D40" s="6"/>
      <c r="E40" s="98"/>
      <c r="F40" s="3"/>
      <c r="G40" s="6"/>
      <c r="H40" s="3"/>
      <c r="I40" s="6"/>
      <c r="J40" s="6"/>
      <c r="K40" s="6"/>
      <c r="L40" s="6"/>
      <c r="M40" s="6"/>
      <c r="N40" s="6"/>
      <c r="O40" s="3"/>
      <c r="P40" s="6"/>
      <c r="Q40" s="6"/>
      <c r="R40" s="6"/>
      <c r="S40" s="6"/>
      <c r="T40" s="6"/>
      <c r="U40" t="str">
        <f t="shared" si="0"/>
        <v/>
      </c>
    </row>
    <row r="41" spans="3:21" customFormat="1" hidden="1">
      <c r="C41" s="6"/>
      <c r="D41" s="6"/>
      <c r="E41" s="98"/>
      <c r="F41" s="3"/>
      <c r="G41" s="6"/>
      <c r="H41" s="3"/>
      <c r="I41" s="6"/>
      <c r="J41" s="6"/>
      <c r="K41" s="6"/>
      <c r="L41" s="6"/>
      <c r="M41" s="6"/>
      <c r="N41" s="6"/>
      <c r="O41" s="3"/>
      <c r="P41" s="6"/>
      <c r="Q41" s="6"/>
      <c r="R41" s="6"/>
      <c r="S41" s="6"/>
      <c r="T41" s="6"/>
      <c r="U41" t="str">
        <f t="shared" si="0"/>
        <v/>
      </c>
    </row>
    <row r="42" spans="3:21" customFormat="1" hidden="1">
      <c r="C42" s="6"/>
      <c r="D42" s="6"/>
      <c r="E42" s="98"/>
      <c r="F42" s="3"/>
      <c r="G42" s="6"/>
      <c r="H42" s="3"/>
      <c r="I42" s="6"/>
      <c r="J42" s="6"/>
      <c r="K42" s="6"/>
      <c r="L42" s="6"/>
      <c r="M42" s="6"/>
      <c r="N42" s="6"/>
      <c r="O42" s="3"/>
      <c r="P42" s="6"/>
      <c r="Q42" s="6"/>
      <c r="R42" s="6"/>
      <c r="S42" s="6"/>
      <c r="T42" s="6"/>
      <c r="U42" t="str">
        <f t="shared" si="0"/>
        <v/>
      </c>
    </row>
    <row r="43" spans="3:21" customFormat="1" hidden="1">
      <c r="C43" s="6"/>
      <c r="D43" s="6"/>
      <c r="E43" s="98"/>
      <c r="F43" s="3"/>
      <c r="G43" s="6"/>
      <c r="H43" s="3"/>
      <c r="I43" s="6"/>
      <c r="J43" s="6"/>
      <c r="K43" s="6"/>
      <c r="L43" s="6"/>
      <c r="M43" s="6"/>
      <c r="N43" s="6"/>
      <c r="O43" s="3"/>
      <c r="P43" s="6"/>
      <c r="Q43" s="6"/>
      <c r="R43" s="6"/>
      <c r="S43" s="6"/>
      <c r="T43" s="6"/>
      <c r="U43" t="str">
        <f t="shared" si="0"/>
        <v/>
      </c>
    </row>
    <row r="44" spans="3:21" customFormat="1" hidden="1">
      <c r="C44" s="6"/>
      <c r="D44" s="6"/>
      <c r="E44" s="98"/>
      <c r="F44" s="3"/>
      <c r="G44" s="6"/>
      <c r="H44" s="3"/>
      <c r="I44" s="6"/>
      <c r="J44" s="6"/>
      <c r="K44" s="6"/>
      <c r="L44" s="6"/>
      <c r="M44" s="6"/>
      <c r="N44" s="6"/>
      <c r="O44" s="3"/>
      <c r="P44" s="6"/>
      <c r="Q44" s="6"/>
      <c r="R44" s="6"/>
      <c r="S44" s="6"/>
      <c r="T44" s="6"/>
      <c r="U44" t="str">
        <f t="shared" si="0"/>
        <v/>
      </c>
    </row>
    <row r="45" spans="3:21" customFormat="1" hidden="1">
      <c r="C45" s="6"/>
      <c r="D45" s="6"/>
      <c r="E45" s="98"/>
      <c r="F45" s="3"/>
      <c r="G45" s="6"/>
      <c r="H45" s="3"/>
      <c r="I45" s="6"/>
      <c r="J45" s="6"/>
      <c r="K45" s="6"/>
      <c r="L45" s="6"/>
      <c r="M45" s="6"/>
      <c r="N45" s="6"/>
      <c r="O45" s="3"/>
      <c r="P45" s="6"/>
      <c r="Q45" s="6"/>
      <c r="R45" s="6"/>
      <c r="S45" s="6"/>
      <c r="T45" s="6"/>
      <c r="U45" t="str">
        <f t="shared" si="0"/>
        <v/>
      </c>
    </row>
    <row r="46" spans="3:21" customFormat="1" hidden="1">
      <c r="C46" s="6"/>
      <c r="D46" s="6"/>
      <c r="E46" s="98"/>
      <c r="F46" s="3"/>
      <c r="G46" s="6"/>
      <c r="H46" s="3"/>
      <c r="I46" s="6"/>
      <c r="J46" s="6"/>
      <c r="K46" s="6"/>
      <c r="L46" s="6"/>
      <c r="M46" s="6"/>
      <c r="N46" s="6"/>
      <c r="O46" s="3"/>
      <c r="P46" s="6"/>
      <c r="Q46" s="6"/>
      <c r="R46" s="6"/>
      <c r="S46" s="6"/>
      <c r="T46" s="6"/>
      <c r="U46" t="str">
        <f t="shared" si="0"/>
        <v/>
      </c>
    </row>
    <row r="47" spans="3:21" customFormat="1" hidden="1">
      <c r="C47" s="6"/>
      <c r="D47" s="6"/>
      <c r="E47" s="98"/>
      <c r="F47" s="3"/>
      <c r="G47" s="6"/>
      <c r="H47" s="3"/>
      <c r="I47" s="6"/>
      <c r="J47" s="6"/>
      <c r="K47" s="6"/>
      <c r="L47" s="6"/>
      <c r="M47" s="6"/>
      <c r="N47" s="6"/>
      <c r="O47" s="3"/>
      <c r="P47" s="6"/>
      <c r="Q47" s="6"/>
      <c r="R47" s="6"/>
      <c r="S47" s="6"/>
      <c r="T47" s="6"/>
      <c r="U47" t="str">
        <f t="shared" si="0"/>
        <v/>
      </c>
    </row>
    <row r="48" spans="3:21" customFormat="1" hidden="1">
      <c r="C48" s="6"/>
      <c r="D48" s="6"/>
      <c r="E48" s="98"/>
      <c r="F48" s="3"/>
      <c r="G48" s="6"/>
      <c r="H48" s="3"/>
      <c r="I48" s="6"/>
      <c r="J48" s="6"/>
      <c r="K48" s="6"/>
      <c r="L48" s="6"/>
      <c r="M48" s="6"/>
      <c r="N48" s="6"/>
      <c r="O48" s="3"/>
      <c r="P48" s="6"/>
      <c r="Q48" s="6"/>
      <c r="R48" s="6"/>
      <c r="S48" s="6"/>
      <c r="T48" s="6"/>
      <c r="U48" t="str">
        <f t="shared" si="0"/>
        <v/>
      </c>
    </row>
    <row r="49" spans="3:21" customFormat="1" hidden="1">
      <c r="C49" s="6"/>
      <c r="D49" s="6"/>
      <c r="E49" s="98"/>
      <c r="F49" s="3"/>
      <c r="G49" s="6"/>
      <c r="H49" s="3"/>
      <c r="I49" s="6"/>
      <c r="J49" s="6"/>
      <c r="K49" s="6"/>
      <c r="L49" s="6"/>
      <c r="M49" s="6"/>
      <c r="N49" s="6"/>
      <c r="O49" s="3"/>
      <c r="P49" s="6"/>
      <c r="Q49" s="6"/>
      <c r="R49" s="6"/>
      <c r="S49" s="6"/>
      <c r="T49" s="6"/>
      <c r="U49" t="str">
        <f t="shared" si="0"/>
        <v/>
      </c>
    </row>
    <row r="50" spans="3:21" customFormat="1" hidden="1">
      <c r="C50" s="6"/>
      <c r="D50" s="6"/>
      <c r="E50" s="98"/>
      <c r="F50" s="3"/>
      <c r="G50" s="6"/>
      <c r="H50" s="3"/>
      <c r="I50" s="6"/>
      <c r="J50" s="6"/>
      <c r="K50" s="6"/>
      <c r="L50" s="6"/>
      <c r="M50" s="6"/>
      <c r="N50" s="6"/>
      <c r="O50" s="3"/>
      <c r="P50" s="6"/>
      <c r="Q50" s="6"/>
      <c r="R50" s="6"/>
      <c r="S50" s="6"/>
      <c r="T50" s="6"/>
      <c r="U50" t="str">
        <f t="shared" si="0"/>
        <v/>
      </c>
    </row>
    <row r="51" spans="3:21" customFormat="1" hidden="1">
      <c r="C51" s="6"/>
      <c r="D51" s="6"/>
      <c r="E51" s="98"/>
      <c r="F51" s="3"/>
      <c r="G51" s="6"/>
      <c r="H51" s="3"/>
      <c r="I51" s="6"/>
      <c r="J51" s="6"/>
      <c r="K51" s="6"/>
      <c r="L51" s="6"/>
      <c r="M51" s="6"/>
      <c r="N51" s="6"/>
      <c r="O51" s="3"/>
      <c r="P51" s="6"/>
      <c r="Q51" s="6"/>
      <c r="R51" s="6"/>
      <c r="S51" s="6"/>
      <c r="T51" s="6"/>
      <c r="U51" t="str">
        <f t="shared" si="0"/>
        <v/>
      </c>
    </row>
    <row r="52" spans="3:21" customFormat="1" hidden="1">
      <c r="C52" s="6"/>
      <c r="D52" s="6"/>
      <c r="E52" s="98"/>
      <c r="F52" s="3"/>
      <c r="G52" s="6"/>
      <c r="H52" s="3"/>
      <c r="I52" s="6"/>
      <c r="J52" s="6"/>
      <c r="K52" s="6"/>
      <c r="L52" s="6"/>
      <c r="M52" s="6"/>
      <c r="N52" s="6"/>
      <c r="O52" s="3"/>
      <c r="P52" s="6"/>
      <c r="Q52" s="6"/>
      <c r="R52" s="6"/>
      <c r="S52" s="6"/>
      <c r="T52" s="6"/>
      <c r="U52" t="str">
        <f t="shared" si="0"/>
        <v/>
      </c>
    </row>
    <row r="53" spans="3:21" customFormat="1" hidden="1">
      <c r="C53" s="6"/>
      <c r="D53" s="6"/>
      <c r="E53" s="98"/>
      <c r="F53" s="3"/>
      <c r="G53" s="6"/>
      <c r="H53" s="3"/>
      <c r="I53" s="6"/>
      <c r="J53" s="6"/>
      <c r="K53" s="6"/>
      <c r="L53" s="6"/>
      <c r="M53" s="6"/>
      <c r="N53" s="6"/>
      <c r="O53" s="3"/>
      <c r="P53" s="6"/>
      <c r="Q53" s="6"/>
      <c r="R53" s="6"/>
      <c r="S53" s="6"/>
      <c r="T53" s="6"/>
      <c r="U53" t="str">
        <f t="shared" si="0"/>
        <v/>
      </c>
    </row>
    <row r="54" spans="3:21" customFormat="1" hidden="1">
      <c r="C54" s="6"/>
      <c r="D54" s="6"/>
      <c r="E54" s="98"/>
      <c r="F54" s="3"/>
      <c r="G54" s="6"/>
      <c r="H54" s="3"/>
      <c r="I54" s="6"/>
      <c r="J54" s="6"/>
      <c r="K54" s="6"/>
      <c r="L54" s="6"/>
      <c r="M54" s="6"/>
      <c r="N54" s="6"/>
      <c r="O54" s="3"/>
      <c r="P54" s="6"/>
      <c r="Q54" s="6"/>
      <c r="R54" s="6"/>
      <c r="S54" s="6"/>
      <c r="T54" s="6"/>
      <c r="U54" t="str">
        <f t="shared" si="0"/>
        <v/>
      </c>
    </row>
    <row r="55" spans="3:21" customFormat="1" hidden="1">
      <c r="C55" s="6"/>
      <c r="D55" s="6"/>
      <c r="E55" s="98"/>
      <c r="F55" s="3"/>
      <c r="G55" s="6"/>
      <c r="H55" s="3"/>
      <c r="I55" s="6"/>
      <c r="J55" s="6"/>
      <c r="K55" s="6"/>
      <c r="L55" s="6"/>
      <c r="M55" s="6"/>
      <c r="N55" s="6"/>
      <c r="O55" s="3"/>
      <c r="P55" s="6"/>
      <c r="Q55" s="6"/>
      <c r="R55" s="6"/>
      <c r="S55" s="6"/>
      <c r="T55" s="6"/>
      <c r="U55" t="str">
        <f t="shared" si="0"/>
        <v/>
      </c>
    </row>
    <row r="56" spans="3:21" customFormat="1" hidden="1">
      <c r="C56" s="6"/>
      <c r="D56" s="6"/>
      <c r="E56" s="98"/>
      <c r="F56" s="3"/>
      <c r="G56" s="6"/>
      <c r="H56" s="3"/>
      <c r="I56" s="6"/>
      <c r="J56" s="6"/>
      <c r="K56" s="6"/>
      <c r="L56" s="6"/>
      <c r="M56" s="6"/>
      <c r="N56" s="6"/>
      <c r="O56" s="3"/>
      <c r="P56" s="6"/>
      <c r="Q56" s="6"/>
      <c r="R56" s="6"/>
      <c r="S56" s="6"/>
      <c r="T56" s="6"/>
      <c r="U56" t="str">
        <f t="shared" si="0"/>
        <v/>
      </c>
    </row>
    <row r="57" spans="3:21" customFormat="1" hidden="1">
      <c r="C57" s="6"/>
      <c r="D57" s="6"/>
      <c r="E57" s="98"/>
      <c r="F57" s="3"/>
      <c r="G57" s="6"/>
      <c r="H57" s="3"/>
      <c r="I57" s="6"/>
      <c r="J57" s="6"/>
      <c r="K57" s="6"/>
      <c r="L57" s="6"/>
      <c r="M57" s="6"/>
      <c r="N57" s="6"/>
      <c r="O57" s="3"/>
      <c r="P57" s="6"/>
      <c r="Q57" s="6"/>
      <c r="R57" s="6"/>
      <c r="S57" s="6"/>
      <c r="T57" s="6"/>
      <c r="U57" t="str">
        <f t="shared" si="0"/>
        <v/>
      </c>
    </row>
    <row r="58" spans="3:21" customFormat="1" hidden="1">
      <c r="C58" s="6"/>
      <c r="D58" s="6"/>
      <c r="E58" s="98"/>
      <c r="F58" s="3"/>
      <c r="G58" s="6"/>
      <c r="H58" s="3"/>
      <c r="I58" s="6"/>
      <c r="J58" s="6"/>
      <c r="K58" s="6"/>
      <c r="L58" s="6"/>
      <c r="M58" s="6"/>
      <c r="N58" s="6"/>
      <c r="O58" s="3"/>
      <c r="P58" s="6"/>
      <c r="Q58" s="6"/>
      <c r="R58" s="6"/>
      <c r="S58" s="6"/>
      <c r="T58" s="6"/>
      <c r="U58" t="str">
        <f t="shared" si="0"/>
        <v/>
      </c>
    </row>
    <row r="59" spans="3:21" customFormat="1" hidden="1">
      <c r="C59" s="6"/>
      <c r="D59" s="6"/>
      <c r="E59" s="98"/>
      <c r="F59" s="3"/>
      <c r="G59" s="6"/>
      <c r="H59" s="3"/>
      <c r="I59" s="6"/>
      <c r="J59" s="6"/>
      <c r="K59" s="6"/>
      <c r="L59" s="6"/>
      <c r="M59" s="6"/>
      <c r="N59" s="6"/>
      <c r="O59" s="3"/>
      <c r="P59" s="6"/>
      <c r="Q59" s="6"/>
      <c r="R59" s="6"/>
      <c r="S59" s="6"/>
      <c r="T59" s="6"/>
      <c r="U59" t="str">
        <f t="shared" si="0"/>
        <v/>
      </c>
    </row>
    <row r="60" spans="3:21" customFormat="1" hidden="1">
      <c r="C60" s="6"/>
      <c r="D60" s="6"/>
      <c r="E60" s="98"/>
      <c r="F60" s="3"/>
      <c r="G60" s="6"/>
      <c r="H60" s="3"/>
      <c r="I60" s="6"/>
      <c r="J60" s="6"/>
      <c r="K60" s="6"/>
      <c r="L60" s="6"/>
      <c r="M60" s="6"/>
      <c r="N60" s="6"/>
      <c r="O60" s="3"/>
      <c r="P60" s="6"/>
      <c r="Q60" s="6"/>
      <c r="R60" s="6"/>
      <c r="S60" s="6"/>
      <c r="T60" s="6"/>
      <c r="U60" t="str">
        <f t="shared" si="0"/>
        <v/>
      </c>
    </row>
    <row r="61" spans="3:21" customFormat="1" hidden="1">
      <c r="C61" s="6"/>
      <c r="D61" s="6"/>
      <c r="E61" s="98"/>
      <c r="F61" s="3"/>
      <c r="G61" s="6"/>
      <c r="H61" s="3"/>
      <c r="I61" s="6"/>
      <c r="J61" s="6"/>
      <c r="K61" s="6"/>
      <c r="L61" s="6"/>
      <c r="M61" s="6"/>
      <c r="N61" s="6"/>
      <c r="O61" s="3"/>
      <c r="P61" s="6"/>
      <c r="Q61" s="6"/>
      <c r="R61" s="6"/>
      <c r="S61" s="6"/>
      <c r="T61" s="6"/>
      <c r="U61" t="str">
        <f t="shared" si="0"/>
        <v/>
      </c>
    </row>
    <row r="62" spans="3:21" customFormat="1" hidden="1">
      <c r="C62" s="6"/>
      <c r="D62" s="6"/>
      <c r="E62" s="98"/>
      <c r="F62" s="3"/>
      <c r="G62" s="6"/>
      <c r="H62" s="3"/>
      <c r="I62" s="6"/>
      <c r="J62" s="6"/>
      <c r="K62" s="6"/>
      <c r="L62" s="6"/>
      <c r="M62" s="6"/>
      <c r="N62" s="6"/>
      <c r="O62" s="3"/>
      <c r="P62" s="6"/>
      <c r="Q62" s="6"/>
      <c r="R62" s="6"/>
      <c r="S62" s="6"/>
      <c r="T62" s="6"/>
      <c r="U62" t="str">
        <f t="shared" si="0"/>
        <v/>
      </c>
    </row>
    <row r="63" spans="3:21" customFormat="1" hidden="1">
      <c r="C63" s="6"/>
      <c r="D63" s="6"/>
      <c r="E63" s="98"/>
      <c r="F63" s="3"/>
      <c r="G63" s="6"/>
      <c r="H63" s="3"/>
      <c r="I63" s="6"/>
      <c r="J63" s="6"/>
      <c r="K63" s="6"/>
      <c r="L63" s="6"/>
      <c r="M63" s="6"/>
      <c r="N63" s="6"/>
      <c r="O63" s="3"/>
      <c r="P63" s="6"/>
      <c r="Q63" s="6"/>
      <c r="R63" s="6"/>
      <c r="S63" s="6"/>
      <c r="T63" s="6"/>
      <c r="U63" t="str">
        <f t="shared" si="0"/>
        <v/>
      </c>
    </row>
    <row r="64" spans="3:21" customFormat="1" hidden="1">
      <c r="C64" s="6"/>
      <c r="D64" s="6"/>
      <c r="E64" s="98"/>
      <c r="F64" s="3"/>
      <c r="G64" s="6"/>
      <c r="H64" s="3"/>
      <c r="I64" s="6"/>
      <c r="J64" s="6"/>
      <c r="K64" s="6"/>
      <c r="L64" s="6"/>
      <c r="M64" s="6"/>
      <c r="N64" s="6"/>
      <c r="O64" s="3"/>
      <c r="P64" s="6"/>
      <c r="Q64" s="6"/>
      <c r="R64" s="6"/>
      <c r="S64" s="6"/>
      <c r="T64" s="6"/>
      <c r="U64" t="str">
        <f t="shared" si="0"/>
        <v/>
      </c>
    </row>
    <row r="65" spans="3:21" customFormat="1" hidden="1">
      <c r="C65" s="6"/>
      <c r="D65" s="6"/>
      <c r="E65" s="98"/>
      <c r="F65" s="3"/>
      <c r="G65" s="6"/>
      <c r="H65" s="3"/>
      <c r="I65" s="6"/>
      <c r="J65" s="6"/>
      <c r="K65" s="6"/>
      <c r="L65" s="6"/>
      <c r="M65" s="6"/>
      <c r="N65" s="6"/>
      <c r="O65" s="3"/>
      <c r="P65" s="6"/>
      <c r="Q65" s="6"/>
      <c r="R65" s="6"/>
      <c r="S65" s="6"/>
      <c r="T65" s="6"/>
      <c r="U65" t="str">
        <f t="shared" si="0"/>
        <v/>
      </c>
    </row>
    <row r="66" spans="3:21" customFormat="1" hidden="1">
      <c r="C66" s="6"/>
      <c r="D66" s="6"/>
      <c r="E66" s="98"/>
      <c r="F66" s="3"/>
      <c r="G66" s="6"/>
      <c r="H66" s="3"/>
      <c r="I66" s="6"/>
      <c r="J66" s="6"/>
      <c r="K66" s="6"/>
      <c r="L66" s="6"/>
      <c r="M66" s="6"/>
      <c r="N66" s="6"/>
      <c r="O66" s="3"/>
      <c r="P66" s="6"/>
      <c r="Q66" s="6"/>
      <c r="R66" s="6"/>
      <c r="S66" s="6"/>
      <c r="T66" s="6"/>
      <c r="U66" t="str">
        <f t="shared" si="0"/>
        <v/>
      </c>
    </row>
    <row r="67" spans="3:21" customFormat="1" hidden="1">
      <c r="C67" s="6"/>
      <c r="D67" s="6"/>
      <c r="E67" s="98"/>
      <c r="F67" s="3"/>
      <c r="G67" s="6"/>
      <c r="H67" s="3"/>
      <c r="I67" s="6"/>
      <c r="J67" s="6"/>
      <c r="K67" s="6"/>
      <c r="L67" s="6"/>
      <c r="M67" s="6"/>
      <c r="N67" s="6"/>
      <c r="O67" s="3"/>
      <c r="P67" s="6"/>
      <c r="Q67" s="6"/>
      <c r="R67" s="6"/>
      <c r="S67" s="6"/>
      <c r="T67" s="6"/>
      <c r="U67" t="str">
        <f t="shared" si="0"/>
        <v/>
      </c>
    </row>
    <row r="68" spans="3:21" customFormat="1" hidden="1">
      <c r="C68" s="6"/>
      <c r="D68" s="6"/>
      <c r="E68" s="98"/>
      <c r="F68" s="3"/>
      <c r="G68" s="6"/>
      <c r="H68" s="3"/>
      <c r="I68" s="6"/>
      <c r="J68" s="6"/>
      <c r="K68" s="6"/>
      <c r="L68" s="6"/>
      <c r="M68" s="6"/>
      <c r="N68" s="6"/>
      <c r="O68" s="3"/>
      <c r="P68" s="6"/>
      <c r="Q68" s="6"/>
      <c r="R68" s="6"/>
      <c r="S68" s="6"/>
      <c r="T68" s="6"/>
      <c r="U68" t="str">
        <f t="shared" si="0"/>
        <v/>
      </c>
    </row>
    <row r="69" spans="3:21" customFormat="1" hidden="1">
      <c r="C69" s="6"/>
      <c r="D69" s="6"/>
      <c r="E69" s="98"/>
      <c r="F69" s="3"/>
      <c r="G69" s="6"/>
      <c r="H69" s="3"/>
      <c r="I69" s="6"/>
      <c r="J69" s="6"/>
      <c r="K69" s="6"/>
      <c r="L69" s="6"/>
      <c r="M69" s="6"/>
      <c r="N69" s="6"/>
      <c r="O69" s="3"/>
      <c r="P69" s="6"/>
      <c r="Q69" s="6"/>
      <c r="R69" s="6"/>
      <c r="S69" s="6"/>
      <c r="T69" s="6"/>
      <c r="U69" t="str">
        <f t="shared" si="0"/>
        <v/>
      </c>
    </row>
    <row r="70" spans="3:21" customFormat="1" hidden="1">
      <c r="C70" s="6"/>
      <c r="D70" s="6"/>
      <c r="E70" s="98"/>
      <c r="F70" s="3"/>
      <c r="G70" s="6"/>
      <c r="H70" s="3"/>
      <c r="I70" s="6"/>
      <c r="J70" s="6"/>
      <c r="K70" s="6"/>
      <c r="L70" s="6"/>
      <c r="M70" s="6"/>
      <c r="N70" s="6"/>
      <c r="O70" s="3"/>
      <c r="P70" s="6"/>
      <c r="Q70" s="6"/>
      <c r="R70" s="6"/>
      <c r="S70" s="6"/>
      <c r="T70" s="6"/>
      <c r="U70" t="str">
        <f t="shared" si="0"/>
        <v/>
      </c>
    </row>
    <row r="71" spans="3:21" customFormat="1" hidden="1">
      <c r="C71" s="6"/>
      <c r="D71" s="6"/>
      <c r="E71" s="98"/>
      <c r="F71" s="3"/>
      <c r="G71" s="6"/>
      <c r="H71" s="3"/>
      <c r="I71" s="6"/>
      <c r="J71" s="6"/>
      <c r="K71" s="6"/>
      <c r="L71" s="6"/>
      <c r="M71" s="6"/>
      <c r="N71" s="6"/>
      <c r="O71" s="3"/>
      <c r="P71" s="6"/>
      <c r="Q71" s="6"/>
      <c r="R71" s="6"/>
      <c r="S71" s="6"/>
      <c r="T71" s="6"/>
      <c r="U71" t="str">
        <f t="shared" ref="U71:U134" si="1">IF(D71="","","x")</f>
        <v/>
      </c>
    </row>
    <row r="72" spans="3:21" customFormat="1" hidden="1">
      <c r="C72" s="6"/>
      <c r="D72" s="6"/>
      <c r="E72" s="98"/>
      <c r="F72" s="3"/>
      <c r="G72" s="6"/>
      <c r="H72" s="3"/>
      <c r="I72" s="6"/>
      <c r="J72" s="6"/>
      <c r="K72" s="6"/>
      <c r="L72" s="6"/>
      <c r="M72" s="6"/>
      <c r="N72" s="6"/>
      <c r="O72" s="3"/>
      <c r="P72" s="6"/>
      <c r="Q72" s="6"/>
      <c r="R72" s="6"/>
      <c r="S72" s="6"/>
      <c r="T72" s="6"/>
      <c r="U72" t="str">
        <f t="shared" si="1"/>
        <v/>
      </c>
    </row>
    <row r="73" spans="3:21" customFormat="1" hidden="1">
      <c r="C73" s="6"/>
      <c r="D73" s="6"/>
      <c r="E73" s="98"/>
      <c r="F73" s="3"/>
      <c r="G73" s="6"/>
      <c r="H73" s="3"/>
      <c r="I73" s="6"/>
      <c r="J73" s="6"/>
      <c r="K73" s="6"/>
      <c r="L73" s="6"/>
      <c r="M73" s="6"/>
      <c r="N73" s="6"/>
      <c r="O73" s="3"/>
      <c r="P73" s="6"/>
      <c r="Q73" s="6"/>
      <c r="R73" s="6"/>
      <c r="S73" s="6"/>
      <c r="T73" s="6"/>
      <c r="U73" t="str">
        <f t="shared" si="1"/>
        <v/>
      </c>
    </row>
    <row r="74" spans="3:21" customFormat="1" hidden="1">
      <c r="C74" s="6"/>
      <c r="D74" s="6"/>
      <c r="E74" s="98"/>
      <c r="F74" s="3"/>
      <c r="G74" s="6"/>
      <c r="H74" s="3"/>
      <c r="I74" s="6"/>
      <c r="J74" s="6"/>
      <c r="K74" s="6"/>
      <c r="L74" s="6"/>
      <c r="M74" s="6"/>
      <c r="N74" s="6"/>
      <c r="O74" s="3"/>
      <c r="P74" s="6"/>
      <c r="Q74" s="6"/>
      <c r="R74" s="6"/>
      <c r="S74" s="6"/>
      <c r="T74" s="6"/>
      <c r="U74" t="str">
        <f t="shared" si="1"/>
        <v/>
      </c>
    </row>
    <row r="75" spans="3:21" customFormat="1" hidden="1">
      <c r="C75" s="6"/>
      <c r="D75" s="6"/>
      <c r="E75" s="98"/>
      <c r="F75" s="3"/>
      <c r="G75" s="6"/>
      <c r="H75" s="3"/>
      <c r="I75" s="6"/>
      <c r="J75" s="6"/>
      <c r="K75" s="6"/>
      <c r="L75" s="6"/>
      <c r="M75" s="6"/>
      <c r="N75" s="6"/>
      <c r="O75" s="3"/>
      <c r="P75" s="6"/>
      <c r="Q75" s="6"/>
      <c r="R75" s="6"/>
      <c r="S75" s="6"/>
      <c r="T75" s="6"/>
      <c r="U75" t="str">
        <f t="shared" si="1"/>
        <v/>
      </c>
    </row>
    <row r="76" spans="3:21" customFormat="1" hidden="1">
      <c r="C76" s="6"/>
      <c r="D76" s="6"/>
      <c r="E76" s="98"/>
      <c r="F76" s="3"/>
      <c r="G76" s="6"/>
      <c r="H76" s="3"/>
      <c r="I76" s="6"/>
      <c r="J76" s="6"/>
      <c r="K76" s="6"/>
      <c r="L76" s="6"/>
      <c r="M76" s="6"/>
      <c r="N76" s="6"/>
      <c r="O76" s="3"/>
      <c r="P76" s="6"/>
      <c r="Q76" s="6"/>
      <c r="R76" s="6"/>
      <c r="S76" s="6"/>
      <c r="T76" s="6"/>
      <c r="U76" t="str">
        <f t="shared" si="1"/>
        <v/>
      </c>
    </row>
    <row r="77" spans="3:21" customFormat="1" hidden="1">
      <c r="C77" s="6"/>
      <c r="D77" s="6"/>
      <c r="E77" s="98"/>
      <c r="F77" s="3"/>
      <c r="G77" s="6"/>
      <c r="H77" s="3"/>
      <c r="I77" s="6"/>
      <c r="J77" s="6"/>
      <c r="K77" s="6"/>
      <c r="L77" s="6"/>
      <c r="M77" s="6"/>
      <c r="N77" s="6"/>
      <c r="O77" s="3"/>
      <c r="P77" s="6"/>
      <c r="Q77" s="6"/>
      <c r="R77" s="6"/>
      <c r="S77" s="6"/>
      <c r="T77" s="6"/>
      <c r="U77" t="str">
        <f t="shared" si="1"/>
        <v/>
      </c>
    </row>
    <row r="78" spans="3:21" customFormat="1" hidden="1">
      <c r="C78" s="6"/>
      <c r="D78" s="6"/>
      <c r="E78" s="98"/>
      <c r="F78" s="3"/>
      <c r="G78" s="6"/>
      <c r="H78" s="3"/>
      <c r="I78" s="6"/>
      <c r="J78" s="6"/>
      <c r="K78" s="6"/>
      <c r="L78" s="6"/>
      <c r="M78" s="6"/>
      <c r="N78" s="6"/>
      <c r="O78" s="3"/>
      <c r="P78" s="6"/>
      <c r="Q78" s="6"/>
      <c r="R78" s="6"/>
      <c r="S78" s="6"/>
      <c r="T78" s="6"/>
      <c r="U78" t="str">
        <f t="shared" si="1"/>
        <v/>
      </c>
    </row>
    <row r="79" spans="3:21" customFormat="1" hidden="1">
      <c r="C79" s="6"/>
      <c r="D79" s="6"/>
      <c r="E79" s="98"/>
      <c r="F79" s="3"/>
      <c r="G79" s="6"/>
      <c r="H79" s="3"/>
      <c r="I79" s="6"/>
      <c r="J79" s="6"/>
      <c r="K79" s="6"/>
      <c r="L79" s="6"/>
      <c r="M79" s="6"/>
      <c r="N79" s="6"/>
      <c r="O79" s="3"/>
      <c r="P79" s="6"/>
      <c r="Q79" s="6"/>
      <c r="R79" s="6"/>
      <c r="S79" s="6"/>
      <c r="T79" s="6"/>
      <c r="U79" t="str">
        <f t="shared" si="1"/>
        <v/>
      </c>
    </row>
    <row r="80" spans="3:21" customFormat="1" hidden="1">
      <c r="C80" s="6"/>
      <c r="D80" s="6"/>
      <c r="E80" s="98"/>
      <c r="F80" s="3"/>
      <c r="G80" s="6"/>
      <c r="H80" s="3"/>
      <c r="I80" s="6"/>
      <c r="J80" s="6"/>
      <c r="K80" s="6"/>
      <c r="L80" s="6"/>
      <c r="M80" s="6"/>
      <c r="N80" s="6"/>
      <c r="O80" s="3"/>
      <c r="P80" s="6"/>
      <c r="Q80" s="6"/>
      <c r="R80" s="6"/>
      <c r="S80" s="6"/>
      <c r="T80" s="6"/>
      <c r="U80" t="str">
        <f t="shared" si="1"/>
        <v/>
      </c>
    </row>
    <row r="81" spans="3:21" customFormat="1" hidden="1">
      <c r="C81" s="6"/>
      <c r="D81" s="6"/>
      <c r="E81" s="98"/>
      <c r="F81" s="3"/>
      <c r="G81" s="6"/>
      <c r="H81" s="3"/>
      <c r="I81" s="6"/>
      <c r="J81" s="6"/>
      <c r="K81" s="6"/>
      <c r="L81" s="6"/>
      <c r="M81" s="6"/>
      <c r="N81" s="6"/>
      <c r="O81" s="3"/>
      <c r="P81" s="6"/>
      <c r="Q81" s="6"/>
      <c r="R81" s="6"/>
      <c r="S81" s="6"/>
      <c r="T81" s="6"/>
      <c r="U81" t="str">
        <f t="shared" si="1"/>
        <v/>
      </c>
    </row>
    <row r="82" spans="3:21" customFormat="1" hidden="1">
      <c r="C82" s="6"/>
      <c r="D82" s="6"/>
      <c r="E82" s="98"/>
      <c r="F82" s="3"/>
      <c r="G82" s="6"/>
      <c r="H82" s="3"/>
      <c r="I82" s="6"/>
      <c r="J82" s="6"/>
      <c r="K82" s="6"/>
      <c r="L82" s="6"/>
      <c r="M82" s="6"/>
      <c r="N82" s="6"/>
      <c r="O82" s="3"/>
      <c r="P82" s="6"/>
      <c r="Q82" s="6"/>
      <c r="R82" s="6"/>
      <c r="S82" s="6"/>
      <c r="T82" s="6"/>
      <c r="U82" t="str">
        <f t="shared" si="1"/>
        <v/>
      </c>
    </row>
    <row r="83" spans="3:21" customFormat="1" hidden="1">
      <c r="C83" s="6"/>
      <c r="D83" s="6"/>
      <c r="E83" s="98"/>
      <c r="F83" s="3"/>
      <c r="G83" s="6"/>
      <c r="H83" s="3"/>
      <c r="I83" s="6"/>
      <c r="J83" s="6"/>
      <c r="K83" s="6"/>
      <c r="L83" s="6"/>
      <c r="M83" s="6"/>
      <c r="N83" s="6"/>
      <c r="O83" s="3"/>
      <c r="P83" s="6"/>
      <c r="Q83" s="6"/>
      <c r="R83" s="6"/>
      <c r="S83" s="6"/>
      <c r="T83" s="6"/>
      <c r="U83" t="str">
        <f t="shared" si="1"/>
        <v/>
      </c>
    </row>
    <row r="84" spans="3:21" customFormat="1" hidden="1">
      <c r="C84" s="6"/>
      <c r="D84" s="6"/>
      <c r="E84" s="98"/>
      <c r="F84" s="3"/>
      <c r="G84" s="6"/>
      <c r="H84" s="3"/>
      <c r="I84" s="6"/>
      <c r="J84" s="6"/>
      <c r="K84" s="6"/>
      <c r="L84" s="6"/>
      <c r="M84" s="6"/>
      <c r="N84" s="6"/>
      <c r="O84" s="3"/>
      <c r="P84" s="6"/>
      <c r="Q84" s="6"/>
      <c r="R84" s="6"/>
      <c r="S84" s="6"/>
      <c r="T84" s="6"/>
      <c r="U84" t="str">
        <f t="shared" si="1"/>
        <v/>
      </c>
    </row>
    <row r="85" spans="3:21" customFormat="1" hidden="1">
      <c r="C85" s="6"/>
      <c r="D85" s="6"/>
      <c r="E85" s="98"/>
      <c r="F85" s="3"/>
      <c r="G85" s="6"/>
      <c r="H85" s="3"/>
      <c r="I85" s="6"/>
      <c r="J85" s="6"/>
      <c r="K85" s="6"/>
      <c r="L85" s="6"/>
      <c r="M85" s="6"/>
      <c r="N85" s="6"/>
      <c r="O85" s="3"/>
      <c r="P85" s="6"/>
      <c r="Q85" s="6"/>
      <c r="R85" s="6"/>
      <c r="S85" s="6"/>
      <c r="T85" s="6"/>
      <c r="U85" t="str">
        <f t="shared" si="1"/>
        <v/>
      </c>
    </row>
    <row r="86" spans="3:21" customFormat="1" hidden="1">
      <c r="C86" s="6"/>
      <c r="D86" s="6"/>
      <c r="E86" s="98"/>
      <c r="F86" s="3"/>
      <c r="G86" s="6"/>
      <c r="H86" s="3"/>
      <c r="I86" s="6"/>
      <c r="J86" s="6"/>
      <c r="K86" s="6"/>
      <c r="L86" s="6"/>
      <c r="M86" s="6"/>
      <c r="N86" s="6"/>
      <c r="O86" s="3"/>
      <c r="P86" s="6"/>
      <c r="Q86" s="6"/>
      <c r="R86" s="6"/>
      <c r="S86" s="6"/>
      <c r="T86" s="6"/>
      <c r="U86" t="str">
        <f t="shared" si="1"/>
        <v/>
      </c>
    </row>
    <row r="87" spans="3:21" customFormat="1" hidden="1">
      <c r="C87" s="6"/>
      <c r="D87" s="6"/>
      <c r="E87" s="98"/>
      <c r="F87" s="3"/>
      <c r="G87" s="6"/>
      <c r="H87" s="3"/>
      <c r="I87" s="6"/>
      <c r="J87" s="6"/>
      <c r="K87" s="6"/>
      <c r="L87" s="6"/>
      <c r="M87" s="6"/>
      <c r="N87" s="6"/>
      <c r="O87" s="3"/>
      <c r="P87" s="6"/>
      <c r="Q87" s="6"/>
      <c r="R87" s="6"/>
      <c r="S87" s="6"/>
      <c r="T87" s="6"/>
      <c r="U87" t="str">
        <f t="shared" si="1"/>
        <v/>
      </c>
    </row>
    <row r="88" spans="3:21" customFormat="1" hidden="1">
      <c r="C88" s="6"/>
      <c r="D88" s="6"/>
      <c r="E88" s="98"/>
      <c r="F88" s="3"/>
      <c r="G88" s="6"/>
      <c r="H88" s="3"/>
      <c r="I88" s="6"/>
      <c r="J88" s="6"/>
      <c r="K88" s="6"/>
      <c r="L88" s="6"/>
      <c r="M88" s="6"/>
      <c r="N88" s="6"/>
      <c r="O88" s="3"/>
      <c r="P88" s="6"/>
      <c r="Q88" s="6"/>
      <c r="R88" s="6"/>
      <c r="S88" s="6"/>
      <c r="T88" s="6"/>
      <c r="U88" t="str">
        <f t="shared" si="1"/>
        <v/>
      </c>
    </row>
    <row r="89" spans="3:21" customFormat="1" hidden="1">
      <c r="C89" s="6"/>
      <c r="D89" s="6"/>
      <c r="E89" s="98"/>
      <c r="F89" s="3"/>
      <c r="G89" s="6"/>
      <c r="H89" s="3"/>
      <c r="I89" s="6"/>
      <c r="J89" s="6"/>
      <c r="K89" s="6"/>
      <c r="L89" s="6"/>
      <c r="M89" s="6"/>
      <c r="N89" s="6"/>
      <c r="O89" s="3"/>
      <c r="P89" s="6"/>
      <c r="Q89" s="6"/>
      <c r="R89" s="6"/>
      <c r="S89" s="6"/>
      <c r="T89" s="6"/>
      <c r="U89" t="str">
        <f t="shared" si="1"/>
        <v/>
      </c>
    </row>
    <row r="90" spans="3:21" customFormat="1" hidden="1">
      <c r="C90" s="6"/>
      <c r="D90" s="6"/>
      <c r="E90" s="98"/>
      <c r="F90" s="3"/>
      <c r="G90" s="6"/>
      <c r="H90" s="3"/>
      <c r="I90" s="6"/>
      <c r="J90" s="6"/>
      <c r="K90" s="6"/>
      <c r="L90" s="6"/>
      <c r="M90" s="6"/>
      <c r="N90" s="6"/>
      <c r="O90" s="3"/>
      <c r="P90" s="6"/>
      <c r="Q90" s="6"/>
      <c r="R90" s="6"/>
      <c r="S90" s="6"/>
      <c r="T90" s="6"/>
      <c r="U90" t="str">
        <f t="shared" si="1"/>
        <v/>
      </c>
    </row>
    <row r="91" spans="3:21" customFormat="1" hidden="1">
      <c r="C91" s="6"/>
      <c r="D91" s="6"/>
      <c r="E91" s="98"/>
      <c r="F91" s="3"/>
      <c r="G91" s="6"/>
      <c r="H91" s="3"/>
      <c r="I91" s="6"/>
      <c r="J91" s="6"/>
      <c r="K91" s="6"/>
      <c r="L91" s="6"/>
      <c r="M91" s="6"/>
      <c r="N91" s="6"/>
      <c r="O91" s="3"/>
      <c r="P91" s="6"/>
      <c r="Q91" s="6"/>
      <c r="R91" s="6"/>
      <c r="S91" s="6"/>
      <c r="T91" s="6"/>
      <c r="U91" t="str">
        <f t="shared" si="1"/>
        <v/>
      </c>
    </row>
    <row r="92" spans="3:21" customFormat="1" hidden="1">
      <c r="C92" s="6"/>
      <c r="D92" s="6"/>
      <c r="E92" s="98"/>
      <c r="F92" s="3"/>
      <c r="G92" s="6"/>
      <c r="H92" s="3"/>
      <c r="I92" s="6"/>
      <c r="J92" s="6"/>
      <c r="K92" s="6"/>
      <c r="L92" s="6"/>
      <c r="M92" s="6"/>
      <c r="N92" s="6"/>
      <c r="O92" s="3"/>
      <c r="P92" s="6"/>
      <c r="Q92" s="6"/>
      <c r="R92" s="6"/>
      <c r="S92" s="6"/>
      <c r="T92" s="6"/>
      <c r="U92" t="str">
        <f t="shared" si="1"/>
        <v/>
      </c>
    </row>
    <row r="93" spans="3:21" customFormat="1" hidden="1">
      <c r="C93" s="6"/>
      <c r="D93" s="6"/>
      <c r="E93" s="98"/>
      <c r="F93" s="3"/>
      <c r="G93" s="6"/>
      <c r="H93" s="3"/>
      <c r="I93" s="6"/>
      <c r="J93" s="6"/>
      <c r="K93" s="6"/>
      <c r="L93" s="6"/>
      <c r="M93" s="6"/>
      <c r="N93" s="6"/>
      <c r="O93" s="3"/>
      <c r="P93" s="6"/>
      <c r="Q93" s="6"/>
      <c r="R93" s="6"/>
      <c r="S93" s="6"/>
      <c r="T93" s="6"/>
      <c r="U93" t="str">
        <f t="shared" si="1"/>
        <v/>
      </c>
    </row>
    <row r="94" spans="3:21" customFormat="1" hidden="1">
      <c r="C94" s="6"/>
      <c r="D94" s="6"/>
      <c r="E94" s="98"/>
      <c r="F94" s="3"/>
      <c r="G94" s="6"/>
      <c r="H94" s="3"/>
      <c r="I94" s="6"/>
      <c r="J94" s="6"/>
      <c r="K94" s="6"/>
      <c r="L94" s="6"/>
      <c r="M94" s="6"/>
      <c r="N94" s="6"/>
      <c r="O94" s="3"/>
      <c r="P94" s="6"/>
      <c r="Q94" s="6"/>
      <c r="R94" s="6"/>
      <c r="S94" s="6"/>
      <c r="T94" s="6"/>
      <c r="U94" t="str">
        <f t="shared" si="1"/>
        <v/>
      </c>
    </row>
    <row r="95" spans="3:21" customFormat="1" hidden="1">
      <c r="C95" s="6"/>
      <c r="D95" s="6"/>
      <c r="E95" s="98"/>
      <c r="F95" s="3"/>
      <c r="G95" s="6"/>
      <c r="H95" s="3"/>
      <c r="I95" s="6"/>
      <c r="J95" s="6"/>
      <c r="K95" s="6"/>
      <c r="L95" s="6"/>
      <c r="M95" s="6"/>
      <c r="N95" s="6"/>
      <c r="O95" s="3"/>
      <c r="P95" s="6"/>
      <c r="Q95" s="6"/>
      <c r="R95" s="6"/>
      <c r="S95" s="6"/>
      <c r="T95" s="6"/>
      <c r="U95" t="str">
        <f t="shared" si="1"/>
        <v/>
      </c>
    </row>
    <row r="96" spans="3:21" customFormat="1" hidden="1">
      <c r="C96" s="6"/>
      <c r="D96" s="6"/>
      <c r="E96" s="98"/>
      <c r="F96" s="3"/>
      <c r="G96" s="6"/>
      <c r="H96" s="3"/>
      <c r="I96" s="6"/>
      <c r="J96" s="6"/>
      <c r="K96" s="6"/>
      <c r="L96" s="6"/>
      <c r="M96" s="6"/>
      <c r="N96" s="6"/>
      <c r="O96" s="3"/>
      <c r="P96" s="6"/>
      <c r="Q96" s="6"/>
      <c r="R96" s="6"/>
      <c r="S96" s="6"/>
      <c r="T96" s="6"/>
      <c r="U96" t="str">
        <f t="shared" si="1"/>
        <v/>
      </c>
    </row>
    <row r="97" spans="3:21" customFormat="1" hidden="1">
      <c r="C97" s="6"/>
      <c r="D97" s="6"/>
      <c r="E97" s="98"/>
      <c r="F97" s="3"/>
      <c r="G97" s="6"/>
      <c r="H97" s="3"/>
      <c r="I97" s="6"/>
      <c r="J97" s="6"/>
      <c r="K97" s="6"/>
      <c r="L97" s="6"/>
      <c r="M97" s="6"/>
      <c r="N97" s="6"/>
      <c r="O97" s="3"/>
      <c r="P97" s="6"/>
      <c r="Q97" s="6"/>
      <c r="R97" s="6"/>
      <c r="S97" s="6"/>
      <c r="T97" s="6"/>
      <c r="U97" t="str">
        <f t="shared" si="1"/>
        <v/>
      </c>
    </row>
    <row r="98" spans="3:21" customFormat="1" hidden="1">
      <c r="C98" s="6"/>
      <c r="D98" s="6"/>
      <c r="E98" s="98"/>
      <c r="F98" s="3"/>
      <c r="G98" s="6"/>
      <c r="H98" s="3"/>
      <c r="I98" s="6"/>
      <c r="J98" s="6"/>
      <c r="K98" s="6"/>
      <c r="L98" s="6"/>
      <c r="M98" s="6"/>
      <c r="N98" s="6"/>
      <c r="O98" s="3"/>
      <c r="P98" s="6"/>
      <c r="Q98" s="6"/>
      <c r="R98" s="6"/>
      <c r="S98" s="6"/>
      <c r="T98" s="6"/>
      <c r="U98" t="str">
        <f t="shared" si="1"/>
        <v/>
      </c>
    </row>
    <row r="99" spans="3:21" customFormat="1" hidden="1">
      <c r="C99" s="6"/>
      <c r="D99" s="6"/>
      <c r="E99" s="98"/>
      <c r="F99" s="3"/>
      <c r="G99" s="6"/>
      <c r="H99" s="3"/>
      <c r="I99" s="6"/>
      <c r="J99" s="6"/>
      <c r="K99" s="6"/>
      <c r="L99" s="6"/>
      <c r="M99" s="6"/>
      <c r="N99" s="6"/>
      <c r="O99" s="3"/>
      <c r="P99" s="6"/>
      <c r="Q99" s="6"/>
      <c r="R99" s="6"/>
      <c r="S99" s="6"/>
      <c r="T99" s="6"/>
      <c r="U99" t="str">
        <f t="shared" si="1"/>
        <v/>
      </c>
    </row>
    <row r="100" spans="3:21" customFormat="1" hidden="1">
      <c r="C100" s="6"/>
      <c r="D100" s="6"/>
      <c r="E100" s="98"/>
      <c r="F100" s="3"/>
      <c r="G100" s="6"/>
      <c r="H100" s="3"/>
      <c r="I100" s="6"/>
      <c r="J100" s="6"/>
      <c r="K100" s="6"/>
      <c r="L100" s="6"/>
      <c r="M100" s="6"/>
      <c r="N100" s="6"/>
      <c r="O100" s="3"/>
      <c r="P100" s="6"/>
      <c r="Q100" s="6"/>
      <c r="R100" s="6"/>
      <c r="S100" s="6"/>
      <c r="T100" s="6"/>
      <c r="U100" t="str">
        <f t="shared" si="1"/>
        <v/>
      </c>
    </row>
    <row r="101" spans="3:21" customFormat="1" hidden="1">
      <c r="C101" s="6"/>
      <c r="D101" s="6"/>
      <c r="E101" s="98"/>
      <c r="F101" s="3"/>
      <c r="G101" s="6"/>
      <c r="H101" s="3"/>
      <c r="I101" s="6"/>
      <c r="J101" s="6"/>
      <c r="K101" s="6"/>
      <c r="L101" s="6"/>
      <c r="M101" s="6"/>
      <c r="N101" s="6"/>
      <c r="O101" s="3"/>
      <c r="P101" s="6"/>
      <c r="Q101" s="6"/>
      <c r="R101" s="6"/>
      <c r="S101" s="6"/>
      <c r="T101" s="6"/>
      <c r="U101" t="str">
        <f t="shared" si="1"/>
        <v/>
      </c>
    </row>
    <row r="102" spans="3:21" customFormat="1" hidden="1">
      <c r="C102" s="6"/>
      <c r="D102" s="6"/>
      <c r="E102" s="98"/>
      <c r="F102" s="3"/>
      <c r="G102" s="6"/>
      <c r="H102" s="3"/>
      <c r="I102" s="6"/>
      <c r="J102" s="6"/>
      <c r="K102" s="6"/>
      <c r="L102" s="6"/>
      <c r="M102" s="6"/>
      <c r="N102" s="6"/>
      <c r="O102" s="3"/>
      <c r="P102" s="6"/>
      <c r="Q102" s="6"/>
      <c r="R102" s="6"/>
      <c r="S102" s="6"/>
      <c r="T102" s="6"/>
      <c r="U102" t="str">
        <f t="shared" si="1"/>
        <v/>
      </c>
    </row>
    <row r="103" spans="3:21" customFormat="1" hidden="1">
      <c r="C103" s="6"/>
      <c r="D103" s="6"/>
      <c r="E103" s="98"/>
      <c r="F103" s="3"/>
      <c r="G103" s="6"/>
      <c r="H103" s="3"/>
      <c r="I103" s="6"/>
      <c r="J103" s="6"/>
      <c r="K103" s="6"/>
      <c r="L103" s="6"/>
      <c r="M103" s="6"/>
      <c r="N103" s="6"/>
      <c r="O103" s="3"/>
      <c r="P103" s="6"/>
      <c r="Q103" s="6"/>
      <c r="R103" s="6"/>
      <c r="S103" s="6"/>
      <c r="T103" s="6"/>
      <c r="U103" t="str">
        <f t="shared" si="1"/>
        <v/>
      </c>
    </row>
    <row r="104" spans="3:21" customFormat="1" hidden="1">
      <c r="C104" s="6"/>
      <c r="D104" s="6"/>
      <c r="E104" s="98"/>
      <c r="F104" s="3"/>
      <c r="G104" s="6"/>
      <c r="H104" s="3"/>
      <c r="I104" s="6"/>
      <c r="J104" s="6"/>
      <c r="K104" s="6"/>
      <c r="L104" s="6"/>
      <c r="M104" s="6"/>
      <c r="N104" s="6"/>
      <c r="O104" s="3"/>
      <c r="P104" s="6"/>
      <c r="Q104" s="6"/>
      <c r="R104" s="6"/>
      <c r="S104" s="6"/>
      <c r="T104" s="6"/>
      <c r="U104" t="str">
        <f t="shared" si="1"/>
        <v/>
      </c>
    </row>
    <row r="105" spans="3:21" customFormat="1" hidden="1">
      <c r="C105" s="6"/>
      <c r="D105" s="6"/>
      <c r="E105" s="98"/>
      <c r="F105" s="3"/>
      <c r="G105" s="6"/>
      <c r="H105" s="3"/>
      <c r="I105" s="6"/>
      <c r="J105" s="6"/>
      <c r="K105" s="6"/>
      <c r="L105" s="6"/>
      <c r="M105" s="6"/>
      <c r="N105" s="6"/>
      <c r="O105" s="3"/>
      <c r="P105" s="6"/>
      <c r="Q105" s="6"/>
      <c r="R105" s="6"/>
      <c r="S105" s="6"/>
      <c r="T105" s="6"/>
      <c r="U105" t="str">
        <f t="shared" si="1"/>
        <v/>
      </c>
    </row>
    <row r="106" spans="3:21" customFormat="1" hidden="1">
      <c r="C106" s="6"/>
      <c r="D106" s="6"/>
      <c r="E106" s="98"/>
      <c r="F106" s="3"/>
      <c r="G106" s="6"/>
      <c r="H106" s="3"/>
      <c r="I106" s="6"/>
      <c r="J106" s="6"/>
      <c r="K106" s="6"/>
      <c r="L106" s="6"/>
      <c r="M106" s="6"/>
      <c r="N106" s="6"/>
      <c r="O106" s="3"/>
      <c r="P106" s="6"/>
      <c r="Q106" s="6"/>
      <c r="R106" s="6"/>
      <c r="S106" s="6"/>
      <c r="T106" s="6"/>
      <c r="U106" t="str">
        <f t="shared" si="1"/>
        <v/>
      </c>
    </row>
    <row r="107" spans="3:21" customFormat="1" hidden="1">
      <c r="C107" s="6"/>
      <c r="D107" s="6"/>
      <c r="E107" s="98"/>
      <c r="F107" s="3"/>
      <c r="G107" s="6"/>
      <c r="H107" s="3"/>
      <c r="I107" s="6"/>
      <c r="J107" s="6"/>
      <c r="K107" s="6"/>
      <c r="L107" s="6"/>
      <c r="M107" s="6"/>
      <c r="N107" s="6"/>
      <c r="O107" s="3"/>
      <c r="P107" s="6"/>
      <c r="Q107" s="6"/>
      <c r="R107" s="6"/>
      <c r="S107" s="6"/>
      <c r="T107" s="6"/>
      <c r="U107" t="str">
        <f t="shared" si="1"/>
        <v/>
      </c>
    </row>
    <row r="108" spans="3:21" customFormat="1" hidden="1">
      <c r="C108" s="6"/>
      <c r="D108" s="6"/>
      <c r="E108" s="98"/>
      <c r="F108" s="3"/>
      <c r="G108" s="6"/>
      <c r="H108" s="3"/>
      <c r="I108" s="6"/>
      <c r="J108" s="6"/>
      <c r="K108" s="6"/>
      <c r="L108" s="6"/>
      <c r="M108" s="6"/>
      <c r="N108" s="6"/>
      <c r="O108" s="3"/>
      <c r="P108" s="6"/>
      <c r="Q108" s="6"/>
      <c r="R108" s="6"/>
      <c r="S108" s="6"/>
      <c r="T108" s="6"/>
      <c r="U108" t="str">
        <f t="shared" si="1"/>
        <v/>
      </c>
    </row>
    <row r="109" spans="3:21" customFormat="1" hidden="1">
      <c r="C109" s="6"/>
      <c r="D109" s="6"/>
      <c r="E109" s="98"/>
      <c r="F109" s="3"/>
      <c r="G109" s="6"/>
      <c r="H109" s="3"/>
      <c r="I109" s="6"/>
      <c r="J109" s="6"/>
      <c r="K109" s="6"/>
      <c r="L109" s="6"/>
      <c r="M109" s="6"/>
      <c r="N109" s="6"/>
      <c r="O109" s="3"/>
      <c r="P109" s="6"/>
      <c r="Q109" s="6"/>
      <c r="R109" s="6"/>
      <c r="S109" s="6"/>
      <c r="T109" s="6"/>
      <c r="U109" t="str">
        <f t="shared" si="1"/>
        <v/>
      </c>
    </row>
    <row r="110" spans="3:21" customFormat="1" hidden="1">
      <c r="C110" s="6"/>
      <c r="D110" s="6"/>
      <c r="E110" s="98"/>
      <c r="F110" s="3"/>
      <c r="G110" s="6"/>
      <c r="H110" s="3"/>
      <c r="I110" s="6"/>
      <c r="J110" s="6"/>
      <c r="K110" s="6"/>
      <c r="L110" s="6"/>
      <c r="M110" s="6"/>
      <c r="N110" s="6"/>
      <c r="O110" s="3"/>
      <c r="P110" s="6"/>
      <c r="Q110" s="6"/>
      <c r="R110" s="6"/>
      <c r="S110" s="6"/>
      <c r="T110" s="6"/>
      <c r="U110" t="str">
        <f t="shared" si="1"/>
        <v/>
      </c>
    </row>
    <row r="111" spans="3:21" customFormat="1" hidden="1">
      <c r="C111" s="6"/>
      <c r="D111" s="6"/>
      <c r="E111" s="98"/>
      <c r="F111" s="3"/>
      <c r="G111" s="6"/>
      <c r="H111" s="3"/>
      <c r="I111" s="6"/>
      <c r="J111" s="6"/>
      <c r="K111" s="6"/>
      <c r="L111" s="6"/>
      <c r="M111" s="6"/>
      <c r="N111" s="6"/>
      <c r="O111" s="3"/>
      <c r="P111" s="6"/>
      <c r="Q111" s="6"/>
      <c r="R111" s="6"/>
      <c r="S111" s="6"/>
      <c r="T111" s="6"/>
      <c r="U111" t="str">
        <f t="shared" si="1"/>
        <v/>
      </c>
    </row>
    <row r="112" spans="3:21" customFormat="1" hidden="1">
      <c r="C112" s="6"/>
      <c r="D112" s="6"/>
      <c r="E112" s="98"/>
      <c r="F112" s="3"/>
      <c r="G112" s="6"/>
      <c r="H112" s="3"/>
      <c r="I112" s="6"/>
      <c r="J112" s="6"/>
      <c r="K112" s="6"/>
      <c r="L112" s="6"/>
      <c r="M112" s="6"/>
      <c r="N112" s="6"/>
      <c r="O112" s="3"/>
      <c r="P112" s="6"/>
      <c r="Q112" s="6"/>
      <c r="R112" s="6"/>
      <c r="S112" s="6"/>
      <c r="T112" s="6"/>
      <c r="U112" t="str">
        <f t="shared" si="1"/>
        <v/>
      </c>
    </row>
    <row r="113" spans="3:21" customFormat="1" hidden="1">
      <c r="C113" s="6"/>
      <c r="D113" s="6"/>
      <c r="E113" s="98"/>
      <c r="F113" s="3"/>
      <c r="G113" s="6"/>
      <c r="H113" s="3"/>
      <c r="I113" s="6"/>
      <c r="J113" s="6"/>
      <c r="K113" s="6"/>
      <c r="L113" s="6"/>
      <c r="M113" s="6"/>
      <c r="N113" s="6"/>
      <c r="O113" s="3"/>
      <c r="P113" s="6"/>
      <c r="Q113" s="6"/>
      <c r="R113" s="6"/>
      <c r="S113" s="6"/>
      <c r="T113" s="6"/>
      <c r="U113" t="str">
        <f t="shared" si="1"/>
        <v/>
      </c>
    </row>
    <row r="114" spans="3:21" customFormat="1" hidden="1">
      <c r="C114" s="6"/>
      <c r="D114" s="6"/>
      <c r="E114" s="98"/>
      <c r="F114" s="3"/>
      <c r="G114" s="6"/>
      <c r="H114" s="3"/>
      <c r="I114" s="6"/>
      <c r="J114" s="6"/>
      <c r="K114" s="6"/>
      <c r="L114" s="6"/>
      <c r="M114" s="6"/>
      <c r="N114" s="6"/>
      <c r="O114" s="3"/>
      <c r="P114" s="6"/>
      <c r="Q114" s="6"/>
      <c r="R114" s="6"/>
      <c r="S114" s="6"/>
      <c r="T114" s="6"/>
      <c r="U114" t="str">
        <f t="shared" si="1"/>
        <v/>
      </c>
    </row>
    <row r="115" spans="3:21" customFormat="1" hidden="1">
      <c r="C115" s="6"/>
      <c r="D115" s="6"/>
      <c r="E115" s="98"/>
      <c r="F115" s="3"/>
      <c r="G115" s="6"/>
      <c r="H115" s="3"/>
      <c r="I115" s="6"/>
      <c r="J115" s="6"/>
      <c r="K115" s="6"/>
      <c r="L115" s="6"/>
      <c r="M115" s="6"/>
      <c r="N115" s="6"/>
      <c r="O115" s="3"/>
      <c r="P115" s="6"/>
      <c r="Q115" s="6"/>
      <c r="R115" s="6"/>
      <c r="S115" s="6"/>
      <c r="T115" s="6"/>
      <c r="U115" t="str">
        <f t="shared" si="1"/>
        <v/>
      </c>
    </row>
    <row r="116" spans="3:21" customFormat="1" hidden="1">
      <c r="C116" s="6"/>
      <c r="D116" s="6"/>
      <c r="E116" s="98"/>
      <c r="F116" s="3"/>
      <c r="G116" s="6"/>
      <c r="H116" s="3"/>
      <c r="I116" s="6"/>
      <c r="J116" s="6"/>
      <c r="K116" s="6"/>
      <c r="L116" s="6"/>
      <c r="M116" s="6"/>
      <c r="N116" s="6"/>
      <c r="O116" s="3"/>
      <c r="P116" s="6"/>
      <c r="Q116" s="6"/>
      <c r="R116" s="6"/>
      <c r="S116" s="6"/>
      <c r="T116" s="6"/>
      <c r="U116" t="str">
        <f t="shared" si="1"/>
        <v/>
      </c>
    </row>
    <row r="117" spans="3:21" customFormat="1" hidden="1">
      <c r="C117" s="6"/>
      <c r="D117" s="6"/>
      <c r="E117" s="98"/>
      <c r="F117" s="3"/>
      <c r="G117" s="6"/>
      <c r="H117" s="3"/>
      <c r="I117" s="6"/>
      <c r="J117" s="6"/>
      <c r="K117" s="6"/>
      <c r="L117" s="6"/>
      <c r="M117" s="6"/>
      <c r="N117" s="6"/>
      <c r="O117" s="3"/>
      <c r="P117" s="6"/>
      <c r="Q117" s="6"/>
      <c r="R117" s="6"/>
      <c r="S117" s="6"/>
      <c r="T117" s="6"/>
      <c r="U117" t="str">
        <f t="shared" si="1"/>
        <v/>
      </c>
    </row>
    <row r="118" spans="3:21" customFormat="1" hidden="1">
      <c r="C118" s="6"/>
      <c r="D118" s="6"/>
      <c r="E118" s="98"/>
      <c r="F118" s="3"/>
      <c r="G118" s="6"/>
      <c r="H118" s="3"/>
      <c r="I118" s="6"/>
      <c r="J118" s="6"/>
      <c r="K118" s="6"/>
      <c r="L118" s="6"/>
      <c r="M118" s="6"/>
      <c r="N118" s="6"/>
      <c r="O118" s="3"/>
      <c r="P118" s="6"/>
      <c r="Q118" s="6"/>
      <c r="R118" s="6"/>
      <c r="S118" s="6"/>
      <c r="T118" s="6"/>
      <c r="U118" t="str">
        <f t="shared" si="1"/>
        <v/>
      </c>
    </row>
    <row r="119" spans="3:21" customFormat="1" hidden="1">
      <c r="C119" s="6"/>
      <c r="D119" s="6"/>
      <c r="E119" s="98"/>
      <c r="F119" s="3"/>
      <c r="G119" s="6"/>
      <c r="H119" s="3"/>
      <c r="I119" s="6"/>
      <c r="J119" s="6"/>
      <c r="K119" s="6"/>
      <c r="L119" s="6"/>
      <c r="M119" s="6"/>
      <c r="N119" s="6"/>
      <c r="O119" s="3"/>
      <c r="P119" s="6"/>
      <c r="Q119" s="6"/>
      <c r="R119" s="6"/>
      <c r="S119" s="6"/>
      <c r="T119" s="6"/>
      <c r="U119" t="str">
        <f t="shared" si="1"/>
        <v/>
      </c>
    </row>
    <row r="120" spans="3:21" customFormat="1" hidden="1">
      <c r="C120" s="6"/>
      <c r="D120" s="6"/>
      <c r="E120" s="98"/>
      <c r="F120" s="3"/>
      <c r="G120" s="6"/>
      <c r="H120" s="3"/>
      <c r="I120" s="6"/>
      <c r="J120" s="6"/>
      <c r="K120" s="6"/>
      <c r="L120" s="6"/>
      <c r="M120" s="6"/>
      <c r="N120" s="6"/>
      <c r="O120" s="3"/>
      <c r="P120" s="6"/>
      <c r="Q120" s="6"/>
      <c r="R120" s="6"/>
      <c r="S120" s="6"/>
      <c r="T120" s="6"/>
      <c r="U120" t="str">
        <f t="shared" si="1"/>
        <v/>
      </c>
    </row>
    <row r="121" spans="3:21" customFormat="1" hidden="1">
      <c r="C121" s="6"/>
      <c r="D121" s="6"/>
      <c r="E121" s="98"/>
      <c r="F121" s="3"/>
      <c r="G121" s="6"/>
      <c r="H121" s="3"/>
      <c r="I121" s="6"/>
      <c r="J121" s="6"/>
      <c r="K121" s="6"/>
      <c r="L121" s="6"/>
      <c r="M121" s="6"/>
      <c r="N121" s="6"/>
      <c r="O121" s="3"/>
      <c r="P121" s="6"/>
      <c r="Q121" s="6"/>
      <c r="R121" s="6"/>
      <c r="S121" s="6"/>
      <c r="T121" s="6"/>
      <c r="U121" t="str">
        <f t="shared" si="1"/>
        <v/>
      </c>
    </row>
    <row r="122" spans="3:21" customFormat="1" hidden="1">
      <c r="C122" s="6"/>
      <c r="D122" s="6"/>
      <c r="E122" s="98"/>
      <c r="F122" s="3"/>
      <c r="G122" s="6"/>
      <c r="H122" s="3"/>
      <c r="I122" s="6"/>
      <c r="J122" s="6"/>
      <c r="K122" s="6"/>
      <c r="L122" s="6"/>
      <c r="M122" s="6"/>
      <c r="N122" s="6"/>
      <c r="O122" s="3"/>
      <c r="P122" s="6"/>
      <c r="Q122" s="6"/>
      <c r="R122" s="6"/>
      <c r="S122" s="6"/>
      <c r="T122" s="6"/>
      <c r="U122" t="str">
        <f t="shared" si="1"/>
        <v/>
      </c>
    </row>
    <row r="123" spans="3:21" customFormat="1" hidden="1">
      <c r="C123" s="6"/>
      <c r="D123" s="6"/>
      <c r="E123" s="98"/>
      <c r="F123" s="3"/>
      <c r="G123" s="6"/>
      <c r="H123" s="3"/>
      <c r="I123" s="6"/>
      <c r="J123" s="6"/>
      <c r="K123" s="6"/>
      <c r="L123" s="6"/>
      <c r="M123" s="6"/>
      <c r="N123" s="6"/>
      <c r="O123" s="3"/>
      <c r="P123" s="6"/>
      <c r="Q123" s="6"/>
      <c r="R123" s="6"/>
      <c r="S123" s="6"/>
      <c r="T123" s="6"/>
      <c r="U123" t="str">
        <f t="shared" si="1"/>
        <v/>
      </c>
    </row>
    <row r="124" spans="3:21" customFormat="1" hidden="1">
      <c r="C124" s="6"/>
      <c r="D124" s="6"/>
      <c r="E124" s="98"/>
      <c r="F124" s="3"/>
      <c r="G124" s="6"/>
      <c r="H124" s="3"/>
      <c r="I124" s="6"/>
      <c r="J124" s="6"/>
      <c r="K124" s="6"/>
      <c r="L124" s="6"/>
      <c r="M124" s="6"/>
      <c r="N124" s="6"/>
      <c r="O124" s="3"/>
      <c r="P124" s="6"/>
      <c r="Q124" s="6"/>
      <c r="R124" s="6"/>
      <c r="S124" s="6"/>
      <c r="T124" s="6"/>
      <c r="U124" t="str">
        <f t="shared" si="1"/>
        <v/>
      </c>
    </row>
    <row r="125" spans="3:21" customFormat="1" hidden="1">
      <c r="C125" s="6"/>
      <c r="D125" s="6"/>
      <c r="E125" s="98"/>
      <c r="F125" s="3"/>
      <c r="G125" s="6"/>
      <c r="H125" s="3"/>
      <c r="I125" s="6"/>
      <c r="J125" s="6"/>
      <c r="K125" s="6"/>
      <c r="L125" s="6"/>
      <c r="M125" s="6"/>
      <c r="N125" s="6"/>
      <c r="O125" s="3"/>
      <c r="P125" s="6"/>
      <c r="Q125" s="6"/>
      <c r="R125" s="6"/>
      <c r="S125" s="6"/>
      <c r="T125" s="6"/>
      <c r="U125" t="str">
        <f t="shared" si="1"/>
        <v/>
      </c>
    </row>
    <row r="126" spans="3:21" customFormat="1" hidden="1">
      <c r="C126" s="6"/>
      <c r="D126" s="6"/>
      <c r="E126" s="98"/>
      <c r="F126" s="3"/>
      <c r="G126" s="6"/>
      <c r="H126" s="3"/>
      <c r="I126" s="6"/>
      <c r="J126" s="6"/>
      <c r="K126" s="6"/>
      <c r="L126" s="6"/>
      <c r="M126" s="6"/>
      <c r="N126" s="6"/>
      <c r="O126" s="3"/>
      <c r="P126" s="6"/>
      <c r="Q126" s="6"/>
      <c r="R126" s="6"/>
      <c r="S126" s="6"/>
      <c r="T126" s="6"/>
      <c r="U126" t="str">
        <f t="shared" si="1"/>
        <v/>
      </c>
    </row>
    <row r="127" spans="3:21" customFormat="1" hidden="1">
      <c r="C127" s="6"/>
      <c r="D127" s="6"/>
      <c r="E127" s="98"/>
      <c r="F127" s="3"/>
      <c r="G127" s="6"/>
      <c r="H127" s="3"/>
      <c r="I127" s="6"/>
      <c r="J127" s="6"/>
      <c r="K127" s="6"/>
      <c r="L127" s="6"/>
      <c r="M127" s="6"/>
      <c r="N127" s="6"/>
      <c r="O127" s="3"/>
      <c r="P127" s="6"/>
      <c r="Q127" s="6"/>
      <c r="R127" s="6"/>
      <c r="S127" s="6"/>
      <c r="T127" s="6"/>
      <c r="U127" t="str">
        <f t="shared" si="1"/>
        <v/>
      </c>
    </row>
    <row r="128" spans="3:21" customFormat="1" hidden="1">
      <c r="C128" s="6"/>
      <c r="D128" s="6"/>
      <c r="E128" s="98"/>
      <c r="F128" s="3"/>
      <c r="G128" s="6"/>
      <c r="H128" s="3"/>
      <c r="I128" s="6"/>
      <c r="J128" s="6"/>
      <c r="K128" s="6"/>
      <c r="L128" s="6"/>
      <c r="M128" s="6"/>
      <c r="N128" s="6"/>
      <c r="O128" s="3"/>
      <c r="P128" s="6"/>
      <c r="Q128" s="6"/>
      <c r="R128" s="6"/>
      <c r="S128" s="6"/>
      <c r="T128" s="6"/>
      <c r="U128" t="str">
        <f t="shared" si="1"/>
        <v/>
      </c>
    </row>
    <row r="129" spans="3:21" customFormat="1" hidden="1">
      <c r="C129" s="6"/>
      <c r="D129" s="6"/>
      <c r="E129" s="98"/>
      <c r="F129" s="3"/>
      <c r="G129" s="6"/>
      <c r="H129" s="3"/>
      <c r="I129" s="6"/>
      <c r="J129" s="6"/>
      <c r="K129" s="6"/>
      <c r="L129" s="6"/>
      <c r="M129" s="6"/>
      <c r="N129" s="6"/>
      <c r="O129" s="3"/>
      <c r="P129" s="6"/>
      <c r="Q129" s="6"/>
      <c r="R129" s="6"/>
      <c r="S129" s="6"/>
      <c r="T129" s="6"/>
      <c r="U129" t="str">
        <f t="shared" si="1"/>
        <v/>
      </c>
    </row>
    <row r="130" spans="3:21" customFormat="1" hidden="1">
      <c r="C130" s="6"/>
      <c r="D130" s="6"/>
      <c r="E130" s="98"/>
      <c r="F130" s="3"/>
      <c r="G130" s="6"/>
      <c r="H130" s="3"/>
      <c r="I130" s="6"/>
      <c r="J130" s="6"/>
      <c r="K130" s="6"/>
      <c r="L130" s="6"/>
      <c r="M130" s="6"/>
      <c r="N130" s="6"/>
      <c r="O130" s="3"/>
      <c r="P130" s="6"/>
      <c r="Q130" s="6"/>
      <c r="R130" s="6"/>
      <c r="S130" s="6"/>
      <c r="T130" s="6"/>
      <c r="U130" t="str">
        <f t="shared" si="1"/>
        <v/>
      </c>
    </row>
    <row r="131" spans="3:21" customFormat="1" hidden="1">
      <c r="C131" s="6"/>
      <c r="D131" s="6"/>
      <c r="E131" s="98"/>
      <c r="F131" s="3"/>
      <c r="G131" s="6"/>
      <c r="H131" s="3"/>
      <c r="I131" s="6"/>
      <c r="J131" s="6"/>
      <c r="K131" s="6"/>
      <c r="L131" s="6"/>
      <c r="M131" s="6"/>
      <c r="N131" s="6"/>
      <c r="O131" s="3"/>
      <c r="P131" s="6"/>
      <c r="Q131" s="6"/>
      <c r="R131" s="6"/>
      <c r="S131" s="6"/>
      <c r="T131" s="6"/>
      <c r="U131" t="str">
        <f t="shared" si="1"/>
        <v/>
      </c>
    </row>
    <row r="132" spans="3:21" customFormat="1" hidden="1">
      <c r="C132" s="6"/>
      <c r="D132" s="6"/>
      <c r="E132" s="98"/>
      <c r="F132" s="3"/>
      <c r="G132" s="6"/>
      <c r="H132" s="3"/>
      <c r="I132" s="6"/>
      <c r="J132" s="6"/>
      <c r="K132" s="6"/>
      <c r="L132" s="6"/>
      <c r="M132" s="6"/>
      <c r="N132" s="6"/>
      <c r="O132" s="3"/>
      <c r="P132" s="6"/>
      <c r="Q132" s="6"/>
      <c r="R132" s="6"/>
      <c r="S132" s="6"/>
      <c r="T132" s="6"/>
      <c r="U132" t="str">
        <f t="shared" si="1"/>
        <v/>
      </c>
    </row>
    <row r="133" spans="3:21" customFormat="1" hidden="1">
      <c r="C133" s="6"/>
      <c r="D133" s="6"/>
      <c r="E133" s="98"/>
      <c r="F133" s="3"/>
      <c r="G133" s="6"/>
      <c r="H133" s="3"/>
      <c r="I133" s="6"/>
      <c r="J133" s="6"/>
      <c r="K133" s="6"/>
      <c r="L133" s="6"/>
      <c r="M133" s="6"/>
      <c r="N133" s="6"/>
      <c r="O133" s="3"/>
      <c r="P133" s="6"/>
      <c r="Q133" s="6"/>
      <c r="R133" s="6"/>
      <c r="S133" s="6"/>
      <c r="T133" s="6"/>
      <c r="U133" t="str">
        <f t="shared" si="1"/>
        <v/>
      </c>
    </row>
    <row r="134" spans="3:21" customFormat="1" hidden="1">
      <c r="C134" s="6"/>
      <c r="D134" s="6"/>
      <c r="E134" s="98"/>
      <c r="F134" s="3"/>
      <c r="G134" s="6"/>
      <c r="H134" s="3"/>
      <c r="I134" s="6"/>
      <c r="J134" s="6"/>
      <c r="K134" s="6"/>
      <c r="L134" s="6"/>
      <c r="M134" s="6"/>
      <c r="N134" s="6"/>
      <c r="O134" s="3"/>
      <c r="P134" s="6"/>
      <c r="Q134" s="6"/>
      <c r="R134" s="6"/>
      <c r="S134" s="6"/>
      <c r="T134" s="6"/>
      <c r="U134" t="str">
        <f t="shared" si="1"/>
        <v/>
      </c>
    </row>
    <row r="135" spans="3:21" customFormat="1" hidden="1">
      <c r="C135" s="6"/>
      <c r="D135" s="6"/>
      <c r="E135" s="98"/>
      <c r="F135" s="3"/>
      <c r="G135" s="6"/>
      <c r="H135" s="3"/>
      <c r="I135" s="6"/>
      <c r="J135" s="6"/>
      <c r="K135" s="6"/>
      <c r="L135" s="6"/>
      <c r="M135" s="6"/>
      <c r="N135" s="6"/>
      <c r="O135" s="3"/>
      <c r="P135" s="6"/>
      <c r="Q135" s="6"/>
      <c r="R135" s="6"/>
      <c r="S135" s="6"/>
      <c r="T135" s="6"/>
      <c r="U135" t="str">
        <f t="shared" ref="U135:U198" si="2">IF(D135="","","x")</f>
        <v/>
      </c>
    </row>
    <row r="136" spans="3:21" customFormat="1" hidden="1">
      <c r="C136" s="6"/>
      <c r="D136" s="6"/>
      <c r="E136" s="98"/>
      <c r="F136" s="3"/>
      <c r="G136" s="6"/>
      <c r="H136" s="3"/>
      <c r="I136" s="6"/>
      <c r="J136" s="6"/>
      <c r="K136" s="6"/>
      <c r="L136" s="6"/>
      <c r="M136" s="6"/>
      <c r="N136" s="6"/>
      <c r="O136" s="3"/>
      <c r="P136" s="6"/>
      <c r="Q136" s="6"/>
      <c r="R136" s="6"/>
      <c r="S136" s="6"/>
      <c r="T136" s="6"/>
      <c r="U136" t="str">
        <f t="shared" si="2"/>
        <v/>
      </c>
    </row>
    <row r="137" spans="3:21" customFormat="1" hidden="1">
      <c r="C137" s="6"/>
      <c r="D137" s="6"/>
      <c r="E137" s="98"/>
      <c r="F137" s="3"/>
      <c r="G137" s="6"/>
      <c r="H137" s="3"/>
      <c r="I137" s="6"/>
      <c r="J137" s="6"/>
      <c r="K137" s="6"/>
      <c r="L137" s="6"/>
      <c r="M137" s="6"/>
      <c r="N137" s="6"/>
      <c r="O137" s="3"/>
      <c r="P137" s="6"/>
      <c r="Q137" s="6"/>
      <c r="R137" s="6"/>
      <c r="S137" s="6"/>
      <c r="T137" s="6"/>
      <c r="U137" t="str">
        <f t="shared" si="2"/>
        <v/>
      </c>
    </row>
    <row r="138" spans="3:21" customFormat="1" hidden="1">
      <c r="C138" s="6"/>
      <c r="D138" s="6"/>
      <c r="E138" s="98"/>
      <c r="F138" s="3"/>
      <c r="G138" s="6"/>
      <c r="H138" s="3"/>
      <c r="I138" s="6"/>
      <c r="J138" s="6"/>
      <c r="K138" s="6"/>
      <c r="L138" s="6"/>
      <c r="M138" s="6"/>
      <c r="N138" s="6"/>
      <c r="O138" s="3"/>
      <c r="P138" s="6"/>
      <c r="Q138" s="6"/>
      <c r="R138" s="6"/>
      <c r="S138" s="6"/>
      <c r="T138" s="6"/>
      <c r="U138" t="str">
        <f t="shared" si="2"/>
        <v/>
      </c>
    </row>
    <row r="139" spans="3:21" customFormat="1" hidden="1">
      <c r="C139" s="6"/>
      <c r="D139" s="6"/>
      <c r="E139" s="98"/>
      <c r="F139" s="3"/>
      <c r="G139" s="6"/>
      <c r="H139" s="3"/>
      <c r="I139" s="6"/>
      <c r="J139" s="6"/>
      <c r="K139" s="6"/>
      <c r="L139" s="6"/>
      <c r="M139" s="6"/>
      <c r="N139" s="6"/>
      <c r="O139" s="3"/>
      <c r="P139" s="6"/>
      <c r="Q139" s="6"/>
      <c r="R139" s="6"/>
      <c r="S139" s="6"/>
      <c r="T139" s="6"/>
      <c r="U139" t="str">
        <f t="shared" si="2"/>
        <v/>
      </c>
    </row>
    <row r="140" spans="3:21" customFormat="1" hidden="1">
      <c r="C140" s="6"/>
      <c r="D140" s="6"/>
      <c r="E140" s="98"/>
      <c r="F140" s="3"/>
      <c r="G140" s="6"/>
      <c r="H140" s="3"/>
      <c r="I140" s="6"/>
      <c r="J140" s="6"/>
      <c r="K140" s="6"/>
      <c r="L140" s="6"/>
      <c r="M140" s="6"/>
      <c r="N140" s="6"/>
      <c r="O140" s="3"/>
      <c r="P140" s="6"/>
      <c r="Q140" s="6"/>
      <c r="R140" s="6"/>
      <c r="S140" s="6"/>
      <c r="T140" s="6"/>
      <c r="U140" t="str">
        <f t="shared" si="2"/>
        <v/>
      </c>
    </row>
    <row r="141" spans="3:21" customFormat="1" hidden="1">
      <c r="C141" s="6"/>
      <c r="D141" s="6"/>
      <c r="E141" s="98"/>
      <c r="F141" s="3"/>
      <c r="G141" s="6"/>
      <c r="H141" s="3"/>
      <c r="I141" s="6"/>
      <c r="J141" s="6"/>
      <c r="K141" s="6"/>
      <c r="L141" s="6"/>
      <c r="M141" s="6"/>
      <c r="N141" s="6"/>
      <c r="O141" s="3"/>
      <c r="P141" s="6"/>
      <c r="Q141" s="6"/>
      <c r="R141" s="6"/>
      <c r="S141" s="6"/>
      <c r="T141" s="6"/>
      <c r="U141" t="str">
        <f t="shared" si="2"/>
        <v/>
      </c>
    </row>
    <row r="142" spans="3:21" customFormat="1" hidden="1">
      <c r="C142" s="6"/>
      <c r="D142" s="6"/>
      <c r="E142" s="98"/>
      <c r="F142" s="3"/>
      <c r="G142" s="6"/>
      <c r="H142" s="3"/>
      <c r="I142" s="6"/>
      <c r="J142" s="6"/>
      <c r="K142" s="6"/>
      <c r="L142" s="6"/>
      <c r="M142" s="6"/>
      <c r="N142" s="6"/>
      <c r="O142" s="3"/>
      <c r="P142" s="6"/>
      <c r="Q142" s="6"/>
      <c r="R142" s="6"/>
      <c r="S142" s="6"/>
      <c r="T142" s="6"/>
      <c r="U142" t="str">
        <f t="shared" si="2"/>
        <v/>
      </c>
    </row>
    <row r="143" spans="3:21" customFormat="1" hidden="1">
      <c r="C143" s="6"/>
      <c r="D143" s="6"/>
      <c r="E143" s="98"/>
      <c r="F143" s="3"/>
      <c r="G143" s="6"/>
      <c r="H143" s="3"/>
      <c r="I143" s="6"/>
      <c r="J143" s="6"/>
      <c r="K143" s="6"/>
      <c r="L143" s="6"/>
      <c r="M143" s="6"/>
      <c r="N143" s="6"/>
      <c r="O143" s="3"/>
      <c r="P143" s="6"/>
      <c r="Q143" s="6"/>
      <c r="R143" s="6"/>
      <c r="S143" s="6"/>
      <c r="T143" s="6"/>
      <c r="U143" t="str">
        <f t="shared" si="2"/>
        <v/>
      </c>
    </row>
    <row r="144" spans="3:21" customFormat="1" hidden="1">
      <c r="C144" s="6"/>
      <c r="D144" s="6"/>
      <c r="E144" s="98"/>
      <c r="F144" s="3"/>
      <c r="G144" s="6"/>
      <c r="H144" s="3"/>
      <c r="I144" s="6"/>
      <c r="J144" s="6"/>
      <c r="K144" s="6"/>
      <c r="L144" s="6"/>
      <c r="M144" s="6"/>
      <c r="N144" s="6"/>
      <c r="O144" s="3"/>
      <c r="P144" s="6"/>
      <c r="Q144" s="6"/>
      <c r="R144" s="6"/>
      <c r="S144" s="6"/>
      <c r="T144" s="6"/>
      <c r="U144" t="str">
        <f t="shared" si="2"/>
        <v/>
      </c>
    </row>
    <row r="145" spans="3:21" customFormat="1" hidden="1">
      <c r="C145" s="6"/>
      <c r="D145" s="6"/>
      <c r="E145" s="98"/>
      <c r="F145" s="3"/>
      <c r="G145" s="6"/>
      <c r="H145" s="3"/>
      <c r="I145" s="6"/>
      <c r="J145" s="6"/>
      <c r="K145" s="6"/>
      <c r="L145" s="6"/>
      <c r="M145" s="6"/>
      <c r="N145" s="6"/>
      <c r="O145" s="3"/>
      <c r="P145" s="6"/>
      <c r="Q145" s="6"/>
      <c r="R145" s="6"/>
      <c r="S145" s="6"/>
      <c r="T145" s="6"/>
      <c r="U145" t="str">
        <f t="shared" si="2"/>
        <v/>
      </c>
    </row>
    <row r="146" spans="3:21" customFormat="1" hidden="1">
      <c r="C146" s="6"/>
      <c r="D146" s="6"/>
      <c r="E146" s="98"/>
      <c r="F146" s="3"/>
      <c r="G146" s="6"/>
      <c r="H146" s="3"/>
      <c r="I146" s="6"/>
      <c r="J146" s="6"/>
      <c r="K146" s="6"/>
      <c r="L146" s="6"/>
      <c r="M146" s="6"/>
      <c r="N146" s="6"/>
      <c r="O146" s="3"/>
      <c r="P146" s="6"/>
      <c r="Q146" s="6"/>
      <c r="R146" s="6"/>
      <c r="S146" s="6"/>
      <c r="T146" s="6"/>
      <c r="U146" t="str">
        <f t="shared" si="2"/>
        <v/>
      </c>
    </row>
    <row r="147" spans="3:21" customFormat="1" hidden="1">
      <c r="C147" s="6"/>
      <c r="D147" s="6"/>
      <c r="E147" s="98"/>
      <c r="F147" s="3"/>
      <c r="G147" s="6"/>
      <c r="H147" s="3"/>
      <c r="I147" s="6"/>
      <c r="J147" s="6"/>
      <c r="K147" s="6"/>
      <c r="L147" s="6"/>
      <c r="M147" s="6"/>
      <c r="N147" s="6"/>
      <c r="O147" s="3"/>
      <c r="P147" s="6"/>
      <c r="Q147" s="6"/>
      <c r="R147" s="6"/>
      <c r="S147" s="6"/>
      <c r="T147" s="6"/>
      <c r="U147" t="str">
        <f t="shared" si="2"/>
        <v/>
      </c>
    </row>
    <row r="148" spans="3:21" customFormat="1" hidden="1">
      <c r="C148" s="6"/>
      <c r="D148" s="6"/>
      <c r="E148" s="98"/>
      <c r="F148" s="3"/>
      <c r="G148" s="6"/>
      <c r="H148" s="3"/>
      <c r="I148" s="6"/>
      <c r="J148" s="6"/>
      <c r="K148" s="6"/>
      <c r="L148" s="6"/>
      <c r="M148" s="6"/>
      <c r="N148" s="6"/>
      <c r="O148" s="3"/>
      <c r="P148" s="6"/>
      <c r="Q148" s="6"/>
      <c r="R148" s="6"/>
      <c r="S148" s="6"/>
      <c r="T148" s="6"/>
      <c r="U148" t="str">
        <f t="shared" si="2"/>
        <v/>
      </c>
    </row>
    <row r="149" spans="3:21" customFormat="1" hidden="1">
      <c r="C149" s="6"/>
      <c r="D149" s="6"/>
      <c r="E149" s="98"/>
      <c r="F149" s="3"/>
      <c r="G149" s="6"/>
      <c r="H149" s="3"/>
      <c r="I149" s="6"/>
      <c r="J149" s="6"/>
      <c r="K149" s="6"/>
      <c r="L149" s="6"/>
      <c r="M149" s="6"/>
      <c r="N149" s="6"/>
      <c r="O149" s="3"/>
      <c r="P149" s="6"/>
      <c r="Q149" s="6"/>
      <c r="R149" s="6"/>
      <c r="S149" s="6"/>
      <c r="T149" s="6"/>
      <c r="U149" t="str">
        <f t="shared" si="2"/>
        <v/>
      </c>
    </row>
    <row r="150" spans="3:21" customFormat="1" hidden="1">
      <c r="C150" s="6"/>
      <c r="D150" s="6"/>
      <c r="E150" s="98"/>
      <c r="F150" s="3"/>
      <c r="G150" s="6"/>
      <c r="H150" s="3"/>
      <c r="I150" s="6"/>
      <c r="J150" s="6"/>
      <c r="K150" s="6"/>
      <c r="L150" s="6"/>
      <c r="M150" s="6"/>
      <c r="N150" s="6"/>
      <c r="O150" s="3"/>
      <c r="P150" s="6"/>
      <c r="Q150" s="6"/>
      <c r="R150" s="6"/>
      <c r="S150" s="6"/>
      <c r="T150" s="6"/>
      <c r="U150" t="str">
        <f t="shared" si="2"/>
        <v/>
      </c>
    </row>
    <row r="151" spans="3:21" customFormat="1" hidden="1">
      <c r="C151" s="6"/>
      <c r="D151" s="6"/>
      <c r="E151" s="98"/>
      <c r="F151" s="3"/>
      <c r="G151" s="6"/>
      <c r="H151" s="3"/>
      <c r="I151" s="6"/>
      <c r="J151" s="6"/>
      <c r="K151" s="6"/>
      <c r="L151" s="6"/>
      <c r="M151" s="6"/>
      <c r="N151" s="6"/>
      <c r="O151" s="3"/>
      <c r="P151" s="6"/>
      <c r="Q151" s="6"/>
      <c r="R151" s="6"/>
      <c r="S151" s="6"/>
      <c r="T151" s="6"/>
      <c r="U151" t="str">
        <f t="shared" si="2"/>
        <v/>
      </c>
    </row>
    <row r="152" spans="3:21" customFormat="1" hidden="1">
      <c r="C152" s="6"/>
      <c r="D152" s="6"/>
      <c r="E152" s="98"/>
      <c r="F152" s="3"/>
      <c r="G152" s="6"/>
      <c r="H152" s="3"/>
      <c r="I152" s="6"/>
      <c r="J152" s="6"/>
      <c r="K152" s="6"/>
      <c r="L152" s="6"/>
      <c r="M152" s="6"/>
      <c r="N152" s="6"/>
      <c r="O152" s="3"/>
      <c r="P152" s="6"/>
      <c r="Q152" s="6"/>
      <c r="R152" s="6"/>
      <c r="S152" s="6"/>
      <c r="T152" s="6"/>
      <c r="U152" t="str">
        <f t="shared" si="2"/>
        <v/>
      </c>
    </row>
    <row r="153" spans="3:21" customFormat="1" hidden="1">
      <c r="C153" s="6"/>
      <c r="D153" s="6"/>
      <c r="E153" s="98"/>
      <c r="F153" s="3"/>
      <c r="G153" s="6"/>
      <c r="H153" s="3"/>
      <c r="I153" s="6"/>
      <c r="J153" s="6"/>
      <c r="K153" s="6"/>
      <c r="L153" s="6"/>
      <c r="M153" s="6"/>
      <c r="N153" s="6"/>
      <c r="O153" s="3"/>
      <c r="P153" s="6"/>
      <c r="Q153" s="6"/>
      <c r="R153" s="6"/>
      <c r="S153" s="6"/>
      <c r="T153" s="6"/>
      <c r="U153" t="str">
        <f t="shared" si="2"/>
        <v/>
      </c>
    </row>
    <row r="154" spans="3:21" customFormat="1" hidden="1">
      <c r="C154" s="6"/>
      <c r="D154" s="6"/>
      <c r="E154" s="98"/>
      <c r="F154" s="3"/>
      <c r="G154" s="6"/>
      <c r="H154" s="3"/>
      <c r="I154" s="6"/>
      <c r="J154" s="6"/>
      <c r="K154" s="6"/>
      <c r="L154" s="6"/>
      <c r="M154" s="6"/>
      <c r="N154" s="6"/>
      <c r="O154" s="3"/>
      <c r="P154" s="6"/>
      <c r="Q154" s="6"/>
      <c r="R154" s="6"/>
      <c r="S154" s="6"/>
      <c r="T154" s="6"/>
      <c r="U154" t="str">
        <f t="shared" si="2"/>
        <v/>
      </c>
    </row>
    <row r="155" spans="3:21" customFormat="1" hidden="1">
      <c r="C155" s="6"/>
      <c r="D155" s="6"/>
      <c r="E155" s="98"/>
      <c r="F155" s="3"/>
      <c r="G155" s="6"/>
      <c r="H155" s="3"/>
      <c r="I155" s="6"/>
      <c r="J155" s="6"/>
      <c r="K155" s="6"/>
      <c r="L155" s="6"/>
      <c r="M155" s="6"/>
      <c r="N155" s="6"/>
      <c r="O155" s="3"/>
      <c r="P155" s="6"/>
      <c r="Q155" s="6"/>
      <c r="R155" s="6"/>
      <c r="S155" s="6"/>
      <c r="T155" s="6"/>
      <c r="U155" t="str">
        <f t="shared" si="2"/>
        <v/>
      </c>
    </row>
    <row r="156" spans="3:21" customFormat="1" hidden="1">
      <c r="C156" s="6"/>
      <c r="D156" s="6"/>
      <c r="E156" s="98"/>
      <c r="F156" s="3"/>
      <c r="G156" s="6"/>
      <c r="H156" s="3"/>
      <c r="I156" s="6"/>
      <c r="J156" s="6"/>
      <c r="K156" s="6"/>
      <c r="L156" s="6"/>
      <c r="M156" s="6"/>
      <c r="N156" s="6"/>
      <c r="O156" s="3"/>
      <c r="P156" s="6"/>
      <c r="Q156" s="6"/>
      <c r="R156" s="6"/>
      <c r="S156" s="6"/>
      <c r="T156" s="6"/>
      <c r="U156" t="str">
        <f t="shared" si="2"/>
        <v/>
      </c>
    </row>
    <row r="157" spans="3:21" customFormat="1" hidden="1">
      <c r="C157" s="6"/>
      <c r="D157" s="6"/>
      <c r="E157" s="98"/>
      <c r="F157" s="3"/>
      <c r="G157" s="6"/>
      <c r="H157" s="3"/>
      <c r="I157" s="6"/>
      <c r="J157" s="6"/>
      <c r="K157" s="6"/>
      <c r="L157" s="6"/>
      <c r="M157" s="6"/>
      <c r="N157" s="6"/>
      <c r="O157" s="3"/>
      <c r="P157" s="6"/>
      <c r="Q157" s="6"/>
      <c r="R157" s="6"/>
      <c r="S157" s="6"/>
      <c r="T157" s="6"/>
      <c r="U157" t="str">
        <f t="shared" si="2"/>
        <v/>
      </c>
    </row>
    <row r="158" spans="3:21" customFormat="1" hidden="1">
      <c r="C158" s="6"/>
      <c r="D158" s="6"/>
      <c r="E158" s="98"/>
      <c r="F158" s="3"/>
      <c r="G158" s="6"/>
      <c r="H158" s="3"/>
      <c r="I158" s="6"/>
      <c r="J158" s="6"/>
      <c r="K158" s="6"/>
      <c r="L158" s="6"/>
      <c r="M158" s="6"/>
      <c r="N158" s="6"/>
      <c r="O158" s="3"/>
      <c r="P158" s="6"/>
      <c r="Q158" s="6"/>
      <c r="R158" s="6"/>
      <c r="S158" s="6"/>
      <c r="T158" s="6"/>
      <c r="U158" t="str">
        <f t="shared" si="2"/>
        <v/>
      </c>
    </row>
    <row r="159" spans="3:21" customFormat="1" hidden="1">
      <c r="C159" s="6"/>
      <c r="D159" s="6"/>
      <c r="E159" s="98"/>
      <c r="F159" s="3"/>
      <c r="G159" s="6"/>
      <c r="H159" s="3"/>
      <c r="I159" s="6"/>
      <c r="J159" s="6"/>
      <c r="K159" s="6"/>
      <c r="L159" s="6"/>
      <c r="M159" s="6"/>
      <c r="N159" s="6"/>
      <c r="O159" s="3"/>
      <c r="P159" s="6"/>
      <c r="Q159" s="6"/>
      <c r="R159" s="6"/>
      <c r="S159" s="6"/>
      <c r="T159" s="6"/>
      <c r="U159" t="str">
        <f t="shared" si="2"/>
        <v/>
      </c>
    </row>
    <row r="160" spans="3:21" customFormat="1" hidden="1">
      <c r="C160" s="6"/>
      <c r="D160" s="6"/>
      <c r="E160" s="98"/>
      <c r="F160" s="3"/>
      <c r="G160" s="6"/>
      <c r="H160" s="3"/>
      <c r="I160" s="6"/>
      <c r="J160" s="6"/>
      <c r="K160" s="6"/>
      <c r="L160" s="6"/>
      <c r="M160" s="6"/>
      <c r="N160" s="6"/>
      <c r="O160" s="3"/>
      <c r="P160" s="6"/>
      <c r="Q160" s="6"/>
      <c r="R160" s="6"/>
      <c r="S160" s="6"/>
      <c r="T160" s="6"/>
      <c r="U160" t="str">
        <f t="shared" si="2"/>
        <v/>
      </c>
    </row>
    <row r="161" spans="3:21" customFormat="1" hidden="1">
      <c r="C161" s="6"/>
      <c r="D161" s="6"/>
      <c r="E161" s="98"/>
      <c r="F161" s="3"/>
      <c r="G161" s="6"/>
      <c r="H161" s="3"/>
      <c r="I161" s="6"/>
      <c r="J161" s="6"/>
      <c r="K161" s="6"/>
      <c r="L161" s="6"/>
      <c r="M161" s="6"/>
      <c r="N161" s="6"/>
      <c r="O161" s="3"/>
      <c r="P161" s="6"/>
      <c r="Q161" s="6"/>
      <c r="R161" s="6"/>
      <c r="S161" s="6"/>
      <c r="T161" s="6"/>
      <c r="U161" t="str">
        <f t="shared" si="2"/>
        <v/>
      </c>
    </row>
    <row r="162" spans="3:21" customFormat="1" hidden="1">
      <c r="C162" s="6"/>
      <c r="D162" s="6"/>
      <c r="E162" s="98"/>
      <c r="F162" s="3"/>
      <c r="G162" s="6"/>
      <c r="H162" s="3"/>
      <c r="I162" s="6"/>
      <c r="J162" s="6"/>
      <c r="K162" s="6"/>
      <c r="L162" s="6"/>
      <c r="M162" s="6"/>
      <c r="N162" s="6"/>
      <c r="O162" s="3"/>
      <c r="P162" s="6"/>
      <c r="Q162" s="6"/>
      <c r="R162" s="6"/>
      <c r="S162" s="6"/>
      <c r="T162" s="6"/>
      <c r="U162" t="str">
        <f t="shared" si="2"/>
        <v/>
      </c>
    </row>
    <row r="163" spans="3:21" customFormat="1" hidden="1">
      <c r="C163" s="6"/>
      <c r="D163" s="6"/>
      <c r="E163" s="98"/>
      <c r="F163" s="3"/>
      <c r="G163" s="6"/>
      <c r="H163" s="3"/>
      <c r="I163" s="6"/>
      <c r="J163" s="6"/>
      <c r="K163" s="6"/>
      <c r="L163" s="6"/>
      <c r="M163" s="6"/>
      <c r="N163" s="6"/>
      <c r="O163" s="3"/>
      <c r="P163" s="6"/>
      <c r="Q163" s="6"/>
      <c r="R163" s="6"/>
      <c r="S163" s="6"/>
      <c r="T163" s="6"/>
      <c r="U163" t="str">
        <f t="shared" si="2"/>
        <v/>
      </c>
    </row>
    <row r="164" spans="3:21" customFormat="1" hidden="1">
      <c r="C164" s="6"/>
      <c r="D164" s="6"/>
      <c r="E164" s="98"/>
      <c r="F164" s="3"/>
      <c r="G164" s="6"/>
      <c r="H164" s="3"/>
      <c r="I164" s="6"/>
      <c r="J164" s="6"/>
      <c r="K164" s="6"/>
      <c r="L164" s="6"/>
      <c r="M164" s="6"/>
      <c r="N164" s="6"/>
      <c r="O164" s="3"/>
      <c r="P164" s="6"/>
      <c r="Q164" s="6"/>
      <c r="R164" s="6"/>
      <c r="S164" s="6"/>
      <c r="T164" s="6"/>
      <c r="U164" t="str">
        <f t="shared" si="2"/>
        <v/>
      </c>
    </row>
    <row r="165" spans="3:21" customFormat="1" hidden="1">
      <c r="C165" s="6"/>
      <c r="D165" s="6"/>
      <c r="E165" s="98"/>
      <c r="F165" s="3"/>
      <c r="G165" s="6"/>
      <c r="H165" s="3"/>
      <c r="I165" s="6"/>
      <c r="J165" s="6"/>
      <c r="K165" s="6"/>
      <c r="L165" s="6"/>
      <c r="M165" s="6"/>
      <c r="N165" s="6"/>
      <c r="O165" s="3"/>
      <c r="P165" s="6"/>
      <c r="Q165" s="6"/>
      <c r="R165" s="6"/>
      <c r="S165" s="6"/>
      <c r="T165" s="6"/>
      <c r="U165" t="str">
        <f t="shared" si="2"/>
        <v/>
      </c>
    </row>
    <row r="166" spans="3:21" customFormat="1" hidden="1">
      <c r="C166" s="6"/>
      <c r="D166" s="6"/>
      <c r="E166" s="98"/>
      <c r="F166" s="3"/>
      <c r="G166" s="6"/>
      <c r="H166" s="3"/>
      <c r="I166" s="6"/>
      <c r="J166" s="6"/>
      <c r="K166" s="6"/>
      <c r="L166" s="6"/>
      <c r="M166" s="6"/>
      <c r="N166" s="6"/>
      <c r="O166" s="3"/>
      <c r="P166" s="6"/>
      <c r="Q166" s="6"/>
      <c r="R166" s="6"/>
      <c r="S166" s="6"/>
      <c r="T166" s="6"/>
      <c r="U166" t="str">
        <f t="shared" si="2"/>
        <v/>
      </c>
    </row>
    <row r="167" spans="3:21" customFormat="1" hidden="1">
      <c r="C167" s="6"/>
      <c r="D167" s="6"/>
      <c r="E167" s="98"/>
      <c r="F167" s="3"/>
      <c r="G167" s="6"/>
      <c r="H167" s="3"/>
      <c r="I167" s="6"/>
      <c r="J167" s="6"/>
      <c r="K167" s="6"/>
      <c r="L167" s="6"/>
      <c r="M167" s="6"/>
      <c r="N167" s="6"/>
      <c r="O167" s="3"/>
      <c r="P167" s="6"/>
      <c r="Q167" s="6"/>
      <c r="R167" s="6"/>
      <c r="S167" s="6"/>
      <c r="T167" s="6"/>
      <c r="U167" t="str">
        <f t="shared" si="2"/>
        <v/>
      </c>
    </row>
    <row r="168" spans="3:21" customFormat="1" hidden="1">
      <c r="C168" s="6"/>
      <c r="D168" s="6"/>
      <c r="E168" s="98"/>
      <c r="F168" s="3"/>
      <c r="G168" s="6"/>
      <c r="H168" s="3"/>
      <c r="I168" s="6"/>
      <c r="J168" s="6"/>
      <c r="K168" s="6"/>
      <c r="L168" s="6"/>
      <c r="M168" s="6"/>
      <c r="N168" s="6"/>
      <c r="O168" s="3"/>
      <c r="P168" s="6"/>
      <c r="Q168" s="6"/>
      <c r="R168" s="6"/>
      <c r="S168" s="6"/>
      <c r="T168" s="6"/>
      <c r="U168" t="str">
        <f t="shared" si="2"/>
        <v/>
      </c>
    </row>
    <row r="169" spans="3:21" customFormat="1" hidden="1">
      <c r="C169" s="6"/>
      <c r="D169" s="6"/>
      <c r="E169" s="98"/>
      <c r="F169" s="3"/>
      <c r="G169" s="6"/>
      <c r="H169" s="3"/>
      <c r="I169" s="6"/>
      <c r="J169" s="6"/>
      <c r="K169" s="6"/>
      <c r="L169" s="6"/>
      <c r="M169" s="6"/>
      <c r="N169" s="6"/>
      <c r="O169" s="3"/>
      <c r="P169" s="6"/>
      <c r="Q169" s="6"/>
      <c r="R169" s="6"/>
      <c r="S169" s="6"/>
      <c r="T169" s="6"/>
      <c r="U169" t="str">
        <f t="shared" si="2"/>
        <v/>
      </c>
    </row>
    <row r="170" spans="3:21" customFormat="1" hidden="1">
      <c r="C170" s="6"/>
      <c r="D170" s="6"/>
      <c r="E170" s="98"/>
      <c r="F170" s="3"/>
      <c r="G170" s="6"/>
      <c r="H170" s="3"/>
      <c r="I170" s="6"/>
      <c r="J170" s="6"/>
      <c r="K170" s="6"/>
      <c r="L170" s="6"/>
      <c r="M170" s="6"/>
      <c r="N170" s="6"/>
      <c r="O170" s="3"/>
      <c r="P170" s="6"/>
      <c r="Q170" s="6"/>
      <c r="R170" s="6"/>
      <c r="S170" s="6"/>
      <c r="T170" s="6"/>
      <c r="U170" t="str">
        <f t="shared" si="2"/>
        <v/>
      </c>
    </row>
    <row r="171" spans="3:21" customFormat="1" hidden="1">
      <c r="C171" s="6"/>
      <c r="D171" s="6"/>
      <c r="E171" s="98"/>
      <c r="F171" s="3"/>
      <c r="G171" s="6"/>
      <c r="H171" s="3"/>
      <c r="I171" s="6"/>
      <c r="J171" s="6"/>
      <c r="K171" s="6"/>
      <c r="L171" s="6"/>
      <c r="M171" s="6"/>
      <c r="N171" s="6"/>
      <c r="O171" s="3"/>
      <c r="P171" s="6"/>
      <c r="Q171" s="6"/>
      <c r="R171" s="6"/>
      <c r="S171" s="6"/>
      <c r="T171" s="6"/>
      <c r="U171" t="str">
        <f t="shared" si="2"/>
        <v/>
      </c>
    </row>
    <row r="172" spans="3:21" customFormat="1" hidden="1">
      <c r="C172" s="6"/>
      <c r="D172" s="6"/>
      <c r="E172" s="98"/>
      <c r="F172" s="3"/>
      <c r="G172" s="6"/>
      <c r="H172" s="3"/>
      <c r="I172" s="6"/>
      <c r="J172" s="6"/>
      <c r="K172" s="6"/>
      <c r="L172" s="6"/>
      <c r="M172" s="6"/>
      <c r="N172" s="6"/>
      <c r="O172" s="3"/>
      <c r="P172" s="6"/>
      <c r="Q172" s="6"/>
      <c r="R172" s="6"/>
      <c r="S172" s="6"/>
      <c r="T172" s="6"/>
      <c r="U172" t="str">
        <f t="shared" si="2"/>
        <v/>
      </c>
    </row>
    <row r="173" spans="3:21" customFormat="1" hidden="1">
      <c r="C173" s="6"/>
      <c r="D173" s="6"/>
      <c r="E173" s="98"/>
      <c r="F173" s="3"/>
      <c r="G173" s="6"/>
      <c r="H173" s="3"/>
      <c r="I173" s="6"/>
      <c r="J173" s="6"/>
      <c r="K173" s="6"/>
      <c r="L173" s="6"/>
      <c r="M173" s="6"/>
      <c r="N173" s="6"/>
      <c r="O173" s="3"/>
      <c r="P173" s="6"/>
      <c r="Q173" s="6"/>
      <c r="R173" s="6"/>
      <c r="S173" s="6"/>
      <c r="T173" s="6"/>
      <c r="U173" t="str">
        <f t="shared" si="2"/>
        <v/>
      </c>
    </row>
    <row r="174" spans="3:21" customFormat="1" hidden="1">
      <c r="C174" s="6"/>
      <c r="D174" s="6"/>
      <c r="E174" s="98"/>
      <c r="F174" s="3"/>
      <c r="G174" s="6"/>
      <c r="H174" s="3"/>
      <c r="I174" s="6"/>
      <c r="J174" s="6"/>
      <c r="K174" s="6"/>
      <c r="L174" s="6"/>
      <c r="M174" s="6"/>
      <c r="N174" s="6"/>
      <c r="O174" s="3"/>
      <c r="P174" s="6"/>
      <c r="Q174" s="6"/>
      <c r="R174" s="6"/>
      <c r="S174" s="6"/>
      <c r="T174" s="6"/>
      <c r="U174" t="str">
        <f t="shared" si="2"/>
        <v/>
      </c>
    </row>
    <row r="175" spans="3:21" customFormat="1" hidden="1">
      <c r="C175" s="6"/>
      <c r="D175" s="6"/>
      <c r="E175" s="98"/>
      <c r="F175" s="3"/>
      <c r="G175" s="6"/>
      <c r="H175" s="3"/>
      <c r="I175" s="6"/>
      <c r="J175" s="6"/>
      <c r="K175" s="6"/>
      <c r="L175" s="6"/>
      <c r="M175" s="6"/>
      <c r="N175" s="6"/>
      <c r="O175" s="3"/>
      <c r="P175" s="6"/>
      <c r="Q175" s="6"/>
      <c r="R175" s="6"/>
      <c r="S175" s="6"/>
      <c r="T175" s="6"/>
      <c r="U175" t="str">
        <f t="shared" si="2"/>
        <v/>
      </c>
    </row>
    <row r="176" spans="3:21" customFormat="1" hidden="1">
      <c r="C176" s="6"/>
      <c r="D176" s="6"/>
      <c r="E176" s="98"/>
      <c r="F176" s="3"/>
      <c r="G176" s="6"/>
      <c r="H176" s="3"/>
      <c r="I176" s="6"/>
      <c r="J176" s="6"/>
      <c r="K176" s="6"/>
      <c r="L176" s="6"/>
      <c r="M176" s="6"/>
      <c r="N176" s="6"/>
      <c r="O176" s="3"/>
      <c r="P176" s="6"/>
      <c r="Q176" s="6"/>
      <c r="R176" s="6"/>
      <c r="S176" s="6"/>
      <c r="T176" s="6"/>
      <c r="U176" t="str">
        <f t="shared" si="2"/>
        <v/>
      </c>
    </row>
    <row r="177" spans="3:21" customFormat="1" hidden="1">
      <c r="C177" s="6"/>
      <c r="D177" s="6"/>
      <c r="E177" s="98"/>
      <c r="F177" s="3"/>
      <c r="G177" s="6"/>
      <c r="H177" s="3"/>
      <c r="I177" s="6"/>
      <c r="J177" s="6"/>
      <c r="K177" s="6"/>
      <c r="L177" s="6"/>
      <c r="M177" s="6"/>
      <c r="N177" s="6"/>
      <c r="O177" s="3"/>
      <c r="P177" s="6"/>
      <c r="Q177" s="6"/>
      <c r="R177" s="6"/>
      <c r="S177" s="6"/>
      <c r="T177" s="6"/>
      <c r="U177" t="str">
        <f t="shared" si="2"/>
        <v/>
      </c>
    </row>
    <row r="178" spans="3:21" customFormat="1" hidden="1">
      <c r="C178" s="6"/>
      <c r="D178" s="6"/>
      <c r="E178" s="98"/>
      <c r="F178" s="3"/>
      <c r="G178" s="6"/>
      <c r="H178" s="3"/>
      <c r="I178" s="6"/>
      <c r="J178" s="6"/>
      <c r="K178" s="6"/>
      <c r="L178" s="6"/>
      <c r="M178" s="6"/>
      <c r="N178" s="6"/>
      <c r="O178" s="3"/>
      <c r="P178" s="6"/>
      <c r="Q178" s="6"/>
      <c r="R178" s="6"/>
      <c r="S178" s="6"/>
      <c r="T178" s="6"/>
      <c r="U178" t="str">
        <f t="shared" si="2"/>
        <v/>
      </c>
    </row>
    <row r="179" spans="3:21" customFormat="1" hidden="1">
      <c r="C179" s="6"/>
      <c r="D179" s="6"/>
      <c r="E179" s="98"/>
      <c r="F179" s="3"/>
      <c r="G179" s="6"/>
      <c r="H179" s="3"/>
      <c r="I179" s="6"/>
      <c r="J179" s="6"/>
      <c r="K179" s="6"/>
      <c r="L179" s="6"/>
      <c r="M179" s="6"/>
      <c r="N179" s="6"/>
      <c r="O179" s="3"/>
      <c r="P179" s="6"/>
      <c r="Q179" s="6"/>
      <c r="R179" s="6"/>
      <c r="S179" s="6"/>
      <c r="T179" s="6"/>
      <c r="U179" t="str">
        <f t="shared" si="2"/>
        <v/>
      </c>
    </row>
    <row r="180" spans="3:21" customFormat="1" hidden="1">
      <c r="C180" s="6"/>
      <c r="D180" s="6"/>
      <c r="E180" s="98"/>
      <c r="F180" s="3"/>
      <c r="G180" s="6"/>
      <c r="H180" s="3"/>
      <c r="I180" s="6"/>
      <c r="J180" s="6"/>
      <c r="K180" s="6"/>
      <c r="L180" s="6"/>
      <c r="M180" s="6"/>
      <c r="N180" s="6"/>
      <c r="O180" s="3"/>
      <c r="P180" s="6"/>
      <c r="Q180" s="6"/>
      <c r="R180" s="6"/>
      <c r="S180" s="6"/>
      <c r="T180" s="6"/>
      <c r="U180" t="str">
        <f t="shared" si="2"/>
        <v/>
      </c>
    </row>
    <row r="181" spans="3:21" customFormat="1" hidden="1">
      <c r="C181" s="6"/>
      <c r="D181" s="6"/>
      <c r="E181" s="98"/>
      <c r="F181" s="3"/>
      <c r="G181" s="6"/>
      <c r="H181" s="3"/>
      <c r="I181" s="6"/>
      <c r="J181" s="6"/>
      <c r="K181" s="6"/>
      <c r="L181" s="6"/>
      <c r="M181" s="6"/>
      <c r="N181" s="6"/>
      <c r="O181" s="3"/>
      <c r="P181" s="6"/>
      <c r="Q181" s="6"/>
      <c r="R181" s="6"/>
      <c r="S181" s="6"/>
      <c r="T181" s="6"/>
      <c r="U181" t="str">
        <f t="shared" si="2"/>
        <v/>
      </c>
    </row>
    <row r="182" spans="3:21" customFormat="1" hidden="1">
      <c r="C182" s="6"/>
      <c r="D182" s="6"/>
      <c r="E182" s="98"/>
      <c r="F182" s="3"/>
      <c r="G182" s="6"/>
      <c r="H182" s="3"/>
      <c r="I182" s="6"/>
      <c r="J182" s="6"/>
      <c r="K182" s="6"/>
      <c r="L182" s="6"/>
      <c r="M182" s="6"/>
      <c r="N182" s="6"/>
      <c r="O182" s="3"/>
      <c r="P182" s="6"/>
      <c r="Q182" s="6"/>
      <c r="R182" s="6"/>
      <c r="S182" s="6"/>
      <c r="T182" s="6"/>
      <c r="U182" t="str">
        <f t="shared" si="2"/>
        <v/>
      </c>
    </row>
    <row r="183" spans="3:21" customFormat="1" hidden="1">
      <c r="C183" s="6"/>
      <c r="D183" s="6"/>
      <c r="E183" s="98"/>
      <c r="F183" s="3"/>
      <c r="G183" s="6"/>
      <c r="H183" s="3"/>
      <c r="I183" s="6"/>
      <c r="J183" s="6"/>
      <c r="K183" s="6"/>
      <c r="L183" s="6"/>
      <c r="M183" s="6"/>
      <c r="N183" s="6"/>
      <c r="O183" s="3"/>
      <c r="P183" s="6"/>
      <c r="Q183" s="6"/>
      <c r="R183" s="6"/>
      <c r="S183" s="6"/>
      <c r="T183" s="6"/>
      <c r="U183" t="str">
        <f t="shared" si="2"/>
        <v/>
      </c>
    </row>
    <row r="184" spans="3:21" customFormat="1" hidden="1">
      <c r="C184" s="6"/>
      <c r="D184" s="6"/>
      <c r="E184" s="98"/>
      <c r="F184" s="3"/>
      <c r="G184" s="6"/>
      <c r="H184" s="3"/>
      <c r="I184" s="6"/>
      <c r="J184" s="6"/>
      <c r="K184" s="6"/>
      <c r="L184" s="6"/>
      <c r="M184" s="6"/>
      <c r="N184" s="6"/>
      <c r="O184" s="3"/>
      <c r="P184" s="6"/>
      <c r="Q184" s="6"/>
      <c r="R184" s="6"/>
      <c r="S184" s="6"/>
      <c r="T184" s="6"/>
      <c r="U184" t="str">
        <f t="shared" si="2"/>
        <v/>
      </c>
    </row>
    <row r="185" spans="3:21" customFormat="1" hidden="1">
      <c r="C185" s="6"/>
      <c r="D185" s="6"/>
      <c r="E185" s="98"/>
      <c r="F185" s="3"/>
      <c r="G185" s="6"/>
      <c r="H185" s="3"/>
      <c r="I185" s="6"/>
      <c r="J185" s="6"/>
      <c r="K185" s="6"/>
      <c r="L185" s="6"/>
      <c r="M185" s="6"/>
      <c r="N185" s="6"/>
      <c r="O185" s="3"/>
      <c r="P185" s="6"/>
      <c r="Q185" s="6"/>
      <c r="R185" s="6"/>
      <c r="S185" s="6"/>
      <c r="T185" s="6"/>
      <c r="U185" t="str">
        <f t="shared" si="2"/>
        <v/>
      </c>
    </row>
    <row r="186" spans="3:21" customFormat="1" hidden="1">
      <c r="C186" s="6"/>
      <c r="D186" s="6"/>
      <c r="E186" s="98"/>
      <c r="F186" s="3"/>
      <c r="G186" s="6"/>
      <c r="H186" s="3"/>
      <c r="I186" s="6"/>
      <c r="J186" s="6"/>
      <c r="K186" s="6"/>
      <c r="L186" s="6"/>
      <c r="M186" s="6"/>
      <c r="N186" s="6"/>
      <c r="O186" s="3"/>
      <c r="P186" s="6"/>
      <c r="Q186" s="6"/>
      <c r="R186" s="6"/>
      <c r="S186" s="6"/>
      <c r="T186" s="6"/>
      <c r="U186" t="str">
        <f t="shared" si="2"/>
        <v/>
      </c>
    </row>
    <row r="187" spans="3:21" customFormat="1" hidden="1">
      <c r="C187" s="6"/>
      <c r="D187" s="6"/>
      <c r="E187" s="98"/>
      <c r="F187" s="3"/>
      <c r="G187" s="6"/>
      <c r="H187" s="3"/>
      <c r="I187" s="6"/>
      <c r="J187" s="6"/>
      <c r="K187" s="6"/>
      <c r="L187" s="6"/>
      <c r="M187" s="6"/>
      <c r="N187" s="6"/>
      <c r="O187" s="3"/>
      <c r="P187" s="6"/>
      <c r="Q187" s="6"/>
      <c r="R187" s="6"/>
      <c r="S187" s="6"/>
      <c r="T187" s="6"/>
      <c r="U187" t="str">
        <f t="shared" si="2"/>
        <v/>
      </c>
    </row>
    <row r="188" spans="3:21" customFormat="1" hidden="1">
      <c r="C188" s="6"/>
      <c r="D188" s="6"/>
      <c r="E188" s="98"/>
      <c r="F188" s="3"/>
      <c r="G188" s="6"/>
      <c r="H188" s="3"/>
      <c r="I188" s="6"/>
      <c r="J188" s="6"/>
      <c r="K188" s="6"/>
      <c r="L188" s="6"/>
      <c r="M188" s="6"/>
      <c r="N188" s="6"/>
      <c r="O188" s="3"/>
      <c r="P188" s="6"/>
      <c r="Q188" s="6"/>
      <c r="R188" s="6"/>
      <c r="S188" s="6"/>
      <c r="T188" s="6"/>
      <c r="U188" t="str">
        <f t="shared" si="2"/>
        <v/>
      </c>
    </row>
    <row r="189" spans="3:21" customFormat="1" hidden="1">
      <c r="C189" s="6"/>
      <c r="D189" s="6"/>
      <c r="E189" s="98"/>
      <c r="F189" s="3"/>
      <c r="G189" s="6"/>
      <c r="H189" s="3"/>
      <c r="I189" s="6"/>
      <c r="J189" s="6"/>
      <c r="K189" s="6"/>
      <c r="L189" s="6"/>
      <c r="M189" s="6"/>
      <c r="N189" s="6"/>
      <c r="O189" s="3"/>
      <c r="P189" s="6"/>
      <c r="Q189" s="6"/>
      <c r="R189" s="6"/>
      <c r="S189" s="6"/>
      <c r="T189" s="6"/>
      <c r="U189" t="str">
        <f t="shared" si="2"/>
        <v/>
      </c>
    </row>
    <row r="190" spans="3:21" customFormat="1" hidden="1">
      <c r="C190" s="6"/>
      <c r="D190" s="6"/>
      <c r="E190" s="98"/>
      <c r="F190" s="3"/>
      <c r="G190" s="6"/>
      <c r="H190" s="3"/>
      <c r="I190" s="6"/>
      <c r="J190" s="6"/>
      <c r="K190" s="6"/>
      <c r="L190" s="6"/>
      <c r="M190" s="6"/>
      <c r="N190" s="6"/>
      <c r="O190" s="3"/>
      <c r="P190" s="6"/>
      <c r="Q190" s="6"/>
      <c r="R190" s="6"/>
      <c r="S190" s="6"/>
      <c r="T190" s="6"/>
      <c r="U190" t="str">
        <f t="shared" si="2"/>
        <v/>
      </c>
    </row>
    <row r="191" spans="3:21" customFormat="1" hidden="1">
      <c r="C191" s="6"/>
      <c r="D191" s="6"/>
      <c r="E191" s="98"/>
      <c r="F191" s="3"/>
      <c r="G191" s="6"/>
      <c r="H191" s="3"/>
      <c r="I191" s="6"/>
      <c r="J191" s="6"/>
      <c r="K191" s="6"/>
      <c r="L191" s="6"/>
      <c r="M191" s="6"/>
      <c r="N191" s="6"/>
      <c r="O191" s="3"/>
      <c r="P191" s="6"/>
      <c r="Q191" s="6"/>
      <c r="R191" s="6"/>
      <c r="S191" s="6"/>
      <c r="T191" s="6"/>
      <c r="U191" t="str">
        <f t="shared" si="2"/>
        <v/>
      </c>
    </row>
    <row r="192" spans="3:21" customFormat="1" hidden="1">
      <c r="C192" s="6"/>
      <c r="D192" s="6"/>
      <c r="E192" s="98"/>
      <c r="F192" s="3"/>
      <c r="G192" s="6"/>
      <c r="H192" s="3"/>
      <c r="I192" s="6"/>
      <c r="J192" s="6"/>
      <c r="K192" s="6"/>
      <c r="L192" s="6"/>
      <c r="M192" s="6"/>
      <c r="N192" s="6"/>
      <c r="O192" s="3"/>
      <c r="P192" s="6"/>
      <c r="Q192" s="6"/>
      <c r="R192" s="6"/>
      <c r="S192" s="6"/>
      <c r="T192" s="6"/>
      <c r="U192" t="str">
        <f t="shared" si="2"/>
        <v/>
      </c>
    </row>
    <row r="193" spans="3:21" customFormat="1" hidden="1">
      <c r="C193" s="6"/>
      <c r="D193" s="6"/>
      <c r="E193" s="98"/>
      <c r="F193" s="3"/>
      <c r="G193" s="6"/>
      <c r="H193" s="3"/>
      <c r="I193" s="6"/>
      <c r="J193" s="6"/>
      <c r="K193" s="6"/>
      <c r="L193" s="6"/>
      <c r="M193" s="6"/>
      <c r="N193" s="6"/>
      <c r="O193" s="3"/>
      <c r="P193" s="6"/>
      <c r="Q193" s="6"/>
      <c r="R193" s="6"/>
      <c r="S193" s="6"/>
      <c r="T193" s="6"/>
      <c r="U193" t="str">
        <f t="shared" si="2"/>
        <v/>
      </c>
    </row>
    <row r="194" spans="3:21" customFormat="1" hidden="1">
      <c r="C194" s="6"/>
      <c r="D194" s="6"/>
      <c r="E194" s="98"/>
      <c r="F194" s="3"/>
      <c r="G194" s="6"/>
      <c r="H194" s="3"/>
      <c r="I194" s="6"/>
      <c r="J194" s="6"/>
      <c r="K194" s="6"/>
      <c r="L194" s="6"/>
      <c r="M194" s="6"/>
      <c r="N194" s="6"/>
      <c r="O194" s="3"/>
      <c r="P194" s="6"/>
      <c r="Q194" s="6"/>
      <c r="R194" s="6"/>
      <c r="S194" s="6"/>
      <c r="T194" s="6"/>
      <c r="U194" t="str">
        <f t="shared" si="2"/>
        <v/>
      </c>
    </row>
    <row r="195" spans="3:21" customFormat="1" hidden="1">
      <c r="C195" s="6"/>
      <c r="D195" s="6"/>
      <c r="E195" s="98"/>
      <c r="F195" s="3"/>
      <c r="G195" s="6"/>
      <c r="H195" s="3"/>
      <c r="I195" s="6"/>
      <c r="J195" s="6"/>
      <c r="K195" s="6"/>
      <c r="L195" s="6"/>
      <c r="M195" s="6"/>
      <c r="N195" s="6"/>
      <c r="O195" s="3"/>
      <c r="P195" s="6"/>
      <c r="Q195" s="6"/>
      <c r="R195" s="6"/>
      <c r="S195" s="6"/>
      <c r="T195" s="6"/>
      <c r="U195" t="str">
        <f t="shared" si="2"/>
        <v/>
      </c>
    </row>
    <row r="196" spans="3:21" customFormat="1" hidden="1">
      <c r="C196" s="6"/>
      <c r="D196" s="6"/>
      <c r="E196" s="98"/>
      <c r="F196" s="3"/>
      <c r="G196" s="6"/>
      <c r="H196" s="3"/>
      <c r="I196" s="6"/>
      <c r="J196" s="6"/>
      <c r="K196" s="6"/>
      <c r="L196" s="6"/>
      <c r="M196" s="6"/>
      <c r="N196" s="6"/>
      <c r="O196" s="3"/>
      <c r="P196" s="6"/>
      <c r="Q196" s="6"/>
      <c r="R196" s="6"/>
      <c r="S196" s="6"/>
      <c r="T196" s="6"/>
      <c r="U196" t="str">
        <f t="shared" si="2"/>
        <v/>
      </c>
    </row>
    <row r="197" spans="3:21" customFormat="1" hidden="1">
      <c r="C197" s="6"/>
      <c r="D197" s="6"/>
      <c r="E197" s="98"/>
      <c r="F197" s="3"/>
      <c r="G197" s="6"/>
      <c r="H197" s="3"/>
      <c r="I197" s="6"/>
      <c r="J197" s="6"/>
      <c r="K197" s="6"/>
      <c r="L197" s="6"/>
      <c r="M197" s="6"/>
      <c r="N197" s="6"/>
      <c r="O197" s="3"/>
      <c r="P197" s="6"/>
      <c r="Q197" s="6"/>
      <c r="R197" s="6"/>
      <c r="S197" s="6"/>
      <c r="T197" s="6"/>
      <c r="U197" t="str">
        <f t="shared" si="2"/>
        <v/>
      </c>
    </row>
    <row r="198" spans="3:21" customFormat="1" hidden="1">
      <c r="C198" s="6"/>
      <c r="D198" s="6"/>
      <c r="E198" s="98"/>
      <c r="F198" s="3"/>
      <c r="G198" s="6"/>
      <c r="H198" s="3"/>
      <c r="I198" s="6"/>
      <c r="J198" s="6"/>
      <c r="K198" s="6"/>
      <c r="L198" s="6"/>
      <c r="M198" s="6"/>
      <c r="N198" s="6"/>
      <c r="O198" s="3"/>
      <c r="P198" s="6"/>
      <c r="Q198" s="6"/>
      <c r="R198" s="6"/>
      <c r="S198" s="6"/>
      <c r="T198" s="6"/>
      <c r="U198" t="str">
        <f t="shared" si="2"/>
        <v/>
      </c>
    </row>
    <row r="199" spans="3:21" customFormat="1" hidden="1">
      <c r="C199" s="6"/>
      <c r="D199" s="6"/>
      <c r="E199" s="98"/>
      <c r="F199" s="3"/>
      <c r="G199" s="6"/>
      <c r="H199" s="3"/>
      <c r="I199" s="6"/>
      <c r="J199" s="6"/>
      <c r="K199" s="6"/>
      <c r="L199" s="6"/>
      <c r="M199" s="6"/>
      <c r="N199" s="6"/>
      <c r="O199" s="3"/>
      <c r="P199" s="6"/>
      <c r="Q199" s="6"/>
      <c r="R199" s="6"/>
      <c r="S199" s="6"/>
      <c r="T199" s="6"/>
      <c r="U199" t="str">
        <f t="shared" ref="U199:U262" si="3">IF(D199="","","x")</f>
        <v/>
      </c>
    </row>
    <row r="200" spans="3:21" customFormat="1" hidden="1">
      <c r="C200" s="6"/>
      <c r="D200" s="6"/>
      <c r="E200" s="98"/>
      <c r="F200" s="3"/>
      <c r="G200" s="6"/>
      <c r="H200" s="3"/>
      <c r="I200" s="6"/>
      <c r="J200" s="6"/>
      <c r="K200" s="6"/>
      <c r="L200" s="6"/>
      <c r="M200" s="6"/>
      <c r="N200" s="6"/>
      <c r="O200" s="3"/>
      <c r="P200" s="6"/>
      <c r="Q200" s="6"/>
      <c r="R200" s="6"/>
      <c r="S200" s="6"/>
      <c r="T200" s="6"/>
      <c r="U200" t="str">
        <f t="shared" si="3"/>
        <v/>
      </c>
    </row>
    <row r="201" spans="3:21" customFormat="1" hidden="1">
      <c r="C201" s="6"/>
      <c r="D201" s="6"/>
      <c r="E201" s="98"/>
      <c r="F201" s="3"/>
      <c r="G201" s="6"/>
      <c r="H201" s="3"/>
      <c r="I201" s="6"/>
      <c r="J201" s="6"/>
      <c r="K201" s="6"/>
      <c r="L201" s="6"/>
      <c r="M201" s="6"/>
      <c r="N201" s="6"/>
      <c r="O201" s="3"/>
      <c r="P201" s="6"/>
      <c r="Q201" s="6"/>
      <c r="R201" s="6"/>
      <c r="S201" s="6"/>
      <c r="T201" s="6"/>
      <c r="U201" t="str">
        <f t="shared" si="3"/>
        <v/>
      </c>
    </row>
    <row r="202" spans="3:21" customFormat="1" hidden="1">
      <c r="C202" s="6"/>
      <c r="D202" s="6"/>
      <c r="E202" s="98"/>
      <c r="F202" s="3"/>
      <c r="G202" s="6"/>
      <c r="H202" s="3"/>
      <c r="I202" s="6"/>
      <c r="J202" s="6"/>
      <c r="K202" s="6"/>
      <c r="L202" s="6"/>
      <c r="M202" s="6"/>
      <c r="N202" s="6"/>
      <c r="O202" s="3"/>
      <c r="P202" s="6"/>
      <c r="Q202" s="6"/>
      <c r="R202" s="6"/>
      <c r="S202" s="6"/>
      <c r="T202" s="6"/>
      <c r="U202" t="str">
        <f t="shared" si="3"/>
        <v/>
      </c>
    </row>
    <row r="203" spans="3:21" customFormat="1" hidden="1">
      <c r="C203" s="6"/>
      <c r="D203" s="6"/>
      <c r="E203" s="98"/>
      <c r="F203" s="3"/>
      <c r="G203" s="6"/>
      <c r="H203" s="3"/>
      <c r="I203" s="6"/>
      <c r="J203" s="6"/>
      <c r="K203" s="6"/>
      <c r="L203" s="6"/>
      <c r="M203" s="6"/>
      <c r="N203" s="6"/>
      <c r="O203" s="3"/>
      <c r="P203" s="6"/>
      <c r="Q203" s="6"/>
      <c r="R203" s="6"/>
      <c r="S203" s="6"/>
      <c r="T203" s="6"/>
      <c r="U203" t="str">
        <f t="shared" si="3"/>
        <v/>
      </c>
    </row>
    <row r="204" spans="3:21" customFormat="1" hidden="1">
      <c r="C204" s="6"/>
      <c r="D204" s="6"/>
      <c r="E204" s="98"/>
      <c r="F204" s="3"/>
      <c r="G204" s="6"/>
      <c r="H204" s="3"/>
      <c r="I204" s="6"/>
      <c r="J204" s="6"/>
      <c r="K204" s="6"/>
      <c r="L204" s="6"/>
      <c r="M204" s="6"/>
      <c r="N204" s="6"/>
      <c r="O204" s="3"/>
      <c r="P204" s="6"/>
      <c r="Q204" s="6"/>
      <c r="R204" s="6"/>
      <c r="S204" s="6"/>
      <c r="T204" s="6"/>
      <c r="U204" t="str">
        <f t="shared" si="3"/>
        <v/>
      </c>
    </row>
    <row r="205" spans="3:21" customFormat="1" hidden="1">
      <c r="C205" s="6"/>
      <c r="D205" s="6"/>
      <c r="E205" s="98"/>
      <c r="F205" s="3"/>
      <c r="G205" s="6"/>
      <c r="H205" s="3"/>
      <c r="I205" s="6"/>
      <c r="J205" s="6"/>
      <c r="K205" s="6"/>
      <c r="L205" s="6"/>
      <c r="M205" s="6"/>
      <c r="N205" s="6"/>
      <c r="O205" s="3"/>
      <c r="P205" s="6"/>
      <c r="Q205" s="6"/>
      <c r="R205" s="6"/>
      <c r="S205" s="6"/>
      <c r="T205" s="6"/>
      <c r="U205" t="str">
        <f t="shared" si="3"/>
        <v/>
      </c>
    </row>
    <row r="206" spans="3:21" customFormat="1" hidden="1">
      <c r="C206" s="6"/>
      <c r="D206" s="6"/>
      <c r="E206" s="98"/>
      <c r="F206" s="3"/>
      <c r="G206" s="6"/>
      <c r="H206" s="3"/>
      <c r="I206" s="6"/>
      <c r="J206" s="6"/>
      <c r="K206" s="6"/>
      <c r="L206" s="6"/>
      <c r="M206" s="6"/>
      <c r="N206" s="6"/>
      <c r="O206" s="3"/>
      <c r="P206" s="6"/>
      <c r="Q206" s="6"/>
      <c r="R206" s="6"/>
      <c r="S206" s="6"/>
      <c r="T206" s="6"/>
      <c r="U206" t="str">
        <f t="shared" si="3"/>
        <v/>
      </c>
    </row>
    <row r="207" spans="3:21" customFormat="1" hidden="1">
      <c r="C207" s="6"/>
      <c r="D207" s="6"/>
      <c r="E207" s="98"/>
      <c r="F207" s="3"/>
      <c r="G207" s="6"/>
      <c r="H207" s="3"/>
      <c r="I207" s="6"/>
      <c r="J207" s="6"/>
      <c r="K207" s="6"/>
      <c r="L207" s="6"/>
      <c r="M207" s="6"/>
      <c r="N207" s="6"/>
      <c r="O207" s="3"/>
      <c r="P207" s="6"/>
      <c r="Q207" s="6"/>
      <c r="R207" s="6"/>
      <c r="S207" s="6"/>
      <c r="T207" s="6"/>
      <c r="U207" t="str">
        <f t="shared" si="3"/>
        <v/>
      </c>
    </row>
    <row r="208" spans="3:21" customFormat="1" hidden="1">
      <c r="C208" s="6"/>
      <c r="D208" s="6"/>
      <c r="E208" s="98"/>
      <c r="F208" s="3"/>
      <c r="G208" s="6"/>
      <c r="H208" s="3"/>
      <c r="I208" s="6"/>
      <c r="J208" s="6"/>
      <c r="K208" s="6"/>
      <c r="L208" s="6"/>
      <c r="M208" s="6"/>
      <c r="N208" s="6"/>
      <c r="O208" s="3"/>
      <c r="P208" s="6"/>
      <c r="Q208" s="6"/>
      <c r="R208" s="6"/>
      <c r="S208" s="6"/>
      <c r="T208" s="6"/>
      <c r="U208" t="str">
        <f t="shared" si="3"/>
        <v/>
      </c>
    </row>
    <row r="209" spans="3:21" customFormat="1" hidden="1">
      <c r="C209" s="6"/>
      <c r="D209" s="6"/>
      <c r="E209" s="98"/>
      <c r="F209" s="3"/>
      <c r="G209" s="6"/>
      <c r="H209" s="3"/>
      <c r="I209" s="6"/>
      <c r="J209" s="6"/>
      <c r="K209" s="6"/>
      <c r="L209" s="6"/>
      <c r="M209" s="6"/>
      <c r="N209" s="6"/>
      <c r="O209" s="3"/>
      <c r="P209" s="6"/>
      <c r="Q209" s="6"/>
      <c r="R209" s="6"/>
      <c r="S209" s="6"/>
      <c r="T209" s="6"/>
      <c r="U209" t="str">
        <f t="shared" si="3"/>
        <v/>
      </c>
    </row>
    <row r="210" spans="3:21" customFormat="1" hidden="1">
      <c r="C210" s="6"/>
      <c r="D210" s="6"/>
      <c r="E210" s="98"/>
      <c r="F210" s="3"/>
      <c r="G210" s="6"/>
      <c r="H210" s="3"/>
      <c r="I210" s="6"/>
      <c r="J210" s="6"/>
      <c r="K210" s="6"/>
      <c r="L210" s="6"/>
      <c r="M210" s="6"/>
      <c r="N210" s="6"/>
      <c r="O210" s="3"/>
      <c r="P210" s="6"/>
      <c r="Q210" s="6"/>
      <c r="R210" s="6"/>
      <c r="S210" s="6"/>
      <c r="T210" s="6"/>
      <c r="U210" t="str">
        <f t="shared" si="3"/>
        <v/>
      </c>
    </row>
    <row r="211" spans="3:21" customFormat="1" hidden="1">
      <c r="C211" s="6"/>
      <c r="D211" s="6"/>
      <c r="E211" s="98"/>
      <c r="F211" s="3"/>
      <c r="G211" s="6"/>
      <c r="H211" s="3"/>
      <c r="I211" s="6"/>
      <c r="J211" s="6"/>
      <c r="K211" s="6"/>
      <c r="L211" s="6"/>
      <c r="M211" s="6"/>
      <c r="N211" s="6"/>
      <c r="O211" s="3"/>
      <c r="P211" s="6"/>
      <c r="Q211" s="6"/>
      <c r="R211" s="6"/>
      <c r="S211" s="6"/>
      <c r="T211" s="6"/>
      <c r="U211" t="str">
        <f t="shared" si="3"/>
        <v/>
      </c>
    </row>
    <row r="212" spans="3:21" customFormat="1" hidden="1">
      <c r="C212" s="6"/>
      <c r="D212" s="6"/>
      <c r="E212" s="98"/>
      <c r="F212" s="3"/>
      <c r="G212" s="6"/>
      <c r="H212" s="3"/>
      <c r="I212" s="6"/>
      <c r="J212" s="6"/>
      <c r="K212" s="6"/>
      <c r="L212" s="6"/>
      <c r="M212" s="6"/>
      <c r="N212" s="6"/>
      <c r="O212" s="3"/>
      <c r="P212" s="6"/>
      <c r="Q212" s="6"/>
      <c r="R212" s="6"/>
      <c r="S212" s="6"/>
      <c r="T212" s="6"/>
      <c r="U212" t="str">
        <f t="shared" si="3"/>
        <v/>
      </c>
    </row>
    <row r="213" spans="3:21" customFormat="1" hidden="1">
      <c r="C213" s="6"/>
      <c r="D213" s="6"/>
      <c r="E213" s="98"/>
      <c r="F213" s="3"/>
      <c r="G213" s="6"/>
      <c r="H213" s="3"/>
      <c r="I213" s="6"/>
      <c r="J213" s="6"/>
      <c r="K213" s="6"/>
      <c r="L213" s="6"/>
      <c r="M213" s="6"/>
      <c r="N213" s="6"/>
      <c r="O213" s="3"/>
      <c r="P213" s="6"/>
      <c r="Q213" s="6"/>
      <c r="R213" s="6"/>
      <c r="S213" s="6"/>
      <c r="T213" s="6"/>
      <c r="U213" t="str">
        <f t="shared" si="3"/>
        <v/>
      </c>
    </row>
    <row r="214" spans="3:21" customFormat="1" hidden="1">
      <c r="C214" s="6"/>
      <c r="D214" s="6"/>
      <c r="E214" s="98"/>
      <c r="F214" s="3"/>
      <c r="G214" s="6"/>
      <c r="H214" s="3"/>
      <c r="I214" s="6"/>
      <c r="J214" s="6"/>
      <c r="K214" s="6"/>
      <c r="L214" s="6"/>
      <c r="M214" s="6"/>
      <c r="N214" s="6"/>
      <c r="O214" s="3"/>
      <c r="P214" s="6"/>
      <c r="Q214" s="6"/>
      <c r="R214" s="6"/>
      <c r="S214" s="6"/>
      <c r="T214" s="6"/>
      <c r="U214" t="str">
        <f t="shared" si="3"/>
        <v/>
      </c>
    </row>
    <row r="215" spans="3:21" customFormat="1" hidden="1">
      <c r="C215" s="6"/>
      <c r="D215" s="6"/>
      <c r="E215" s="98"/>
      <c r="F215" s="3"/>
      <c r="G215" s="6"/>
      <c r="H215" s="3"/>
      <c r="I215" s="6"/>
      <c r="J215" s="6"/>
      <c r="K215" s="6"/>
      <c r="L215" s="6"/>
      <c r="M215" s="6"/>
      <c r="N215" s="6"/>
      <c r="O215" s="3"/>
      <c r="P215" s="6"/>
      <c r="Q215" s="6"/>
      <c r="R215" s="6"/>
      <c r="S215" s="6"/>
      <c r="T215" s="6"/>
      <c r="U215" t="str">
        <f t="shared" si="3"/>
        <v/>
      </c>
    </row>
    <row r="216" spans="3:21" customFormat="1" hidden="1">
      <c r="C216" s="6"/>
      <c r="D216" s="6"/>
      <c r="E216" s="98"/>
      <c r="F216" s="3"/>
      <c r="G216" s="6"/>
      <c r="H216" s="3"/>
      <c r="I216" s="6"/>
      <c r="J216" s="6"/>
      <c r="K216" s="6"/>
      <c r="L216" s="6"/>
      <c r="M216" s="6"/>
      <c r="N216" s="6"/>
      <c r="O216" s="3"/>
      <c r="P216" s="6"/>
      <c r="Q216" s="6"/>
      <c r="R216" s="6"/>
      <c r="S216" s="6"/>
      <c r="T216" s="6"/>
      <c r="U216" t="str">
        <f t="shared" si="3"/>
        <v/>
      </c>
    </row>
    <row r="217" spans="3:21" customFormat="1" hidden="1">
      <c r="C217" s="6"/>
      <c r="D217" s="6"/>
      <c r="E217" s="98"/>
      <c r="F217" s="3"/>
      <c r="G217" s="6"/>
      <c r="H217" s="3"/>
      <c r="I217" s="6"/>
      <c r="J217" s="6"/>
      <c r="K217" s="6"/>
      <c r="L217" s="6"/>
      <c r="M217" s="6"/>
      <c r="N217" s="6"/>
      <c r="O217" s="3"/>
      <c r="P217" s="6"/>
      <c r="Q217" s="6"/>
      <c r="R217" s="6"/>
      <c r="S217" s="6"/>
      <c r="T217" s="6"/>
      <c r="U217" t="str">
        <f t="shared" si="3"/>
        <v/>
      </c>
    </row>
    <row r="218" spans="3:21" customFormat="1" hidden="1">
      <c r="C218" s="6"/>
      <c r="D218" s="6"/>
      <c r="E218" s="98"/>
      <c r="F218" s="3"/>
      <c r="G218" s="6"/>
      <c r="H218" s="3"/>
      <c r="I218" s="6"/>
      <c r="J218" s="6"/>
      <c r="K218" s="6"/>
      <c r="L218" s="6"/>
      <c r="M218" s="6"/>
      <c r="N218" s="6"/>
      <c r="O218" s="3"/>
      <c r="P218" s="6"/>
      <c r="Q218" s="6"/>
      <c r="R218" s="6"/>
      <c r="S218" s="6"/>
      <c r="T218" s="6"/>
      <c r="U218" t="str">
        <f t="shared" si="3"/>
        <v/>
      </c>
    </row>
    <row r="219" spans="3:21" customFormat="1" hidden="1">
      <c r="C219" s="6"/>
      <c r="D219" s="6"/>
      <c r="E219" s="98"/>
      <c r="F219" s="3"/>
      <c r="G219" s="6"/>
      <c r="H219" s="3"/>
      <c r="I219" s="6"/>
      <c r="J219" s="6"/>
      <c r="K219" s="6"/>
      <c r="L219" s="6"/>
      <c r="M219" s="6"/>
      <c r="N219" s="6"/>
      <c r="O219" s="3"/>
      <c r="P219" s="6"/>
      <c r="Q219" s="6"/>
      <c r="R219" s="6"/>
      <c r="S219" s="6"/>
      <c r="T219" s="6"/>
      <c r="U219" t="str">
        <f t="shared" si="3"/>
        <v/>
      </c>
    </row>
    <row r="220" spans="3:21" customFormat="1" hidden="1">
      <c r="C220" s="6"/>
      <c r="D220" s="6"/>
      <c r="E220" s="98"/>
      <c r="F220" s="3"/>
      <c r="G220" s="6"/>
      <c r="H220" s="3"/>
      <c r="I220" s="6"/>
      <c r="J220" s="6"/>
      <c r="K220" s="6"/>
      <c r="L220" s="6"/>
      <c r="M220" s="6"/>
      <c r="N220" s="6"/>
      <c r="O220" s="3"/>
      <c r="P220" s="6"/>
      <c r="Q220" s="6"/>
      <c r="R220" s="6"/>
      <c r="S220" s="6"/>
      <c r="T220" s="6"/>
      <c r="U220" t="str">
        <f t="shared" si="3"/>
        <v/>
      </c>
    </row>
    <row r="221" spans="3:21" customFormat="1" hidden="1">
      <c r="C221" s="6"/>
      <c r="D221" s="6"/>
      <c r="E221" s="98"/>
      <c r="F221" s="3"/>
      <c r="G221" s="6"/>
      <c r="H221" s="3"/>
      <c r="I221" s="6"/>
      <c r="J221" s="6"/>
      <c r="K221" s="6"/>
      <c r="L221" s="6"/>
      <c r="M221" s="6"/>
      <c r="N221" s="6"/>
      <c r="O221" s="3"/>
      <c r="P221" s="6"/>
      <c r="Q221" s="6"/>
      <c r="R221" s="6"/>
      <c r="S221" s="6"/>
      <c r="T221" s="6"/>
      <c r="U221" t="str">
        <f t="shared" si="3"/>
        <v/>
      </c>
    </row>
    <row r="222" spans="3:21" customFormat="1" hidden="1">
      <c r="C222" s="6"/>
      <c r="D222" s="6"/>
      <c r="E222" s="98"/>
      <c r="F222" s="3"/>
      <c r="G222" s="6"/>
      <c r="H222" s="3"/>
      <c r="I222" s="6"/>
      <c r="J222" s="6"/>
      <c r="K222" s="6"/>
      <c r="L222" s="6"/>
      <c r="M222" s="6"/>
      <c r="N222" s="6"/>
      <c r="O222" s="3"/>
      <c r="P222" s="6"/>
      <c r="Q222" s="6"/>
      <c r="R222" s="6"/>
      <c r="S222" s="6"/>
      <c r="T222" s="6"/>
      <c r="U222" t="str">
        <f t="shared" si="3"/>
        <v/>
      </c>
    </row>
    <row r="223" spans="3:21" customFormat="1" hidden="1">
      <c r="C223" s="6"/>
      <c r="D223" s="6"/>
      <c r="E223" s="98"/>
      <c r="F223" s="3"/>
      <c r="G223" s="6"/>
      <c r="H223" s="3"/>
      <c r="I223" s="6"/>
      <c r="J223" s="6"/>
      <c r="K223" s="6"/>
      <c r="L223" s="6"/>
      <c r="M223" s="6"/>
      <c r="N223" s="6"/>
      <c r="O223" s="3"/>
      <c r="P223" s="6"/>
      <c r="Q223" s="6"/>
      <c r="R223" s="6"/>
      <c r="S223" s="6"/>
      <c r="T223" s="6"/>
      <c r="U223" t="str">
        <f t="shared" si="3"/>
        <v/>
      </c>
    </row>
    <row r="224" spans="3:21" customFormat="1" hidden="1">
      <c r="C224" s="6"/>
      <c r="D224" s="6"/>
      <c r="E224" s="98"/>
      <c r="F224" s="3"/>
      <c r="G224" s="6"/>
      <c r="H224" s="3"/>
      <c r="I224" s="6"/>
      <c r="J224" s="6"/>
      <c r="K224" s="6"/>
      <c r="L224" s="6"/>
      <c r="M224" s="6"/>
      <c r="N224" s="6"/>
      <c r="O224" s="3"/>
      <c r="P224" s="6"/>
      <c r="Q224" s="6"/>
      <c r="R224" s="6"/>
      <c r="S224" s="6"/>
      <c r="T224" s="6"/>
      <c r="U224" t="str">
        <f t="shared" si="3"/>
        <v/>
      </c>
    </row>
    <row r="225" spans="3:21" customFormat="1" hidden="1">
      <c r="C225" s="6"/>
      <c r="D225" s="6"/>
      <c r="E225" s="98"/>
      <c r="F225" s="3"/>
      <c r="G225" s="6"/>
      <c r="H225" s="3"/>
      <c r="I225" s="6"/>
      <c r="J225" s="6"/>
      <c r="K225" s="6"/>
      <c r="L225" s="6"/>
      <c r="M225" s="6"/>
      <c r="N225" s="6"/>
      <c r="O225" s="3"/>
      <c r="P225" s="6"/>
      <c r="Q225" s="6"/>
      <c r="R225" s="6"/>
      <c r="S225" s="6"/>
      <c r="T225" s="6"/>
      <c r="U225" t="str">
        <f t="shared" si="3"/>
        <v/>
      </c>
    </row>
    <row r="226" spans="3:21" customFormat="1" hidden="1">
      <c r="C226" s="6"/>
      <c r="D226" s="6"/>
      <c r="E226" s="98"/>
      <c r="F226" s="3"/>
      <c r="G226" s="6"/>
      <c r="H226" s="3"/>
      <c r="I226" s="6"/>
      <c r="J226" s="6"/>
      <c r="K226" s="6"/>
      <c r="L226" s="6"/>
      <c r="M226" s="6"/>
      <c r="N226" s="6"/>
      <c r="O226" s="3"/>
      <c r="P226" s="6"/>
      <c r="Q226" s="6"/>
      <c r="R226" s="6"/>
      <c r="S226" s="6"/>
      <c r="T226" s="6"/>
      <c r="U226" t="str">
        <f t="shared" si="3"/>
        <v/>
      </c>
    </row>
    <row r="227" spans="3:21" customFormat="1" hidden="1">
      <c r="C227" s="6"/>
      <c r="D227" s="6"/>
      <c r="E227" s="98"/>
      <c r="F227" s="3"/>
      <c r="G227" s="6"/>
      <c r="H227" s="3"/>
      <c r="I227" s="6"/>
      <c r="J227" s="6"/>
      <c r="K227" s="6"/>
      <c r="L227" s="6"/>
      <c r="M227" s="6"/>
      <c r="N227" s="6"/>
      <c r="O227" s="3"/>
      <c r="P227" s="6"/>
      <c r="Q227" s="6"/>
      <c r="R227" s="6"/>
      <c r="S227" s="6"/>
      <c r="T227" s="6"/>
      <c r="U227" t="str">
        <f t="shared" si="3"/>
        <v/>
      </c>
    </row>
    <row r="228" spans="3:21" customFormat="1" hidden="1">
      <c r="C228" s="6"/>
      <c r="D228" s="6"/>
      <c r="E228" s="98"/>
      <c r="F228" s="3"/>
      <c r="G228" s="6"/>
      <c r="H228" s="3"/>
      <c r="I228" s="6"/>
      <c r="J228" s="6"/>
      <c r="K228" s="6"/>
      <c r="L228" s="6"/>
      <c r="M228" s="6"/>
      <c r="N228" s="6"/>
      <c r="O228" s="3"/>
      <c r="P228" s="6"/>
      <c r="Q228" s="6"/>
      <c r="R228" s="6"/>
      <c r="S228" s="6"/>
      <c r="T228" s="6"/>
      <c r="U228" t="str">
        <f t="shared" si="3"/>
        <v/>
      </c>
    </row>
    <row r="229" spans="3:21" customFormat="1" hidden="1">
      <c r="C229" s="6"/>
      <c r="D229" s="6"/>
      <c r="E229" s="98"/>
      <c r="F229" s="3"/>
      <c r="G229" s="6"/>
      <c r="H229" s="3"/>
      <c r="I229" s="6"/>
      <c r="J229" s="6"/>
      <c r="K229" s="6"/>
      <c r="L229" s="6"/>
      <c r="M229" s="6"/>
      <c r="N229" s="6"/>
      <c r="O229" s="3"/>
      <c r="P229" s="6"/>
      <c r="Q229" s="6"/>
      <c r="R229" s="6"/>
      <c r="S229" s="6"/>
      <c r="T229" s="6"/>
      <c r="U229" t="str">
        <f t="shared" si="3"/>
        <v/>
      </c>
    </row>
    <row r="230" spans="3:21" customFormat="1" hidden="1">
      <c r="C230" s="6"/>
      <c r="D230" s="6"/>
      <c r="E230" s="98"/>
      <c r="F230" s="3"/>
      <c r="G230" s="6"/>
      <c r="H230" s="3"/>
      <c r="I230" s="6"/>
      <c r="J230" s="6"/>
      <c r="K230" s="6"/>
      <c r="L230" s="6"/>
      <c r="M230" s="6"/>
      <c r="N230" s="6"/>
      <c r="O230" s="3"/>
      <c r="P230" s="6"/>
      <c r="Q230" s="6"/>
      <c r="R230" s="6"/>
      <c r="S230" s="6"/>
      <c r="T230" s="6"/>
      <c r="U230" t="str">
        <f t="shared" si="3"/>
        <v/>
      </c>
    </row>
    <row r="231" spans="3:21" customFormat="1" hidden="1">
      <c r="C231" s="6"/>
      <c r="D231" s="6"/>
      <c r="E231" s="98"/>
      <c r="F231" s="3"/>
      <c r="G231" s="6"/>
      <c r="H231" s="3"/>
      <c r="I231" s="6"/>
      <c r="J231" s="6"/>
      <c r="K231" s="6"/>
      <c r="L231" s="6"/>
      <c r="M231" s="6"/>
      <c r="N231" s="6"/>
      <c r="O231" s="3"/>
      <c r="P231" s="6"/>
      <c r="Q231" s="6"/>
      <c r="R231" s="6"/>
      <c r="S231" s="6"/>
      <c r="T231" s="6"/>
      <c r="U231" t="str">
        <f t="shared" si="3"/>
        <v/>
      </c>
    </row>
    <row r="232" spans="3:21" customFormat="1" hidden="1">
      <c r="C232" s="6"/>
      <c r="D232" s="6"/>
      <c r="E232" s="98"/>
      <c r="F232" s="3"/>
      <c r="G232" s="6"/>
      <c r="H232" s="3"/>
      <c r="I232" s="6"/>
      <c r="J232" s="6"/>
      <c r="K232" s="6"/>
      <c r="L232" s="6"/>
      <c r="M232" s="6"/>
      <c r="N232" s="6"/>
      <c r="O232" s="3"/>
      <c r="P232" s="6"/>
      <c r="Q232" s="6"/>
      <c r="R232" s="6"/>
      <c r="S232" s="6"/>
      <c r="T232" s="6"/>
      <c r="U232" t="str">
        <f t="shared" si="3"/>
        <v/>
      </c>
    </row>
    <row r="233" spans="3:21" customFormat="1" hidden="1">
      <c r="C233" s="6"/>
      <c r="D233" s="6"/>
      <c r="E233" s="98"/>
      <c r="F233" s="3"/>
      <c r="G233" s="6"/>
      <c r="H233" s="3"/>
      <c r="I233" s="6"/>
      <c r="J233" s="6"/>
      <c r="K233" s="6"/>
      <c r="L233" s="6"/>
      <c r="M233" s="6"/>
      <c r="N233" s="6"/>
      <c r="O233" s="3"/>
      <c r="P233" s="6"/>
      <c r="Q233" s="6"/>
      <c r="R233" s="6"/>
      <c r="S233" s="6"/>
      <c r="T233" s="6"/>
      <c r="U233" t="str">
        <f t="shared" si="3"/>
        <v/>
      </c>
    </row>
    <row r="234" spans="3:21" customFormat="1" hidden="1">
      <c r="C234" s="6"/>
      <c r="D234" s="6"/>
      <c r="E234" s="98"/>
      <c r="F234" s="3"/>
      <c r="G234" s="6"/>
      <c r="H234" s="3"/>
      <c r="I234" s="6"/>
      <c r="J234" s="6"/>
      <c r="K234" s="6"/>
      <c r="L234" s="6"/>
      <c r="M234" s="6"/>
      <c r="N234" s="6"/>
      <c r="O234" s="3"/>
      <c r="P234" s="6"/>
      <c r="Q234" s="6"/>
      <c r="R234" s="6"/>
      <c r="S234" s="6"/>
      <c r="T234" s="6"/>
      <c r="U234" t="str">
        <f t="shared" si="3"/>
        <v/>
      </c>
    </row>
    <row r="235" spans="3:21" customFormat="1" hidden="1">
      <c r="C235" s="6"/>
      <c r="D235" s="6"/>
      <c r="E235" s="98"/>
      <c r="F235" s="3"/>
      <c r="G235" s="6"/>
      <c r="H235" s="3"/>
      <c r="I235" s="6"/>
      <c r="J235" s="6"/>
      <c r="K235" s="6"/>
      <c r="L235" s="6"/>
      <c r="M235" s="6"/>
      <c r="N235" s="6"/>
      <c r="O235" s="3"/>
      <c r="P235" s="6"/>
      <c r="Q235" s="6"/>
      <c r="R235" s="6"/>
      <c r="S235" s="6"/>
      <c r="T235" s="6"/>
      <c r="U235" t="str">
        <f t="shared" si="3"/>
        <v/>
      </c>
    </row>
    <row r="236" spans="3:21" customFormat="1" hidden="1">
      <c r="C236" s="6"/>
      <c r="D236" s="6"/>
      <c r="E236" s="98"/>
      <c r="F236" s="3"/>
      <c r="G236" s="6"/>
      <c r="H236" s="3"/>
      <c r="I236" s="6"/>
      <c r="J236" s="6"/>
      <c r="K236" s="6"/>
      <c r="L236" s="6"/>
      <c r="M236" s="6"/>
      <c r="N236" s="6"/>
      <c r="O236" s="3"/>
      <c r="P236" s="6"/>
      <c r="Q236" s="6"/>
      <c r="R236" s="6"/>
      <c r="S236" s="6"/>
      <c r="T236" s="6"/>
      <c r="U236" t="str">
        <f t="shared" si="3"/>
        <v/>
      </c>
    </row>
    <row r="237" spans="3:21" customFormat="1" hidden="1">
      <c r="C237" s="6"/>
      <c r="D237" s="6"/>
      <c r="E237" s="98"/>
      <c r="F237" s="3"/>
      <c r="G237" s="6"/>
      <c r="H237" s="3"/>
      <c r="I237" s="6"/>
      <c r="J237" s="6"/>
      <c r="K237" s="6"/>
      <c r="L237" s="6"/>
      <c r="M237" s="6"/>
      <c r="N237" s="6"/>
      <c r="O237" s="3"/>
      <c r="P237" s="6"/>
      <c r="Q237" s="6"/>
      <c r="R237" s="6"/>
      <c r="S237" s="6"/>
      <c r="T237" s="6"/>
      <c r="U237" t="str">
        <f t="shared" si="3"/>
        <v/>
      </c>
    </row>
    <row r="238" spans="3:21" customFormat="1" hidden="1">
      <c r="C238" s="6"/>
      <c r="D238" s="6"/>
      <c r="E238" s="98"/>
      <c r="F238" s="3"/>
      <c r="G238" s="6"/>
      <c r="H238" s="3"/>
      <c r="I238" s="6"/>
      <c r="J238" s="6"/>
      <c r="K238" s="6"/>
      <c r="L238" s="6"/>
      <c r="M238" s="6"/>
      <c r="N238" s="6"/>
      <c r="O238" s="3"/>
      <c r="P238" s="6"/>
      <c r="Q238" s="6"/>
      <c r="R238" s="6"/>
      <c r="S238" s="6"/>
      <c r="T238" s="6"/>
      <c r="U238" t="str">
        <f t="shared" si="3"/>
        <v/>
      </c>
    </row>
    <row r="239" spans="3:21" customFormat="1" hidden="1">
      <c r="C239" s="6"/>
      <c r="D239" s="6"/>
      <c r="E239" s="98"/>
      <c r="F239" s="3"/>
      <c r="G239" s="6"/>
      <c r="H239" s="3"/>
      <c r="I239" s="6"/>
      <c r="J239" s="6"/>
      <c r="K239" s="6"/>
      <c r="L239" s="6"/>
      <c r="M239" s="6"/>
      <c r="N239" s="6"/>
      <c r="O239" s="3"/>
      <c r="P239" s="6"/>
      <c r="Q239" s="6"/>
      <c r="R239" s="6"/>
      <c r="S239" s="6"/>
      <c r="T239" s="6"/>
      <c r="U239" t="str">
        <f t="shared" si="3"/>
        <v/>
      </c>
    </row>
    <row r="240" spans="3:21" customFormat="1" hidden="1">
      <c r="C240" s="6"/>
      <c r="D240" s="6"/>
      <c r="E240" s="98"/>
      <c r="F240" s="3"/>
      <c r="G240" s="6"/>
      <c r="H240" s="3"/>
      <c r="I240" s="6"/>
      <c r="J240" s="6"/>
      <c r="K240" s="6"/>
      <c r="L240" s="6"/>
      <c r="M240" s="6"/>
      <c r="N240" s="6"/>
      <c r="O240" s="3"/>
      <c r="P240" s="6"/>
      <c r="Q240" s="6"/>
      <c r="R240" s="6"/>
      <c r="S240" s="6"/>
      <c r="T240" s="6"/>
      <c r="U240" t="str">
        <f t="shared" si="3"/>
        <v/>
      </c>
    </row>
    <row r="241" spans="3:21" customFormat="1" hidden="1">
      <c r="C241" s="6"/>
      <c r="D241" s="6"/>
      <c r="E241" s="98"/>
      <c r="F241" s="3"/>
      <c r="G241" s="6"/>
      <c r="H241" s="3"/>
      <c r="I241" s="6"/>
      <c r="J241" s="6"/>
      <c r="K241" s="6"/>
      <c r="L241" s="6"/>
      <c r="M241" s="6"/>
      <c r="N241" s="6"/>
      <c r="O241" s="3"/>
      <c r="P241" s="6"/>
      <c r="Q241" s="6"/>
      <c r="R241" s="6"/>
      <c r="S241" s="6"/>
      <c r="T241" s="6"/>
      <c r="U241" t="str">
        <f t="shared" si="3"/>
        <v/>
      </c>
    </row>
    <row r="242" spans="3:21" customFormat="1" hidden="1">
      <c r="C242" s="6"/>
      <c r="D242" s="6"/>
      <c r="E242" s="98"/>
      <c r="F242" s="3"/>
      <c r="G242" s="6"/>
      <c r="H242" s="3"/>
      <c r="I242" s="6"/>
      <c r="J242" s="6"/>
      <c r="K242" s="6"/>
      <c r="L242" s="6"/>
      <c r="M242" s="6"/>
      <c r="N242" s="6"/>
      <c r="O242" s="3"/>
      <c r="P242" s="6"/>
      <c r="Q242" s="6"/>
      <c r="R242" s="6"/>
      <c r="S242" s="6"/>
      <c r="T242" s="6"/>
      <c r="U242" t="str">
        <f t="shared" si="3"/>
        <v/>
      </c>
    </row>
    <row r="243" spans="3:21" customFormat="1" hidden="1">
      <c r="C243" s="6"/>
      <c r="D243" s="6"/>
      <c r="E243" s="98"/>
      <c r="F243" s="3"/>
      <c r="G243" s="6"/>
      <c r="H243" s="3"/>
      <c r="I243" s="6"/>
      <c r="J243" s="6"/>
      <c r="K243" s="6"/>
      <c r="L243" s="6"/>
      <c r="M243" s="6"/>
      <c r="N243" s="6"/>
      <c r="O243" s="3"/>
      <c r="P243" s="6"/>
      <c r="Q243" s="6"/>
      <c r="R243" s="6"/>
      <c r="S243" s="6"/>
      <c r="T243" s="6"/>
      <c r="U243" t="str">
        <f t="shared" si="3"/>
        <v/>
      </c>
    </row>
    <row r="244" spans="3:21" customFormat="1" hidden="1">
      <c r="C244" s="6"/>
      <c r="D244" s="6"/>
      <c r="E244" s="98"/>
      <c r="F244" s="3"/>
      <c r="G244" s="6"/>
      <c r="H244" s="3"/>
      <c r="I244" s="6"/>
      <c r="J244" s="6"/>
      <c r="K244" s="6"/>
      <c r="L244" s="6"/>
      <c r="M244" s="6"/>
      <c r="N244" s="6"/>
      <c r="O244" s="3"/>
      <c r="P244" s="6"/>
      <c r="Q244" s="6"/>
      <c r="R244" s="6"/>
      <c r="S244" s="6"/>
      <c r="T244" s="6"/>
      <c r="U244" t="str">
        <f t="shared" si="3"/>
        <v/>
      </c>
    </row>
    <row r="245" spans="3:21" customFormat="1" hidden="1">
      <c r="C245" s="6"/>
      <c r="D245" s="6"/>
      <c r="E245" s="98"/>
      <c r="F245" s="3"/>
      <c r="G245" s="6"/>
      <c r="H245" s="3"/>
      <c r="I245" s="6"/>
      <c r="J245" s="6"/>
      <c r="K245" s="6"/>
      <c r="L245" s="6"/>
      <c r="M245" s="6"/>
      <c r="N245" s="6"/>
      <c r="O245" s="3"/>
      <c r="P245" s="6"/>
      <c r="Q245" s="6"/>
      <c r="R245" s="6"/>
      <c r="S245" s="6"/>
      <c r="T245" s="6"/>
      <c r="U245" t="str">
        <f t="shared" si="3"/>
        <v/>
      </c>
    </row>
    <row r="246" spans="3:21" customFormat="1" hidden="1">
      <c r="C246" s="6"/>
      <c r="D246" s="6"/>
      <c r="E246" s="98"/>
      <c r="F246" s="3"/>
      <c r="G246" s="6"/>
      <c r="H246" s="3"/>
      <c r="I246" s="6"/>
      <c r="J246" s="6"/>
      <c r="K246" s="6"/>
      <c r="L246" s="6"/>
      <c r="M246" s="6"/>
      <c r="N246" s="6"/>
      <c r="O246" s="3"/>
      <c r="P246" s="6"/>
      <c r="Q246" s="6"/>
      <c r="R246" s="6"/>
      <c r="S246" s="6"/>
      <c r="T246" s="6"/>
      <c r="U246" t="str">
        <f t="shared" si="3"/>
        <v/>
      </c>
    </row>
    <row r="247" spans="3:21" customFormat="1" hidden="1">
      <c r="C247" s="6"/>
      <c r="D247" s="6"/>
      <c r="E247" s="98"/>
      <c r="F247" s="3"/>
      <c r="G247" s="6"/>
      <c r="H247" s="3"/>
      <c r="I247" s="6"/>
      <c r="J247" s="6"/>
      <c r="K247" s="6"/>
      <c r="L247" s="6"/>
      <c r="M247" s="6"/>
      <c r="N247" s="6"/>
      <c r="O247" s="3"/>
      <c r="P247" s="6"/>
      <c r="Q247" s="6"/>
      <c r="R247" s="6"/>
      <c r="S247" s="6"/>
      <c r="T247" s="6"/>
      <c r="U247" t="str">
        <f t="shared" si="3"/>
        <v/>
      </c>
    </row>
    <row r="248" spans="3:21" customFormat="1" hidden="1">
      <c r="C248" s="6"/>
      <c r="D248" s="6"/>
      <c r="E248" s="98"/>
      <c r="F248" s="3"/>
      <c r="G248" s="6"/>
      <c r="H248" s="3"/>
      <c r="I248" s="6"/>
      <c r="J248" s="6"/>
      <c r="K248" s="6"/>
      <c r="L248" s="6"/>
      <c r="M248" s="6"/>
      <c r="N248" s="6"/>
      <c r="O248" s="3"/>
      <c r="P248" s="6"/>
      <c r="Q248" s="6"/>
      <c r="R248" s="6"/>
      <c r="S248" s="6"/>
      <c r="T248" s="6"/>
      <c r="U248" t="str">
        <f t="shared" si="3"/>
        <v/>
      </c>
    </row>
    <row r="249" spans="3:21" customFormat="1" hidden="1">
      <c r="C249" s="6"/>
      <c r="D249" s="6"/>
      <c r="E249" s="98"/>
      <c r="F249" s="3"/>
      <c r="G249" s="6"/>
      <c r="H249" s="3"/>
      <c r="I249" s="6"/>
      <c r="J249" s="6"/>
      <c r="K249" s="6"/>
      <c r="L249" s="6"/>
      <c r="M249" s="6"/>
      <c r="N249" s="6"/>
      <c r="O249" s="3"/>
      <c r="P249" s="6"/>
      <c r="Q249" s="6"/>
      <c r="R249" s="6"/>
      <c r="S249" s="6"/>
      <c r="T249" s="6"/>
      <c r="U249" t="str">
        <f t="shared" si="3"/>
        <v/>
      </c>
    </row>
    <row r="250" spans="3:21" customFormat="1" hidden="1">
      <c r="C250" s="6"/>
      <c r="D250" s="6"/>
      <c r="E250" s="98"/>
      <c r="F250" s="3"/>
      <c r="G250" s="6"/>
      <c r="H250" s="3"/>
      <c r="I250" s="6"/>
      <c r="J250" s="6"/>
      <c r="K250" s="6"/>
      <c r="L250" s="6"/>
      <c r="M250" s="6"/>
      <c r="N250" s="6"/>
      <c r="O250" s="3"/>
      <c r="P250" s="6"/>
      <c r="Q250" s="6"/>
      <c r="R250" s="6"/>
      <c r="S250" s="6"/>
      <c r="T250" s="6"/>
      <c r="U250" t="str">
        <f t="shared" si="3"/>
        <v/>
      </c>
    </row>
    <row r="251" spans="3:21" customFormat="1" hidden="1">
      <c r="C251" s="6"/>
      <c r="D251" s="6"/>
      <c r="E251" s="98"/>
      <c r="F251" s="3"/>
      <c r="G251" s="6"/>
      <c r="H251" s="3"/>
      <c r="I251" s="6"/>
      <c r="J251" s="6"/>
      <c r="K251" s="6"/>
      <c r="L251" s="6"/>
      <c r="M251" s="6"/>
      <c r="N251" s="6"/>
      <c r="O251" s="3"/>
      <c r="P251" s="6"/>
      <c r="Q251" s="6"/>
      <c r="R251" s="6"/>
      <c r="S251" s="6"/>
      <c r="T251" s="6"/>
      <c r="U251" t="str">
        <f t="shared" si="3"/>
        <v/>
      </c>
    </row>
    <row r="252" spans="3:21" customFormat="1" hidden="1">
      <c r="C252" s="6"/>
      <c r="D252" s="6"/>
      <c r="E252" s="98"/>
      <c r="F252" s="3"/>
      <c r="G252" s="6"/>
      <c r="H252" s="3"/>
      <c r="I252" s="6"/>
      <c r="J252" s="6"/>
      <c r="K252" s="6"/>
      <c r="L252" s="6"/>
      <c r="M252" s="6"/>
      <c r="N252" s="6"/>
      <c r="O252" s="3"/>
      <c r="P252" s="6"/>
      <c r="Q252" s="6"/>
      <c r="R252" s="6"/>
      <c r="S252" s="6"/>
      <c r="T252" s="6"/>
      <c r="U252" t="str">
        <f t="shared" si="3"/>
        <v/>
      </c>
    </row>
    <row r="253" spans="3:21" customFormat="1" hidden="1">
      <c r="C253" s="6"/>
      <c r="D253" s="6"/>
      <c r="E253" s="98"/>
      <c r="F253" s="3"/>
      <c r="G253" s="6"/>
      <c r="H253" s="3"/>
      <c r="I253" s="6"/>
      <c r="J253" s="6"/>
      <c r="K253" s="6"/>
      <c r="L253" s="6"/>
      <c r="M253" s="6"/>
      <c r="N253" s="6"/>
      <c r="O253" s="3"/>
      <c r="P253" s="6"/>
      <c r="Q253" s="6"/>
      <c r="R253" s="6"/>
      <c r="S253" s="6"/>
      <c r="T253" s="6"/>
      <c r="U253" t="str">
        <f t="shared" si="3"/>
        <v/>
      </c>
    </row>
    <row r="254" spans="3:21" customFormat="1" hidden="1">
      <c r="C254" s="6"/>
      <c r="D254" s="6"/>
      <c r="E254" s="98"/>
      <c r="F254" s="3"/>
      <c r="G254" s="6"/>
      <c r="H254" s="3"/>
      <c r="I254" s="6"/>
      <c r="J254" s="6"/>
      <c r="K254" s="6"/>
      <c r="L254" s="6"/>
      <c r="M254" s="6"/>
      <c r="N254" s="6"/>
      <c r="O254" s="3"/>
      <c r="P254" s="6"/>
      <c r="Q254" s="6"/>
      <c r="R254" s="6"/>
      <c r="S254" s="6"/>
      <c r="T254" s="6"/>
      <c r="U254" t="str">
        <f t="shared" si="3"/>
        <v/>
      </c>
    </row>
    <row r="255" spans="3:21" customFormat="1" hidden="1">
      <c r="C255" s="6"/>
      <c r="D255" s="6"/>
      <c r="E255" s="98"/>
      <c r="F255" s="3"/>
      <c r="G255" s="6"/>
      <c r="H255" s="3"/>
      <c r="I255" s="6"/>
      <c r="J255" s="6"/>
      <c r="K255" s="6"/>
      <c r="L255" s="6"/>
      <c r="M255" s="6"/>
      <c r="N255" s="6"/>
      <c r="O255" s="3"/>
      <c r="P255" s="6"/>
      <c r="Q255" s="6"/>
      <c r="R255" s="6"/>
      <c r="S255" s="6"/>
      <c r="T255" s="6"/>
      <c r="U255" t="str">
        <f t="shared" si="3"/>
        <v/>
      </c>
    </row>
    <row r="256" spans="3:21" customFormat="1" hidden="1">
      <c r="C256" s="6"/>
      <c r="D256" s="6"/>
      <c r="E256" s="98"/>
      <c r="F256" s="3"/>
      <c r="G256" s="6"/>
      <c r="H256" s="3"/>
      <c r="I256" s="6"/>
      <c r="J256" s="6"/>
      <c r="K256" s="6"/>
      <c r="L256" s="6"/>
      <c r="M256" s="6"/>
      <c r="N256" s="6"/>
      <c r="O256" s="3"/>
      <c r="P256" s="6"/>
      <c r="Q256" s="6"/>
      <c r="R256" s="6"/>
      <c r="S256" s="6"/>
      <c r="T256" s="6"/>
      <c r="U256" t="str">
        <f t="shared" si="3"/>
        <v/>
      </c>
    </row>
    <row r="257" spans="3:21" customFormat="1" hidden="1">
      <c r="C257" s="6"/>
      <c r="D257" s="6"/>
      <c r="E257" s="98"/>
      <c r="F257" s="3"/>
      <c r="G257" s="6"/>
      <c r="H257" s="3"/>
      <c r="I257" s="6"/>
      <c r="J257" s="6"/>
      <c r="K257" s="6"/>
      <c r="L257" s="6"/>
      <c r="M257" s="6"/>
      <c r="N257" s="6"/>
      <c r="O257" s="3"/>
      <c r="P257" s="6"/>
      <c r="Q257" s="6"/>
      <c r="R257" s="6"/>
      <c r="S257" s="6"/>
      <c r="T257" s="6"/>
      <c r="U257" t="str">
        <f t="shared" si="3"/>
        <v/>
      </c>
    </row>
    <row r="258" spans="3:21" customFormat="1" hidden="1">
      <c r="C258" s="6"/>
      <c r="D258" s="6"/>
      <c r="E258" s="98"/>
      <c r="F258" s="3"/>
      <c r="G258" s="6"/>
      <c r="H258" s="3"/>
      <c r="I258" s="6"/>
      <c r="J258" s="6"/>
      <c r="K258" s="6"/>
      <c r="L258" s="6"/>
      <c r="M258" s="6"/>
      <c r="N258" s="6"/>
      <c r="O258" s="3"/>
      <c r="P258" s="6"/>
      <c r="Q258" s="6"/>
      <c r="R258" s="6"/>
      <c r="S258" s="6"/>
      <c r="T258" s="6"/>
      <c r="U258" t="str">
        <f t="shared" si="3"/>
        <v/>
      </c>
    </row>
    <row r="259" spans="3:21" customFormat="1" hidden="1">
      <c r="C259" s="6"/>
      <c r="D259" s="6"/>
      <c r="E259" s="98"/>
      <c r="F259" s="3"/>
      <c r="G259" s="6"/>
      <c r="H259" s="3"/>
      <c r="I259" s="6"/>
      <c r="J259" s="6"/>
      <c r="K259" s="6"/>
      <c r="L259" s="6"/>
      <c r="M259" s="6"/>
      <c r="N259" s="6"/>
      <c r="O259" s="3"/>
      <c r="P259" s="6"/>
      <c r="Q259" s="6"/>
      <c r="R259" s="6"/>
      <c r="S259" s="6"/>
      <c r="T259" s="6"/>
      <c r="U259" t="str">
        <f t="shared" si="3"/>
        <v/>
      </c>
    </row>
    <row r="260" spans="3:21" customFormat="1" hidden="1">
      <c r="C260" s="6"/>
      <c r="D260" s="6"/>
      <c r="E260" s="98"/>
      <c r="F260" s="3"/>
      <c r="G260" s="6"/>
      <c r="H260" s="3"/>
      <c r="I260" s="6"/>
      <c r="J260" s="6"/>
      <c r="K260" s="6"/>
      <c r="L260" s="6"/>
      <c r="M260" s="6"/>
      <c r="N260" s="6"/>
      <c r="O260" s="3"/>
      <c r="P260" s="6"/>
      <c r="Q260" s="6"/>
      <c r="R260" s="6"/>
      <c r="S260" s="6"/>
      <c r="T260" s="6"/>
      <c r="U260" t="str">
        <f t="shared" si="3"/>
        <v/>
      </c>
    </row>
    <row r="261" spans="3:21" customFormat="1" hidden="1">
      <c r="C261" s="6"/>
      <c r="D261" s="6"/>
      <c r="E261" s="98"/>
      <c r="F261" s="3"/>
      <c r="G261" s="6"/>
      <c r="H261" s="3"/>
      <c r="I261" s="6"/>
      <c r="J261" s="6"/>
      <c r="K261" s="6"/>
      <c r="L261" s="6"/>
      <c r="M261" s="6"/>
      <c r="N261" s="6"/>
      <c r="O261" s="3"/>
      <c r="P261" s="6"/>
      <c r="Q261" s="6"/>
      <c r="R261" s="6"/>
      <c r="S261" s="6"/>
      <c r="T261" s="6"/>
      <c r="U261" t="str">
        <f t="shared" si="3"/>
        <v/>
      </c>
    </row>
    <row r="262" spans="3:21" customFormat="1" hidden="1">
      <c r="C262" s="6"/>
      <c r="D262" s="6"/>
      <c r="E262" s="98"/>
      <c r="F262" s="3"/>
      <c r="G262" s="6"/>
      <c r="H262" s="3"/>
      <c r="I262" s="6"/>
      <c r="J262" s="6"/>
      <c r="K262" s="6"/>
      <c r="L262" s="6"/>
      <c r="M262" s="6"/>
      <c r="N262" s="6"/>
      <c r="O262" s="3"/>
      <c r="P262" s="6"/>
      <c r="Q262" s="6"/>
      <c r="R262" s="6"/>
      <c r="S262" s="6"/>
      <c r="T262" s="6"/>
      <c r="U262" t="str">
        <f t="shared" si="3"/>
        <v/>
      </c>
    </row>
    <row r="263" spans="3:21" customFormat="1" hidden="1">
      <c r="C263" s="6"/>
      <c r="D263" s="6"/>
      <c r="E263" s="98"/>
      <c r="F263" s="3"/>
      <c r="G263" s="6"/>
      <c r="H263" s="3"/>
      <c r="I263" s="6"/>
      <c r="J263" s="6"/>
      <c r="K263" s="6"/>
      <c r="L263" s="6"/>
      <c r="M263" s="6"/>
      <c r="N263" s="6"/>
      <c r="O263" s="3"/>
      <c r="P263" s="6"/>
      <c r="Q263" s="6"/>
      <c r="R263" s="6"/>
      <c r="S263" s="6"/>
      <c r="T263" s="6"/>
      <c r="U263" t="str">
        <f t="shared" ref="U263:U326" si="4">IF(D263="","","x")</f>
        <v/>
      </c>
    </row>
    <row r="264" spans="3:21" customFormat="1" hidden="1">
      <c r="C264" s="6"/>
      <c r="D264" s="6"/>
      <c r="E264" s="98"/>
      <c r="F264" s="3"/>
      <c r="G264" s="6"/>
      <c r="H264" s="3"/>
      <c r="I264" s="6"/>
      <c r="J264" s="6"/>
      <c r="K264" s="6"/>
      <c r="L264" s="6"/>
      <c r="M264" s="6"/>
      <c r="N264" s="6"/>
      <c r="O264" s="3"/>
      <c r="P264" s="6"/>
      <c r="Q264" s="6"/>
      <c r="R264" s="6"/>
      <c r="S264" s="6"/>
      <c r="T264" s="6"/>
      <c r="U264" t="str">
        <f t="shared" si="4"/>
        <v/>
      </c>
    </row>
    <row r="265" spans="3:21" customFormat="1" hidden="1">
      <c r="C265" s="6"/>
      <c r="D265" s="6"/>
      <c r="E265" s="98"/>
      <c r="F265" s="3"/>
      <c r="G265" s="6"/>
      <c r="H265" s="3"/>
      <c r="I265" s="6"/>
      <c r="J265" s="6"/>
      <c r="K265" s="6"/>
      <c r="L265" s="6"/>
      <c r="M265" s="6"/>
      <c r="N265" s="6"/>
      <c r="O265" s="3"/>
      <c r="P265" s="6"/>
      <c r="Q265" s="6"/>
      <c r="R265" s="6"/>
      <c r="S265" s="6"/>
      <c r="T265" s="6"/>
      <c r="U265" t="str">
        <f t="shared" si="4"/>
        <v/>
      </c>
    </row>
    <row r="266" spans="3:21" customFormat="1" hidden="1">
      <c r="C266" s="6"/>
      <c r="D266" s="6"/>
      <c r="E266" s="98"/>
      <c r="F266" s="3"/>
      <c r="G266" s="6"/>
      <c r="H266" s="3"/>
      <c r="I266" s="6"/>
      <c r="J266" s="6"/>
      <c r="K266" s="6"/>
      <c r="L266" s="6"/>
      <c r="M266" s="6"/>
      <c r="N266" s="6"/>
      <c r="O266" s="3"/>
      <c r="P266" s="6"/>
      <c r="Q266" s="6"/>
      <c r="R266" s="6"/>
      <c r="S266" s="6"/>
      <c r="T266" s="6"/>
      <c r="U266" t="str">
        <f t="shared" si="4"/>
        <v/>
      </c>
    </row>
    <row r="267" spans="3:21" customFormat="1" hidden="1">
      <c r="C267" s="6"/>
      <c r="D267" s="6"/>
      <c r="E267" s="98"/>
      <c r="F267" s="3"/>
      <c r="G267" s="6"/>
      <c r="H267" s="3"/>
      <c r="I267" s="6"/>
      <c r="J267" s="6"/>
      <c r="K267" s="6"/>
      <c r="L267" s="6"/>
      <c r="M267" s="6"/>
      <c r="N267" s="6"/>
      <c r="O267" s="3"/>
      <c r="P267" s="6"/>
      <c r="Q267" s="6"/>
      <c r="R267" s="6"/>
      <c r="S267" s="6"/>
      <c r="T267" s="6"/>
      <c r="U267" t="str">
        <f t="shared" si="4"/>
        <v/>
      </c>
    </row>
    <row r="268" spans="3:21" customFormat="1" hidden="1">
      <c r="C268" s="6"/>
      <c r="D268" s="6"/>
      <c r="E268" s="98"/>
      <c r="F268" s="3"/>
      <c r="G268" s="6"/>
      <c r="H268" s="3"/>
      <c r="I268" s="6"/>
      <c r="J268" s="6"/>
      <c r="K268" s="6"/>
      <c r="L268" s="6"/>
      <c r="M268" s="6"/>
      <c r="N268" s="6"/>
      <c r="O268" s="3"/>
      <c r="P268" s="6"/>
      <c r="Q268" s="6"/>
      <c r="R268" s="6"/>
      <c r="S268" s="6"/>
      <c r="T268" s="6"/>
      <c r="U268" t="str">
        <f t="shared" si="4"/>
        <v/>
      </c>
    </row>
    <row r="269" spans="3:21" customFormat="1" hidden="1">
      <c r="C269" s="6"/>
      <c r="D269" s="6"/>
      <c r="E269" s="98"/>
      <c r="F269" s="3"/>
      <c r="G269" s="6"/>
      <c r="H269" s="3"/>
      <c r="I269" s="6"/>
      <c r="J269" s="6"/>
      <c r="K269" s="6"/>
      <c r="L269" s="6"/>
      <c r="M269" s="6"/>
      <c r="N269" s="6"/>
      <c r="O269" s="3"/>
      <c r="P269" s="6"/>
      <c r="Q269" s="6"/>
      <c r="R269" s="6"/>
      <c r="S269" s="6"/>
      <c r="T269" s="6"/>
      <c r="U269" t="str">
        <f t="shared" si="4"/>
        <v/>
      </c>
    </row>
    <row r="270" spans="3:21" customFormat="1" hidden="1">
      <c r="C270" s="6"/>
      <c r="D270" s="6"/>
      <c r="E270" s="98"/>
      <c r="F270" s="3"/>
      <c r="G270" s="6"/>
      <c r="H270" s="3"/>
      <c r="I270" s="6"/>
      <c r="J270" s="6"/>
      <c r="K270" s="6"/>
      <c r="L270" s="6"/>
      <c r="M270" s="6"/>
      <c r="N270" s="6"/>
      <c r="O270" s="3"/>
      <c r="P270" s="6"/>
      <c r="Q270" s="6"/>
      <c r="R270" s="6"/>
      <c r="S270" s="6"/>
      <c r="T270" s="6"/>
      <c r="U270" t="str">
        <f t="shared" si="4"/>
        <v/>
      </c>
    </row>
    <row r="271" spans="3:21" customFormat="1" hidden="1">
      <c r="C271" s="6"/>
      <c r="D271" s="6"/>
      <c r="E271" s="98"/>
      <c r="F271" s="3"/>
      <c r="G271" s="6"/>
      <c r="H271" s="3"/>
      <c r="I271" s="6"/>
      <c r="J271" s="6"/>
      <c r="K271" s="6"/>
      <c r="L271" s="6"/>
      <c r="M271" s="6"/>
      <c r="N271" s="6"/>
      <c r="O271" s="3"/>
      <c r="P271" s="6"/>
      <c r="Q271" s="6"/>
      <c r="R271" s="6"/>
      <c r="S271" s="6"/>
      <c r="T271" s="6"/>
      <c r="U271" t="str">
        <f t="shared" si="4"/>
        <v/>
      </c>
    </row>
    <row r="272" spans="3:21" customFormat="1" hidden="1">
      <c r="C272" s="6"/>
      <c r="D272" s="6"/>
      <c r="E272" s="98"/>
      <c r="F272" s="3"/>
      <c r="G272" s="6"/>
      <c r="H272" s="3"/>
      <c r="I272" s="6"/>
      <c r="J272" s="6"/>
      <c r="K272" s="6"/>
      <c r="L272" s="6"/>
      <c r="M272" s="6"/>
      <c r="N272" s="6"/>
      <c r="O272" s="3"/>
      <c r="P272" s="6"/>
      <c r="Q272" s="6"/>
      <c r="R272" s="6"/>
      <c r="S272" s="6"/>
      <c r="T272" s="6"/>
      <c r="U272" t="str">
        <f t="shared" si="4"/>
        <v/>
      </c>
    </row>
    <row r="273" spans="3:21" customFormat="1" hidden="1">
      <c r="C273" s="6"/>
      <c r="D273" s="6"/>
      <c r="E273" s="98"/>
      <c r="F273" s="3"/>
      <c r="G273" s="6"/>
      <c r="H273" s="3"/>
      <c r="I273" s="6"/>
      <c r="J273" s="6"/>
      <c r="K273" s="6"/>
      <c r="L273" s="6"/>
      <c r="M273" s="6"/>
      <c r="N273" s="6"/>
      <c r="O273" s="3"/>
      <c r="P273" s="6"/>
      <c r="Q273" s="6"/>
      <c r="R273" s="6"/>
      <c r="S273" s="6"/>
      <c r="T273" s="6"/>
      <c r="U273" t="str">
        <f t="shared" si="4"/>
        <v/>
      </c>
    </row>
    <row r="274" spans="3:21" customFormat="1" hidden="1">
      <c r="C274" s="6"/>
      <c r="D274" s="6"/>
      <c r="E274" s="98"/>
      <c r="F274" s="3"/>
      <c r="G274" s="6"/>
      <c r="H274" s="3"/>
      <c r="I274" s="6"/>
      <c r="J274" s="6"/>
      <c r="K274" s="6"/>
      <c r="L274" s="6"/>
      <c r="M274" s="6"/>
      <c r="N274" s="6"/>
      <c r="O274" s="3"/>
      <c r="P274" s="6"/>
      <c r="Q274" s="6"/>
      <c r="R274" s="6"/>
      <c r="S274" s="6"/>
      <c r="T274" s="6"/>
      <c r="U274" t="str">
        <f t="shared" si="4"/>
        <v/>
      </c>
    </row>
    <row r="275" spans="3:21" customFormat="1" hidden="1">
      <c r="C275" s="6"/>
      <c r="D275" s="6"/>
      <c r="E275" s="98"/>
      <c r="F275" s="3"/>
      <c r="G275" s="6"/>
      <c r="H275" s="3"/>
      <c r="I275" s="6"/>
      <c r="J275" s="6"/>
      <c r="K275" s="6"/>
      <c r="L275" s="6"/>
      <c r="M275" s="6"/>
      <c r="N275" s="6"/>
      <c r="O275" s="3"/>
      <c r="P275" s="6"/>
      <c r="Q275" s="6"/>
      <c r="R275" s="6"/>
      <c r="S275" s="6"/>
      <c r="T275" s="6"/>
      <c r="U275" t="str">
        <f t="shared" si="4"/>
        <v/>
      </c>
    </row>
    <row r="276" spans="3:21" customFormat="1" hidden="1">
      <c r="C276" s="6"/>
      <c r="D276" s="6"/>
      <c r="E276" s="98"/>
      <c r="F276" s="3"/>
      <c r="G276" s="6"/>
      <c r="H276" s="3"/>
      <c r="I276" s="6"/>
      <c r="J276" s="6"/>
      <c r="K276" s="6"/>
      <c r="L276" s="6"/>
      <c r="M276" s="6"/>
      <c r="N276" s="6"/>
      <c r="O276" s="3"/>
      <c r="P276" s="6"/>
      <c r="Q276" s="6"/>
      <c r="R276" s="6"/>
      <c r="S276" s="6"/>
      <c r="T276" s="6"/>
      <c r="U276" t="str">
        <f t="shared" si="4"/>
        <v/>
      </c>
    </row>
    <row r="277" spans="3:21" customFormat="1" hidden="1">
      <c r="C277" s="6"/>
      <c r="D277" s="6"/>
      <c r="E277" s="98"/>
      <c r="F277" s="3"/>
      <c r="G277" s="6"/>
      <c r="H277" s="3"/>
      <c r="I277" s="6"/>
      <c r="J277" s="6"/>
      <c r="K277" s="6"/>
      <c r="L277" s="6"/>
      <c r="M277" s="6"/>
      <c r="N277" s="6"/>
      <c r="O277" s="3"/>
      <c r="P277" s="6"/>
      <c r="Q277" s="6"/>
      <c r="R277" s="6"/>
      <c r="S277" s="6"/>
      <c r="T277" s="6"/>
      <c r="U277" t="str">
        <f t="shared" si="4"/>
        <v/>
      </c>
    </row>
    <row r="278" spans="3:21" customFormat="1" hidden="1">
      <c r="C278" s="6"/>
      <c r="D278" s="6"/>
      <c r="E278" s="98"/>
      <c r="F278" s="3"/>
      <c r="G278" s="6"/>
      <c r="H278" s="3"/>
      <c r="I278" s="6"/>
      <c r="J278" s="6"/>
      <c r="K278" s="6"/>
      <c r="L278" s="6"/>
      <c r="M278" s="6"/>
      <c r="N278" s="6"/>
      <c r="O278" s="3"/>
      <c r="P278" s="6"/>
      <c r="Q278" s="6"/>
      <c r="R278" s="6"/>
      <c r="S278" s="6"/>
      <c r="T278" s="6"/>
      <c r="U278" t="str">
        <f t="shared" si="4"/>
        <v/>
      </c>
    </row>
    <row r="279" spans="3:21" customFormat="1" hidden="1">
      <c r="C279" s="6"/>
      <c r="D279" s="6"/>
      <c r="E279" s="98"/>
      <c r="F279" s="3"/>
      <c r="G279" s="6"/>
      <c r="H279" s="3"/>
      <c r="I279" s="6"/>
      <c r="J279" s="6"/>
      <c r="K279" s="6"/>
      <c r="L279" s="6"/>
      <c r="M279" s="6"/>
      <c r="N279" s="6"/>
      <c r="O279" s="3"/>
      <c r="P279" s="6"/>
      <c r="Q279" s="6"/>
      <c r="R279" s="6"/>
      <c r="S279" s="6"/>
      <c r="T279" s="6"/>
      <c r="U279" t="str">
        <f t="shared" si="4"/>
        <v/>
      </c>
    </row>
    <row r="280" spans="3:21" customFormat="1" hidden="1">
      <c r="C280" s="6"/>
      <c r="D280" s="6"/>
      <c r="E280" s="98"/>
      <c r="F280" s="3"/>
      <c r="G280" s="6"/>
      <c r="H280" s="3"/>
      <c r="I280" s="6"/>
      <c r="J280" s="6"/>
      <c r="K280" s="6"/>
      <c r="L280" s="6"/>
      <c r="M280" s="6"/>
      <c r="N280" s="6"/>
      <c r="O280" s="3"/>
      <c r="P280" s="6"/>
      <c r="Q280" s="6"/>
      <c r="R280" s="6"/>
      <c r="S280" s="6"/>
      <c r="T280" s="6"/>
      <c r="U280" t="str">
        <f t="shared" si="4"/>
        <v/>
      </c>
    </row>
    <row r="281" spans="3:21" customFormat="1" hidden="1">
      <c r="C281" s="6"/>
      <c r="D281" s="6"/>
      <c r="E281" s="98"/>
      <c r="F281" s="3"/>
      <c r="G281" s="6"/>
      <c r="H281" s="3"/>
      <c r="I281" s="6"/>
      <c r="J281" s="6"/>
      <c r="K281" s="6"/>
      <c r="L281" s="6"/>
      <c r="M281" s="6"/>
      <c r="N281" s="6"/>
      <c r="O281" s="3"/>
      <c r="P281" s="6"/>
      <c r="Q281" s="6"/>
      <c r="R281" s="6"/>
      <c r="S281" s="6"/>
      <c r="T281" s="6"/>
      <c r="U281" t="str">
        <f t="shared" si="4"/>
        <v/>
      </c>
    </row>
    <row r="282" spans="3:21" customFormat="1" hidden="1">
      <c r="C282" s="6"/>
      <c r="D282" s="6"/>
      <c r="E282" s="98"/>
      <c r="F282" s="3"/>
      <c r="G282" s="6"/>
      <c r="H282" s="3"/>
      <c r="I282" s="6"/>
      <c r="J282" s="6"/>
      <c r="K282" s="6"/>
      <c r="L282" s="6"/>
      <c r="M282" s="6"/>
      <c r="N282" s="6"/>
      <c r="O282" s="3"/>
      <c r="P282" s="6"/>
      <c r="Q282" s="6"/>
      <c r="R282" s="6"/>
      <c r="S282" s="6"/>
      <c r="T282" s="6"/>
      <c r="U282" t="str">
        <f t="shared" si="4"/>
        <v/>
      </c>
    </row>
    <row r="283" spans="3:21" customFormat="1" hidden="1">
      <c r="C283" s="6"/>
      <c r="D283" s="6"/>
      <c r="E283" s="98"/>
      <c r="F283" s="3"/>
      <c r="G283" s="6"/>
      <c r="H283" s="3"/>
      <c r="I283" s="6"/>
      <c r="J283" s="6"/>
      <c r="K283" s="6"/>
      <c r="L283" s="6"/>
      <c r="M283" s="6"/>
      <c r="N283" s="6"/>
      <c r="O283" s="3"/>
      <c r="P283" s="6"/>
      <c r="Q283" s="6"/>
      <c r="R283" s="6"/>
      <c r="S283" s="6"/>
      <c r="T283" s="6"/>
      <c r="U283" t="str">
        <f t="shared" si="4"/>
        <v/>
      </c>
    </row>
    <row r="284" spans="3:21" customFormat="1" hidden="1">
      <c r="C284" s="6"/>
      <c r="D284" s="6"/>
      <c r="E284" s="98"/>
      <c r="F284" s="3"/>
      <c r="G284" s="6"/>
      <c r="H284" s="3"/>
      <c r="I284" s="6"/>
      <c r="J284" s="6"/>
      <c r="K284" s="6"/>
      <c r="L284" s="6"/>
      <c r="M284" s="6"/>
      <c r="N284" s="6"/>
      <c r="O284" s="3"/>
      <c r="P284" s="6"/>
      <c r="Q284" s="6"/>
      <c r="R284" s="6"/>
      <c r="S284" s="6"/>
      <c r="T284" s="6"/>
      <c r="U284" t="str">
        <f t="shared" si="4"/>
        <v/>
      </c>
    </row>
    <row r="285" spans="3:21" customFormat="1" hidden="1">
      <c r="C285" s="6"/>
      <c r="D285" s="6"/>
      <c r="E285" s="98"/>
      <c r="F285" s="3"/>
      <c r="G285" s="6"/>
      <c r="H285" s="3"/>
      <c r="I285" s="6"/>
      <c r="J285" s="6"/>
      <c r="K285" s="6"/>
      <c r="L285" s="6"/>
      <c r="M285" s="6"/>
      <c r="N285" s="6"/>
      <c r="O285" s="3"/>
      <c r="P285" s="6"/>
      <c r="Q285" s="6"/>
      <c r="R285" s="6"/>
      <c r="S285" s="6"/>
      <c r="T285" s="6"/>
      <c r="U285" t="str">
        <f t="shared" si="4"/>
        <v/>
      </c>
    </row>
    <row r="286" spans="3:21" customFormat="1" hidden="1">
      <c r="C286" s="6"/>
      <c r="D286" s="6"/>
      <c r="E286" s="98"/>
      <c r="F286" s="3"/>
      <c r="G286" s="6"/>
      <c r="H286" s="3"/>
      <c r="I286" s="6"/>
      <c r="J286" s="6"/>
      <c r="K286" s="6"/>
      <c r="L286" s="6"/>
      <c r="M286" s="6"/>
      <c r="N286" s="6"/>
      <c r="O286" s="3"/>
      <c r="P286" s="6"/>
      <c r="Q286" s="6"/>
      <c r="R286" s="6"/>
      <c r="S286" s="6"/>
      <c r="T286" s="6"/>
      <c r="U286" t="str">
        <f t="shared" si="4"/>
        <v/>
      </c>
    </row>
    <row r="287" spans="3:21" customFormat="1" hidden="1">
      <c r="C287" s="6"/>
      <c r="D287" s="6"/>
      <c r="E287" s="98"/>
      <c r="F287" s="3"/>
      <c r="G287" s="6"/>
      <c r="H287" s="3"/>
      <c r="I287" s="6"/>
      <c r="J287" s="6"/>
      <c r="K287" s="6"/>
      <c r="L287" s="6"/>
      <c r="M287" s="6"/>
      <c r="N287" s="6"/>
      <c r="O287" s="3"/>
      <c r="P287" s="6"/>
      <c r="Q287" s="6"/>
      <c r="R287" s="6"/>
      <c r="S287" s="6"/>
      <c r="T287" s="6"/>
      <c r="U287" t="str">
        <f t="shared" si="4"/>
        <v/>
      </c>
    </row>
    <row r="288" spans="3:21" customFormat="1" hidden="1">
      <c r="C288" s="6"/>
      <c r="D288" s="6"/>
      <c r="E288" s="98"/>
      <c r="F288" s="3"/>
      <c r="G288" s="6"/>
      <c r="H288" s="3"/>
      <c r="I288" s="6"/>
      <c r="J288" s="6"/>
      <c r="K288" s="6"/>
      <c r="L288" s="6"/>
      <c r="M288" s="6"/>
      <c r="N288" s="6"/>
      <c r="O288" s="3"/>
      <c r="P288" s="6"/>
      <c r="Q288" s="6"/>
      <c r="R288" s="6"/>
      <c r="S288" s="6"/>
      <c r="T288" s="6"/>
      <c r="U288" t="str">
        <f t="shared" si="4"/>
        <v/>
      </c>
    </row>
    <row r="289" spans="3:21" customFormat="1" hidden="1">
      <c r="C289" s="6"/>
      <c r="D289" s="6"/>
      <c r="E289" s="98"/>
      <c r="F289" s="3"/>
      <c r="G289" s="6"/>
      <c r="H289" s="3"/>
      <c r="I289" s="6"/>
      <c r="J289" s="6"/>
      <c r="K289" s="6"/>
      <c r="L289" s="6"/>
      <c r="M289" s="6"/>
      <c r="N289" s="6"/>
      <c r="O289" s="3"/>
      <c r="P289" s="6"/>
      <c r="Q289" s="6"/>
      <c r="R289" s="6"/>
      <c r="S289" s="6"/>
      <c r="T289" s="6"/>
      <c r="U289" t="str">
        <f t="shared" si="4"/>
        <v/>
      </c>
    </row>
    <row r="290" spans="3:21" customFormat="1" hidden="1">
      <c r="C290" s="6"/>
      <c r="D290" s="6"/>
      <c r="E290" s="98"/>
      <c r="F290" s="3"/>
      <c r="G290" s="6"/>
      <c r="H290" s="3"/>
      <c r="I290" s="6"/>
      <c r="J290" s="6"/>
      <c r="K290" s="6"/>
      <c r="L290" s="6"/>
      <c r="M290" s="6"/>
      <c r="N290" s="6"/>
      <c r="O290" s="3"/>
      <c r="P290" s="6"/>
      <c r="Q290" s="6"/>
      <c r="R290" s="6"/>
      <c r="S290" s="6"/>
      <c r="T290" s="6"/>
      <c r="U290" t="str">
        <f t="shared" si="4"/>
        <v/>
      </c>
    </row>
    <row r="291" spans="3:21" customFormat="1" hidden="1">
      <c r="C291" s="6"/>
      <c r="D291" s="6"/>
      <c r="E291" s="98"/>
      <c r="F291" s="3"/>
      <c r="G291" s="6"/>
      <c r="H291" s="3"/>
      <c r="I291" s="6"/>
      <c r="J291" s="6"/>
      <c r="K291" s="6"/>
      <c r="L291" s="6"/>
      <c r="M291" s="6"/>
      <c r="N291" s="6"/>
      <c r="O291" s="3"/>
      <c r="P291" s="6"/>
      <c r="Q291" s="6"/>
      <c r="R291" s="6"/>
      <c r="S291" s="6"/>
      <c r="T291" s="6"/>
      <c r="U291" t="str">
        <f t="shared" si="4"/>
        <v/>
      </c>
    </row>
    <row r="292" spans="3:21" customFormat="1" hidden="1">
      <c r="C292" s="6"/>
      <c r="D292" s="6"/>
      <c r="E292" s="98"/>
      <c r="F292" s="3"/>
      <c r="G292" s="6"/>
      <c r="H292" s="3"/>
      <c r="I292" s="6"/>
      <c r="J292" s="6"/>
      <c r="K292" s="6"/>
      <c r="L292" s="6"/>
      <c r="M292" s="6"/>
      <c r="N292" s="6"/>
      <c r="O292" s="3"/>
      <c r="P292" s="6"/>
      <c r="Q292" s="6"/>
      <c r="R292" s="6"/>
      <c r="S292" s="6"/>
      <c r="T292" s="6"/>
      <c r="U292" t="str">
        <f t="shared" si="4"/>
        <v/>
      </c>
    </row>
    <row r="293" spans="3:21" customFormat="1" hidden="1">
      <c r="C293" s="6"/>
      <c r="D293" s="6"/>
      <c r="E293" s="98"/>
      <c r="F293" s="3"/>
      <c r="G293" s="6"/>
      <c r="H293" s="3"/>
      <c r="I293" s="6"/>
      <c r="J293" s="6"/>
      <c r="K293" s="6"/>
      <c r="L293" s="6"/>
      <c r="M293" s="6"/>
      <c r="N293" s="6"/>
      <c r="O293" s="3"/>
      <c r="P293" s="6"/>
      <c r="Q293" s="6"/>
      <c r="R293" s="6"/>
      <c r="S293" s="6"/>
      <c r="T293" s="6"/>
      <c r="U293" t="str">
        <f t="shared" si="4"/>
        <v/>
      </c>
    </row>
    <row r="294" spans="3:21" customFormat="1" hidden="1">
      <c r="C294" s="6"/>
      <c r="D294" s="6"/>
      <c r="E294" s="98"/>
      <c r="F294" s="3"/>
      <c r="G294" s="6"/>
      <c r="H294" s="3"/>
      <c r="I294" s="6"/>
      <c r="J294" s="6"/>
      <c r="K294" s="6"/>
      <c r="L294" s="6"/>
      <c r="M294" s="6"/>
      <c r="N294" s="6"/>
      <c r="O294" s="3"/>
      <c r="P294" s="6"/>
      <c r="Q294" s="6"/>
      <c r="R294" s="6"/>
      <c r="S294" s="6"/>
      <c r="T294" s="6"/>
      <c r="U294" t="str">
        <f t="shared" si="4"/>
        <v/>
      </c>
    </row>
    <row r="295" spans="3:21" customFormat="1" hidden="1">
      <c r="C295" s="6"/>
      <c r="D295" s="6"/>
      <c r="E295" s="98"/>
      <c r="F295" s="3"/>
      <c r="G295" s="6"/>
      <c r="H295" s="3"/>
      <c r="I295" s="6"/>
      <c r="J295" s="6"/>
      <c r="K295" s="6"/>
      <c r="L295" s="6"/>
      <c r="M295" s="6"/>
      <c r="N295" s="6"/>
      <c r="O295" s="3"/>
      <c r="P295" s="6"/>
      <c r="Q295" s="6"/>
      <c r="R295" s="6"/>
      <c r="S295" s="6"/>
      <c r="T295" s="6"/>
      <c r="U295" t="str">
        <f t="shared" si="4"/>
        <v/>
      </c>
    </row>
    <row r="296" spans="3:21" customFormat="1" hidden="1">
      <c r="C296" s="6"/>
      <c r="D296" s="6"/>
      <c r="E296" s="98"/>
      <c r="F296" s="3"/>
      <c r="G296" s="6"/>
      <c r="H296" s="3"/>
      <c r="I296" s="6"/>
      <c r="J296" s="6"/>
      <c r="K296" s="6"/>
      <c r="L296" s="6"/>
      <c r="M296" s="6"/>
      <c r="N296" s="6"/>
      <c r="O296" s="3"/>
      <c r="P296" s="6"/>
      <c r="Q296" s="6"/>
      <c r="R296" s="6"/>
      <c r="S296" s="6"/>
      <c r="T296" s="6"/>
      <c r="U296" t="str">
        <f t="shared" si="4"/>
        <v/>
      </c>
    </row>
    <row r="297" spans="3:21" customFormat="1" hidden="1">
      <c r="C297" s="6"/>
      <c r="D297" s="6"/>
      <c r="E297" s="98"/>
      <c r="F297" s="3"/>
      <c r="G297" s="6"/>
      <c r="H297" s="3"/>
      <c r="I297" s="6"/>
      <c r="J297" s="6"/>
      <c r="K297" s="6"/>
      <c r="L297" s="6"/>
      <c r="M297" s="6"/>
      <c r="N297" s="6"/>
      <c r="O297" s="3"/>
      <c r="P297" s="6"/>
      <c r="Q297" s="6"/>
      <c r="R297" s="6"/>
      <c r="S297" s="6"/>
      <c r="T297" s="6"/>
      <c r="U297" t="str">
        <f t="shared" si="4"/>
        <v/>
      </c>
    </row>
    <row r="298" spans="3:21" customFormat="1" hidden="1">
      <c r="C298" s="6"/>
      <c r="D298" s="6"/>
      <c r="E298" s="98"/>
      <c r="F298" s="3"/>
      <c r="G298" s="6"/>
      <c r="H298" s="3"/>
      <c r="I298" s="6"/>
      <c r="J298" s="6"/>
      <c r="K298" s="6"/>
      <c r="L298" s="6"/>
      <c r="M298" s="6"/>
      <c r="N298" s="6"/>
      <c r="O298" s="3"/>
      <c r="P298" s="6"/>
      <c r="Q298" s="6"/>
      <c r="R298" s="6"/>
      <c r="S298" s="6"/>
      <c r="T298" s="6"/>
      <c r="U298" t="str">
        <f t="shared" si="4"/>
        <v/>
      </c>
    </row>
    <row r="299" spans="3:21" customFormat="1" hidden="1">
      <c r="C299" s="6"/>
      <c r="D299" s="6"/>
      <c r="E299" s="98"/>
      <c r="F299" s="3"/>
      <c r="G299" s="6"/>
      <c r="H299" s="3"/>
      <c r="I299" s="6"/>
      <c r="J299" s="6"/>
      <c r="K299" s="6"/>
      <c r="L299" s="6"/>
      <c r="M299" s="6"/>
      <c r="N299" s="6"/>
      <c r="O299" s="3"/>
      <c r="P299" s="6"/>
      <c r="Q299" s="6"/>
      <c r="R299" s="6"/>
      <c r="S299" s="6"/>
      <c r="T299" s="6"/>
      <c r="U299" t="str">
        <f t="shared" si="4"/>
        <v/>
      </c>
    </row>
    <row r="300" spans="3:21" customFormat="1" hidden="1">
      <c r="C300" s="6"/>
      <c r="D300" s="6"/>
      <c r="E300" s="98"/>
      <c r="F300" s="3"/>
      <c r="G300" s="6"/>
      <c r="H300" s="3"/>
      <c r="I300" s="6"/>
      <c r="J300" s="6"/>
      <c r="K300" s="6"/>
      <c r="L300" s="6"/>
      <c r="M300" s="6"/>
      <c r="N300" s="6"/>
      <c r="O300" s="3"/>
      <c r="P300" s="6"/>
      <c r="Q300" s="6"/>
      <c r="R300" s="6"/>
      <c r="S300" s="6"/>
      <c r="T300" s="6"/>
      <c r="U300" t="str">
        <f t="shared" si="4"/>
        <v/>
      </c>
    </row>
    <row r="301" spans="3:21" customFormat="1" hidden="1">
      <c r="C301" s="6"/>
      <c r="D301" s="6"/>
      <c r="E301" s="98"/>
      <c r="F301" s="3"/>
      <c r="G301" s="6"/>
      <c r="H301" s="3"/>
      <c r="I301" s="6"/>
      <c r="J301" s="6"/>
      <c r="K301" s="6"/>
      <c r="L301" s="6"/>
      <c r="M301" s="6"/>
      <c r="N301" s="6"/>
      <c r="O301" s="3"/>
      <c r="P301" s="6"/>
      <c r="Q301" s="6"/>
      <c r="R301" s="6"/>
      <c r="S301" s="6"/>
      <c r="T301" s="6"/>
      <c r="U301" t="str">
        <f t="shared" si="4"/>
        <v/>
      </c>
    </row>
    <row r="302" spans="3:21" customFormat="1" hidden="1">
      <c r="C302" s="6"/>
      <c r="D302" s="6"/>
      <c r="E302" s="98"/>
      <c r="F302" s="3"/>
      <c r="G302" s="6"/>
      <c r="H302" s="3"/>
      <c r="I302" s="6"/>
      <c r="J302" s="6"/>
      <c r="K302" s="6"/>
      <c r="L302" s="6"/>
      <c r="M302" s="6"/>
      <c r="N302" s="6"/>
      <c r="O302" s="3"/>
      <c r="P302" s="6"/>
      <c r="Q302" s="6"/>
      <c r="R302" s="6"/>
      <c r="S302" s="6"/>
      <c r="T302" s="6"/>
      <c r="U302" t="str">
        <f t="shared" si="4"/>
        <v/>
      </c>
    </row>
    <row r="303" spans="3:21" customFormat="1" hidden="1">
      <c r="C303" s="6"/>
      <c r="D303" s="6"/>
      <c r="E303" s="98"/>
      <c r="F303" s="3"/>
      <c r="G303" s="6"/>
      <c r="H303" s="3"/>
      <c r="I303" s="6"/>
      <c r="J303" s="6"/>
      <c r="K303" s="6"/>
      <c r="L303" s="6"/>
      <c r="M303" s="6"/>
      <c r="N303" s="6"/>
      <c r="O303" s="3"/>
      <c r="P303" s="6"/>
      <c r="Q303" s="6"/>
      <c r="R303" s="6"/>
      <c r="S303" s="6"/>
      <c r="T303" s="6"/>
      <c r="U303" t="str">
        <f t="shared" si="4"/>
        <v/>
      </c>
    </row>
    <row r="304" spans="3:21" customFormat="1" hidden="1">
      <c r="C304" s="6"/>
      <c r="D304" s="6"/>
      <c r="E304" s="98"/>
      <c r="F304" s="3"/>
      <c r="G304" s="6"/>
      <c r="H304" s="3"/>
      <c r="I304" s="6"/>
      <c r="J304" s="6"/>
      <c r="K304" s="6"/>
      <c r="L304" s="6"/>
      <c r="M304" s="6"/>
      <c r="N304" s="6"/>
      <c r="O304" s="3"/>
      <c r="P304" s="6"/>
      <c r="Q304" s="6"/>
      <c r="R304" s="6"/>
      <c r="S304" s="6"/>
      <c r="T304" s="6"/>
      <c r="U304" t="str">
        <f t="shared" si="4"/>
        <v/>
      </c>
    </row>
    <row r="305" spans="3:21" customFormat="1" hidden="1">
      <c r="C305" s="6"/>
      <c r="D305" s="6"/>
      <c r="E305" s="98"/>
      <c r="F305" s="3"/>
      <c r="G305" s="6"/>
      <c r="H305" s="3"/>
      <c r="I305" s="6"/>
      <c r="J305" s="6"/>
      <c r="K305" s="6"/>
      <c r="L305" s="6"/>
      <c r="M305" s="6"/>
      <c r="N305" s="6"/>
      <c r="O305" s="3"/>
      <c r="P305" s="6"/>
      <c r="Q305" s="6"/>
      <c r="R305" s="6"/>
      <c r="S305" s="6"/>
      <c r="T305" s="6"/>
      <c r="U305" t="str">
        <f t="shared" si="4"/>
        <v/>
      </c>
    </row>
    <row r="306" spans="3:21" customFormat="1" hidden="1">
      <c r="C306" s="6"/>
      <c r="D306" s="6"/>
      <c r="E306" s="98"/>
      <c r="F306" s="3"/>
      <c r="G306" s="6"/>
      <c r="H306" s="3"/>
      <c r="I306" s="6"/>
      <c r="J306" s="6"/>
      <c r="K306" s="6"/>
      <c r="L306" s="6"/>
      <c r="M306" s="6"/>
      <c r="N306" s="6"/>
      <c r="O306" s="3"/>
      <c r="P306" s="6"/>
      <c r="Q306" s="6"/>
      <c r="R306" s="6"/>
      <c r="S306" s="6"/>
      <c r="T306" s="6"/>
      <c r="U306" t="str">
        <f t="shared" si="4"/>
        <v/>
      </c>
    </row>
    <row r="307" spans="3:21" customFormat="1" hidden="1">
      <c r="C307" s="6"/>
      <c r="D307" s="6"/>
      <c r="E307" s="98"/>
      <c r="F307" s="3"/>
      <c r="G307" s="6"/>
      <c r="H307" s="3"/>
      <c r="I307" s="6"/>
      <c r="J307" s="6"/>
      <c r="K307" s="6"/>
      <c r="L307" s="6"/>
      <c r="M307" s="6"/>
      <c r="N307" s="6"/>
      <c r="O307" s="3"/>
      <c r="P307" s="6"/>
      <c r="Q307" s="6"/>
      <c r="R307" s="6"/>
      <c r="S307" s="6"/>
      <c r="T307" s="6"/>
      <c r="U307" t="str">
        <f t="shared" si="4"/>
        <v/>
      </c>
    </row>
    <row r="308" spans="3:21" customFormat="1" hidden="1">
      <c r="C308" s="6"/>
      <c r="D308" s="6"/>
      <c r="E308" s="98"/>
      <c r="F308" s="3"/>
      <c r="G308" s="6"/>
      <c r="H308" s="3"/>
      <c r="I308" s="6"/>
      <c r="J308" s="6"/>
      <c r="K308" s="6"/>
      <c r="L308" s="6"/>
      <c r="M308" s="6"/>
      <c r="N308" s="6"/>
      <c r="O308" s="3"/>
      <c r="P308" s="6"/>
      <c r="Q308" s="6"/>
      <c r="R308" s="6"/>
      <c r="S308" s="6"/>
      <c r="T308" s="6"/>
      <c r="U308" t="str">
        <f t="shared" si="4"/>
        <v/>
      </c>
    </row>
    <row r="309" spans="3:21" customFormat="1" hidden="1">
      <c r="C309" s="6"/>
      <c r="D309" s="6"/>
      <c r="E309" s="98"/>
      <c r="F309" s="3"/>
      <c r="G309" s="6"/>
      <c r="H309" s="3"/>
      <c r="I309" s="6"/>
      <c r="J309" s="6"/>
      <c r="K309" s="6"/>
      <c r="L309" s="6"/>
      <c r="M309" s="6"/>
      <c r="N309" s="6"/>
      <c r="O309" s="3"/>
      <c r="P309" s="6"/>
      <c r="Q309" s="6"/>
      <c r="R309" s="6"/>
      <c r="S309" s="6"/>
      <c r="T309" s="6"/>
      <c r="U309" t="str">
        <f t="shared" si="4"/>
        <v/>
      </c>
    </row>
    <row r="310" spans="3:21" customFormat="1" hidden="1">
      <c r="C310" s="6"/>
      <c r="D310" s="6"/>
      <c r="E310" s="98"/>
      <c r="F310" s="3"/>
      <c r="G310" s="6"/>
      <c r="H310" s="3"/>
      <c r="I310" s="6"/>
      <c r="J310" s="6"/>
      <c r="K310" s="6"/>
      <c r="L310" s="6"/>
      <c r="M310" s="6"/>
      <c r="N310" s="6"/>
      <c r="O310" s="3"/>
      <c r="P310" s="6"/>
      <c r="Q310" s="6"/>
      <c r="R310" s="6"/>
      <c r="S310" s="6"/>
      <c r="T310" s="6"/>
      <c r="U310" t="str">
        <f t="shared" si="4"/>
        <v/>
      </c>
    </row>
    <row r="311" spans="3:21" customFormat="1" hidden="1">
      <c r="C311" s="6"/>
      <c r="D311" s="6"/>
      <c r="E311" s="98"/>
      <c r="F311" s="3"/>
      <c r="G311" s="6"/>
      <c r="H311" s="3"/>
      <c r="I311" s="6"/>
      <c r="J311" s="6"/>
      <c r="K311" s="6"/>
      <c r="L311" s="6"/>
      <c r="M311" s="6"/>
      <c r="N311" s="6"/>
      <c r="O311" s="3"/>
      <c r="P311" s="6"/>
      <c r="Q311" s="6"/>
      <c r="R311" s="6"/>
      <c r="S311" s="6"/>
      <c r="T311" s="6"/>
      <c r="U311" t="str">
        <f t="shared" si="4"/>
        <v/>
      </c>
    </row>
    <row r="312" spans="3:21" customFormat="1" hidden="1">
      <c r="C312" s="6"/>
      <c r="D312" s="6"/>
      <c r="E312" s="98"/>
      <c r="F312" s="3"/>
      <c r="G312" s="6"/>
      <c r="H312" s="3"/>
      <c r="I312" s="6"/>
      <c r="J312" s="6"/>
      <c r="K312" s="6"/>
      <c r="L312" s="6"/>
      <c r="M312" s="6"/>
      <c r="N312" s="6"/>
      <c r="O312" s="3"/>
      <c r="P312" s="6"/>
      <c r="Q312" s="6"/>
      <c r="R312" s="6"/>
      <c r="S312" s="6"/>
      <c r="T312" s="6"/>
      <c r="U312" t="str">
        <f t="shared" si="4"/>
        <v/>
      </c>
    </row>
    <row r="313" spans="3:21" customFormat="1" hidden="1">
      <c r="C313" s="6"/>
      <c r="D313" s="6"/>
      <c r="E313" s="98"/>
      <c r="F313" s="3"/>
      <c r="G313" s="6"/>
      <c r="H313" s="3"/>
      <c r="I313" s="6"/>
      <c r="J313" s="6"/>
      <c r="K313" s="6"/>
      <c r="L313" s="6"/>
      <c r="M313" s="6"/>
      <c r="N313" s="6"/>
      <c r="O313" s="3"/>
      <c r="P313" s="6"/>
      <c r="Q313" s="6"/>
      <c r="R313" s="6"/>
      <c r="S313" s="6"/>
      <c r="T313" s="6"/>
      <c r="U313" t="str">
        <f t="shared" si="4"/>
        <v/>
      </c>
    </row>
    <row r="314" spans="3:21" customFormat="1" hidden="1">
      <c r="C314" s="6"/>
      <c r="D314" s="6"/>
      <c r="E314" s="98"/>
      <c r="F314" s="3"/>
      <c r="G314" s="6"/>
      <c r="H314" s="3"/>
      <c r="I314" s="6"/>
      <c r="J314" s="6"/>
      <c r="K314" s="6"/>
      <c r="L314" s="6"/>
      <c r="M314" s="6"/>
      <c r="N314" s="6"/>
      <c r="O314" s="3"/>
      <c r="P314" s="6"/>
      <c r="Q314" s="6"/>
      <c r="R314" s="6"/>
      <c r="S314" s="6"/>
      <c r="T314" s="6"/>
      <c r="U314" t="str">
        <f t="shared" si="4"/>
        <v/>
      </c>
    </row>
    <row r="315" spans="3:21" customFormat="1" hidden="1">
      <c r="C315" s="6"/>
      <c r="D315" s="6"/>
      <c r="E315" s="98"/>
      <c r="F315" s="3"/>
      <c r="G315" s="6"/>
      <c r="H315" s="3"/>
      <c r="I315" s="6"/>
      <c r="J315" s="6"/>
      <c r="K315" s="6"/>
      <c r="L315" s="6"/>
      <c r="M315" s="6"/>
      <c r="N315" s="6"/>
      <c r="O315" s="3"/>
      <c r="P315" s="6"/>
      <c r="Q315" s="6"/>
      <c r="R315" s="6"/>
      <c r="S315" s="6"/>
      <c r="T315" s="6"/>
      <c r="U315" t="str">
        <f t="shared" si="4"/>
        <v/>
      </c>
    </row>
    <row r="316" spans="3:21" customFormat="1" hidden="1">
      <c r="C316" s="6"/>
      <c r="D316" s="6"/>
      <c r="E316" s="98"/>
      <c r="F316" s="3"/>
      <c r="G316" s="6"/>
      <c r="H316" s="3"/>
      <c r="I316" s="6"/>
      <c r="J316" s="6"/>
      <c r="K316" s="6"/>
      <c r="L316" s="6"/>
      <c r="M316" s="6"/>
      <c r="N316" s="6"/>
      <c r="O316" s="3"/>
      <c r="P316" s="6"/>
      <c r="Q316" s="6"/>
      <c r="R316" s="6"/>
      <c r="S316" s="6"/>
      <c r="T316" s="6"/>
      <c r="U316" t="str">
        <f t="shared" si="4"/>
        <v/>
      </c>
    </row>
    <row r="317" spans="3:21" customFormat="1" hidden="1">
      <c r="C317" s="6"/>
      <c r="D317" s="6"/>
      <c r="E317" s="98"/>
      <c r="F317" s="3"/>
      <c r="G317" s="6"/>
      <c r="H317" s="3"/>
      <c r="I317" s="6"/>
      <c r="J317" s="6"/>
      <c r="K317" s="6"/>
      <c r="L317" s="6"/>
      <c r="M317" s="6"/>
      <c r="N317" s="6"/>
      <c r="O317" s="3"/>
      <c r="P317" s="6"/>
      <c r="Q317" s="6"/>
      <c r="R317" s="6"/>
      <c r="S317" s="6"/>
      <c r="T317" s="6"/>
      <c r="U317" t="str">
        <f t="shared" si="4"/>
        <v/>
      </c>
    </row>
    <row r="318" spans="3:21" customFormat="1" hidden="1">
      <c r="C318" s="6"/>
      <c r="D318" s="6"/>
      <c r="E318" s="98"/>
      <c r="F318" s="3"/>
      <c r="G318" s="6"/>
      <c r="H318" s="3"/>
      <c r="I318" s="6"/>
      <c r="J318" s="6"/>
      <c r="K318" s="6"/>
      <c r="L318" s="6"/>
      <c r="M318" s="6"/>
      <c r="N318" s="6"/>
      <c r="O318" s="3"/>
      <c r="P318" s="6"/>
      <c r="Q318" s="6"/>
      <c r="R318" s="6"/>
      <c r="S318" s="6"/>
      <c r="T318" s="6"/>
      <c r="U318" t="str">
        <f t="shared" si="4"/>
        <v/>
      </c>
    </row>
    <row r="319" spans="3:21" customFormat="1" hidden="1">
      <c r="C319" s="6"/>
      <c r="D319" s="6"/>
      <c r="E319" s="98"/>
      <c r="F319" s="3"/>
      <c r="G319" s="6"/>
      <c r="H319" s="3"/>
      <c r="I319" s="6"/>
      <c r="J319" s="6"/>
      <c r="K319" s="6"/>
      <c r="L319" s="6"/>
      <c r="M319" s="6"/>
      <c r="N319" s="6"/>
      <c r="O319" s="3"/>
      <c r="P319" s="6"/>
      <c r="Q319" s="6"/>
      <c r="R319" s="6"/>
      <c r="S319" s="6"/>
      <c r="T319" s="6"/>
      <c r="U319" t="str">
        <f t="shared" si="4"/>
        <v/>
      </c>
    </row>
    <row r="320" spans="3:21" customFormat="1" hidden="1">
      <c r="C320" s="6"/>
      <c r="D320" s="6"/>
      <c r="E320" s="98"/>
      <c r="F320" s="3"/>
      <c r="G320" s="6"/>
      <c r="H320" s="3"/>
      <c r="I320" s="6"/>
      <c r="J320" s="6"/>
      <c r="K320" s="6"/>
      <c r="L320" s="6"/>
      <c r="M320" s="6"/>
      <c r="N320" s="6"/>
      <c r="O320" s="3"/>
      <c r="P320" s="6"/>
      <c r="Q320" s="6"/>
      <c r="R320" s="6"/>
      <c r="S320" s="6"/>
      <c r="T320" s="6"/>
      <c r="U320" t="str">
        <f t="shared" si="4"/>
        <v/>
      </c>
    </row>
    <row r="321" spans="3:21" customFormat="1" hidden="1">
      <c r="C321" s="6"/>
      <c r="D321" s="6"/>
      <c r="E321" s="98"/>
      <c r="F321" s="3"/>
      <c r="G321" s="6"/>
      <c r="H321" s="3"/>
      <c r="I321" s="6"/>
      <c r="J321" s="6"/>
      <c r="K321" s="6"/>
      <c r="L321" s="6"/>
      <c r="M321" s="6"/>
      <c r="N321" s="6"/>
      <c r="O321" s="3"/>
      <c r="P321" s="6"/>
      <c r="Q321" s="6"/>
      <c r="R321" s="6"/>
      <c r="S321" s="6"/>
      <c r="T321" s="6"/>
      <c r="U321" t="str">
        <f t="shared" si="4"/>
        <v/>
      </c>
    </row>
    <row r="322" spans="3:21" customFormat="1" hidden="1">
      <c r="C322" s="6"/>
      <c r="D322" s="6"/>
      <c r="E322" s="98"/>
      <c r="F322" s="3"/>
      <c r="G322" s="6"/>
      <c r="H322" s="3"/>
      <c r="I322" s="6"/>
      <c r="J322" s="6"/>
      <c r="K322" s="6"/>
      <c r="L322" s="6"/>
      <c r="M322" s="6"/>
      <c r="N322" s="6"/>
      <c r="O322" s="3"/>
      <c r="P322" s="6"/>
      <c r="Q322" s="6"/>
      <c r="R322" s="6"/>
      <c r="S322" s="6"/>
      <c r="T322" s="6"/>
      <c r="U322" t="str">
        <f t="shared" si="4"/>
        <v/>
      </c>
    </row>
    <row r="323" spans="3:21" customFormat="1" hidden="1">
      <c r="C323" s="6"/>
      <c r="D323" s="6"/>
      <c r="E323" s="98"/>
      <c r="F323" s="3"/>
      <c r="G323" s="6"/>
      <c r="H323" s="3"/>
      <c r="I323" s="6"/>
      <c r="J323" s="6"/>
      <c r="K323" s="6"/>
      <c r="L323" s="6"/>
      <c r="M323" s="6"/>
      <c r="N323" s="6"/>
      <c r="O323" s="3"/>
      <c r="P323" s="6"/>
      <c r="Q323" s="6"/>
      <c r="R323" s="6"/>
      <c r="S323" s="6"/>
      <c r="T323" s="6"/>
      <c r="U323" t="str">
        <f t="shared" si="4"/>
        <v/>
      </c>
    </row>
    <row r="324" spans="3:21" customFormat="1" hidden="1">
      <c r="C324" s="6"/>
      <c r="D324" s="6"/>
      <c r="E324" s="98"/>
      <c r="F324" s="3"/>
      <c r="G324" s="6"/>
      <c r="H324" s="3"/>
      <c r="I324" s="6"/>
      <c r="J324" s="6"/>
      <c r="K324" s="6"/>
      <c r="L324" s="6"/>
      <c r="M324" s="6"/>
      <c r="N324" s="6"/>
      <c r="O324" s="3"/>
      <c r="P324" s="6"/>
      <c r="Q324" s="6"/>
      <c r="R324" s="6"/>
      <c r="S324" s="6"/>
      <c r="T324" s="6"/>
      <c r="U324" t="str">
        <f t="shared" si="4"/>
        <v/>
      </c>
    </row>
    <row r="325" spans="3:21" customFormat="1" hidden="1">
      <c r="C325" s="6"/>
      <c r="D325" s="6"/>
      <c r="E325" s="98"/>
      <c r="F325" s="3"/>
      <c r="G325" s="6"/>
      <c r="H325" s="3"/>
      <c r="I325" s="6"/>
      <c r="J325" s="6"/>
      <c r="K325" s="6"/>
      <c r="L325" s="6"/>
      <c r="M325" s="6"/>
      <c r="N325" s="6"/>
      <c r="O325" s="3"/>
      <c r="P325" s="6"/>
      <c r="Q325" s="6"/>
      <c r="R325" s="6"/>
      <c r="S325" s="6"/>
      <c r="T325" s="6"/>
      <c r="U325" t="str">
        <f t="shared" si="4"/>
        <v/>
      </c>
    </row>
    <row r="326" spans="3:21" customFormat="1" hidden="1">
      <c r="C326" s="6"/>
      <c r="D326" s="6"/>
      <c r="E326" s="98"/>
      <c r="F326" s="3"/>
      <c r="G326" s="6"/>
      <c r="H326" s="3"/>
      <c r="I326" s="6"/>
      <c r="J326" s="6"/>
      <c r="K326" s="6"/>
      <c r="L326" s="6"/>
      <c r="M326" s="6"/>
      <c r="N326" s="6"/>
      <c r="O326" s="3"/>
      <c r="P326" s="6"/>
      <c r="Q326" s="6"/>
      <c r="R326" s="6"/>
      <c r="S326" s="6"/>
      <c r="T326" s="6"/>
      <c r="U326" t="str">
        <f t="shared" si="4"/>
        <v/>
      </c>
    </row>
    <row r="327" spans="3:21" customFormat="1" hidden="1">
      <c r="C327" s="6"/>
      <c r="D327" s="6"/>
      <c r="E327" s="98"/>
      <c r="F327" s="3"/>
      <c r="G327" s="6"/>
      <c r="H327" s="3"/>
      <c r="I327" s="6"/>
      <c r="J327" s="6"/>
      <c r="K327" s="6"/>
      <c r="L327" s="6"/>
      <c r="M327" s="6"/>
      <c r="N327" s="6"/>
      <c r="O327" s="3"/>
      <c r="P327" s="6"/>
      <c r="Q327" s="6"/>
      <c r="R327" s="6"/>
      <c r="S327" s="6"/>
      <c r="T327" s="6"/>
      <c r="U327" t="str">
        <f t="shared" ref="U327:U390" si="5">IF(D327="","","x")</f>
        <v/>
      </c>
    </row>
    <row r="328" spans="3:21" customFormat="1" hidden="1">
      <c r="C328" s="6"/>
      <c r="D328" s="6"/>
      <c r="E328" s="98"/>
      <c r="F328" s="3"/>
      <c r="G328" s="6"/>
      <c r="H328" s="3"/>
      <c r="I328" s="6"/>
      <c r="J328" s="6"/>
      <c r="K328" s="6"/>
      <c r="L328" s="6"/>
      <c r="M328" s="6"/>
      <c r="N328" s="6"/>
      <c r="O328" s="3"/>
      <c r="P328" s="6"/>
      <c r="Q328" s="6"/>
      <c r="R328" s="6"/>
      <c r="S328" s="6"/>
      <c r="T328" s="6"/>
      <c r="U328" t="str">
        <f t="shared" si="5"/>
        <v/>
      </c>
    </row>
    <row r="329" spans="3:21" customFormat="1" hidden="1">
      <c r="C329" s="6"/>
      <c r="D329" s="6"/>
      <c r="E329" s="98"/>
      <c r="F329" s="3"/>
      <c r="G329" s="6"/>
      <c r="H329" s="3"/>
      <c r="I329" s="6"/>
      <c r="J329" s="6"/>
      <c r="K329" s="6"/>
      <c r="L329" s="6"/>
      <c r="M329" s="6"/>
      <c r="N329" s="6"/>
      <c r="O329" s="3"/>
      <c r="P329" s="6"/>
      <c r="Q329" s="6"/>
      <c r="R329" s="6"/>
      <c r="S329" s="6"/>
      <c r="T329" s="6"/>
      <c r="U329" t="str">
        <f t="shared" si="5"/>
        <v/>
      </c>
    </row>
    <row r="330" spans="3:21" customFormat="1" hidden="1">
      <c r="C330" s="6"/>
      <c r="D330" s="6"/>
      <c r="E330" s="98"/>
      <c r="F330" s="3"/>
      <c r="G330" s="6"/>
      <c r="H330" s="3"/>
      <c r="I330" s="6"/>
      <c r="J330" s="6"/>
      <c r="K330" s="6"/>
      <c r="L330" s="6"/>
      <c r="M330" s="6"/>
      <c r="N330" s="6"/>
      <c r="O330" s="3"/>
      <c r="P330" s="6"/>
      <c r="Q330" s="6"/>
      <c r="R330" s="6"/>
      <c r="S330" s="6"/>
      <c r="T330" s="6"/>
      <c r="U330" t="str">
        <f t="shared" si="5"/>
        <v/>
      </c>
    </row>
    <row r="331" spans="3:21" customFormat="1" hidden="1">
      <c r="C331" s="6"/>
      <c r="D331" s="6"/>
      <c r="E331" s="98"/>
      <c r="F331" s="3"/>
      <c r="G331" s="6"/>
      <c r="H331" s="3"/>
      <c r="I331" s="6"/>
      <c r="J331" s="6"/>
      <c r="K331" s="6"/>
      <c r="L331" s="6"/>
      <c r="M331" s="6"/>
      <c r="N331" s="6"/>
      <c r="O331" s="3"/>
      <c r="P331" s="6"/>
      <c r="Q331" s="6"/>
      <c r="R331" s="6"/>
      <c r="S331" s="6"/>
      <c r="T331" s="6"/>
      <c r="U331" t="str">
        <f t="shared" si="5"/>
        <v/>
      </c>
    </row>
    <row r="332" spans="3:21" customFormat="1" hidden="1">
      <c r="C332" s="6"/>
      <c r="D332" s="6"/>
      <c r="E332" s="98"/>
      <c r="F332" s="3"/>
      <c r="G332" s="6"/>
      <c r="H332" s="3"/>
      <c r="I332" s="6"/>
      <c r="J332" s="6"/>
      <c r="K332" s="6"/>
      <c r="L332" s="6"/>
      <c r="M332" s="6"/>
      <c r="N332" s="6"/>
      <c r="O332" s="3"/>
      <c r="P332" s="6"/>
      <c r="Q332" s="6"/>
      <c r="R332" s="6"/>
      <c r="S332" s="6"/>
      <c r="T332" s="6"/>
      <c r="U332" t="str">
        <f t="shared" si="5"/>
        <v/>
      </c>
    </row>
    <row r="333" spans="3:21" customFormat="1" hidden="1">
      <c r="C333" s="6"/>
      <c r="D333" s="6"/>
      <c r="E333" s="98"/>
      <c r="F333" s="3"/>
      <c r="G333" s="6"/>
      <c r="H333" s="3"/>
      <c r="I333" s="6"/>
      <c r="J333" s="6"/>
      <c r="K333" s="6"/>
      <c r="L333" s="6"/>
      <c r="M333" s="6"/>
      <c r="N333" s="6"/>
      <c r="O333" s="3"/>
      <c r="P333" s="6"/>
      <c r="Q333" s="6"/>
      <c r="R333" s="6"/>
      <c r="S333" s="6"/>
      <c r="T333" s="6"/>
      <c r="U333" t="str">
        <f t="shared" si="5"/>
        <v/>
      </c>
    </row>
    <row r="334" spans="3:21" customFormat="1" hidden="1">
      <c r="C334" s="6"/>
      <c r="D334" s="6"/>
      <c r="E334" s="98"/>
      <c r="F334" s="3"/>
      <c r="G334" s="6"/>
      <c r="H334" s="3"/>
      <c r="I334" s="6"/>
      <c r="J334" s="6"/>
      <c r="K334" s="6"/>
      <c r="L334" s="6"/>
      <c r="M334" s="6"/>
      <c r="N334" s="6"/>
      <c r="O334" s="3"/>
      <c r="P334" s="6"/>
      <c r="Q334" s="6"/>
      <c r="R334" s="6"/>
      <c r="S334" s="6"/>
      <c r="T334" s="6"/>
      <c r="U334" t="str">
        <f t="shared" si="5"/>
        <v/>
      </c>
    </row>
    <row r="335" spans="3:21" customFormat="1" hidden="1">
      <c r="C335" s="6"/>
      <c r="D335" s="6"/>
      <c r="E335" s="98"/>
      <c r="F335" s="3"/>
      <c r="G335" s="6"/>
      <c r="H335" s="3"/>
      <c r="I335" s="6"/>
      <c r="J335" s="6"/>
      <c r="K335" s="6"/>
      <c r="L335" s="6"/>
      <c r="M335" s="6"/>
      <c r="N335" s="6"/>
      <c r="O335" s="3"/>
      <c r="P335" s="6"/>
      <c r="Q335" s="6"/>
      <c r="R335" s="6"/>
      <c r="S335" s="6"/>
      <c r="T335" s="6"/>
      <c r="U335" t="str">
        <f t="shared" si="5"/>
        <v/>
      </c>
    </row>
    <row r="336" spans="3:21" customFormat="1" hidden="1">
      <c r="C336" s="6"/>
      <c r="D336" s="6"/>
      <c r="E336" s="98"/>
      <c r="F336" s="3"/>
      <c r="G336" s="6"/>
      <c r="H336" s="3"/>
      <c r="I336" s="6"/>
      <c r="J336" s="6"/>
      <c r="K336" s="6"/>
      <c r="L336" s="6"/>
      <c r="M336" s="6"/>
      <c r="N336" s="6"/>
      <c r="O336" s="3"/>
      <c r="P336" s="6"/>
      <c r="Q336" s="6"/>
      <c r="R336" s="6"/>
      <c r="S336" s="6"/>
      <c r="T336" s="6"/>
      <c r="U336" t="str">
        <f t="shared" si="5"/>
        <v/>
      </c>
    </row>
    <row r="337" spans="3:21" customFormat="1" hidden="1">
      <c r="C337" s="6"/>
      <c r="D337" s="6"/>
      <c r="E337" s="98"/>
      <c r="F337" s="3"/>
      <c r="G337" s="6"/>
      <c r="H337" s="3"/>
      <c r="I337" s="6"/>
      <c r="J337" s="6"/>
      <c r="K337" s="6"/>
      <c r="L337" s="6"/>
      <c r="M337" s="6"/>
      <c r="N337" s="6"/>
      <c r="O337" s="3"/>
      <c r="P337" s="6"/>
      <c r="Q337" s="6"/>
      <c r="R337" s="6"/>
      <c r="S337" s="6"/>
      <c r="T337" s="6"/>
      <c r="U337" t="str">
        <f t="shared" si="5"/>
        <v/>
      </c>
    </row>
    <row r="338" spans="3:21" customFormat="1" hidden="1">
      <c r="C338" s="6"/>
      <c r="D338" s="6"/>
      <c r="E338" s="98"/>
      <c r="F338" s="3"/>
      <c r="G338" s="6"/>
      <c r="H338" s="3"/>
      <c r="I338" s="6"/>
      <c r="J338" s="6"/>
      <c r="K338" s="6"/>
      <c r="L338" s="6"/>
      <c r="M338" s="6"/>
      <c r="N338" s="6"/>
      <c r="O338" s="3"/>
      <c r="P338" s="6"/>
      <c r="Q338" s="6"/>
      <c r="R338" s="6"/>
      <c r="S338" s="6"/>
      <c r="T338" s="6"/>
      <c r="U338" t="str">
        <f t="shared" si="5"/>
        <v/>
      </c>
    </row>
    <row r="339" spans="3:21" customFormat="1" hidden="1">
      <c r="C339" s="6"/>
      <c r="D339" s="6"/>
      <c r="E339" s="98"/>
      <c r="F339" s="3"/>
      <c r="G339" s="6"/>
      <c r="H339" s="3"/>
      <c r="I339" s="6"/>
      <c r="J339" s="6"/>
      <c r="K339" s="6"/>
      <c r="L339" s="6"/>
      <c r="M339" s="6"/>
      <c r="N339" s="6"/>
      <c r="O339" s="3"/>
      <c r="P339" s="6"/>
      <c r="Q339" s="6"/>
      <c r="R339" s="6"/>
      <c r="S339" s="6"/>
      <c r="T339" s="6"/>
      <c r="U339" t="str">
        <f t="shared" si="5"/>
        <v/>
      </c>
    </row>
    <row r="340" spans="3:21" customFormat="1" hidden="1">
      <c r="C340" s="6"/>
      <c r="D340" s="6"/>
      <c r="E340" s="98"/>
      <c r="F340" s="3"/>
      <c r="G340" s="6"/>
      <c r="H340" s="3"/>
      <c r="I340" s="6"/>
      <c r="J340" s="6"/>
      <c r="K340" s="6"/>
      <c r="L340" s="6"/>
      <c r="M340" s="6"/>
      <c r="N340" s="6"/>
      <c r="O340" s="3"/>
      <c r="P340" s="6"/>
      <c r="Q340" s="6"/>
      <c r="R340" s="6"/>
      <c r="S340" s="6"/>
      <c r="T340" s="6"/>
      <c r="U340" t="str">
        <f t="shared" si="5"/>
        <v/>
      </c>
    </row>
    <row r="341" spans="3:21" customFormat="1" hidden="1">
      <c r="C341" s="6"/>
      <c r="D341" s="6"/>
      <c r="E341" s="98"/>
      <c r="F341" s="3"/>
      <c r="G341" s="6"/>
      <c r="H341" s="3"/>
      <c r="I341" s="6"/>
      <c r="J341" s="6"/>
      <c r="K341" s="6"/>
      <c r="L341" s="6"/>
      <c r="M341" s="6"/>
      <c r="N341" s="6"/>
      <c r="O341" s="3"/>
      <c r="P341" s="6"/>
      <c r="Q341" s="6"/>
      <c r="R341" s="6"/>
      <c r="S341" s="6"/>
      <c r="T341" s="6"/>
      <c r="U341" t="str">
        <f t="shared" si="5"/>
        <v/>
      </c>
    </row>
    <row r="342" spans="3:21" customFormat="1" hidden="1">
      <c r="C342" s="6"/>
      <c r="D342" s="6"/>
      <c r="E342" s="98"/>
      <c r="F342" s="3"/>
      <c r="G342" s="6"/>
      <c r="H342" s="3"/>
      <c r="I342" s="6"/>
      <c r="J342" s="6"/>
      <c r="K342" s="6"/>
      <c r="L342" s="6"/>
      <c r="M342" s="6"/>
      <c r="N342" s="6"/>
      <c r="O342" s="3"/>
      <c r="P342" s="6"/>
      <c r="Q342" s="6"/>
      <c r="R342" s="6"/>
      <c r="S342" s="6"/>
      <c r="T342" s="6"/>
      <c r="U342" t="str">
        <f t="shared" si="5"/>
        <v/>
      </c>
    </row>
    <row r="343" spans="3:21" customFormat="1" hidden="1">
      <c r="C343" s="6"/>
      <c r="D343" s="6"/>
      <c r="E343" s="98"/>
      <c r="F343" s="3"/>
      <c r="G343" s="6"/>
      <c r="H343" s="3"/>
      <c r="I343" s="6"/>
      <c r="J343" s="6"/>
      <c r="K343" s="6"/>
      <c r="L343" s="6"/>
      <c r="M343" s="6"/>
      <c r="N343" s="6"/>
      <c r="O343" s="3"/>
      <c r="P343" s="6"/>
      <c r="Q343" s="6"/>
      <c r="R343" s="6"/>
      <c r="S343" s="6"/>
      <c r="T343" s="6"/>
      <c r="U343" t="str">
        <f t="shared" si="5"/>
        <v/>
      </c>
    </row>
    <row r="344" spans="3:21" customFormat="1" hidden="1">
      <c r="C344" s="6"/>
      <c r="D344" s="6"/>
      <c r="E344" s="98"/>
      <c r="F344" s="3"/>
      <c r="G344" s="6"/>
      <c r="H344" s="3"/>
      <c r="I344" s="6"/>
      <c r="J344" s="6"/>
      <c r="K344" s="6"/>
      <c r="L344" s="6"/>
      <c r="M344" s="6"/>
      <c r="N344" s="6"/>
      <c r="O344" s="3"/>
      <c r="P344" s="6"/>
      <c r="Q344" s="6"/>
      <c r="R344" s="6"/>
      <c r="S344" s="6"/>
      <c r="T344" s="6"/>
      <c r="U344" t="str">
        <f t="shared" si="5"/>
        <v/>
      </c>
    </row>
    <row r="345" spans="3:21" customFormat="1" hidden="1">
      <c r="C345" s="6"/>
      <c r="D345" s="6"/>
      <c r="E345" s="98"/>
      <c r="F345" s="3"/>
      <c r="G345" s="6"/>
      <c r="H345" s="3"/>
      <c r="I345" s="6"/>
      <c r="J345" s="6"/>
      <c r="K345" s="6"/>
      <c r="L345" s="6"/>
      <c r="M345" s="6"/>
      <c r="N345" s="6"/>
      <c r="O345" s="3"/>
      <c r="P345" s="6"/>
      <c r="Q345" s="6"/>
      <c r="R345" s="6"/>
      <c r="S345" s="6"/>
      <c r="T345" s="6"/>
      <c r="U345" t="str">
        <f t="shared" si="5"/>
        <v/>
      </c>
    </row>
    <row r="346" spans="3:21" customFormat="1" hidden="1">
      <c r="C346" s="6"/>
      <c r="D346" s="6"/>
      <c r="E346" s="98"/>
      <c r="F346" s="3"/>
      <c r="G346" s="6"/>
      <c r="H346" s="3"/>
      <c r="I346" s="6"/>
      <c r="J346" s="6"/>
      <c r="K346" s="6"/>
      <c r="L346" s="6"/>
      <c r="M346" s="6"/>
      <c r="N346" s="6"/>
      <c r="O346" s="3"/>
      <c r="P346" s="6"/>
      <c r="Q346" s="6"/>
      <c r="R346" s="6"/>
      <c r="S346" s="6"/>
      <c r="T346" s="6"/>
      <c r="U346" t="str">
        <f t="shared" si="5"/>
        <v/>
      </c>
    </row>
    <row r="347" spans="3:21" customFormat="1" hidden="1">
      <c r="C347" s="6"/>
      <c r="D347" s="6"/>
      <c r="E347" s="98"/>
      <c r="F347" s="3"/>
      <c r="G347" s="6"/>
      <c r="H347" s="3"/>
      <c r="I347" s="6"/>
      <c r="J347" s="6"/>
      <c r="K347" s="6"/>
      <c r="L347" s="6"/>
      <c r="M347" s="6"/>
      <c r="N347" s="6"/>
      <c r="O347" s="3"/>
      <c r="P347" s="6"/>
      <c r="Q347" s="6"/>
      <c r="R347" s="6"/>
      <c r="S347" s="6"/>
      <c r="T347" s="6"/>
      <c r="U347" t="str">
        <f t="shared" si="5"/>
        <v/>
      </c>
    </row>
    <row r="348" spans="3:21" customFormat="1" hidden="1">
      <c r="C348" s="6"/>
      <c r="D348" s="6"/>
      <c r="E348" s="98"/>
      <c r="F348" s="3"/>
      <c r="G348" s="6"/>
      <c r="H348" s="3"/>
      <c r="I348" s="6"/>
      <c r="J348" s="6"/>
      <c r="K348" s="6"/>
      <c r="L348" s="6"/>
      <c r="M348" s="6"/>
      <c r="N348" s="6"/>
      <c r="O348" s="3"/>
      <c r="P348" s="6"/>
      <c r="Q348" s="6"/>
      <c r="R348" s="6"/>
      <c r="S348" s="6"/>
      <c r="T348" s="6"/>
      <c r="U348" t="str">
        <f t="shared" si="5"/>
        <v/>
      </c>
    </row>
    <row r="349" spans="3:21" customFormat="1" hidden="1">
      <c r="C349" s="6"/>
      <c r="D349" s="6"/>
      <c r="E349" s="98"/>
      <c r="F349" s="3"/>
      <c r="G349" s="6"/>
      <c r="H349" s="3"/>
      <c r="I349" s="6"/>
      <c r="J349" s="6"/>
      <c r="K349" s="6"/>
      <c r="L349" s="6"/>
      <c r="M349" s="6"/>
      <c r="N349" s="6"/>
      <c r="O349" s="3"/>
      <c r="P349" s="6"/>
      <c r="Q349" s="6"/>
      <c r="R349" s="6"/>
      <c r="S349" s="6"/>
      <c r="T349" s="6"/>
      <c r="U349" t="str">
        <f t="shared" si="5"/>
        <v/>
      </c>
    </row>
    <row r="350" spans="3:21" customFormat="1" hidden="1">
      <c r="C350" s="6"/>
      <c r="D350" s="6"/>
      <c r="E350" s="98"/>
      <c r="F350" s="3"/>
      <c r="G350" s="6"/>
      <c r="H350" s="3"/>
      <c r="I350" s="6"/>
      <c r="J350" s="6"/>
      <c r="K350" s="6"/>
      <c r="L350" s="6"/>
      <c r="M350" s="6"/>
      <c r="N350" s="6"/>
      <c r="O350" s="3"/>
      <c r="P350" s="6"/>
      <c r="Q350" s="6"/>
      <c r="R350" s="6"/>
      <c r="S350" s="6"/>
      <c r="T350" s="6"/>
      <c r="U350" t="str">
        <f t="shared" si="5"/>
        <v/>
      </c>
    </row>
    <row r="351" spans="3:21" customFormat="1" hidden="1">
      <c r="C351" s="6"/>
      <c r="D351" s="6"/>
      <c r="E351" s="98"/>
      <c r="F351" s="3"/>
      <c r="G351" s="6"/>
      <c r="H351" s="3"/>
      <c r="I351" s="6"/>
      <c r="J351" s="6"/>
      <c r="K351" s="6"/>
      <c r="L351" s="6"/>
      <c r="M351" s="6"/>
      <c r="N351" s="6"/>
      <c r="O351" s="3"/>
      <c r="P351" s="6"/>
      <c r="Q351" s="6"/>
      <c r="R351" s="6"/>
      <c r="S351" s="6"/>
      <c r="T351" s="6"/>
      <c r="U351" t="str">
        <f t="shared" si="5"/>
        <v/>
      </c>
    </row>
    <row r="352" spans="3:21" customFormat="1" hidden="1">
      <c r="C352" s="6"/>
      <c r="D352" s="6"/>
      <c r="E352" s="98"/>
      <c r="F352" s="3"/>
      <c r="G352" s="6"/>
      <c r="H352" s="3"/>
      <c r="I352" s="6"/>
      <c r="J352" s="6"/>
      <c r="K352" s="6"/>
      <c r="L352" s="6"/>
      <c r="M352" s="6"/>
      <c r="N352" s="6"/>
      <c r="O352" s="3"/>
      <c r="P352" s="6"/>
      <c r="Q352" s="6"/>
      <c r="R352" s="6"/>
      <c r="S352" s="6"/>
      <c r="T352" s="6"/>
      <c r="U352" t="str">
        <f t="shared" si="5"/>
        <v/>
      </c>
    </row>
    <row r="353" spans="3:21" customFormat="1" hidden="1">
      <c r="C353" s="6"/>
      <c r="D353" s="6"/>
      <c r="E353" s="98"/>
      <c r="F353" s="3"/>
      <c r="G353" s="6"/>
      <c r="H353" s="3"/>
      <c r="I353" s="6"/>
      <c r="J353" s="6"/>
      <c r="K353" s="6"/>
      <c r="L353" s="6"/>
      <c r="M353" s="6"/>
      <c r="N353" s="6"/>
      <c r="O353" s="3"/>
      <c r="P353" s="6"/>
      <c r="Q353" s="6"/>
      <c r="R353" s="6"/>
      <c r="S353" s="6"/>
      <c r="T353" s="6"/>
      <c r="U353" t="str">
        <f t="shared" si="5"/>
        <v/>
      </c>
    </row>
    <row r="354" spans="3:21" customFormat="1" hidden="1">
      <c r="C354" s="6"/>
      <c r="D354" s="6"/>
      <c r="E354" s="98"/>
      <c r="F354" s="3"/>
      <c r="G354" s="6"/>
      <c r="H354" s="3"/>
      <c r="I354" s="6"/>
      <c r="J354" s="6"/>
      <c r="K354" s="6"/>
      <c r="L354" s="6"/>
      <c r="M354" s="6"/>
      <c r="N354" s="6"/>
      <c r="O354" s="3"/>
      <c r="P354" s="6"/>
      <c r="Q354" s="6"/>
      <c r="R354" s="6"/>
      <c r="S354" s="6"/>
      <c r="T354" s="6"/>
      <c r="U354" t="str">
        <f t="shared" si="5"/>
        <v/>
      </c>
    </row>
    <row r="355" spans="3:21" customFormat="1" hidden="1">
      <c r="C355" s="6"/>
      <c r="D355" s="6"/>
      <c r="E355" s="98"/>
      <c r="F355" s="3"/>
      <c r="G355" s="6"/>
      <c r="H355" s="3"/>
      <c r="I355" s="6"/>
      <c r="J355" s="6"/>
      <c r="K355" s="6"/>
      <c r="L355" s="6"/>
      <c r="M355" s="6"/>
      <c r="N355" s="6"/>
      <c r="O355" s="3"/>
      <c r="P355" s="6"/>
      <c r="Q355" s="6"/>
      <c r="R355" s="6"/>
      <c r="S355" s="6"/>
      <c r="T355" s="6"/>
      <c r="U355" t="str">
        <f t="shared" si="5"/>
        <v/>
      </c>
    </row>
    <row r="356" spans="3:21" customFormat="1" hidden="1">
      <c r="C356" s="6"/>
      <c r="D356" s="6"/>
      <c r="E356" s="98"/>
      <c r="F356" s="3"/>
      <c r="G356" s="6"/>
      <c r="H356" s="3"/>
      <c r="I356" s="6"/>
      <c r="J356" s="6"/>
      <c r="K356" s="6"/>
      <c r="L356" s="6"/>
      <c r="M356" s="6"/>
      <c r="N356" s="6"/>
      <c r="O356" s="3"/>
      <c r="P356" s="6"/>
      <c r="Q356" s="6"/>
      <c r="R356" s="6"/>
      <c r="S356" s="6"/>
      <c r="T356" s="6"/>
      <c r="U356" t="str">
        <f t="shared" si="5"/>
        <v/>
      </c>
    </row>
    <row r="357" spans="3:21" customFormat="1" hidden="1">
      <c r="C357" s="6"/>
      <c r="D357" s="6"/>
      <c r="E357" s="98"/>
      <c r="F357" s="3"/>
      <c r="G357" s="6"/>
      <c r="H357" s="3"/>
      <c r="I357" s="6"/>
      <c r="J357" s="6"/>
      <c r="K357" s="6"/>
      <c r="L357" s="6"/>
      <c r="M357" s="6"/>
      <c r="N357" s="6"/>
      <c r="O357" s="3"/>
      <c r="P357" s="6"/>
      <c r="Q357" s="6"/>
      <c r="R357" s="6"/>
      <c r="S357" s="6"/>
      <c r="T357" s="6"/>
      <c r="U357" t="str">
        <f t="shared" si="5"/>
        <v/>
      </c>
    </row>
    <row r="358" spans="3:21" customFormat="1" hidden="1">
      <c r="C358" s="6"/>
      <c r="D358" s="6"/>
      <c r="E358" s="98"/>
      <c r="F358" s="3"/>
      <c r="G358" s="6"/>
      <c r="H358" s="3"/>
      <c r="I358" s="6"/>
      <c r="J358" s="6"/>
      <c r="K358" s="6"/>
      <c r="L358" s="6"/>
      <c r="M358" s="6"/>
      <c r="N358" s="6"/>
      <c r="O358" s="3"/>
      <c r="P358" s="6"/>
      <c r="Q358" s="6"/>
      <c r="R358" s="6"/>
      <c r="S358" s="6"/>
      <c r="T358" s="6"/>
      <c r="U358" t="str">
        <f t="shared" si="5"/>
        <v/>
      </c>
    </row>
    <row r="359" spans="3:21" customFormat="1" hidden="1">
      <c r="C359" s="6"/>
      <c r="D359" s="6"/>
      <c r="E359" s="98"/>
      <c r="F359" s="3"/>
      <c r="G359" s="6"/>
      <c r="H359" s="3"/>
      <c r="I359" s="6"/>
      <c r="J359" s="6"/>
      <c r="K359" s="6"/>
      <c r="L359" s="6"/>
      <c r="M359" s="6"/>
      <c r="N359" s="6"/>
      <c r="O359" s="3"/>
      <c r="P359" s="6"/>
      <c r="Q359" s="6"/>
      <c r="R359" s="6"/>
      <c r="S359" s="6"/>
      <c r="T359" s="6"/>
      <c r="U359" t="str">
        <f t="shared" si="5"/>
        <v/>
      </c>
    </row>
    <row r="360" spans="3:21" customFormat="1" hidden="1">
      <c r="C360" s="6"/>
      <c r="D360" s="6"/>
      <c r="E360" s="98"/>
      <c r="F360" s="3"/>
      <c r="G360" s="6"/>
      <c r="H360" s="3"/>
      <c r="I360" s="6"/>
      <c r="J360" s="6"/>
      <c r="K360" s="6"/>
      <c r="L360" s="6"/>
      <c r="M360" s="6"/>
      <c r="N360" s="6"/>
      <c r="O360" s="3"/>
      <c r="P360" s="6"/>
      <c r="Q360" s="6"/>
      <c r="R360" s="6"/>
      <c r="S360" s="6"/>
      <c r="T360" s="6"/>
      <c r="U360" t="str">
        <f t="shared" si="5"/>
        <v/>
      </c>
    </row>
    <row r="361" spans="3:21" customFormat="1" hidden="1">
      <c r="C361" s="6"/>
      <c r="D361" s="6"/>
      <c r="E361" s="98"/>
      <c r="F361" s="3"/>
      <c r="G361" s="6"/>
      <c r="H361" s="3"/>
      <c r="I361" s="6"/>
      <c r="J361" s="6"/>
      <c r="K361" s="6"/>
      <c r="L361" s="6"/>
      <c r="M361" s="6"/>
      <c r="N361" s="6"/>
      <c r="O361" s="3"/>
      <c r="P361" s="6"/>
      <c r="Q361" s="6"/>
      <c r="R361" s="6"/>
      <c r="S361" s="6"/>
      <c r="T361" s="6"/>
      <c r="U361" t="str">
        <f t="shared" si="5"/>
        <v/>
      </c>
    </row>
    <row r="362" spans="3:21" customFormat="1" hidden="1">
      <c r="C362" s="6"/>
      <c r="D362" s="6"/>
      <c r="E362" s="98"/>
      <c r="F362" s="3"/>
      <c r="G362" s="6"/>
      <c r="H362" s="3"/>
      <c r="I362" s="6"/>
      <c r="J362" s="6"/>
      <c r="K362" s="6"/>
      <c r="L362" s="6"/>
      <c r="M362" s="6"/>
      <c r="N362" s="6"/>
      <c r="O362" s="3"/>
      <c r="P362" s="6"/>
      <c r="Q362" s="6"/>
      <c r="R362" s="6"/>
      <c r="S362" s="6"/>
      <c r="T362" s="6"/>
      <c r="U362" t="str">
        <f t="shared" si="5"/>
        <v/>
      </c>
    </row>
    <row r="363" spans="3:21" customFormat="1" hidden="1">
      <c r="C363" s="6"/>
      <c r="D363" s="6"/>
      <c r="E363" s="98"/>
      <c r="F363" s="3"/>
      <c r="G363" s="6"/>
      <c r="H363" s="3"/>
      <c r="I363" s="6"/>
      <c r="J363" s="6"/>
      <c r="K363" s="6"/>
      <c r="L363" s="6"/>
      <c r="M363" s="6"/>
      <c r="N363" s="6"/>
      <c r="O363" s="3"/>
      <c r="P363" s="6"/>
      <c r="Q363" s="6"/>
      <c r="R363" s="6"/>
      <c r="S363" s="6"/>
      <c r="T363" s="6"/>
      <c r="U363" t="str">
        <f t="shared" si="5"/>
        <v/>
      </c>
    </row>
    <row r="364" spans="3:21" customFormat="1" hidden="1">
      <c r="C364" s="6"/>
      <c r="D364" s="6"/>
      <c r="E364" s="98"/>
      <c r="F364" s="3"/>
      <c r="G364" s="6"/>
      <c r="H364" s="3"/>
      <c r="I364" s="6"/>
      <c r="J364" s="6"/>
      <c r="K364" s="6"/>
      <c r="L364" s="6"/>
      <c r="M364" s="6"/>
      <c r="N364" s="6"/>
      <c r="O364" s="3"/>
      <c r="P364" s="6"/>
      <c r="Q364" s="6"/>
      <c r="R364" s="6"/>
      <c r="S364" s="6"/>
      <c r="T364" s="6"/>
      <c r="U364" t="str">
        <f t="shared" si="5"/>
        <v/>
      </c>
    </row>
    <row r="365" spans="3:21" customFormat="1" hidden="1">
      <c r="C365" s="6"/>
      <c r="D365" s="6"/>
      <c r="E365" s="98"/>
      <c r="F365" s="3"/>
      <c r="G365" s="6"/>
      <c r="H365" s="3"/>
      <c r="I365" s="6"/>
      <c r="J365" s="6"/>
      <c r="K365" s="6"/>
      <c r="L365" s="6"/>
      <c r="M365" s="6"/>
      <c r="N365" s="6"/>
      <c r="O365" s="3"/>
      <c r="P365" s="6"/>
      <c r="Q365" s="6"/>
      <c r="R365" s="6"/>
      <c r="S365" s="6"/>
      <c r="T365" s="6"/>
      <c r="U365" t="str">
        <f t="shared" si="5"/>
        <v/>
      </c>
    </row>
    <row r="366" spans="3:21" customFormat="1" hidden="1">
      <c r="C366" s="6"/>
      <c r="D366" s="6"/>
      <c r="E366" s="98"/>
      <c r="F366" s="3"/>
      <c r="G366" s="6"/>
      <c r="H366" s="3"/>
      <c r="I366" s="6"/>
      <c r="J366" s="6"/>
      <c r="K366" s="6"/>
      <c r="L366" s="6"/>
      <c r="M366" s="6"/>
      <c r="N366" s="6"/>
      <c r="O366" s="3"/>
      <c r="P366" s="6"/>
      <c r="Q366" s="6"/>
      <c r="R366" s="6"/>
      <c r="S366" s="6"/>
      <c r="T366" s="6"/>
      <c r="U366" t="str">
        <f t="shared" si="5"/>
        <v/>
      </c>
    </row>
    <row r="367" spans="3:21" customFormat="1" hidden="1">
      <c r="C367" s="6"/>
      <c r="D367" s="6"/>
      <c r="E367" s="98"/>
      <c r="F367" s="3"/>
      <c r="G367" s="6"/>
      <c r="H367" s="3"/>
      <c r="I367" s="6"/>
      <c r="J367" s="6"/>
      <c r="K367" s="6"/>
      <c r="L367" s="6"/>
      <c r="M367" s="6"/>
      <c r="N367" s="6"/>
      <c r="O367" s="3"/>
      <c r="P367" s="6"/>
      <c r="Q367" s="6"/>
      <c r="R367" s="6"/>
      <c r="S367" s="6"/>
      <c r="T367" s="6"/>
      <c r="U367" t="str">
        <f t="shared" si="5"/>
        <v/>
      </c>
    </row>
    <row r="368" spans="3:21" customFormat="1" hidden="1">
      <c r="C368" s="6"/>
      <c r="D368" s="6"/>
      <c r="E368" s="98"/>
      <c r="F368" s="3"/>
      <c r="G368" s="6"/>
      <c r="H368" s="3"/>
      <c r="I368" s="6"/>
      <c r="J368" s="6"/>
      <c r="K368" s="6"/>
      <c r="L368" s="6"/>
      <c r="M368" s="6"/>
      <c r="N368" s="6"/>
      <c r="O368" s="3"/>
      <c r="P368" s="6"/>
      <c r="Q368" s="6"/>
      <c r="R368" s="6"/>
      <c r="S368" s="6"/>
      <c r="T368" s="6"/>
      <c r="U368" t="str">
        <f t="shared" si="5"/>
        <v/>
      </c>
    </row>
    <row r="369" spans="3:21" customFormat="1" hidden="1">
      <c r="C369" s="6"/>
      <c r="D369" s="6"/>
      <c r="E369" s="98"/>
      <c r="F369" s="3"/>
      <c r="G369" s="6"/>
      <c r="H369" s="3"/>
      <c r="I369" s="6"/>
      <c r="J369" s="6"/>
      <c r="K369" s="6"/>
      <c r="L369" s="6"/>
      <c r="M369" s="6"/>
      <c r="N369" s="6"/>
      <c r="O369" s="3"/>
      <c r="P369" s="6"/>
      <c r="Q369" s="6"/>
      <c r="R369" s="6"/>
      <c r="S369" s="6"/>
      <c r="T369" s="6"/>
      <c r="U369" t="str">
        <f t="shared" si="5"/>
        <v/>
      </c>
    </row>
    <row r="370" spans="3:21" customFormat="1" hidden="1">
      <c r="C370" s="6"/>
      <c r="D370" s="6"/>
      <c r="E370" s="98"/>
      <c r="F370" s="3"/>
      <c r="G370" s="6"/>
      <c r="H370" s="3"/>
      <c r="I370" s="6"/>
      <c r="J370" s="6"/>
      <c r="K370" s="6"/>
      <c r="L370" s="6"/>
      <c r="M370" s="6"/>
      <c r="N370" s="6"/>
      <c r="O370" s="3"/>
      <c r="P370" s="6"/>
      <c r="Q370" s="6"/>
      <c r="R370" s="6"/>
      <c r="S370" s="6"/>
      <c r="T370" s="6"/>
      <c r="U370" t="str">
        <f t="shared" si="5"/>
        <v/>
      </c>
    </row>
    <row r="371" spans="3:21" customFormat="1" hidden="1">
      <c r="C371" s="6"/>
      <c r="D371" s="6"/>
      <c r="E371" s="98"/>
      <c r="F371" s="3"/>
      <c r="G371" s="6"/>
      <c r="H371" s="3"/>
      <c r="I371" s="6"/>
      <c r="J371" s="6"/>
      <c r="K371" s="6"/>
      <c r="L371" s="6"/>
      <c r="M371" s="6"/>
      <c r="N371" s="6"/>
      <c r="O371" s="3"/>
      <c r="P371" s="6"/>
      <c r="Q371" s="6"/>
      <c r="R371" s="6"/>
      <c r="S371" s="6"/>
      <c r="T371" s="6"/>
      <c r="U371" t="str">
        <f t="shared" si="5"/>
        <v/>
      </c>
    </row>
    <row r="372" spans="3:21" customFormat="1" hidden="1">
      <c r="C372" s="6"/>
      <c r="D372" s="6"/>
      <c r="E372" s="98"/>
      <c r="F372" s="3"/>
      <c r="G372" s="6"/>
      <c r="H372" s="3"/>
      <c r="I372" s="6"/>
      <c r="J372" s="6"/>
      <c r="K372" s="6"/>
      <c r="L372" s="6"/>
      <c r="M372" s="6"/>
      <c r="N372" s="6"/>
      <c r="O372" s="3"/>
      <c r="P372" s="6"/>
      <c r="Q372" s="6"/>
      <c r="R372" s="6"/>
      <c r="S372" s="6"/>
      <c r="T372" s="6"/>
      <c r="U372" t="str">
        <f t="shared" si="5"/>
        <v/>
      </c>
    </row>
    <row r="373" spans="3:21" customFormat="1" hidden="1">
      <c r="C373" s="6"/>
      <c r="D373" s="6"/>
      <c r="E373" s="98"/>
      <c r="F373" s="3"/>
      <c r="G373" s="6"/>
      <c r="H373" s="3"/>
      <c r="I373" s="6"/>
      <c r="J373" s="6"/>
      <c r="K373" s="6"/>
      <c r="L373" s="6"/>
      <c r="M373" s="6"/>
      <c r="N373" s="6"/>
      <c r="O373" s="3"/>
      <c r="P373" s="6"/>
      <c r="Q373" s="6"/>
      <c r="R373" s="6"/>
      <c r="S373" s="6"/>
      <c r="T373" s="6"/>
      <c r="U373" t="str">
        <f t="shared" si="5"/>
        <v/>
      </c>
    </row>
    <row r="374" spans="3:21" customFormat="1" hidden="1">
      <c r="C374" s="6"/>
      <c r="D374" s="6"/>
      <c r="E374" s="98"/>
      <c r="F374" s="3"/>
      <c r="G374" s="6"/>
      <c r="H374" s="3"/>
      <c r="I374" s="6"/>
      <c r="J374" s="6"/>
      <c r="K374" s="6"/>
      <c r="L374" s="6"/>
      <c r="M374" s="6"/>
      <c r="N374" s="6"/>
      <c r="O374" s="3"/>
      <c r="P374" s="6"/>
      <c r="Q374" s="6"/>
      <c r="R374" s="6"/>
      <c r="S374" s="6"/>
      <c r="T374" s="6"/>
      <c r="U374" t="str">
        <f t="shared" si="5"/>
        <v/>
      </c>
    </row>
    <row r="375" spans="3:21" customFormat="1" hidden="1">
      <c r="C375" s="6"/>
      <c r="D375" s="6"/>
      <c r="E375" s="98"/>
      <c r="F375" s="3"/>
      <c r="G375" s="6"/>
      <c r="H375" s="3"/>
      <c r="I375" s="6"/>
      <c r="J375" s="6"/>
      <c r="K375" s="6"/>
      <c r="L375" s="6"/>
      <c r="M375" s="6"/>
      <c r="N375" s="6"/>
      <c r="O375" s="3"/>
      <c r="P375" s="6"/>
      <c r="Q375" s="6"/>
      <c r="R375" s="6"/>
      <c r="S375" s="6"/>
      <c r="T375" s="6"/>
      <c r="U375" t="str">
        <f t="shared" si="5"/>
        <v/>
      </c>
    </row>
    <row r="376" spans="3:21" customFormat="1" hidden="1">
      <c r="C376" s="6"/>
      <c r="D376" s="6"/>
      <c r="E376" s="98"/>
      <c r="F376" s="3"/>
      <c r="G376" s="6"/>
      <c r="H376" s="3"/>
      <c r="I376" s="6"/>
      <c r="J376" s="6"/>
      <c r="K376" s="6"/>
      <c r="L376" s="6"/>
      <c r="M376" s="6"/>
      <c r="N376" s="6"/>
      <c r="O376" s="3"/>
      <c r="P376" s="6"/>
      <c r="Q376" s="6"/>
      <c r="R376" s="6"/>
      <c r="S376" s="6"/>
      <c r="T376" s="6"/>
      <c r="U376" t="str">
        <f t="shared" si="5"/>
        <v/>
      </c>
    </row>
    <row r="377" spans="3:21" customFormat="1" hidden="1">
      <c r="C377" s="6"/>
      <c r="D377" s="6"/>
      <c r="E377" s="98"/>
      <c r="F377" s="3"/>
      <c r="G377" s="6"/>
      <c r="H377" s="3"/>
      <c r="I377" s="6"/>
      <c r="J377" s="6"/>
      <c r="K377" s="6"/>
      <c r="L377" s="6"/>
      <c r="M377" s="6"/>
      <c r="N377" s="6"/>
      <c r="O377" s="3"/>
      <c r="P377" s="6"/>
      <c r="Q377" s="6"/>
      <c r="R377" s="6"/>
      <c r="S377" s="6"/>
      <c r="T377" s="6"/>
      <c r="U377" t="str">
        <f t="shared" si="5"/>
        <v/>
      </c>
    </row>
    <row r="378" spans="3:21" customFormat="1" hidden="1">
      <c r="C378" s="6"/>
      <c r="D378" s="6"/>
      <c r="E378" s="98"/>
      <c r="F378" s="3"/>
      <c r="G378" s="6"/>
      <c r="H378" s="3"/>
      <c r="I378" s="6"/>
      <c r="J378" s="6"/>
      <c r="K378" s="6"/>
      <c r="L378" s="6"/>
      <c r="M378" s="6"/>
      <c r="N378" s="6"/>
      <c r="O378" s="3"/>
      <c r="P378" s="6"/>
      <c r="Q378" s="6"/>
      <c r="R378" s="6"/>
      <c r="S378" s="6"/>
      <c r="T378" s="6"/>
      <c r="U378" t="str">
        <f t="shared" si="5"/>
        <v/>
      </c>
    </row>
    <row r="379" spans="3:21" customFormat="1" hidden="1">
      <c r="C379" s="6"/>
      <c r="D379" s="6"/>
      <c r="E379" s="98"/>
      <c r="F379" s="3"/>
      <c r="G379" s="6"/>
      <c r="H379" s="3"/>
      <c r="I379" s="6"/>
      <c r="J379" s="6"/>
      <c r="K379" s="6"/>
      <c r="L379" s="6"/>
      <c r="M379" s="6"/>
      <c r="N379" s="6"/>
      <c r="O379" s="3"/>
      <c r="P379" s="6"/>
      <c r="Q379" s="6"/>
      <c r="R379" s="6"/>
      <c r="S379" s="6"/>
      <c r="T379" s="6"/>
      <c r="U379" t="str">
        <f t="shared" si="5"/>
        <v/>
      </c>
    </row>
    <row r="380" spans="3:21" customFormat="1" hidden="1">
      <c r="C380" s="6"/>
      <c r="D380" s="6"/>
      <c r="E380" s="98"/>
      <c r="F380" s="3"/>
      <c r="G380" s="6"/>
      <c r="H380" s="3"/>
      <c r="I380" s="6"/>
      <c r="J380" s="6"/>
      <c r="K380" s="6"/>
      <c r="L380" s="6"/>
      <c r="M380" s="6"/>
      <c r="N380" s="6"/>
      <c r="O380" s="3"/>
      <c r="P380" s="6"/>
      <c r="Q380" s="6"/>
      <c r="R380" s="6"/>
      <c r="S380" s="6"/>
      <c r="T380" s="6"/>
      <c r="U380" t="str">
        <f t="shared" si="5"/>
        <v/>
      </c>
    </row>
    <row r="381" spans="3:21" customFormat="1" hidden="1">
      <c r="C381" s="6"/>
      <c r="D381" s="6"/>
      <c r="E381" s="98"/>
      <c r="F381" s="3"/>
      <c r="G381" s="6"/>
      <c r="H381" s="3"/>
      <c r="I381" s="6"/>
      <c r="J381" s="6"/>
      <c r="K381" s="6"/>
      <c r="L381" s="6"/>
      <c r="M381" s="6"/>
      <c r="N381" s="6"/>
      <c r="O381" s="3"/>
      <c r="P381" s="6"/>
      <c r="Q381" s="6"/>
      <c r="R381" s="6"/>
      <c r="S381" s="6"/>
      <c r="T381" s="6"/>
      <c r="U381" t="str">
        <f t="shared" si="5"/>
        <v/>
      </c>
    </row>
    <row r="382" spans="3:21" customFormat="1" hidden="1">
      <c r="C382" s="6"/>
      <c r="D382" s="6"/>
      <c r="E382" s="98"/>
      <c r="F382" s="3"/>
      <c r="G382" s="6"/>
      <c r="H382" s="3"/>
      <c r="I382" s="6"/>
      <c r="J382" s="6"/>
      <c r="K382" s="6"/>
      <c r="L382" s="6"/>
      <c r="M382" s="6"/>
      <c r="N382" s="6"/>
      <c r="O382" s="3"/>
      <c r="P382" s="6"/>
      <c r="Q382" s="6"/>
      <c r="R382" s="6"/>
      <c r="S382" s="6"/>
      <c r="T382" s="6"/>
      <c r="U382" t="str">
        <f t="shared" si="5"/>
        <v/>
      </c>
    </row>
    <row r="383" spans="3:21" customFormat="1" hidden="1">
      <c r="C383" s="6"/>
      <c r="D383" s="6"/>
      <c r="E383" s="98"/>
      <c r="F383" s="3"/>
      <c r="G383" s="6"/>
      <c r="H383" s="3"/>
      <c r="I383" s="6"/>
      <c r="J383" s="6"/>
      <c r="K383" s="6"/>
      <c r="L383" s="6"/>
      <c r="M383" s="6"/>
      <c r="N383" s="6"/>
      <c r="O383" s="3"/>
      <c r="P383" s="6"/>
      <c r="Q383" s="6"/>
      <c r="R383" s="6"/>
      <c r="S383" s="6"/>
      <c r="T383" s="6"/>
      <c r="U383" t="str">
        <f t="shared" si="5"/>
        <v/>
      </c>
    </row>
    <row r="384" spans="3:21" customFormat="1" hidden="1">
      <c r="C384" s="6"/>
      <c r="D384" s="6"/>
      <c r="E384" s="98"/>
      <c r="F384" s="3"/>
      <c r="G384" s="6"/>
      <c r="H384" s="3"/>
      <c r="I384" s="6"/>
      <c r="J384" s="6"/>
      <c r="K384" s="6"/>
      <c r="L384" s="6"/>
      <c r="M384" s="6"/>
      <c r="N384" s="6"/>
      <c r="O384" s="3"/>
      <c r="P384" s="6"/>
      <c r="Q384" s="6"/>
      <c r="R384" s="6"/>
      <c r="S384" s="6"/>
      <c r="T384" s="6"/>
      <c r="U384" t="str">
        <f t="shared" si="5"/>
        <v/>
      </c>
    </row>
    <row r="385" spans="3:21" customFormat="1" hidden="1">
      <c r="C385" s="6"/>
      <c r="D385" s="6"/>
      <c r="E385" s="98"/>
      <c r="F385" s="3"/>
      <c r="G385" s="6"/>
      <c r="H385" s="3"/>
      <c r="I385" s="6"/>
      <c r="J385" s="6"/>
      <c r="K385" s="6"/>
      <c r="L385" s="6"/>
      <c r="M385" s="6"/>
      <c r="N385" s="6"/>
      <c r="O385" s="3"/>
      <c r="P385" s="6"/>
      <c r="Q385" s="6"/>
      <c r="R385" s="6"/>
      <c r="S385" s="6"/>
      <c r="T385" s="6"/>
      <c r="U385" t="str">
        <f t="shared" si="5"/>
        <v/>
      </c>
    </row>
    <row r="386" spans="3:21" customFormat="1" hidden="1">
      <c r="C386" s="6"/>
      <c r="D386" s="6"/>
      <c r="E386" s="98"/>
      <c r="F386" s="3"/>
      <c r="G386" s="6"/>
      <c r="H386" s="3"/>
      <c r="I386" s="6"/>
      <c r="J386" s="6"/>
      <c r="K386" s="6"/>
      <c r="L386" s="6"/>
      <c r="M386" s="6"/>
      <c r="N386" s="6"/>
      <c r="O386" s="3"/>
      <c r="P386" s="6"/>
      <c r="Q386" s="6"/>
      <c r="R386" s="6"/>
      <c r="S386" s="6"/>
      <c r="T386" s="6"/>
      <c r="U386" t="str">
        <f t="shared" si="5"/>
        <v/>
      </c>
    </row>
    <row r="387" spans="3:21" customFormat="1" hidden="1">
      <c r="C387" s="6"/>
      <c r="D387" s="6"/>
      <c r="E387" s="98"/>
      <c r="F387" s="3"/>
      <c r="G387" s="6"/>
      <c r="H387" s="3"/>
      <c r="I387" s="6"/>
      <c r="J387" s="6"/>
      <c r="K387" s="6"/>
      <c r="L387" s="6"/>
      <c r="M387" s="6"/>
      <c r="N387" s="6"/>
      <c r="O387" s="3"/>
      <c r="P387" s="6"/>
      <c r="Q387" s="6"/>
      <c r="R387" s="6"/>
      <c r="S387" s="6"/>
      <c r="T387" s="6"/>
      <c r="U387" t="str">
        <f t="shared" si="5"/>
        <v/>
      </c>
    </row>
    <row r="388" spans="3:21" customFormat="1" hidden="1">
      <c r="C388" s="6"/>
      <c r="D388" s="6"/>
      <c r="E388" s="98"/>
      <c r="F388" s="3"/>
      <c r="G388" s="6"/>
      <c r="H388" s="3"/>
      <c r="I388" s="6"/>
      <c r="J388" s="6"/>
      <c r="K388" s="6"/>
      <c r="L388" s="6"/>
      <c r="M388" s="6"/>
      <c r="N388" s="6"/>
      <c r="O388" s="3"/>
      <c r="P388" s="6"/>
      <c r="Q388" s="6"/>
      <c r="R388" s="6"/>
      <c r="S388" s="6"/>
      <c r="T388" s="6"/>
      <c r="U388" t="str">
        <f t="shared" si="5"/>
        <v/>
      </c>
    </row>
    <row r="389" spans="3:21" customFormat="1" hidden="1">
      <c r="C389" s="6"/>
      <c r="D389" s="6"/>
      <c r="E389" s="98"/>
      <c r="F389" s="3"/>
      <c r="G389" s="6"/>
      <c r="H389" s="3"/>
      <c r="I389" s="6"/>
      <c r="J389" s="6"/>
      <c r="K389" s="6"/>
      <c r="L389" s="6"/>
      <c r="M389" s="6"/>
      <c r="N389" s="6"/>
      <c r="O389" s="3"/>
      <c r="P389" s="6"/>
      <c r="Q389" s="6"/>
      <c r="R389" s="6"/>
      <c r="S389" s="6"/>
      <c r="T389" s="6"/>
      <c r="U389" t="str">
        <f t="shared" si="5"/>
        <v/>
      </c>
    </row>
    <row r="390" spans="3:21" customFormat="1" hidden="1">
      <c r="C390" s="6"/>
      <c r="D390" s="6"/>
      <c r="E390" s="98"/>
      <c r="F390" s="3"/>
      <c r="G390" s="6"/>
      <c r="H390" s="3"/>
      <c r="I390" s="6"/>
      <c r="J390" s="6"/>
      <c r="K390" s="6"/>
      <c r="L390" s="6"/>
      <c r="M390" s="6"/>
      <c r="N390" s="6"/>
      <c r="O390" s="3"/>
      <c r="P390" s="6"/>
      <c r="Q390" s="6"/>
      <c r="R390" s="6"/>
      <c r="S390" s="6"/>
      <c r="T390" s="6"/>
      <c r="U390" t="str">
        <f t="shared" si="5"/>
        <v/>
      </c>
    </row>
    <row r="391" spans="3:21" customFormat="1" hidden="1">
      <c r="C391" s="6"/>
      <c r="D391" s="6"/>
      <c r="E391" s="98"/>
      <c r="F391" s="3"/>
      <c r="G391" s="6"/>
      <c r="H391" s="3"/>
      <c r="I391" s="6"/>
      <c r="J391" s="6"/>
      <c r="K391" s="6"/>
      <c r="L391" s="6"/>
      <c r="M391" s="6"/>
      <c r="N391" s="6"/>
      <c r="O391" s="3"/>
      <c r="P391" s="6"/>
      <c r="Q391" s="6"/>
      <c r="R391" s="6"/>
      <c r="S391" s="6"/>
      <c r="T391" s="6"/>
      <c r="U391" t="str">
        <f t="shared" ref="U391:U454" si="6">IF(D391="","","x")</f>
        <v/>
      </c>
    </row>
    <row r="392" spans="3:21" customFormat="1" hidden="1">
      <c r="C392" s="6"/>
      <c r="D392" s="6"/>
      <c r="E392" s="98"/>
      <c r="F392" s="3"/>
      <c r="G392" s="6"/>
      <c r="H392" s="3"/>
      <c r="I392" s="6"/>
      <c r="J392" s="6"/>
      <c r="K392" s="6"/>
      <c r="L392" s="6"/>
      <c r="M392" s="6"/>
      <c r="N392" s="6"/>
      <c r="O392" s="3"/>
      <c r="P392" s="6"/>
      <c r="Q392" s="6"/>
      <c r="R392" s="6"/>
      <c r="S392" s="6"/>
      <c r="T392" s="6"/>
      <c r="U392" t="str">
        <f t="shared" si="6"/>
        <v/>
      </c>
    </row>
    <row r="393" spans="3:21" customFormat="1" hidden="1">
      <c r="C393" s="6"/>
      <c r="D393" s="6"/>
      <c r="E393" s="98"/>
      <c r="F393" s="3"/>
      <c r="G393" s="6"/>
      <c r="H393" s="3"/>
      <c r="I393" s="6"/>
      <c r="J393" s="6"/>
      <c r="K393" s="6"/>
      <c r="L393" s="6"/>
      <c r="M393" s="6"/>
      <c r="N393" s="6"/>
      <c r="O393" s="3"/>
      <c r="P393" s="6"/>
      <c r="Q393" s="6"/>
      <c r="R393" s="6"/>
      <c r="S393" s="6"/>
      <c r="T393" s="6"/>
      <c r="U393" t="str">
        <f t="shared" si="6"/>
        <v/>
      </c>
    </row>
    <row r="394" spans="3:21" customFormat="1" hidden="1">
      <c r="C394" s="6"/>
      <c r="D394" s="6"/>
      <c r="E394" s="98"/>
      <c r="F394" s="3"/>
      <c r="G394" s="6"/>
      <c r="H394" s="3"/>
      <c r="I394" s="6"/>
      <c r="J394" s="6"/>
      <c r="K394" s="6"/>
      <c r="L394" s="6"/>
      <c r="M394" s="6"/>
      <c r="N394" s="6"/>
      <c r="O394" s="3"/>
      <c r="P394" s="6"/>
      <c r="Q394" s="6"/>
      <c r="R394" s="6"/>
      <c r="S394" s="6"/>
      <c r="T394" s="6"/>
      <c r="U394" t="str">
        <f t="shared" si="6"/>
        <v/>
      </c>
    </row>
    <row r="395" spans="3:21" customFormat="1" hidden="1">
      <c r="C395" s="6"/>
      <c r="D395" s="6"/>
      <c r="E395" s="98"/>
      <c r="F395" s="3"/>
      <c r="G395" s="6"/>
      <c r="H395" s="3"/>
      <c r="I395" s="6"/>
      <c r="J395" s="6"/>
      <c r="K395" s="6"/>
      <c r="L395" s="6"/>
      <c r="M395" s="6"/>
      <c r="N395" s="6"/>
      <c r="O395" s="3"/>
      <c r="P395" s="6"/>
      <c r="Q395" s="6"/>
      <c r="R395" s="6"/>
      <c r="S395" s="6"/>
      <c r="T395" s="6"/>
      <c r="U395" t="str">
        <f t="shared" si="6"/>
        <v/>
      </c>
    </row>
    <row r="396" spans="3:21" customFormat="1" hidden="1">
      <c r="C396" s="6"/>
      <c r="D396" s="6"/>
      <c r="E396" s="98"/>
      <c r="F396" s="3"/>
      <c r="G396" s="6"/>
      <c r="H396" s="3"/>
      <c r="I396" s="6"/>
      <c r="J396" s="6"/>
      <c r="K396" s="6"/>
      <c r="L396" s="6"/>
      <c r="M396" s="6"/>
      <c r="N396" s="6"/>
      <c r="O396" s="3"/>
      <c r="P396" s="6"/>
      <c r="Q396" s="6"/>
      <c r="R396" s="6"/>
      <c r="S396" s="6"/>
      <c r="T396" s="6"/>
      <c r="U396" t="str">
        <f t="shared" si="6"/>
        <v/>
      </c>
    </row>
    <row r="397" spans="3:21" customFormat="1" hidden="1">
      <c r="C397" s="6"/>
      <c r="D397" s="6"/>
      <c r="E397" s="98"/>
      <c r="F397" s="3"/>
      <c r="G397" s="6"/>
      <c r="H397" s="3"/>
      <c r="I397" s="6"/>
      <c r="J397" s="6"/>
      <c r="K397" s="6"/>
      <c r="L397" s="6"/>
      <c r="M397" s="6"/>
      <c r="N397" s="6"/>
      <c r="O397" s="3"/>
      <c r="P397" s="6"/>
      <c r="Q397" s="6"/>
      <c r="R397" s="6"/>
      <c r="S397" s="6"/>
      <c r="T397" s="6"/>
      <c r="U397" t="str">
        <f t="shared" si="6"/>
        <v/>
      </c>
    </row>
    <row r="398" spans="3:21" customFormat="1" hidden="1">
      <c r="C398" s="6"/>
      <c r="D398" s="6"/>
      <c r="E398" s="98"/>
      <c r="F398" s="3"/>
      <c r="G398" s="6"/>
      <c r="H398" s="3"/>
      <c r="I398" s="6"/>
      <c r="J398" s="6"/>
      <c r="K398" s="6"/>
      <c r="L398" s="6"/>
      <c r="M398" s="6"/>
      <c r="N398" s="6"/>
      <c r="O398" s="3"/>
      <c r="P398" s="6"/>
      <c r="Q398" s="6"/>
      <c r="R398" s="6"/>
      <c r="S398" s="6"/>
      <c r="T398" s="6"/>
      <c r="U398" t="str">
        <f t="shared" si="6"/>
        <v/>
      </c>
    </row>
    <row r="399" spans="3:21" customFormat="1" hidden="1">
      <c r="C399" s="6"/>
      <c r="D399" s="6"/>
      <c r="E399" s="98"/>
      <c r="F399" s="3"/>
      <c r="G399" s="6"/>
      <c r="H399" s="3"/>
      <c r="I399" s="6"/>
      <c r="J399" s="6"/>
      <c r="K399" s="6"/>
      <c r="L399" s="6"/>
      <c r="M399" s="6"/>
      <c r="N399" s="6"/>
      <c r="O399" s="3"/>
      <c r="P399" s="6"/>
      <c r="Q399" s="6"/>
      <c r="R399" s="6"/>
      <c r="S399" s="6"/>
      <c r="T399" s="6"/>
      <c r="U399" t="str">
        <f t="shared" si="6"/>
        <v/>
      </c>
    </row>
    <row r="400" spans="3:21" customFormat="1" hidden="1">
      <c r="C400" s="6"/>
      <c r="D400" s="6"/>
      <c r="E400" s="98"/>
      <c r="F400" s="3"/>
      <c r="G400" s="6"/>
      <c r="H400" s="3"/>
      <c r="I400" s="6"/>
      <c r="J400" s="6"/>
      <c r="K400" s="6"/>
      <c r="L400" s="6"/>
      <c r="M400" s="6"/>
      <c r="N400" s="6"/>
      <c r="O400" s="3"/>
      <c r="P400" s="6"/>
      <c r="Q400" s="6"/>
      <c r="R400" s="6"/>
      <c r="S400" s="6"/>
      <c r="T400" s="6"/>
      <c r="U400" t="str">
        <f t="shared" si="6"/>
        <v/>
      </c>
    </row>
    <row r="401" spans="3:21" customFormat="1" hidden="1">
      <c r="C401" s="6"/>
      <c r="D401" s="6"/>
      <c r="E401" s="98"/>
      <c r="F401" s="3"/>
      <c r="G401" s="6"/>
      <c r="H401" s="3"/>
      <c r="I401" s="6"/>
      <c r="J401" s="6"/>
      <c r="K401" s="6"/>
      <c r="L401" s="6"/>
      <c r="M401" s="6"/>
      <c r="N401" s="6"/>
      <c r="O401" s="3"/>
      <c r="P401" s="6"/>
      <c r="Q401" s="6"/>
      <c r="R401" s="6"/>
      <c r="S401" s="6"/>
      <c r="T401" s="6"/>
      <c r="U401" t="str">
        <f t="shared" si="6"/>
        <v/>
      </c>
    </row>
    <row r="402" spans="3:21" customFormat="1" hidden="1">
      <c r="C402" s="6"/>
      <c r="D402" s="6"/>
      <c r="E402" s="98"/>
      <c r="F402" s="3"/>
      <c r="G402" s="6"/>
      <c r="H402" s="3"/>
      <c r="I402" s="6"/>
      <c r="J402" s="6"/>
      <c r="K402" s="6"/>
      <c r="L402" s="6"/>
      <c r="M402" s="6"/>
      <c r="N402" s="6"/>
      <c r="O402" s="3"/>
      <c r="P402" s="6"/>
      <c r="Q402" s="6"/>
      <c r="R402" s="6"/>
      <c r="S402" s="6"/>
      <c r="T402" s="6"/>
      <c r="U402" t="str">
        <f t="shared" si="6"/>
        <v/>
      </c>
    </row>
    <row r="403" spans="3:21" customFormat="1" hidden="1">
      <c r="C403" s="6"/>
      <c r="D403" s="6"/>
      <c r="E403" s="98"/>
      <c r="F403" s="3"/>
      <c r="G403" s="6"/>
      <c r="H403" s="3"/>
      <c r="I403" s="6"/>
      <c r="J403" s="6"/>
      <c r="K403" s="6"/>
      <c r="L403" s="6"/>
      <c r="M403" s="6"/>
      <c r="N403" s="6"/>
      <c r="O403" s="3"/>
      <c r="P403" s="6"/>
      <c r="Q403" s="6"/>
      <c r="R403" s="6"/>
      <c r="S403" s="6"/>
      <c r="T403" s="6"/>
      <c r="U403" t="str">
        <f t="shared" si="6"/>
        <v/>
      </c>
    </row>
    <row r="404" spans="3:21" customFormat="1" hidden="1">
      <c r="C404" s="6"/>
      <c r="D404" s="6"/>
      <c r="E404" s="98"/>
      <c r="F404" s="3"/>
      <c r="G404" s="6"/>
      <c r="H404" s="3"/>
      <c r="I404" s="6"/>
      <c r="J404" s="6"/>
      <c r="K404" s="6"/>
      <c r="L404" s="6"/>
      <c r="M404" s="6"/>
      <c r="N404" s="6"/>
      <c r="O404" s="3"/>
      <c r="P404" s="6"/>
      <c r="Q404" s="6"/>
      <c r="R404" s="6"/>
      <c r="S404" s="6"/>
      <c r="T404" s="6"/>
      <c r="U404" t="str">
        <f t="shared" si="6"/>
        <v/>
      </c>
    </row>
    <row r="405" spans="3:21" customFormat="1" hidden="1">
      <c r="C405" s="6"/>
      <c r="D405" s="6"/>
      <c r="E405" s="98"/>
      <c r="F405" s="3"/>
      <c r="G405" s="6"/>
      <c r="H405" s="3"/>
      <c r="I405" s="6"/>
      <c r="J405" s="6"/>
      <c r="K405" s="6"/>
      <c r="L405" s="6"/>
      <c r="M405" s="6"/>
      <c r="N405" s="6"/>
      <c r="O405" s="3"/>
      <c r="P405" s="6"/>
      <c r="Q405" s="6"/>
      <c r="R405" s="6"/>
      <c r="S405" s="6"/>
      <c r="T405" s="6"/>
      <c r="U405" t="str">
        <f t="shared" si="6"/>
        <v/>
      </c>
    </row>
    <row r="406" spans="3:21" customFormat="1" hidden="1">
      <c r="C406" s="6"/>
      <c r="D406" s="6"/>
      <c r="E406" s="98"/>
      <c r="F406" s="3"/>
      <c r="G406" s="6"/>
      <c r="H406" s="3"/>
      <c r="I406" s="6"/>
      <c r="J406" s="6"/>
      <c r="K406" s="6"/>
      <c r="L406" s="6"/>
      <c r="M406" s="6"/>
      <c r="N406" s="6"/>
      <c r="O406" s="3"/>
      <c r="P406" s="6"/>
      <c r="Q406" s="6"/>
      <c r="R406" s="6"/>
      <c r="S406" s="6"/>
      <c r="T406" s="6"/>
      <c r="U406" t="str">
        <f t="shared" si="6"/>
        <v/>
      </c>
    </row>
    <row r="407" spans="3:21" customFormat="1" hidden="1">
      <c r="C407" s="6"/>
      <c r="D407" s="6"/>
      <c r="E407" s="98"/>
      <c r="F407" s="3"/>
      <c r="G407" s="6"/>
      <c r="H407" s="3"/>
      <c r="I407" s="6"/>
      <c r="J407" s="6"/>
      <c r="K407" s="6"/>
      <c r="L407" s="6"/>
      <c r="M407" s="6"/>
      <c r="N407" s="6"/>
      <c r="O407" s="3"/>
      <c r="P407" s="6"/>
      <c r="Q407" s="6"/>
      <c r="R407" s="6"/>
      <c r="S407" s="6"/>
      <c r="T407" s="6"/>
      <c r="U407" t="str">
        <f t="shared" si="6"/>
        <v/>
      </c>
    </row>
    <row r="408" spans="3:21" customFormat="1" hidden="1">
      <c r="C408" s="6"/>
      <c r="D408" s="6"/>
      <c r="E408" s="98"/>
      <c r="F408" s="3"/>
      <c r="G408" s="6"/>
      <c r="H408" s="3"/>
      <c r="I408" s="6"/>
      <c r="J408" s="6"/>
      <c r="K408" s="6"/>
      <c r="L408" s="6"/>
      <c r="M408" s="6"/>
      <c r="N408" s="6"/>
      <c r="O408" s="3"/>
      <c r="P408" s="6"/>
      <c r="Q408" s="6"/>
      <c r="R408" s="6"/>
      <c r="S408" s="6"/>
      <c r="T408" s="6"/>
      <c r="U408" t="str">
        <f t="shared" si="6"/>
        <v/>
      </c>
    </row>
    <row r="409" spans="3:21" customFormat="1" hidden="1">
      <c r="C409" s="6"/>
      <c r="D409" s="6"/>
      <c r="E409" s="98"/>
      <c r="F409" s="3"/>
      <c r="G409" s="6"/>
      <c r="H409" s="3"/>
      <c r="I409" s="6"/>
      <c r="J409" s="6"/>
      <c r="K409" s="6"/>
      <c r="L409" s="6"/>
      <c r="M409" s="6"/>
      <c r="N409" s="6"/>
      <c r="O409" s="3"/>
      <c r="P409" s="6"/>
      <c r="Q409" s="6"/>
      <c r="R409" s="6"/>
      <c r="S409" s="6"/>
      <c r="T409" s="6"/>
      <c r="U409" t="str">
        <f t="shared" si="6"/>
        <v/>
      </c>
    </row>
    <row r="410" spans="3:21" customFormat="1" hidden="1">
      <c r="C410" s="6"/>
      <c r="D410" s="6"/>
      <c r="E410" s="98"/>
      <c r="F410" s="3"/>
      <c r="G410" s="6"/>
      <c r="H410" s="3"/>
      <c r="I410" s="6"/>
      <c r="J410" s="6"/>
      <c r="K410" s="6"/>
      <c r="L410" s="6"/>
      <c r="M410" s="6"/>
      <c r="N410" s="6"/>
      <c r="O410" s="3"/>
      <c r="P410" s="6"/>
      <c r="Q410" s="6"/>
      <c r="R410" s="6"/>
      <c r="S410" s="6"/>
      <c r="T410" s="6"/>
      <c r="U410" t="str">
        <f t="shared" si="6"/>
        <v/>
      </c>
    </row>
    <row r="411" spans="3:21" customFormat="1" hidden="1">
      <c r="C411" s="6"/>
      <c r="D411" s="6"/>
      <c r="E411" s="98"/>
      <c r="F411" s="3"/>
      <c r="G411" s="6"/>
      <c r="H411" s="3"/>
      <c r="I411" s="6"/>
      <c r="J411" s="6"/>
      <c r="K411" s="6"/>
      <c r="L411" s="6"/>
      <c r="M411" s="6"/>
      <c r="N411" s="6"/>
      <c r="O411" s="3"/>
      <c r="P411" s="6"/>
      <c r="Q411" s="6"/>
      <c r="R411" s="6"/>
      <c r="S411" s="6"/>
      <c r="T411" s="6"/>
      <c r="U411" t="str">
        <f t="shared" si="6"/>
        <v/>
      </c>
    </row>
    <row r="412" spans="3:21" customFormat="1" hidden="1">
      <c r="C412" s="6"/>
      <c r="D412" s="6"/>
      <c r="E412" s="98"/>
      <c r="F412" s="3"/>
      <c r="G412" s="6"/>
      <c r="H412" s="3"/>
      <c r="I412" s="6"/>
      <c r="J412" s="6"/>
      <c r="K412" s="6"/>
      <c r="L412" s="6"/>
      <c r="M412" s="6"/>
      <c r="N412" s="6"/>
      <c r="O412" s="3"/>
      <c r="P412" s="6"/>
      <c r="Q412" s="6"/>
      <c r="R412" s="6"/>
      <c r="S412" s="6"/>
      <c r="T412" s="6"/>
      <c r="U412" t="str">
        <f t="shared" si="6"/>
        <v/>
      </c>
    </row>
    <row r="413" spans="3:21" customFormat="1" hidden="1">
      <c r="C413" s="6"/>
      <c r="D413" s="6"/>
      <c r="E413" s="98"/>
      <c r="F413" s="3"/>
      <c r="G413" s="6"/>
      <c r="H413" s="3"/>
      <c r="I413" s="6"/>
      <c r="J413" s="6"/>
      <c r="K413" s="6"/>
      <c r="L413" s="6"/>
      <c r="M413" s="6"/>
      <c r="N413" s="6"/>
      <c r="O413" s="3"/>
      <c r="P413" s="6"/>
      <c r="Q413" s="6"/>
      <c r="R413" s="6"/>
      <c r="S413" s="6"/>
      <c r="T413" s="6"/>
      <c r="U413" t="str">
        <f t="shared" si="6"/>
        <v/>
      </c>
    </row>
    <row r="414" spans="3:21" customFormat="1" hidden="1">
      <c r="C414" s="6"/>
      <c r="D414" s="6"/>
      <c r="E414" s="98"/>
      <c r="F414" s="3"/>
      <c r="G414" s="6"/>
      <c r="H414" s="3"/>
      <c r="I414" s="6"/>
      <c r="J414" s="6"/>
      <c r="K414" s="6"/>
      <c r="L414" s="6"/>
      <c r="M414" s="6"/>
      <c r="N414" s="6"/>
      <c r="O414" s="3"/>
      <c r="P414" s="6"/>
      <c r="Q414" s="6"/>
      <c r="R414" s="6"/>
      <c r="S414" s="6"/>
      <c r="T414" s="6"/>
      <c r="U414" t="str">
        <f t="shared" si="6"/>
        <v/>
      </c>
    </row>
    <row r="415" spans="3:21" customFormat="1" hidden="1">
      <c r="C415" s="6"/>
      <c r="D415" s="6"/>
      <c r="E415" s="98"/>
      <c r="F415" s="3"/>
      <c r="G415" s="6"/>
      <c r="H415" s="3"/>
      <c r="I415" s="6"/>
      <c r="J415" s="6"/>
      <c r="K415" s="6"/>
      <c r="L415" s="6"/>
      <c r="M415" s="6"/>
      <c r="N415" s="6"/>
      <c r="O415" s="3"/>
      <c r="P415" s="6"/>
      <c r="Q415" s="6"/>
      <c r="R415" s="6"/>
      <c r="S415" s="6"/>
      <c r="T415" s="6"/>
      <c r="U415" t="str">
        <f t="shared" si="6"/>
        <v/>
      </c>
    </row>
    <row r="416" spans="3:21" customFormat="1" hidden="1">
      <c r="C416" s="6"/>
      <c r="D416" s="6"/>
      <c r="E416" s="98"/>
      <c r="F416" s="3"/>
      <c r="G416" s="6"/>
      <c r="H416" s="3"/>
      <c r="I416" s="6"/>
      <c r="J416" s="6"/>
      <c r="K416" s="6"/>
      <c r="L416" s="6"/>
      <c r="M416" s="6"/>
      <c r="N416" s="6"/>
      <c r="O416" s="3"/>
      <c r="P416" s="6"/>
      <c r="Q416" s="6"/>
      <c r="R416" s="6"/>
      <c r="S416" s="6"/>
      <c r="T416" s="6"/>
      <c r="U416" t="str">
        <f t="shared" si="6"/>
        <v/>
      </c>
    </row>
    <row r="417" spans="3:21" customFormat="1" hidden="1">
      <c r="C417" s="6"/>
      <c r="D417" s="6"/>
      <c r="E417" s="98"/>
      <c r="F417" s="3"/>
      <c r="G417" s="6"/>
      <c r="H417" s="3"/>
      <c r="I417" s="6"/>
      <c r="J417" s="6"/>
      <c r="K417" s="6"/>
      <c r="L417" s="6"/>
      <c r="M417" s="6"/>
      <c r="N417" s="6"/>
      <c r="O417" s="3"/>
      <c r="P417" s="6"/>
      <c r="Q417" s="6"/>
      <c r="R417" s="6"/>
      <c r="S417" s="6"/>
      <c r="T417" s="6"/>
      <c r="U417" t="str">
        <f t="shared" si="6"/>
        <v/>
      </c>
    </row>
    <row r="418" spans="3:21" customFormat="1" hidden="1">
      <c r="C418" s="6"/>
      <c r="D418" s="6"/>
      <c r="E418" s="98"/>
      <c r="F418" s="3"/>
      <c r="G418" s="6"/>
      <c r="H418" s="3"/>
      <c r="I418" s="6"/>
      <c r="J418" s="6"/>
      <c r="K418" s="6"/>
      <c r="L418" s="6"/>
      <c r="M418" s="6"/>
      <c r="N418" s="6"/>
      <c r="O418" s="3"/>
      <c r="P418" s="6"/>
      <c r="Q418" s="6"/>
      <c r="R418" s="6"/>
      <c r="S418" s="6"/>
      <c r="T418" s="6"/>
      <c r="U418" t="str">
        <f t="shared" si="6"/>
        <v/>
      </c>
    </row>
    <row r="419" spans="3:21" customFormat="1" hidden="1">
      <c r="C419" s="6"/>
      <c r="D419" s="6"/>
      <c r="E419" s="98"/>
      <c r="F419" s="3"/>
      <c r="G419" s="6"/>
      <c r="H419" s="3"/>
      <c r="I419" s="6"/>
      <c r="J419" s="6"/>
      <c r="K419" s="6"/>
      <c r="L419" s="6"/>
      <c r="M419" s="6"/>
      <c r="N419" s="6"/>
      <c r="O419" s="3"/>
      <c r="P419" s="6"/>
      <c r="Q419" s="6"/>
      <c r="R419" s="6"/>
      <c r="S419" s="6"/>
      <c r="T419" s="6"/>
      <c r="U419" t="str">
        <f t="shared" si="6"/>
        <v/>
      </c>
    </row>
    <row r="420" spans="3:21" customFormat="1" hidden="1">
      <c r="C420" s="6"/>
      <c r="D420" s="6"/>
      <c r="E420" s="98"/>
      <c r="F420" s="3"/>
      <c r="G420" s="6"/>
      <c r="H420" s="3"/>
      <c r="I420" s="6"/>
      <c r="J420" s="6"/>
      <c r="K420" s="6"/>
      <c r="L420" s="6"/>
      <c r="M420" s="6"/>
      <c r="N420" s="6"/>
      <c r="O420" s="3"/>
      <c r="P420" s="6"/>
      <c r="Q420" s="6"/>
      <c r="R420" s="6"/>
      <c r="S420" s="6"/>
      <c r="T420" s="6"/>
      <c r="U420" t="str">
        <f t="shared" si="6"/>
        <v/>
      </c>
    </row>
    <row r="421" spans="3:21" customFormat="1" hidden="1">
      <c r="C421" s="6"/>
      <c r="D421" s="6"/>
      <c r="E421" s="98"/>
      <c r="F421" s="3"/>
      <c r="G421" s="6"/>
      <c r="H421" s="3"/>
      <c r="I421" s="6"/>
      <c r="J421" s="6"/>
      <c r="K421" s="6"/>
      <c r="L421" s="6"/>
      <c r="M421" s="6"/>
      <c r="N421" s="6"/>
      <c r="O421" s="3"/>
      <c r="P421" s="6"/>
      <c r="Q421" s="6"/>
      <c r="R421" s="6"/>
      <c r="S421" s="6"/>
      <c r="T421" s="6"/>
      <c r="U421" t="str">
        <f t="shared" si="6"/>
        <v/>
      </c>
    </row>
    <row r="422" spans="3:21" customFormat="1" hidden="1">
      <c r="C422" s="6"/>
      <c r="D422" s="6"/>
      <c r="E422" s="98"/>
      <c r="F422" s="3"/>
      <c r="G422" s="6"/>
      <c r="H422" s="3"/>
      <c r="I422" s="6"/>
      <c r="J422" s="6"/>
      <c r="K422" s="6"/>
      <c r="L422" s="6"/>
      <c r="M422" s="6"/>
      <c r="N422" s="6"/>
      <c r="O422" s="3"/>
      <c r="P422" s="6"/>
      <c r="Q422" s="6"/>
      <c r="R422" s="6"/>
      <c r="S422" s="6"/>
      <c r="T422" s="6"/>
      <c r="U422" t="str">
        <f t="shared" si="6"/>
        <v/>
      </c>
    </row>
    <row r="423" spans="3:21" customFormat="1" hidden="1">
      <c r="C423" s="6"/>
      <c r="D423" s="6"/>
      <c r="E423" s="98"/>
      <c r="F423" s="3"/>
      <c r="G423" s="6"/>
      <c r="H423" s="3"/>
      <c r="I423" s="6"/>
      <c r="J423" s="6"/>
      <c r="K423" s="6"/>
      <c r="L423" s="6"/>
      <c r="M423" s="6"/>
      <c r="N423" s="6"/>
      <c r="O423" s="3"/>
      <c r="P423" s="6"/>
      <c r="Q423" s="6"/>
      <c r="R423" s="6"/>
      <c r="S423" s="6"/>
      <c r="T423" s="6"/>
      <c r="U423" t="str">
        <f t="shared" si="6"/>
        <v/>
      </c>
    </row>
    <row r="424" spans="3:21" customFormat="1" hidden="1">
      <c r="C424" s="6"/>
      <c r="D424" s="6"/>
      <c r="E424" s="98"/>
      <c r="F424" s="3"/>
      <c r="G424" s="6"/>
      <c r="H424" s="3"/>
      <c r="I424" s="6"/>
      <c r="J424" s="6"/>
      <c r="K424" s="6"/>
      <c r="L424" s="6"/>
      <c r="M424" s="6"/>
      <c r="N424" s="6"/>
      <c r="O424" s="3"/>
      <c r="P424" s="6"/>
      <c r="Q424" s="6"/>
      <c r="R424" s="6"/>
      <c r="S424" s="6"/>
      <c r="T424" s="6"/>
      <c r="U424" t="str">
        <f t="shared" si="6"/>
        <v/>
      </c>
    </row>
    <row r="425" spans="3:21" customFormat="1" hidden="1">
      <c r="C425" s="6"/>
      <c r="D425" s="6"/>
      <c r="E425" s="98"/>
      <c r="F425" s="3"/>
      <c r="G425" s="6"/>
      <c r="H425" s="3"/>
      <c r="I425" s="6"/>
      <c r="J425" s="6"/>
      <c r="K425" s="6"/>
      <c r="L425" s="6"/>
      <c r="M425" s="6"/>
      <c r="N425" s="6"/>
      <c r="O425" s="3"/>
      <c r="P425" s="6"/>
      <c r="Q425" s="6"/>
      <c r="R425" s="6"/>
      <c r="S425" s="6"/>
      <c r="T425" s="6"/>
      <c r="U425" t="str">
        <f t="shared" si="6"/>
        <v/>
      </c>
    </row>
    <row r="426" spans="3:21" customFormat="1" hidden="1">
      <c r="C426" s="6"/>
      <c r="D426" s="6"/>
      <c r="E426" s="98"/>
      <c r="F426" s="3"/>
      <c r="G426" s="6"/>
      <c r="H426" s="3"/>
      <c r="I426" s="6"/>
      <c r="J426" s="6"/>
      <c r="K426" s="6"/>
      <c r="L426" s="6"/>
      <c r="M426" s="6"/>
      <c r="N426" s="6"/>
      <c r="O426" s="3"/>
      <c r="P426" s="6"/>
      <c r="Q426" s="6"/>
      <c r="R426" s="6"/>
      <c r="S426" s="6"/>
      <c r="T426" s="6"/>
      <c r="U426" t="str">
        <f t="shared" si="6"/>
        <v/>
      </c>
    </row>
    <row r="427" spans="3:21" customFormat="1" hidden="1">
      <c r="C427" s="6"/>
      <c r="D427" s="6"/>
      <c r="E427" s="98"/>
      <c r="F427" s="3"/>
      <c r="G427" s="6"/>
      <c r="H427" s="3"/>
      <c r="I427" s="6"/>
      <c r="J427" s="6"/>
      <c r="K427" s="6"/>
      <c r="L427" s="6"/>
      <c r="M427" s="6"/>
      <c r="N427" s="6"/>
      <c r="O427" s="3"/>
      <c r="P427" s="6"/>
      <c r="Q427" s="6"/>
      <c r="R427" s="6"/>
      <c r="S427" s="6"/>
      <c r="T427" s="6"/>
      <c r="U427" t="str">
        <f t="shared" si="6"/>
        <v/>
      </c>
    </row>
    <row r="428" spans="3:21" customFormat="1" hidden="1">
      <c r="C428" s="6"/>
      <c r="D428" s="6"/>
      <c r="E428" s="98"/>
      <c r="F428" s="3"/>
      <c r="G428" s="6"/>
      <c r="H428" s="3"/>
      <c r="I428" s="6"/>
      <c r="J428" s="6"/>
      <c r="K428" s="6"/>
      <c r="L428" s="6"/>
      <c r="M428" s="6"/>
      <c r="N428" s="6"/>
      <c r="O428" s="3"/>
      <c r="P428" s="6"/>
      <c r="Q428" s="6"/>
      <c r="R428" s="6"/>
      <c r="S428" s="6"/>
      <c r="T428" s="6"/>
      <c r="U428" t="str">
        <f t="shared" si="6"/>
        <v/>
      </c>
    </row>
    <row r="429" spans="3:21" customFormat="1" hidden="1">
      <c r="C429" s="6"/>
      <c r="D429" s="6"/>
      <c r="E429" s="98"/>
      <c r="F429" s="3"/>
      <c r="G429" s="6"/>
      <c r="H429" s="3"/>
      <c r="I429" s="6"/>
      <c r="J429" s="6"/>
      <c r="K429" s="6"/>
      <c r="L429" s="6"/>
      <c r="M429" s="6"/>
      <c r="N429" s="6"/>
      <c r="O429" s="3"/>
      <c r="P429" s="6"/>
      <c r="Q429" s="6"/>
      <c r="R429" s="6"/>
      <c r="S429" s="6"/>
      <c r="T429" s="6"/>
      <c r="U429" t="str">
        <f t="shared" si="6"/>
        <v/>
      </c>
    </row>
    <row r="430" spans="3:21" customFormat="1" hidden="1">
      <c r="C430" s="6"/>
      <c r="D430" s="6"/>
      <c r="E430" s="98"/>
      <c r="F430" s="3"/>
      <c r="G430" s="6"/>
      <c r="H430" s="3"/>
      <c r="I430" s="6"/>
      <c r="J430" s="6"/>
      <c r="K430" s="6"/>
      <c r="L430" s="6"/>
      <c r="M430" s="6"/>
      <c r="N430" s="6"/>
      <c r="O430" s="3"/>
      <c r="P430" s="6"/>
      <c r="Q430" s="6"/>
      <c r="R430" s="6"/>
      <c r="S430" s="6"/>
      <c r="T430" s="6"/>
      <c r="U430" t="str">
        <f t="shared" si="6"/>
        <v/>
      </c>
    </row>
    <row r="431" spans="3:21" customFormat="1" hidden="1">
      <c r="C431" s="6"/>
      <c r="D431" s="6"/>
      <c r="E431" s="98"/>
      <c r="F431" s="3"/>
      <c r="G431" s="6"/>
      <c r="H431" s="3"/>
      <c r="I431" s="6"/>
      <c r="J431" s="6"/>
      <c r="K431" s="6"/>
      <c r="L431" s="6"/>
      <c r="M431" s="6"/>
      <c r="N431" s="6"/>
      <c r="O431" s="3"/>
      <c r="P431" s="6"/>
      <c r="Q431" s="6"/>
      <c r="R431" s="6"/>
      <c r="S431" s="6"/>
      <c r="T431" s="6"/>
      <c r="U431" t="str">
        <f t="shared" si="6"/>
        <v/>
      </c>
    </row>
    <row r="432" spans="3:21" customFormat="1" hidden="1">
      <c r="C432" s="6"/>
      <c r="D432" s="6"/>
      <c r="E432" s="98"/>
      <c r="F432" s="3"/>
      <c r="G432" s="6"/>
      <c r="H432" s="3"/>
      <c r="I432" s="6"/>
      <c r="J432" s="6"/>
      <c r="K432" s="6"/>
      <c r="L432" s="6"/>
      <c r="M432" s="6"/>
      <c r="N432" s="6"/>
      <c r="O432" s="3"/>
      <c r="P432" s="6"/>
      <c r="Q432" s="6"/>
      <c r="R432" s="6"/>
      <c r="S432" s="6"/>
      <c r="T432" s="6"/>
      <c r="U432" t="str">
        <f t="shared" si="6"/>
        <v/>
      </c>
    </row>
    <row r="433" spans="3:21" customFormat="1" hidden="1">
      <c r="C433" s="6"/>
      <c r="D433" s="6"/>
      <c r="E433" s="98"/>
      <c r="F433" s="3"/>
      <c r="G433" s="6"/>
      <c r="H433" s="3"/>
      <c r="I433" s="6"/>
      <c r="J433" s="6"/>
      <c r="K433" s="6"/>
      <c r="L433" s="6"/>
      <c r="M433" s="6"/>
      <c r="N433" s="6"/>
      <c r="O433" s="3"/>
      <c r="P433" s="6"/>
      <c r="Q433" s="6"/>
      <c r="R433" s="6"/>
      <c r="S433" s="6"/>
      <c r="T433" s="6"/>
      <c r="U433" t="str">
        <f t="shared" si="6"/>
        <v/>
      </c>
    </row>
    <row r="434" spans="3:21" customFormat="1" hidden="1">
      <c r="C434" s="6"/>
      <c r="D434" s="6"/>
      <c r="E434" s="98"/>
      <c r="F434" s="3"/>
      <c r="G434" s="6"/>
      <c r="H434" s="3"/>
      <c r="I434" s="6"/>
      <c r="J434" s="6"/>
      <c r="K434" s="6"/>
      <c r="L434" s="6"/>
      <c r="M434" s="6"/>
      <c r="N434" s="6"/>
      <c r="O434" s="3"/>
      <c r="P434" s="6"/>
      <c r="Q434" s="6"/>
      <c r="R434" s="6"/>
      <c r="S434" s="6"/>
      <c r="T434" s="6"/>
      <c r="U434" t="str">
        <f t="shared" si="6"/>
        <v/>
      </c>
    </row>
    <row r="435" spans="3:21" customFormat="1" hidden="1">
      <c r="C435" s="6"/>
      <c r="D435" s="6"/>
      <c r="E435" s="98"/>
      <c r="F435" s="3"/>
      <c r="G435" s="6"/>
      <c r="H435" s="3"/>
      <c r="I435" s="6"/>
      <c r="J435" s="6"/>
      <c r="K435" s="6"/>
      <c r="L435" s="6"/>
      <c r="M435" s="6"/>
      <c r="N435" s="6"/>
      <c r="O435" s="3"/>
      <c r="P435" s="6"/>
      <c r="Q435" s="6"/>
      <c r="R435" s="6"/>
      <c r="S435" s="6"/>
      <c r="T435" s="6"/>
      <c r="U435" t="str">
        <f t="shared" si="6"/>
        <v/>
      </c>
    </row>
    <row r="436" spans="3:21" customFormat="1" hidden="1">
      <c r="C436" s="6"/>
      <c r="D436" s="6"/>
      <c r="E436" s="98"/>
      <c r="F436" s="3"/>
      <c r="G436" s="6"/>
      <c r="H436" s="3"/>
      <c r="I436" s="6"/>
      <c r="J436" s="6"/>
      <c r="K436" s="6"/>
      <c r="L436" s="6"/>
      <c r="M436" s="6"/>
      <c r="N436" s="6"/>
      <c r="O436" s="3"/>
      <c r="P436" s="6"/>
      <c r="Q436" s="6"/>
      <c r="R436" s="6"/>
      <c r="S436" s="6"/>
      <c r="T436" s="6"/>
      <c r="U436" t="str">
        <f t="shared" si="6"/>
        <v/>
      </c>
    </row>
    <row r="437" spans="3:21" customFormat="1" hidden="1">
      <c r="C437" s="6"/>
      <c r="D437" s="6"/>
      <c r="E437" s="98"/>
      <c r="F437" s="3"/>
      <c r="G437" s="6"/>
      <c r="H437" s="3"/>
      <c r="I437" s="6"/>
      <c r="J437" s="6"/>
      <c r="K437" s="6"/>
      <c r="L437" s="6"/>
      <c r="M437" s="6"/>
      <c r="N437" s="6"/>
      <c r="O437" s="3"/>
      <c r="P437" s="6"/>
      <c r="Q437" s="6"/>
      <c r="R437" s="6"/>
      <c r="S437" s="6"/>
      <c r="T437" s="6"/>
      <c r="U437" t="str">
        <f t="shared" si="6"/>
        <v/>
      </c>
    </row>
    <row r="438" spans="3:21" customFormat="1" hidden="1">
      <c r="C438" s="6"/>
      <c r="D438" s="6"/>
      <c r="E438" s="98"/>
      <c r="F438" s="3"/>
      <c r="G438" s="6"/>
      <c r="H438" s="3"/>
      <c r="I438" s="6"/>
      <c r="J438" s="6"/>
      <c r="K438" s="6"/>
      <c r="L438" s="6"/>
      <c r="M438" s="6"/>
      <c r="N438" s="6"/>
      <c r="O438" s="3"/>
      <c r="P438" s="6"/>
      <c r="Q438" s="6"/>
      <c r="R438" s="6"/>
      <c r="S438" s="6"/>
      <c r="T438" s="6"/>
      <c r="U438" t="str">
        <f t="shared" si="6"/>
        <v/>
      </c>
    </row>
    <row r="439" spans="3:21" customFormat="1" hidden="1">
      <c r="C439" s="6"/>
      <c r="D439" s="6"/>
      <c r="E439" s="98"/>
      <c r="F439" s="3"/>
      <c r="G439" s="6"/>
      <c r="H439" s="3"/>
      <c r="I439" s="6"/>
      <c r="J439" s="6"/>
      <c r="K439" s="6"/>
      <c r="L439" s="6"/>
      <c r="M439" s="6"/>
      <c r="N439" s="6"/>
      <c r="O439" s="3"/>
      <c r="P439" s="6"/>
      <c r="Q439" s="6"/>
      <c r="R439" s="6"/>
      <c r="S439" s="6"/>
      <c r="T439" s="6"/>
      <c r="U439" t="str">
        <f t="shared" si="6"/>
        <v/>
      </c>
    </row>
    <row r="440" spans="3:21" customFormat="1" hidden="1">
      <c r="C440" s="6"/>
      <c r="D440" s="6"/>
      <c r="E440" s="98"/>
      <c r="F440" s="3"/>
      <c r="G440" s="6"/>
      <c r="H440" s="3"/>
      <c r="I440" s="6"/>
      <c r="J440" s="6"/>
      <c r="K440" s="6"/>
      <c r="L440" s="6"/>
      <c r="M440" s="6"/>
      <c r="N440" s="6"/>
      <c r="O440" s="3"/>
      <c r="P440" s="6"/>
      <c r="Q440" s="6"/>
      <c r="R440" s="6"/>
      <c r="S440" s="6"/>
      <c r="T440" s="6"/>
      <c r="U440" t="str">
        <f t="shared" si="6"/>
        <v/>
      </c>
    </row>
    <row r="441" spans="3:21" customFormat="1" hidden="1">
      <c r="C441" s="6"/>
      <c r="D441" s="6"/>
      <c r="E441" s="98"/>
      <c r="F441" s="3"/>
      <c r="G441" s="6"/>
      <c r="H441" s="3"/>
      <c r="I441" s="6"/>
      <c r="J441" s="6"/>
      <c r="K441" s="6"/>
      <c r="L441" s="6"/>
      <c r="M441" s="6"/>
      <c r="N441" s="6"/>
      <c r="O441" s="3"/>
      <c r="P441" s="6"/>
      <c r="Q441" s="6"/>
      <c r="R441" s="6"/>
      <c r="S441" s="6"/>
      <c r="T441" s="6"/>
      <c r="U441" t="str">
        <f t="shared" si="6"/>
        <v/>
      </c>
    </row>
    <row r="442" spans="3:21" customFormat="1" hidden="1">
      <c r="C442" s="6"/>
      <c r="D442" s="6"/>
      <c r="E442" s="98"/>
      <c r="F442" s="3"/>
      <c r="G442" s="6"/>
      <c r="H442" s="3"/>
      <c r="I442" s="6"/>
      <c r="J442" s="6"/>
      <c r="K442" s="6"/>
      <c r="L442" s="6"/>
      <c r="M442" s="6"/>
      <c r="N442" s="6"/>
      <c r="O442" s="3"/>
      <c r="P442" s="6"/>
      <c r="Q442" s="6"/>
      <c r="R442" s="6"/>
      <c r="S442" s="6"/>
      <c r="T442" s="6"/>
      <c r="U442" t="str">
        <f t="shared" si="6"/>
        <v/>
      </c>
    </row>
    <row r="443" spans="3:21" customFormat="1" hidden="1">
      <c r="C443" s="6"/>
      <c r="D443" s="6"/>
      <c r="E443" s="98"/>
      <c r="F443" s="3"/>
      <c r="G443" s="6"/>
      <c r="H443" s="3"/>
      <c r="I443" s="6"/>
      <c r="J443" s="6"/>
      <c r="K443" s="6"/>
      <c r="L443" s="6"/>
      <c r="M443" s="6"/>
      <c r="N443" s="6"/>
      <c r="O443" s="3"/>
      <c r="P443" s="6"/>
      <c r="Q443" s="6"/>
      <c r="R443" s="6"/>
      <c r="S443" s="6"/>
      <c r="T443" s="6"/>
      <c r="U443" t="str">
        <f t="shared" si="6"/>
        <v/>
      </c>
    </row>
    <row r="444" spans="3:21" customFormat="1" hidden="1">
      <c r="C444" s="6"/>
      <c r="D444" s="6"/>
      <c r="E444" s="98"/>
      <c r="F444" s="3"/>
      <c r="G444" s="6"/>
      <c r="H444" s="3"/>
      <c r="I444" s="6"/>
      <c r="J444" s="6"/>
      <c r="K444" s="6"/>
      <c r="L444" s="6"/>
      <c r="M444" s="6"/>
      <c r="N444" s="6"/>
      <c r="O444" s="3"/>
      <c r="P444" s="6"/>
      <c r="Q444" s="6"/>
      <c r="R444" s="6"/>
      <c r="S444" s="6"/>
      <c r="T444" s="6"/>
      <c r="U444" t="str">
        <f t="shared" si="6"/>
        <v/>
      </c>
    </row>
    <row r="445" spans="3:21" customFormat="1" hidden="1">
      <c r="C445" s="6"/>
      <c r="D445" s="6"/>
      <c r="E445" s="98"/>
      <c r="F445" s="3"/>
      <c r="G445" s="6"/>
      <c r="H445" s="3"/>
      <c r="I445" s="6"/>
      <c r="J445" s="6"/>
      <c r="K445" s="6"/>
      <c r="L445" s="6"/>
      <c r="M445" s="6"/>
      <c r="N445" s="6"/>
      <c r="O445" s="3"/>
      <c r="P445" s="6"/>
      <c r="Q445" s="6"/>
      <c r="R445" s="6"/>
      <c r="S445" s="6"/>
      <c r="T445" s="6"/>
      <c r="U445" t="str">
        <f t="shared" si="6"/>
        <v/>
      </c>
    </row>
    <row r="446" spans="3:21" customFormat="1" hidden="1">
      <c r="C446" s="6"/>
      <c r="D446" s="6"/>
      <c r="E446" s="98"/>
      <c r="F446" s="3"/>
      <c r="G446" s="6"/>
      <c r="H446" s="3"/>
      <c r="I446" s="6"/>
      <c r="J446" s="6"/>
      <c r="K446" s="6"/>
      <c r="L446" s="6"/>
      <c r="M446" s="6"/>
      <c r="N446" s="6"/>
      <c r="O446" s="3"/>
      <c r="P446" s="6"/>
      <c r="Q446" s="6"/>
      <c r="R446" s="6"/>
      <c r="S446" s="6"/>
      <c r="T446" s="6"/>
      <c r="U446" t="str">
        <f t="shared" si="6"/>
        <v/>
      </c>
    </row>
    <row r="447" spans="3:21" customFormat="1" hidden="1">
      <c r="C447" s="6"/>
      <c r="D447" s="6"/>
      <c r="E447" s="98"/>
      <c r="F447" s="3"/>
      <c r="G447" s="6"/>
      <c r="H447" s="3"/>
      <c r="I447" s="6"/>
      <c r="J447" s="6"/>
      <c r="K447" s="6"/>
      <c r="L447" s="6"/>
      <c r="M447" s="6"/>
      <c r="N447" s="6"/>
      <c r="O447" s="3"/>
      <c r="P447" s="6"/>
      <c r="Q447" s="6"/>
      <c r="R447" s="6"/>
      <c r="S447" s="6"/>
      <c r="T447" s="6"/>
      <c r="U447" t="str">
        <f t="shared" si="6"/>
        <v/>
      </c>
    </row>
    <row r="448" spans="3:21" customFormat="1" hidden="1">
      <c r="C448" s="6"/>
      <c r="D448" s="6"/>
      <c r="E448" s="98"/>
      <c r="F448" s="3"/>
      <c r="G448" s="6"/>
      <c r="H448" s="3"/>
      <c r="I448" s="6"/>
      <c r="J448" s="6"/>
      <c r="K448" s="6"/>
      <c r="L448" s="6"/>
      <c r="M448" s="6"/>
      <c r="N448" s="6"/>
      <c r="O448" s="3"/>
      <c r="P448" s="6"/>
      <c r="Q448" s="6"/>
      <c r="R448" s="6"/>
      <c r="S448" s="6"/>
      <c r="T448" s="6"/>
      <c r="U448" t="str">
        <f t="shared" si="6"/>
        <v/>
      </c>
    </row>
    <row r="449" spans="3:21" customFormat="1" hidden="1">
      <c r="C449" s="6"/>
      <c r="D449" s="6"/>
      <c r="E449" s="98"/>
      <c r="F449" s="3"/>
      <c r="G449" s="6"/>
      <c r="H449" s="3"/>
      <c r="I449" s="6"/>
      <c r="J449" s="6"/>
      <c r="K449" s="6"/>
      <c r="L449" s="6"/>
      <c r="M449" s="6"/>
      <c r="N449" s="6"/>
      <c r="O449" s="3"/>
      <c r="P449" s="6"/>
      <c r="Q449" s="6"/>
      <c r="R449" s="6"/>
      <c r="S449" s="6"/>
      <c r="T449" s="6"/>
      <c r="U449" t="str">
        <f t="shared" si="6"/>
        <v/>
      </c>
    </row>
    <row r="450" spans="3:21" customFormat="1" hidden="1">
      <c r="C450" s="6"/>
      <c r="D450" s="6"/>
      <c r="E450" s="98"/>
      <c r="F450" s="3"/>
      <c r="G450" s="6"/>
      <c r="H450" s="3"/>
      <c r="I450" s="6"/>
      <c r="J450" s="6"/>
      <c r="K450" s="6"/>
      <c r="L450" s="6"/>
      <c r="M450" s="6"/>
      <c r="N450" s="6"/>
      <c r="O450" s="3"/>
      <c r="P450" s="6"/>
      <c r="Q450" s="6"/>
      <c r="R450" s="6"/>
      <c r="S450" s="6"/>
      <c r="T450" s="6"/>
      <c r="U450" t="str">
        <f t="shared" si="6"/>
        <v/>
      </c>
    </row>
    <row r="451" spans="3:21" customFormat="1" hidden="1">
      <c r="C451" s="6"/>
      <c r="D451" s="6"/>
      <c r="E451" s="98"/>
      <c r="F451" s="3"/>
      <c r="G451" s="6"/>
      <c r="H451" s="3"/>
      <c r="I451" s="6"/>
      <c r="J451" s="6"/>
      <c r="K451" s="6"/>
      <c r="L451" s="6"/>
      <c r="M451" s="6"/>
      <c r="N451" s="6"/>
      <c r="O451" s="3"/>
      <c r="P451" s="6"/>
      <c r="Q451" s="6"/>
      <c r="R451" s="6"/>
      <c r="S451" s="6"/>
      <c r="T451" s="6"/>
      <c r="U451" t="str">
        <f t="shared" si="6"/>
        <v/>
      </c>
    </row>
    <row r="452" spans="3:21" customFormat="1" hidden="1">
      <c r="C452" s="6"/>
      <c r="D452" s="6"/>
      <c r="E452" s="98"/>
      <c r="F452" s="3"/>
      <c r="G452" s="6"/>
      <c r="H452" s="3"/>
      <c r="I452" s="6"/>
      <c r="J452" s="6"/>
      <c r="K452" s="6"/>
      <c r="L452" s="6"/>
      <c r="M452" s="6"/>
      <c r="N452" s="6"/>
      <c r="O452" s="3"/>
      <c r="P452" s="6"/>
      <c r="Q452" s="6"/>
      <c r="R452" s="6"/>
      <c r="S452" s="6"/>
      <c r="T452" s="6"/>
      <c r="U452" t="str">
        <f t="shared" si="6"/>
        <v/>
      </c>
    </row>
    <row r="453" spans="3:21" customFormat="1" hidden="1">
      <c r="C453" s="6"/>
      <c r="D453" s="6"/>
      <c r="E453" s="98"/>
      <c r="F453" s="3"/>
      <c r="G453" s="6"/>
      <c r="H453" s="3"/>
      <c r="I453" s="6"/>
      <c r="J453" s="6"/>
      <c r="K453" s="6"/>
      <c r="L453" s="6"/>
      <c r="M453" s="6"/>
      <c r="N453" s="6"/>
      <c r="O453" s="3"/>
      <c r="P453" s="6"/>
      <c r="Q453" s="6"/>
      <c r="R453" s="6"/>
      <c r="S453" s="6"/>
      <c r="T453" s="6"/>
      <c r="U453" t="str">
        <f t="shared" si="6"/>
        <v/>
      </c>
    </row>
    <row r="454" spans="3:21" customFormat="1" hidden="1">
      <c r="C454" s="6"/>
      <c r="D454" s="6"/>
      <c r="E454" s="98"/>
      <c r="F454" s="3"/>
      <c r="G454" s="6"/>
      <c r="H454" s="3"/>
      <c r="I454" s="6"/>
      <c r="J454" s="6"/>
      <c r="K454" s="6"/>
      <c r="L454" s="6"/>
      <c r="M454" s="6"/>
      <c r="N454" s="6"/>
      <c r="O454" s="3"/>
      <c r="P454" s="6"/>
      <c r="Q454" s="6"/>
      <c r="R454" s="6"/>
      <c r="S454" s="6"/>
      <c r="T454" s="6"/>
      <c r="U454" t="str">
        <f t="shared" si="6"/>
        <v/>
      </c>
    </row>
    <row r="455" spans="3:21" customFormat="1" hidden="1">
      <c r="C455" s="6"/>
      <c r="D455" s="6"/>
      <c r="E455" s="98"/>
      <c r="F455" s="3"/>
      <c r="G455" s="6"/>
      <c r="H455" s="3"/>
      <c r="I455" s="6"/>
      <c r="J455" s="6"/>
      <c r="K455" s="6"/>
      <c r="L455" s="6"/>
      <c r="M455" s="6"/>
      <c r="N455" s="6"/>
      <c r="O455" s="3"/>
      <c r="P455" s="6"/>
      <c r="Q455" s="6"/>
      <c r="R455" s="6"/>
      <c r="S455" s="6"/>
      <c r="T455" s="6"/>
      <c r="U455" t="str">
        <f t="shared" ref="U455:U518" si="7">IF(D455="","","x")</f>
        <v/>
      </c>
    </row>
    <row r="456" spans="3:21" customFormat="1" hidden="1">
      <c r="C456" s="6"/>
      <c r="D456" s="6"/>
      <c r="E456" s="98"/>
      <c r="F456" s="3"/>
      <c r="G456" s="6"/>
      <c r="H456" s="3"/>
      <c r="I456" s="6"/>
      <c r="J456" s="6"/>
      <c r="K456" s="6"/>
      <c r="L456" s="6"/>
      <c r="M456" s="6"/>
      <c r="N456" s="6"/>
      <c r="O456" s="3"/>
      <c r="P456" s="6"/>
      <c r="Q456" s="6"/>
      <c r="R456" s="6"/>
      <c r="S456" s="6"/>
      <c r="T456" s="6"/>
      <c r="U456" t="str">
        <f t="shared" si="7"/>
        <v/>
      </c>
    </row>
    <row r="457" spans="3:21" customFormat="1" hidden="1">
      <c r="C457" s="6"/>
      <c r="D457" s="6"/>
      <c r="E457" s="98"/>
      <c r="F457" s="3"/>
      <c r="G457" s="6"/>
      <c r="H457" s="3"/>
      <c r="I457" s="6"/>
      <c r="J457" s="6"/>
      <c r="K457" s="6"/>
      <c r="L457" s="6"/>
      <c r="M457" s="6"/>
      <c r="N457" s="6"/>
      <c r="O457" s="3"/>
      <c r="P457" s="6"/>
      <c r="Q457" s="6"/>
      <c r="R457" s="6"/>
      <c r="S457" s="6"/>
      <c r="T457" s="6"/>
      <c r="U457" t="str">
        <f t="shared" si="7"/>
        <v/>
      </c>
    </row>
    <row r="458" spans="3:21" customFormat="1" hidden="1">
      <c r="C458" s="6"/>
      <c r="D458" s="6"/>
      <c r="E458" s="98"/>
      <c r="F458" s="3"/>
      <c r="G458" s="6"/>
      <c r="H458" s="3"/>
      <c r="I458" s="6"/>
      <c r="J458" s="6"/>
      <c r="K458" s="6"/>
      <c r="L458" s="6"/>
      <c r="M458" s="6"/>
      <c r="N458" s="6"/>
      <c r="O458" s="3"/>
      <c r="P458" s="6"/>
      <c r="Q458" s="6"/>
      <c r="R458" s="6"/>
      <c r="S458" s="6"/>
      <c r="T458" s="6"/>
      <c r="U458" t="str">
        <f t="shared" si="7"/>
        <v/>
      </c>
    </row>
    <row r="459" spans="3:21" customFormat="1" hidden="1">
      <c r="C459" s="6"/>
      <c r="D459" s="6"/>
      <c r="E459" s="98"/>
      <c r="F459" s="3"/>
      <c r="G459" s="6"/>
      <c r="H459" s="3"/>
      <c r="I459" s="6"/>
      <c r="J459" s="6"/>
      <c r="K459" s="6"/>
      <c r="L459" s="6"/>
      <c r="M459" s="6"/>
      <c r="N459" s="6"/>
      <c r="O459" s="3"/>
      <c r="P459" s="6"/>
      <c r="Q459" s="6"/>
      <c r="R459" s="6"/>
      <c r="S459" s="6"/>
      <c r="T459" s="6"/>
      <c r="U459" t="str">
        <f t="shared" si="7"/>
        <v/>
      </c>
    </row>
    <row r="460" spans="3:21" customFormat="1" hidden="1">
      <c r="C460" s="6"/>
      <c r="D460" s="6"/>
      <c r="E460" s="98"/>
      <c r="F460" s="3"/>
      <c r="G460" s="6"/>
      <c r="H460" s="3"/>
      <c r="I460" s="6"/>
      <c r="J460" s="6"/>
      <c r="K460" s="6"/>
      <c r="L460" s="6"/>
      <c r="M460" s="6"/>
      <c r="N460" s="6"/>
      <c r="O460" s="3"/>
      <c r="P460" s="6"/>
      <c r="Q460" s="6"/>
      <c r="R460" s="6"/>
      <c r="S460" s="6"/>
      <c r="T460" s="6"/>
      <c r="U460" t="str">
        <f t="shared" si="7"/>
        <v/>
      </c>
    </row>
    <row r="461" spans="3:21" customFormat="1" hidden="1">
      <c r="C461" s="6"/>
      <c r="D461" s="6"/>
      <c r="E461" s="98"/>
      <c r="F461" s="3"/>
      <c r="G461" s="6"/>
      <c r="H461" s="3"/>
      <c r="I461" s="6"/>
      <c r="J461" s="6"/>
      <c r="K461" s="6"/>
      <c r="L461" s="6"/>
      <c r="M461" s="6"/>
      <c r="N461" s="6"/>
      <c r="O461" s="3"/>
      <c r="P461" s="6"/>
      <c r="Q461" s="6"/>
      <c r="R461" s="6"/>
      <c r="S461" s="6"/>
      <c r="T461" s="6"/>
      <c r="U461" t="str">
        <f t="shared" si="7"/>
        <v/>
      </c>
    </row>
    <row r="462" spans="3:21" customFormat="1" hidden="1">
      <c r="C462" s="6"/>
      <c r="D462" s="6"/>
      <c r="E462" s="98"/>
      <c r="F462" s="3"/>
      <c r="G462" s="6"/>
      <c r="H462" s="3"/>
      <c r="I462" s="6"/>
      <c r="J462" s="6"/>
      <c r="K462" s="6"/>
      <c r="L462" s="6"/>
      <c r="M462" s="6"/>
      <c r="N462" s="6"/>
      <c r="O462" s="3"/>
      <c r="P462" s="6"/>
      <c r="Q462" s="6"/>
      <c r="R462" s="6"/>
      <c r="S462" s="6"/>
      <c r="T462" s="6"/>
      <c r="U462" t="str">
        <f t="shared" si="7"/>
        <v/>
      </c>
    </row>
    <row r="463" spans="3:21" customFormat="1" hidden="1">
      <c r="C463" s="6"/>
      <c r="D463" s="6"/>
      <c r="E463" s="98"/>
      <c r="F463" s="3"/>
      <c r="G463" s="6"/>
      <c r="H463" s="3"/>
      <c r="I463" s="6"/>
      <c r="J463" s="6"/>
      <c r="K463" s="6"/>
      <c r="L463" s="6"/>
      <c r="M463" s="6"/>
      <c r="N463" s="6"/>
      <c r="O463" s="3"/>
      <c r="P463" s="6"/>
      <c r="Q463" s="6"/>
      <c r="R463" s="6"/>
      <c r="S463" s="6"/>
      <c r="T463" s="6"/>
      <c r="U463" t="str">
        <f t="shared" si="7"/>
        <v/>
      </c>
    </row>
    <row r="464" spans="3:21" customFormat="1" hidden="1">
      <c r="C464" s="6"/>
      <c r="D464" s="6"/>
      <c r="E464" s="98"/>
      <c r="F464" s="3"/>
      <c r="G464" s="6"/>
      <c r="H464" s="3"/>
      <c r="I464" s="6"/>
      <c r="J464" s="6"/>
      <c r="K464" s="6"/>
      <c r="L464" s="6"/>
      <c r="M464" s="6"/>
      <c r="N464" s="6"/>
      <c r="O464" s="3"/>
      <c r="P464" s="6"/>
      <c r="Q464" s="6"/>
      <c r="R464" s="6"/>
      <c r="S464" s="6"/>
      <c r="T464" s="6"/>
      <c r="U464" t="str">
        <f t="shared" si="7"/>
        <v/>
      </c>
    </row>
    <row r="465" spans="3:21" customFormat="1" hidden="1">
      <c r="C465" s="6"/>
      <c r="D465" s="6"/>
      <c r="E465" s="98"/>
      <c r="F465" s="3"/>
      <c r="G465" s="6"/>
      <c r="H465" s="3"/>
      <c r="I465" s="6"/>
      <c r="J465" s="6"/>
      <c r="K465" s="6"/>
      <c r="L465" s="6"/>
      <c r="M465" s="6"/>
      <c r="N465" s="6"/>
      <c r="O465" s="3"/>
      <c r="P465" s="6"/>
      <c r="Q465" s="6"/>
      <c r="R465" s="6"/>
      <c r="S465" s="6"/>
      <c r="T465" s="6"/>
      <c r="U465" t="str">
        <f t="shared" si="7"/>
        <v/>
      </c>
    </row>
    <row r="466" spans="3:21" customFormat="1" hidden="1">
      <c r="C466" s="6"/>
      <c r="D466" s="6"/>
      <c r="E466" s="98"/>
      <c r="F466" s="3"/>
      <c r="G466" s="6"/>
      <c r="H466" s="3"/>
      <c r="I466" s="6"/>
      <c r="J466" s="6"/>
      <c r="K466" s="6"/>
      <c r="L466" s="6"/>
      <c r="M466" s="6"/>
      <c r="N466" s="6"/>
      <c r="O466" s="3"/>
      <c r="P466" s="6"/>
      <c r="Q466" s="6"/>
      <c r="R466" s="6"/>
      <c r="S466" s="6"/>
      <c r="T466" s="6"/>
      <c r="U466" t="str">
        <f t="shared" si="7"/>
        <v/>
      </c>
    </row>
    <row r="467" spans="3:21" customFormat="1" hidden="1">
      <c r="C467" s="6"/>
      <c r="D467" s="6"/>
      <c r="E467" s="98"/>
      <c r="F467" s="3"/>
      <c r="G467" s="6"/>
      <c r="H467" s="3"/>
      <c r="I467" s="6"/>
      <c r="J467" s="6"/>
      <c r="K467" s="6"/>
      <c r="L467" s="6"/>
      <c r="M467" s="6"/>
      <c r="N467" s="6"/>
      <c r="O467" s="3"/>
      <c r="P467" s="6"/>
      <c r="Q467" s="6"/>
      <c r="R467" s="6"/>
      <c r="S467" s="6"/>
      <c r="T467" s="6"/>
      <c r="U467" t="str">
        <f t="shared" si="7"/>
        <v/>
      </c>
    </row>
    <row r="468" spans="3:21" customFormat="1" hidden="1">
      <c r="C468" s="6"/>
      <c r="D468" s="6"/>
      <c r="E468" s="98"/>
      <c r="F468" s="3"/>
      <c r="G468" s="6"/>
      <c r="H468" s="3"/>
      <c r="I468" s="6"/>
      <c r="J468" s="6"/>
      <c r="K468" s="6"/>
      <c r="L468" s="6"/>
      <c r="M468" s="6"/>
      <c r="N468" s="6"/>
      <c r="O468" s="3"/>
      <c r="P468" s="6"/>
      <c r="Q468" s="6"/>
      <c r="R468" s="6"/>
      <c r="S468" s="6"/>
      <c r="T468" s="6"/>
      <c r="U468" t="str">
        <f t="shared" si="7"/>
        <v/>
      </c>
    </row>
    <row r="469" spans="3:21" customFormat="1" hidden="1">
      <c r="C469" s="6"/>
      <c r="D469" s="6"/>
      <c r="E469" s="98"/>
      <c r="F469" s="3"/>
      <c r="G469" s="6"/>
      <c r="H469" s="3"/>
      <c r="I469" s="6"/>
      <c r="J469" s="6"/>
      <c r="K469" s="6"/>
      <c r="L469" s="6"/>
      <c r="M469" s="6"/>
      <c r="N469" s="6"/>
      <c r="O469" s="3"/>
      <c r="P469" s="6"/>
      <c r="Q469" s="6"/>
      <c r="R469" s="6"/>
      <c r="S469" s="6"/>
      <c r="T469" s="6"/>
      <c r="U469" t="str">
        <f t="shared" si="7"/>
        <v/>
      </c>
    </row>
    <row r="470" spans="3:21" customFormat="1" hidden="1">
      <c r="C470" s="6"/>
      <c r="D470" s="6"/>
      <c r="E470" s="98"/>
      <c r="F470" s="3"/>
      <c r="G470" s="6"/>
      <c r="H470" s="3"/>
      <c r="I470" s="6"/>
      <c r="J470" s="6"/>
      <c r="K470" s="6"/>
      <c r="L470" s="6"/>
      <c r="M470" s="6"/>
      <c r="N470" s="6"/>
      <c r="O470" s="3"/>
      <c r="P470" s="6"/>
      <c r="Q470" s="6"/>
      <c r="R470" s="6"/>
      <c r="S470" s="6"/>
      <c r="T470" s="6"/>
      <c r="U470" t="str">
        <f t="shared" si="7"/>
        <v/>
      </c>
    </row>
    <row r="471" spans="3:21" customFormat="1" hidden="1">
      <c r="C471" s="6"/>
      <c r="D471" s="6"/>
      <c r="E471" s="98"/>
      <c r="F471" s="3"/>
      <c r="G471" s="6"/>
      <c r="H471" s="3"/>
      <c r="I471" s="6"/>
      <c r="J471" s="6"/>
      <c r="K471" s="6"/>
      <c r="L471" s="6"/>
      <c r="M471" s="6"/>
      <c r="N471" s="6"/>
      <c r="O471" s="3"/>
      <c r="P471" s="6"/>
      <c r="Q471" s="6"/>
      <c r="R471" s="6"/>
      <c r="S471" s="6"/>
      <c r="T471" s="6"/>
      <c r="U471" t="str">
        <f t="shared" si="7"/>
        <v/>
      </c>
    </row>
    <row r="472" spans="3:21" customFormat="1" hidden="1">
      <c r="C472" s="6"/>
      <c r="D472" s="6"/>
      <c r="E472" s="98"/>
      <c r="F472" s="3"/>
      <c r="G472" s="6"/>
      <c r="H472" s="3"/>
      <c r="I472" s="6"/>
      <c r="J472" s="6"/>
      <c r="K472" s="6"/>
      <c r="L472" s="6"/>
      <c r="M472" s="6"/>
      <c r="N472" s="6"/>
      <c r="O472" s="3"/>
      <c r="P472" s="6"/>
      <c r="Q472" s="6"/>
      <c r="R472" s="6"/>
      <c r="S472" s="6"/>
      <c r="T472" s="6"/>
      <c r="U472" t="str">
        <f t="shared" si="7"/>
        <v/>
      </c>
    </row>
    <row r="473" spans="3:21" customFormat="1" hidden="1">
      <c r="C473" s="6"/>
      <c r="D473" s="6"/>
      <c r="E473" s="98"/>
      <c r="F473" s="3"/>
      <c r="G473" s="6"/>
      <c r="H473" s="3"/>
      <c r="I473" s="6"/>
      <c r="J473" s="6"/>
      <c r="K473" s="6"/>
      <c r="L473" s="6"/>
      <c r="M473" s="6"/>
      <c r="N473" s="6"/>
      <c r="O473" s="3"/>
      <c r="P473" s="6"/>
      <c r="Q473" s="6"/>
      <c r="R473" s="6"/>
      <c r="S473" s="6"/>
      <c r="T473" s="6"/>
      <c r="U473" t="str">
        <f t="shared" si="7"/>
        <v/>
      </c>
    </row>
    <row r="474" spans="3:21" customFormat="1" hidden="1">
      <c r="C474" s="6"/>
      <c r="D474" s="6"/>
      <c r="E474" s="98"/>
      <c r="F474" s="3"/>
      <c r="G474" s="6"/>
      <c r="H474" s="3"/>
      <c r="I474" s="6"/>
      <c r="J474" s="6"/>
      <c r="K474" s="6"/>
      <c r="L474" s="6"/>
      <c r="M474" s="6"/>
      <c r="N474" s="6"/>
      <c r="O474" s="3"/>
      <c r="P474" s="6"/>
      <c r="Q474" s="6"/>
      <c r="R474" s="6"/>
      <c r="S474" s="6"/>
      <c r="T474" s="6"/>
      <c r="U474" t="str">
        <f t="shared" si="7"/>
        <v/>
      </c>
    </row>
    <row r="475" spans="3:21" customFormat="1" hidden="1">
      <c r="C475" s="6"/>
      <c r="D475" s="6"/>
      <c r="E475" s="98"/>
      <c r="F475" s="3"/>
      <c r="G475" s="6"/>
      <c r="H475" s="3"/>
      <c r="I475" s="6"/>
      <c r="J475" s="6"/>
      <c r="K475" s="6"/>
      <c r="L475" s="6"/>
      <c r="M475" s="6"/>
      <c r="N475" s="6"/>
      <c r="O475" s="3"/>
      <c r="P475" s="6"/>
      <c r="Q475" s="6"/>
      <c r="R475" s="6"/>
      <c r="S475" s="6"/>
      <c r="T475" s="6"/>
      <c r="U475" t="str">
        <f t="shared" si="7"/>
        <v/>
      </c>
    </row>
    <row r="476" spans="3:21" customFormat="1" hidden="1">
      <c r="C476" s="6"/>
      <c r="D476" s="6"/>
      <c r="E476" s="98"/>
      <c r="F476" s="3"/>
      <c r="G476" s="6"/>
      <c r="H476" s="3"/>
      <c r="I476" s="6"/>
      <c r="J476" s="6"/>
      <c r="K476" s="6"/>
      <c r="L476" s="6"/>
      <c r="M476" s="6"/>
      <c r="N476" s="6"/>
      <c r="O476" s="3"/>
      <c r="P476" s="6"/>
      <c r="Q476" s="6"/>
      <c r="R476" s="6"/>
      <c r="S476" s="6"/>
      <c r="T476" s="6"/>
      <c r="U476" t="str">
        <f t="shared" si="7"/>
        <v/>
      </c>
    </row>
    <row r="477" spans="3:21" customFormat="1" hidden="1">
      <c r="C477" s="6"/>
      <c r="D477" s="6"/>
      <c r="E477" s="98"/>
      <c r="F477" s="3"/>
      <c r="G477" s="6"/>
      <c r="H477" s="3"/>
      <c r="I477" s="6"/>
      <c r="J477" s="6"/>
      <c r="K477" s="6"/>
      <c r="L477" s="6"/>
      <c r="M477" s="6"/>
      <c r="N477" s="6"/>
      <c r="O477" s="3"/>
      <c r="P477" s="6"/>
      <c r="Q477" s="6"/>
      <c r="R477" s="6"/>
      <c r="S477" s="6"/>
      <c r="T477" s="6"/>
      <c r="U477" t="str">
        <f t="shared" si="7"/>
        <v/>
      </c>
    </row>
    <row r="478" spans="3:21" customFormat="1" hidden="1">
      <c r="C478" s="6"/>
      <c r="D478" s="6"/>
      <c r="E478" s="98"/>
      <c r="F478" s="3"/>
      <c r="G478" s="6"/>
      <c r="H478" s="3"/>
      <c r="I478" s="6"/>
      <c r="J478" s="6"/>
      <c r="K478" s="6"/>
      <c r="L478" s="6"/>
      <c r="M478" s="6"/>
      <c r="N478" s="6"/>
      <c r="O478" s="3"/>
      <c r="P478" s="6"/>
      <c r="Q478" s="6"/>
      <c r="R478" s="6"/>
      <c r="S478" s="6"/>
      <c r="T478" s="6"/>
      <c r="U478" t="str">
        <f t="shared" si="7"/>
        <v/>
      </c>
    </row>
    <row r="479" spans="3:21" customFormat="1" hidden="1">
      <c r="C479" s="6"/>
      <c r="D479" s="6"/>
      <c r="E479" s="98"/>
      <c r="F479" s="3"/>
      <c r="G479" s="6"/>
      <c r="H479" s="3"/>
      <c r="I479" s="6"/>
      <c r="J479" s="6"/>
      <c r="K479" s="6"/>
      <c r="L479" s="6"/>
      <c r="M479" s="6"/>
      <c r="N479" s="6"/>
      <c r="O479" s="3"/>
      <c r="P479" s="6"/>
      <c r="Q479" s="6"/>
      <c r="R479" s="6"/>
      <c r="S479" s="6"/>
      <c r="T479" s="6"/>
      <c r="U479" t="str">
        <f t="shared" si="7"/>
        <v/>
      </c>
    </row>
    <row r="480" spans="3:21" customFormat="1" hidden="1">
      <c r="C480" s="6"/>
      <c r="D480" s="6"/>
      <c r="E480" s="98"/>
      <c r="F480" s="3"/>
      <c r="G480" s="6"/>
      <c r="H480" s="3"/>
      <c r="I480" s="6"/>
      <c r="J480" s="6"/>
      <c r="K480" s="6"/>
      <c r="L480" s="6"/>
      <c r="M480" s="6"/>
      <c r="N480" s="6"/>
      <c r="O480" s="3"/>
      <c r="P480" s="6"/>
      <c r="Q480" s="6"/>
      <c r="R480" s="6"/>
      <c r="S480" s="6"/>
      <c r="T480" s="6"/>
      <c r="U480" t="str">
        <f t="shared" si="7"/>
        <v/>
      </c>
    </row>
    <row r="481" spans="3:21" customFormat="1" hidden="1">
      <c r="C481" s="6"/>
      <c r="D481" s="6"/>
      <c r="E481" s="98"/>
      <c r="F481" s="3"/>
      <c r="G481" s="6"/>
      <c r="H481" s="3"/>
      <c r="I481" s="6"/>
      <c r="J481" s="6"/>
      <c r="K481" s="6"/>
      <c r="L481" s="6"/>
      <c r="M481" s="6"/>
      <c r="N481" s="6"/>
      <c r="O481" s="3"/>
      <c r="P481" s="6"/>
      <c r="Q481" s="6"/>
      <c r="R481" s="6"/>
      <c r="S481" s="6"/>
      <c r="T481" s="6"/>
      <c r="U481" t="str">
        <f t="shared" si="7"/>
        <v/>
      </c>
    </row>
    <row r="482" spans="3:21" customFormat="1" hidden="1">
      <c r="C482" s="6"/>
      <c r="D482" s="6"/>
      <c r="E482" s="98"/>
      <c r="F482" s="3"/>
      <c r="G482" s="6"/>
      <c r="H482" s="3"/>
      <c r="I482" s="6"/>
      <c r="J482" s="6"/>
      <c r="K482" s="6"/>
      <c r="L482" s="6"/>
      <c r="M482" s="6"/>
      <c r="N482" s="6"/>
      <c r="O482" s="3"/>
      <c r="P482" s="6"/>
      <c r="Q482" s="6"/>
      <c r="R482" s="6"/>
      <c r="S482" s="6"/>
      <c r="T482" s="6"/>
      <c r="U482" t="str">
        <f t="shared" si="7"/>
        <v/>
      </c>
    </row>
    <row r="483" spans="3:21" customFormat="1" hidden="1">
      <c r="C483" s="6"/>
      <c r="D483" s="6"/>
      <c r="E483" s="98"/>
      <c r="F483" s="3"/>
      <c r="G483" s="6"/>
      <c r="H483" s="3"/>
      <c r="I483" s="6"/>
      <c r="J483" s="6"/>
      <c r="K483" s="6"/>
      <c r="L483" s="6"/>
      <c r="M483" s="6"/>
      <c r="N483" s="6"/>
      <c r="O483" s="3"/>
      <c r="P483" s="6"/>
      <c r="Q483" s="6"/>
      <c r="R483" s="6"/>
      <c r="S483" s="6"/>
      <c r="T483" s="6"/>
      <c r="U483" t="str">
        <f t="shared" si="7"/>
        <v/>
      </c>
    </row>
    <row r="484" spans="3:21" customFormat="1" hidden="1">
      <c r="C484" s="6"/>
      <c r="D484" s="6"/>
      <c r="E484" s="98"/>
      <c r="F484" s="3"/>
      <c r="G484" s="6"/>
      <c r="H484" s="3"/>
      <c r="I484" s="6"/>
      <c r="J484" s="6"/>
      <c r="K484" s="6"/>
      <c r="L484" s="6"/>
      <c r="M484" s="6"/>
      <c r="N484" s="6"/>
      <c r="O484" s="3"/>
      <c r="P484" s="6"/>
      <c r="Q484" s="6"/>
      <c r="R484" s="6"/>
      <c r="S484" s="6"/>
      <c r="T484" s="6"/>
      <c r="U484" t="str">
        <f t="shared" si="7"/>
        <v/>
      </c>
    </row>
    <row r="485" spans="3:21" customFormat="1" hidden="1">
      <c r="C485" s="6"/>
      <c r="D485" s="6"/>
      <c r="E485" s="98"/>
      <c r="F485" s="3"/>
      <c r="G485" s="6"/>
      <c r="H485" s="3"/>
      <c r="I485" s="6"/>
      <c r="J485" s="6"/>
      <c r="K485" s="6"/>
      <c r="L485" s="6"/>
      <c r="M485" s="6"/>
      <c r="N485" s="6"/>
      <c r="O485" s="3"/>
      <c r="P485" s="6"/>
      <c r="Q485" s="6"/>
      <c r="R485" s="6"/>
      <c r="S485" s="6"/>
      <c r="T485" s="6"/>
      <c r="U485" t="str">
        <f t="shared" si="7"/>
        <v/>
      </c>
    </row>
    <row r="486" spans="3:21" customFormat="1" hidden="1">
      <c r="C486" s="6"/>
      <c r="D486" s="6"/>
      <c r="E486" s="98"/>
      <c r="F486" s="3"/>
      <c r="G486" s="6"/>
      <c r="H486" s="3"/>
      <c r="I486" s="6"/>
      <c r="J486" s="6"/>
      <c r="K486" s="6"/>
      <c r="L486" s="6"/>
      <c r="M486" s="6"/>
      <c r="N486" s="6"/>
      <c r="O486" s="3"/>
      <c r="P486" s="6"/>
      <c r="Q486" s="6"/>
      <c r="R486" s="6"/>
      <c r="S486" s="6"/>
      <c r="T486" s="6"/>
      <c r="U486" t="str">
        <f t="shared" si="7"/>
        <v/>
      </c>
    </row>
    <row r="487" spans="3:21" customFormat="1" hidden="1">
      <c r="C487" s="6"/>
      <c r="D487" s="6"/>
      <c r="E487" s="98"/>
      <c r="F487" s="3"/>
      <c r="G487" s="6"/>
      <c r="H487" s="3"/>
      <c r="I487" s="6"/>
      <c r="J487" s="6"/>
      <c r="K487" s="6"/>
      <c r="L487" s="6"/>
      <c r="M487" s="6"/>
      <c r="N487" s="6"/>
      <c r="O487" s="3"/>
      <c r="P487" s="6"/>
      <c r="Q487" s="6"/>
      <c r="R487" s="6"/>
      <c r="S487" s="6"/>
      <c r="T487" s="6"/>
      <c r="U487" t="str">
        <f t="shared" si="7"/>
        <v/>
      </c>
    </row>
    <row r="488" spans="3:21" customFormat="1" hidden="1">
      <c r="C488" s="6"/>
      <c r="D488" s="6"/>
      <c r="E488" s="98"/>
      <c r="F488" s="3"/>
      <c r="G488" s="6"/>
      <c r="H488" s="3"/>
      <c r="I488" s="6"/>
      <c r="J488" s="6"/>
      <c r="K488" s="6"/>
      <c r="L488" s="6"/>
      <c r="M488" s="6"/>
      <c r="N488" s="6"/>
      <c r="O488" s="3"/>
      <c r="P488" s="6"/>
      <c r="Q488" s="6"/>
      <c r="R488" s="6"/>
      <c r="S488" s="6"/>
      <c r="T488" s="6"/>
      <c r="U488" t="str">
        <f t="shared" si="7"/>
        <v/>
      </c>
    </row>
    <row r="489" spans="3:21" customFormat="1" hidden="1">
      <c r="C489" s="6"/>
      <c r="D489" s="6"/>
      <c r="E489" s="98"/>
      <c r="F489" s="3"/>
      <c r="G489" s="6"/>
      <c r="H489" s="3"/>
      <c r="I489" s="6"/>
      <c r="J489" s="6"/>
      <c r="K489" s="6"/>
      <c r="L489" s="6"/>
      <c r="M489" s="6"/>
      <c r="N489" s="6"/>
      <c r="O489" s="3"/>
      <c r="P489" s="6"/>
      <c r="Q489" s="6"/>
      <c r="R489" s="6"/>
      <c r="S489" s="6"/>
      <c r="T489" s="6"/>
      <c r="U489" t="str">
        <f t="shared" si="7"/>
        <v/>
      </c>
    </row>
    <row r="490" spans="3:21" customFormat="1" hidden="1">
      <c r="C490" s="6"/>
      <c r="D490" s="6"/>
      <c r="E490" s="98"/>
      <c r="F490" s="3"/>
      <c r="G490" s="6"/>
      <c r="H490" s="3"/>
      <c r="I490" s="6"/>
      <c r="J490" s="6"/>
      <c r="K490" s="6"/>
      <c r="L490" s="6"/>
      <c r="M490" s="6"/>
      <c r="N490" s="6"/>
      <c r="O490" s="3"/>
      <c r="P490" s="6"/>
      <c r="Q490" s="6"/>
      <c r="R490" s="6"/>
      <c r="S490" s="6"/>
      <c r="T490" s="6"/>
      <c r="U490" t="str">
        <f t="shared" si="7"/>
        <v/>
      </c>
    </row>
    <row r="491" spans="3:21" customFormat="1" hidden="1">
      <c r="C491" s="6"/>
      <c r="D491" s="6"/>
      <c r="E491" s="98"/>
      <c r="F491" s="3"/>
      <c r="G491" s="6"/>
      <c r="H491" s="3"/>
      <c r="I491" s="6"/>
      <c r="J491" s="6"/>
      <c r="K491" s="6"/>
      <c r="L491" s="6"/>
      <c r="M491" s="6"/>
      <c r="N491" s="6"/>
      <c r="O491" s="3"/>
      <c r="P491" s="6"/>
      <c r="Q491" s="6"/>
      <c r="R491" s="6"/>
      <c r="S491" s="6"/>
      <c r="T491" s="6"/>
      <c r="U491" t="str">
        <f t="shared" si="7"/>
        <v/>
      </c>
    </row>
    <row r="492" spans="3:21" customFormat="1" hidden="1">
      <c r="C492" s="6"/>
      <c r="D492" s="6"/>
      <c r="E492" s="98"/>
      <c r="F492" s="3"/>
      <c r="G492" s="6"/>
      <c r="H492" s="3"/>
      <c r="I492" s="6"/>
      <c r="J492" s="6"/>
      <c r="K492" s="6"/>
      <c r="L492" s="6"/>
      <c r="M492" s="6"/>
      <c r="N492" s="6"/>
      <c r="O492" s="3"/>
      <c r="P492" s="6"/>
      <c r="Q492" s="6"/>
      <c r="R492" s="6"/>
      <c r="S492" s="6"/>
      <c r="T492" s="6"/>
      <c r="U492" t="str">
        <f t="shared" si="7"/>
        <v/>
      </c>
    </row>
    <row r="493" spans="3:21" customFormat="1" hidden="1">
      <c r="C493" s="6"/>
      <c r="D493" s="6"/>
      <c r="E493" s="98"/>
      <c r="F493" s="3"/>
      <c r="G493" s="6"/>
      <c r="H493" s="3"/>
      <c r="I493" s="6"/>
      <c r="J493" s="6"/>
      <c r="K493" s="6"/>
      <c r="L493" s="6"/>
      <c r="M493" s="6"/>
      <c r="N493" s="6"/>
      <c r="O493" s="3"/>
      <c r="P493" s="6"/>
      <c r="Q493" s="6"/>
      <c r="R493" s="6"/>
      <c r="S493" s="6"/>
      <c r="T493" s="6"/>
      <c r="U493" t="str">
        <f t="shared" si="7"/>
        <v/>
      </c>
    </row>
    <row r="494" spans="3:21" customFormat="1" hidden="1">
      <c r="C494" s="6"/>
      <c r="D494" s="6"/>
      <c r="E494" s="98"/>
      <c r="F494" s="3"/>
      <c r="G494" s="6"/>
      <c r="H494" s="3"/>
      <c r="I494" s="6"/>
      <c r="J494" s="6"/>
      <c r="K494" s="6"/>
      <c r="L494" s="6"/>
      <c r="M494" s="6"/>
      <c r="N494" s="6"/>
      <c r="O494" s="3"/>
      <c r="P494" s="6"/>
      <c r="Q494" s="6"/>
      <c r="R494" s="6"/>
      <c r="S494" s="6"/>
      <c r="T494" s="6"/>
      <c r="U494" t="str">
        <f t="shared" si="7"/>
        <v/>
      </c>
    </row>
    <row r="495" spans="3:21" customFormat="1" hidden="1">
      <c r="C495" s="6"/>
      <c r="D495" s="6"/>
      <c r="E495" s="98"/>
      <c r="F495" s="3"/>
      <c r="G495" s="6"/>
      <c r="H495" s="3"/>
      <c r="I495" s="6"/>
      <c r="J495" s="6"/>
      <c r="K495" s="6"/>
      <c r="L495" s="6"/>
      <c r="M495" s="6"/>
      <c r="N495" s="6"/>
      <c r="O495" s="3"/>
      <c r="P495" s="6"/>
      <c r="Q495" s="6"/>
      <c r="R495" s="6"/>
      <c r="S495" s="6"/>
      <c r="T495" s="6"/>
      <c r="U495" t="str">
        <f t="shared" si="7"/>
        <v/>
      </c>
    </row>
    <row r="496" spans="3:21" customFormat="1" hidden="1">
      <c r="C496" s="6"/>
      <c r="D496" s="6"/>
      <c r="E496" s="98"/>
      <c r="F496" s="3"/>
      <c r="G496" s="6"/>
      <c r="H496" s="3"/>
      <c r="I496" s="6"/>
      <c r="J496" s="6"/>
      <c r="K496" s="6"/>
      <c r="L496" s="6"/>
      <c r="M496" s="6"/>
      <c r="N496" s="6"/>
      <c r="O496" s="3"/>
      <c r="P496" s="6"/>
      <c r="Q496" s="6"/>
      <c r="R496" s="6"/>
      <c r="S496" s="6"/>
      <c r="T496" s="6"/>
      <c r="U496" t="str">
        <f t="shared" si="7"/>
        <v/>
      </c>
    </row>
    <row r="497" spans="3:21" customFormat="1" hidden="1">
      <c r="C497" s="6"/>
      <c r="D497" s="6"/>
      <c r="E497" s="98"/>
      <c r="F497" s="3"/>
      <c r="G497" s="6"/>
      <c r="H497" s="3"/>
      <c r="I497" s="6"/>
      <c r="J497" s="6"/>
      <c r="K497" s="6"/>
      <c r="L497" s="6"/>
      <c r="M497" s="6"/>
      <c r="N497" s="6"/>
      <c r="O497" s="3"/>
      <c r="P497" s="6"/>
      <c r="Q497" s="6"/>
      <c r="R497" s="6"/>
      <c r="S497" s="6"/>
      <c r="T497" s="6"/>
      <c r="U497" t="str">
        <f t="shared" si="7"/>
        <v/>
      </c>
    </row>
    <row r="498" spans="3:21" customFormat="1" hidden="1">
      <c r="C498" s="6"/>
      <c r="D498" s="6"/>
      <c r="E498" s="98"/>
      <c r="F498" s="3"/>
      <c r="G498" s="6"/>
      <c r="H498" s="3"/>
      <c r="I498" s="6"/>
      <c r="J498" s="6"/>
      <c r="K498" s="6"/>
      <c r="L498" s="6"/>
      <c r="M498" s="6"/>
      <c r="N498" s="6"/>
      <c r="O498" s="3"/>
      <c r="P498" s="6"/>
      <c r="Q498" s="6"/>
      <c r="R498" s="6"/>
      <c r="S498" s="6"/>
      <c r="T498" s="6"/>
      <c r="U498" t="str">
        <f t="shared" si="7"/>
        <v/>
      </c>
    </row>
    <row r="499" spans="3:21" customFormat="1" hidden="1">
      <c r="C499" s="6"/>
      <c r="D499" s="6"/>
      <c r="E499" s="98"/>
      <c r="F499" s="3"/>
      <c r="G499" s="6"/>
      <c r="H499" s="3"/>
      <c r="I499" s="6"/>
      <c r="J499" s="6"/>
      <c r="K499" s="6"/>
      <c r="L499" s="6"/>
      <c r="M499" s="6"/>
      <c r="N499" s="6"/>
      <c r="O499" s="3"/>
      <c r="P499" s="6"/>
      <c r="Q499" s="6"/>
      <c r="R499" s="6"/>
      <c r="S499" s="6"/>
      <c r="T499" s="6"/>
      <c r="U499" t="str">
        <f t="shared" si="7"/>
        <v/>
      </c>
    </row>
    <row r="500" spans="3:21" customFormat="1" hidden="1">
      <c r="C500" s="6"/>
      <c r="D500" s="6"/>
      <c r="E500" s="98"/>
      <c r="F500" s="3"/>
      <c r="G500" s="6"/>
      <c r="H500" s="3"/>
      <c r="I500" s="6"/>
      <c r="J500" s="6"/>
      <c r="K500" s="6"/>
      <c r="L500" s="6"/>
      <c r="M500" s="6"/>
      <c r="N500" s="6"/>
      <c r="O500" s="3"/>
      <c r="P500" s="6"/>
      <c r="Q500" s="6"/>
      <c r="R500" s="6"/>
      <c r="S500" s="6"/>
      <c r="T500" s="6"/>
      <c r="U500" t="str">
        <f t="shared" si="7"/>
        <v/>
      </c>
    </row>
    <row r="501" spans="3:21" customFormat="1" hidden="1">
      <c r="C501" s="6"/>
      <c r="D501" s="6"/>
      <c r="E501" s="98"/>
      <c r="F501" s="3"/>
      <c r="G501" s="6"/>
      <c r="H501" s="3"/>
      <c r="I501" s="6"/>
      <c r="J501" s="6"/>
      <c r="K501" s="6"/>
      <c r="L501" s="6"/>
      <c r="M501" s="6"/>
      <c r="N501" s="6"/>
      <c r="O501" s="3"/>
      <c r="P501" s="6"/>
      <c r="Q501" s="6"/>
      <c r="R501" s="6"/>
      <c r="S501" s="6"/>
      <c r="T501" s="6"/>
      <c r="U501" t="str">
        <f t="shared" si="7"/>
        <v/>
      </c>
    </row>
    <row r="502" spans="3:21" customFormat="1" hidden="1">
      <c r="C502" s="6"/>
      <c r="D502" s="6"/>
      <c r="E502" s="98"/>
      <c r="F502" s="3"/>
      <c r="G502" s="6"/>
      <c r="H502" s="3"/>
      <c r="I502" s="6"/>
      <c r="J502" s="6"/>
      <c r="K502" s="6"/>
      <c r="L502" s="6"/>
      <c r="M502" s="6"/>
      <c r="N502" s="6"/>
      <c r="O502" s="3"/>
      <c r="P502" s="6"/>
      <c r="Q502" s="6"/>
      <c r="R502" s="6"/>
      <c r="S502" s="6"/>
      <c r="T502" s="6"/>
      <c r="U502" t="str">
        <f t="shared" si="7"/>
        <v/>
      </c>
    </row>
    <row r="503" spans="3:21" customFormat="1" hidden="1">
      <c r="C503" s="6"/>
      <c r="D503" s="6"/>
      <c r="E503" s="98"/>
      <c r="F503" s="3"/>
      <c r="G503" s="6"/>
      <c r="H503" s="3"/>
      <c r="I503" s="6"/>
      <c r="J503" s="6"/>
      <c r="K503" s="6"/>
      <c r="L503" s="6"/>
      <c r="M503" s="6"/>
      <c r="N503" s="6"/>
      <c r="O503" s="3"/>
      <c r="P503" s="6"/>
      <c r="Q503" s="6"/>
      <c r="R503" s="6"/>
      <c r="S503" s="6"/>
      <c r="T503" s="6"/>
      <c r="U503" t="str">
        <f t="shared" si="7"/>
        <v/>
      </c>
    </row>
    <row r="504" spans="3:21" customFormat="1" hidden="1">
      <c r="C504" s="6"/>
      <c r="D504" s="6"/>
      <c r="E504" s="98"/>
      <c r="F504" s="3"/>
      <c r="G504" s="6"/>
      <c r="H504" s="3"/>
      <c r="I504" s="6"/>
      <c r="J504" s="6"/>
      <c r="K504" s="6"/>
      <c r="L504" s="6"/>
      <c r="M504" s="6"/>
      <c r="N504" s="6"/>
      <c r="O504" s="3"/>
      <c r="P504" s="6"/>
      <c r="Q504" s="6"/>
      <c r="R504" s="6"/>
      <c r="S504" s="6"/>
      <c r="T504" s="6"/>
      <c r="U504" t="str">
        <f t="shared" si="7"/>
        <v/>
      </c>
    </row>
    <row r="505" spans="3:21" customFormat="1" hidden="1">
      <c r="C505" s="6"/>
      <c r="D505" s="6"/>
      <c r="E505" s="98"/>
      <c r="F505" s="3"/>
      <c r="G505" s="6"/>
      <c r="H505" s="3"/>
      <c r="I505" s="6"/>
      <c r="J505" s="6"/>
      <c r="K505" s="6"/>
      <c r="L505" s="6"/>
      <c r="M505" s="6"/>
      <c r="N505" s="6"/>
      <c r="O505" s="3"/>
      <c r="P505" s="6"/>
      <c r="Q505" s="6"/>
      <c r="R505" s="6"/>
      <c r="S505" s="6"/>
      <c r="T505" s="6"/>
      <c r="U505" t="str">
        <f t="shared" si="7"/>
        <v/>
      </c>
    </row>
    <row r="506" spans="3:21" customFormat="1" hidden="1">
      <c r="C506" s="6"/>
      <c r="D506" s="6"/>
      <c r="E506" s="98"/>
      <c r="F506" s="3"/>
      <c r="G506" s="6"/>
      <c r="H506" s="3"/>
      <c r="I506" s="6"/>
      <c r="J506" s="6"/>
      <c r="K506" s="6"/>
      <c r="L506" s="6"/>
      <c r="M506" s="6"/>
      <c r="N506" s="6"/>
      <c r="O506" s="3"/>
      <c r="P506" s="6"/>
      <c r="Q506" s="6"/>
      <c r="R506" s="6"/>
      <c r="S506" s="6"/>
      <c r="T506" s="6"/>
      <c r="U506" t="str">
        <f t="shared" si="7"/>
        <v/>
      </c>
    </row>
    <row r="507" spans="3:21" customFormat="1" hidden="1">
      <c r="C507" s="6"/>
      <c r="D507" s="6"/>
      <c r="E507" s="98"/>
      <c r="F507" s="3"/>
      <c r="G507" s="6"/>
      <c r="H507" s="3"/>
      <c r="I507" s="6"/>
      <c r="J507" s="6"/>
      <c r="K507" s="6"/>
      <c r="L507" s="6"/>
      <c r="M507" s="6"/>
      <c r="N507" s="6"/>
      <c r="O507" s="3"/>
      <c r="P507" s="6"/>
      <c r="Q507" s="6"/>
      <c r="R507" s="6"/>
      <c r="S507" s="6"/>
      <c r="T507" s="6"/>
      <c r="U507" t="str">
        <f t="shared" si="7"/>
        <v/>
      </c>
    </row>
    <row r="508" spans="3:21" customFormat="1" hidden="1">
      <c r="C508" s="6"/>
      <c r="D508" s="6"/>
      <c r="E508" s="98"/>
      <c r="F508" s="3"/>
      <c r="G508" s="6"/>
      <c r="H508" s="3"/>
      <c r="I508" s="6"/>
      <c r="J508" s="6"/>
      <c r="K508" s="6"/>
      <c r="L508" s="6"/>
      <c r="M508" s="6"/>
      <c r="N508" s="6"/>
      <c r="O508" s="3"/>
      <c r="P508" s="6"/>
      <c r="Q508" s="6"/>
      <c r="R508" s="6"/>
      <c r="S508" s="6"/>
      <c r="T508" s="6"/>
      <c r="U508" t="str">
        <f t="shared" si="7"/>
        <v/>
      </c>
    </row>
    <row r="509" spans="3:21" customFormat="1" hidden="1">
      <c r="C509" s="6"/>
      <c r="D509" s="6"/>
      <c r="E509" s="98"/>
      <c r="F509" s="3"/>
      <c r="G509" s="6"/>
      <c r="H509" s="3"/>
      <c r="I509" s="6"/>
      <c r="J509" s="6"/>
      <c r="K509" s="6"/>
      <c r="L509" s="6"/>
      <c r="M509" s="6"/>
      <c r="N509" s="6"/>
      <c r="O509" s="3"/>
      <c r="P509" s="6"/>
      <c r="Q509" s="6"/>
      <c r="R509" s="6"/>
      <c r="S509" s="6"/>
      <c r="T509" s="6"/>
      <c r="U509" t="str">
        <f t="shared" si="7"/>
        <v/>
      </c>
    </row>
    <row r="510" spans="3:21" customFormat="1" hidden="1">
      <c r="C510" s="6"/>
      <c r="D510" s="6"/>
      <c r="E510" s="98"/>
      <c r="F510" s="3"/>
      <c r="G510" s="6"/>
      <c r="H510" s="3"/>
      <c r="I510" s="6"/>
      <c r="J510" s="6"/>
      <c r="K510" s="6"/>
      <c r="L510" s="6"/>
      <c r="M510" s="6"/>
      <c r="N510" s="6"/>
      <c r="O510" s="3"/>
      <c r="P510" s="6"/>
      <c r="Q510" s="6"/>
      <c r="R510" s="6"/>
      <c r="S510" s="6"/>
      <c r="T510" s="6"/>
      <c r="U510" t="str">
        <f t="shared" si="7"/>
        <v/>
      </c>
    </row>
    <row r="511" spans="3:21" customFormat="1" hidden="1">
      <c r="C511" s="6"/>
      <c r="D511" s="6"/>
      <c r="E511" s="98"/>
      <c r="F511" s="3"/>
      <c r="G511" s="6"/>
      <c r="H511" s="3"/>
      <c r="I511" s="6"/>
      <c r="J511" s="6"/>
      <c r="K511" s="6"/>
      <c r="L511" s="6"/>
      <c r="M511" s="6"/>
      <c r="N511" s="6"/>
      <c r="O511" s="3"/>
      <c r="P511" s="6"/>
      <c r="Q511" s="6"/>
      <c r="R511" s="6"/>
      <c r="S511" s="6"/>
      <c r="T511" s="6"/>
      <c r="U511" t="str">
        <f t="shared" si="7"/>
        <v/>
      </c>
    </row>
    <row r="512" spans="3:21" customFormat="1" hidden="1">
      <c r="C512" s="6"/>
      <c r="D512" s="6"/>
      <c r="E512" s="98"/>
      <c r="F512" s="3"/>
      <c r="G512" s="6"/>
      <c r="H512" s="3"/>
      <c r="I512" s="6"/>
      <c r="J512" s="6"/>
      <c r="K512" s="6"/>
      <c r="L512" s="6"/>
      <c r="M512" s="6"/>
      <c r="N512" s="6"/>
      <c r="O512" s="3"/>
      <c r="P512" s="6"/>
      <c r="Q512" s="6"/>
      <c r="R512" s="6"/>
      <c r="S512" s="6"/>
      <c r="T512" s="6"/>
      <c r="U512" t="str">
        <f t="shared" si="7"/>
        <v/>
      </c>
    </row>
    <row r="513" spans="3:21" customFormat="1" hidden="1">
      <c r="C513" s="6"/>
      <c r="D513" s="6"/>
      <c r="E513" s="98"/>
      <c r="F513" s="3"/>
      <c r="G513" s="6"/>
      <c r="H513" s="3"/>
      <c r="I513" s="6"/>
      <c r="J513" s="6"/>
      <c r="K513" s="6"/>
      <c r="L513" s="6"/>
      <c r="M513" s="6"/>
      <c r="N513" s="6"/>
      <c r="O513" s="3"/>
      <c r="P513" s="6"/>
      <c r="Q513" s="6"/>
      <c r="R513" s="6"/>
      <c r="S513" s="6"/>
      <c r="T513" s="6"/>
      <c r="U513" t="str">
        <f t="shared" si="7"/>
        <v/>
      </c>
    </row>
    <row r="514" spans="3:21" customFormat="1" hidden="1">
      <c r="C514" s="6"/>
      <c r="D514" s="6"/>
      <c r="E514" s="98"/>
      <c r="F514" s="3"/>
      <c r="G514" s="6"/>
      <c r="H514" s="3"/>
      <c r="I514" s="6"/>
      <c r="J514" s="6"/>
      <c r="K514" s="6"/>
      <c r="L514" s="6"/>
      <c r="M514" s="6"/>
      <c r="N514" s="6"/>
      <c r="O514" s="3"/>
      <c r="P514" s="6"/>
      <c r="Q514" s="6"/>
      <c r="R514" s="6"/>
      <c r="S514" s="6"/>
      <c r="T514" s="6"/>
      <c r="U514" t="str">
        <f t="shared" si="7"/>
        <v/>
      </c>
    </row>
    <row r="515" spans="3:21" customFormat="1" hidden="1">
      <c r="C515" s="6"/>
      <c r="D515" s="6"/>
      <c r="E515" s="98"/>
      <c r="F515" s="3"/>
      <c r="G515" s="6"/>
      <c r="H515" s="3"/>
      <c r="I515" s="6"/>
      <c r="J515" s="6"/>
      <c r="K515" s="6"/>
      <c r="L515" s="6"/>
      <c r="M515" s="6"/>
      <c r="N515" s="6"/>
      <c r="O515" s="3"/>
      <c r="P515" s="6"/>
      <c r="Q515" s="6"/>
      <c r="R515" s="6"/>
      <c r="S515" s="6"/>
      <c r="T515" s="6"/>
      <c r="U515" t="str">
        <f t="shared" si="7"/>
        <v/>
      </c>
    </row>
    <row r="516" spans="3:21" customFormat="1" hidden="1">
      <c r="C516" s="6"/>
      <c r="D516" s="6"/>
      <c r="E516" s="98"/>
      <c r="F516" s="3"/>
      <c r="G516" s="6"/>
      <c r="H516" s="3"/>
      <c r="I516" s="6"/>
      <c r="J516" s="6"/>
      <c r="K516" s="6"/>
      <c r="L516" s="6"/>
      <c r="M516" s="6"/>
      <c r="N516" s="6"/>
      <c r="O516" s="3"/>
      <c r="P516" s="6"/>
      <c r="Q516" s="6"/>
      <c r="R516" s="6"/>
      <c r="S516" s="6"/>
      <c r="T516" s="6"/>
      <c r="U516" t="str">
        <f t="shared" si="7"/>
        <v/>
      </c>
    </row>
    <row r="517" spans="3:21" customFormat="1" hidden="1">
      <c r="C517" s="6"/>
      <c r="D517" s="6"/>
      <c r="E517" s="98"/>
      <c r="F517" s="3"/>
      <c r="G517" s="6"/>
      <c r="H517" s="3"/>
      <c r="I517" s="6"/>
      <c r="J517" s="6"/>
      <c r="K517" s="6"/>
      <c r="L517" s="6"/>
      <c r="M517" s="6"/>
      <c r="N517" s="6"/>
      <c r="O517" s="3"/>
      <c r="P517" s="6"/>
      <c r="Q517" s="6"/>
      <c r="R517" s="6"/>
      <c r="S517" s="6"/>
      <c r="T517" s="6"/>
      <c r="U517" t="str">
        <f t="shared" si="7"/>
        <v/>
      </c>
    </row>
    <row r="518" spans="3:21" customFormat="1" hidden="1">
      <c r="C518" s="6"/>
      <c r="D518" s="6"/>
      <c r="E518" s="98"/>
      <c r="F518" s="3"/>
      <c r="G518" s="6"/>
      <c r="H518" s="3"/>
      <c r="I518" s="6"/>
      <c r="J518" s="6"/>
      <c r="K518" s="6"/>
      <c r="L518" s="6"/>
      <c r="M518" s="6"/>
      <c r="N518" s="6"/>
      <c r="O518" s="3"/>
      <c r="P518" s="6"/>
      <c r="Q518" s="6"/>
      <c r="R518" s="6"/>
      <c r="S518" s="6"/>
      <c r="T518" s="6"/>
      <c r="U518" t="str">
        <f t="shared" si="7"/>
        <v/>
      </c>
    </row>
    <row r="519" spans="3:21" customFormat="1" hidden="1">
      <c r="C519" s="6"/>
      <c r="D519" s="6"/>
      <c r="E519" s="98"/>
      <c r="F519" s="3"/>
      <c r="G519" s="6"/>
      <c r="H519" s="3"/>
      <c r="I519" s="6"/>
      <c r="J519" s="6"/>
      <c r="K519" s="6"/>
      <c r="L519" s="6"/>
      <c r="M519" s="6"/>
      <c r="N519" s="6"/>
      <c r="O519" s="3"/>
      <c r="P519" s="6"/>
      <c r="Q519" s="6"/>
      <c r="R519" s="6"/>
      <c r="S519" s="6"/>
      <c r="T519" s="6"/>
      <c r="U519" t="str">
        <f t="shared" ref="U519:U582" si="8">IF(D519="","","x")</f>
        <v/>
      </c>
    </row>
    <row r="520" spans="3:21" customFormat="1" hidden="1">
      <c r="C520" s="6"/>
      <c r="D520" s="6"/>
      <c r="E520" s="98"/>
      <c r="F520" s="3"/>
      <c r="G520" s="6"/>
      <c r="H520" s="3"/>
      <c r="I520" s="6"/>
      <c r="J520" s="6"/>
      <c r="K520" s="6"/>
      <c r="L520" s="6"/>
      <c r="M520" s="6"/>
      <c r="N520" s="6"/>
      <c r="O520" s="3"/>
      <c r="P520" s="6"/>
      <c r="Q520" s="6"/>
      <c r="R520" s="6"/>
      <c r="S520" s="6"/>
      <c r="T520" s="6"/>
      <c r="U520" t="str">
        <f t="shared" si="8"/>
        <v/>
      </c>
    </row>
    <row r="521" spans="3:21" customFormat="1" hidden="1">
      <c r="C521" s="6"/>
      <c r="D521" s="6"/>
      <c r="E521" s="98"/>
      <c r="F521" s="3"/>
      <c r="G521" s="6"/>
      <c r="H521" s="3"/>
      <c r="I521" s="6"/>
      <c r="J521" s="6"/>
      <c r="K521" s="6"/>
      <c r="L521" s="6"/>
      <c r="M521" s="6"/>
      <c r="N521" s="6"/>
      <c r="O521" s="3"/>
      <c r="P521" s="6"/>
      <c r="Q521" s="6"/>
      <c r="R521" s="6"/>
      <c r="S521" s="6"/>
      <c r="T521" s="6"/>
      <c r="U521" t="str">
        <f t="shared" si="8"/>
        <v/>
      </c>
    </row>
    <row r="522" spans="3:21" customFormat="1" hidden="1">
      <c r="C522" s="6"/>
      <c r="D522" s="6"/>
      <c r="E522" s="98"/>
      <c r="F522" s="3"/>
      <c r="G522" s="6"/>
      <c r="H522" s="3"/>
      <c r="I522" s="6"/>
      <c r="J522" s="6"/>
      <c r="K522" s="6"/>
      <c r="L522" s="6"/>
      <c r="M522" s="6"/>
      <c r="N522" s="6"/>
      <c r="O522" s="3"/>
      <c r="P522" s="6"/>
      <c r="Q522" s="6"/>
      <c r="R522" s="6"/>
      <c r="S522" s="6"/>
      <c r="T522" s="6"/>
      <c r="U522" t="str">
        <f t="shared" si="8"/>
        <v/>
      </c>
    </row>
    <row r="523" spans="3:21" customFormat="1" hidden="1">
      <c r="C523" s="6"/>
      <c r="D523" s="6"/>
      <c r="E523" s="98"/>
      <c r="F523" s="3"/>
      <c r="G523" s="6"/>
      <c r="H523" s="3"/>
      <c r="I523" s="6"/>
      <c r="J523" s="6"/>
      <c r="K523" s="6"/>
      <c r="L523" s="6"/>
      <c r="M523" s="6"/>
      <c r="N523" s="6"/>
      <c r="O523" s="3"/>
      <c r="P523" s="6"/>
      <c r="Q523" s="6"/>
      <c r="R523" s="6"/>
      <c r="S523" s="6"/>
      <c r="T523" s="6"/>
      <c r="U523" t="str">
        <f t="shared" si="8"/>
        <v/>
      </c>
    </row>
    <row r="524" spans="3:21" customFormat="1" hidden="1">
      <c r="C524" s="6"/>
      <c r="D524" s="6"/>
      <c r="E524" s="98"/>
      <c r="F524" s="3"/>
      <c r="G524" s="6"/>
      <c r="H524" s="3"/>
      <c r="I524" s="6"/>
      <c r="J524" s="6"/>
      <c r="K524" s="6"/>
      <c r="L524" s="6"/>
      <c r="M524" s="6"/>
      <c r="N524" s="6"/>
      <c r="O524" s="3"/>
      <c r="P524" s="6"/>
      <c r="Q524" s="6"/>
      <c r="R524" s="6"/>
      <c r="S524" s="6"/>
      <c r="T524" s="6"/>
      <c r="U524" t="str">
        <f t="shared" si="8"/>
        <v/>
      </c>
    </row>
    <row r="525" spans="3:21" customFormat="1" hidden="1">
      <c r="C525" s="6"/>
      <c r="D525" s="6"/>
      <c r="E525" s="98"/>
      <c r="F525" s="3"/>
      <c r="G525" s="6"/>
      <c r="H525" s="3"/>
      <c r="I525" s="6"/>
      <c r="J525" s="6"/>
      <c r="K525" s="6"/>
      <c r="L525" s="6"/>
      <c r="M525" s="6"/>
      <c r="N525" s="6"/>
      <c r="O525" s="3"/>
      <c r="P525" s="6"/>
      <c r="Q525" s="6"/>
      <c r="R525" s="6"/>
      <c r="S525" s="6"/>
      <c r="T525" s="6"/>
      <c r="U525" t="str">
        <f t="shared" si="8"/>
        <v/>
      </c>
    </row>
    <row r="526" spans="3:21" customFormat="1" hidden="1">
      <c r="C526" s="6"/>
      <c r="D526" s="6"/>
      <c r="E526" s="98"/>
      <c r="F526" s="3"/>
      <c r="G526" s="6"/>
      <c r="H526" s="3"/>
      <c r="I526" s="6"/>
      <c r="J526" s="6"/>
      <c r="K526" s="6"/>
      <c r="L526" s="6"/>
      <c r="M526" s="6"/>
      <c r="N526" s="6"/>
      <c r="O526" s="3"/>
      <c r="P526" s="6"/>
      <c r="Q526" s="6"/>
      <c r="R526" s="6"/>
      <c r="S526" s="6"/>
      <c r="T526" s="6"/>
      <c r="U526" t="str">
        <f t="shared" si="8"/>
        <v/>
      </c>
    </row>
    <row r="527" spans="3:21" customFormat="1" hidden="1">
      <c r="C527" s="6"/>
      <c r="D527" s="6"/>
      <c r="E527" s="98"/>
      <c r="F527" s="3"/>
      <c r="G527" s="6"/>
      <c r="H527" s="3"/>
      <c r="I527" s="6"/>
      <c r="J527" s="6"/>
      <c r="K527" s="6"/>
      <c r="L527" s="6"/>
      <c r="M527" s="6"/>
      <c r="N527" s="6"/>
      <c r="O527" s="3"/>
      <c r="P527" s="6"/>
      <c r="Q527" s="6"/>
      <c r="R527" s="6"/>
      <c r="S527" s="6"/>
      <c r="T527" s="6"/>
      <c r="U527" t="str">
        <f t="shared" si="8"/>
        <v/>
      </c>
    </row>
    <row r="528" spans="3:21" customFormat="1" hidden="1">
      <c r="C528" s="6"/>
      <c r="D528" s="6"/>
      <c r="E528" s="98"/>
      <c r="F528" s="3"/>
      <c r="G528" s="6"/>
      <c r="H528" s="3"/>
      <c r="I528" s="6"/>
      <c r="J528" s="6"/>
      <c r="K528" s="6"/>
      <c r="L528" s="6"/>
      <c r="M528" s="6"/>
      <c r="N528" s="6"/>
      <c r="O528" s="3"/>
      <c r="P528" s="6"/>
      <c r="Q528" s="6"/>
      <c r="R528" s="6"/>
      <c r="S528" s="6"/>
      <c r="T528" s="6"/>
      <c r="U528" t="str">
        <f t="shared" si="8"/>
        <v/>
      </c>
    </row>
    <row r="529" spans="3:21" customFormat="1" hidden="1">
      <c r="C529" s="6"/>
      <c r="D529" s="6"/>
      <c r="E529" s="98"/>
      <c r="F529" s="3"/>
      <c r="G529" s="6"/>
      <c r="H529" s="3"/>
      <c r="I529" s="6"/>
      <c r="J529" s="6"/>
      <c r="K529" s="6"/>
      <c r="L529" s="6"/>
      <c r="M529" s="6"/>
      <c r="N529" s="6"/>
      <c r="O529" s="3"/>
      <c r="P529" s="6"/>
      <c r="Q529" s="6"/>
      <c r="R529" s="6"/>
      <c r="S529" s="6"/>
      <c r="T529" s="6"/>
      <c r="U529" t="str">
        <f t="shared" si="8"/>
        <v/>
      </c>
    </row>
    <row r="530" spans="3:21" customFormat="1" hidden="1">
      <c r="C530" s="6"/>
      <c r="D530" s="6"/>
      <c r="E530" s="98"/>
      <c r="F530" s="3"/>
      <c r="G530" s="6"/>
      <c r="H530" s="3"/>
      <c r="I530" s="6"/>
      <c r="J530" s="6"/>
      <c r="K530" s="6"/>
      <c r="L530" s="6"/>
      <c r="M530" s="6"/>
      <c r="N530" s="6"/>
      <c r="O530" s="3"/>
      <c r="P530" s="6"/>
      <c r="Q530" s="6"/>
      <c r="R530" s="6"/>
      <c r="S530" s="6"/>
      <c r="T530" s="6"/>
      <c r="U530" t="str">
        <f t="shared" si="8"/>
        <v/>
      </c>
    </row>
    <row r="531" spans="3:21" customFormat="1" hidden="1">
      <c r="C531" s="6"/>
      <c r="D531" s="6"/>
      <c r="E531" s="98"/>
      <c r="F531" s="3"/>
      <c r="G531" s="6"/>
      <c r="H531" s="3"/>
      <c r="I531" s="6"/>
      <c r="J531" s="6"/>
      <c r="K531" s="6"/>
      <c r="L531" s="6"/>
      <c r="M531" s="6"/>
      <c r="N531" s="6"/>
      <c r="O531" s="3"/>
      <c r="P531" s="6"/>
      <c r="Q531" s="6"/>
      <c r="R531" s="6"/>
      <c r="S531" s="6"/>
      <c r="T531" s="6"/>
      <c r="U531" t="str">
        <f t="shared" si="8"/>
        <v/>
      </c>
    </row>
    <row r="532" spans="3:21" customFormat="1" hidden="1">
      <c r="C532" s="6"/>
      <c r="D532" s="6"/>
      <c r="E532" s="98"/>
      <c r="F532" s="3"/>
      <c r="G532" s="6"/>
      <c r="H532" s="3"/>
      <c r="I532" s="6"/>
      <c r="J532" s="6"/>
      <c r="K532" s="6"/>
      <c r="L532" s="6"/>
      <c r="M532" s="6"/>
      <c r="N532" s="6"/>
      <c r="O532" s="3"/>
      <c r="P532" s="6"/>
      <c r="Q532" s="6"/>
      <c r="R532" s="6"/>
      <c r="S532" s="6"/>
      <c r="T532" s="6"/>
      <c r="U532" t="str">
        <f t="shared" si="8"/>
        <v/>
      </c>
    </row>
    <row r="533" spans="3:21" customFormat="1" hidden="1">
      <c r="C533" s="6"/>
      <c r="D533" s="6"/>
      <c r="E533" s="98"/>
      <c r="F533" s="3"/>
      <c r="G533" s="6"/>
      <c r="H533" s="3"/>
      <c r="I533" s="6"/>
      <c r="J533" s="6"/>
      <c r="K533" s="6"/>
      <c r="L533" s="6"/>
      <c r="M533" s="6"/>
      <c r="N533" s="6"/>
      <c r="O533" s="3"/>
      <c r="P533" s="6"/>
      <c r="Q533" s="6"/>
      <c r="R533" s="6"/>
      <c r="S533" s="6"/>
      <c r="T533" s="6"/>
      <c r="U533" t="str">
        <f t="shared" si="8"/>
        <v/>
      </c>
    </row>
    <row r="534" spans="3:21" customFormat="1" hidden="1">
      <c r="C534" s="6"/>
      <c r="D534" s="6"/>
      <c r="E534" s="98"/>
      <c r="F534" s="3"/>
      <c r="G534" s="6"/>
      <c r="H534" s="3"/>
      <c r="I534" s="6"/>
      <c r="J534" s="6"/>
      <c r="K534" s="6"/>
      <c r="L534" s="6"/>
      <c r="M534" s="6"/>
      <c r="N534" s="6"/>
      <c r="O534" s="3"/>
      <c r="P534" s="6"/>
      <c r="Q534" s="6"/>
      <c r="R534" s="6"/>
      <c r="S534" s="6"/>
      <c r="T534" s="6"/>
      <c r="U534" t="str">
        <f t="shared" si="8"/>
        <v/>
      </c>
    </row>
    <row r="535" spans="3:21" customFormat="1" hidden="1">
      <c r="C535" s="6"/>
      <c r="D535" s="6"/>
      <c r="E535" s="98"/>
      <c r="F535" s="3"/>
      <c r="G535" s="6"/>
      <c r="H535" s="3"/>
      <c r="I535" s="6"/>
      <c r="J535" s="6"/>
      <c r="K535" s="6"/>
      <c r="L535" s="6"/>
      <c r="M535" s="6"/>
      <c r="N535" s="6"/>
      <c r="O535" s="3"/>
      <c r="P535" s="6"/>
      <c r="Q535" s="6"/>
      <c r="R535" s="6"/>
      <c r="S535" s="6"/>
      <c r="T535" s="6"/>
      <c r="U535" t="str">
        <f t="shared" si="8"/>
        <v/>
      </c>
    </row>
    <row r="536" spans="3:21" customFormat="1" hidden="1">
      <c r="C536" s="6"/>
      <c r="D536" s="6"/>
      <c r="E536" s="98"/>
      <c r="F536" s="3"/>
      <c r="G536" s="6"/>
      <c r="H536" s="3"/>
      <c r="I536" s="6"/>
      <c r="J536" s="6"/>
      <c r="K536" s="6"/>
      <c r="L536" s="6"/>
      <c r="M536" s="6"/>
      <c r="N536" s="6"/>
      <c r="O536" s="3"/>
      <c r="P536" s="6"/>
      <c r="Q536" s="6"/>
      <c r="R536" s="6"/>
      <c r="S536" s="6"/>
      <c r="T536" s="6"/>
      <c r="U536" t="str">
        <f t="shared" si="8"/>
        <v/>
      </c>
    </row>
    <row r="537" spans="3:21" customFormat="1" hidden="1">
      <c r="C537" s="6"/>
      <c r="D537" s="6"/>
      <c r="E537" s="98"/>
      <c r="F537" s="3"/>
      <c r="G537" s="6"/>
      <c r="H537" s="3"/>
      <c r="I537" s="6"/>
      <c r="J537" s="6"/>
      <c r="K537" s="6"/>
      <c r="L537" s="6"/>
      <c r="M537" s="6"/>
      <c r="N537" s="6"/>
      <c r="O537" s="3"/>
      <c r="P537" s="6"/>
      <c r="Q537" s="6"/>
      <c r="R537" s="6"/>
      <c r="S537" s="6"/>
      <c r="T537" s="6"/>
      <c r="U537" t="str">
        <f t="shared" si="8"/>
        <v/>
      </c>
    </row>
    <row r="538" spans="3:21" customFormat="1" hidden="1">
      <c r="C538" s="6"/>
      <c r="D538" s="6"/>
      <c r="E538" s="98"/>
      <c r="F538" s="3"/>
      <c r="G538" s="6"/>
      <c r="H538" s="3"/>
      <c r="I538" s="6"/>
      <c r="J538" s="6"/>
      <c r="K538" s="6"/>
      <c r="L538" s="6"/>
      <c r="M538" s="6"/>
      <c r="N538" s="6"/>
      <c r="O538" s="3"/>
      <c r="P538" s="6"/>
      <c r="Q538" s="6"/>
      <c r="R538" s="6"/>
      <c r="S538" s="6"/>
      <c r="T538" s="6"/>
      <c r="U538" t="str">
        <f t="shared" si="8"/>
        <v/>
      </c>
    </row>
    <row r="539" spans="3:21" customFormat="1" hidden="1">
      <c r="C539" s="6"/>
      <c r="D539" s="6"/>
      <c r="E539" s="98"/>
      <c r="F539" s="3"/>
      <c r="G539" s="6"/>
      <c r="H539" s="3"/>
      <c r="I539" s="6"/>
      <c r="J539" s="6"/>
      <c r="K539" s="6"/>
      <c r="L539" s="6"/>
      <c r="M539" s="6"/>
      <c r="N539" s="6"/>
      <c r="O539" s="3"/>
      <c r="P539" s="6"/>
      <c r="Q539" s="6"/>
      <c r="R539" s="6"/>
      <c r="S539" s="6"/>
      <c r="T539" s="6"/>
      <c r="U539" t="str">
        <f t="shared" si="8"/>
        <v/>
      </c>
    </row>
    <row r="540" spans="3:21" customFormat="1" hidden="1">
      <c r="C540" s="6"/>
      <c r="D540" s="6"/>
      <c r="E540" s="98"/>
      <c r="F540" s="3"/>
      <c r="G540" s="6"/>
      <c r="H540" s="3"/>
      <c r="I540" s="6"/>
      <c r="J540" s="6"/>
      <c r="K540" s="6"/>
      <c r="L540" s="6"/>
      <c r="M540" s="6"/>
      <c r="N540" s="6"/>
      <c r="O540" s="3"/>
      <c r="P540" s="6"/>
      <c r="Q540" s="6"/>
      <c r="R540" s="6"/>
      <c r="S540" s="6"/>
      <c r="T540" s="6"/>
      <c r="U540" t="str">
        <f t="shared" si="8"/>
        <v/>
      </c>
    </row>
    <row r="541" spans="3:21" customFormat="1" hidden="1">
      <c r="C541" s="6"/>
      <c r="D541" s="6"/>
      <c r="E541" s="98"/>
      <c r="F541" s="3"/>
      <c r="G541" s="6"/>
      <c r="H541" s="3"/>
      <c r="I541" s="6"/>
      <c r="J541" s="6"/>
      <c r="K541" s="6"/>
      <c r="L541" s="6"/>
      <c r="M541" s="6"/>
      <c r="N541" s="6"/>
      <c r="O541" s="3"/>
      <c r="P541" s="6"/>
      <c r="Q541" s="6"/>
      <c r="R541" s="6"/>
      <c r="S541" s="6"/>
      <c r="T541" s="6"/>
      <c r="U541" t="str">
        <f t="shared" si="8"/>
        <v/>
      </c>
    </row>
    <row r="542" spans="3:21" customFormat="1" hidden="1">
      <c r="C542" s="6"/>
      <c r="D542" s="6"/>
      <c r="E542" s="98"/>
      <c r="F542" s="3"/>
      <c r="G542" s="6"/>
      <c r="H542" s="3"/>
      <c r="I542" s="6"/>
      <c r="J542" s="6"/>
      <c r="K542" s="6"/>
      <c r="L542" s="6"/>
      <c r="M542" s="6"/>
      <c r="N542" s="6"/>
      <c r="O542" s="3"/>
      <c r="P542" s="6"/>
      <c r="Q542" s="6"/>
      <c r="R542" s="6"/>
      <c r="S542" s="6"/>
      <c r="T542" s="6"/>
      <c r="U542" t="str">
        <f t="shared" si="8"/>
        <v/>
      </c>
    </row>
    <row r="543" spans="3:21" customFormat="1" hidden="1">
      <c r="C543" s="6"/>
      <c r="D543" s="6"/>
      <c r="E543" s="98"/>
      <c r="F543" s="3"/>
      <c r="G543" s="6"/>
      <c r="H543" s="3"/>
      <c r="I543" s="6"/>
      <c r="J543" s="6"/>
      <c r="K543" s="6"/>
      <c r="L543" s="6"/>
      <c r="M543" s="6"/>
      <c r="N543" s="6"/>
      <c r="O543" s="3"/>
      <c r="P543" s="6"/>
      <c r="Q543" s="6"/>
      <c r="R543" s="6"/>
      <c r="S543" s="6"/>
      <c r="T543" s="6"/>
      <c r="U543" t="str">
        <f t="shared" si="8"/>
        <v/>
      </c>
    </row>
    <row r="544" spans="3:21" customFormat="1" hidden="1">
      <c r="C544" s="6"/>
      <c r="D544" s="6"/>
      <c r="E544" s="98"/>
      <c r="F544" s="3"/>
      <c r="G544" s="6"/>
      <c r="H544" s="3"/>
      <c r="I544" s="6"/>
      <c r="J544" s="6"/>
      <c r="K544" s="6"/>
      <c r="L544" s="6"/>
      <c r="M544" s="6"/>
      <c r="N544" s="6"/>
      <c r="O544" s="3"/>
      <c r="P544" s="6"/>
      <c r="Q544" s="6"/>
      <c r="R544" s="6"/>
      <c r="S544" s="6"/>
      <c r="T544" s="6"/>
      <c r="U544" t="str">
        <f t="shared" si="8"/>
        <v/>
      </c>
    </row>
    <row r="545" spans="3:21" customFormat="1" hidden="1">
      <c r="C545" s="6"/>
      <c r="D545" s="6"/>
      <c r="E545" s="98"/>
      <c r="F545" s="3"/>
      <c r="G545" s="6"/>
      <c r="H545" s="3"/>
      <c r="I545" s="6"/>
      <c r="J545" s="6"/>
      <c r="K545" s="6"/>
      <c r="L545" s="6"/>
      <c r="M545" s="6"/>
      <c r="N545" s="6"/>
      <c r="O545" s="3"/>
      <c r="P545" s="6"/>
      <c r="Q545" s="6"/>
      <c r="R545" s="6"/>
      <c r="S545" s="6"/>
      <c r="T545" s="6"/>
      <c r="U545" t="str">
        <f t="shared" si="8"/>
        <v/>
      </c>
    </row>
    <row r="546" spans="3:21" customFormat="1" hidden="1">
      <c r="C546" s="6"/>
      <c r="D546" s="6"/>
      <c r="E546" s="98"/>
      <c r="F546" s="3"/>
      <c r="G546" s="6"/>
      <c r="H546" s="3"/>
      <c r="I546" s="6"/>
      <c r="J546" s="6"/>
      <c r="K546" s="6"/>
      <c r="L546" s="6"/>
      <c r="M546" s="6"/>
      <c r="N546" s="6"/>
      <c r="O546" s="3"/>
      <c r="P546" s="6"/>
      <c r="Q546" s="6"/>
      <c r="R546" s="6"/>
      <c r="S546" s="6"/>
      <c r="T546" s="6"/>
      <c r="U546" t="str">
        <f t="shared" si="8"/>
        <v/>
      </c>
    </row>
    <row r="547" spans="3:21" customFormat="1" hidden="1">
      <c r="C547" s="6"/>
      <c r="D547" s="6"/>
      <c r="E547" s="98"/>
      <c r="F547" s="3"/>
      <c r="G547" s="6"/>
      <c r="H547" s="3"/>
      <c r="I547" s="6"/>
      <c r="J547" s="6"/>
      <c r="K547" s="6"/>
      <c r="L547" s="6"/>
      <c r="M547" s="6"/>
      <c r="N547" s="6"/>
      <c r="O547" s="3"/>
      <c r="P547" s="6"/>
      <c r="Q547" s="6"/>
      <c r="R547" s="6"/>
      <c r="S547" s="6"/>
      <c r="T547" s="6"/>
      <c r="U547" t="str">
        <f t="shared" si="8"/>
        <v/>
      </c>
    </row>
    <row r="548" spans="3:21" customFormat="1" hidden="1">
      <c r="C548" s="6"/>
      <c r="D548" s="6"/>
      <c r="E548" s="98"/>
      <c r="F548" s="3"/>
      <c r="G548" s="6"/>
      <c r="H548" s="3"/>
      <c r="I548" s="6"/>
      <c r="J548" s="6"/>
      <c r="K548" s="6"/>
      <c r="L548" s="6"/>
      <c r="M548" s="6"/>
      <c r="N548" s="6"/>
      <c r="O548" s="3"/>
      <c r="P548" s="6"/>
      <c r="Q548" s="6"/>
      <c r="R548" s="6"/>
      <c r="S548" s="6"/>
      <c r="T548" s="6"/>
      <c r="U548" t="str">
        <f t="shared" si="8"/>
        <v/>
      </c>
    </row>
    <row r="549" spans="3:21" customFormat="1" hidden="1">
      <c r="C549" s="6"/>
      <c r="D549" s="6"/>
      <c r="E549" s="98"/>
      <c r="F549" s="3"/>
      <c r="G549" s="6"/>
      <c r="H549" s="3"/>
      <c r="I549" s="6"/>
      <c r="J549" s="6"/>
      <c r="K549" s="6"/>
      <c r="L549" s="6"/>
      <c r="M549" s="6"/>
      <c r="N549" s="6"/>
      <c r="O549" s="3"/>
      <c r="P549" s="6"/>
      <c r="Q549" s="6"/>
      <c r="R549" s="6"/>
      <c r="S549" s="6"/>
      <c r="T549" s="6"/>
      <c r="U549" t="str">
        <f t="shared" si="8"/>
        <v/>
      </c>
    </row>
    <row r="550" spans="3:21" customFormat="1" hidden="1">
      <c r="C550" s="6"/>
      <c r="D550" s="6"/>
      <c r="E550" s="98"/>
      <c r="F550" s="3"/>
      <c r="G550" s="6"/>
      <c r="H550" s="3"/>
      <c r="I550" s="6"/>
      <c r="J550" s="6"/>
      <c r="K550" s="6"/>
      <c r="L550" s="6"/>
      <c r="M550" s="6"/>
      <c r="N550" s="6"/>
      <c r="O550" s="3"/>
      <c r="P550" s="6"/>
      <c r="Q550" s="6"/>
      <c r="R550" s="6"/>
      <c r="S550" s="6"/>
      <c r="T550" s="6"/>
      <c r="U550" t="str">
        <f t="shared" si="8"/>
        <v/>
      </c>
    </row>
    <row r="551" spans="3:21" customFormat="1" hidden="1">
      <c r="C551" s="6"/>
      <c r="D551" s="6"/>
      <c r="E551" s="98"/>
      <c r="F551" s="3"/>
      <c r="G551" s="6"/>
      <c r="H551" s="3"/>
      <c r="I551" s="6"/>
      <c r="J551" s="6"/>
      <c r="K551" s="6"/>
      <c r="L551" s="6"/>
      <c r="M551" s="6"/>
      <c r="N551" s="6"/>
      <c r="O551" s="3"/>
      <c r="P551" s="6"/>
      <c r="Q551" s="6"/>
      <c r="R551" s="6"/>
      <c r="S551" s="6"/>
      <c r="T551" s="6"/>
      <c r="U551" t="str">
        <f t="shared" si="8"/>
        <v/>
      </c>
    </row>
    <row r="552" spans="3:21" customFormat="1" hidden="1">
      <c r="C552" s="6"/>
      <c r="D552" s="6"/>
      <c r="E552" s="98"/>
      <c r="F552" s="3"/>
      <c r="G552" s="6"/>
      <c r="H552" s="3"/>
      <c r="I552" s="6"/>
      <c r="J552" s="6"/>
      <c r="K552" s="6"/>
      <c r="L552" s="6"/>
      <c r="M552" s="6"/>
      <c r="N552" s="6"/>
      <c r="O552" s="3"/>
      <c r="P552" s="6"/>
      <c r="Q552" s="6"/>
      <c r="R552" s="6"/>
      <c r="S552" s="6"/>
      <c r="T552" s="6"/>
      <c r="U552" t="str">
        <f t="shared" si="8"/>
        <v/>
      </c>
    </row>
    <row r="553" spans="3:21" customFormat="1" hidden="1">
      <c r="C553" s="6"/>
      <c r="D553" s="6"/>
      <c r="E553" s="98"/>
      <c r="F553" s="3"/>
      <c r="G553" s="6"/>
      <c r="H553" s="3"/>
      <c r="I553" s="6"/>
      <c r="J553" s="6"/>
      <c r="K553" s="6"/>
      <c r="L553" s="6"/>
      <c r="M553" s="6"/>
      <c r="N553" s="6"/>
      <c r="O553" s="3"/>
      <c r="P553" s="6"/>
      <c r="Q553" s="6"/>
      <c r="R553" s="6"/>
      <c r="S553" s="6"/>
      <c r="T553" s="6"/>
      <c r="U553" t="str">
        <f t="shared" si="8"/>
        <v/>
      </c>
    </row>
    <row r="554" spans="3:21" customFormat="1" hidden="1">
      <c r="C554" s="6"/>
      <c r="D554" s="6"/>
      <c r="E554" s="98"/>
      <c r="F554" s="3"/>
      <c r="G554" s="6"/>
      <c r="H554" s="3"/>
      <c r="I554" s="6"/>
      <c r="J554" s="6"/>
      <c r="K554" s="6"/>
      <c r="L554" s="6"/>
      <c r="M554" s="6"/>
      <c r="N554" s="6"/>
      <c r="O554" s="3"/>
      <c r="P554" s="6"/>
      <c r="Q554" s="6"/>
      <c r="R554" s="6"/>
      <c r="S554" s="6"/>
      <c r="T554" s="6"/>
      <c r="U554" t="str">
        <f t="shared" si="8"/>
        <v/>
      </c>
    </row>
    <row r="555" spans="3:21" customFormat="1" hidden="1">
      <c r="C555" s="6"/>
      <c r="D555" s="6"/>
      <c r="E555" s="98"/>
      <c r="F555" s="3"/>
      <c r="G555" s="6"/>
      <c r="H555" s="3"/>
      <c r="I555" s="6"/>
      <c r="J555" s="6"/>
      <c r="K555" s="6"/>
      <c r="L555" s="6"/>
      <c r="M555" s="6"/>
      <c r="N555" s="6"/>
      <c r="O555" s="3"/>
      <c r="P555" s="6"/>
      <c r="Q555" s="6"/>
      <c r="R555" s="6"/>
      <c r="S555" s="6"/>
      <c r="T555" s="6"/>
      <c r="U555" t="str">
        <f t="shared" si="8"/>
        <v/>
      </c>
    </row>
    <row r="556" spans="3:21" customFormat="1" hidden="1">
      <c r="C556" s="6"/>
      <c r="D556" s="6"/>
      <c r="E556" s="98"/>
      <c r="F556" s="3"/>
      <c r="G556" s="6"/>
      <c r="H556" s="3"/>
      <c r="I556" s="6"/>
      <c r="J556" s="6"/>
      <c r="K556" s="6"/>
      <c r="L556" s="6"/>
      <c r="M556" s="6"/>
      <c r="N556" s="6"/>
      <c r="O556" s="3"/>
      <c r="P556" s="6"/>
      <c r="Q556" s="6"/>
      <c r="R556" s="6"/>
      <c r="S556" s="6"/>
      <c r="T556" s="6"/>
      <c r="U556" t="str">
        <f t="shared" si="8"/>
        <v/>
      </c>
    </row>
    <row r="557" spans="3:21" customFormat="1" hidden="1">
      <c r="C557" s="6"/>
      <c r="D557" s="6"/>
      <c r="E557" s="98"/>
      <c r="F557" s="3"/>
      <c r="G557" s="6"/>
      <c r="H557" s="3"/>
      <c r="I557" s="6"/>
      <c r="J557" s="6"/>
      <c r="K557" s="6"/>
      <c r="L557" s="6"/>
      <c r="M557" s="6"/>
      <c r="N557" s="6"/>
      <c r="O557" s="3"/>
      <c r="P557" s="6"/>
      <c r="Q557" s="6"/>
      <c r="R557" s="6"/>
      <c r="S557" s="6"/>
      <c r="T557" s="6"/>
      <c r="U557" t="str">
        <f t="shared" si="8"/>
        <v/>
      </c>
    </row>
    <row r="558" spans="3:21" customFormat="1" hidden="1">
      <c r="C558" s="6"/>
      <c r="D558" s="6"/>
      <c r="E558" s="98"/>
      <c r="F558" s="3"/>
      <c r="G558" s="6"/>
      <c r="H558" s="3"/>
      <c r="I558" s="6"/>
      <c r="J558" s="6"/>
      <c r="K558" s="6"/>
      <c r="L558" s="6"/>
      <c r="M558" s="6"/>
      <c r="N558" s="6"/>
      <c r="O558" s="3"/>
      <c r="P558" s="6"/>
      <c r="Q558" s="6"/>
      <c r="R558" s="6"/>
      <c r="S558" s="6"/>
      <c r="T558" s="6"/>
      <c r="U558" t="str">
        <f t="shared" si="8"/>
        <v/>
      </c>
    </row>
    <row r="559" spans="3:21" customFormat="1" hidden="1">
      <c r="C559" s="6"/>
      <c r="D559" s="6"/>
      <c r="E559" s="98"/>
      <c r="F559" s="3"/>
      <c r="G559" s="6"/>
      <c r="H559" s="3"/>
      <c r="I559" s="6"/>
      <c r="J559" s="6"/>
      <c r="K559" s="6"/>
      <c r="L559" s="6"/>
      <c r="M559" s="6"/>
      <c r="N559" s="6"/>
      <c r="O559" s="3"/>
      <c r="P559" s="6"/>
      <c r="Q559" s="6"/>
      <c r="R559" s="6"/>
      <c r="S559" s="6"/>
      <c r="T559" s="6"/>
      <c r="U559" t="str">
        <f t="shared" si="8"/>
        <v/>
      </c>
    </row>
    <row r="560" spans="3:21" customFormat="1" hidden="1">
      <c r="C560" s="6"/>
      <c r="D560" s="6"/>
      <c r="E560" s="98"/>
      <c r="F560" s="3"/>
      <c r="G560" s="6"/>
      <c r="H560" s="3"/>
      <c r="I560" s="6"/>
      <c r="J560" s="6"/>
      <c r="K560" s="6"/>
      <c r="L560" s="6"/>
      <c r="M560" s="6"/>
      <c r="N560" s="6"/>
      <c r="O560" s="3"/>
      <c r="P560" s="6"/>
      <c r="Q560" s="6"/>
      <c r="R560" s="6"/>
      <c r="S560" s="6"/>
      <c r="T560" s="6"/>
      <c r="U560" t="str">
        <f t="shared" si="8"/>
        <v/>
      </c>
    </row>
    <row r="561" spans="3:21" customFormat="1" hidden="1">
      <c r="C561" s="6"/>
      <c r="D561" s="6"/>
      <c r="E561" s="98"/>
      <c r="F561" s="3"/>
      <c r="G561" s="6"/>
      <c r="H561" s="3"/>
      <c r="I561" s="6"/>
      <c r="J561" s="6"/>
      <c r="K561" s="6"/>
      <c r="L561" s="6"/>
      <c r="M561" s="6"/>
      <c r="N561" s="6"/>
      <c r="O561" s="3"/>
      <c r="P561" s="6"/>
      <c r="Q561" s="6"/>
      <c r="R561" s="6"/>
      <c r="S561" s="6"/>
      <c r="T561" s="6"/>
      <c r="U561" t="str">
        <f t="shared" si="8"/>
        <v/>
      </c>
    </row>
    <row r="562" spans="3:21" customFormat="1" hidden="1">
      <c r="C562" s="6"/>
      <c r="D562" s="6"/>
      <c r="E562" s="98"/>
      <c r="F562" s="3"/>
      <c r="G562" s="6"/>
      <c r="H562" s="3"/>
      <c r="I562" s="6"/>
      <c r="J562" s="6"/>
      <c r="K562" s="6"/>
      <c r="L562" s="6"/>
      <c r="M562" s="6"/>
      <c r="N562" s="6"/>
      <c r="O562" s="3"/>
      <c r="P562" s="6"/>
      <c r="Q562" s="6"/>
      <c r="R562" s="6"/>
      <c r="S562" s="6"/>
      <c r="T562" s="6"/>
      <c r="U562" t="str">
        <f t="shared" si="8"/>
        <v/>
      </c>
    </row>
    <row r="563" spans="3:21" customFormat="1" hidden="1">
      <c r="C563" s="6"/>
      <c r="D563" s="6"/>
      <c r="E563" s="98"/>
      <c r="F563" s="3"/>
      <c r="G563" s="6"/>
      <c r="H563" s="3"/>
      <c r="I563" s="6"/>
      <c r="J563" s="6"/>
      <c r="K563" s="6"/>
      <c r="L563" s="6"/>
      <c r="M563" s="6"/>
      <c r="N563" s="6"/>
      <c r="O563" s="3"/>
      <c r="P563" s="6"/>
      <c r="Q563" s="6"/>
      <c r="R563" s="6"/>
      <c r="S563" s="6"/>
      <c r="T563" s="6"/>
      <c r="U563" t="str">
        <f t="shared" si="8"/>
        <v/>
      </c>
    </row>
    <row r="564" spans="3:21" customFormat="1" hidden="1">
      <c r="C564" s="6"/>
      <c r="D564" s="6"/>
      <c r="E564" s="98"/>
      <c r="F564" s="3"/>
      <c r="G564" s="6"/>
      <c r="H564" s="3"/>
      <c r="I564" s="6"/>
      <c r="J564" s="6"/>
      <c r="K564" s="6"/>
      <c r="L564" s="6"/>
      <c r="M564" s="6"/>
      <c r="N564" s="6"/>
      <c r="O564" s="3"/>
      <c r="P564" s="6"/>
      <c r="Q564" s="6"/>
      <c r="R564" s="6"/>
      <c r="S564" s="6"/>
      <c r="T564" s="6"/>
      <c r="U564" t="str">
        <f t="shared" si="8"/>
        <v/>
      </c>
    </row>
    <row r="565" spans="3:21" customFormat="1" hidden="1">
      <c r="C565" s="6"/>
      <c r="D565" s="6"/>
      <c r="E565" s="98"/>
      <c r="F565" s="3"/>
      <c r="G565" s="6"/>
      <c r="H565" s="3"/>
      <c r="I565" s="6"/>
      <c r="J565" s="6"/>
      <c r="K565" s="6"/>
      <c r="L565" s="6"/>
      <c r="M565" s="6"/>
      <c r="N565" s="6"/>
      <c r="O565" s="3"/>
      <c r="P565" s="6"/>
      <c r="Q565" s="6"/>
      <c r="R565" s="6"/>
      <c r="S565" s="6"/>
      <c r="T565" s="6"/>
      <c r="U565" t="str">
        <f t="shared" si="8"/>
        <v/>
      </c>
    </row>
    <row r="566" spans="3:21" customFormat="1" hidden="1">
      <c r="C566" s="6"/>
      <c r="D566" s="6"/>
      <c r="E566" s="98"/>
      <c r="F566" s="3"/>
      <c r="G566" s="6"/>
      <c r="H566" s="3"/>
      <c r="I566" s="6"/>
      <c r="J566" s="6"/>
      <c r="K566" s="6"/>
      <c r="L566" s="6"/>
      <c r="M566" s="6"/>
      <c r="N566" s="6"/>
      <c r="O566" s="3"/>
      <c r="P566" s="6"/>
      <c r="Q566" s="6"/>
      <c r="R566" s="6"/>
      <c r="S566" s="6"/>
      <c r="T566" s="6"/>
      <c r="U566" t="str">
        <f t="shared" si="8"/>
        <v/>
      </c>
    </row>
    <row r="567" spans="3:21" customFormat="1" hidden="1">
      <c r="C567" s="6"/>
      <c r="D567" s="6"/>
      <c r="E567" s="98"/>
      <c r="F567" s="3"/>
      <c r="G567" s="6"/>
      <c r="H567" s="3"/>
      <c r="I567" s="6"/>
      <c r="J567" s="6"/>
      <c r="K567" s="6"/>
      <c r="L567" s="6"/>
      <c r="M567" s="6"/>
      <c r="N567" s="6"/>
      <c r="O567" s="3"/>
      <c r="P567" s="6"/>
      <c r="Q567" s="6"/>
      <c r="R567" s="6"/>
      <c r="S567" s="6"/>
      <c r="T567" s="6"/>
      <c r="U567" t="str">
        <f t="shared" si="8"/>
        <v/>
      </c>
    </row>
    <row r="568" spans="3:21" customFormat="1" hidden="1">
      <c r="C568" s="6"/>
      <c r="D568" s="6"/>
      <c r="E568" s="98"/>
      <c r="F568" s="3"/>
      <c r="G568" s="6"/>
      <c r="H568" s="3"/>
      <c r="I568" s="6"/>
      <c r="J568" s="6"/>
      <c r="K568" s="6"/>
      <c r="L568" s="6"/>
      <c r="M568" s="6"/>
      <c r="N568" s="6"/>
      <c r="O568" s="3"/>
      <c r="P568" s="6"/>
      <c r="Q568" s="6"/>
      <c r="R568" s="6"/>
      <c r="S568" s="6"/>
      <c r="T568" s="6"/>
      <c r="U568" t="str">
        <f t="shared" si="8"/>
        <v/>
      </c>
    </row>
    <row r="569" spans="3:21" customFormat="1" hidden="1">
      <c r="C569" s="6"/>
      <c r="D569" s="6"/>
      <c r="E569" s="98"/>
      <c r="F569" s="3"/>
      <c r="G569" s="6"/>
      <c r="H569" s="3"/>
      <c r="I569" s="6"/>
      <c r="J569" s="6"/>
      <c r="K569" s="6"/>
      <c r="L569" s="6"/>
      <c r="M569" s="6"/>
      <c r="N569" s="6"/>
      <c r="O569" s="3"/>
      <c r="P569" s="6"/>
      <c r="Q569" s="6"/>
      <c r="R569" s="6"/>
      <c r="S569" s="6"/>
      <c r="T569" s="6"/>
      <c r="U569" t="str">
        <f t="shared" si="8"/>
        <v/>
      </c>
    </row>
    <row r="570" spans="3:21" customFormat="1" hidden="1">
      <c r="C570" s="6"/>
      <c r="D570" s="6"/>
      <c r="E570" s="98"/>
      <c r="F570" s="3"/>
      <c r="G570" s="6"/>
      <c r="H570" s="3"/>
      <c r="I570" s="6"/>
      <c r="J570" s="6"/>
      <c r="K570" s="6"/>
      <c r="L570" s="6"/>
      <c r="M570" s="6"/>
      <c r="N570" s="6"/>
      <c r="O570" s="3"/>
      <c r="P570" s="6"/>
      <c r="Q570" s="6"/>
      <c r="R570" s="6"/>
      <c r="S570" s="6"/>
      <c r="T570" s="6"/>
      <c r="U570" t="str">
        <f t="shared" si="8"/>
        <v/>
      </c>
    </row>
    <row r="571" spans="3:21" customFormat="1" hidden="1">
      <c r="C571" s="6"/>
      <c r="D571" s="6"/>
      <c r="E571" s="98"/>
      <c r="F571" s="3"/>
      <c r="G571" s="6"/>
      <c r="H571" s="3"/>
      <c r="I571" s="6"/>
      <c r="J571" s="6"/>
      <c r="K571" s="6"/>
      <c r="L571" s="6"/>
      <c r="M571" s="6"/>
      <c r="N571" s="6"/>
      <c r="O571" s="3"/>
      <c r="P571" s="6"/>
      <c r="Q571" s="6"/>
      <c r="R571" s="6"/>
      <c r="S571" s="6"/>
      <c r="T571" s="6"/>
      <c r="U571" t="str">
        <f t="shared" si="8"/>
        <v/>
      </c>
    </row>
    <row r="572" spans="3:21" customFormat="1" hidden="1">
      <c r="C572" s="6"/>
      <c r="D572" s="6"/>
      <c r="E572" s="98"/>
      <c r="F572" s="3"/>
      <c r="G572" s="6"/>
      <c r="H572" s="3"/>
      <c r="I572" s="6"/>
      <c r="J572" s="6"/>
      <c r="K572" s="6"/>
      <c r="L572" s="6"/>
      <c r="M572" s="6"/>
      <c r="N572" s="6"/>
      <c r="O572" s="3"/>
      <c r="P572" s="6"/>
      <c r="Q572" s="6"/>
      <c r="R572" s="6"/>
      <c r="S572" s="6"/>
      <c r="T572" s="6"/>
      <c r="U572" t="str">
        <f t="shared" si="8"/>
        <v/>
      </c>
    </row>
    <row r="573" spans="3:21" customFormat="1" hidden="1">
      <c r="C573" s="6"/>
      <c r="D573" s="6"/>
      <c r="E573" s="98"/>
      <c r="F573" s="3"/>
      <c r="G573" s="6"/>
      <c r="H573" s="3"/>
      <c r="I573" s="6"/>
      <c r="J573" s="6"/>
      <c r="K573" s="6"/>
      <c r="L573" s="6"/>
      <c r="M573" s="6"/>
      <c r="N573" s="6"/>
      <c r="O573" s="3"/>
      <c r="P573" s="6"/>
      <c r="Q573" s="6"/>
      <c r="R573" s="6"/>
      <c r="S573" s="6"/>
      <c r="T573" s="6"/>
      <c r="U573" t="str">
        <f t="shared" si="8"/>
        <v/>
      </c>
    </row>
    <row r="574" spans="3:21" customFormat="1" hidden="1">
      <c r="C574" s="6"/>
      <c r="D574" s="6"/>
      <c r="E574" s="98"/>
      <c r="F574" s="3"/>
      <c r="G574" s="6"/>
      <c r="H574" s="3"/>
      <c r="I574" s="6"/>
      <c r="J574" s="6"/>
      <c r="K574" s="6"/>
      <c r="L574" s="6"/>
      <c r="M574" s="6"/>
      <c r="N574" s="6"/>
      <c r="O574" s="3"/>
      <c r="P574" s="6"/>
      <c r="Q574" s="6"/>
      <c r="R574" s="6"/>
      <c r="S574" s="6"/>
      <c r="T574" s="6"/>
      <c r="U574" t="str">
        <f t="shared" si="8"/>
        <v/>
      </c>
    </row>
    <row r="575" spans="3:21" customFormat="1" hidden="1">
      <c r="C575" s="6"/>
      <c r="D575" s="6"/>
      <c r="E575" s="98"/>
      <c r="F575" s="3"/>
      <c r="G575" s="6"/>
      <c r="H575" s="3"/>
      <c r="I575" s="6"/>
      <c r="J575" s="6"/>
      <c r="K575" s="6"/>
      <c r="L575" s="6"/>
      <c r="M575" s="6"/>
      <c r="N575" s="6"/>
      <c r="O575" s="3"/>
      <c r="P575" s="6"/>
      <c r="Q575" s="6"/>
      <c r="R575" s="6"/>
      <c r="S575" s="6"/>
      <c r="T575" s="6"/>
      <c r="U575" t="str">
        <f t="shared" si="8"/>
        <v/>
      </c>
    </row>
    <row r="576" spans="3:21" customFormat="1" hidden="1">
      <c r="C576" s="6"/>
      <c r="D576" s="6"/>
      <c r="E576" s="98"/>
      <c r="F576" s="3"/>
      <c r="G576" s="6"/>
      <c r="H576" s="3"/>
      <c r="I576" s="6"/>
      <c r="J576" s="6"/>
      <c r="K576" s="6"/>
      <c r="L576" s="6"/>
      <c r="M576" s="6"/>
      <c r="N576" s="6"/>
      <c r="O576" s="3"/>
      <c r="P576" s="6"/>
      <c r="Q576" s="6"/>
      <c r="R576" s="6"/>
      <c r="S576" s="6"/>
      <c r="T576" s="6"/>
      <c r="U576" t="str">
        <f t="shared" si="8"/>
        <v/>
      </c>
    </row>
    <row r="577" spans="3:21" customFormat="1" hidden="1">
      <c r="C577" s="6"/>
      <c r="D577" s="6"/>
      <c r="E577" s="98"/>
      <c r="F577" s="3"/>
      <c r="G577" s="6"/>
      <c r="H577" s="3"/>
      <c r="I577" s="6"/>
      <c r="J577" s="6"/>
      <c r="K577" s="6"/>
      <c r="L577" s="6"/>
      <c r="M577" s="6"/>
      <c r="N577" s="6"/>
      <c r="O577" s="3"/>
      <c r="P577" s="6"/>
      <c r="Q577" s="6"/>
      <c r="R577" s="6"/>
      <c r="S577" s="6"/>
      <c r="T577" s="6"/>
      <c r="U577" t="str">
        <f t="shared" si="8"/>
        <v/>
      </c>
    </row>
    <row r="578" spans="3:21" customFormat="1" hidden="1">
      <c r="C578" s="6"/>
      <c r="D578" s="6"/>
      <c r="E578" s="98"/>
      <c r="F578" s="3"/>
      <c r="G578" s="6"/>
      <c r="H578" s="3"/>
      <c r="I578" s="6"/>
      <c r="J578" s="6"/>
      <c r="K578" s="6"/>
      <c r="L578" s="6"/>
      <c r="M578" s="6"/>
      <c r="N578" s="6"/>
      <c r="O578" s="3"/>
      <c r="P578" s="6"/>
      <c r="Q578" s="6"/>
      <c r="R578" s="6"/>
      <c r="S578" s="6"/>
      <c r="T578" s="6"/>
      <c r="U578" t="str">
        <f t="shared" si="8"/>
        <v/>
      </c>
    </row>
    <row r="579" spans="3:21" customFormat="1" hidden="1">
      <c r="C579" s="6"/>
      <c r="D579" s="6"/>
      <c r="E579" s="98"/>
      <c r="F579" s="3"/>
      <c r="G579" s="6"/>
      <c r="H579" s="3"/>
      <c r="I579" s="6"/>
      <c r="J579" s="6"/>
      <c r="K579" s="6"/>
      <c r="L579" s="6"/>
      <c r="M579" s="6"/>
      <c r="N579" s="6"/>
      <c r="O579" s="3"/>
      <c r="P579" s="6"/>
      <c r="Q579" s="6"/>
      <c r="R579" s="6"/>
      <c r="S579" s="6"/>
      <c r="T579" s="6"/>
      <c r="U579" t="str">
        <f t="shared" si="8"/>
        <v/>
      </c>
    </row>
    <row r="580" spans="3:21" customFormat="1" hidden="1">
      <c r="C580" s="6"/>
      <c r="D580" s="6"/>
      <c r="E580" s="98"/>
      <c r="F580" s="3"/>
      <c r="G580" s="6"/>
      <c r="H580" s="3"/>
      <c r="I580" s="6"/>
      <c r="J580" s="6"/>
      <c r="K580" s="6"/>
      <c r="L580" s="6"/>
      <c r="M580" s="6"/>
      <c r="N580" s="6"/>
      <c r="O580" s="3"/>
      <c r="P580" s="6"/>
      <c r="Q580" s="6"/>
      <c r="R580" s="6"/>
      <c r="S580" s="6"/>
      <c r="T580" s="6"/>
      <c r="U580" t="str">
        <f t="shared" si="8"/>
        <v/>
      </c>
    </row>
    <row r="581" spans="3:21" customFormat="1" hidden="1">
      <c r="C581" s="6"/>
      <c r="D581" s="6"/>
      <c r="E581" s="98"/>
      <c r="F581" s="3"/>
      <c r="G581" s="6"/>
      <c r="H581" s="3"/>
      <c r="I581" s="6"/>
      <c r="J581" s="6"/>
      <c r="K581" s="6"/>
      <c r="L581" s="6"/>
      <c r="M581" s="6"/>
      <c r="N581" s="6"/>
      <c r="O581" s="3"/>
      <c r="P581" s="6"/>
      <c r="Q581" s="6"/>
      <c r="R581" s="6"/>
      <c r="S581" s="6"/>
      <c r="T581" s="6"/>
      <c r="U581" t="str">
        <f t="shared" si="8"/>
        <v/>
      </c>
    </row>
    <row r="582" spans="3:21" customFormat="1" hidden="1">
      <c r="C582" s="6"/>
      <c r="D582" s="6"/>
      <c r="E582" s="98"/>
      <c r="F582" s="3"/>
      <c r="G582" s="6"/>
      <c r="H582" s="3"/>
      <c r="I582" s="6"/>
      <c r="J582" s="6"/>
      <c r="K582" s="6"/>
      <c r="L582" s="6"/>
      <c r="M582" s="6"/>
      <c r="N582" s="6"/>
      <c r="O582" s="3"/>
      <c r="P582" s="6"/>
      <c r="Q582" s="6"/>
      <c r="R582" s="6"/>
      <c r="S582" s="6"/>
      <c r="T582" s="6"/>
      <c r="U582" t="str">
        <f t="shared" si="8"/>
        <v/>
      </c>
    </row>
    <row r="583" spans="3:21" customFormat="1" hidden="1">
      <c r="C583" s="6"/>
      <c r="D583" s="6"/>
      <c r="E583" s="98"/>
      <c r="F583" s="3"/>
      <c r="G583" s="6"/>
      <c r="H583" s="3"/>
      <c r="I583" s="6"/>
      <c r="J583" s="6"/>
      <c r="K583" s="6"/>
      <c r="L583" s="6"/>
      <c r="M583" s="6"/>
      <c r="N583" s="6"/>
      <c r="O583" s="3"/>
      <c r="P583" s="6"/>
      <c r="Q583" s="6"/>
      <c r="R583" s="6"/>
      <c r="S583" s="6"/>
      <c r="T583" s="6"/>
      <c r="U583" t="str">
        <f t="shared" ref="U583:U646" si="9">IF(D583="","","x")</f>
        <v/>
      </c>
    </row>
    <row r="584" spans="3:21" customFormat="1" hidden="1">
      <c r="C584" s="6"/>
      <c r="D584" s="6"/>
      <c r="E584" s="98"/>
      <c r="F584" s="3"/>
      <c r="G584" s="6"/>
      <c r="H584" s="3"/>
      <c r="I584" s="6"/>
      <c r="J584" s="6"/>
      <c r="K584" s="6"/>
      <c r="L584" s="6"/>
      <c r="M584" s="6"/>
      <c r="N584" s="6"/>
      <c r="O584" s="3"/>
      <c r="P584" s="6"/>
      <c r="Q584" s="6"/>
      <c r="R584" s="6"/>
      <c r="S584" s="6"/>
      <c r="T584" s="6"/>
      <c r="U584" t="str">
        <f t="shared" si="9"/>
        <v/>
      </c>
    </row>
    <row r="585" spans="3:21" customFormat="1" hidden="1">
      <c r="C585" s="6"/>
      <c r="D585" s="6"/>
      <c r="E585" s="98"/>
      <c r="F585" s="3"/>
      <c r="G585" s="6"/>
      <c r="H585" s="3"/>
      <c r="I585" s="6"/>
      <c r="J585" s="6"/>
      <c r="K585" s="6"/>
      <c r="L585" s="6"/>
      <c r="M585" s="6"/>
      <c r="N585" s="6"/>
      <c r="O585" s="3"/>
      <c r="P585" s="6"/>
      <c r="Q585" s="6"/>
      <c r="R585" s="6"/>
      <c r="S585" s="6"/>
      <c r="T585" s="6"/>
      <c r="U585" t="str">
        <f t="shared" si="9"/>
        <v/>
      </c>
    </row>
    <row r="586" spans="3:21" customFormat="1" hidden="1">
      <c r="C586" s="6"/>
      <c r="D586" s="6"/>
      <c r="E586" s="98"/>
      <c r="F586" s="3"/>
      <c r="G586" s="6"/>
      <c r="H586" s="3"/>
      <c r="I586" s="6"/>
      <c r="J586" s="6"/>
      <c r="K586" s="6"/>
      <c r="L586" s="6"/>
      <c r="M586" s="6"/>
      <c r="N586" s="6"/>
      <c r="O586" s="3"/>
      <c r="P586" s="6"/>
      <c r="Q586" s="6"/>
      <c r="R586" s="6"/>
      <c r="S586" s="6"/>
      <c r="T586" s="6"/>
      <c r="U586" t="str">
        <f t="shared" si="9"/>
        <v/>
      </c>
    </row>
    <row r="587" spans="3:21" customFormat="1" hidden="1">
      <c r="C587" s="6"/>
      <c r="D587" s="6"/>
      <c r="E587" s="98"/>
      <c r="F587" s="3"/>
      <c r="G587" s="6"/>
      <c r="H587" s="3"/>
      <c r="I587" s="6"/>
      <c r="J587" s="6"/>
      <c r="K587" s="6"/>
      <c r="L587" s="6"/>
      <c r="M587" s="6"/>
      <c r="N587" s="6"/>
      <c r="O587" s="3"/>
      <c r="P587" s="6"/>
      <c r="Q587" s="6"/>
      <c r="R587" s="6"/>
      <c r="S587" s="6"/>
      <c r="T587" s="6"/>
      <c r="U587" t="str">
        <f t="shared" si="9"/>
        <v/>
      </c>
    </row>
    <row r="588" spans="3:21" customFormat="1" hidden="1">
      <c r="C588" s="6"/>
      <c r="D588" s="6"/>
      <c r="E588" s="98"/>
      <c r="F588" s="3"/>
      <c r="G588" s="6"/>
      <c r="H588" s="3"/>
      <c r="I588" s="6"/>
      <c r="J588" s="6"/>
      <c r="K588" s="6"/>
      <c r="L588" s="6"/>
      <c r="M588" s="6"/>
      <c r="N588" s="6"/>
      <c r="O588" s="3"/>
      <c r="P588" s="6"/>
      <c r="Q588" s="6"/>
      <c r="R588" s="6"/>
      <c r="S588" s="6"/>
      <c r="T588" s="6"/>
      <c r="U588" t="str">
        <f t="shared" si="9"/>
        <v/>
      </c>
    </row>
    <row r="589" spans="3:21" customFormat="1" hidden="1">
      <c r="C589" s="6"/>
      <c r="D589" s="6"/>
      <c r="E589" s="98"/>
      <c r="F589" s="3"/>
      <c r="G589" s="6"/>
      <c r="H589" s="3"/>
      <c r="I589" s="6"/>
      <c r="J589" s="6"/>
      <c r="K589" s="6"/>
      <c r="L589" s="6"/>
      <c r="M589" s="6"/>
      <c r="N589" s="6"/>
      <c r="O589" s="3"/>
      <c r="P589" s="6"/>
      <c r="Q589" s="6"/>
      <c r="R589" s="6"/>
      <c r="S589" s="6"/>
      <c r="T589" s="6"/>
      <c r="U589" t="str">
        <f t="shared" si="9"/>
        <v/>
      </c>
    </row>
    <row r="590" spans="3:21" customFormat="1" hidden="1">
      <c r="C590" s="6"/>
      <c r="D590" s="6"/>
      <c r="E590" s="98"/>
      <c r="F590" s="3"/>
      <c r="G590" s="6"/>
      <c r="H590" s="3"/>
      <c r="I590" s="6"/>
      <c r="J590" s="6"/>
      <c r="K590" s="6"/>
      <c r="L590" s="6"/>
      <c r="M590" s="6"/>
      <c r="N590" s="6"/>
      <c r="O590" s="3"/>
      <c r="P590" s="6"/>
      <c r="Q590" s="6"/>
      <c r="R590" s="6"/>
      <c r="S590" s="6"/>
      <c r="T590" s="6"/>
      <c r="U590" t="str">
        <f t="shared" si="9"/>
        <v/>
      </c>
    </row>
    <row r="591" spans="3:21" customFormat="1" hidden="1">
      <c r="C591" s="6"/>
      <c r="D591" s="6"/>
      <c r="E591" s="98"/>
      <c r="F591" s="3"/>
      <c r="G591" s="6"/>
      <c r="H591" s="3"/>
      <c r="I591" s="6"/>
      <c r="J591" s="6"/>
      <c r="K591" s="6"/>
      <c r="L591" s="6"/>
      <c r="M591" s="6"/>
      <c r="N591" s="6"/>
      <c r="O591" s="3"/>
      <c r="P591" s="6"/>
      <c r="Q591" s="6"/>
      <c r="R591" s="6"/>
      <c r="S591" s="6"/>
      <c r="T591" s="6"/>
      <c r="U591" t="str">
        <f t="shared" si="9"/>
        <v/>
      </c>
    </row>
    <row r="592" spans="3:21" customFormat="1" hidden="1">
      <c r="C592" s="6"/>
      <c r="D592" s="6"/>
      <c r="E592" s="98"/>
      <c r="F592" s="3"/>
      <c r="G592" s="6"/>
      <c r="H592" s="3"/>
      <c r="I592" s="6"/>
      <c r="J592" s="6"/>
      <c r="K592" s="6"/>
      <c r="L592" s="6"/>
      <c r="M592" s="6"/>
      <c r="N592" s="6"/>
      <c r="O592" s="3"/>
      <c r="P592" s="6"/>
      <c r="Q592" s="6"/>
      <c r="R592" s="6"/>
      <c r="S592" s="6"/>
      <c r="T592" s="6"/>
      <c r="U592" t="str">
        <f t="shared" si="9"/>
        <v/>
      </c>
    </row>
    <row r="593" spans="3:21" customFormat="1" hidden="1">
      <c r="C593" s="6"/>
      <c r="D593" s="6"/>
      <c r="E593" s="98"/>
      <c r="F593" s="3"/>
      <c r="G593" s="6"/>
      <c r="H593" s="3"/>
      <c r="I593" s="6"/>
      <c r="J593" s="6"/>
      <c r="K593" s="6"/>
      <c r="L593" s="6"/>
      <c r="M593" s="6"/>
      <c r="N593" s="6"/>
      <c r="O593" s="3"/>
      <c r="P593" s="6"/>
      <c r="Q593" s="6"/>
      <c r="R593" s="6"/>
      <c r="S593" s="6"/>
      <c r="T593" s="6"/>
      <c r="U593" t="str">
        <f t="shared" si="9"/>
        <v/>
      </c>
    </row>
    <row r="594" spans="3:21" customFormat="1" hidden="1">
      <c r="C594" s="6"/>
      <c r="D594" s="6"/>
      <c r="E594" s="98"/>
      <c r="F594" s="3"/>
      <c r="G594" s="6"/>
      <c r="H594" s="3"/>
      <c r="I594" s="6"/>
      <c r="J594" s="6"/>
      <c r="K594" s="6"/>
      <c r="L594" s="6"/>
      <c r="M594" s="6"/>
      <c r="N594" s="6"/>
      <c r="O594" s="3"/>
      <c r="P594" s="6"/>
      <c r="Q594" s="6"/>
      <c r="R594" s="6"/>
      <c r="S594" s="6"/>
      <c r="T594" s="6"/>
      <c r="U594" t="str">
        <f t="shared" si="9"/>
        <v/>
      </c>
    </row>
    <row r="595" spans="3:21" customFormat="1" hidden="1">
      <c r="C595" s="6"/>
      <c r="D595" s="6"/>
      <c r="E595" s="98"/>
      <c r="F595" s="3"/>
      <c r="G595" s="6"/>
      <c r="H595" s="3"/>
      <c r="I595" s="6"/>
      <c r="J595" s="6"/>
      <c r="K595" s="6"/>
      <c r="L595" s="6"/>
      <c r="M595" s="6"/>
      <c r="N595" s="6"/>
      <c r="O595" s="3"/>
      <c r="P595" s="6"/>
      <c r="Q595" s="6"/>
      <c r="R595" s="6"/>
      <c r="S595" s="6"/>
      <c r="T595" s="6"/>
      <c r="U595" t="str">
        <f t="shared" si="9"/>
        <v/>
      </c>
    </row>
    <row r="596" spans="3:21" customFormat="1" hidden="1">
      <c r="C596" s="6"/>
      <c r="D596" s="6"/>
      <c r="E596" s="98"/>
      <c r="F596" s="3"/>
      <c r="G596" s="6"/>
      <c r="H596" s="3"/>
      <c r="I596" s="6"/>
      <c r="J596" s="6"/>
      <c r="K596" s="6"/>
      <c r="L596" s="6"/>
      <c r="M596" s="6"/>
      <c r="N596" s="6"/>
      <c r="O596" s="3"/>
      <c r="P596" s="6"/>
      <c r="Q596" s="6"/>
      <c r="R596" s="6"/>
      <c r="S596" s="6"/>
      <c r="T596" s="6"/>
      <c r="U596" t="str">
        <f t="shared" si="9"/>
        <v/>
      </c>
    </row>
    <row r="597" spans="3:21" customFormat="1" hidden="1">
      <c r="C597" s="6"/>
      <c r="D597" s="6"/>
      <c r="E597" s="98"/>
      <c r="F597" s="3"/>
      <c r="G597" s="6"/>
      <c r="H597" s="3"/>
      <c r="I597" s="6"/>
      <c r="J597" s="6"/>
      <c r="K597" s="6"/>
      <c r="L597" s="6"/>
      <c r="M597" s="6"/>
      <c r="N597" s="6"/>
      <c r="O597" s="3"/>
      <c r="P597" s="6"/>
      <c r="Q597" s="6"/>
      <c r="R597" s="6"/>
      <c r="S597" s="6"/>
      <c r="T597" s="6"/>
      <c r="U597" t="str">
        <f t="shared" si="9"/>
        <v/>
      </c>
    </row>
    <row r="598" spans="3:21" customFormat="1" hidden="1">
      <c r="C598" s="6"/>
      <c r="D598" s="6"/>
      <c r="E598" s="98"/>
      <c r="F598" s="3"/>
      <c r="G598" s="6"/>
      <c r="H598" s="3"/>
      <c r="I598" s="6"/>
      <c r="J598" s="6"/>
      <c r="K598" s="6"/>
      <c r="L598" s="6"/>
      <c r="M598" s="6"/>
      <c r="N598" s="6"/>
      <c r="O598" s="3"/>
      <c r="P598" s="6"/>
      <c r="Q598" s="6"/>
      <c r="R598" s="6"/>
      <c r="S598" s="6"/>
      <c r="T598" s="6"/>
      <c r="U598" t="str">
        <f t="shared" si="9"/>
        <v/>
      </c>
    </row>
    <row r="599" spans="3:21" customFormat="1" hidden="1">
      <c r="C599" s="6"/>
      <c r="D599" s="6"/>
      <c r="E599" s="98"/>
      <c r="F599" s="3"/>
      <c r="G599" s="6"/>
      <c r="H599" s="3"/>
      <c r="I599" s="6"/>
      <c r="J599" s="6"/>
      <c r="K599" s="6"/>
      <c r="L599" s="6"/>
      <c r="M599" s="6"/>
      <c r="N599" s="6"/>
      <c r="O599" s="3"/>
      <c r="P599" s="6"/>
      <c r="Q599" s="6"/>
      <c r="R599" s="6"/>
      <c r="S599" s="6"/>
      <c r="T599" s="6"/>
      <c r="U599" t="str">
        <f t="shared" si="9"/>
        <v/>
      </c>
    </row>
    <row r="600" spans="3:21" customFormat="1" hidden="1">
      <c r="C600" s="6"/>
      <c r="D600" s="6"/>
      <c r="E600" s="98"/>
      <c r="F600" s="3"/>
      <c r="G600" s="6"/>
      <c r="H600" s="3"/>
      <c r="I600" s="6"/>
      <c r="J600" s="6"/>
      <c r="K600" s="6"/>
      <c r="L600" s="6"/>
      <c r="M600" s="6"/>
      <c r="N600" s="6"/>
      <c r="O600" s="3"/>
      <c r="P600" s="6"/>
      <c r="Q600" s="6"/>
      <c r="R600" s="6"/>
      <c r="S600" s="6"/>
      <c r="T600" s="6"/>
      <c r="U600" t="str">
        <f t="shared" si="9"/>
        <v/>
      </c>
    </row>
    <row r="601" spans="3:21" customFormat="1" hidden="1">
      <c r="C601" s="6"/>
      <c r="D601" s="6"/>
      <c r="E601" s="98"/>
      <c r="F601" s="3"/>
      <c r="G601" s="6"/>
      <c r="H601" s="3"/>
      <c r="I601" s="6"/>
      <c r="J601" s="6"/>
      <c r="K601" s="6"/>
      <c r="L601" s="6"/>
      <c r="M601" s="6"/>
      <c r="N601" s="6"/>
      <c r="O601" s="3"/>
      <c r="P601" s="6"/>
      <c r="Q601" s="6"/>
      <c r="R601" s="6"/>
      <c r="S601" s="6"/>
      <c r="T601" s="6"/>
      <c r="U601" t="str">
        <f t="shared" si="9"/>
        <v/>
      </c>
    </row>
    <row r="602" spans="3:21" customFormat="1" hidden="1">
      <c r="C602" s="6"/>
      <c r="D602" s="6"/>
      <c r="E602" s="98"/>
      <c r="F602" s="3"/>
      <c r="G602" s="6"/>
      <c r="H602" s="3"/>
      <c r="I602" s="6"/>
      <c r="J602" s="6"/>
      <c r="K602" s="6"/>
      <c r="L602" s="6"/>
      <c r="M602" s="6"/>
      <c r="N602" s="6"/>
      <c r="O602" s="3"/>
      <c r="P602" s="6"/>
      <c r="Q602" s="6"/>
      <c r="R602" s="6"/>
      <c r="S602" s="6"/>
      <c r="T602" s="6"/>
      <c r="U602" t="str">
        <f t="shared" si="9"/>
        <v/>
      </c>
    </row>
    <row r="603" spans="3:21" customFormat="1" hidden="1">
      <c r="C603" s="6"/>
      <c r="D603" s="6"/>
      <c r="E603" s="98"/>
      <c r="F603" s="3"/>
      <c r="G603" s="6"/>
      <c r="H603" s="3"/>
      <c r="I603" s="6"/>
      <c r="J603" s="6"/>
      <c r="K603" s="6"/>
      <c r="L603" s="6"/>
      <c r="M603" s="6"/>
      <c r="N603" s="6"/>
      <c r="O603" s="3"/>
      <c r="P603" s="6"/>
      <c r="Q603" s="6"/>
      <c r="R603" s="6"/>
      <c r="S603" s="6"/>
      <c r="T603" s="6"/>
      <c r="U603" t="str">
        <f t="shared" si="9"/>
        <v/>
      </c>
    </row>
    <row r="604" spans="3:21" customFormat="1" hidden="1">
      <c r="C604" s="6"/>
      <c r="D604" s="6"/>
      <c r="E604" s="98"/>
      <c r="F604" s="3"/>
      <c r="G604" s="6"/>
      <c r="H604" s="3"/>
      <c r="I604" s="6"/>
      <c r="J604" s="6"/>
      <c r="K604" s="6"/>
      <c r="L604" s="6"/>
      <c r="M604" s="6"/>
      <c r="N604" s="6"/>
      <c r="O604" s="3"/>
      <c r="P604" s="6"/>
      <c r="Q604" s="6"/>
      <c r="R604" s="6"/>
      <c r="S604" s="6"/>
      <c r="T604" s="6"/>
      <c r="U604" t="str">
        <f t="shared" si="9"/>
        <v/>
      </c>
    </row>
    <row r="605" spans="3:21" customFormat="1" hidden="1">
      <c r="C605" s="6"/>
      <c r="D605" s="6"/>
      <c r="E605" s="98"/>
      <c r="F605" s="3"/>
      <c r="G605" s="6"/>
      <c r="H605" s="3"/>
      <c r="I605" s="6"/>
      <c r="J605" s="6"/>
      <c r="K605" s="6"/>
      <c r="L605" s="6"/>
      <c r="M605" s="6"/>
      <c r="N605" s="6"/>
      <c r="O605" s="3"/>
      <c r="P605" s="6"/>
      <c r="Q605" s="6"/>
      <c r="R605" s="6"/>
      <c r="S605" s="6"/>
      <c r="T605" s="6"/>
      <c r="U605" t="str">
        <f t="shared" si="9"/>
        <v/>
      </c>
    </row>
    <row r="606" spans="3:21" customFormat="1" hidden="1">
      <c r="C606" s="6"/>
      <c r="D606" s="6"/>
      <c r="E606" s="98"/>
      <c r="F606" s="3"/>
      <c r="G606" s="6"/>
      <c r="H606" s="3"/>
      <c r="I606" s="6"/>
      <c r="J606" s="6"/>
      <c r="K606" s="6"/>
      <c r="L606" s="6"/>
      <c r="M606" s="6"/>
      <c r="N606" s="6"/>
      <c r="O606" s="3"/>
      <c r="P606" s="6"/>
      <c r="Q606" s="6"/>
      <c r="R606" s="6"/>
      <c r="S606" s="6"/>
      <c r="T606" s="6"/>
      <c r="U606" t="str">
        <f t="shared" si="9"/>
        <v/>
      </c>
    </row>
    <row r="607" spans="3:21" customFormat="1" hidden="1">
      <c r="C607" s="6"/>
      <c r="D607" s="6"/>
      <c r="E607" s="98"/>
      <c r="F607" s="3"/>
      <c r="G607" s="6"/>
      <c r="H607" s="3"/>
      <c r="I607" s="6"/>
      <c r="J607" s="6"/>
      <c r="K607" s="6"/>
      <c r="L607" s="6"/>
      <c r="M607" s="6"/>
      <c r="N607" s="6"/>
      <c r="O607" s="3"/>
      <c r="P607" s="6"/>
      <c r="Q607" s="6"/>
      <c r="R607" s="6"/>
      <c r="S607" s="6"/>
      <c r="T607" s="6"/>
      <c r="U607" t="str">
        <f t="shared" si="9"/>
        <v/>
      </c>
    </row>
    <row r="608" spans="3:21" customFormat="1" hidden="1">
      <c r="C608" s="6"/>
      <c r="D608" s="6"/>
      <c r="E608" s="98"/>
      <c r="F608" s="3"/>
      <c r="G608" s="6"/>
      <c r="H608" s="3"/>
      <c r="I608" s="6"/>
      <c r="J608" s="6"/>
      <c r="K608" s="6"/>
      <c r="L608" s="6"/>
      <c r="M608" s="6"/>
      <c r="N608" s="6"/>
      <c r="O608" s="3"/>
      <c r="P608" s="6"/>
      <c r="Q608" s="6"/>
      <c r="R608" s="6"/>
      <c r="S608" s="6"/>
      <c r="T608" s="6"/>
      <c r="U608" t="str">
        <f t="shared" si="9"/>
        <v/>
      </c>
    </row>
    <row r="609" spans="3:21" customFormat="1" hidden="1">
      <c r="C609" s="6"/>
      <c r="D609" s="6"/>
      <c r="E609" s="98"/>
      <c r="F609" s="3"/>
      <c r="G609" s="6"/>
      <c r="H609" s="3"/>
      <c r="I609" s="6"/>
      <c r="J609" s="6"/>
      <c r="K609" s="6"/>
      <c r="L609" s="6"/>
      <c r="M609" s="6"/>
      <c r="N609" s="6"/>
      <c r="O609" s="3"/>
      <c r="P609" s="6"/>
      <c r="Q609" s="6"/>
      <c r="R609" s="6"/>
      <c r="S609" s="6"/>
      <c r="T609" s="6"/>
      <c r="U609" t="str">
        <f t="shared" si="9"/>
        <v/>
      </c>
    </row>
    <row r="610" spans="3:21" customFormat="1" hidden="1">
      <c r="C610" s="6"/>
      <c r="D610" s="6"/>
      <c r="E610" s="98"/>
      <c r="F610" s="3"/>
      <c r="G610" s="6"/>
      <c r="H610" s="3"/>
      <c r="I610" s="6"/>
      <c r="J610" s="6"/>
      <c r="K610" s="6"/>
      <c r="L610" s="6"/>
      <c r="M610" s="6"/>
      <c r="N610" s="6"/>
      <c r="O610" s="3"/>
      <c r="P610" s="6"/>
      <c r="Q610" s="6"/>
      <c r="R610" s="6"/>
      <c r="S610" s="6"/>
      <c r="T610" s="6"/>
      <c r="U610" t="str">
        <f t="shared" si="9"/>
        <v/>
      </c>
    </row>
    <row r="611" spans="3:21" customFormat="1" hidden="1">
      <c r="C611" s="6"/>
      <c r="D611" s="6"/>
      <c r="E611" s="98"/>
      <c r="F611" s="3"/>
      <c r="G611" s="6"/>
      <c r="H611" s="3"/>
      <c r="I611" s="6"/>
      <c r="J611" s="6"/>
      <c r="K611" s="6"/>
      <c r="L611" s="6"/>
      <c r="M611" s="6"/>
      <c r="N611" s="6"/>
      <c r="O611" s="3"/>
      <c r="P611" s="6"/>
      <c r="Q611" s="6"/>
      <c r="R611" s="6"/>
      <c r="S611" s="6"/>
      <c r="T611" s="6"/>
      <c r="U611" t="str">
        <f t="shared" si="9"/>
        <v/>
      </c>
    </row>
    <row r="612" spans="3:21" customFormat="1" hidden="1">
      <c r="C612" s="6"/>
      <c r="D612" s="6"/>
      <c r="E612" s="98"/>
      <c r="F612" s="3"/>
      <c r="G612" s="6"/>
      <c r="H612" s="3"/>
      <c r="I612" s="6"/>
      <c r="J612" s="6"/>
      <c r="K612" s="6"/>
      <c r="L612" s="6"/>
      <c r="M612" s="6"/>
      <c r="N612" s="6"/>
      <c r="O612" s="3"/>
      <c r="P612" s="6"/>
      <c r="Q612" s="6"/>
      <c r="R612" s="6"/>
      <c r="S612" s="6"/>
      <c r="T612" s="6"/>
      <c r="U612" t="str">
        <f t="shared" si="9"/>
        <v/>
      </c>
    </row>
    <row r="613" spans="3:21" customFormat="1" hidden="1">
      <c r="C613" s="6"/>
      <c r="D613" s="6"/>
      <c r="E613" s="98"/>
      <c r="F613" s="3"/>
      <c r="G613" s="6"/>
      <c r="H613" s="3"/>
      <c r="I613" s="6"/>
      <c r="J613" s="6"/>
      <c r="K613" s="6"/>
      <c r="L613" s="6"/>
      <c r="M613" s="6"/>
      <c r="N613" s="6"/>
      <c r="O613" s="3"/>
      <c r="P613" s="6"/>
      <c r="Q613" s="6"/>
      <c r="R613" s="6"/>
      <c r="S613" s="6"/>
      <c r="T613" s="6"/>
      <c r="U613" t="str">
        <f t="shared" si="9"/>
        <v/>
      </c>
    </row>
    <row r="614" spans="3:21" customFormat="1" hidden="1">
      <c r="C614" s="6"/>
      <c r="D614" s="6"/>
      <c r="E614" s="98"/>
      <c r="F614" s="3"/>
      <c r="G614" s="6"/>
      <c r="H614" s="3"/>
      <c r="I614" s="6"/>
      <c r="J614" s="6"/>
      <c r="K614" s="6"/>
      <c r="L614" s="6"/>
      <c r="M614" s="6"/>
      <c r="N614" s="6"/>
      <c r="O614" s="3"/>
      <c r="P614" s="6"/>
      <c r="Q614" s="6"/>
      <c r="R614" s="6"/>
      <c r="S614" s="6"/>
      <c r="T614" s="6"/>
      <c r="U614" t="str">
        <f t="shared" si="9"/>
        <v/>
      </c>
    </row>
    <row r="615" spans="3:21" customFormat="1" hidden="1">
      <c r="C615" s="6"/>
      <c r="D615" s="6"/>
      <c r="E615" s="98"/>
      <c r="F615" s="3"/>
      <c r="G615" s="6"/>
      <c r="H615" s="3"/>
      <c r="I615" s="6"/>
      <c r="J615" s="6"/>
      <c r="K615" s="6"/>
      <c r="L615" s="6"/>
      <c r="M615" s="6"/>
      <c r="N615" s="6"/>
      <c r="O615" s="3"/>
      <c r="P615" s="6"/>
      <c r="Q615" s="6"/>
      <c r="R615" s="6"/>
      <c r="S615" s="6"/>
      <c r="T615" s="6"/>
      <c r="U615" t="str">
        <f t="shared" si="9"/>
        <v/>
      </c>
    </row>
    <row r="616" spans="3:21" customFormat="1" hidden="1">
      <c r="C616" s="6"/>
      <c r="D616" s="6"/>
      <c r="E616" s="98"/>
      <c r="F616" s="3"/>
      <c r="G616" s="6"/>
      <c r="H616" s="3"/>
      <c r="I616" s="6"/>
      <c r="J616" s="6"/>
      <c r="K616" s="6"/>
      <c r="L616" s="6"/>
      <c r="M616" s="6"/>
      <c r="N616" s="6"/>
      <c r="O616" s="3"/>
      <c r="P616" s="6"/>
      <c r="Q616" s="6"/>
      <c r="R616" s="6"/>
      <c r="S616" s="6"/>
      <c r="T616" s="6"/>
      <c r="U616" t="str">
        <f t="shared" si="9"/>
        <v/>
      </c>
    </row>
    <row r="617" spans="3:21" customFormat="1" hidden="1">
      <c r="C617" s="6"/>
      <c r="D617" s="6"/>
      <c r="E617" s="98"/>
      <c r="F617" s="3"/>
      <c r="G617" s="6"/>
      <c r="H617" s="3"/>
      <c r="I617" s="6"/>
      <c r="J617" s="6"/>
      <c r="K617" s="6"/>
      <c r="L617" s="6"/>
      <c r="M617" s="6"/>
      <c r="N617" s="6"/>
      <c r="O617" s="3"/>
      <c r="P617" s="6"/>
      <c r="Q617" s="6"/>
      <c r="R617" s="6"/>
      <c r="S617" s="6"/>
      <c r="T617" s="6"/>
      <c r="U617" t="str">
        <f t="shared" si="9"/>
        <v/>
      </c>
    </row>
    <row r="618" spans="3:21" customFormat="1" hidden="1">
      <c r="C618" s="6"/>
      <c r="D618" s="6"/>
      <c r="E618" s="98"/>
      <c r="F618" s="3"/>
      <c r="G618" s="6"/>
      <c r="H618" s="3"/>
      <c r="I618" s="6"/>
      <c r="J618" s="6"/>
      <c r="K618" s="6"/>
      <c r="L618" s="6"/>
      <c r="M618" s="6"/>
      <c r="N618" s="6"/>
      <c r="O618" s="3"/>
      <c r="P618" s="6"/>
      <c r="Q618" s="6"/>
      <c r="R618" s="6"/>
      <c r="S618" s="6"/>
      <c r="T618" s="6"/>
      <c r="U618" t="str">
        <f t="shared" si="9"/>
        <v/>
      </c>
    </row>
    <row r="619" spans="3:21" customFormat="1" hidden="1">
      <c r="C619" s="6"/>
      <c r="D619" s="6"/>
      <c r="E619" s="98"/>
      <c r="F619" s="3"/>
      <c r="G619" s="6"/>
      <c r="H619" s="3"/>
      <c r="I619" s="6"/>
      <c r="J619" s="6"/>
      <c r="K619" s="6"/>
      <c r="L619" s="6"/>
      <c r="M619" s="6"/>
      <c r="N619" s="6"/>
      <c r="O619" s="3"/>
      <c r="P619" s="6"/>
      <c r="Q619" s="6"/>
      <c r="R619" s="6"/>
      <c r="S619" s="6"/>
      <c r="T619" s="6"/>
      <c r="U619" t="str">
        <f t="shared" si="9"/>
        <v/>
      </c>
    </row>
    <row r="620" spans="3:21" customFormat="1" hidden="1">
      <c r="C620" s="6"/>
      <c r="D620" s="6"/>
      <c r="E620" s="98"/>
      <c r="F620" s="3"/>
      <c r="G620" s="6"/>
      <c r="H620" s="3"/>
      <c r="I620" s="6"/>
      <c r="J620" s="6"/>
      <c r="K620" s="6"/>
      <c r="L620" s="6"/>
      <c r="M620" s="6"/>
      <c r="N620" s="6"/>
      <c r="O620" s="3"/>
      <c r="P620" s="6"/>
      <c r="Q620" s="6"/>
      <c r="R620" s="6"/>
      <c r="S620" s="6"/>
      <c r="T620" s="6"/>
      <c r="U620" t="str">
        <f t="shared" si="9"/>
        <v/>
      </c>
    </row>
    <row r="621" spans="3:21" customFormat="1" hidden="1">
      <c r="C621" s="6"/>
      <c r="D621" s="6"/>
      <c r="E621" s="98"/>
      <c r="F621" s="3"/>
      <c r="G621" s="6"/>
      <c r="H621" s="3"/>
      <c r="I621" s="6"/>
      <c r="J621" s="6"/>
      <c r="K621" s="6"/>
      <c r="L621" s="6"/>
      <c r="M621" s="6"/>
      <c r="N621" s="6"/>
      <c r="O621" s="3"/>
      <c r="P621" s="6"/>
      <c r="Q621" s="6"/>
      <c r="R621" s="6"/>
      <c r="S621" s="6"/>
      <c r="T621" s="6"/>
      <c r="U621" t="str">
        <f t="shared" si="9"/>
        <v/>
      </c>
    </row>
    <row r="622" spans="3:21" customFormat="1" hidden="1">
      <c r="C622" s="6"/>
      <c r="D622" s="6"/>
      <c r="E622" s="98"/>
      <c r="F622" s="3"/>
      <c r="G622" s="6"/>
      <c r="H622" s="3"/>
      <c r="I622" s="6"/>
      <c r="J622" s="6"/>
      <c r="K622" s="6"/>
      <c r="L622" s="6"/>
      <c r="M622" s="6"/>
      <c r="N622" s="6"/>
      <c r="O622" s="3"/>
      <c r="P622" s="6"/>
      <c r="Q622" s="6"/>
      <c r="R622" s="6"/>
      <c r="S622" s="6"/>
      <c r="T622" s="6"/>
      <c r="U622" t="str">
        <f t="shared" si="9"/>
        <v/>
      </c>
    </row>
    <row r="623" spans="3:21" customFormat="1" hidden="1">
      <c r="C623" s="6"/>
      <c r="D623" s="6"/>
      <c r="E623" s="98"/>
      <c r="F623" s="3"/>
      <c r="G623" s="6"/>
      <c r="H623" s="3"/>
      <c r="I623" s="6"/>
      <c r="J623" s="6"/>
      <c r="K623" s="6"/>
      <c r="L623" s="6"/>
      <c r="M623" s="6"/>
      <c r="N623" s="6"/>
      <c r="O623" s="3"/>
      <c r="P623" s="6"/>
      <c r="Q623" s="6"/>
      <c r="R623" s="6"/>
      <c r="S623" s="6"/>
      <c r="T623" s="6"/>
      <c r="U623" t="str">
        <f t="shared" si="9"/>
        <v/>
      </c>
    </row>
    <row r="624" spans="3:21" customFormat="1" hidden="1">
      <c r="C624" s="6"/>
      <c r="D624" s="6"/>
      <c r="E624" s="98"/>
      <c r="F624" s="3"/>
      <c r="G624" s="6"/>
      <c r="H624" s="3"/>
      <c r="I624" s="6"/>
      <c r="J624" s="6"/>
      <c r="K624" s="6"/>
      <c r="L624" s="6"/>
      <c r="M624" s="6"/>
      <c r="N624" s="6"/>
      <c r="O624" s="3"/>
      <c r="P624" s="6"/>
      <c r="Q624" s="6"/>
      <c r="R624" s="6"/>
      <c r="S624" s="6"/>
      <c r="T624" s="6"/>
      <c r="U624" t="str">
        <f t="shared" si="9"/>
        <v/>
      </c>
    </row>
    <row r="625" spans="3:21" customFormat="1" hidden="1">
      <c r="C625" s="6"/>
      <c r="D625" s="6"/>
      <c r="E625" s="98"/>
      <c r="F625" s="3"/>
      <c r="G625" s="6"/>
      <c r="H625" s="3"/>
      <c r="I625" s="6"/>
      <c r="J625" s="6"/>
      <c r="K625" s="6"/>
      <c r="L625" s="6"/>
      <c r="M625" s="6"/>
      <c r="N625" s="6"/>
      <c r="O625" s="3"/>
      <c r="P625" s="6"/>
      <c r="Q625" s="6"/>
      <c r="R625" s="6"/>
      <c r="S625" s="6"/>
      <c r="T625" s="6"/>
      <c r="U625" t="str">
        <f t="shared" si="9"/>
        <v/>
      </c>
    </row>
    <row r="626" spans="3:21" customFormat="1" hidden="1">
      <c r="C626" s="6"/>
      <c r="D626" s="6"/>
      <c r="E626" s="98"/>
      <c r="F626" s="3"/>
      <c r="G626" s="6"/>
      <c r="H626" s="3"/>
      <c r="I626" s="6"/>
      <c r="J626" s="6"/>
      <c r="K626" s="6"/>
      <c r="L626" s="6"/>
      <c r="M626" s="6"/>
      <c r="N626" s="6"/>
      <c r="O626" s="3"/>
      <c r="P626" s="6"/>
      <c r="Q626" s="6"/>
      <c r="R626" s="6"/>
      <c r="S626" s="6"/>
      <c r="T626" s="6"/>
      <c r="U626" t="str">
        <f t="shared" si="9"/>
        <v/>
      </c>
    </row>
    <row r="627" spans="3:21" customFormat="1" hidden="1">
      <c r="C627" s="6"/>
      <c r="D627" s="6"/>
      <c r="E627" s="98"/>
      <c r="F627" s="3"/>
      <c r="G627" s="6"/>
      <c r="H627" s="3"/>
      <c r="I627" s="6"/>
      <c r="J627" s="6"/>
      <c r="K627" s="6"/>
      <c r="L627" s="6"/>
      <c r="M627" s="6"/>
      <c r="N627" s="6"/>
      <c r="O627" s="3"/>
      <c r="P627" s="6"/>
      <c r="Q627" s="6"/>
      <c r="R627" s="6"/>
      <c r="S627" s="6"/>
      <c r="T627" s="6"/>
      <c r="U627" t="str">
        <f t="shared" si="9"/>
        <v/>
      </c>
    </row>
    <row r="628" spans="3:21" customFormat="1" hidden="1">
      <c r="C628" s="6"/>
      <c r="D628" s="6"/>
      <c r="E628" s="98"/>
      <c r="F628" s="3"/>
      <c r="G628" s="6"/>
      <c r="H628" s="3"/>
      <c r="I628" s="6"/>
      <c r="J628" s="6"/>
      <c r="K628" s="6"/>
      <c r="L628" s="6"/>
      <c r="M628" s="6"/>
      <c r="N628" s="6"/>
      <c r="O628" s="3"/>
      <c r="P628" s="6"/>
      <c r="Q628" s="6"/>
      <c r="R628" s="6"/>
      <c r="S628" s="6"/>
      <c r="T628" s="6"/>
      <c r="U628" t="str">
        <f t="shared" si="9"/>
        <v/>
      </c>
    </row>
    <row r="629" spans="3:21" customFormat="1" hidden="1">
      <c r="C629" s="6"/>
      <c r="D629" s="6"/>
      <c r="E629" s="98"/>
      <c r="F629" s="3"/>
      <c r="G629" s="6"/>
      <c r="H629" s="3"/>
      <c r="I629" s="6"/>
      <c r="J629" s="6"/>
      <c r="K629" s="6"/>
      <c r="L629" s="6"/>
      <c r="M629" s="6"/>
      <c r="N629" s="6"/>
      <c r="O629" s="3"/>
      <c r="P629" s="6"/>
      <c r="Q629" s="6"/>
      <c r="R629" s="6"/>
      <c r="S629" s="6"/>
      <c r="T629" s="6"/>
      <c r="U629" t="str">
        <f t="shared" si="9"/>
        <v/>
      </c>
    </row>
    <row r="630" spans="3:21" customFormat="1" hidden="1">
      <c r="C630" s="6"/>
      <c r="D630" s="6"/>
      <c r="E630" s="98"/>
      <c r="F630" s="3"/>
      <c r="G630" s="6"/>
      <c r="H630" s="3"/>
      <c r="I630" s="6"/>
      <c r="J630" s="6"/>
      <c r="K630" s="6"/>
      <c r="L630" s="6"/>
      <c r="M630" s="6"/>
      <c r="N630" s="6"/>
      <c r="O630" s="3"/>
      <c r="P630" s="6"/>
      <c r="Q630" s="6"/>
      <c r="R630" s="6"/>
      <c r="S630" s="6"/>
      <c r="T630" s="6"/>
      <c r="U630" t="str">
        <f t="shared" si="9"/>
        <v/>
      </c>
    </row>
    <row r="631" spans="3:21" customFormat="1" hidden="1">
      <c r="C631" s="6"/>
      <c r="D631" s="6"/>
      <c r="E631" s="98"/>
      <c r="F631" s="3"/>
      <c r="G631" s="6"/>
      <c r="H631" s="3"/>
      <c r="I631" s="6"/>
      <c r="J631" s="6"/>
      <c r="K631" s="6"/>
      <c r="L631" s="6"/>
      <c r="M631" s="6"/>
      <c r="N631" s="6"/>
      <c r="O631" s="3"/>
      <c r="P631" s="6"/>
      <c r="Q631" s="6"/>
      <c r="R631" s="6"/>
      <c r="S631" s="6"/>
      <c r="T631" s="6"/>
      <c r="U631" t="str">
        <f t="shared" si="9"/>
        <v/>
      </c>
    </row>
    <row r="632" spans="3:21" customFormat="1" hidden="1">
      <c r="C632" s="6"/>
      <c r="D632" s="6"/>
      <c r="E632" s="98"/>
      <c r="F632" s="3"/>
      <c r="G632" s="6"/>
      <c r="H632" s="3"/>
      <c r="I632" s="6"/>
      <c r="J632" s="6"/>
      <c r="K632" s="6"/>
      <c r="L632" s="6"/>
      <c r="M632" s="6"/>
      <c r="N632" s="6"/>
      <c r="O632" s="3"/>
      <c r="P632" s="6"/>
      <c r="Q632" s="6"/>
      <c r="R632" s="6"/>
      <c r="S632" s="6"/>
      <c r="T632" s="6"/>
      <c r="U632" t="str">
        <f t="shared" si="9"/>
        <v/>
      </c>
    </row>
    <row r="633" spans="3:21" customFormat="1" hidden="1">
      <c r="C633" s="6"/>
      <c r="D633" s="6"/>
      <c r="E633" s="98"/>
      <c r="F633" s="3"/>
      <c r="G633" s="6"/>
      <c r="H633" s="3"/>
      <c r="I633" s="6"/>
      <c r="J633" s="6"/>
      <c r="K633" s="6"/>
      <c r="L633" s="6"/>
      <c r="M633" s="6"/>
      <c r="N633" s="6"/>
      <c r="O633" s="3"/>
      <c r="P633" s="6"/>
      <c r="Q633" s="6"/>
      <c r="R633" s="6"/>
      <c r="S633" s="6"/>
      <c r="T633" s="6"/>
      <c r="U633" t="str">
        <f t="shared" si="9"/>
        <v/>
      </c>
    </row>
    <row r="634" spans="3:21" customFormat="1" hidden="1">
      <c r="C634" s="6"/>
      <c r="D634" s="6"/>
      <c r="E634" s="98"/>
      <c r="F634" s="3"/>
      <c r="G634" s="6"/>
      <c r="H634" s="3"/>
      <c r="I634" s="6"/>
      <c r="J634" s="6"/>
      <c r="K634" s="6"/>
      <c r="L634" s="6"/>
      <c r="M634" s="6"/>
      <c r="N634" s="6"/>
      <c r="O634" s="3"/>
      <c r="P634" s="6"/>
      <c r="Q634" s="6"/>
      <c r="R634" s="6"/>
      <c r="S634" s="6"/>
      <c r="T634" s="6"/>
      <c r="U634" t="str">
        <f t="shared" si="9"/>
        <v/>
      </c>
    </row>
    <row r="635" spans="3:21" customFormat="1" hidden="1">
      <c r="C635" s="6"/>
      <c r="D635" s="6"/>
      <c r="E635" s="98"/>
      <c r="F635" s="3"/>
      <c r="G635" s="6"/>
      <c r="H635" s="3"/>
      <c r="I635" s="6"/>
      <c r="J635" s="6"/>
      <c r="K635" s="6"/>
      <c r="L635" s="6"/>
      <c r="M635" s="6"/>
      <c r="N635" s="6"/>
      <c r="O635" s="3"/>
      <c r="P635" s="6"/>
      <c r="Q635" s="6"/>
      <c r="R635" s="6"/>
      <c r="S635" s="6"/>
      <c r="T635" s="6"/>
      <c r="U635" t="str">
        <f t="shared" si="9"/>
        <v/>
      </c>
    </row>
    <row r="636" spans="3:21" customFormat="1" hidden="1">
      <c r="C636" s="6"/>
      <c r="D636" s="6"/>
      <c r="E636" s="98"/>
      <c r="F636" s="3"/>
      <c r="G636" s="6"/>
      <c r="H636" s="3"/>
      <c r="I636" s="6"/>
      <c r="J636" s="6"/>
      <c r="K636" s="6"/>
      <c r="L636" s="6"/>
      <c r="M636" s="6"/>
      <c r="N636" s="6"/>
      <c r="O636" s="3"/>
      <c r="P636" s="6"/>
      <c r="Q636" s="6"/>
      <c r="R636" s="6"/>
      <c r="S636" s="6"/>
      <c r="T636" s="6"/>
      <c r="U636" t="str">
        <f t="shared" si="9"/>
        <v/>
      </c>
    </row>
    <row r="637" spans="3:21" customFormat="1" hidden="1">
      <c r="C637" s="6"/>
      <c r="D637" s="6"/>
      <c r="E637" s="98"/>
      <c r="F637" s="3"/>
      <c r="G637" s="6"/>
      <c r="H637" s="3"/>
      <c r="I637" s="6"/>
      <c r="J637" s="6"/>
      <c r="K637" s="6"/>
      <c r="L637" s="6"/>
      <c r="M637" s="6"/>
      <c r="N637" s="6"/>
      <c r="O637" s="3"/>
      <c r="P637" s="6"/>
      <c r="Q637" s="6"/>
      <c r="R637" s="6"/>
      <c r="S637" s="6"/>
      <c r="T637" s="6"/>
      <c r="U637" t="str">
        <f t="shared" si="9"/>
        <v/>
      </c>
    </row>
    <row r="638" spans="3:21" customFormat="1" hidden="1">
      <c r="C638" s="6"/>
      <c r="D638" s="6"/>
      <c r="E638" s="98"/>
      <c r="F638" s="3"/>
      <c r="G638" s="6"/>
      <c r="H638" s="3"/>
      <c r="I638" s="6"/>
      <c r="J638" s="6"/>
      <c r="K638" s="6"/>
      <c r="L638" s="6"/>
      <c r="M638" s="6"/>
      <c r="N638" s="6"/>
      <c r="O638" s="3"/>
      <c r="P638" s="6"/>
      <c r="Q638" s="6"/>
      <c r="R638" s="6"/>
      <c r="S638" s="6"/>
      <c r="T638" s="6"/>
      <c r="U638" t="str">
        <f t="shared" si="9"/>
        <v/>
      </c>
    </row>
    <row r="639" spans="3:21" customFormat="1" hidden="1">
      <c r="C639" s="6"/>
      <c r="D639" s="6"/>
      <c r="E639" s="98"/>
      <c r="F639" s="3"/>
      <c r="G639" s="6"/>
      <c r="H639" s="3"/>
      <c r="I639" s="6"/>
      <c r="J639" s="6"/>
      <c r="K639" s="6"/>
      <c r="L639" s="6"/>
      <c r="M639" s="6"/>
      <c r="N639" s="6"/>
      <c r="O639" s="3"/>
      <c r="P639" s="6"/>
      <c r="Q639" s="6"/>
      <c r="R639" s="6"/>
      <c r="S639" s="6"/>
      <c r="T639" s="6"/>
      <c r="U639" t="str">
        <f t="shared" si="9"/>
        <v/>
      </c>
    </row>
    <row r="640" spans="3:21" customFormat="1" hidden="1">
      <c r="C640" s="6"/>
      <c r="D640" s="6"/>
      <c r="E640" s="98"/>
      <c r="F640" s="3"/>
      <c r="G640" s="6"/>
      <c r="H640" s="3"/>
      <c r="I640" s="6"/>
      <c r="J640" s="6"/>
      <c r="K640" s="6"/>
      <c r="L640" s="6"/>
      <c r="M640" s="6"/>
      <c r="N640" s="6"/>
      <c r="O640" s="3"/>
      <c r="P640" s="6"/>
      <c r="Q640" s="6"/>
      <c r="R640" s="6"/>
      <c r="S640" s="6"/>
      <c r="T640" s="6"/>
      <c r="U640" t="str">
        <f t="shared" si="9"/>
        <v/>
      </c>
    </row>
    <row r="641" spans="3:21" customFormat="1" hidden="1">
      <c r="C641" s="6"/>
      <c r="D641" s="6"/>
      <c r="E641" s="98"/>
      <c r="F641" s="3"/>
      <c r="G641" s="6"/>
      <c r="H641" s="3"/>
      <c r="I641" s="6"/>
      <c r="J641" s="6"/>
      <c r="K641" s="6"/>
      <c r="L641" s="6"/>
      <c r="M641" s="6"/>
      <c r="N641" s="6"/>
      <c r="O641" s="3"/>
      <c r="P641" s="6"/>
      <c r="Q641" s="6"/>
      <c r="R641" s="6"/>
      <c r="S641" s="6"/>
      <c r="T641" s="6"/>
      <c r="U641" t="str">
        <f t="shared" si="9"/>
        <v/>
      </c>
    </row>
    <row r="642" spans="3:21" customFormat="1" hidden="1">
      <c r="C642" s="6"/>
      <c r="D642" s="6"/>
      <c r="E642" s="98"/>
      <c r="F642" s="3"/>
      <c r="G642" s="6"/>
      <c r="H642" s="3"/>
      <c r="I642" s="6"/>
      <c r="J642" s="6"/>
      <c r="K642" s="6"/>
      <c r="L642" s="6"/>
      <c r="M642" s="6"/>
      <c r="N642" s="6"/>
      <c r="O642" s="3"/>
      <c r="P642" s="6"/>
      <c r="Q642" s="6"/>
      <c r="R642" s="6"/>
      <c r="S642" s="6"/>
      <c r="T642" s="6"/>
      <c r="U642" t="str">
        <f t="shared" si="9"/>
        <v/>
      </c>
    </row>
    <row r="643" spans="3:21" customFormat="1" hidden="1">
      <c r="C643" s="6"/>
      <c r="D643" s="6"/>
      <c r="E643" s="98"/>
      <c r="F643" s="3"/>
      <c r="G643" s="6"/>
      <c r="H643" s="3"/>
      <c r="I643" s="6"/>
      <c r="J643" s="6"/>
      <c r="K643" s="6"/>
      <c r="L643" s="6"/>
      <c r="M643" s="6"/>
      <c r="N643" s="6"/>
      <c r="O643" s="3"/>
      <c r="P643" s="6"/>
      <c r="Q643" s="6"/>
      <c r="R643" s="6"/>
      <c r="S643" s="6"/>
      <c r="T643" s="6"/>
      <c r="U643" t="str">
        <f t="shared" si="9"/>
        <v/>
      </c>
    </row>
    <row r="644" spans="3:21" customFormat="1" hidden="1">
      <c r="C644" s="6"/>
      <c r="D644" s="6"/>
      <c r="E644" s="98"/>
      <c r="F644" s="3"/>
      <c r="G644" s="6"/>
      <c r="H644" s="3"/>
      <c r="I644" s="6"/>
      <c r="J644" s="6"/>
      <c r="K644" s="6"/>
      <c r="L644" s="6"/>
      <c r="M644" s="6"/>
      <c r="N644" s="6"/>
      <c r="O644" s="3"/>
      <c r="P644" s="6"/>
      <c r="Q644" s="6"/>
      <c r="R644" s="6"/>
      <c r="S644" s="6"/>
      <c r="T644" s="6"/>
      <c r="U644" t="str">
        <f t="shared" si="9"/>
        <v/>
      </c>
    </row>
    <row r="645" spans="3:21" customFormat="1" hidden="1">
      <c r="C645" s="6"/>
      <c r="D645" s="6"/>
      <c r="E645" s="98"/>
      <c r="F645" s="3"/>
      <c r="G645" s="6"/>
      <c r="H645" s="3"/>
      <c r="I645" s="6"/>
      <c r="J645" s="6"/>
      <c r="K645" s="6"/>
      <c r="L645" s="6"/>
      <c r="M645" s="6"/>
      <c r="N645" s="6"/>
      <c r="O645" s="3"/>
      <c r="P645" s="6"/>
      <c r="Q645" s="6"/>
      <c r="R645" s="6"/>
      <c r="S645" s="6"/>
      <c r="T645" s="6"/>
      <c r="U645" t="str">
        <f t="shared" si="9"/>
        <v/>
      </c>
    </row>
    <row r="646" spans="3:21" customFormat="1" hidden="1">
      <c r="C646" s="6"/>
      <c r="D646" s="6"/>
      <c r="E646" s="98"/>
      <c r="F646" s="3"/>
      <c r="G646" s="6"/>
      <c r="H646" s="3"/>
      <c r="I646" s="6"/>
      <c r="J646" s="6"/>
      <c r="K646" s="6"/>
      <c r="L646" s="6"/>
      <c r="M646" s="6"/>
      <c r="N646" s="6"/>
      <c r="O646" s="3"/>
      <c r="P646" s="6"/>
      <c r="Q646" s="6"/>
      <c r="R646" s="6"/>
      <c r="S646" s="6"/>
      <c r="T646" s="6"/>
      <c r="U646" t="str">
        <f t="shared" si="9"/>
        <v/>
      </c>
    </row>
    <row r="647" spans="3:21" customFormat="1" hidden="1">
      <c r="C647" s="6"/>
      <c r="D647" s="6"/>
      <c r="E647" s="98"/>
      <c r="F647" s="3"/>
      <c r="G647" s="6"/>
      <c r="H647" s="3"/>
      <c r="I647" s="6"/>
      <c r="J647" s="6"/>
      <c r="K647" s="6"/>
      <c r="L647" s="6"/>
      <c r="M647" s="6"/>
      <c r="N647" s="6"/>
      <c r="O647" s="3"/>
      <c r="P647" s="6"/>
      <c r="Q647" s="6"/>
      <c r="R647" s="6"/>
      <c r="S647" s="6"/>
      <c r="T647" s="6"/>
      <c r="U647" t="str">
        <f t="shared" ref="U647:U710" si="10">IF(D647="","","x")</f>
        <v/>
      </c>
    </row>
    <row r="648" spans="3:21" customFormat="1" hidden="1">
      <c r="C648" s="6"/>
      <c r="D648" s="6"/>
      <c r="E648" s="98"/>
      <c r="F648" s="3"/>
      <c r="G648" s="6"/>
      <c r="H648" s="3"/>
      <c r="I648" s="6"/>
      <c r="J648" s="6"/>
      <c r="K648" s="6"/>
      <c r="L648" s="6"/>
      <c r="M648" s="6"/>
      <c r="N648" s="6"/>
      <c r="O648" s="3"/>
      <c r="P648" s="6"/>
      <c r="Q648" s="6"/>
      <c r="R648" s="6"/>
      <c r="S648" s="6"/>
      <c r="T648" s="6"/>
      <c r="U648" t="str">
        <f t="shared" si="10"/>
        <v/>
      </c>
    </row>
    <row r="649" spans="3:21" customFormat="1" hidden="1">
      <c r="C649" s="6"/>
      <c r="D649" s="6"/>
      <c r="E649" s="98"/>
      <c r="F649" s="3"/>
      <c r="G649" s="6"/>
      <c r="H649" s="3"/>
      <c r="I649" s="6"/>
      <c r="J649" s="6"/>
      <c r="K649" s="6"/>
      <c r="L649" s="6"/>
      <c r="M649" s="6"/>
      <c r="N649" s="6"/>
      <c r="O649" s="3"/>
      <c r="P649" s="6"/>
      <c r="Q649" s="6"/>
      <c r="R649" s="6"/>
      <c r="S649" s="6"/>
      <c r="T649" s="6"/>
      <c r="U649" t="str">
        <f t="shared" si="10"/>
        <v/>
      </c>
    </row>
    <row r="650" spans="3:21" customFormat="1" hidden="1">
      <c r="C650" s="6"/>
      <c r="D650" s="6"/>
      <c r="E650" s="98"/>
      <c r="F650" s="3"/>
      <c r="G650" s="6"/>
      <c r="H650" s="3"/>
      <c r="I650" s="6"/>
      <c r="J650" s="6"/>
      <c r="K650" s="6"/>
      <c r="L650" s="6"/>
      <c r="M650" s="6"/>
      <c r="N650" s="6"/>
      <c r="O650" s="3"/>
      <c r="P650" s="6"/>
      <c r="Q650" s="6"/>
      <c r="R650" s="6"/>
      <c r="S650" s="6"/>
      <c r="T650" s="6"/>
      <c r="U650" t="str">
        <f t="shared" si="10"/>
        <v/>
      </c>
    </row>
    <row r="651" spans="3:21" customFormat="1" hidden="1">
      <c r="C651" s="6"/>
      <c r="D651" s="6"/>
      <c r="E651" s="98"/>
      <c r="F651" s="3"/>
      <c r="G651" s="6"/>
      <c r="H651" s="3"/>
      <c r="I651" s="6"/>
      <c r="J651" s="6"/>
      <c r="K651" s="6"/>
      <c r="L651" s="6"/>
      <c r="M651" s="6"/>
      <c r="N651" s="6"/>
      <c r="O651" s="3"/>
      <c r="P651" s="6"/>
      <c r="Q651" s="6"/>
      <c r="R651" s="6"/>
      <c r="S651" s="6"/>
      <c r="T651" s="6"/>
      <c r="U651" t="str">
        <f t="shared" si="10"/>
        <v/>
      </c>
    </row>
    <row r="652" spans="3:21" customFormat="1" hidden="1">
      <c r="C652" s="6"/>
      <c r="D652" s="6"/>
      <c r="E652" s="98"/>
      <c r="F652" s="3"/>
      <c r="G652" s="6"/>
      <c r="H652" s="3"/>
      <c r="I652" s="6"/>
      <c r="J652" s="6"/>
      <c r="K652" s="6"/>
      <c r="L652" s="6"/>
      <c r="M652" s="6"/>
      <c r="N652" s="6"/>
      <c r="O652" s="3"/>
      <c r="P652" s="6"/>
      <c r="Q652" s="6"/>
      <c r="R652" s="6"/>
      <c r="S652" s="6"/>
      <c r="T652" s="6"/>
      <c r="U652" t="str">
        <f t="shared" si="10"/>
        <v/>
      </c>
    </row>
    <row r="653" spans="3:21" customFormat="1" hidden="1">
      <c r="C653" s="6"/>
      <c r="D653" s="6"/>
      <c r="E653" s="98"/>
      <c r="F653" s="3"/>
      <c r="G653" s="6"/>
      <c r="H653" s="3"/>
      <c r="I653" s="6"/>
      <c r="J653" s="6"/>
      <c r="K653" s="6"/>
      <c r="L653" s="6"/>
      <c r="M653" s="6"/>
      <c r="N653" s="6"/>
      <c r="O653" s="3"/>
      <c r="P653" s="6"/>
      <c r="Q653" s="6"/>
      <c r="R653" s="6"/>
      <c r="S653" s="6"/>
      <c r="T653" s="6"/>
      <c r="U653" t="str">
        <f t="shared" si="10"/>
        <v/>
      </c>
    </row>
    <row r="654" spans="3:21" customFormat="1" hidden="1">
      <c r="C654" s="6"/>
      <c r="D654" s="6"/>
      <c r="E654" s="98"/>
      <c r="F654" s="3"/>
      <c r="G654" s="6"/>
      <c r="H654" s="3"/>
      <c r="I654" s="6"/>
      <c r="J654" s="6"/>
      <c r="K654" s="6"/>
      <c r="L654" s="6"/>
      <c r="M654" s="6"/>
      <c r="N654" s="6"/>
      <c r="O654" s="3"/>
      <c r="P654" s="6"/>
      <c r="Q654" s="6"/>
      <c r="R654" s="6"/>
      <c r="S654" s="6"/>
      <c r="T654" s="6"/>
      <c r="U654" t="str">
        <f t="shared" si="10"/>
        <v/>
      </c>
    </row>
    <row r="655" spans="3:21" customFormat="1" hidden="1">
      <c r="C655" s="6"/>
      <c r="D655" s="6"/>
      <c r="E655" s="98"/>
      <c r="F655" s="3"/>
      <c r="G655" s="6"/>
      <c r="H655" s="3"/>
      <c r="I655" s="6"/>
      <c r="J655" s="6"/>
      <c r="K655" s="6"/>
      <c r="L655" s="6"/>
      <c r="M655" s="6"/>
      <c r="N655" s="6"/>
      <c r="O655" s="3"/>
      <c r="P655" s="6"/>
      <c r="Q655" s="6"/>
      <c r="R655" s="6"/>
      <c r="S655" s="6"/>
      <c r="T655" s="6"/>
      <c r="U655" t="str">
        <f t="shared" si="10"/>
        <v/>
      </c>
    </row>
    <row r="656" spans="3:21" customFormat="1" hidden="1">
      <c r="C656" s="6"/>
      <c r="D656" s="6"/>
      <c r="E656" s="98"/>
      <c r="F656" s="3"/>
      <c r="G656" s="6"/>
      <c r="H656" s="3"/>
      <c r="I656" s="6"/>
      <c r="J656" s="6"/>
      <c r="K656" s="6"/>
      <c r="L656" s="6"/>
      <c r="M656" s="6"/>
      <c r="N656" s="6"/>
      <c r="O656" s="3"/>
      <c r="P656" s="6"/>
      <c r="Q656" s="6"/>
      <c r="R656" s="6"/>
      <c r="S656" s="6"/>
      <c r="T656" s="6"/>
      <c r="U656" t="str">
        <f t="shared" si="10"/>
        <v/>
      </c>
    </row>
    <row r="657" spans="3:21" customFormat="1" hidden="1">
      <c r="C657" s="6"/>
      <c r="D657" s="6"/>
      <c r="E657" s="98"/>
      <c r="F657" s="3"/>
      <c r="G657" s="6"/>
      <c r="H657" s="3"/>
      <c r="I657" s="6"/>
      <c r="J657" s="6"/>
      <c r="K657" s="6"/>
      <c r="L657" s="6"/>
      <c r="M657" s="6"/>
      <c r="N657" s="6"/>
      <c r="O657" s="3"/>
      <c r="P657" s="6"/>
      <c r="Q657" s="6"/>
      <c r="R657" s="6"/>
      <c r="S657" s="6"/>
      <c r="T657" s="6"/>
      <c r="U657" t="str">
        <f t="shared" si="10"/>
        <v/>
      </c>
    </row>
    <row r="658" spans="3:21" customFormat="1" hidden="1">
      <c r="C658" s="6"/>
      <c r="D658" s="6"/>
      <c r="E658" s="98"/>
      <c r="F658" s="3"/>
      <c r="G658" s="6"/>
      <c r="H658" s="3"/>
      <c r="I658" s="6"/>
      <c r="J658" s="6"/>
      <c r="K658" s="6"/>
      <c r="L658" s="6"/>
      <c r="M658" s="6"/>
      <c r="N658" s="6"/>
      <c r="O658" s="3"/>
      <c r="P658" s="6"/>
      <c r="Q658" s="6"/>
      <c r="R658" s="6"/>
      <c r="S658" s="6"/>
      <c r="T658" s="6"/>
      <c r="U658" t="str">
        <f t="shared" si="10"/>
        <v/>
      </c>
    </row>
    <row r="659" spans="3:21" customFormat="1" hidden="1">
      <c r="C659" s="6"/>
      <c r="D659" s="6"/>
      <c r="E659" s="98"/>
      <c r="F659" s="3"/>
      <c r="G659" s="6"/>
      <c r="H659" s="3"/>
      <c r="I659" s="6"/>
      <c r="J659" s="6"/>
      <c r="K659" s="6"/>
      <c r="L659" s="6"/>
      <c r="M659" s="6"/>
      <c r="N659" s="6"/>
      <c r="O659" s="3"/>
      <c r="P659" s="6"/>
      <c r="Q659" s="6"/>
      <c r="R659" s="6"/>
      <c r="S659" s="6"/>
      <c r="T659" s="6"/>
      <c r="U659" t="str">
        <f t="shared" si="10"/>
        <v/>
      </c>
    </row>
    <row r="660" spans="3:21" customFormat="1" hidden="1">
      <c r="C660" s="6"/>
      <c r="D660" s="6"/>
      <c r="E660" s="98"/>
      <c r="F660" s="3"/>
      <c r="G660" s="6"/>
      <c r="H660" s="3"/>
      <c r="I660" s="6"/>
      <c r="J660" s="6"/>
      <c r="K660" s="6"/>
      <c r="L660" s="6"/>
      <c r="M660" s="6"/>
      <c r="N660" s="6"/>
      <c r="O660" s="3"/>
      <c r="P660" s="6"/>
      <c r="Q660" s="6"/>
      <c r="R660" s="6"/>
      <c r="S660" s="6"/>
      <c r="T660" s="6"/>
      <c r="U660" t="str">
        <f t="shared" si="10"/>
        <v/>
      </c>
    </row>
    <row r="661" spans="3:21" customFormat="1" hidden="1">
      <c r="C661" s="6"/>
      <c r="D661" s="6"/>
      <c r="E661" s="98"/>
      <c r="F661" s="3"/>
      <c r="G661" s="6"/>
      <c r="H661" s="3"/>
      <c r="I661" s="6"/>
      <c r="J661" s="6"/>
      <c r="K661" s="6"/>
      <c r="L661" s="6"/>
      <c r="M661" s="6"/>
      <c r="N661" s="6"/>
      <c r="O661" s="3"/>
      <c r="P661" s="6"/>
      <c r="Q661" s="6"/>
      <c r="R661" s="6"/>
      <c r="S661" s="6"/>
      <c r="T661" s="6"/>
      <c r="U661" t="str">
        <f t="shared" si="10"/>
        <v/>
      </c>
    </row>
    <row r="662" spans="3:21" customFormat="1" hidden="1">
      <c r="C662" s="6"/>
      <c r="D662" s="6"/>
      <c r="E662" s="98"/>
      <c r="F662" s="3"/>
      <c r="G662" s="6"/>
      <c r="H662" s="3"/>
      <c r="I662" s="6"/>
      <c r="J662" s="6"/>
      <c r="K662" s="6"/>
      <c r="L662" s="6"/>
      <c r="M662" s="6"/>
      <c r="N662" s="6"/>
      <c r="O662" s="3"/>
      <c r="P662" s="6"/>
      <c r="Q662" s="6"/>
      <c r="R662" s="6"/>
      <c r="S662" s="6"/>
      <c r="T662" s="6"/>
      <c r="U662" t="str">
        <f t="shared" si="10"/>
        <v/>
      </c>
    </row>
    <row r="663" spans="3:21" customFormat="1" hidden="1">
      <c r="C663" s="6"/>
      <c r="D663" s="6"/>
      <c r="E663" s="98"/>
      <c r="F663" s="3"/>
      <c r="G663" s="6"/>
      <c r="H663" s="3"/>
      <c r="I663" s="6"/>
      <c r="J663" s="6"/>
      <c r="K663" s="6"/>
      <c r="L663" s="6"/>
      <c r="M663" s="6"/>
      <c r="N663" s="6"/>
      <c r="O663" s="3"/>
      <c r="P663" s="6"/>
      <c r="Q663" s="6"/>
      <c r="R663" s="6"/>
      <c r="S663" s="6"/>
      <c r="T663" s="6"/>
      <c r="U663" t="str">
        <f t="shared" si="10"/>
        <v/>
      </c>
    </row>
    <row r="664" spans="3:21" customFormat="1" hidden="1">
      <c r="C664" s="6"/>
      <c r="D664" s="6"/>
      <c r="E664" s="98"/>
      <c r="F664" s="3"/>
      <c r="G664" s="6"/>
      <c r="H664" s="3"/>
      <c r="I664" s="6"/>
      <c r="J664" s="6"/>
      <c r="K664" s="6"/>
      <c r="L664" s="6"/>
      <c r="M664" s="6"/>
      <c r="N664" s="6"/>
      <c r="O664" s="3"/>
      <c r="P664" s="6"/>
      <c r="Q664" s="6"/>
      <c r="R664" s="6"/>
      <c r="S664" s="6"/>
      <c r="T664" s="6"/>
      <c r="U664" t="str">
        <f t="shared" si="10"/>
        <v/>
      </c>
    </row>
    <row r="665" spans="3:21" customFormat="1" hidden="1">
      <c r="C665" s="6"/>
      <c r="D665" s="6"/>
      <c r="E665" s="98"/>
      <c r="F665" s="3"/>
      <c r="G665" s="6"/>
      <c r="H665" s="3"/>
      <c r="I665" s="6"/>
      <c r="J665" s="6"/>
      <c r="K665" s="6"/>
      <c r="L665" s="6"/>
      <c r="M665" s="6"/>
      <c r="N665" s="6"/>
      <c r="O665" s="3"/>
      <c r="P665" s="6"/>
      <c r="Q665" s="6"/>
      <c r="R665" s="6"/>
      <c r="S665" s="6"/>
      <c r="T665" s="6"/>
      <c r="U665" t="str">
        <f t="shared" si="10"/>
        <v/>
      </c>
    </row>
    <row r="666" spans="3:21" customFormat="1" hidden="1">
      <c r="C666" s="6"/>
      <c r="D666" s="6"/>
      <c r="E666" s="98"/>
      <c r="F666" s="3"/>
      <c r="G666" s="6"/>
      <c r="H666" s="3"/>
      <c r="I666" s="6"/>
      <c r="J666" s="6"/>
      <c r="K666" s="6"/>
      <c r="L666" s="6"/>
      <c r="M666" s="6"/>
      <c r="N666" s="6"/>
      <c r="O666" s="3"/>
      <c r="P666" s="6"/>
      <c r="Q666" s="6"/>
      <c r="R666" s="6"/>
      <c r="S666" s="6"/>
      <c r="T666" s="6"/>
      <c r="U666" t="str">
        <f t="shared" si="10"/>
        <v/>
      </c>
    </row>
    <row r="667" spans="3:21" customFormat="1" hidden="1">
      <c r="C667" s="6"/>
      <c r="D667" s="6"/>
      <c r="E667" s="98"/>
      <c r="F667" s="3"/>
      <c r="G667" s="6"/>
      <c r="H667" s="3"/>
      <c r="I667" s="6"/>
      <c r="J667" s="6"/>
      <c r="K667" s="6"/>
      <c r="L667" s="6"/>
      <c r="M667" s="6"/>
      <c r="N667" s="6"/>
      <c r="O667" s="3"/>
      <c r="P667" s="6"/>
      <c r="Q667" s="6"/>
      <c r="R667" s="6"/>
      <c r="S667" s="6"/>
      <c r="T667" s="6"/>
      <c r="U667" t="str">
        <f t="shared" si="10"/>
        <v/>
      </c>
    </row>
    <row r="668" spans="3:21" customFormat="1" hidden="1">
      <c r="C668" s="6"/>
      <c r="D668" s="6"/>
      <c r="E668" s="98"/>
      <c r="F668" s="3"/>
      <c r="G668" s="6"/>
      <c r="H668" s="3"/>
      <c r="I668" s="6"/>
      <c r="J668" s="6"/>
      <c r="K668" s="6"/>
      <c r="L668" s="6"/>
      <c r="M668" s="6"/>
      <c r="N668" s="6"/>
      <c r="O668" s="3"/>
      <c r="P668" s="6"/>
      <c r="Q668" s="6"/>
      <c r="R668" s="6"/>
      <c r="S668" s="6"/>
      <c r="T668" s="6"/>
      <c r="U668" t="str">
        <f t="shared" si="10"/>
        <v/>
      </c>
    </row>
    <row r="669" spans="3:21" customFormat="1" hidden="1">
      <c r="C669" s="6"/>
      <c r="D669" s="6"/>
      <c r="E669" s="98"/>
      <c r="F669" s="3"/>
      <c r="G669" s="6"/>
      <c r="H669" s="3"/>
      <c r="I669" s="6"/>
      <c r="J669" s="6"/>
      <c r="K669" s="6"/>
      <c r="L669" s="6"/>
      <c r="M669" s="6"/>
      <c r="N669" s="6"/>
      <c r="O669" s="3"/>
      <c r="P669" s="6"/>
      <c r="Q669" s="6"/>
      <c r="R669" s="6"/>
      <c r="S669" s="6"/>
      <c r="T669" s="6"/>
      <c r="U669" t="str">
        <f t="shared" si="10"/>
        <v/>
      </c>
    </row>
    <row r="670" spans="3:21" customFormat="1" hidden="1">
      <c r="C670" s="6"/>
      <c r="D670" s="6"/>
      <c r="E670" s="98"/>
      <c r="F670" s="3"/>
      <c r="G670" s="6"/>
      <c r="H670" s="3"/>
      <c r="I670" s="6"/>
      <c r="J670" s="6"/>
      <c r="K670" s="6"/>
      <c r="L670" s="6"/>
      <c r="M670" s="6"/>
      <c r="N670" s="6"/>
      <c r="O670" s="3"/>
      <c r="P670" s="6"/>
      <c r="Q670" s="6"/>
      <c r="R670" s="6"/>
      <c r="S670" s="6"/>
      <c r="T670" s="6"/>
      <c r="U670" t="str">
        <f t="shared" si="10"/>
        <v/>
      </c>
    </row>
    <row r="671" spans="3:21" customFormat="1" hidden="1">
      <c r="C671" s="6"/>
      <c r="D671" s="6"/>
      <c r="E671" s="98"/>
      <c r="F671" s="3"/>
      <c r="G671" s="6"/>
      <c r="H671" s="3"/>
      <c r="I671" s="6"/>
      <c r="J671" s="6"/>
      <c r="K671" s="6"/>
      <c r="L671" s="6"/>
      <c r="M671" s="6"/>
      <c r="N671" s="6"/>
      <c r="O671" s="3"/>
      <c r="P671" s="6"/>
      <c r="Q671" s="6"/>
      <c r="R671" s="6"/>
      <c r="S671" s="6"/>
      <c r="T671" s="6"/>
      <c r="U671" t="str">
        <f t="shared" si="10"/>
        <v/>
      </c>
    </row>
    <row r="672" spans="3:21" customFormat="1" hidden="1">
      <c r="C672" s="6"/>
      <c r="D672" s="6"/>
      <c r="E672" s="98"/>
      <c r="F672" s="3"/>
      <c r="G672" s="6"/>
      <c r="H672" s="3"/>
      <c r="I672" s="6"/>
      <c r="J672" s="6"/>
      <c r="K672" s="6"/>
      <c r="L672" s="6"/>
      <c r="M672" s="6"/>
      <c r="N672" s="6"/>
      <c r="O672" s="3"/>
      <c r="P672" s="6"/>
      <c r="Q672" s="6"/>
      <c r="R672" s="6"/>
      <c r="S672" s="6"/>
      <c r="T672" s="6"/>
      <c r="U672" t="str">
        <f t="shared" si="10"/>
        <v/>
      </c>
    </row>
    <row r="673" spans="3:21" customFormat="1" hidden="1">
      <c r="C673" s="6"/>
      <c r="D673" s="6"/>
      <c r="E673" s="98"/>
      <c r="F673" s="3"/>
      <c r="G673" s="6"/>
      <c r="H673" s="3"/>
      <c r="I673" s="6"/>
      <c r="J673" s="6"/>
      <c r="K673" s="6"/>
      <c r="L673" s="6"/>
      <c r="M673" s="6"/>
      <c r="N673" s="6"/>
      <c r="O673" s="3"/>
      <c r="P673" s="6"/>
      <c r="Q673" s="6"/>
      <c r="R673" s="6"/>
      <c r="S673" s="6"/>
      <c r="T673" s="6"/>
      <c r="U673" t="str">
        <f t="shared" si="10"/>
        <v/>
      </c>
    </row>
    <row r="674" spans="3:21" customFormat="1" hidden="1">
      <c r="C674" s="6"/>
      <c r="D674" s="6"/>
      <c r="E674" s="98"/>
      <c r="F674" s="3"/>
      <c r="G674" s="6"/>
      <c r="H674" s="3"/>
      <c r="I674" s="6"/>
      <c r="J674" s="6"/>
      <c r="K674" s="6"/>
      <c r="L674" s="6"/>
      <c r="M674" s="6"/>
      <c r="N674" s="6"/>
      <c r="O674" s="3"/>
      <c r="P674" s="6"/>
      <c r="Q674" s="6"/>
      <c r="R674" s="6"/>
      <c r="S674" s="6"/>
      <c r="T674" s="6"/>
      <c r="U674" t="str">
        <f t="shared" si="10"/>
        <v/>
      </c>
    </row>
    <row r="675" spans="3:21" customFormat="1" hidden="1">
      <c r="C675" s="6"/>
      <c r="D675" s="6"/>
      <c r="E675" s="98"/>
      <c r="F675" s="3"/>
      <c r="G675" s="6"/>
      <c r="H675" s="3"/>
      <c r="I675" s="6"/>
      <c r="J675" s="6"/>
      <c r="K675" s="6"/>
      <c r="L675" s="6"/>
      <c r="M675" s="6"/>
      <c r="N675" s="6"/>
      <c r="O675" s="3"/>
      <c r="P675" s="6"/>
      <c r="Q675" s="6"/>
      <c r="R675" s="6"/>
      <c r="S675" s="6"/>
      <c r="T675" s="6"/>
      <c r="U675" t="str">
        <f t="shared" si="10"/>
        <v/>
      </c>
    </row>
    <row r="676" spans="3:21" customFormat="1" hidden="1">
      <c r="C676" s="6"/>
      <c r="D676" s="6"/>
      <c r="E676" s="98"/>
      <c r="F676" s="3"/>
      <c r="G676" s="6"/>
      <c r="H676" s="3"/>
      <c r="I676" s="6"/>
      <c r="J676" s="6"/>
      <c r="K676" s="6"/>
      <c r="L676" s="6"/>
      <c r="M676" s="6"/>
      <c r="N676" s="6"/>
      <c r="O676" s="3"/>
      <c r="P676" s="6"/>
      <c r="Q676" s="6"/>
      <c r="R676" s="6"/>
      <c r="S676" s="6"/>
      <c r="T676" s="6"/>
      <c r="U676" t="str">
        <f t="shared" si="10"/>
        <v/>
      </c>
    </row>
    <row r="677" spans="3:21" customFormat="1" hidden="1">
      <c r="C677" s="6"/>
      <c r="D677" s="6"/>
      <c r="E677" s="98"/>
      <c r="F677" s="3"/>
      <c r="G677" s="6"/>
      <c r="H677" s="3"/>
      <c r="I677" s="6"/>
      <c r="J677" s="6"/>
      <c r="K677" s="6"/>
      <c r="L677" s="6"/>
      <c r="M677" s="6"/>
      <c r="N677" s="6"/>
      <c r="O677" s="3"/>
      <c r="P677" s="6"/>
      <c r="Q677" s="6"/>
      <c r="R677" s="6"/>
      <c r="S677" s="6"/>
      <c r="T677" s="6"/>
      <c r="U677" t="str">
        <f t="shared" si="10"/>
        <v/>
      </c>
    </row>
    <row r="678" spans="3:21" customFormat="1" hidden="1">
      <c r="C678" s="6"/>
      <c r="D678" s="6"/>
      <c r="E678" s="98"/>
      <c r="F678" s="3"/>
      <c r="G678" s="6"/>
      <c r="H678" s="3"/>
      <c r="I678" s="6"/>
      <c r="J678" s="6"/>
      <c r="K678" s="6"/>
      <c r="L678" s="6"/>
      <c r="M678" s="6"/>
      <c r="N678" s="6"/>
      <c r="O678" s="3"/>
      <c r="P678" s="6"/>
      <c r="Q678" s="6"/>
      <c r="R678" s="6"/>
      <c r="S678" s="6"/>
      <c r="T678" s="6"/>
      <c r="U678" t="str">
        <f t="shared" si="10"/>
        <v/>
      </c>
    </row>
    <row r="679" spans="3:21" customFormat="1" hidden="1">
      <c r="C679" s="6"/>
      <c r="D679" s="6"/>
      <c r="E679" s="98"/>
      <c r="F679" s="3"/>
      <c r="G679" s="6"/>
      <c r="H679" s="3"/>
      <c r="I679" s="6"/>
      <c r="J679" s="6"/>
      <c r="K679" s="6"/>
      <c r="L679" s="6"/>
      <c r="M679" s="6"/>
      <c r="N679" s="6"/>
      <c r="O679" s="3"/>
      <c r="P679" s="6"/>
      <c r="Q679" s="6"/>
      <c r="R679" s="6"/>
      <c r="S679" s="6"/>
      <c r="T679" s="6"/>
      <c r="U679" t="str">
        <f t="shared" si="10"/>
        <v/>
      </c>
    </row>
    <row r="680" spans="3:21" customFormat="1" hidden="1">
      <c r="C680" s="6"/>
      <c r="D680" s="6"/>
      <c r="E680" s="98"/>
      <c r="F680" s="3"/>
      <c r="G680" s="6"/>
      <c r="H680" s="3"/>
      <c r="I680" s="6"/>
      <c r="J680" s="6"/>
      <c r="K680" s="6"/>
      <c r="L680" s="6"/>
      <c r="M680" s="6"/>
      <c r="N680" s="6"/>
      <c r="O680" s="3"/>
      <c r="P680" s="6"/>
      <c r="Q680" s="6"/>
      <c r="R680" s="6"/>
      <c r="S680" s="6"/>
      <c r="T680" s="6"/>
      <c r="U680" t="str">
        <f t="shared" si="10"/>
        <v/>
      </c>
    </row>
    <row r="681" spans="3:21" customFormat="1" hidden="1">
      <c r="C681" s="6"/>
      <c r="D681" s="6"/>
      <c r="E681" s="98"/>
      <c r="F681" s="3"/>
      <c r="G681" s="6"/>
      <c r="H681" s="3"/>
      <c r="I681" s="6"/>
      <c r="J681" s="6"/>
      <c r="K681" s="6"/>
      <c r="L681" s="6"/>
      <c r="M681" s="6"/>
      <c r="N681" s="6"/>
      <c r="O681" s="3"/>
      <c r="P681" s="6"/>
      <c r="Q681" s="6"/>
      <c r="R681" s="6"/>
      <c r="S681" s="6"/>
      <c r="T681" s="6"/>
      <c r="U681" t="str">
        <f t="shared" si="10"/>
        <v/>
      </c>
    </row>
    <row r="682" spans="3:21" customFormat="1" hidden="1">
      <c r="C682" s="6"/>
      <c r="D682" s="6"/>
      <c r="E682" s="98"/>
      <c r="F682" s="3"/>
      <c r="G682" s="6"/>
      <c r="H682" s="3"/>
      <c r="I682" s="6"/>
      <c r="J682" s="6"/>
      <c r="K682" s="6"/>
      <c r="L682" s="6"/>
      <c r="M682" s="6"/>
      <c r="N682" s="6"/>
      <c r="O682" s="3"/>
      <c r="P682" s="6"/>
      <c r="Q682" s="6"/>
      <c r="R682" s="6"/>
      <c r="S682" s="6"/>
      <c r="T682" s="6"/>
      <c r="U682" t="str">
        <f t="shared" si="10"/>
        <v/>
      </c>
    </row>
    <row r="683" spans="3:21" customFormat="1" hidden="1">
      <c r="C683" s="6"/>
      <c r="D683" s="6"/>
      <c r="E683" s="98"/>
      <c r="F683" s="3"/>
      <c r="G683" s="6"/>
      <c r="H683" s="3"/>
      <c r="I683" s="6"/>
      <c r="J683" s="6"/>
      <c r="K683" s="6"/>
      <c r="L683" s="6"/>
      <c r="M683" s="6"/>
      <c r="N683" s="6"/>
      <c r="O683" s="3"/>
      <c r="P683" s="6"/>
      <c r="Q683" s="6"/>
      <c r="R683" s="6"/>
      <c r="S683" s="6"/>
      <c r="T683" s="6"/>
      <c r="U683" t="str">
        <f t="shared" si="10"/>
        <v/>
      </c>
    </row>
    <row r="684" spans="3:21" customFormat="1" hidden="1">
      <c r="C684" s="6"/>
      <c r="D684" s="6"/>
      <c r="E684" s="98"/>
      <c r="F684" s="3"/>
      <c r="G684" s="6"/>
      <c r="H684" s="3"/>
      <c r="I684" s="6"/>
      <c r="J684" s="6"/>
      <c r="K684" s="6"/>
      <c r="L684" s="6"/>
      <c r="M684" s="6"/>
      <c r="N684" s="6"/>
      <c r="O684" s="3"/>
      <c r="P684" s="6"/>
      <c r="Q684" s="6"/>
      <c r="R684" s="6"/>
      <c r="S684" s="6"/>
      <c r="T684" s="6"/>
      <c r="U684" t="str">
        <f t="shared" si="10"/>
        <v/>
      </c>
    </row>
    <row r="685" spans="3:21" customFormat="1" hidden="1">
      <c r="C685" s="6"/>
      <c r="D685" s="6"/>
      <c r="E685" s="98"/>
      <c r="F685" s="3"/>
      <c r="G685" s="6"/>
      <c r="H685" s="3"/>
      <c r="I685" s="6"/>
      <c r="J685" s="6"/>
      <c r="K685" s="6"/>
      <c r="L685" s="6"/>
      <c r="M685" s="6"/>
      <c r="N685" s="6"/>
      <c r="O685" s="3"/>
      <c r="P685" s="6"/>
      <c r="Q685" s="6"/>
      <c r="R685" s="6"/>
      <c r="S685" s="6"/>
      <c r="T685" s="6"/>
      <c r="U685" t="str">
        <f t="shared" si="10"/>
        <v/>
      </c>
    </row>
    <row r="686" spans="3:21" customFormat="1" hidden="1">
      <c r="C686" s="6"/>
      <c r="D686" s="6"/>
      <c r="E686" s="98"/>
      <c r="F686" s="3"/>
      <c r="G686" s="6"/>
      <c r="H686" s="3"/>
      <c r="I686" s="6"/>
      <c r="J686" s="6"/>
      <c r="K686" s="6"/>
      <c r="L686" s="6"/>
      <c r="M686" s="6"/>
      <c r="N686" s="6"/>
      <c r="O686" s="3"/>
      <c r="P686" s="6"/>
      <c r="Q686" s="6"/>
      <c r="R686" s="6"/>
      <c r="S686" s="6"/>
      <c r="T686" s="6"/>
      <c r="U686" t="str">
        <f t="shared" si="10"/>
        <v/>
      </c>
    </row>
    <row r="687" spans="3:21" customFormat="1" hidden="1">
      <c r="C687" s="6"/>
      <c r="D687" s="6"/>
      <c r="E687" s="98"/>
      <c r="F687" s="3"/>
      <c r="G687" s="6"/>
      <c r="H687" s="3"/>
      <c r="I687" s="6"/>
      <c r="J687" s="6"/>
      <c r="K687" s="6"/>
      <c r="L687" s="6"/>
      <c r="M687" s="6"/>
      <c r="N687" s="6"/>
      <c r="O687" s="3"/>
      <c r="P687" s="6"/>
      <c r="Q687" s="6"/>
      <c r="R687" s="6"/>
      <c r="S687" s="6"/>
      <c r="T687" s="6"/>
      <c r="U687" t="str">
        <f t="shared" si="10"/>
        <v/>
      </c>
    </row>
    <row r="688" spans="3:21" customFormat="1" hidden="1">
      <c r="C688" s="6"/>
      <c r="D688" s="6"/>
      <c r="E688" s="98"/>
      <c r="F688" s="3"/>
      <c r="G688" s="6"/>
      <c r="H688" s="3"/>
      <c r="I688" s="6"/>
      <c r="J688" s="6"/>
      <c r="K688" s="6"/>
      <c r="L688" s="6"/>
      <c r="M688" s="6"/>
      <c r="N688" s="6"/>
      <c r="O688" s="3"/>
      <c r="P688" s="6"/>
      <c r="Q688" s="6"/>
      <c r="R688" s="6"/>
      <c r="S688" s="6"/>
      <c r="T688" s="6"/>
      <c r="U688" t="str">
        <f t="shared" si="10"/>
        <v/>
      </c>
    </row>
    <row r="689" spans="3:21" customFormat="1" hidden="1">
      <c r="C689" s="6"/>
      <c r="D689" s="6"/>
      <c r="E689" s="98"/>
      <c r="F689" s="3"/>
      <c r="G689" s="6"/>
      <c r="H689" s="3"/>
      <c r="I689" s="6"/>
      <c r="J689" s="6"/>
      <c r="K689" s="6"/>
      <c r="L689" s="6"/>
      <c r="M689" s="6"/>
      <c r="N689" s="6"/>
      <c r="O689" s="3"/>
      <c r="P689" s="6"/>
      <c r="Q689" s="6"/>
      <c r="R689" s="6"/>
      <c r="S689" s="6"/>
      <c r="T689" s="6"/>
      <c r="U689" t="str">
        <f t="shared" si="10"/>
        <v/>
      </c>
    </row>
    <row r="690" spans="3:21" customFormat="1" hidden="1">
      <c r="C690" s="6"/>
      <c r="D690" s="6"/>
      <c r="E690" s="98"/>
      <c r="F690" s="3"/>
      <c r="G690" s="6"/>
      <c r="H690" s="3"/>
      <c r="I690" s="6"/>
      <c r="J690" s="6"/>
      <c r="K690" s="6"/>
      <c r="L690" s="6"/>
      <c r="M690" s="6"/>
      <c r="N690" s="6"/>
      <c r="O690" s="3"/>
      <c r="P690" s="6"/>
      <c r="Q690" s="6"/>
      <c r="R690" s="6"/>
      <c r="S690" s="6"/>
      <c r="T690" s="6"/>
      <c r="U690" t="str">
        <f t="shared" si="10"/>
        <v/>
      </c>
    </row>
    <row r="691" spans="3:21" customFormat="1" hidden="1">
      <c r="C691" s="6"/>
      <c r="D691" s="6"/>
      <c r="E691" s="98"/>
      <c r="F691" s="3"/>
      <c r="G691" s="6"/>
      <c r="H691" s="3"/>
      <c r="I691" s="6"/>
      <c r="J691" s="6"/>
      <c r="K691" s="6"/>
      <c r="L691" s="6"/>
      <c r="M691" s="6"/>
      <c r="N691" s="6"/>
      <c r="O691" s="3"/>
      <c r="P691" s="6"/>
      <c r="Q691" s="6"/>
      <c r="R691" s="6"/>
      <c r="S691" s="6"/>
      <c r="T691" s="6"/>
      <c r="U691" t="str">
        <f t="shared" si="10"/>
        <v/>
      </c>
    </row>
    <row r="692" spans="3:21" customFormat="1" hidden="1">
      <c r="C692" s="6"/>
      <c r="D692" s="6"/>
      <c r="E692" s="98"/>
      <c r="F692" s="3"/>
      <c r="G692" s="6"/>
      <c r="H692" s="3"/>
      <c r="I692" s="6"/>
      <c r="J692" s="6"/>
      <c r="K692" s="6"/>
      <c r="L692" s="6"/>
      <c r="M692" s="6"/>
      <c r="N692" s="6"/>
      <c r="O692" s="3"/>
      <c r="P692" s="6"/>
      <c r="Q692" s="6"/>
      <c r="R692" s="6"/>
      <c r="S692" s="6"/>
      <c r="T692" s="6"/>
      <c r="U692" t="str">
        <f t="shared" si="10"/>
        <v/>
      </c>
    </row>
    <row r="693" spans="3:21" customFormat="1" hidden="1">
      <c r="C693" s="6"/>
      <c r="D693" s="6"/>
      <c r="E693" s="98"/>
      <c r="F693" s="3"/>
      <c r="G693" s="6"/>
      <c r="H693" s="3"/>
      <c r="I693" s="6"/>
      <c r="J693" s="6"/>
      <c r="K693" s="6"/>
      <c r="L693" s="6"/>
      <c r="M693" s="6"/>
      <c r="N693" s="6"/>
      <c r="O693" s="3"/>
      <c r="P693" s="6"/>
      <c r="Q693" s="6"/>
      <c r="R693" s="6"/>
      <c r="S693" s="6"/>
      <c r="T693" s="6"/>
      <c r="U693" t="str">
        <f t="shared" si="10"/>
        <v/>
      </c>
    </row>
    <row r="694" spans="3:21" customFormat="1" hidden="1">
      <c r="C694" s="6"/>
      <c r="D694" s="6"/>
      <c r="E694" s="98"/>
      <c r="F694" s="3"/>
      <c r="G694" s="6"/>
      <c r="H694" s="3"/>
      <c r="I694" s="6"/>
      <c r="J694" s="6"/>
      <c r="K694" s="6"/>
      <c r="L694" s="6"/>
      <c r="M694" s="6"/>
      <c r="N694" s="6"/>
      <c r="O694" s="3"/>
      <c r="P694" s="6"/>
      <c r="Q694" s="6"/>
      <c r="R694" s="6"/>
      <c r="S694" s="6"/>
      <c r="T694" s="6"/>
      <c r="U694" t="str">
        <f t="shared" si="10"/>
        <v/>
      </c>
    </row>
    <row r="695" spans="3:21" customFormat="1" hidden="1">
      <c r="C695" s="6"/>
      <c r="D695" s="6"/>
      <c r="E695" s="98"/>
      <c r="F695" s="3"/>
      <c r="G695" s="6"/>
      <c r="H695" s="3"/>
      <c r="I695" s="6"/>
      <c r="J695" s="6"/>
      <c r="K695" s="6"/>
      <c r="L695" s="6"/>
      <c r="M695" s="6"/>
      <c r="N695" s="6"/>
      <c r="O695" s="3"/>
      <c r="P695" s="6"/>
      <c r="Q695" s="6"/>
      <c r="R695" s="6"/>
      <c r="S695" s="6"/>
      <c r="T695" s="6"/>
      <c r="U695" t="str">
        <f t="shared" si="10"/>
        <v/>
      </c>
    </row>
    <row r="696" spans="3:21" customFormat="1" hidden="1">
      <c r="C696" s="6"/>
      <c r="D696" s="6"/>
      <c r="E696" s="98"/>
      <c r="F696" s="3"/>
      <c r="G696" s="6"/>
      <c r="H696" s="3"/>
      <c r="I696" s="6"/>
      <c r="J696" s="6"/>
      <c r="K696" s="6"/>
      <c r="L696" s="6"/>
      <c r="M696" s="6"/>
      <c r="N696" s="6"/>
      <c r="O696" s="3"/>
      <c r="P696" s="6"/>
      <c r="Q696" s="6"/>
      <c r="R696" s="6"/>
      <c r="S696" s="6"/>
      <c r="T696" s="6"/>
      <c r="U696" t="str">
        <f t="shared" si="10"/>
        <v/>
      </c>
    </row>
    <row r="697" spans="3:21" customFormat="1" hidden="1">
      <c r="C697" s="6"/>
      <c r="D697" s="6"/>
      <c r="E697" s="98"/>
      <c r="F697" s="3"/>
      <c r="G697" s="6"/>
      <c r="H697" s="3"/>
      <c r="I697" s="6"/>
      <c r="J697" s="6"/>
      <c r="K697" s="6"/>
      <c r="L697" s="6"/>
      <c r="M697" s="6"/>
      <c r="N697" s="6"/>
      <c r="O697" s="3"/>
      <c r="P697" s="6"/>
      <c r="Q697" s="6"/>
      <c r="R697" s="6"/>
      <c r="S697" s="6"/>
      <c r="T697" s="6"/>
      <c r="U697" t="str">
        <f t="shared" si="10"/>
        <v/>
      </c>
    </row>
    <row r="698" spans="3:21" customFormat="1" hidden="1">
      <c r="C698" s="6"/>
      <c r="D698" s="6"/>
      <c r="E698" s="98"/>
      <c r="F698" s="3"/>
      <c r="G698" s="6"/>
      <c r="H698" s="3"/>
      <c r="I698" s="6"/>
      <c r="J698" s="6"/>
      <c r="K698" s="6"/>
      <c r="L698" s="6"/>
      <c r="M698" s="6"/>
      <c r="N698" s="6"/>
      <c r="O698" s="3"/>
      <c r="P698" s="6"/>
      <c r="Q698" s="6"/>
      <c r="R698" s="6"/>
      <c r="S698" s="6"/>
      <c r="T698" s="6"/>
      <c r="U698" t="str">
        <f t="shared" si="10"/>
        <v/>
      </c>
    </row>
    <row r="699" spans="3:21" customFormat="1" hidden="1">
      <c r="C699" s="6"/>
      <c r="D699" s="6"/>
      <c r="E699" s="98"/>
      <c r="F699" s="3"/>
      <c r="G699" s="6"/>
      <c r="H699" s="3"/>
      <c r="I699" s="6"/>
      <c r="J699" s="6"/>
      <c r="K699" s="6"/>
      <c r="L699" s="6"/>
      <c r="M699" s="6"/>
      <c r="N699" s="6"/>
      <c r="O699" s="3"/>
      <c r="P699" s="6"/>
      <c r="Q699" s="6"/>
      <c r="R699" s="6"/>
      <c r="S699" s="6"/>
      <c r="T699" s="6"/>
      <c r="U699" t="str">
        <f t="shared" si="10"/>
        <v/>
      </c>
    </row>
    <row r="700" spans="3:21" customFormat="1" hidden="1">
      <c r="C700" s="6"/>
      <c r="D700" s="6"/>
      <c r="E700" s="98"/>
      <c r="F700" s="3"/>
      <c r="G700" s="6"/>
      <c r="H700" s="3"/>
      <c r="I700" s="6"/>
      <c r="J700" s="6"/>
      <c r="K700" s="6"/>
      <c r="L700" s="6"/>
      <c r="M700" s="6"/>
      <c r="N700" s="6"/>
      <c r="O700" s="3"/>
      <c r="P700" s="6"/>
      <c r="Q700" s="6"/>
      <c r="R700" s="6"/>
      <c r="S700" s="6"/>
      <c r="T700" s="6"/>
      <c r="U700" t="str">
        <f t="shared" si="10"/>
        <v/>
      </c>
    </row>
    <row r="701" spans="3:21" customFormat="1" hidden="1">
      <c r="C701" s="6"/>
      <c r="D701" s="6"/>
      <c r="E701" s="98"/>
      <c r="F701" s="3"/>
      <c r="G701" s="6"/>
      <c r="H701" s="3"/>
      <c r="I701" s="6"/>
      <c r="J701" s="6"/>
      <c r="K701" s="6"/>
      <c r="L701" s="6"/>
      <c r="M701" s="6"/>
      <c r="N701" s="6"/>
      <c r="O701" s="3"/>
      <c r="P701" s="6"/>
      <c r="Q701" s="6"/>
      <c r="R701" s="6"/>
      <c r="S701" s="6"/>
      <c r="T701" s="6"/>
      <c r="U701" t="str">
        <f t="shared" si="10"/>
        <v/>
      </c>
    </row>
    <row r="702" spans="3:21" customFormat="1" hidden="1">
      <c r="C702" s="6"/>
      <c r="D702" s="6"/>
      <c r="E702" s="98"/>
      <c r="F702" s="3"/>
      <c r="G702" s="6"/>
      <c r="H702" s="3"/>
      <c r="I702" s="6"/>
      <c r="J702" s="6"/>
      <c r="K702" s="6"/>
      <c r="L702" s="6"/>
      <c r="M702" s="6"/>
      <c r="N702" s="6"/>
      <c r="O702" s="3"/>
      <c r="P702" s="6"/>
      <c r="Q702" s="6"/>
      <c r="R702" s="6"/>
      <c r="S702" s="6"/>
      <c r="T702" s="6"/>
      <c r="U702" t="str">
        <f t="shared" si="10"/>
        <v/>
      </c>
    </row>
    <row r="703" spans="3:21" customFormat="1" hidden="1">
      <c r="C703" s="6"/>
      <c r="D703" s="6"/>
      <c r="E703" s="98"/>
      <c r="F703" s="3"/>
      <c r="G703" s="6"/>
      <c r="H703" s="3"/>
      <c r="I703" s="6"/>
      <c r="J703" s="6"/>
      <c r="K703" s="6"/>
      <c r="L703" s="6"/>
      <c r="M703" s="6"/>
      <c r="N703" s="6"/>
      <c r="O703" s="3"/>
      <c r="P703" s="6"/>
      <c r="Q703" s="6"/>
      <c r="R703" s="6"/>
      <c r="S703" s="6"/>
      <c r="T703" s="6"/>
      <c r="U703" t="str">
        <f t="shared" si="10"/>
        <v/>
      </c>
    </row>
    <row r="704" spans="3:21" customFormat="1" hidden="1">
      <c r="C704" s="6"/>
      <c r="D704" s="6"/>
      <c r="E704" s="98"/>
      <c r="F704" s="3"/>
      <c r="G704" s="6"/>
      <c r="H704" s="3"/>
      <c r="I704" s="6"/>
      <c r="J704" s="6"/>
      <c r="K704" s="6"/>
      <c r="L704" s="6"/>
      <c r="M704" s="6"/>
      <c r="N704" s="6"/>
      <c r="O704" s="3"/>
      <c r="P704" s="6"/>
      <c r="Q704" s="6"/>
      <c r="R704" s="6"/>
      <c r="S704" s="6"/>
      <c r="T704" s="6"/>
      <c r="U704" t="str">
        <f t="shared" si="10"/>
        <v/>
      </c>
    </row>
    <row r="705" spans="3:21" customFormat="1" hidden="1">
      <c r="C705" s="6"/>
      <c r="D705" s="6"/>
      <c r="E705" s="98"/>
      <c r="F705" s="3"/>
      <c r="G705" s="6"/>
      <c r="H705" s="3"/>
      <c r="I705" s="6"/>
      <c r="J705" s="6"/>
      <c r="K705" s="6"/>
      <c r="L705" s="6"/>
      <c r="M705" s="6"/>
      <c r="N705" s="6"/>
      <c r="O705" s="3"/>
      <c r="P705" s="6"/>
      <c r="Q705" s="6"/>
      <c r="R705" s="6"/>
      <c r="S705" s="6"/>
      <c r="T705" s="6"/>
      <c r="U705" t="str">
        <f t="shared" si="10"/>
        <v/>
      </c>
    </row>
    <row r="706" spans="3:21" customFormat="1" hidden="1">
      <c r="C706" s="6"/>
      <c r="D706" s="6"/>
      <c r="E706" s="98"/>
      <c r="F706" s="3"/>
      <c r="G706" s="6"/>
      <c r="H706" s="3"/>
      <c r="I706" s="6"/>
      <c r="J706" s="6"/>
      <c r="K706" s="6"/>
      <c r="L706" s="6"/>
      <c r="M706" s="6"/>
      <c r="N706" s="6"/>
      <c r="O706" s="3"/>
      <c r="P706" s="6"/>
      <c r="Q706" s="6"/>
      <c r="R706" s="6"/>
      <c r="S706" s="6"/>
      <c r="T706" s="6"/>
      <c r="U706" t="str">
        <f t="shared" si="10"/>
        <v/>
      </c>
    </row>
    <row r="707" spans="3:21" customFormat="1" hidden="1">
      <c r="C707" s="6"/>
      <c r="D707" s="6"/>
      <c r="E707" s="98"/>
      <c r="F707" s="3"/>
      <c r="G707" s="6"/>
      <c r="H707" s="3"/>
      <c r="I707" s="6"/>
      <c r="J707" s="6"/>
      <c r="K707" s="6"/>
      <c r="L707" s="6"/>
      <c r="M707" s="6"/>
      <c r="N707" s="6"/>
      <c r="O707" s="3"/>
      <c r="P707" s="6"/>
      <c r="Q707" s="6"/>
      <c r="R707" s="6"/>
      <c r="S707" s="6"/>
      <c r="T707" s="6"/>
      <c r="U707" t="str">
        <f t="shared" si="10"/>
        <v/>
      </c>
    </row>
    <row r="708" spans="3:21" customFormat="1" hidden="1">
      <c r="C708" s="6"/>
      <c r="D708" s="6"/>
      <c r="E708" s="98"/>
      <c r="F708" s="3"/>
      <c r="G708" s="6"/>
      <c r="H708" s="3"/>
      <c r="I708" s="6"/>
      <c r="J708" s="6"/>
      <c r="K708" s="6"/>
      <c r="L708" s="6"/>
      <c r="M708" s="6"/>
      <c r="N708" s="6"/>
      <c r="O708" s="3"/>
      <c r="P708" s="6"/>
      <c r="Q708" s="6"/>
      <c r="R708" s="6"/>
      <c r="S708" s="6"/>
      <c r="T708" s="6"/>
      <c r="U708" t="str">
        <f t="shared" si="10"/>
        <v/>
      </c>
    </row>
    <row r="709" spans="3:21" customFormat="1" hidden="1">
      <c r="C709" s="6"/>
      <c r="D709" s="6"/>
      <c r="E709" s="98"/>
      <c r="F709" s="3"/>
      <c r="G709" s="6"/>
      <c r="H709" s="3"/>
      <c r="I709" s="6"/>
      <c r="J709" s="6"/>
      <c r="K709" s="6"/>
      <c r="L709" s="6"/>
      <c r="M709" s="6"/>
      <c r="N709" s="6"/>
      <c r="O709" s="3"/>
      <c r="P709" s="6"/>
      <c r="Q709" s="6"/>
      <c r="R709" s="6"/>
      <c r="S709" s="6"/>
      <c r="T709" s="6"/>
      <c r="U709" t="str">
        <f t="shared" si="10"/>
        <v/>
      </c>
    </row>
    <row r="710" spans="3:21" customFormat="1" hidden="1">
      <c r="C710" s="6"/>
      <c r="D710" s="6"/>
      <c r="E710" s="98"/>
      <c r="F710" s="3"/>
      <c r="G710" s="6"/>
      <c r="H710" s="3"/>
      <c r="I710" s="6"/>
      <c r="J710" s="6"/>
      <c r="K710" s="6"/>
      <c r="L710" s="6"/>
      <c r="M710" s="6"/>
      <c r="N710" s="6"/>
      <c r="O710" s="3"/>
      <c r="P710" s="6"/>
      <c r="Q710" s="6"/>
      <c r="R710" s="6"/>
      <c r="S710" s="6"/>
      <c r="T710" s="6"/>
      <c r="U710" t="str">
        <f t="shared" si="10"/>
        <v/>
      </c>
    </row>
    <row r="711" spans="3:21" customFormat="1" hidden="1">
      <c r="C711" s="6"/>
      <c r="D711" s="6"/>
      <c r="E711" s="98"/>
      <c r="F711" s="3"/>
      <c r="G711" s="6"/>
      <c r="H711" s="3"/>
      <c r="I711" s="6"/>
      <c r="J711" s="6"/>
      <c r="K711" s="6"/>
      <c r="L711" s="6"/>
      <c r="M711" s="6"/>
      <c r="N711" s="6"/>
      <c r="O711" s="3"/>
      <c r="P711" s="6"/>
      <c r="Q711" s="6"/>
      <c r="R711" s="6"/>
      <c r="S711" s="6"/>
      <c r="T711" s="6"/>
      <c r="U711" t="str">
        <f t="shared" ref="U711:U774" si="11">IF(D711="","","x")</f>
        <v/>
      </c>
    </row>
    <row r="712" spans="3:21" customFormat="1" hidden="1">
      <c r="C712" s="6"/>
      <c r="D712" s="6"/>
      <c r="E712" s="98"/>
      <c r="F712" s="3"/>
      <c r="G712" s="6"/>
      <c r="H712" s="3"/>
      <c r="I712" s="6"/>
      <c r="J712" s="6"/>
      <c r="K712" s="6"/>
      <c r="L712" s="6"/>
      <c r="M712" s="6"/>
      <c r="N712" s="6"/>
      <c r="O712" s="3"/>
      <c r="P712" s="6"/>
      <c r="Q712" s="6"/>
      <c r="R712" s="6"/>
      <c r="S712" s="6"/>
      <c r="T712" s="6"/>
      <c r="U712" t="str">
        <f t="shared" si="11"/>
        <v/>
      </c>
    </row>
    <row r="713" spans="3:21" customFormat="1" hidden="1">
      <c r="C713" s="6"/>
      <c r="D713" s="6"/>
      <c r="E713" s="98"/>
      <c r="F713" s="3"/>
      <c r="G713" s="6"/>
      <c r="H713" s="3"/>
      <c r="I713" s="6"/>
      <c r="J713" s="6"/>
      <c r="K713" s="6"/>
      <c r="L713" s="6"/>
      <c r="M713" s="6"/>
      <c r="N713" s="6"/>
      <c r="O713" s="3"/>
      <c r="P713" s="6"/>
      <c r="Q713" s="6"/>
      <c r="R713" s="6"/>
      <c r="S713" s="6"/>
      <c r="T713" s="6"/>
      <c r="U713" t="str">
        <f t="shared" si="11"/>
        <v/>
      </c>
    </row>
    <row r="714" spans="3:21" customFormat="1" hidden="1">
      <c r="C714" s="6"/>
      <c r="D714" s="6"/>
      <c r="E714" s="98"/>
      <c r="F714" s="3"/>
      <c r="G714" s="6"/>
      <c r="H714" s="3"/>
      <c r="I714" s="6"/>
      <c r="J714" s="6"/>
      <c r="K714" s="6"/>
      <c r="L714" s="6"/>
      <c r="M714" s="6"/>
      <c r="N714" s="6"/>
      <c r="O714" s="3"/>
      <c r="P714" s="6"/>
      <c r="Q714" s="6"/>
      <c r="R714" s="6"/>
      <c r="S714" s="6"/>
      <c r="T714" s="6"/>
      <c r="U714" t="str">
        <f t="shared" si="11"/>
        <v/>
      </c>
    </row>
    <row r="715" spans="3:21" customFormat="1" hidden="1">
      <c r="C715" s="6"/>
      <c r="D715" s="6"/>
      <c r="E715" s="98"/>
      <c r="F715" s="3"/>
      <c r="G715" s="6"/>
      <c r="H715" s="3"/>
      <c r="I715" s="6"/>
      <c r="J715" s="6"/>
      <c r="K715" s="6"/>
      <c r="L715" s="6"/>
      <c r="M715" s="6"/>
      <c r="N715" s="6"/>
      <c r="O715" s="3"/>
      <c r="P715" s="6"/>
      <c r="Q715" s="6"/>
      <c r="R715" s="6"/>
      <c r="S715" s="6"/>
      <c r="T715" s="6"/>
      <c r="U715" t="str">
        <f t="shared" si="11"/>
        <v/>
      </c>
    </row>
    <row r="716" spans="3:21" customFormat="1" hidden="1">
      <c r="C716" s="6"/>
      <c r="D716" s="6"/>
      <c r="E716" s="98"/>
      <c r="F716" s="3"/>
      <c r="G716" s="6"/>
      <c r="H716" s="3"/>
      <c r="I716" s="6"/>
      <c r="J716" s="6"/>
      <c r="K716" s="6"/>
      <c r="L716" s="6"/>
      <c r="M716" s="6"/>
      <c r="N716" s="6"/>
      <c r="O716" s="3"/>
      <c r="P716" s="6"/>
      <c r="Q716" s="6"/>
      <c r="R716" s="6"/>
      <c r="S716" s="6"/>
      <c r="T716" s="6"/>
      <c r="U716" t="str">
        <f t="shared" si="11"/>
        <v/>
      </c>
    </row>
    <row r="717" spans="3:21" customFormat="1" hidden="1">
      <c r="C717" s="6"/>
      <c r="D717" s="6"/>
      <c r="E717" s="98"/>
      <c r="F717" s="3"/>
      <c r="G717" s="6"/>
      <c r="H717" s="3"/>
      <c r="I717" s="6"/>
      <c r="J717" s="6"/>
      <c r="K717" s="6"/>
      <c r="L717" s="6"/>
      <c r="M717" s="6"/>
      <c r="N717" s="6"/>
      <c r="O717" s="3"/>
      <c r="P717" s="6"/>
      <c r="Q717" s="6"/>
      <c r="R717" s="6"/>
      <c r="S717" s="6"/>
      <c r="T717" s="6"/>
      <c r="U717" t="str">
        <f t="shared" si="11"/>
        <v/>
      </c>
    </row>
    <row r="718" spans="3:21" customFormat="1" hidden="1">
      <c r="C718" s="6"/>
      <c r="D718" s="6"/>
      <c r="E718" s="98"/>
      <c r="F718" s="3"/>
      <c r="G718" s="6"/>
      <c r="H718" s="3"/>
      <c r="I718" s="6"/>
      <c r="J718" s="6"/>
      <c r="K718" s="6"/>
      <c r="L718" s="6"/>
      <c r="M718" s="6"/>
      <c r="N718" s="6"/>
      <c r="O718" s="3"/>
      <c r="P718" s="6"/>
      <c r="Q718" s="6"/>
      <c r="R718" s="6"/>
      <c r="S718" s="6"/>
      <c r="T718" s="6"/>
      <c r="U718" t="str">
        <f t="shared" si="11"/>
        <v/>
      </c>
    </row>
    <row r="719" spans="3:21" customFormat="1" hidden="1">
      <c r="C719" s="6"/>
      <c r="D719" s="6"/>
      <c r="E719" s="98"/>
      <c r="F719" s="3"/>
      <c r="G719" s="6"/>
      <c r="H719" s="3"/>
      <c r="I719" s="6"/>
      <c r="J719" s="6"/>
      <c r="K719" s="6"/>
      <c r="L719" s="6"/>
      <c r="M719" s="6"/>
      <c r="N719" s="6"/>
      <c r="O719" s="3"/>
      <c r="P719" s="6"/>
      <c r="Q719" s="6"/>
      <c r="R719" s="6"/>
      <c r="S719" s="6"/>
      <c r="T719" s="6"/>
      <c r="U719" t="str">
        <f t="shared" si="11"/>
        <v/>
      </c>
    </row>
    <row r="720" spans="3:21" customFormat="1" hidden="1">
      <c r="C720" s="6"/>
      <c r="D720" s="6"/>
      <c r="E720" s="98"/>
      <c r="F720" s="3"/>
      <c r="G720" s="6"/>
      <c r="H720" s="3"/>
      <c r="I720" s="6"/>
      <c r="J720" s="6"/>
      <c r="K720" s="6"/>
      <c r="L720" s="6"/>
      <c r="M720" s="6"/>
      <c r="N720" s="6"/>
      <c r="O720" s="3"/>
      <c r="P720" s="6"/>
      <c r="Q720" s="6"/>
      <c r="R720" s="6"/>
      <c r="S720" s="6"/>
      <c r="T720" s="6"/>
      <c r="U720" t="str">
        <f t="shared" si="11"/>
        <v/>
      </c>
    </row>
    <row r="721" spans="3:21" customFormat="1" hidden="1">
      <c r="C721" s="6"/>
      <c r="D721" s="6"/>
      <c r="E721" s="98"/>
      <c r="F721" s="3"/>
      <c r="G721" s="6"/>
      <c r="H721" s="3"/>
      <c r="I721" s="6"/>
      <c r="J721" s="6"/>
      <c r="K721" s="6"/>
      <c r="L721" s="6"/>
      <c r="M721" s="6"/>
      <c r="N721" s="6"/>
      <c r="O721" s="3"/>
      <c r="P721" s="6"/>
      <c r="Q721" s="6"/>
      <c r="R721" s="6"/>
      <c r="S721" s="6"/>
      <c r="T721" s="6"/>
      <c r="U721" t="str">
        <f t="shared" si="11"/>
        <v/>
      </c>
    </row>
    <row r="722" spans="3:21" customFormat="1" hidden="1">
      <c r="C722" s="6"/>
      <c r="D722" s="6"/>
      <c r="E722" s="98"/>
      <c r="F722" s="3"/>
      <c r="G722" s="6"/>
      <c r="H722" s="3"/>
      <c r="I722" s="6"/>
      <c r="J722" s="6"/>
      <c r="K722" s="6"/>
      <c r="L722" s="6"/>
      <c r="M722" s="6"/>
      <c r="N722" s="6"/>
      <c r="O722" s="3"/>
      <c r="P722" s="6"/>
      <c r="Q722" s="6"/>
      <c r="R722" s="6"/>
      <c r="S722" s="6"/>
      <c r="T722" s="6"/>
      <c r="U722" t="str">
        <f t="shared" si="11"/>
        <v/>
      </c>
    </row>
    <row r="723" spans="3:21" customFormat="1" hidden="1">
      <c r="C723" s="6"/>
      <c r="D723" s="6"/>
      <c r="E723" s="98"/>
      <c r="F723" s="3"/>
      <c r="G723" s="6"/>
      <c r="H723" s="3"/>
      <c r="I723" s="6"/>
      <c r="J723" s="6"/>
      <c r="K723" s="6"/>
      <c r="L723" s="6"/>
      <c r="M723" s="6"/>
      <c r="N723" s="6"/>
      <c r="O723" s="3"/>
      <c r="P723" s="6"/>
      <c r="Q723" s="6"/>
      <c r="R723" s="6"/>
      <c r="S723" s="6"/>
      <c r="T723" s="6"/>
      <c r="U723" t="str">
        <f t="shared" si="11"/>
        <v/>
      </c>
    </row>
    <row r="724" spans="3:21" customFormat="1" hidden="1">
      <c r="C724" s="6"/>
      <c r="D724" s="6"/>
      <c r="E724" s="98"/>
      <c r="F724" s="3"/>
      <c r="G724" s="6"/>
      <c r="H724" s="3"/>
      <c r="I724" s="6"/>
      <c r="J724" s="6"/>
      <c r="K724" s="6"/>
      <c r="L724" s="6"/>
      <c r="M724" s="6"/>
      <c r="N724" s="6"/>
      <c r="O724" s="3"/>
      <c r="P724" s="6"/>
      <c r="Q724" s="6"/>
      <c r="R724" s="6"/>
      <c r="S724" s="6"/>
      <c r="T724" s="6"/>
      <c r="U724" t="str">
        <f t="shared" si="11"/>
        <v/>
      </c>
    </row>
    <row r="725" spans="3:21" customFormat="1" hidden="1">
      <c r="C725" s="6"/>
      <c r="D725" s="6"/>
      <c r="E725" s="98"/>
      <c r="F725" s="3"/>
      <c r="G725" s="6"/>
      <c r="H725" s="3"/>
      <c r="I725" s="6"/>
      <c r="J725" s="6"/>
      <c r="K725" s="6"/>
      <c r="L725" s="6"/>
      <c r="M725" s="6"/>
      <c r="N725" s="6"/>
      <c r="O725" s="3"/>
      <c r="P725" s="6"/>
      <c r="Q725" s="6"/>
      <c r="R725" s="6"/>
      <c r="S725" s="6"/>
      <c r="T725" s="6"/>
      <c r="U725" t="str">
        <f t="shared" si="11"/>
        <v/>
      </c>
    </row>
    <row r="726" spans="3:21" customFormat="1" hidden="1">
      <c r="C726" s="6"/>
      <c r="D726" s="6"/>
      <c r="E726" s="98"/>
      <c r="F726" s="3"/>
      <c r="G726" s="6"/>
      <c r="H726" s="3"/>
      <c r="I726" s="6"/>
      <c r="J726" s="6"/>
      <c r="K726" s="6"/>
      <c r="L726" s="6"/>
      <c r="M726" s="6"/>
      <c r="N726" s="6"/>
      <c r="O726" s="3"/>
      <c r="P726" s="6"/>
      <c r="Q726" s="6"/>
      <c r="R726" s="6"/>
      <c r="S726" s="6"/>
      <c r="T726" s="6"/>
      <c r="U726" t="str">
        <f t="shared" si="11"/>
        <v/>
      </c>
    </row>
    <row r="727" spans="3:21" customFormat="1" hidden="1">
      <c r="C727" s="6"/>
      <c r="D727" s="6"/>
      <c r="E727" s="98"/>
      <c r="F727" s="3"/>
      <c r="G727" s="6"/>
      <c r="H727" s="3"/>
      <c r="I727" s="6"/>
      <c r="J727" s="6"/>
      <c r="K727" s="6"/>
      <c r="L727" s="6"/>
      <c r="M727" s="6"/>
      <c r="N727" s="6"/>
      <c r="O727" s="3"/>
      <c r="P727" s="6"/>
      <c r="Q727" s="6"/>
      <c r="R727" s="6"/>
      <c r="S727" s="6"/>
      <c r="T727" s="6"/>
      <c r="U727" t="str">
        <f t="shared" si="11"/>
        <v/>
      </c>
    </row>
    <row r="728" spans="3:21" customFormat="1" hidden="1">
      <c r="C728" s="6"/>
      <c r="D728" s="6"/>
      <c r="E728" s="98"/>
      <c r="F728" s="3"/>
      <c r="G728" s="6"/>
      <c r="H728" s="3"/>
      <c r="I728" s="6"/>
      <c r="J728" s="6"/>
      <c r="K728" s="6"/>
      <c r="L728" s="6"/>
      <c r="M728" s="6"/>
      <c r="N728" s="6"/>
      <c r="O728" s="3"/>
      <c r="P728" s="6"/>
      <c r="Q728" s="6"/>
      <c r="R728" s="6"/>
      <c r="S728" s="6"/>
      <c r="T728" s="6"/>
      <c r="U728" t="str">
        <f t="shared" si="11"/>
        <v/>
      </c>
    </row>
    <row r="729" spans="3:21" customFormat="1" hidden="1">
      <c r="C729" s="6"/>
      <c r="D729" s="6"/>
      <c r="E729" s="98"/>
      <c r="F729" s="3"/>
      <c r="G729" s="6"/>
      <c r="H729" s="3"/>
      <c r="I729" s="6"/>
      <c r="J729" s="6"/>
      <c r="K729" s="6"/>
      <c r="L729" s="6"/>
      <c r="M729" s="6"/>
      <c r="N729" s="6"/>
      <c r="O729" s="3"/>
      <c r="P729" s="6"/>
      <c r="Q729" s="6"/>
      <c r="R729" s="6"/>
      <c r="S729" s="6"/>
      <c r="T729" s="6"/>
      <c r="U729" t="str">
        <f t="shared" si="11"/>
        <v/>
      </c>
    </row>
    <row r="730" spans="3:21" customFormat="1" hidden="1">
      <c r="C730" s="6"/>
      <c r="D730" s="6"/>
      <c r="E730" s="98"/>
      <c r="F730" s="3"/>
      <c r="G730" s="6"/>
      <c r="H730" s="3"/>
      <c r="I730" s="6"/>
      <c r="J730" s="6"/>
      <c r="K730" s="6"/>
      <c r="L730" s="6"/>
      <c r="M730" s="6"/>
      <c r="N730" s="6"/>
      <c r="O730" s="3"/>
      <c r="P730" s="6"/>
      <c r="Q730" s="6"/>
      <c r="R730" s="6"/>
      <c r="S730" s="6"/>
      <c r="T730" s="6"/>
      <c r="U730" t="str">
        <f t="shared" si="11"/>
        <v/>
      </c>
    </row>
    <row r="731" spans="3:21" customFormat="1" hidden="1">
      <c r="C731" s="6"/>
      <c r="D731" s="6"/>
      <c r="E731" s="98"/>
      <c r="F731" s="3"/>
      <c r="G731" s="6"/>
      <c r="H731" s="3"/>
      <c r="I731" s="6"/>
      <c r="J731" s="6"/>
      <c r="K731" s="6"/>
      <c r="L731" s="6"/>
      <c r="M731" s="6"/>
      <c r="N731" s="6"/>
      <c r="O731" s="3"/>
      <c r="P731" s="6"/>
      <c r="Q731" s="6"/>
      <c r="R731" s="6"/>
      <c r="S731" s="6"/>
      <c r="T731" s="6"/>
      <c r="U731" t="str">
        <f t="shared" si="11"/>
        <v/>
      </c>
    </row>
    <row r="732" spans="3:21" customFormat="1" hidden="1">
      <c r="C732" s="6"/>
      <c r="D732" s="6"/>
      <c r="E732" s="98"/>
      <c r="F732" s="3"/>
      <c r="G732" s="6"/>
      <c r="H732" s="3"/>
      <c r="I732" s="6"/>
      <c r="J732" s="6"/>
      <c r="K732" s="6"/>
      <c r="L732" s="6"/>
      <c r="M732" s="6"/>
      <c r="N732" s="6"/>
      <c r="O732" s="3"/>
      <c r="P732" s="6"/>
      <c r="Q732" s="6"/>
      <c r="R732" s="6"/>
      <c r="S732" s="6"/>
      <c r="T732" s="6"/>
      <c r="U732" t="str">
        <f t="shared" si="11"/>
        <v/>
      </c>
    </row>
    <row r="733" spans="3:21" customFormat="1" hidden="1">
      <c r="C733" s="6"/>
      <c r="D733" s="6"/>
      <c r="E733" s="98"/>
      <c r="F733" s="3"/>
      <c r="G733" s="6"/>
      <c r="H733" s="3"/>
      <c r="I733" s="6"/>
      <c r="J733" s="6"/>
      <c r="K733" s="6"/>
      <c r="L733" s="6"/>
      <c r="M733" s="6"/>
      <c r="N733" s="6"/>
      <c r="O733" s="3"/>
      <c r="P733" s="6"/>
      <c r="Q733" s="6"/>
      <c r="R733" s="6"/>
      <c r="S733" s="6"/>
      <c r="T733" s="6"/>
      <c r="U733" t="str">
        <f t="shared" si="11"/>
        <v/>
      </c>
    </row>
    <row r="734" spans="3:21" customFormat="1" hidden="1">
      <c r="C734" s="6"/>
      <c r="D734" s="6"/>
      <c r="E734" s="98"/>
      <c r="F734" s="3"/>
      <c r="G734" s="6"/>
      <c r="H734" s="3"/>
      <c r="I734" s="6"/>
      <c r="J734" s="6"/>
      <c r="K734" s="6"/>
      <c r="L734" s="6"/>
      <c r="M734" s="6"/>
      <c r="N734" s="6"/>
      <c r="O734" s="3"/>
      <c r="P734" s="6"/>
      <c r="Q734" s="6"/>
      <c r="R734" s="6"/>
      <c r="S734" s="6"/>
      <c r="T734" s="6"/>
      <c r="U734" t="str">
        <f t="shared" si="11"/>
        <v/>
      </c>
    </row>
    <row r="735" spans="3:21" customFormat="1" hidden="1">
      <c r="C735" s="6"/>
      <c r="D735" s="6"/>
      <c r="E735" s="98"/>
      <c r="F735" s="3"/>
      <c r="G735" s="6"/>
      <c r="H735" s="3"/>
      <c r="I735" s="6"/>
      <c r="J735" s="6"/>
      <c r="K735" s="6"/>
      <c r="L735" s="6"/>
      <c r="M735" s="6"/>
      <c r="N735" s="6"/>
      <c r="O735" s="3"/>
      <c r="P735" s="6"/>
      <c r="Q735" s="6"/>
      <c r="R735" s="6"/>
      <c r="S735" s="6"/>
      <c r="T735" s="6"/>
      <c r="U735" t="str">
        <f t="shared" si="11"/>
        <v/>
      </c>
    </row>
    <row r="736" spans="3:21" customFormat="1" hidden="1">
      <c r="C736" s="6"/>
      <c r="D736" s="6"/>
      <c r="E736" s="98"/>
      <c r="F736" s="3"/>
      <c r="G736" s="6"/>
      <c r="H736" s="3"/>
      <c r="I736" s="6"/>
      <c r="J736" s="6"/>
      <c r="K736" s="6"/>
      <c r="L736" s="6"/>
      <c r="M736" s="6"/>
      <c r="N736" s="6"/>
      <c r="O736" s="3"/>
      <c r="P736" s="6"/>
      <c r="Q736" s="6"/>
      <c r="R736" s="6"/>
      <c r="S736" s="6"/>
      <c r="T736" s="6"/>
      <c r="U736" t="str">
        <f t="shared" si="11"/>
        <v/>
      </c>
    </row>
    <row r="737" spans="3:21" customFormat="1" hidden="1">
      <c r="C737" s="6"/>
      <c r="D737" s="6"/>
      <c r="E737" s="98"/>
      <c r="F737" s="3"/>
      <c r="G737" s="6"/>
      <c r="H737" s="3"/>
      <c r="I737" s="6"/>
      <c r="J737" s="6"/>
      <c r="K737" s="6"/>
      <c r="L737" s="6"/>
      <c r="M737" s="6"/>
      <c r="N737" s="6"/>
      <c r="O737" s="3"/>
      <c r="P737" s="6"/>
      <c r="Q737" s="6"/>
      <c r="R737" s="6"/>
      <c r="S737" s="6"/>
      <c r="T737" s="6"/>
      <c r="U737" t="str">
        <f t="shared" si="11"/>
        <v/>
      </c>
    </row>
    <row r="738" spans="3:21" customFormat="1" hidden="1">
      <c r="C738" s="6"/>
      <c r="D738" s="6"/>
      <c r="E738" s="98"/>
      <c r="F738" s="3"/>
      <c r="G738" s="6"/>
      <c r="H738" s="3"/>
      <c r="I738" s="6"/>
      <c r="J738" s="6"/>
      <c r="K738" s="6"/>
      <c r="L738" s="6"/>
      <c r="M738" s="6"/>
      <c r="N738" s="6"/>
      <c r="O738" s="3"/>
      <c r="P738" s="6"/>
      <c r="Q738" s="6"/>
      <c r="R738" s="6"/>
      <c r="S738" s="6"/>
      <c r="T738" s="6"/>
      <c r="U738" t="str">
        <f t="shared" si="11"/>
        <v/>
      </c>
    </row>
    <row r="739" spans="3:21" customFormat="1" hidden="1">
      <c r="C739" s="6"/>
      <c r="D739" s="6"/>
      <c r="E739" s="98"/>
      <c r="F739" s="3"/>
      <c r="G739" s="6"/>
      <c r="H739" s="3"/>
      <c r="I739" s="6"/>
      <c r="J739" s="6"/>
      <c r="K739" s="6"/>
      <c r="L739" s="6"/>
      <c r="M739" s="6"/>
      <c r="N739" s="6"/>
      <c r="O739" s="3"/>
      <c r="P739" s="6"/>
      <c r="Q739" s="6"/>
      <c r="R739" s="6"/>
      <c r="S739" s="6"/>
      <c r="T739" s="6"/>
      <c r="U739" t="str">
        <f t="shared" si="11"/>
        <v/>
      </c>
    </row>
    <row r="740" spans="3:21" customFormat="1" hidden="1">
      <c r="C740" s="6"/>
      <c r="D740" s="6"/>
      <c r="E740" s="98"/>
      <c r="F740" s="3"/>
      <c r="G740" s="6"/>
      <c r="H740" s="3"/>
      <c r="I740" s="6"/>
      <c r="J740" s="6"/>
      <c r="K740" s="6"/>
      <c r="L740" s="6"/>
      <c r="M740" s="6"/>
      <c r="N740" s="6"/>
      <c r="O740" s="3"/>
      <c r="P740" s="6"/>
      <c r="Q740" s="6"/>
      <c r="R740" s="6"/>
      <c r="S740" s="6"/>
      <c r="T740" s="6"/>
      <c r="U740" t="str">
        <f t="shared" si="11"/>
        <v/>
      </c>
    </row>
    <row r="741" spans="3:21" customFormat="1" hidden="1">
      <c r="C741" s="6"/>
      <c r="D741" s="6"/>
      <c r="E741" s="98"/>
      <c r="F741" s="3"/>
      <c r="G741" s="6"/>
      <c r="H741" s="3"/>
      <c r="I741" s="6"/>
      <c r="J741" s="6"/>
      <c r="K741" s="6"/>
      <c r="L741" s="6"/>
      <c r="M741" s="6"/>
      <c r="N741" s="6"/>
      <c r="O741" s="3"/>
      <c r="P741" s="6"/>
      <c r="Q741" s="6"/>
      <c r="R741" s="6"/>
      <c r="S741" s="6"/>
      <c r="T741" s="6"/>
      <c r="U741" t="str">
        <f t="shared" si="11"/>
        <v/>
      </c>
    </row>
    <row r="742" spans="3:21" customFormat="1" hidden="1">
      <c r="C742" s="6"/>
      <c r="D742" s="6"/>
      <c r="E742" s="98"/>
      <c r="F742" s="3"/>
      <c r="G742" s="6"/>
      <c r="H742" s="3"/>
      <c r="I742" s="6"/>
      <c r="J742" s="6"/>
      <c r="K742" s="6"/>
      <c r="L742" s="6"/>
      <c r="M742" s="6"/>
      <c r="N742" s="6"/>
      <c r="O742" s="3"/>
      <c r="P742" s="6"/>
      <c r="Q742" s="6"/>
      <c r="R742" s="6"/>
      <c r="S742" s="6"/>
      <c r="T742" s="6"/>
      <c r="U742" t="str">
        <f t="shared" si="11"/>
        <v/>
      </c>
    </row>
    <row r="743" spans="3:21" customFormat="1" hidden="1">
      <c r="C743" s="6"/>
      <c r="D743" s="6"/>
      <c r="E743" s="98"/>
      <c r="F743" s="3"/>
      <c r="G743" s="6"/>
      <c r="H743" s="3"/>
      <c r="I743" s="6"/>
      <c r="J743" s="6"/>
      <c r="K743" s="6"/>
      <c r="L743" s="6"/>
      <c r="M743" s="6"/>
      <c r="N743" s="6"/>
      <c r="O743" s="3"/>
      <c r="P743" s="6"/>
      <c r="Q743" s="6"/>
      <c r="R743" s="6"/>
      <c r="S743" s="6"/>
      <c r="T743" s="6"/>
      <c r="U743" t="str">
        <f t="shared" si="11"/>
        <v/>
      </c>
    </row>
    <row r="744" spans="3:21" customFormat="1" hidden="1">
      <c r="C744" s="6"/>
      <c r="D744" s="6"/>
      <c r="E744" s="98"/>
      <c r="F744" s="3"/>
      <c r="G744" s="6"/>
      <c r="H744" s="3"/>
      <c r="I744" s="6"/>
      <c r="J744" s="6"/>
      <c r="K744" s="6"/>
      <c r="L744" s="6"/>
      <c r="M744" s="6"/>
      <c r="N744" s="6"/>
      <c r="O744" s="3"/>
      <c r="P744" s="6"/>
      <c r="Q744" s="6"/>
      <c r="R744" s="6"/>
      <c r="S744" s="6"/>
      <c r="T744" s="6"/>
      <c r="U744" t="str">
        <f t="shared" si="11"/>
        <v/>
      </c>
    </row>
    <row r="745" spans="3:21" customFormat="1" hidden="1">
      <c r="C745" s="6"/>
      <c r="D745" s="6"/>
      <c r="E745" s="98"/>
      <c r="F745" s="3"/>
      <c r="G745" s="6"/>
      <c r="H745" s="3"/>
      <c r="I745" s="6"/>
      <c r="J745" s="6"/>
      <c r="K745" s="6"/>
      <c r="L745" s="6"/>
      <c r="M745" s="6"/>
      <c r="N745" s="6"/>
      <c r="O745" s="3"/>
      <c r="P745" s="6"/>
      <c r="Q745" s="6"/>
      <c r="R745" s="6"/>
      <c r="S745" s="6"/>
      <c r="T745" s="6"/>
      <c r="U745" t="str">
        <f t="shared" si="11"/>
        <v/>
      </c>
    </row>
    <row r="746" spans="3:21" customFormat="1" hidden="1">
      <c r="C746" s="6"/>
      <c r="D746" s="6"/>
      <c r="E746" s="98"/>
      <c r="F746" s="3"/>
      <c r="G746" s="6"/>
      <c r="H746" s="3"/>
      <c r="I746" s="6"/>
      <c r="J746" s="6"/>
      <c r="K746" s="6"/>
      <c r="L746" s="6"/>
      <c r="M746" s="6"/>
      <c r="N746" s="6"/>
      <c r="O746" s="3"/>
      <c r="P746" s="6"/>
      <c r="Q746" s="6"/>
      <c r="R746" s="6"/>
      <c r="S746" s="6"/>
      <c r="T746" s="6"/>
      <c r="U746" t="str">
        <f t="shared" si="11"/>
        <v/>
      </c>
    </row>
    <row r="747" spans="3:21" customFormat="1" hidden="1">
      <c r="C747" s="6"/>
      <c r="D747" s="6"/>
      <c r="E747" s="98"/>
      <c r="F747" s="3"/>
      <c r="G747" s="6"/>
      <c r="H747" s="3"/>
      <c r="I747" s="6"/>
      <c r="J747" s="6"/>
      <c r="K747" s="6"/>
      <c r="L747" s="6"/>
      <c r="M747" s="6"/>
      <c r="N747" s="6"/>
      <c r="O747" s="3"/>
      <c r="P747" s="6"/>
      <c r="Q747" s="6"/>
      <c r="R747" s="6"/>
      <c r="S747" s="6"/>
      <c r="T747" s="6"/>
      <c r="U747" t="str">
        <f t="shared" si="11"/>
        <v/>
      </c>
    </row>
    <row r="748" spans="3:21" customFormat="1" hidden="1">
      <c r="C748" s="6"/>
      <c r="D748" s="6"/>
      <c r="E748" s="98"/>
      <c r="F748" s="3"/>
      <c r="G748" s="6"/>
      <c r="H748" s="3"/>
      <c r="I748" s="6"/>
      <c r="J748" s="6"/>
      <c r="K748" s="6"/>
      <c r="L748" s="6"/>
      <c r="M748" s="6"/>
      <c r="N748" s="6"/>
      <c r="O748" s="3"/>
      <c r="P748" s="6"/>
      <c r="Q748" s="6"/>
      <c r="R748" s="6"/>
      <c r="S748" s="6"/>
      <c r="T748" s="6"/>
      <c r="U748" t="str">
        <f t="shared" si="11"/>
        <v/>
      </c>
    </row>
    <row r="749" spans="3:21" customFormat="1" hidden="1">
      <c r="C749" s="6"/>
      <c r="D749" s="6"/>
      <c r="E749" s="98"/>
      <c r="F749" s="3"/>
      <c r="G749" s="6"/>
      <c r="H749" s="3"/>
      <c r="I749" s="6"/>
      <c r="J749" s="6"/>
      <c r="K749" s="6"/>
      <c r="L749" s="6"/>
      <c r="M749" s="6"/>
      <c r="N749" s="6"/>
      <c r="O749" s="3"/>
      <c r="P749" s="6"/>
      <c r="Q749" s="6"/>
      <c r="R749" s="6"/>
      <c r="S749" s="6"/>
      <c r="T749" s="6"/>
      <c r="U749" t="str">
        <f t="shared" si="11"/>
        <v/>
      </c>
    </row>
    <row r="750" spans="3:21" customFormat="1" hidden="1">
      <c r="C750" s="6"/>
      <c r="D750" s="6"/>
      <c r="E750" s="98"/>
      <c r="F750" s="3"/>
      <c r="G750" s="6"/>
      <c r="H750" s="3"/>
      <c r="I750" s="6"/>
      <c r="J750" s="6"/>
      <c r="K750" s="6"/>
      <c r="L750" s="6"/>
      <c r="M750" s="6"/>
      <c r="N750" s="6"/>
      <c r="O750" s="3"/>
      <c r="P750" s="6"/>
      <c r="Q750" s="6"/>
      <c r="R750" s="6"/>
      <c r="S750" s="6"/>
      <c r="T750" s="6"/>
      <c r="U750" t="str">
        <f t="shared" si="11"/>
        <v/>
      </c>
    </row>
    <row r="751" spans="3:21" customFormat="1" hidden="1">
      <c r="C751" s="6"/>
      <c r="D751" s="6"/>
      <c r="E751" s="98"/>
      <c r="F751" s="3"/>
      <c r="G751" s="6"/>
      <c r="H751" s="3"/>
      <c r="I751" s="6"/>
      <c r="J751" s="6"/>
      <c r="K751" s="6"/>
      <c r="L751" s="6"/>
      <c r="M751" s="6"/>
      <c r="N751" s="6"/>
      <c r="O751" s="3"/>
      <c r="P751" s="6"/>
      <c r="Q751" s="6"/>
      <c r="R751" s="6"/>
      <c r="S751" s="6"/>
      <c r="T751" s="6"/>
      <c r="U751" t="str">
        <f t="shared" si="11"/>
        <v/>
      </c>
    </row>
    <row r="752" spans="3:21" customFormat="1" hidden="1">
      <c r="C752" s="6"/>
      <c r="D752" s="6"/>
      <c r="E752" s="98"/>
      <c r="F752" s="3"/>
      <c r="G752" s="6"/>
      <c r="H752" s="3"/>
      <c r="I752" s="6"/>
      <c r="J752" s="6"/>
      <c r="K752" s="6"/>
      <c r="L752" s="6"/>
      <c r="M752" s="6"/>
      <c r="N752" s="6"/>
      <c r="O752" s="3"/>
      <c r="P752" s="6"/>
      <c r="Q752" s="6"/>
      <c r="R752" s="6"/>
      <c r="S752" s="6"/>
      <c r="T752" s="6"/>
      <c r="U752" t="str">
        <f t="shared" si="11"/>
        <v/>
      </c>
    </row>
    <row r="753" spans="3:21" customFormat="1" hidden="1">
      <c r="C753" s="6"/>
      <c r="D753" s="6"/>
      <c r="E753" s="98"/>
      <c r="F753" s="3"/>
      <c r="G753" s="6"/>
      <c r="H753" s="3"/>
      <c r="I753" s="6"/>
      <c r="J753" s="6"/>
      <c r="K753" s="6"/>
      <c r="L753" s="6"/>
      <c r="M753" s="6"/>
      <c r="N753" s="6"/>
      <c r="O753" s="3"/>
      <c r="P753" s="6"/>
      <c r="Q753" s="6"/>
      <c r="R753" s="6"/>
      <c r="S753" s="6"/>
      <c r="T753" s="6"/>
      <c r="U753" t="str">
        <f t="shared" si="11"/>
        <v/>
      </c>
    </row>
    <row r="754" spans="3:21" customFormat="1" hidden="1">
      <c r="C754" s="6"/>
      <c r="D754" s="6"/>
      <c r="E754" s="98"/>
      <c r="F754" s="3"/>
      <c r="G754" s="6"/>
      <c r="H754" s="3"/>
      <c r="I754" s="6"/>
      <c r="J754" s="6"/>
      <c r="K754" s="6"/>
      <c r="L754" s="6"/>
      <c r="M754" s="6"/>
      <c r="N754" s="6"/>
      <c r="O754" s="3"/>
      <c r="P754" s="6"/>
      <c r="Q754" s="6"/>
      <c r="R754" s="6"/>
      <c r="S754" s="6"/>
      <c r="T754" s="6"/>
      <c r="U754" t="str">
        <f t="shared" si="11"/>
        <v/>
      </c>
    </row>
    <row r="755" spans="3:21" customFormat="1" hidden="1">
      <c r="C755" s="6"/>
      <c r="D755" s="6"/>
      <c r="E755" s="98"/>
      <c r="F755" s="3"/>
      <c r="G755" s="6"/>
      <c r="H755" s="3"/>
      <c r="I755" s="6"/>
      <c r="J755" s="6"/>
      <c r="K755" s="6"/>
      <c r="L755" s="6"/>
      <c r="M755" s="6"/>
      <c r="N755" s="6"/>
      <c r="O755" s="3"/>
      <c r="P755" s="6"/>
      <c r="Q755" s="6"/>
      <c r="R755" s="6"/>
      <c r="S755" s="6"/>
      <c r="T755" s="6"/>
      <c r="U755" t="str">
        <f t="shared" si="11"/>
        <v/>
      </c>
    </row>
    <row r="756" spans="3:21" customFormat="1" hidden="1">
      <c r="C756" s="6"/>
      <c r="D756" s="6"/>
      <c r="E756" s="98"/>
      <c r="F756" s="3"/>
      <c r="G756" s="6"/>
      <c r="H756" s="3"/>
      <c r="I756" s="6"/>
      <c r="J756" s="6"/>
      <c r="K756" s="6"/>
      <c r="L756" s="6"/>
      <c r="M756" s="6"/>
      <c r="N756" s="6"/>
      <c r="O756" s="3"/>
      <c r="P756" s="6"/>
      <c r="Q756" s="6"/>
      <c r="R756" s="6"/>
      <c r="S756" s="6"/>
      <c r="T756" s="6"/>
      <c r="U756" t="str">
        <f t="shared" si="11"/>
        <v/>
      </c>
    </row>
    <row r="757" spans="3:21" customFormat="1" hidden="1">
      <c r="C757" s="6"/>
      <c r="D757" s="6"/>
      <c r="E757" s="98"/>
      <c r="F757" s="3"/>
      <c r="G757" s="6"/>
      <c r="H757" s="3"/>
      <c r="I757" s="6"/>
      <c r="J757" s="6"/>
      <c r="K757" s="6"/>
      <c r="L757" s="6"/>
      <c r="M757" s="6"/>
      <c r="N757" s="6"/>
      <c r="O757" s="3"/>
      <c r="P757" s="6"/>
      <c r="Q757" s="6"/>
      <c r="R757" s="6"/>
      <c r="S757" s="6"/>
      <c r="T757" s="6"/>
      <c r="U757" t="str">
        <f t="shared" si="11"/>
        <v/>
      </c>
    </row>
    <row r="758" spans="3:21" customFormat="1" hidden="1">
      <c r="C758" s="6"/>
      <c r="D758" s="6"/>
      <c r="E758" s="98"/>
      <c r="F758" s="3"/>
      <c r="G758" s="6"/>
      <c r="H758" s="3"/>
      <c r="I758" s="6"/>
      <c r="J758" s="6"/>
      <c r="K758" s="6"/>
      <c r="L758" s="6"/>
      <c r="M758" s="6"/>
      <c r="N758" s="6"/>
      <c r="O758" s="3"/>
      <c r="P758" s="6"/>
      <c r="Q758" s="6"/>
      <c r="R758" s="6"/>
      <c r="S758" s="6"/>
      <c r="T758" s="6"/>
      <c r="U758" t="str">
        <f t="shared" si="11"/>
        <v/>
      </c>
    </row>
    <row r="759" spans="3:21" customFormat="1" hidden="1">
      <c r="C759" s="6"/>
      <c r="D759" s="6"/>
      <c r="E759" s="98"/>
      <c r="F759" s="3"/>
      <c r="G759" s="6"/>
      <c r="H759" s="3"/>
      <c r="I759" s="6"/>
      <c r="J759" s="6"/>
      <c r="K759" s="6"/>
      <c r="L759" s="6"/>
      <c r="M759" s="6"/>
      <c r="N759" s="6"/>
      <c r="O759" s="3"/>
      <c r="P759" s="6"/>
      <c r="Q759" s="6"/>
      <c r="R759" s="6"/>
      <c r="S759" s="6"/>
      <c r="T759" s="6"/>
      <c r="U759" t="str">
        <f t="shared" si="11"/>
        <v/>
      </c>
    </row>
    <row r="760" spans="3:21" customFormat="1" hidden="1">
      <c r="C760" s="6"/>
      <c r="D760" s="6"/>
      <c r="E760" s="98"/>
      <c r="F760" s="3"/>
      <c r="G760" s="6"/>
      <c r="H760" s="3"/>
      <c r="I760" s="6"/>
      <c r="J760" s="6"/>
      <c r="K760" s="6"/>
      <c r="L760" s="6"/>
      <c r="M760" s="6"/>
      <c r="N760" s="6"/>
      <c r="O760" s="3"/>
      <c r="P760" s="6"/>
      <c r="Q760" s="6"/>
      <c r="R760" s="6"/>
      <c r="S760" s="6"/>
      <c r="T760" s="6"/>
      <c r="U760" t="str">
        <f t="shared" si="11"/>
        <v/>
      </c>
    </row>
    <row r="761" spans="3:21" customFormat="1" hidden="1">
      <c r="C761" s="6"/>
      <c r="D761" s="6"/>
      <c r="E761" s="98"/>
      <c r="F761" s="3"/>
      <c r="G761" s="6"/>
      <c r="H761" s="3"/>
      <c r="I761" s="6"/>
      <c r="J761" s="6"/>
      <c r="K761" s="6"/>
      <c r="L761" s="6"/>
      <c r="M761" s="6"/>
      <c r="N761" s="6"/>
      <c r="O761" s="3"/>
      <c r="P761" s="6"/>
      <c r="Q761" s="6"/>
      <c r="R761" s="6"/>
      <c r="S761" s="6"/>
      <c r="T761" s="6"/>
      <c r="U761" t="str">
        <f t="shared" si="11"/>
        <v/>
      </c>
    </row>
    <row r="762" spans="3:21" customFormat="1" hidden="1">
      <c r="C762" s="6"/>
      <c r="D762" s="6"/>
      <c r="E762" s="98"/>
      <c r="F762" s="3"/>
      <c r="G762" s="6"/>
      <c r="H762" s="3"/>
      <c r="I762" s="6"/>
      <c r="J762" s="6"/>
      <c r="K762" s="6"/>
      <c r="L762" s="6"/>
      <c r="M762" s="6"/>
      <c r="N762" s="6"/>
      <c r="O762" s="3"/>
      <c r="P762" s="6"/>
      <c r="Q762" s="6"/>
      <c r="R762" s="6"/>
      <c r="S762" s="6"/>
      <c r="T762" s="6"/>
      <c r="U762" t="str">
        <f t="shared" si="11"/>
        <v/>
      </c>
    </row>
    <row r="763" spans="3:21" customFormat="1" hidden="1">
      <c r="C763" s="6"/>
      <c r="D763" s="6"/>
      <c r="E763" s="98"/>
      <c r="F763" s="3"/>
      <c r="G763" s="6"/>
      <c r="H763" s="3"/>
      <c r="I763" s="6"/>
      <c r="J763" s="6"/>
      <c r="K763" s="6"/>
      <c r="L763" s="6"/>
      <c r="M763" s="6"/>
      <c r="N763" s="6"/>
      <c r="O763" s="3"/>
      <c r="P763" s="6"/>
      <c r="Q763" s="6"/>
      <c r="R763" s="6"/>
      <c r="S763" s="6"/>
      <c r="T763" s="6"/>
      <c r="U763" t="str">
        <f t="shared" si="11"/>
        <v/>
      </c>
    </row>
    <row r="764" spans="3:21" customFormat="1" hidden="1">
      <c r="C764" s="6"/>
      <c r="D764" s="6"/>
      <c r="E764" s="98"/>
      <c r="F764" s="3"/>
      <c r="G764" s="6"/>
      <c r="H764" s="3"/>
      <c r="I764" s="6"/>
      <c r="J764" s="6"/>
      <c r="K764" s="6"/>
      <c r="L764" s="6"/>
      <c r="M764" s="6"/>
      <c r="N764" s="6"/>
      <c r="O764" s="3"/>
      <c r="P764" s="6"/>
      <c r="Q764" s="6"/>
      <c r="R764" s="6"/>
      <c r="S764" s="6"/>
      <c r="T764" s="6"/>
      <c r="U764" t="str">
        <f t="shared" si="11"/>
        <v/>
      </c>
    </row>
    <row r="765" spans="3:21" customFormat="1" hidden="1">
      <c r="C765" s="6"/>
      <c r="D765" s="6"/>
      <c r="E765" s="98"/>
      <c r="F765" s="3"/>
      <c r="G765" s="6"/>
      <c r="H765" s="3"/>
      <c r="I765" s="6"/>
      <c r="J765" s="6"/>
      <c r="K765" s="6"/>
      <c r="L765" s="6"/>
      <c r="M765" s="6"/>
      <c r="N765" s="6"/>
      <c r="O765" s="3"/>
      <c r="P765" s="6"/>
      <c r="Q765" s="6"/>
      <c r="R765" s="6"/>
      <c r="S765" s="6"/>
      <c r="T765" s="6"/>
      <c r="U765" t="str">
        <f t="shared" si="11"/>
        <v/>
      </c>
    </row>
    <row r="766" spans="3:21" customFormat="1" hidden="1">
      <c r="C766" s="6"/>
      <c r="D766" s="6"/>
      <c r="E766" s="98"/>
      <c r="F766" s="3"/>
      <c r="G766" s="6"/>
      <c r="H766" s="3"/>
      <c r="I766" s="6"/>
      <c r="J766" s="6"/>
      <c r="K766" s="6"/>
      <c r="L766" s="6"/>
      <c r="M766" s="6"/>
      <c r="N766" s="6"/>
      <c r="O766" s="3"/>
      <c r="P766" s="6"/>
      <c r="Q766" s="6"/>
      <c r="R766" s="6"/>
      <c r="S766" s="6"/>
      <c r="T766" s="6"/>
      <c r="U766" t="str">
        <f t="shared" si="11"/>
        <v/>
      </c>
    </row>
    <row r="767" spans="3:21" customFormat="1" hidden="1">
      <c r="C767" s="6"/>
      <c r="D767" s="6"/>
      <c r="E767" s="98"/>
      <c r="F767" s="3"/>
      <c r="G767" s="6"/>
      <c r="H767" s="3"/>
      <c r="I767" s="6"/>
      <c r="J767" s="6"/>
      <c r="K767" s="6"/>
      <c r="L767" s="6"/>
      <c r="M767" s="6"/>
      <c r="N767" s="6"/>
      <c r="O767" s="3"/>
      <c r="P767" s="6"/>
      <c r="Q767" s="6"/>
      <c r="R767" s="6"/>
      <c r="S767" s="6"/>
      <c r="T767" s="6"/>
      <c r="U767" t="str">
        <f t="shared" si="11"/>
        <v/>
      </c>
    </row>
    <row r="768" spans="3:21" customFormat="1" hidden="1">
      <c r="C768" s="6"/>
      <c r="D768" s="6"/>
      <c r="E768" s="98"/>
      <c r="F768" s="3"/>
      <c r="G768" s="6"/>
      <c r="H768" s="3"/>
      <c r="I768" s="6"/>
      <c r="J768" s="6"/>
      <c r="K768" s="6"/>
      <c r="L768" s="6"/>
      <c r="M768" s="6"/>
      <c r="N768" s="6"/>
      <c r="O768" s="3"/>
      <c r="P768" s="6"/>
      <c r="Q768" s="6"/>
      <c r="R768" s="6"/>
      <c r="S768" s="6"/>
      <c r="T768" s="6"/>
      <c r="U768" t="str">
        <f t="shared" si="11"/>
        <v/>
      </c>
    </row>
    <row r="769" spans="3:21" customFormat="1" hidden="1">
      <c r="C769" s="6"/>
      <c r="D769" s="6"/>
      <c r="E769" s="98"/>
      <c r="F769" s="3"/>
      <c r="G769" s="6"/>
      <c r="H769" s="3"/>
      <c r="I769" s="6"/>
      <c r="J769" s="6"/>
      <c r="K769" s="6"/>
      <c r="L769" s="6"/>
      <c r="M769" s="6"/>
      <c r="N769" s="6"/>
      <c r="O769" s="3"/>
      <c r="P769" s="6"/>
      <c r="Q769" s="6"/>
      <c r="R769" s="6"/>
      <c r="S769" s="6"/>
      <c r="T769" s="6"/>
      <c r="U769" t="str">
        <f t="shared" si="11"/>
        <v/>
      </c>
    </row>
    <row r="770" spans="3:21" customFormat="1" hidden="1">
      <c r="C770" s="6"/>
      <c r="D770" s="6"/>
      <c r="E770" s="98"/>
      <c r="F770" s="3"/>
      <c r="G770" s="6"/>
      <c r="H770" s="3"/>
      <c r="I770" s="6"/>
      <c r="J770" s="6"/>
      <c r="K770" s="6"/>
      <c r="L770" s="6"/>
      <c r="M770" s="6"/>
      <c r="N770" s="6"/>
      <c r="O770" s="3"/>
      <c r="P770" s="6"/>
      <c r="Q770" s="6"/>
      <c r="R770" s="6"/>
      <c r="S770" s="6"/>
      <c r="T770" s="6"/>
      <c r="U770" t="str">
        <f t="shared" si="11"/>
        <v/>
      </c>
    </row>
    <row r="771" spans="3:21" customFormat="1" hidden="1">
      <c r="C771" s="6"/>
      <c r="D771" s="6"/>
      <c r="E771" s="98"/>
      <c r="F771" s="3"/>
      <c r="G771" s="6"/>
      <c r="H771" s="3"/>
      <c r="I771" s="6"/>
      <c r="J771" s="6"/>
      <c r="K771" s="6"/>
      <c r="L771" s="6"/>
      <c r="M771" s="6"/>
      <c r="N771" s="6"/>
      <c r="O771" s="3"/>
      <c r="P771" s="6"/>
      <c r="Q771" s="6"/>
      <c r="R771" s="6"/>
      <c r="S771" s="6"/>
      <c r="T771" s="6"/>
      <c r="U771" t="str">
        <f t="shared" si="11"/>
        <v/>
      </c>
    </row>
    <row r="772" spans="3:21" customFormat="1" hidden="1">
      <c r="C772" s="6"/>
      <c r="D772" s="6"/>
      <c r="E772" s="98"/>
      <c r="F772" s="3"/>
      <c r="G772" s="6"/>
      <c r="H772" s="3"/>
      <c r="I772" s="6"/>
      <c r="J772" s="6"/>
      <c r="K772" s="6"/>
      <c r="L772" s="6"/>
      <c r="M772" s="6"/>
      <c r="N772" s="6"/>
      <c r="O772" s="3"/>
      <c r="P772" s="6"/>
      <c r="Q772" s="6"/>
      <c r="R772" s="6"/>
      <c r="S772" s="6"/>
      <c r="T772" s="6"/>
      <c r="U772" t="str">
        <f t="shared" si="11"/>
        <v/>
      </c>
    </row>
    <row r="773" spans="3:21" customFormat="1" hidden="1">
      <c r="C773" s="6"/>
      <c r="D773" s="6"/>
      <c r="E773" s="98"/>
      <c r="F773" s="3"/>
      <c r="G773" s="6"/>
      <c r="H773" s="3"/>
      <c r="I773" s="6"/>
      <c r="J773" s="6"/>
      <c r="K773" s="6"/>
      <c r="L773" s="6"/>
      <c r="M773" s="6"/>
      <c r="N773" s="6"/>
      <c r="O773" s="3"/>
      <c r="P773" s="6"/>
      <c r="Q773" s="6"/>
      <c r="R773" s="6"/>
      <c r="S773" s="6"/>
      <c r="T773" s="6"/>
      <c r="U773" t="str">
        <f t="shared" si="11"/>
        <v/>
      </c>
    </row>
    <row r="774" spans="3:21" customFormat="1" hidden="1">
      <c r="C774" s="6"/>
      <c r="D774" s="6"/>
      <c r="E774" s="98"/>
      <c r="F774" s="3"/>
      <c r="G774" s="6"/>
      <c r="H774" s="3"/>
      <c r="I774" s="6"/>
      <c r="J774" s="6"/>
      <c r="K774" s="6"/>
      <c r="L774" s="6"/>
      <c r="M774" s="6"/>
      <c r="N774" s="6"/>
      <c r="O774" s="3"/>
      <c r="P774" s="6"/>
      <c r="Q774" s="6"/>
      <c r="R774" s="6"/>
      <c r="S774" s="6"/>
      <c r="T774" s="6"/>
      <c r="U774" t="str">
        <f t="shared" si="11"/>
        <v/>
      </c>
    </row>
    <row r="775" spans="3:21" customFormat="1" hidden="1">
      <c r="C775" s="6"/>
      <c r="D775" s="6"/>
      <c r="E775" s="98"/>
      <c r="F775" s="3"/>
      <c r="G775" s="6"/>
      <c r="H775" s="3"/>
      <c r="I775" s="6"/>
      <c r="J775" s="6"/>
      <c r="K775" s="6"/>
      <c r="L775" s="6"/>
      <c r="M775" s="6"/>
      <c r="N775" s="6"/>
      <c r="O775" s="3"/>
      <c r="P775" s="6"/>
      <c r="Q775" s="6"/>
      <c r="R775" s="6"/>
      <c r="S775" s="6"/>
      <c r="T775" s="6"/>
      <c r="U775" t="str">
        <f t="shared" ref="U775:U838" si="12">IF(D775="","","x")</f>
        <v/>
      </c>
    </row>
    <row r="776" spans="3:21" customFormat="1" hidden="1">
      <c r="C776" s="6"/>
      <c r="D776" s="6"/>
      <c r="E776" s="98"/>
      <c r="F776" s="3"/>
      <c r="G776" s="6"/>
      <c r="H776" s="3"/>
      <c r="I776" s="6"/>
      <c r="J776" s="6"/>
      <c r="K776" s="6"/>
      <c r="L776" s="6"/>
      <c r="M776" s="6"/>
      <c r="N776" s="6"/>
      <c r="O776" s="3"/>
      <c r="P776" s="6"/>
      <c r="Q776" s="6"/>
      <c r="R776" s="6"/>
      <c r="S776" s="6"/>
      <c r="T776" s="6"/>
      <c r="U776" t="str">
        <f t="shared" si="12"/>
        <v/>
      </c>
    </row>
    <row r="777" spans="3:21" customFormat="1" hidden="1">
      <c r="C777" s="6"/>
      <c r="D777" s="6"/>
      <c r="E777" s="98"/>
      <c r="F777" s="3"/>
      <c r="G777" s="6"/>
      <c r="H777" s="3"/>
      <c r="I777" s="6"/>
      <c r="J777" s="6"/>
      <c r="K777" s="6"/>
      <c r="L777" s="6"/>
      <c r="M777" s="6"/>
      <c r="N777" s="6"/>
      <c r="O777" s="3"/>
      <c r="P777" s="6"/>
      <c r="Q777" s="6"/>
      <c r="R777" s="6"/>
      <c r="S777" s="6"/>
      <c r="T777" s="6"/>
      <c r="U777" t="str">
        <f t="shared" si="12"/>
        <v/>
      </c>
    </row>
    <row r="778" spans="3:21" customFormat="1" hidden="1">
      <c r="C778" s="6"/>
      <c r="D778" s="6"/>
      <c r="E778" s="98"/>
      <c r="F778" s="3"/>
      <c r="G778" s="6"/>
      <c r="H778" s="3"/>
      <c r="I778" s="6"/>
      <c r="J778" s="6"/>
      <c r="K778" s="6"/>
      <c r="L778" s="6"/>
      <c r="M778" s="6"/>
      <c r="N778" s="6"/>
      <c r="O778" s="3"/>
      <c r="P778" s="6"/>
      <c r="Q778" s="6"/>
      <c r="R778" s="6"/>
      <c r="S778" s="6"/>
      <c r="T778" s="6"/>
      <c r="U778" t="str">
        <f t="shared" si="12"/>
        <v/>
      </c>
    </row>
    <row r="779" spans="3:21" customFormat="1" hidden="1">
      <c r="C779" s="6"/>
      <c r="D779" s="6"/>
      <c r="E779" s="98"/>
      <c r="F779" s="3"/>
      <c r="G779" s="6"/>
      <c r="H779" s="3"/>
      <c r="I779" s="6"/>
      <c r="J779" s="6"/>
      <c r="K779" s="6"/>
      <c r="L779" s="6"/>
      <c r="M779" s="6"/>
      <c r="N779" s="6"/>
      <c r="O779" s="3"/>
      <c r="P779" s="6"/>
      <c r="Q779" s="6"/>
      <c r="R779" s="6"/>
      <c r="S779" s="6"/>
      <c r="T779" s="6"/>
      <c r="U779" t="str">
        <f t="shared" si="12"/>
        <v/>
      </c>
    </row>
    <row r="780" spans="3:21" customFormat="1" hidden="1">
      <c r="C780" s="6"/>
      <c r="D780" s="6"/>
      <c r="E780" s="98"/>
      <c r="F780" s="3"/>
      <c r="G780" s="6"/>
      <c r="H780" s="3"/>
      <c r="I780" s="6"/>
      <c r="J780" s="6"/>
      <c r="K780" s="6"/>
      <c r="L780" s="6"/>
      <c r="M780" s="6"/>
      <c r="N780" s="6"/>
      <c r="O780" s="3"/>
      <c r="P780" s="6"/>
      <c r="Q780" s="6"/>
      <c r="R780" s="6"/>
      <c r="S780" s="6"/>
      <c r="T780" s="6"/>
      <c r="U780" t="str">
        <f t="shared" si="12"/>
        <v/>
      </c>
    </row>
    <row r="781" spans="3:21" customFormat="1" hidden="1">
      <c r="C781" s="6"/>
      <c r="D781" s="6"/>
      <c r="E781" s="98"/>
      <c r="F781" s="3"/>
      <c r="G781" s="6"/>
      <c r="H781" s="3"/>
      <c r="I781" s="6"/>
      <c r="J781" s="6"/>
      <c r="K781" s="6"/>
      <c r="L781" s="6"/>
      <c r="M781" s="6"/>
      <c r="N781" s="6"/>
      <c r="O781" s="3"/>
      <c r="P781" s="6"/>
      <c r="Q781" s="6"/>
      <c r="R781" s="6"/>
      <c r="S781" s="6"/>
      <c r="T781" s="6"/>
      <c r="U781" t="str">
        <f t="shared" si="12"/>
        <v/>
      </c>
    </row>
    <row r="782" spans="3:21" customFormat="1" hidden="1">
      <c r="C782" s="6"/>
      <c r="D782" s="6"/>
      <c r="E782" s="98"/>
      <c r="F782" s="3"/>
      <c r="G782" s="6"/>
      <c r="H782" s="3"/>
      <c r="I782" s="6"/>
      <c r="J782" s="6"/>
      <c r="K782" s="6"/>
      <c r="L782" s="6"/>
      <c r="M782" s="6"/>
      <c r="N782" s="6"/>
      <c r="O782" s="3"/>
      <c r="P782" s="6"/>
      <c r="Q782" s="6"/>
      <c r="R782" s="6"/>
      <c r="S782" s="6"/>
      <c r="T782" s="6"/>
      <c r="U782" t="str">
        <f t="shared" si="12"/>
        <v/>
      </c>
    </row>
    <row r="783" spans="3:21" customFormat="1" hidden="1">
      <c r="C783" s="6"/>
      <c r="D783" s="6"/>
      <c r="E783" s="98"/>
      <c r="F783" s="3"/>
      <c r="G783" s="6"/>
      <c r="H783" s="3"/>
      <c r="I783" s="6"/>
      <c r="J783" s="6"/>
      <c r="K783" s="6"/>
      <c r="L783" s="6"/>
      <c r="M783" s="6"/>
      <c r="N783" s="6"/>
      <c r="O783" s="3"/>
      <c r="P783" s="6"/>
      <c r="Q783" s="6"/>
      <c r="R783" s="6"/>
      <c r="S783" s="6"/>
      <c r="T783" s="6"/>
      <c r="U783" t="str">
        <f t="shared" si="12"/>
        <v/>
      </c>
    </row>
    <row r="784" spans="3:21" customFormat="1" hidden="1">
      <c r="C784" s="6"/>
      <c r="D784" s="6"/>
      <c r="E784" s="98"/>
      <c r="F784" s="3"/>
      <c r="G784" s="6"/>
      <c r="H784" s="3"/>
      <c r="I784" s="6"/>
      <c r="J784" s="6"/>
      <c r="K784" s="6"/>
      <c r="L784" s="6"/>
      <c r="M784" s="6"/>
      <c r="N784" s="6"/>
      <c r="O784" s="3"/>
      <c r="P784" s="6"/>
      <c r="Q784" s="6"/>
      <c r="R784" s="6"/>
      <c r="S784" s="6"/>
      <c r="T784" s="6"/>
      <c r="U784" t="str">
        <f t="shared" si="12"/>
        <v/>
      </c>
    </row>
    <row r="785" spans="3:21" customFormat="1" hidden="1">
      <c r="C785" s="6"/>
      <c r="D785" s="6"/>
      <c r="E785" s="98"/>
      <c r="F785" s="3"/>
      <c r="G785" s="6"/>
      <c r="H785" s="3"/>
      <c r="I785" s="6"/>
      <c r="J785" s="6"/>
      <c r="K785" s="6"/>
      <c r="L785" s="6"/>
      <c r="M785" s="6"/>
      <c r="N785" s="6"/>
      <c r="O785" s="3"/>
      <c r="P785" s="6"/>
      <c r="Q785" s="6"/>
      <c r="R785" s="6"/>
      <c r="S785" s="6"/>
      <c r="T785" s="6"/>
      <c r="U785" t="str">
        <f t="shared" si="12"/>
        <v/>
      </c>
    </row>
    <row r="786" spans="3:21" customFormat="1" hidden="1">
      <c r="C786" s="6"/>
      <c r="D786" s="6"/>
      <c r="E786" s="98"/>
      <c r="F786" s="3"/>
      <c r="G786" s="6"/>
      <c r="H786" s="3"/>
      <c r="I786" s="6"/>
      <c r="J786" s="6"/>
      <c r="K786" s="6"/>
      <c r="L786" s="6"/>
      <c r="M786" s="6"/>
      <c r="N786" s="6"/>
      <c r="O786" s="3"/>
      <c r="P786" s="6"/>
      <c r="Q786" s="6"/>
      <c r="R786" s="6"/>
      <c r="S786" s="6"/>
      <c r="T786" s="6"/>
      <c r="U786" t="str">
        <f t="shared" si="12"/>
        <v/>
      </c>
    </row>
    <row r="787" spans="3:21" customFormat="1" hidden="1">
      <c r="C787" s="6"/>
      <c r="D787" s="6"/>
      <c r="E787" s="98"/>
      <c r="F787" s="3"/>
      <c r="G787" s="6"/>
      <c r="H787" s="3"/>
      <c r="I787" s="6"/>
      <c r="J787" s="6"/>
      <c r="K787" s="6"/>
      <c r="L787" s="6"/>
      <c r="M787" s="6"/>
      <c r="N787" s="6"/>
      <c r="O787" s="3"/>
      <c r="P787" s="6"/>
      <c r="Q787" s="6"/>
      <c r="R787" s="6"/>
      <c r="S787" s="6"/>
      <c r="T787" s="6"/>
      <c r="U787" t="str">
        <f t="shared" si="12"/>
        <v/>
      </c>
    </row>
    <row r="788" spans="3:21" customFormat="1" hidden="1">
      <c r="C788" s="6"/>
      <c r="D788" s="6"/>
      <c r="E788" s="98"/>
      <c r="F788" s="3"/>
      <c r="G788" s="6"/>
      <c r="H788" s="3"/>
      <c r="I788" s="6"/>
      <c r="J788" s="6"/>
      <c r="K788" s="6"/>
      <c r="L788" s="6"/>
      <c r="M788" s="6"/>
      <c r="N788" s="6"/>
      <c r="O788" s="3"/>
      <c r="P788" s="6"/>
      <c r="Q788" s="6"/>
      <c r="R788" s="6"/>
      <c r="S788" s="6"/>
      <c r="T788" s="6"/>
      <c r="U788" t="str">
        <f t="shared" si="12"/>
        <v/>
      </c>
    </row>
    <row r="789" spans="3:21" customFormat="1" hidden="1">
      <c r="C789" s="6"/>
      <c r="D789" s="6"/>
      <c r="E789" s="98"/>
      <c r="F789" s="3"/>
      <c r="G789" s="6"/>
      <c r="H789" s="3"/>
      <c r="I789" s="6"/>
      <c r="J789" s="6"/>
      <c r="K789" s="6"/>
      <c r="L789" s="6"/>
      <c r="M789" s="6"/>
      <c r="N789" s="6"/>
      <c r="O789" s="3"/>
      <c r="P789" s="6"/>
      <c r="Q789" s="6"/>
      <c r="R789" s="6"/>
      <c r="S789" s="6"/>
      <c r="T789" s="6"/>
      <c r="U789" t="str">
        <f t="shared" si="12"/>
        <v/>
      </c>
    </row>
    <row r="790" spans="3:21" customFormat="1" hidden="1">
      <c r="C790" s="6"/>
      <c r="D790" s="6"/>
      <c r="E790" s="98"/>
      <c r="F790" s="3"/>
      <c r="G790" s="6"/>
      <c r="H790" s="3"/>
      <c r="I790" s="6"/>
      <c r="J790" s="6"/>
      <c r="K790" s="6"/>
      <c r="L790" s="6"/>
      <c r="M790" s="6"/>
      <c r="N790" s="6"/>
      <c r="O790" s="3"/>
      <c r="P790" s="6"/>
      <c r="Q790" s="6"/>
      <c r="R790" s="6"/>
      <c r="S790" s="6"/>
      <c r="T790" s="6"/>
      <c r="U790" t="str">
        <f t="shared" si="12"/>
        <v/>
      </c>
    </row>
    <row r="791" spans="3:21" customFormat="1" hidden="1">
      <c r="C791" s="6"/>
      <c r="D791" s="6"/>
      <c r="E791" s="98"/>
      <c r="F791" s="3"/>
      <c r="G791" s="6"/>
      <c r="H791" s="3"/>
      <c r="I791" s="6"/>
      <c r="J791" s="6"/>
      <c r="K791" s="6"/>
      <c r="L791" s="6"/>
      <c r="M791" s="6"/>
      <c r="N791" s="6"/>
      <c r="O791" s="3"/>
      <c r="P791" s="6"/>
      <c r="Q791" s="6"/>
      <c r="R791" s="6"/>
      <c r="S791" s="6"/>
      <c r="T791" s="6"/>
      <c r="U791" t="str">
        <f t="shared" si="12"/>
        <v/>
      </c>
    </row>
    <row r="792" spans="3:21" customFormat="1" hidden="1">
      <c r="C792" s="6"/>
      <c r="D792" s="6"/>
      <c r="E792" s="98"/>
      <c r="F792" s="3"/>
      <c r="G792" s="6"/>
      <c r="H792" s="3"/>
      <c r="I792" s="6"/>
      <c r="J792" s="6"/>
      <c r="K792" s="6"/>
      <c r="L792" s="6"/>
      <c r="M792" s="6"/>
      <c r="N792" s="6"/>
      <c r="O792" s="3"/>
      <c r="P792" s="6"/>
      <c r="Q792" s="6"/>
      <c r="R792" s="6"/>
      <c r="S792" s="6"/>
      <c r="T792" s="6"/>
      <c r="U792" t="str">
        <f t="shared" si="12"/>
        <v/>
      </c>
    </row>
    <row r="793" spans="3:21" customFormat="1" hidden="1">
      <c r="C793" s="6"/>
      <c r="D793" s="6"/>
      <c r="E793" s="98"/>
      <c r="F793" s="3"/>
      <c r="G793" s="6"/>
      <c r="H793" s="3"/>
      <c r="I793" s="6"/>
      <c r="J793" s="6"/>
      <c r="K793" s="6"/>
      <c r="L793" s="6"/>
      <c r="M793" s="6"/>
      <c r="N793" s="6"/>
      <c r="O793" s="3"/>
      <c r="P793" s="6"/>
      <c r="Q793" s="6"/>
      <c r="R793" s="6"/>
      <c r="S793" s="6"/>
      <c r="T793" s="6"/>
      <c r="U793" t="str">
        <f t="shared" si="12"/>
        <v/>
      </c>
    </row>
    <row r="794" spans="3:21" customFormat="1" hidden="1">
      <c r="C794" s="6"/>
      <c r="D794" s="6"/>
      <c r="E794" s="98"/>
      <c r="F794" s="3"/>
      <c r="G794" s="6"/>
      <c r="H794" s="3"/>
      <c r="I794" s="6"/>
      <c r="J794" s="6"/>
      <c r="K794" s="6"/>
      <c r="L794" s="6"/>
      <c r="M794" s="6"/>
      <c r="N794" s="6"/>
      <c r="O794" s="3"/>
      <c r="P794" s="6"/>
      <c r="Q794" s="6"/>
      <c r="R794" s="6"/>
      <c r="S794" s="6"/>
      <c r="T794" s="6"/>
      <c r="U794" t="str">
        <f t="shared" si="12"/>
        <v/>
      </c>
    </row>
    <row r="795" spans="3:21" customFormat="1" hidden="1">
      <c r="C795" s="6"/>
      <c r="D795" s="6"/>
      <c r="E795" s="98"/>
      <c r="F795" s="3"/>
      <c r="G795" s="6"/>
      <c r="H795" s="3"/>
      <c r="I795" s="6"/>
      <c r="J795" s="6"/>
      <c r="K795" s="6"/>
      <c r="L795" s="6"/>
      <c r="M795" s="6"/>
      <c r="N795" s="6"/>
      <c r="O795" s="3"/>
      <c r="P795" s="6"/>
      <c r="Q795" s="6"/>
      <c r="R795" s="6"/>
      <c r="S795" s="6"/>
      <c r="T795" s="6"/>
      <c r="U795" t="str">
        <f t="shared" si="12"/>
        <v/>
      </c>
    </row>
    <row r="796" spans="3:21" customFormat="1" hidden="1">
      <c r="C796" s="6"/>
      <c r="D796" s="6"/>
      <c r="E796" s="98"/>
      <c r="F796" s="3"/>
      <c r="G796" s="6"/>
      <c r="H796" s="3"/>
      <c r="I796" s="6"/>
      <c r="J796" s="6"/>
      <c r="K796" s="6"/>
      <c r="L796" s="6"/>
      <c r="M796" s="6"/>
      <c r="N796" s="6"/>
      <c r="O796" s="3"/>
      <c r="P796" s="6"/>
      <c r="Q796" s="6"/>
      <c r="R796" s="6"/>
      <c r="S796" s="6"/>
      <c r="T796" s="6"/>
      <c r="U796" t="str">
        <f t="shared" si="12"/>
        <v/>
      </c>
    </row>
    <row r="797" spans="3:21" customFormat="1" hidden="1">
      <c r="C797" s="6"/>
      <c r="D797" s="6"/>
      <c r="E797" s="98"/>
      <c r="F797" s="3"/>
      <c r="G797" s="6"/>
      <c r="H797" s="3"/>
      <c r="I797" s="6"/>
      <c r="J797" s="6"/>
      <c r="K797" s="6"/>
      <c r="L797" s="6"/>
      <c r="M797" s="6"/>
      <c r="N797" s="6"/>
      <c r="O797" s="3"/>
      <c r="P797" s="6"/>
      <c r="Q797" s="6"/>
      <c r="R797" s="6"/>
      <c r="S797" s="6"/>
      <c r="T797" s="6"/>
      <c r="U797" t="str">
        <f t="shared" si="12"/>
        <v/>
      </c>
    </row>
    <row r="798" spans="3:21" customFormat="1" hidden="1">
      <c r="C798" s="6"/>
      <c r="D798" s="6"/>
      <c r="E798" s="98"/>
      <c r="F798" s="3"/>
      <c r="G798" s="6"/>
      <c r="H798" s="3"/>
      <c r="I798" s="6"/>
      <c r="J798" s="6"/>
      <c r="K798" s="6"/>
      <c r="L798" s="6"/>
      <c r="M798" s="6"/>
      <c r="N798" s="6"/>
      <c r="O798" s="3"/>
      <c r="P798" s="6"/>
      <c r="Q798" s="6"/>
      <c r="R798" s="6"/>
      <c r="S798" s="6"/>
      <c r="T798" s="6"/>
      <c r="U798" t="str">
        <f t="shared" si="12"/>
        <v/>
      </c>
    </row>
    <row r="799" spans="3:21" customFormat="1" hidden="1">
      <c r="C799" s="6"/>
      <c r="D799" s="6"/>
      <c r="E799" s="98"/>
      <c r="F799" s="3"/>
      <c r="G799" s="6"/>
      <c r="H799" s="3"/>
      <c r="I799" s="6"/>
      <c r="J799" s="6"/>
      <c r="K799" s="6"/>
      <c r="L799" s="6"/>
      <c r="M799" s="6"/>
      <c r="N799" s="6"/>
      <c r="O799" s="3"/>
      <c r="P799" s="6"/>
      <c r="Q799" s="6"/>
      <c r="R799" s="6"/>
      <c r="S799" s="6"/>
      <c r="T799" s="6"/>
      <c r="U799" t="str">
        <f t="shared" si="12"/>
        <v/>
      </c>
    </row>
    <row r="800" spans="3:21" customFormat="1" hidden="1">
      <c r="C800" s="6"/>
      <c r="D800" s="6"/>
      <c r="E800" s="98"/>
      <c r="F800" s="3"/>
      <c r="G800" s="6"/>
      <c r="H800" s="3"/>
      <c r="I800" s="6"/>
      <c r="J800" s="6"/>
      <c r="K800" s="6"/>
      <c r="L800" s="6"/>
      <c r="M800" s="6"/>
      <c r="N800" s="6"/>
      <c r="O800" s="3"/>
      <c r="P800" s="6"/>
      <c r="Q800" s="6"/>
      <c r="R800" s="6"/>
      <c r="S800" s="6"/>
      <c r="T800" s="6"/>
      <c r="U800" t="str">
        <f t="shared" si="12"/>
        <v/>
      </c>
    </row>
    <row r="801" spans="3:21" customFormat="1" hidden="1">
      <c r="C801" s="6"/>
      <c r="D801" s="6"/>
      <c r="E801" s="98"/>
      <c r="F801" s="3"/>
      <c r="G801" s="6"/>
      <c r="H801" s="3"/>
      <c r="I801" s="6"/>
      <c r="J801" s="6"/>
      <c r="K801" s="6"/>
      <c r="L801" s="6"/>
      <c r="M801" s="6"/>
      <c r="N801" s="6"/>
      <c r="O801" s="3"/>
      <c r="P801" s="6"/>
      <c r="Q801" s="6"/>
      <c r="R801" s="6"/>
      <c r="S801" s="6"/>
      <c r="T801" s="6"/>
      <c r="U801" t="str">
        <f t="shared" si="12"/>
        <v/>
      </c>
    </row>
    <row r="802" spans="3:21" customFormat="1" hidden="1">
      <c r="C802" s="6"/>
      <c r="D802" s="6"/>
      <c r="E802" s="98"/>
      <c r="F802" s="3"/>
      <c r="G802" s="6"/>
      <c r="H802" s="3"/>
      <c r="I802" s="6"/>
      <c r="J802" s="6"/>
      <c r="K802" s="6"/>
      <c r="L802" s="6"/>
      <c r="M802" s="6"/>
      <c r="N802" s="6"/>
      <c r="O802" s="3"/>
      <c r="P802" s="6"/>
      <c r="Q802" s="6"/>
      <c r="R802" s="6"/>
      <c r="S802" s="6"/>
      <c r="T802" s="6"/>
      <c r="U802" t="str">
        <f t="shared" si="12"/>
        <v/>
      </c>
    </row>
    <row r="803" spans="3:21" customFormat="1" hidden="1">
      <c r="C803" s="6"/>
      <c r="D803" s="6"/>
      <c r="E803" s="98"/>
      <c r="F803" s="3"/>
      <c r="G803" s="6"/>
      <c r="H803" s="3"/>
      <c r="I803" s="6"/>
      <c r="J803" s="6"/>
      <c r="K803" s="6"/>
      <c r="L803" s="6"/>
      <c r="M803" s="6"/>
      <c r="N803" s="6"/>
      <c r="O803" s="3"/>
      <c r="P803" s="6"/>
      <c r="Q803" s="6"/>
      <c r="R803" s="6"/>
      <c r="S803" s="6"/>
      <c r="T803" s="6"/>
      <c r="U803" t="str">
        <f t="shared" si="12"/>
        <v/>
      </c>
    </row>
    <row r="804" spans="3:21" customFormat="1" hidden="1">
      <c r="C804" s="6"/>
      <c r="D804" s="6"/>
      <c r="E804" s="98"/>
      <c r="F804" s="3"/>
      <c r="G804" s="6"/>
      <c r="H804" s="3"/>
      <c r="I804" s="6"/>
      <c r="J804" s="6"/>
      <c r="K804" s="6"/>
      <c r="L804" s="6"/>
      <c r="M804" s="6"/>
      <c r="N804" s="6"/>
      <c r="O804" s="3"/>
      <c r="P804" s="6"/>
      <c r="Q804" s="6"/>
      <c r="R804" s="6"/>
      <c r="S804" s="6"/>
      <c r="T804" s="6"/>
      <c r="U804" t="str">
        <f t="shared" si="12"/>
        <v/>
      </c>
    </row>
    <row r="805" spans="3:21" customFormat="1" hidden="1">
      <c r="C805" s="6"/>
      <c r="D805" s="6"/>
      <c r="E805" s="98"/>
      <c r="F805" s="3"/>
      <c r="G805" s="6"/>
      <c r="H805" s="3"/>
      <c r="I805" s="6"/>
      <c r="J805" s="6"/>
      <c r="K805" s="6"/>
      <c r="L805" s="6"/>
      <c r="M805" s="6"/>
      <c r="N805" s="6"/>
      <c r="O805" s="3"/>
      <c r="P805" s="6"/>
      <c r="Q805" s="6"/>
      <c r="R805" s="6"/>
      <c r="S805" s="6"/>
      <c r="T805" s="6"/>
      <c r="U805" t="str">
        <f t="shared" si="12"/>
        <v/>
      </c>
    </row>
    <row r="806" spans="3:21" customFormat="1" hidden="1">
      <c r="C806" s="6"/>
      <c r="D806" s="6"/>
      <c r="E806" s="98"/>
      <c r="F806" s="3"/>
      <c r="G806" s="6"/>
      <c r="H806" s="3"/>
      <c r="I806" s="6"/>
      <c r="J806" s="6"/>
      <c r="K806" s="6"/>
      <c r="L806" s="6"/>
      <c r="M806" s="6"/>
      <c r="N806" s="6"/>
      <c r="O806" s="3"/>
      <c r="P806" s="6"/>
      <c r="Q806" s="6"/>
      <c r="R806" s="6"/>
      <c r="S806" s="6"/>
      <c r="T806" s="6"/>
      <c r="U806" t="str">
        <f t="shared" si="12"/>
        <v/>
      </c>
    </row>
    <row r="807" spans="3:21" customFormat="1" hidden="1">
      <c r="C807" s="6"/>
      <c r="D807" s="6"/>
      <c r="E807" s="98"/>
      <c r="F807" s="3"/>
      <c r="G807" s="6"/>
      <c r="H807" s="3"/>
      <c r="I807" s="6"/>
      <c r="J807" s="6"/>
      <c r="K807" s="6"/>
      <c r="L807" s="6"/>
      <c r="M807" s="6"/>
      <c r="N807" s="6"/>
      <c r="O807" s="3"/>
      <c r="P807" s="6"/>
      <c r="Q807" s="6"/>
      <c r="R807" s="6"/>
      <c r="S807" s="6"/>
      <c r="T807" s="6"/>
      <c r="U807" t="str">
        <f t="shared" si="12"/>
        <v/>
      </c>
    </row>
    <row r="808" spans="3:21" customFormat="1" hidden="1">
      <c r="C808" s="6"/>
      <c r="D808" s="6"/>
      <c r="E808" s="98"/>
      <c r="F808" s="3"/>
      <c r="G808" s="6"/>
      <c r="H808" s="3"/>
      <c r="I808" s="6"/>
      <c r="J808" s="6"/>
      <c r="K808" s="6"/>
      <c r="L808" s="6"/>
      <c r="M808" s="6"/>
      <c r="N808" s="6"/>
      <c r="O808" s="3"/>
      <c r="P808" s="6"/>
      <c r="Q808" s="6"/>
      <c r="R808" s="6"/>
      <c r="S808" s="6"/>
      <c r="T808" s="6"/>
      <c r="U808" t="str">
        <f t="shared" si="12"/>
        <v/>
      </c>
    </row>
    <row r="809" spans="3:21" customFormat="1" hidden="1">
      <c r="C809" s="6"/>
      <c r="D809" s="6"/>
      <c r="E809" s="98"/>
      <c r="F809" s="3"/>
      <c r="G809" s="6"/>
      <c r="H809" s="3"/>
      <c r="I809" s="6"/>
      <c r="J809" s="6"/>
      <c r="K809" s="6"/>
      <c r="L809" s="6"/>
      <c r="M809" s="6"/>
      <c r="N809" s="6"/>
      <c r="O809" s="3"/>
      <c r="P809" s="6"/>
      <c r="Q809" s="6"/>
      <c r="R809" s="6"/>
      <c r="S809" s="6"/>
      <c r="T809" s="6"/>
      <c r="U809" t="str">
        <f t="shared" si="12"/>
        <v/>
      </c>
    </row>
    <row r="810" spans="3:21" customFormat="1" hidden="1">
      <c r="C810" s="6"/>
      <c r="D810" s="6"/>
      <c r="E810" s="98"/>
      <c r="F810" s="3"/>
      <c r="G810" s="6"/>
      <c r="H810" s="3"/>
      <c r="I810" s="6"/>
      <c r="J810" s="6"/>
      <c r="K810" s="6"/>
      <c r="L810" s="6"/>
      <c r="M810" s="6"/>
      <c r="N810" s="6"/>
      <c r="O810" s="3"/>
      <c r="P810" s="6"/>
      <c r="Q810" s="6"/>
      <c r="R810" s="6"/>
      <c r="S810" s="6"/>
      <c r="T810" s="6"/>
      <c r="U810" t="str">
        <f t="shared" si="12"/>
        <v/>
      </c>
    </row>
    <row r="811" spans="3:21" customFormat="1" hidden="1">
      <c r="C811" s="6"/>
      <c r="D811" s="6"/>
      <c r="E811" s="98"/>
      <c r="F811" s="3"/>
      <c r="G811" s="6"/>
      <c r="H811" s="3"/>
      <c r="I811" s="6"/>
      <c r="J811" s="6"/>
      <c r="K811" s="6"/>
      <c r="L811" s="6"/>
      <c r="M811" s="6"/>
      <c r="N811" s="6"/>
      <c r="O811" s="3"/>
      <c r="P811" s="6"/>
      <c r="Q811" s="6"/>
      <c r="R811" s="6"/>
      <c r="S811" s="6"/>
      <c r="T811" s="6"/>
      <c r="U811" t="str">
        <f t="shared" si="12"/>
        <v/>
      </c>
    </row>
    <row r="812" spans="3:21" customFormat="1" hidden="1">
      <c r="C812" s="6"/>
      <c r="D812" s="6"/>
      <c r="E812" s="98"/>
      <c r="F812" s="3"/>
      <c r="G812" s="6"/>
      <c r="H812" s="3"/>
      <c r="I812" s="6"/>
      <c r="J812" s="6"/>
      <c r="K812" s="6"/>
      <c r="L812" s="6"/>
      <c r="M812" s="6"/>
      <c r="N812" s="6"/>
      <c r="O812" s="3"/>
      <c r="P812" s="6"/>
      <c r="Q812" s="6"/>
      <c r="R812" s="6"/>
      <c r="S812" s="6"/>
      <c r="T812" s="6"/>
      <c r="U812" t="str">
        <f t="shared" si="12"/>
        <v/>
      </c>
    </row>
    <row r="813" spans="3:21" customFormat="1" hidden="1">
      <c r="C813" s="6"/>
      <c r="D813" s="6"/>
      <c r="E813" s="98"/>
      <c r="F813" s="3"/>
      <c r="G813" s="6"/>
      <c r="H813" s="3"/>
      <c r="I813" s="6"/>
      <c r="J813" s="6"/>
      <c r="K813" s="6"/>
      <c r="L813" s="6"/>
      <c r="M813" s="6"/>
      <c r="N813" s="6"/>
      <c r="O813" s="3"/>
      <c r="P813" s="6"/>
      <c r="Q813" s="6"/>
      <c r="R813" s="6"/>
      <c r="S813" s="6"/>
      <c r="T813" s="6"/>
      <c r="U813" t="str">
        <f t="shared" si="12"/>
        <v/>
      </c>
    </row>
    <row r="814" spans="3:21" customFormat="1" hidden="1">
      <c r="C814" s="6"/>
      <c r="D814" s="6"/>
      <c r="E814" s="98"/>
      <c r="F814" s="3"/>
      <c r="G814" s="6"/>
      <c r="H814" s="3"/>
      <c r="I814" s="6"/>
      <c r="J814" s="6"/>
      <c r="K814" s="6"/>
      <c r="L814" s="6"/>
      <c r="M814" s="6"/>
      <c r="N814" s="6"/>
      <c r="O814" s="3"/>
      <c r="P814" s="6"/>
      <c r="Q814" s="6"/>
      <c r="R814" s="6"/>
      <c r="S814" s="6"/>
      <c r="T814" s="6"/>
      <c r="U814" t="str">
        <f t="shared" si="12"/>
        <v/>
      </c>
    </row>
    <row r="815" spans="3:21" customFormat="1" hidden="1">
      <c r="C815" s="6"/>
      <c r="D815" s="6"/>
      <c r="E815" s="98"/>
      <c r="F815" s="3"/>
      <c r="G815" s="6"/>
      <c r="H815" s="3"/>
      <c r="I815" s="6"/>
      <c r="J815" s="6"/>
      <c r="K815" s="6"/>
      <c r="L815" s="6"/>
      <c r="M815" s="6"/>
      <c r="N815" s="6"/>
      <c r="O815" s="3"/>
      <c r="P815" s="6"/>
      <c r="Q815" s="6"/>
      <c r="R815" s="6"/>
      <c r="S815" s="6"/>
      <c r="T815" s="6"/>
      <c r="U815" t="str">
        <f t="shared" si="12"/>
        <v/>
      </c>
    </row>
    <row r="816" spans="3:21" customFormat="1" hidden="1">
      <c r="C816" s="6"/>
      <c r="D816" s="6"/>
      <c r="E816" s="98"/>
      <c r="F816" s="3"/>
      <c r="G816" s="6"/>
      <c r="H816" s="3"/>
      <c r="I816" s="6"/>
      <c r="J816" s="6"/>
      <c r="K816" s="6"/>
      <c r="L816" s="6"/>
      <c r="M816" s="6"/>
      <c r="N816" s="6"/>
      <c r="O816" s="3"/>
      <c r="P816" s="6"/>
      <c r="Q816" s="6"/>
      <c r="R816" s="6"/>
      <c r="S816" s="6"/>
      <c r="T816" s="6"/>
      <c r="U816" t="str">
        <f t="shared" si="12"/>
        <v/>
      </c>
    </row>
    <row r="817" spans="3:21" customFormat="1" hidden="1">
      <c r="C817" s="6"/>
      <c r="D817" s="6"/>
      <c r="E817" s="98"/>
      <c r="F817" s="3"/>
      <c r="G817" s="6"/>
      <c r="H817" s="3"/>
      <c r="I817" s="6"/>
      <c r="J817" s="6"/>
      <c r="K817" s="6"/>
      <c r="L817" s="6"/>
      <c r="M817" s="6"/>
      <c r="N817" s="6"/>
      <c r="O817" s="3"/>
      <c r="P817" s="6"/>
      <c r="Q817" s="6"/>
      <c r="R817" s="6"/>
      <c r="S817" s="6"/>
      <c r="T817" s="6"/>
      <c r="U817" t="str">
        <f t="shared" si="12"/>
        <v/>
      </c>
    </row>
    <row r="818" spans="3:21" customFormat="1" hidden="1">
      <c r="C818" s="6"/>
      <c r="D818" s="6"/>
      <c r="E818" s="98"/>
      <c r="F818" s="3"/>
      <c r="G818" s="6"/>
      <c r="H818" s="3"/>
      <c r="I818" s="6"/>
      <c r="J818" s="6"/>
      <c r="K818" s="6"/>
      <c r="L818" s="6"/>
      <c r="M818" s="6"/>
      <c r="N818" s="6"/>
      <c r="O818" s="3"/>
      <c r="P818" s="6"/>
      <c r="Q818" s="6"/>
      <c r="R818" s="6"/>
      <c r="S818" s="6"/>
      <c r="T818" s="6"/>
      <c r="U818" t="str">
        <f t="shared" si="12"/>
        <v/>
      </c>
    </row>
    <row r="819" spans="3:21" customFormat="1" hidden="1">
      <c r="C819" s="6"/>
      <c r="D819" s="6"/>
      <c r="E819" s="98"/>
      <c r="F819" s="3"/>
      <c r="G819" s="6"/>
      <c r="H819" s="3"/>
      <c r="I819" s="6"/>
      <c r="J819" s="6"/>
      <c r="K819" s="6"/>
      <c r="L819" s="6"/>
      <c r="M819" s="6"/>
      <c r="N819" s="6"/>
      <c r="O819" s="3"/>
      <c r="P819" s="6"/>
      <c r="Q819" s="6"/>
      <c r="R819" s="6"/>
      <c r="S819" s="6"/>
      <c r="T819" s="6"/>
      <c r="U819" t="str">
        <f t="shared" si="12"/>
        <v/>
      </c>
    </row>
    <row r="820" spans="3:21" customFormat="1" hidden="1">
      <c r="C820" s="6"/>
      <c r="D820" s="6"/>
      <c r="E820" s="98"/>
      <c r="F820" s="3"/>
      <c r="G820" s="6"/>
      <c r="H820" s="3"/>
      <c r="I820" s="6"/>
      <c r="J820" s="6"/>
      <c r="K820" s="6"/>
      <c r="L820" s="6"/>
      <c r="M820" s="6"/>
      <c r="N820" s="6"/>
      <c r="O820" s="3"/>
      <c r="P820" s="6"/>
      <c r="Q820" s="6"/>
      <c r="R820" s="6"/>
      <c r="S820" s="6"/>
      <c r="T820" s="6"/>
      <c r="U820" t="str">
        <f t="shared" si="12"/>
        <v/>
      </c>
    </row>
    <row r="821" spans="3:21" customFormat="1" hidden="1">
      <c r="C821" s="6"/>
      <c r="D821" s="6"/>
      <c r="E821" s="98"/>
      <c r="F821" s="3"/>
      <c r="G821" s="6"/>
      <c r="H821" s="3"/>
      <c r="I821" s="6"/>
      <c r="J821" s="6"/>
      <c r="K821" s="6"/>
      <c r="L821" s="6"/>
      <c r="M821" s="6"/>
      <c r="N821" s="6"/>
      <c r="O821" s="3"/>
      <c r="P821" s="6"/>
      <c r="Q821" s="6"/>
      <c r="R821" s="6"/>
      <c r="S821" s="6"/>
      <c r="T821" s="6"/>
      <c r="U821" t="str">
        <f t="shared" si="12"/>
        <v/>
      </c>
    </row>
    <row r="822" spans="3:21" customFormat="1" hidden="1">
      <c r="C822" s="6"/>
      <c r="D822" s="6"/>
      <c r="E822" s="98"/>
      <c r="F822" s="3"/>
      <c r="G822" s="6"/>
      <c r="H822" s="3"/>
      <c r="I822" s="6"/>
      <c r="J822" s="6"/>
      <c r="K822" s="6"/>
      <c r="L822" s="6"/>
      <c r="M822" s="6"/>
      <c r="N822" s="6"/>
      <c r="O822" s="3"/>
      <c r="P822" s="6"/>
      <c r="Q822" s="6"/>
      <c r="R822" s="6"/>
      <c r="S822" s="6"/>
      <c r="T822" s="6"/>
      <c r="U822" t="str">
        <f t="shared" si="12"/>
        <v/>
      </c>
    </row>
    <row r="823" spans="3:21" customFormat="1" hidden="1">
      <c r="C823" s="6"/>
      <c r="D823" s="6"/>
      <c r="E823" s="98"/>
      <c r="F823" s="3"/>
      <c r="G823" s="6"/>
      <c r="H823" s="3"/>
      <c r="I823" s="6"/>
      <c r="J823" s="6"/>
      <c r="K823" s="6"/>
      <c r="L823" s="6"/>
      <c r="M823" s="6"/>
      <c r="N823" s="6"/>
      <c r="O823" s="3"/>
      <c r="P823" s="6"/>
      <c r="Q823" s="6"/>
      <c r="R823" s="6"/>
      <c r="S823" s="6"/>
      <c r="T823" s="6"/>
      <c r="U823" t="str">
        <f t="shared" si="12"/>
        <v/>
      </c>
    </row>
    <row r="824" spans="3:21" customFormat="1" hidden="1">
      <c r="C824" s="6"/>
      <c r="D824" s="6"/>
      <c r="E824" s="98"/>
      <c r="F824" s="3"/>
      <c r="G824" s="6"/>
      <c r="H824" s="3"/>
      <c r="I824" s="6"/>
      <c r="J824" s="6"/>
      <c r="K824" s="6"/>
      <c r="L824" s="6"/>
      <c r="M824" s="6"/>
      <c r="N824" s="6"/>
      <c r="O824" s="3"/>
      <c r="P824" s="6"/>
      <c r="Q824" s="6"/>
      <c r="R824" s="6"/>
      <c r="S824" s="6"/>
      <c r="T824" s="6"/>
      <c r="U824" t="str">
        <f t="shared" si="12"/>
        <v/>
      </c>
    </row>
    <row r="825" spans="3:21" customFormat="1" hidden="1">
      <c r="C825" s="6"/>
      <c r="D825" s="6"/>
      <c r="E825" s="98"/>
      <c r="F825" s="3"/>
      <c r="G825" s="6"/>
      <c r="H825" s="3"/>
      <c r="I825" s="6"/>
      <c r="J825" s="6"/>
      <c r="K825" s="6"/>
      <c r="L825" s="6"/>
      <c r="M825" s="6"/>
      <c r="N825" s="6"/>
      <c r="O825" s="3"/>
      <c r="P825" s="6"/>
      <c r="Q825" s="6"/>
      <c r="R825" s="6"/>
      <c r="S825" s="6"/>
      <c r="T825" s="6"/>
      <c r="U825" t="str">
        <f t="shared" si="12"/>
        <v/>
      </c>
    </row>
    <row r="826" spans="3:21" customFormat="1" hidden="1">
      <c r="C826" s="6"/>
      <c r="D826" s="6"/>
      <c r="E826" s="98"/>
      <c r="F826" s="3"/>
      <c r="G826" s="6"/>
      <c r="H826" s="3"/>
      <c r="I826" s="6"/>
      <c r="J826" s="6"/>
      <c r="K826" s="6"/>
      <c r="L826" s="6"/>
      <c r="M826" s="6"/>
      <c r="N826" s="6"/>
      <c r="O826" s="3"/>
      <c r="P826" s="6"/>
      <c r="Q826" s="6"/>
      <c r="R826" s="6"/>
      <c r="S826" s="6"/>
      <c r="T826" s="6"/>
      <c r="U826" t="str">
        <f t="shared" si="12"/>
        <v/>
      </c>
    </row>
    <row r="827" spans="3:21" customFormat="1" hidden="1">
      <c r="C827" s="6"/>
      <c r="D827" s="6"/>
      <c r="E827" s="98"/>
      <c r="F827" s="3"/>
      <c r="G827" s="6"/>
      <c r="H827" s="3"/>
      <c r="I827" s="6"/>
      <c r="J827" s="6"/>
      <c r="K827" s="6"/>
      <c r="L827" s="6"/>
      <c r="M827" s="6"/>
      <c r="N827" s="6"/>
      <c r="O827" s="3"/>
      <c r="P827" s="6"/>
      <c r="Q827" s="6"/>
      <c r="R827" s="6"/>
      <c r="S827" s="6"/>
      <c r="T827" s="6"/>
      <c r="U827" t="str">
        <f t="shared" si="12"/>
        <v/>
      </c>
    </row>
    <row r="828" spans="3:21" customFormat="1" hidden="1">
      <c r="C828" s="6"/>
      <c r="D828" s="6"/>
      <c r="E828" s="98"/>
      <c r="F828" s="3"/>
      <c r="G828" s="6"/>
      <c r="H828" s="3"/>
      <c r="I828" s="6"/>
      <c r="J828" s="6"/>
      <c r="K828" s="6"/>
      <c r="L828" s="6"/>
      <c r="M828" s="6"/>
      <c r="N828" s="6"/>
      <c r="O828" s="3"/>
      <c r="P828" s="6"/>
      <c r="Q828" s="6"/>
      <c r="R828" s="6"/>
      <c r="S828" s="6"/>
      <c r="T828" s="6"/>
      <c r="U828" t="str">
        <f t="shared" si="12"/>
        <v/>
      </c>
    </row>
    <row r="829" spans="3:21" customFormat="1" hidden="1">
      <c r="C829" s="6"/>
      <c r="D829" s="6"/>
      <c r="E829" s="98"/>
      <c r="F829" s="3"/>
      <c r="G829" s="6"/>
      <c r="H829" s="3"/>
      <c r="I829" s="6"/>
      <c r="J829" s="6"/>
      <c r="K829" s="6"/>
      <c r="L829" s="6"/>
      <c r="M829" s="6"/>
      <c r="N829" s="6"/>
      <c r="O829" s="3"/>
      <c r="P829" s="6"/>
      <c r="Q829" s="6"/>
      <c r="R829" s="6"/>
      <c r="S829" s="6"/>
      <c r="T829" s="6"/>
      <c r="U829" t="str">
        <f t="shared" si="12"/>
        <v/>
      </c>
    </row>
    <row r="830" spans="3:21" customFormat="1" hidden="1">
      <c r="C830" s="6"/>
      <c r="D830" s="6"/>
      <c r="E830" s="98"/>
      <c r="F830" s="3"/>
      <c r="G830" s="6"/>
      <c r="H830" s="3"/>
      <c r="I830" s="6"/>
      <c r="J830" s="6"/>
      <c r="K830" s="6"/>
      <c r="L830" s="6"/>
      <c r="M830" s="6"/>
      <c r="N830" s="6"/>
      <c r="O830" s="3"/>
      <c r="P830" s="6"/>
      <c r="Q830" s="6"/>
      <c r="R830" s="6"/>
      <c r="S830" s="6"/>
      <c r="T830" s="6"/>
      <c r="U830" t="str">
        <f t="shared" si="12"/>
        <v/>
      </c>
    </row>
    <row r="831" spans="3:21" customFormat="1" hidden="1">
      <c r="C831" s="6"/>
      <c r="D831" s="6"/>
      <c r="E831" s="98"/>
      <c r="F831" s="3"/>
      <c r="G831" s="6"/>
      <c r="H831" s="3"/>
      <c r="I831" s="6"/>
      <c r="J831" s="6"/>
      <c r="K831" s="6"/>
      <c r="L831" s="6"/>
      <c r="M831" s="6"/>
      <c r="N831" s="6"/>
      <c r="O831" s="3"/>
      <c r="P831" s="6"/>
      <c r="Q831" s="6"/>
      <c r="R831" s="6"/>
      <c r="S831" s="6"/>
      <c r="T831" s="6"/>
      <c r="U831" t="str">
        <f t="shared" si="12"/>
        <v/>
      </c>
    </row>
    <row r="832" spans="3:21" customFormat="1" hidden="1">
      <c r="C832" s="6"/>
      <c r="D832" s="6"/>
      <c r="E832" s="98"/>
      <c r="F832" s="3"/>
      <c r="G832" s="6"/>
      <c r="H832" s="3"/>
      <c r="I832" s="6"/>
      <c r="J832" s="6"/>
      <c r="K832" s="6"/>
      <c r="L832" s="6"/>
      <c r="M832" s="6"/>
      <c r="N832" s="6"/>
      <c r="O832" s="3"/>
      <c r="P832" s="6"/>
      <c r="Q832" s="6"/>
      <c r="R832" s="6"/>
      <c r="S832" s="6"/>
      <c r="T832" s="6"/>
      <c r="U832" t="str">
        <f t="shared" si="12"/>
        <v/>
      </c>
    </row>
    <row r="833" spans="3:21" customFormat="1" hidden="1">
      <c r="C833" s="6"/>
      <c r="D833" s="6"/>
      <c r="E833" s="98"/>
      <c r="F833" s="3"/>
      <c r="G833" s="6"/>
      <c r="H833" s="3"/>
      <c r="I833" s="6"/>
      <c r="J833" s="6"/>
      <c r="K833" s="6"/>
      <c r="L833" s="6"/>
      <c r="M833" s="6"/>
      <c r="N833" s="6"/>
      <c r="O833" s="3"/>
      <c r="P833" s="6"/>
      <c r="Q833" s="6"/>
      <c r="R833" s="6"/>
      <c r="S833" s="6"/>
      <c r="T833" s="6"/>
      <c r="U833" t="str">
        <f t="shared" si="12"/>
        <v/>
      </c>
    </row>
    <row r="834" spans="3:21" customFormat="1" hidden="1">
      <c r="C834" s="6"/>
      <c r="D834" s="6"/>
      <c r="E834" s="98"/>
      <c r="F834" s="3"/>
      <c r="G834" s="6"/>
      <c r="H834" s="3"/>
      <c r="I834" s="6"/>
      <c r="J834" s="6"/>
      <c r="K834" s="6"/>
      <c r="L834" s="6"/>
      <c r="M834" s="6"/>
      <c r="N834" s="6"/>
      <c r="O834" s="3"/>
      <c r="P834" s="6"/>
      <c r="Q834" s="6"/>
      <c r="R834" s="6"/>
      <c r="S834" s="6"/>
      <c r="T834" s="6"/>
      <c r="U834" t="str">
        <f t="shared" si="12"/>
        <v/>
      </c>
    </row>
    <row r="835" spans="3:21" customFormat="1" hidden="1">
      <c r="C835" s="6"/>
      <c r="D835" s="6"/>
      <c r="E835" s="98"/>
      <c r="F835" s="3"/>
      <c r="G835" s="6"/>
      <c r="H835" s="3"/>
      <c r="I835" s="6"/>
      <c r="J835" s="6"/>
      <c r="K835" s="6"/>
      <c r="L835" s="6"/>
      <c r="M835" s="6"/>
      <c r="N835" s="6"/>
      <c r="O835" s="3"/>
      <c r="P835" s="6"/>
      <c r="Q835" s="6"/>
      <c r="R835" s="6"/>
      <c r="S835" s="6"/>
      <c r="T835" s="6"/>
      <c r="U835" t="str">
        <f t="shared" si="12"/>
        <v/>
      </c>
    </row>
    <row r="836" spans="3:21" customFormat="1" hidden="1">
      <c r="C836" s="6"/>
      <c r="D836" s="6"/>
      <c r="E836" s="98"/>
      <c r="F836" s="3"/>
      <c r="G836" s="6"/>
      <c r="H836" s="3"/>
      <c r="I836" s="6"/>
      <c r="J836" s="6"/>
      <c r="K836" s="6"/>
      <c r="L836" s="6"/>
      <c r="M836" s="6"/>
      <c r="N836" s="6"/>
      <c r="O836" s="3"/>
      <c r="P836" s="6"/>
      <c r="Q836" s="6"/>
      <c r="R836" s="6"/>
      <c r="S836" s="6"/>
      <c r="T836" s="6"/>
      <c r="U836" t="str">
        <f t="shared" si="12"/>
        <v/>
      </c>
    </row>
    <row r="837" spans="3:21" customFormat="1" hidden="1">
      <c r="C837" s="6"/>
      <c r="D837" s="6"/>
      <c r="E837" s="98"/>
      <c r="F837" s="3"/>
      <c r="G837" s="6"/>
      <c r="H837" s="3"/>
      <c r="I837" s="6"/>
      <c r="J837" s="6"/>
      <c r="K837" s="6"/>
      <c r="L837" s="6"/>
      <c r="M837" s="6"/>
      <c r="N837" s="6"/>
      <c r="O837" s="3"/>
      <c r="P837" s="6"/>
      <c r="Q837" s="6"/>
      <c r="R837" s="6"/>
      <c r="S837" s="6"/>
      <c r="T837" s="6"/>
      <c r="U837" t="str">
        <f t="shared" si="12"/>
        <v/>
      </c>
    </row>
    <row r="838" spans="3:21" customFormat="1" hidden="1">
      <c r="C838" s="6"/>
      <c r="D838" s="6"/>
      <c r="E838" s="98"/>
      <c r="F838" s="3"/>
      <c r="G838" s="6"/>
      <c r="H838" s="3"/>
      <c r="I838" s="6"/>
      <c r="J838" s="6"/>
      <c r="K838" s="6"/>
      <c r="L838" s="6"/>
      <c r="M838" s="6"/>
      <c r="N838" s="6"/>
      <c r="O838" s="3"/>
      <c r="P838" s="6"/>
      <c r="Q838" s="6"/>
      <c r="R838" s="6"/>
      <c r="S838" s="6"/>
      <c r="T838" s="6"/>
      <c r="U838" t="str">
        <f t="shared" si="12"/>
        <v/>
      </c>
    </row>
    <row r="839" spans="3:21" customFormat="1" hidden="1">
      <c r="C839" s="6"/>
      <c r="D839" s="6"/>
      <c r="E839" s="98"/>
      <c r="F839" s="3"/>
      <c r="G839" s="6"/>
      <c r="H839" s="3"/>
      <c r="I839" s="6"/>
      <c r="J839" s="6"/>
      <c r="K839" s="6"/>
      <c r="L839" s="6"/>
      <c r="M839" s="6"/>
      <c r="N839" s="6"/>
      <c r="O839" s="3"/>
      <c r="P839" s="6"/>
      <c r="Q839" s="6"/>
      <c r="R839" s="6"/>
      <c r="S839" s="6"/>
      <c r="T839" s="6"/>
      <c r="U839" t="str">
        <f t="shared" ref="U839:U902" si="13">IF(D839="","","x")</f>
        <v/>
      </c>
    </row>
    <row r="840" spans="3:21" customFormat="1" hidden="1">
      <c r="C840" s="6"/>
      <c r="D840" s="6"/>
      <c r="E840" s="98"/>
      <c r="F840" s="3"/>
      <c r="G840" s="6"/>
      <c r="H840" s="3"/>
      <c r="I840" s="6"/>
      <c r="J840" s="6"/>
      <c r="K840" s="6"/>
      <c r="L840" s="6"/>
      <c r="M840" s="6"/>
      <c r="N840" s="6"/>
      <c r="O840" s="3"/>
      <c r="P840" s="6"/>
      <c r="Q840" s="6"/>
      <c r="R840" s="6"/>
      <c r="S840" s="6"/>
      <c r="T840" s="6"/>
      <c r="U840" t="str">
        <f t="shared" si="13"/>
        <v/>
      </c>
    </row>
    <row r="841" spans="3:21" customFormat="1" hidden="1">
      <c r="C841" s="6"/>
      <c r="D841" s="6"/>
      <c r="E841" s="98"/>
      <c r="F841" s="3"/>
      <c r="G841" s="6"/>
      <c r="H841" s="3"/>
      <c r="I841" s="6"/>
      <c r="J841" s="6"/>
      <c r="K841" s="6"/>
      <c r="L841" s="6"/>
      <c r="M841" s="6"/>
      <c r="N841" s="6"/>
      <c r="O841" s="3"/>
      <c r="P841" s="6"/>
      <c r="Q841" s="6"/>
      <c r="R841" s="6"/>
      <c r="S841" s="6"/>
      <c r="T841" s="6"/>
      <c r="U841" t="str">
        <f t="shared" si="13"/>
        <v/>
      </c>
    </row>
    <row r="842" spans="3:21" customFormat="1" hidden="1">
      <c r="C842" s="6"/>
      <c r="D842" s="6"/>
      <c r="E842" s="98"/>
      <c r="F842" s="3"/>
      <c r="G842" s="6"/>
      <c r="H842" s="3"/>
      <c r="I842" s="6"/>
      <c r="J842" s="6"/>
      <c r="K842" s="6"/>
      <c r="L842" s="6"/>
      <c r="M842" s="6"/>
      <c r="N842" s="6"/>
      <c r="O842" s="3"/>
      <c r="P842" s="6"/>
      <c r="Q842" s="6"/>
      <c r="R842" s="6"/>
      <c r="S842" s="6"/>
      <c r="T842" s="6"/>
      <c r="U842" t="str">
        <f t="shared" si="13"/>
        <v/>
      </c>
    </row>
    <row r="843" spans="3:21" customFormat="1" hidden="1">
      <c r="C843" s="6"/>
      <c r="D843" s="6"/>
      <c r="E843" s="98"/>
      <c r="F843" s="3"/>
      <c r="G843" s="6"/>
      <c r="H843" s="3"/>
      <c r="I843" s="6"/>
      <c r="J843" s="6"/>
      <c r="K843" s="6"/>
      <c r="L843" s="6"/>
      <c r="M843" s="6"/>
      <c r="N843" s="6"/>
      <c r="O843" s="3"/>
      <c r="P843" s="6"/>
      <c r="Q843" s="6"/>
      <c r="R843" s="6"/>
      <c r="S843" s="6"/>
      <c r="T843" s="6"/>
      <c r="U843" t="str">
        <f t="shared" si="13"/>
        <v/>
      </c>
    </row>
    <row r="844" spans="3:21" customFormat="1" hidden="1">
      <c r="C844" s="6"/>
      <c r="D844" s="6"/>
      <c r="E844" s="98"/>
      <c r="F844" s="3"/>
      <c r="G844" s="6"/>
      <c r="H844" s="3"/>
      <c r="I844" s="6"/>
      <c r="J844" s="6"/>
      <c r="K844" s="6"/>
      <c r="L844" s="6"/>
      <c r="M844" s="6"/>
      <c r="N844" s="6"/>
      <c r="O844" s="3"/>
      <c r="P844" s="6"/>
      <c r="Q844" s="6"/>
      <c r="R844" s="6"/>
      <c r="S844" s="6"/>
      <c r="T844" s="6"/>
      <c r="U844" t="str">
        <f t="shared" si="13"/>
        <v/>
      </c>
    </row>
    <row r="845" spans="3:21" customFormat="1" hidden="1">
      <c r="C845" s="6"/>
      <c r="D845" s="6"/>
      <c r="E845" s="98"/>
      <c r="F845" s="3"/>
      <c r="G845" s="6"/>
      <c r="H845" s="3"/>
      <c r="I845" s="6"/>
      <c r="J845" s="6"/>
      <c r="K845" s="6"/>
      <c r="L845" s="6"/>
      <c r="M845" s="6"/>
      <c r="N845" s="6"/>
      <c r="O845" s="3"/>
      <c r="P845" s="6"/>
      <c r="Q845" s="6"/>
      <c r="R845" s="6"/>
      <c r="S845" s="6"/>
      <c r="T845" s="6"/>
      <c r="U845" t="str">
        <f t="shared" si="13"/>
        <v/>
      </c>
    </row>
    <row r="846" spans="3:21" customFormat="1" hidden="1">
      <c r="C846" s="6"/>
      <c r="D846" s="6"/>
      <c r="E846" s="98"/>
      <c r="F846" s="3"/>
      <c r="G846" s="6"/>
      <c r="H846" s="3"/>
      <c r="I846" s="6"/>
      <c r="J846" s="6"/>
      <c r="K846" s="6"/>
      <c r="L846" s="6"/>
      <c r="M846" s="6"/>
      <c r="N846" s="6"/>
      <c r="O846" s="3"/>
      <c r="P846" s="6"/>
      <c r="Q846" s="6"/>
      <c r="R846" s="6"/>
      <c r="S846" s="6"/>
      <c r="T846" s="6"/>
      <c r="U846" t="str">
        <f t="shared" si="13"/>
        <v/>
      </c>
    </row>
    <row r="847" spans="3:21" customFormat="1" hidden="1">
      <c r="C847" s="6"/>
      <c r="D847" s="6"/>
      <c r="E847" s="98"/>
      <c r="F847" s="3"/>
      <c r="G847" s="6"/>
      <c r="H847" s="3"/>
      <c r="I847" s="6"/>
      <c r="J847" s="6"/>
      <c r="K847" s="6"/>
      <c r="L847" s="6"/>
      <c r="M847" s="6"/>
      <c r="N847" s="6"/>
      <c r="O847" s="3"/>
      <c r="P847" s="6"/>
      <c r="Q847" s="6"/>
      <c r="R847" s="6"/>
      <c r="S847" s="6"/>
      <c r="T847" s="6"/>
      <c r="U847" t="str">
        <f t="shared" si="13"/>
        <v/>
      </c>
    </row>
    <row r="848" spans="3:21" customFormat="1" hidden="1">
      <c r="C848" s="6"/>
      <c r="D848" s="6"/>
      <c r="E848" s="98"/>
      <c r="F848" s="3"/>
      <c r="G848" s="6"/>
      <c r="H848" s="3"/>
      <c r="I848" s="6"/>
      <c r="J848" s="6"/>
      <c r="K848" s="6"/>
      <c r="L848" s="6"/>
      <c r="M848" s="6"/>
      <c r="N848" s="6"/>
      <c r="O848" s="3"/>
      <c r="P848" s="6"/>
      <c r="Q848" s="6"/>
      <c r="R848" s="6"/>
      <c r="S848" s="6"/>
      <c r="T848" s="6"/>
      <c r="U848" t="str">
        <f t="shared" si="13"/>
        <v/>
      </c>
    </row>
    <row r="849" spans="3:21" customFormat="1" hidden="1">
      <c r="C849" s="6"/>
      <c r="D849" s="6"/>
      <c r="E849" s="98"/>
      <c r="F849" s="3"/>
      <c r="G849" s="6"/>
      <c r="H849" s="3"/>
      <c r="I849" s="6"/>
      <c r="J849" s="6"/>
      <c r="K849" s="6"/>
      <c r="L849" s="6"/>
      <c r="M849" s="6"/>
      <c r="N849" s="6"/>
      <c r="O849" s="3"/>
      <c r="P849" s="6"/>
      <c r="Q849" s="6"/>
      <c r="R849" s="6"/>
      <c r="S849" s="6"/>
      <c r="T849" s="6"/>
      <c r="U849" t="str">
        <f t="shared" si="13"/>
        <v/>
      </c>
    </row>
    <row r="850" spans="3:21" customFormat="1" hidden="1">
      <c r="C850" s="6"/>
      <c r="D850" s="6"/>
      <c r="E850" s="98"/>
      <c r="F850" s="3"/>
      <c r="G850" s="6"/>
      <c r="H850" s="3"/>
      <c r="I850" s="6"/>
      <c r="J850" s="6"/>
      <c r="K850" s="6"/>
      <c r="L850" s="6"/>
      <c r="M850" s="6"/>
      <c r="N850" s="6"/>
      <c r="O850" s="3"/>
      <c r="P850" s="6"/>
      <c r="Q850" s="6"/>
      <c r="R850" s="6"/>
      <c r="S850" s="6"/>
      <c r="T850" s="6"/>
      <c r="U850" t="str">
        <f t="shared" si="13"/>
        <v/>
      </c>
    </row>
    <row r="851" spans="3:21" customFormat="1" hidden="1">
      <c r="C851" s="6"/>
      <c r="D851" s="6"/>
      <c r="E851" s="98"/>
      <c r="F851" s="3"/>
      <c r="G851" s="6"/>
      <c r="H851" s="3"/>
      <c r="I851" s="6"/>
      <c r="J851" s="6"/>
      <c r="K851" s="6"/>
      <c r="L851" s="6"/>
      <c r="M851" s="6"/>
      <c r="N851" s="6"/>
      <c r="O851" s="3"/>
      <c r="P851" s="6"/>
      <c r="Q851" s="6"/>
      <c r="R851" s="6"/>
      <c r="S851" s="6"/>
      <c r="T851" s="6"/>
      <c r="U851" t="str">
        <f t="shared" si="13"/>
        <v/>
      </c>
    </row>
    <row r="852" spans="3:21" customFormat="1" hidden="1">
      <c r="C852" s="6"/>
      <c r="D852" s="6"/>
      <c r="E852" s="98"/>
      <c r="F852" s="3"/>
      <c r="G852" s="6"/>
      <c r="H852" s="3"/>
      <c r="I852" s="6"/>
      <c r="J852" s="6"/>
      <c r="K852" s="6"/>
      <c r="L852" s="6"/>
      <c r="M852" s="6"/>
      <c r="N852" s="6"/>
      <c r="O852" s="3"/>
      <c r="P852" s="6"/>
      <c r="Q852" s="6"/>
      <c r="R852" s="6"/>
      <c r="S852" s="6"/>
      <c r="T852" s="6"/>
      <c r="U852" t="str">
        <f t="shared" si="13"/>
        <v/>
      </c>
    </row>
    <row r="853" spans="3:21" customFormat="1" hidden="1">
      <c r="C853" s="6"/>
      <c r="D853" s="6"/>
      <c r="E853" s="98"/>
      <c r="F853" s="3"/>
      <c r="G853" s="6"/>
      <c r="H853" s="3"/>
      <c r="I853" s="6"/>
      <c r="J853" s="6"/>
      <c r="K853" s="6"/>
      <c r="L853" s="6"/>
      <c r="M853" s="6"/>
      <c r="N853" s="6"/>
      <c r="O853" s="3"/>
      <c r="P853" s="6"/>
      <c r="Q853" s="6"/>
      <c r="R853" s="6"/>
      <c r="S853" s="6"/>
      <c r="T853" s="6"/>
      <c r="U853" t="str">
        <f t="shared" si="13"/>
        <v/>
      </c>
    </row>
    <row r="854" spans="3:21" customFormat="1" hidden="1">
      <c r="C854" s="6"/>
      <c r="D854" s="6"/>
      <c r="E854" s="98"/>
      <c r="F854" s="3"/>
      <c r="G854" s="6"/>
      <c r="H854" s="3"/>
      <c r="I854" s="6"/>
      <c r="J854" s="6"/>
      <c r="K854" s="6"/>
      <c r="L854" s="6"/>
      <c r="M854" s="6"/>
      <c r="N854" s="6"/>
      <c r="O854" s="3"/>
      <c r="P854" s="6"/>
      <c r="Q854" s="6"/>
      <c r="R854" s="6"/>
      <c r="S854" s="6"/>
      <c r="T854" s="6"/>
      <c r="U854" t="str">
        <f t="shared" si="13"/>
        <v/>
      </c>
    </row>
    <row r="855" spans="3:21" customFormat="1" hidden="1">
      <c r="C855" s="6"/>
      <c r="D855" s="6"/>
      <c r="E855" s="98"/>
      <c r="F855" s="3"/>
      <c r="G855" s="6"/>
      <c r="H855" s="3"/>
      <c r="I855" s="6"/>
      <c r="J855" s="6"/>
      <c r="K855" s="6"/>
      <c r="L855" s="6"/>
      <c r="M855" s="6"/>
      <c r="N855" s="6"/>
      <c r="O855" s="3"/>
      <c r="P855" s="6"/>
      <c r="Q855" s="6"/>
      <c r="R855" s="6"/>
      <c r="S855" s="6"/>
      <c r="T855" s="6"/>
      <c r="U855" t="str">
        <f t="shared" si="13"/>
        <v/>
      </c>
    </row>
    <row r="856" spans="3:21" customFormat="1" hidden="1">
      <c r="C856" s="6"/>
      <c r="D856" s="6"/>
      <c r="E856" s="98"/>
      <c r="F856" s="3"/>
      <c r="G856" s="6"/>
      <c r="H856" s="3"/>
      <c r="I856" s="6"/>
      <c r="J856" s="6"/>
      <c r="K856" s="6"/>
      <c r="L856" s="6"/>
      <c r="M856" s="6"/>
      <c r="N856" s="6"/>
      <c r="O856" s="3"/>
      <c r="P856" s="6"/>
      <c r="Q856" s="6"/>
      <c r="R856" s="6"/>
      <c r="S856" s="6"/>
      <c r="T856" s="6"/>
      <c r="U856" t="str">
        <f t="shared" si="13"/>
        <v/>
      </c>
    </row>
    <row r="857" spans="3:21" customFormat="1" hidden="1">
      <c r="C857" s="6"/>
      <c r="D857" s="6"/>
      <c r="E857" s="98"/>
      <c r="F857" s="3"/>
      <c r="G857" s="6"/>
      <c r="H857" s="3"/>
      <c r="I857" s="6"/>
      <c r="J857" s="6"/>
      <c r="K857" s="6"/>
      <c r="L857" s="6"/>
      <c r="M857" s="6"/>
      <c r="N857" s="6"/>
      <c r="O857" s="3"/>
      <c r="P857" s="6"/>
      <c r="Q857" s="6"/>
      <c r="R857" s="6"/>
      <c r="S857" s="6"/>
      <c r="T857" s="6"/>
      <c r="U857" t="str">
        <f t="shared" si="13"/>
        <v/>
      </c>
    </row>
    <row r="858" spans="3:21" customFormat="1" hidden="1">
      <c r="C858" s="6"/>
      <c r="D858" s="6"/>
      <c r="E858" s="98"/>
      <c r="F858" s="3"/>
      <c r="G858" s="6"/>
      <c r="H858" s="3"/>
      <c r="I858" s="6"/>
      <c r="J858" s="6"/>
      <c r="K858" s="6"/>
      <c r="L858" s="6"/>
      <c r="M858" s="6"/>
      <c r="N858" s="6"/>
      <c r="O858" s="3"/>
      <c r="P858" s="6"/>
      <c r="Q858" s="6"/>
      <c r="R858" s="6"/>
      <c r="S858" s="6"/>
      <c r="T858" s="6"/>
      <c r="U858" t="str">
        <f t="shared" si="13"/>
        <v/>
      </c>
    </row>
    <row r="859" spans="3:21" customFormat="1" hidden="1">
      <c r="C859" s="6"/>
      <c r="D859" s="6"/>
      <c r="E859" s="98"/>
      <c r="F859" s="3"/>
      <c r="G859" s="6"/>
      <c r="H859" s="3"/>
      <c r="I859" s="6"/>
      <c r="J859" s="6"/>
      <c r="K859" s="6"/>
      <c r="L859" s="6"/>
      <c r="M859" s="6"/>
      <c r="N859" s="6"/>
      <c r="O859" s="3"/>
      <c r="P859" s="6"/>
      <c r="Q859" s="6"/>
      <c r="R859" s="6"/>
      <c r="S859" s="6"/>
      <c r="T859" s="6"/>
      <c r="U859" t="str">
        <f t="shared" si="13"/>
        <v/>
      </c>
    </row>
    <row r="860" spans="3:21" customFormat="1" hidden="1">
      <c r="C860" s="6"/>
      <c r="D860" s="6"/>
      <c r="E860" s="98"/>
      <c r="F860" s="3"/>
      <c r="G860" s="6"/>
      <c r="H860" s="3"/>
      <c r="I860" s="6"/>
      <c r="J860" s="6"/>
      <c r="K860" s="6"/>
      <c r="L860" s="6"/>
      <c r="M860" s="6"/>
      <c r="N860" s="6"/>
      <c r="O860" s="3"/>
      <c r="P860" s="6"/>
      <c r="Q860" s="6"/>
      <c r="R860" s="6"/>
      <c r="S860" s="6"/>
      <c r="T860" s="6"/>
      <c r="U860" t="str">
        <f t="shared" si="13"/>
        <v/>
      </c>
    </row>
    <row r="861" spans="3:21" customFormat="1" hidden="1">
      <c r="C861" s="6"/>
      <c r="D861" s="6"/>
      <c r="E861" s="98"/>
      <c r="F861" s="3"/>
      <c r="G861" s="6"/>
      <c r="H861" s="3"/>
      <c r="I861" s="6"/>
      <c r="J861" s="6"/>
      <c r="K861" s="6"/>
      <c r="L861" s="6"/>
      <c r="M861" s="6"/>
      <c r="N861" s="6"/>
      <c r="O861" s="3"/>
      <c r="P861" s="6"/>
      <c r="Q861" s="6"/>
      <c r="R861" s="6"/>
      <c r="S861" s="6"/>
      <c r="T861" s="6"/>
      <c r="U861" t="str">
        <f t="shared" si="13"/>
        <v/>
      </c>
    </row>
    <row r="862" spans="3:21" customFormat="1" hidden="1">
      <c r="C862" s="6"/>
      <c r="D862" s="6"/>
      <c r="E862" s="98"/>
      <c r="F862" s="3"/>
      <c r="G862" s="6"/>
      <c r="H862" s="3"/>
      <c r="I862" s="6"/>
      <c r="J862" s="6"/>
      <c r="K862" s="6"/>
      <c r="L862" s="6"/>
      <c r="M862" s="6"/>
      <c r="N862" s="6"/>
      <c r="O862" s="3"/>
      <c r="P862" s="6"/>
      <c r="Q862" s="6"/>
      <c r="R862" s="6"/>
      <c r="S862" s="6"/>
      <c r="T862" s="6"/>
      <c r="U862" t="str">
        <f t="shared" si="13"/>
        <v/>
      </c>
    </row>
    <row r="863" spans="3:21" customFormat="1" hidden="1">
      <c r="C863" s="6"/>
      <c r="D863" s="6"/>
      <c r="E863" s="98"/>
      <c r="F863" s="3"/>
      <c r="G863" s="6"/>
      <c r="H863" s="3"/>
      <c r="I863" s="6"/>
      <c r="J863" s="6"/>
      <c r="K863" s="6"/>
      <c r="L863" s="6"/>
      <c r="M863" s="6"/>
      <c r="N863" s="6"/>
      <c r="O863" s="3"/>
      <c r="P863" s="6"/>
      <c r="Q863" s="6"/>
      <c r="R863" s="6"/>
      <c r="S863" s="6"/>
      <c r="T863" s="6"/>
      <c r="U863" t="str">
        <f t="shared" si="13"/>
        <v/>
      </c>
    </row>
    <row r="864" spans="3:21" customFormat="1" hidden="1">
      <c r="C864" s="6"/>
      <c r="D864" s="6"/>
      <c r="E864" s="98"/>
      <c r="F864" s="3"/>
      <c r="G864" s="6"/>
      <c r="H864" s="3"/>
      <c r="I864" s="6"/>
      <c r="J864" s="6"/>
      <c r="K864" s="6"/>
      <c r="L864" s="6"/>
      <c r="M864" s="6"/>
      <c r="N864" s="6"/>
      <c r="O864" s="3"/>
      <c r="P864" s="6"/>
      <c r="Q864" s="6"/>
      <c r="R864" s="6"/>
      <c r="S864" s="6"/>
      <c r="T864" s="6"/>
      <c r="U864" t="str">
        <f t="shared" si="13"/>
        <v/>
      </c>
    </row>
    <row r="865" spans="3:21" customFormat="1" hidden="1">
      <c r="C865" s="6"/>
      <c r="D865" s="6"/>
      <c r="E865" s="98"/>
      <c r="F865" s="3"/>
      <c r="G865" s="6"/>
      <c r="H865" s="3"/>
      <c r="I865" s="6"/>
      <c r="J865" s="6"/>
      <c r="K865" s="6"/>
      <c r="L865" s="6"/>
      <c r="M865" s="6"/>
      <c r="N865" s="6"/>
      <c r="O865" s="3"/>
      <c r="P865" s="6"/>
      <c r="Q865" s="6"/>
      <c r="R865" s="6"/>
      <c r="S865" s="6"/>
      <c r="T865" s="6"/>
      <c r="U865" t="str">
        <f t="shared" si="13"/>
        <v/>
      </c>
    </row>
    <row r="866" spans="3:21" customFormat="1" hidden="1">
      <c r="C866" s="6"/>
      <c r="D866" s="6"/>
      <c r="E866" s="98"/>
      <c r="F866" s="3"/>
      <c r="G866" s="6"/>
      <c r="H866" s="3"/>
      <c r="I866" s="6"/>
      <c r="J866" s="6"/>
      <c r="K866" s="6"/>
      <c r="L866" s="6"/>
      <c r="M866" s="6"/>
      <c r="N866" s="6"/>
      <c r="O866" s="3"/>
      <c r="P866" s="6"/>
      <c r="Q866" s="6"/>
      <c r="R866" s="6"/>
      <c r="S866" s="6"/>
      <c r="T866" s="6"/>
      <c r="U866" t="str">
        <f t="shared" si="13"/>
        <v/>
      </c>
    </row>
    <row r="867" spans="3:21" customFormat="1" hidden="1">
      <c r="C867" s="6"/>
      <c r="D867" s="6"/>
      <c r="E867" s="98"/>
      <c r="F867" s="3"/>
      <c r="G867" s="6"/>
      <c r="H867" s="3"/>
      <c r="I867" s="6"/>
      <c r="J867" s="6"/>
      <c r="K867" s="6"/>
      <c r="L867" s="6"/>
      <c r="M867" s="6"/>
      <c r="N867" s="6"/>
      <c r="O867" s="3"/>
      <c r="P867" s="6"/>
      <c r="Q867" s="6"/>
      <c r="R867" s="6"/>
      <c r="S867" s="6"/>
      <c r="T867" s="6"/>
      <c r="U867" t="str">
        <f t="shared" si="13"/>
        <v/>
      </c>
    </row>
    <row r="868" spans="3:21" customFormat="1" hidden="1">
      <c r="C868" s="6"/>
      <c r="D868" s="6"/>
      <c r="E868" s="98"/>
      <c r="F868" s="3"/>
      <c r="G868" s="6"/>
      <c r="H868" s="3"/>
      <c r="I868" s="6"/>
      <c r="J868" s="6"/>
      <c r="K868" s="6"/>
      <c r="L868" s="6"/>
      <c r="M868" s="6"/>
      <c r="N868" s="6"/>
      <c r="O868" s="3"/>
      <c r="P868" s="6"/>
      <c r="Q868" s="6"/>
      <c r="R868" s="6"/>
      <c r="S868" s="6"/>
      <c r="T868" s="6"/>
      <c r="U868" t="str">
        <f t="shared" si="13"/>
        <v/>
      </c>
    </row>
    <row r="869" spans="3:21" customFormat="1" hidden="1">
      <c r="C869" s="6"/>
      <c r="D869" s="6"/>
      <c r="E869" s="98"/>
      <c r="F869" s="3"/>
      <c r="G869" s="6"/>
      <c r="H869" s="3"/>
      <c r="I869" s="6"/>
      <c r="J869" s="6"/>
      <c r="K869" s="6"/>
      <c r="L869" s="6"/>
      <c r="M869" s="6"/>
      <c r="N869" s="6"/>
      <c r="O869" s="3"/>
      <c r="P869" s="6"/>
      <c r="Q869" s="6"/>
      <c r="R869" s="6"/>
      <c r="S869" s="6"/>
      <c r="T869" s="6"/>
      <c r="U869" t="str">
        <f t="shared" si="13"/>
        <v/>
      </c>
    </row>
    <row r="870" spans="3:21" customFormat="1" hidden="1">
      <c r="C870" s="6"/>
      <c r="D870" s="6"/>
      <c r="E870" s="98"/>
      <c r="F870" s="3"/>
      <c r="G870" s="6"/>
      <c r="H870" s="3"/>
      <c r="I870" s="6"/>
      <c r="J870" s="6"/>
      <c r="K870" s="6"/>
      <c r="L870" s="6"/>
      <c r="M870" s="6"/>
      <c r="N870" s="6"/>
      <c r="O870" s="3"/>
      <c r="P870" s="6"/>
      <c r="Q870" s="6"/>
      <c r="R870" s="6"/>
      <c r="S870" s="6"/>
      <c r="T870" s="6"/>
      <c r="U870" t="str">
        <f t="shared" si="13"/>
        <v/>
      </c>
    </row>
    <row r="871" spans="3:21" customFormat="1" hidden="1">
      <c r="C871" s="6"/>
      <c r="D871" s="6"/>
      <c r="E871" s="98"/>
      <c r="F871" s="3"/>
      <c r="G871" s="6"/>
      <c r="H871" s="3"/>
      <c r="I871" s="6"/>
      <c r="J871" s="6"/>
      <c r="K871" s="6"/>
      <c r="L871" s="6"/>
      <c r="M871" s="6"/>
      <c r="N871" s="6"/>
      <c r="O871" s="3"/>
      <c r="P871" s="6"/>
      <c r="Q871" s="6"/>
      <c r="R871" s="6"/>
      <c r="S871" s="6"/>
      <c r="T871" s="6"/>
      <c r="U871" t="str">
        <f t="shared" si="13"/>
        <v/>
      </c>
    </row>
    <row r="872" spans="3:21" customFormat="1" hidden="1">
      <c r="C872" s="6"/>
      <c r="D872" s="6"/>
      <c r="E872" s="98"/>
      <c r="F872" s="3"/>
      <c r="G872" s="6"/>
      <c r="H872" s="3"/>
      <c r="I872" s="6"/>
      <c r="J872" s="6"/>
      <c r="K872" s="6"/>
      <c r="L872" s="6"/>
      <c r="M872" s="6"/>
      <c r="N872" s="6"/>
      <c r="O872" s="3"/>
      <c r="P872" s="6"/>
      <c r="Q872" s="6"/>
      <c r="R872" s="6"/>
      <c r="S872" s="6"/>
      <c r="T872" s="6"/>
      <c r="U872" t="str">
        <f t="shared" si="13"/>
        <v/>
      </c>
    </row>
    <row r="873" spans="3:21" customFormat="1" hidden="1">
      <c r="C873" s="6"/>
      <c r="D873" s="6"/>
      <c r="E873" s="98"/>
      <c r="F873" s="3"/>
      <c r="G873" s="6"/>
      <c r="H873" s="3"/>
      <c r="I873" s="6"/>
      <c r="J873" s="6"/>
      <c r="K873" s="6"/>
      <c r="L873" s="6"/>
      <c r="M873" s="6"/>
      <c r="N873" s="6"/>
      <c r="O873" s="3"/>
      <c r="P873" s="6"/>
      <c r="Q873" s="6"/>
      <c r="R873" s="6"/>
      <c r="S873" s="6"/>
      <c r="T873" s="6"/>
      <c r="U873" t="str">
        <f t="shared" si="13"/>
        <v/>
      </c>
    </row>
    <row r="874" spans="3:21" customFormat="1" hidden="1">
      <c r="C874" s="6"/>
      <c r="D874" s="6"/>
      <c r="E874" s="98"/>
      <c r="F874" s="3"/>
      <c r="G874" s="6"/>
      <c r="H874" s="3"/>
      <c r="I874" s="6"/>
      <c r="J874" s="6"/>
      <c r="K874" s="6"/>
      <c r="L874" s="6"/>
      <c r="M874" s="6"/>
      <c r="N874" s="6"/>
      <c r="O874" s="3"/>
      <c r="P874" s="6"/>
      <c r="Q874" s="6"/>
      <c r="R874" s="6"/>
      <c r="S874" s="6"/>
      <c r="T874" s="6"/>
      <c r="U874" t="str">
        <f t="shared" si="13"/>
        <v/>
      </c>
    </row>
    <row r="875" spans="3:21" customFormat="1" hidden="1">
      <c r="C875" s="6"/>
      <c r="D875" s="6"/>
      <c r="E875" s="98"/>
      <c r="F875" s="3"/>
      <c r="G875" s="6"/>
      <c r="H875" s="3"/>
      <c r="I875" s="6"/>
      <c r="J875" s="6"/>
      <c r="K875" s="6"/>
      <c r="L875" s="6"/>
      <c r="M875" s="6"/>
      <c r="N875" s="6"/>
      <c r="O875" s="3"/>
      <c r="P875" s="6"/>
      <c r="Q875" s="6"/>
      <c r="R875" s="6"/>
      <c r="S875" s="6"/>
      <c r="T875" s="6"/>
      <c r="U875" t="str">
        <f t="shared" si="13"/>
        <v/>
      </c>
    </row>
    <row r="876" spans="3:21" customFormat="1" hidden="1">
      <c r="C876" s="6"/>
      <c r="D876" s="6"/>
      <c r="E876" s="98"/>
      <c r="F876" s="3"/>
      <c r="G876" s="6"/>
      <c r="H876" s="3"/>
      <c r="I876" s="6"/>
      <c r="J876" s="6"/>
      <c r="K876" s="6"/>
      <c r="L876" s="6"/>
      <c r="M876" s="6"/>
      <c r="N876" s="6"/>
      <c r="O876" s="3"/>
      <c r="P876" s="6"/>
      <c r="Q876" s="6"/>
      <c r="R876" s="6"/>
      <c r="S876" s="6"/>
      <c r="T876" s="6"/>
      <c r="U876" t="str">
        <f t="shared" si="13"/>
        <v/>
      </c>
    </row>
    <row r="877" spans="3:21" customFormat="1" hidden="1">
      <c r="C877" s="6"/>
      <c r="D877" s="6"/>
      <c r="E877" s="98"/>
      <c r="F877" s="3"/>
      <c r="G877" s="6"/>
      <c r="H877" s="3"/>
      <c r="I877" s="6"/>
      <c r="J877" s="6"/>
      <c r="K877" s="6"/>
      <c r="L877" s="6"/>
      <c r="M877" s="6"/>
      <c r="N877" s="6"/>
      <c r="O877" s="3"/>
      <c r="P877" s="6"/>
      <c r="Q877" s="6"/>
      <c r="R877" s="6"/>
      <c r="S877" s="6"/>
      <c r="T877" s="6"/>
      <c r="U877" t="str">
        <f t="shared" si="13"/>
        <v/>
      </c>
    </row>
    <row r="878" spans="3:21" customFormat="1" hidden="1">
      <c r="C878" s="6"/>
      <c r="D878" s="6"/>
      <c r="E878" s="98"/>
      <c r="F878" s="3"/>
      <c r="G878" s="6"/>
      <c r="H878" s="3"/>
      <c r="I878" s="6"/>
      <c r="J878" s="6"/>
      <c r="K878" s="6"/>
      <c r="L878" s="6"/>
      <c r="M878" s="6"/>
      <c r="N878" s="6"/>
      <c r="O878" s="3"/>
      <c r="P878" s="6"/>
      <c r="Q878" s="6"/>
      <c r="R878" s="6"/>
      <c r="S878" s="6"/>
      <c r="T878" s="6"/>
      <c r="U878" t="str">
        <f t="shared" si="13"/>
        <v/>
      </c>
    </row>
    <row r="879" spans="3:21" customFormat="1" hidden="1">
      <c r="C879" s="6"/>
      <c r="D879" s="6"/>
      <c r="E879" s="98"/>
      <c r="F879" s="3"/>
      <c r="G879" s="6"/>
      <c r="H879" s="3"/>
      <c r="I879" s="6"/>
      <c r="J879" s="6"/>
      <c r="K879" s="6"/>
      <c r="L879" s="6"/>
      <c r="M879" s="6"/>
      <c r="N879" s="6"/>
      <c r="O879" s="3"/>
      <c r="P879" s="6"/>
      <c r="Q879" s="6"/>
      <c r="R879" s="6"/>
      <c r="S879" s="6"/>
      <c r="T879" s="6"/>
      <c r="U879" t="str">
        <f t="shared" si="13"/>
        <v/>
      </c>
    </row>
    <row r="880" spans="3:21" customFormat="1" hidden="1">
      <c r="C880" s="6"/>
      <c r="D880" s="6"/>
      <c r="E880" s="98"/>
      <c r="F880" s="3"/>
      <c r="G880" s="6"/>
      <c r="H880" s="3"/>
      <c r="I880" s="6"/>
      <c r="J880" s="6"/>
      <c r="K880" s="6"/>
      <c r="L880" s="6"/>
      <c r="M880" s="6"/>
      <c r="N880" s="6"/>
      <c r="O880" s="3"/>
      <c r="P880" s="6"/>
      <c r="Q880" s="6"/>
      <c r="R880" s="6"/>
      <c r="S880" s="6"/>
      <c r="T880" s="6"/>
      <c r="U880" t="str">
        <f t="shared" si="13"/>
        <v/>
      </c>
    </row>
    <row r="881" spans="3:21" customFormat="1" hidden="1">
      <c r="C881" s="6"/>
      <c r="D881" s="6"/>
      <c r="E881" s="98"/>
      <c r="F881" s="3"/>
      <c r="G881" s="6"/>
      <c r="H881" s="3"/>
      <c r="I881" s="6"/>
      <c r="J881" s="6"/>
      <c r="K881" s="6"/>
      <c r="L881" s="6"/>
      <c r="M881" s="6"/>
      <c r="N881" s="6"/>
      <c r="O881" s="3"/>
      <c r="P881" s="6"/>
      <c r="Q881" s="6"/>
      <c r="R881" s="6"/>
      <c r="S881" s="6"/>
      <c r="T881" s="6"/>
      <c r="U881" t="str">
        <f t="shared" si="13"/>
        <v/>
      </c>
    </row>
    <row r="882" spans="3:21" customFormat="1" hidden="1">
      <c r="C882" s="6"/>
      <c r="D882" s="6"/>
      <c r="E882" s="98"/>
      <c r="F882" s="3"/>
      <c r="G882" s="6"/>
      <c r="H882" s="3"/>
      <c r="I882" s="6"/>
      <c r="J882" s="6"/>
      <c r="K882" s="6"/>
      <c r="L882" s="6"/>
      <c r="M882" s="6"/>
      <c r="N882" s="6"/>
      <c r="O882" s="3"/>
      <c r="P882" s="6"/>
      <c r="Q882" s="6"/>
      <c r="R882" s="6"/>
      <c r="S882" s="6"/>
      <c r="T882" s="6"/>
      <c r="U882" t="str">
        <f t="shared" si="13"/>
        <v/>
      </c>
    </row>
    <row r="883" spans="3:21" customFormat="1" hidden="1">
      <c r="C883" s="6"/>
      <c r="D883" s="6"/>
      <c r="E883" s="98"/>
      <c r="F883" s="3"/>
      <c r="G883" s="6"/>
      <c r="H883" s="3"/>
      <c r="I883" s="6"/>
      <c r="J883" s="6"/>
      <c r="K883" s="6"/>
      <c r="L883" s="6"/>
      <c r="M883" s="6"/>
      <c r="N883" s="6"/>
      <c r="O883" s="3"/>
      <c r="P883" s="6"/>
      <c r="Q883" s="6"/>
      <c r="R883" s="6"/>
      <c r="S883" s="6"/>
      <c r="T883" s="6"/>
      <c r="U883" t="str">
        <f t="shared" si="13"/>
        <v/>
      </c>
    </row>
    <row r="884" spans="3:21" customFormat="1" hidden="1">
      <c r="C884" s="6"/>
      <c r="D884" s="6"/>
      <c r="E884" s="98"/>
      <c r="F884" s="3"/>
      <c r="G884" s="6"/>
      <c r="H884" s="3"/>
      <c r="I884" s="6"/>
      <c r="J884" s="6"/>
      <c r="K884" s="6"/>
      <c r="L884" s="6"/>
      <c r="M884" s="6"/>
      <c r="N884" s="6"/>
      <c r="O884" s="3"/>
      <c r="P884" s="6"/>
      <c r="Q884" s="6"/>
      <c r="R884" s="6"/>
      <c r="S884" s="6"/>
      <c r="T884" s="6"/>
      <c r="U884" t="str">
        <f t="shared" si="13"/>
        <v/>
      </c>
    </row>
    <row r="885" spans="3:21" customFormat="1" hidden="1">
      <c r="C885" s="6"/>
      <c r="D885" s="6"/>
      <c r="E885" s="98"/>
      <c r="F885" s="3"/>
      <c r="G885" s="6"/>
      <c r="H885" s="3"/>
      <c r="I885" s="6"/>
      <c r="J885" s="6"/>
      <c r="K885" s="6"/>
      <c r="L885" s="6"/>
      <c r="M885" s="6"/>
      <c r="N885" s="6"/>
      <c r="O885" s="3"/>
      <c r="P885" s="6"/>
      <c r="Q885" s="6"/>
      <c r="R885" s="6"/>
      <c r="S885" s="6"/>
      <c r="T885" s="6"/>
      <c r="U885" t="str">
        <f t="shared" si="13"/>
        <v/>
      </c>
    </row>
    <row r="886" spans="3:21" customFormat="1" hidden="1">
      <c r="C886" s="6"/>
      <c r="D886" s="6"/>
      <c r="E886" s="98"/>
      <c r="F886" s="3"/>
      <c r="G886" s="6"/>
      <c r="H886" s="3"/>
      <c r="I886" s="6"/>
      <c r="J886" s="6"/>
      <c r="K886" s="6"/>
      <c r="L886" s="6"/>
      <c r="M886" s="6"/>
      <c r="N886" s="6"/>
      <c r="O886" s="3"/>
      <c r="P886" s="6"/>
      <c r="Q886" s="6"/>
      <c r="R886" s="6"/>
      <c r="S886" s="6"/>
      <c r="T886" s="6"/>
      <c r="U886" t="str">
        <f t="shared" si="13"/>
        <v/>
      </c>
    </row>
    <row r="887" spans="3:21" customFormat="1" hidden="1">
      <c r="C887" s="6"/>
      <c r="D887" s="6"/>
      <c r="E887" s="98"/>
      <c r="F887" s="3"/>
      <c r="G887" s="6"/>
      <c r="H887" s="3"/>
      <c r="I887" s="6"/>
      <c r="J887" s="6"/>
      <c r="K887" s="6"/>
      <c r="L887" s="6"/>
      <c r="M887" s="6"/>
      <c r="N887" s="6"/>
      <c r="O887" s="3"/>
      <c r="P887" s="6"/>
      <c r="Q887" s="6"/>
      <c r="R887" s="6"/>
      <c r="S887" s="6"/>
      <c r="T887" s="6"/>
      <c r="U887" t="str">
        <f t="shared" si="13"/>
        <v/>
      </c>
    </row>
    <row r="888" spans="3:21" customFormat="1" hidden="1">
      <c r="C888" s="6"/>
      <c r="D888" s="6"/>
      <c r="E888" s="98"/>
      <c r="F888" s="3"/>
      <c r="G888" s="6"/>
      <c r="H888" s="3"/>
      <c r="I888" s="6"/>
      <c r="J888" s="6"/>
      <c r="K888" s="6"/>
      <c r="L888" s="6"/>
      <c r="M888" s="6"/>
      <c r="N888" s="6"/>
      <c r="O888" s="3"/>
      <c r="P888" s="6"/>
      <c r="Q888" s="6"/>
      <c r="R888" s="6"/>
      <c r="S888" s="6"/>
      <c r="T888" s="6"/>
      <c r="U888" t="str">
        <f t="shared" si="13"/>
        <v/>
      </c>
    </row>
    <row r="889" spans="3:21" customFormat="1" hidden="1">
      <c r="C889" s="6"/>
      <c r="D889" s="6"/>
      <c r="E889" s="98"/>
      <c r="F889" s="3"/>
      <c r="G889" s="6"/>
      <c r="H889" s="3"/>
      <c r="I889" s="6"/>
      <c r="J889" s="6"/>
      <c r="K889" s="6"/>
      <c r="L889" s="6"/>
      <c r="M889" s="6"/>
      <c r="N889" s="6"/>
      <c r="O889" s="3"/>
      <c r="P889" s="6"/>
      <c r="Q889" s="6"/>
      <c r="R889" s="6"/>
      <c r="S889" s="6"/>
      <c r="T889" s="6"/>
      <c r="U889" t="str">
        <f t="shared" si="13"/>
        <v/>
      </c>
    </row>
    <row r="890" spans="3:21" customFormat="1" hidden="1">
      <c r="C890" s="6"/>
      <c r="D890" s="6"/>
      <c r="E890" s="98"/>
      <c r="F890" s="3"/>
      <c r="G890" s="6"/>
      <c r="H890" s="3"/>
      <c r="I890" s="6"/>
      <c r="J890" s="6"/>
      <c r="K890" s="6"/>
      <c r="L890" s="6"/>
      <c r="M890" s="6"/>
      <c r="N890" s="6"/>
      <c r="O890" s="3"/>
      <c r="P890" s="6"/>
      <c r="Q890" s="6"/>
      <c r="R890" s="6"/>
      <c r="S890" s="6"/>
      <c r="T890" s="6"/>
      <c r="U890" t="str">
        <f t="shared" si="13"/>
        <v/>
      </c>
    </row>
    <row r="891" spans="3:21" customFormat="1" hidden="1">
      <c r="C891" s="6"/>
      <c r="D891" s="6"/>
      <c r="E891" s="98"/>
      <c r="F891" s="3"/>
      <c r="G891" s="6"/>
      <c r="H891" s="3"/>
      <c r="I891" s="6"/>
      <c r="J891" s="6"/>
      <c r="K891" s="6"/>
      <c r="L891" s="6"/>
      <c r="M891" s="6"/>
      <c r="N891" s="6"/>
      <c r="O891" s="3"/>
      <c r="P891" s="6"/>
      <c r="Q891" s="6"/>
      <c r="R891" s="6"/>
      <c r="S891" s="6"/>
      <c r="T891" s="6"/>
      <c r="U891" t="str">
        <f t="shared" si="13"/>
        <v/>
      </c>
    </row>
    <row r="892" spans="3:21" customFormat="1" hidden="1">
      <c r="C892" s="6"/>
      <c r="D892" s="6"/>
      <c r="E892" s="98"/>
      <c r="F892" s="3"/>
      <c r="G892" s="6"/>
      <c r="H892" s="3"/>
      <c r="I892" s="6"/>
      <c r="J892" s="6"/>
      <c r="K892" s="6"/>
      <c r="L892" s="6"/>
      <c r="M892" s="6"/>
      <c r="N892" s="6"/>
      <c r="O892" s="3"/>
      <c r="P892" s="6"/>
      <c r="Q892" s="6"/>
      <c r="R892" s="6"/>
      <c r="S892" s="6"/>
      <c r="T892" s="6"/>
      <c r="U892" t="str">
        <f t="shared" si="13"/>
        <v/>
      </c>
    </row>
    <row r="893" spans="3:21" customFormat="1" hidden="1">
      <c r="C893" s="6"/>
      <c r="D893" s="6"/>
      <c r="E893" s="98"/>
      <c r="F893" s="3"/>
      <c r="G893" s="6"/>
      <c r="H893" s="3"/>
      <c r="I893" s="6"/>
      <c r="J893" s="6"/>
      <c r="K893" s="6"/>
      <c r="L893" s="6"/>
      <c r="M893" s="6"/>
      <c r="N893" s="6"/>
      <c r="O893" s="3"/>
      <c r="P893" s="6"/>
      <c r="Q893" s="6"/>
      <c r="R893" s="6"/>
      <c r="S893" s="6"/>
      <c r="T893" s="6"/>
      <c r="U893" t="str">
        <f t="shared" si="13"/>
        <v/>
      </c>
    </row>
    <row r="894" spans="3:21" customFormat="1" hidden="1">
      <c r="C894" s="6"/>
      <c r="D894" s="6"/>
      <c r="E894" s="98"/>
      <c r="F894" s="3"/>
      <c r="G894" s="6"/>
      <c r="H894" s="3"/>
      <c r="I894" s="6"/>
      <c r="J894" s="6"/>
      <c r="K894" s="6"/>
      <c r="L894" s="6"/>
      <c r="M894" s="6"/>
      <c r="N894" s="6"/>
      <c r="O894" s="3"/>
      <c r="P894" s="6"/>
      <c r="Q894" s="6"/>
      <c r="R894" s="6"/>
      <c r="S894" s="6"/>
      <c r="T894" s="6"/>
      <c r="U894" t="str">
        <f t="shared" si="13"/>
        <v/>
      </c>
    </row>
    <row r="895" spans="3:21" customFormat="1" hidden="1">
      <c r="C895" s="6"/>
      <c r="D895" s="6"/>
      <c r="E895" s="98"/>
      <c r="F895" s="3"/>
      <c r="G895" s="6"/>
      <c r="H895" s="3"/>
      <c r="I895" s="6"/>
      <c r="J895" s="6"/>
      <c r="K895" s="6"/>
      <c r="L895" s="6"/>
      <c r="M895" s="6"/>
      <c r="N895" s="6"/>
      <c r="O895" s="3"/>
      <c r="P895" s="6"/>
      <c r="Q895" s="6"/>
      <c r="R895" s="6"/>
      <c r="S895" s="6"/>
      <c r="T895" s="6"/>
      <c r="U895" t="str">
        <f t="shared" si="13"/>
        <v/>
      </c>
    </row>
    <row r="896" spans="3:21" customFormat="1" hidden="1">
      <c r="C896" s="6"/>
      <c r="D896" s="6"/>
      <c r="E896" s="98"/>
      <c r="F896" s="3"/>
      <c r="G896" s="6"/>
      <c r="H896" s="3"/>
      <c r="I896" s="6"/>
      <c r="J896" s="6"/>
      <c r="K896" s="6"/>
      <c r="L896" s="6"/>
      <c r="M896" s="6"/>
      <c r="N896" s="6"/>
      <c r="O896" s="3"/>
      <c r="P896" s="6"/>
      <c r="Q896" s="6"/>
      <c r="R896" s="6"/>
      <c r="S896" s="6"/>
      <c r="T896" s="6"/>
      <c r="U896" t="str">
        <f t="shared" si="13"/>
        <v/>
      </c>
    </row>
    <row r="897" spans="3:21" customFormat="1" hidden="1">
      <c r="C897" s="6"/>
      <c r="D897" s="6"/>
      <c r="E897" s="98"/>
      <c r="F897" s="3"/>
      <c r="G897" s="6"/>
      <c r="H897" s="3"/>
      <c r="I897" s="6"/>
      <c r="J897" s="6"/>
      <c r="K897" s="6"/>
      <c r="L897" s="6"/>
      <c r="M897" s="6"/>
      <c r="N897" s="6"/>
      <c r="O897" s="3"/>
      <c r="P897" s="6"/>
      <c r="Q897" s="6"/>
      <c r="R897" s="6"/>
      <c r="S897" s="6"/>
      <c r="T897" s="6"/>
      <c r="U897" t="str">
        <f t="shared" si="13"/>
        <v/>
      </c>
    </row>
    <row r="898" spans="3:21" customFormat="1" hidden="1">
      <c r="C898" s="6"/>
      <c r="D898" s="6"/>
      <c r="E898" s="98"/>
      <c r="F898" s="3"/>
      <c r="G898" s="6"/>
      <c r="H898" s="3"/>
      <c r="I898" s="6"/>
      <c r="J898" s="6"/>
      <c r="K898" s="6"/>
      <c r="L898" s="6"/>
      <c r="M898" s="6"/>
      <c r="N898" s="6"/>
      <c r="O898" s="3"/>
      <c r="P898" s="6"/>
      <c r="Q898" s="6"/>
      <c r="R898" s="6"/>
      <c r="S898" s="6"/>
      <c r="T898" s="6"/>
      <c r="U898" t="str">
        <f t="shared" si="13"/>
        <v/>
      </c>
    </row>
    <row r="899" spans="3:21" customFormat="1" hidden="1">
      <c r="C899" s="6"/>
      <c r="D899" s="6"/>
      <c r="E899" s="98"/>
      <c r="F899" s="3"/>
      <c r="G899" s="6"/>
      <c r="H899" s="3"/>
      <c r="I899" s="6"/>
      <c r="J899" s="6"/>
      <c r="K899" s="6"/>
      <c r="L899" s="6"/>
      <c r="M899" s="6"/>
      <c r="N899" s="6"/>
      <c r="O899" s="3"/>
      <c r="P899" s="6"/>
      <c r="Q899" s="6"/>
      <c r="R899" s="6"/>
      <c r="S899" s="6"/>
      <c r="T899" s="6"/>
      <c r="U899" t="str">
        <f t="shared" si="13"/>
        <v/>
      </c>
    </row>
    <row r="900" spans="3:21" customFormat="1" hidden="1">
      <c r="C900" s="6"/>
      <c r="D900" s="6"/>
      <c r="E900" s="98"/>
      <c r="F900" s="3"/>
      <c r="G900" s="6"/>
      <c r="H900" s="3"/>
      <c r="I900" s="6"/>
      <c r="J900" s="6"/>
      <c r="K900" s="6"/>
      <c r="L900" s="6"/>
      <c r="M900" s="6"/>
      <c r="N900" s="6"/>
      <c r="O900" s="3"/>
      <c r="P900" s="6"/>
      <c r="Q900" s="6"/>
      <c r="R900" s="6"/>
      <c r="S900" s="6"/>
      <c r="T900" s="6"/>
      <c r="U900" t="str">
        <f t="shared" si="13"/>
        <v/>
      </c>
    </row>
    <row r="901" spans="3:21" customFormat="1" hidden="1">
      <c r="C901" s="6"/>
      <c r="D901" s="6"/>
      <c r="E901" s="98"/>
      <c r="F901" s="3"/>
      <c r="G901" s="6"/>
      <c r="H901" s="3"/>
      <c r="I901" s="6"/>
      <c r="J901" s="6"/>
      <c r="K901" s="6"/>
      <c r="L901" s="6"/>
      <c r="M901" s="6"/>
      <c r="N901" s="6"/>
      <c r="O901" s="3"/>
      <c r="P901" s="6"/>
      <c r="Q901" s="6"/>
      <c r="R901" s="6"/>
      <c r="S901" s="6"/>
      <c r="T901" s="6"/>
      <c r="U901" t="str">
        <f t="shared" si="13"/>
        <v/>
      </c>
    </row>
    <row r="902" spans="3:21" customFormat="1" hidden="1">
      <c r="C902" s="6"/>
      <c r="D902" s="6"/>
      <c r="E902" s="98"/>
      <c r="F902" s="3"/>
      <c r="G902" s="6"/>
      <c r="H902" s="3"/>
      <c r="I902" s="6"/>
      <c r="J902" s="6"/>
      <c r="K902" s="6"/>
      <c r="L902" s="6"/>
      <c r="M902" s="6"/>
      <c r="N902" s="6"/>
      <c r="O902" s="3"/>
      <c r="P902" s="6"/>
      <c r="Q902" s="6"/>
      <c r="R902" s="6"/>
      <c r="S902" s="6"/>
      <c r="T902" s="6"/>
      <c r="U902" t="str">
        <f t="shared" si="13"/>
        <v/>
      </c>
    </row>
    <row r="903" spans="3:21" customFormat="1" hidden="1">
      <c r="C903" s="6"/>
      <c r="D903" s="6"/>
      <c r="E903" s="98"/>
      <c r="F903" s="3"/>
      <c r="G903" s="6"/>
      <c r="H903" s="3"/>
      <c r="I903" s="6"/>
      <c r="J903" s="6"/>
      <c r="K903" s="6"/>
      <c r="L903" s="6"/>
      <c r="M903" s="6"/>
      <c r="N903" s="6"/>
      <c r="O903" s="3"/>
      <c r="P903" s="6"/>
      <c r="Q903" s="6"/>
      <c r="R903" s="6"/>
      <c r="S903" s="6"/>
      <c r="T903" s="6"/>
      <c r="U903" t="str">
        <f t="shared" ref="U903:U966" si="14">IF(D903="","","x")</f>
        <v/>
      </c>
    </row>
    <row r="904" spans="3:21" customFormat="1" hidden="1">
      <c r="C904" s="6"/>
      <c r="D904" s="6"/>
      <c r="E904" s="98"/>
      <c r="F904" s="3"/>
      <c r="G904" s="6"/>
      <c r="H904" s="3"/>
      <c r="I904" s="6"/>
      <c r="J904" s="6"/>
      <c r="K904" s="6"/>
      <c r="L904" s="6"/>
      <c r="M904" s="6"/>
      <c r="N904" s="6"/>
      <c r="O904" s="3"/>
      <c r="P904" s="6"/>
      <c r="Q904" s="6"/>
      <c r="R904" s="6"/>
      <c r="S904" s="6"/>
      <c r="T904" s="6"/>
      <c r="U904" t="str">
        <f t="shared" si="14"/>
        <v/>
      </c>
    </row>
    <row r="905" spans="3:21" customFormat="1" hidden="1">
      <c r="C905" s="6"/>
      <c r="D905" s="6"/>
      <c r="E905" s="98"/>
      <c r="F905" s="3"/>
      <c r="G905" s="6"/>
      <c r="H905" s="3"/>
      <c r="I905" s="6"/>
      <c r="J905" s="6"/>
      <c r="K905" s="6"/>
      <c r="L905" s="6"/>
      <c r="M905" s="6"/>
      <c r="N905" s="6"/>
      <c r="O905" s="3"/>
      <c r="P905" s="6"/>
      <c r="Q905" s="6"/>
      <c r="R905" s="6"/>
      <c r="S905" s="6"/>
      <c r="T905" s="6"/>
      <c r="U905" t="str">
        <f t="shared" si="14"/>
        <v/>
      </c>
    </row>
    <row r="906" spans="3:21" customFormat="1" hidden="1">
      <c r="C906" s="6"/>
      <c r="D906" s="6"/>
      <c r="E906" s="98"/>
      <c r="F906" s="3"/>
      <c r="G906" s="6"/>
      <c r="H906" s="3"/>
      <c r="I906" s="6"/>
      <c r="J906" s="6"/>
      <c r="K906" s="6"/>
      <c r="L906" s="6"/>
      <c r="M906" s="6"/>
      <c r="N906" s="6"/>
      <c r="O906" s="3"/>
      <c r="P906" s="6"/>
      <c r="Q906" s="6"/>
      <c r="R906" s="6"/>
      <c r="S906" s="6"/>
      <c r="T906" s="6"/>
      <c r="U906" t="str">
        <f t="shared" si="14"/>
        <v/>
      </c>
    </row>
    <row r="907" spans="3:21" customFormat="1" hidden="1">
      <c r="C907" s="6"/>
      <c r="D907" s="6"/>
      <c r="E907" s="98"/>
      <c r="F907" s="3"/>
      <c r="G907" s="6"/>
      <c r="H907" s="3"/>
      <c r="I907" s="6"/>
      <c r="J907" s="6"/>
      <c r="K907" s="6"/>
      <c r="L907" s="6"/>
      <c r="M907" s="6"/>
      <c r="N907" s="6"/>
      <c r="O907" s="3"/>
      <c r="P907" s="6"/>
      <c r="Q907" s="6"/>
      <c r="R907" s="6"/>
      <c r="S907" s="6"/>
      <c r="T907" s="6"/>
      <c r="U907" t="str">
        <f t="shared" si="14"/>
        <v/>
      </c>
    </row>
    <row r="908" spans="3:21" customFormat="1" hidden="1">
      <c r="C908" s="6"/>
      <c r="D908" s="6"/>
      <c r="E908" s="98"/>
      <c r="F908" s="3"/>
      <c r="G908" s="6"/>
      <c r="H908" s="3"/>
      <c r="I908" s="6"/>
      <c r="J908" s="6"/>
      <c r="K908" s="6"/>
      <c r="L908" s="6"/>
      <c r="M908" s="6"/>
      <c r="N908" s="6"/>
      <c r="O908" s="3"/>
      <c r="P908" s="6"/>
      <c r="Q908" s="6"/>
      <c r="R908" s="6"/>
      <c r="S908" s="6"/>
      <c r="T908" s="6"/>
      <c r="U908" t="str">
        <f t="shared" si="14"/>
        <v/>
      </c>
    </row>
    <row r="909" spans="3:21" customFormat="1" hidden="1">
      <c r="C909" s="6"/>
      <c r="D909" s="6"/>
      <c r="E909" s="98"/>
      <c r="F909" s="3"/>
      <c r="G909" s="6"/>
      <c r="H909" s="3"/>
      <c r="I909" s="6"/>
      <c r="J909" s="6"/>
      <c r="K909" s="6"/>
      <c r="L909" s="6"/>
      <c r="M909" s="6"/>
      <c r="N909" s="6"/>
      <c r="O909" s="3"/>
      <c r="P909" s="6"/>
      <c r="Q909" s="6"/>
      <c r="R909" s="6"/>
      <c r="S909" s="6"/>
      <c r="T909" s="6"/>
      <c r="U909" t="str">
        <f t="shared" si="14"/>
        <v/>
      </c>
    </row>
    <row r="910" spans="3:21" customFormat="1" hidden="1">
      <c r="C910" s="6"/>
      <c r="D910" s="6"/>
      <c r="E910" s="98"/>
      <c r="F910" s="3"/>
      <c r="G910" s="6"/>
      <c r="H910" s="3"/>
      <c r="I910" s="6"/>
      <c r="J910" s="6"/>
      <c r="K910" s="6"/>
      <c r="L910" s="6"/>
      <c r="M910" s="6"/>
      <c r="N910" s="6"/>
      <c r="O910" s="3"/>
      <c r="P910" s="6"/>
      <c r="Q910" s="6"/>
      <c r="R910" s="6"/>
      <c r="S910" s="6"/>
      <c r="T910" s="6"/>
      <c r="U910" t="str">
        <f t="shared" si="14"/>
        <v/>
      </c>
    </row>
    <row r="911" spans="3:21" customFormat="1" hidden="1">
      <c r="C911" s="6"/>
      <c r="D911" s="6"/>
      <c r="E911" s="98"/>
      <c r="F911" s="3"/>
      <c r="G911" s="6"/>
      <c r="H911" s="3"/>
      <c r="I911" s="6"/>
      <c r="J911" s="6"/>
      <c r="K911" s="6"/>
      <c r="L911" s="6"/>
      <c r="M911" s="6"/>
      <c r="N911" s="6"/>
      <c r="O911" s="3"/>
      <c r="P911" s="6"/>
      <c r="Q911" s="6"/>
      <c r="R911" s="6"/>
      <c r="S911" s="6"/>
      <c r="T911" s="6"/>
      <c r="U911" t="str">
        <f t="shared" si="14"/>
        <v/>
      </c>
    </row>
    <row r="912" spans="3:21" customFormat="1" hidden="1">
      <c r="C912" s="6"/>
      <c r="D912" s="6"/>
      <c r="E912" s="98"/>
      <c r="F912" s="3"/>
      <c r="G912" s="6"/>
      <c r="H912" s="3"/>
      <c r="I912" s="6"/>
      <c r="J912" s="6"/>
      <c r="K912" s="6"/>
      <c r="L912" s="6"/>
      <c r="M912" s="6"/>
      <c r="N912" s="6"/>
      <c r="O912" s="3"/>
      <c r="P912" s="6"/>
      <c r="Q912" s="6"/>
      <c r="R912" s="6"/>
      <c r="S912" s="6"/>
      <c r="T912" s="6"/>
      <c r="U912" t="str">
        <f t="shared" si="14"/>
        <v/>
      </c>
    </row>
    <row r="913" spans="3:21" customFormat="1" hidden="1">
      <c r="C913" s="6"/>
      <c r="D913" s="6"/>
      <c r="E913" s="98"/>
      <c r="F913" s="3"/>
      <c r="G913" s="6"/>
      <c r="H913" s="3"/>
      <c r="I913" s="6"/>
      <c r="J913" s="6"/>
      <c r="K913" s="6"/>
      <c r="L913" s="6"/>
      <c r="M913" s="6"/>
      <c r="N913" s="6"/>
      <c r="O913" s="3"/>
      <c r="P913" s="6"/>
      <c r="Q913" s="6"/>
      <c r="R913" s="6"/>
      <c r="S913" s="6"/>
      <c r="T913" s="6"/>
      <c r="U913" t="str">
        <f t="shared" si="14"/>
        <v/>
      </c>
    </row>
    <row r="914" spans="3:21" customFormat="1" hidden="1">
      <c r="C914" s="6"/>
      <c r="D914" s="6"/>
      <c r="E914" s="98"/>
      <c r="F914" s="3"/>
      <c r="G914" s="6"/>
      <c r="H914" s="3"/>
      <c r="I914" s="6"/>
      <c r="J914" s="6"/>
      <c r="K914" s="6"/>
      <c r="L914" s="6"/>
      <c r="M914" s="6"/>
      <c r="N914" s="6"/>
      <c r="O914" s="3"/>
      <c r="P914" s="6"/>
      <c r="Q914" s="6"/>
      <c r="R914" s="6"/>
      <c r="S914" s="6"/>
      <c r="T914" s="6"/>
      <c r="U914" t="str">
        <f t="shared" si="14"/>
        <v/>
      </c>
    </row>
    <row r="915" spans="3:21" customFormat="1" hidden="1">
      <c r="C915" s="6"/>
      <c r="D915" s="6"/>
      <c r="E915" s="98"/>
      <c r="F915" s="3"/>
      <c r="G915" s="6"/>
      <c r="H915" s="3"/>
      <c r="I915" s="6"/>
      <c r="J915" s="6"/>
      <c r="K915" s="6"/>
      <c r="L915" s="6"/>
      <c r="M915" s="6"/>
      <c r="N915" s="6"/>
      <c r="O915" s="3"/>
      <c r="P915" s="6"/>
      <c r="Q915" s="6"/>
      <c r="R915" s="6"/>
      <c r="S915" s="6"/>
      <c r="T915" s="6"/>
      <c r="U915" t="str">
        <f t="shared" si="14"/>
        <v/>
      </c>
    </row>
    <row r="916" spans="3:21" customFormat="1" hidden="1">
      <c r="C916" s="6"/>
      <c r="D916" s="6"/>
      <c r="E916" s="98"/>
      <c r="F916" s="3"/>
      <c r="G916" s="6"/>
      <c r="H916" s="3"/>
      <c r="I916" s="6"/>
      <c r="J916" s="6"/>
      <c r="K916" s="6"/>
      <c r="L916" s="6"/>
      <c r="M916" s="6"/>
      <c r="N916" s="6"/>
      <c r="O916" s="3"/>
      <c r="P916" s="6"/>
      <c r="Q916" s="6"/>
      <c r="R916" s="6"/>
      <c r="S916" s="6"/>
      <c r="T916" s="6"/>
      <c r="U916" t="str">
        <f t="shared" si="14"/>
        <v/>
      </c>
    </row>
    <row r="917" spans="3:21" customFormat="1" hidden="1">
      <c r="C917" s="6"/>
      <c r="D917" s="6"/>
      <c r="E917" s="98"/>
      <c r="F917" s="3"/>
      <c r="G917" s="6"/>
      <c r="H917" s="3"/>
      <c r="I917" s="6"/>
      <c r="J917" s="6"/>
      <c r="K917" s="6"/>
      <c r="L917" s="6"/>
      <c r="M917" s="6"/>
      <c r="N917" s="6"/>
      <c r="O917" s="3"/>
      <c r="P917" s="6"/>
      <c r="Q917" s="6"/>
      <c r="R917" s="6"/>
      <c r="S917" s="6"/>
      <c r="T917" s="6"/>
      <c r="U917" t="str">
        <f t="shared" si="14"/>
        <v/>
      </c>
    </row>
    <row r="918" spans="3:21" customFormat="1" hidden="1">
      <c r="C918" s="6"/>
      <c r="D918" s="6"/>
      <c r="E918" s="98"/>
      <c r="F918" s="3"/>
      <c r="G918" s="6"/>
      <c r="H918" s="3"/>
      <c r="I918" s="6"/>
      <c r="J918" s="6"/>
      <c r="K918" s="6"/>
      <c r="L918" s="6"/>
      <c r="M918" s="6"/>
      <c r="N918" s="6"/>
      <c r="O918" s="3"/>
      <c r="P918" s="6"/>
      <c r="Q918" s="6"/>
      <c r="R918" s="6"/>
      <c r="S918" s="6"/>
      <c r="T918" s="6"/>
      <c r="U918" t="str">
        <f t="shared" si="14"/>
        <v/>
      </c>
    </row>
    <row r="919" spans="3:21" customFormat="1" hidden="1">
      <c r="C919" s="6"/>
      <c r="D919" s="6"/>
      <c r="E919" s="98"/>
      <c r="F919" s="3"/>
      <c r="G919" s="6"/>
      <c r="H919" s="3"/>
      <c r="I919" s="6"/>
      <c r="J919" s="6"/>
      <c r="K919" s="6"/>
      <c r="L919" s="6"/>
      <c r="M919" s="6"/>
      <c r="N919" s="6"/>
      <c r="O919" s="3"/>
      <c r="P919" s="6"/>
      <c r="Q919" s="6"/>
      <c r="R919" s="6"/>
      <c r="S919" s="6"/>
      <c r="T919" s="6"/>
      <c r="U919" t="str">
        <f t="shared" si="14"/>
        <v/>
      </c>
    </row>
    <row r="920" spans="3:21" customFormat="1" hidden="1">
      <c r="C920" s="6"/>
      <c r="D920" s="6"/>
      <c r="E920" s="98"/>
      <c r="F920" s="3"/>
      <c r="G920" s="6"/>
      <c r="H920" s="3"/>
      <c r="I920" s="6"/>
      <c r="J920" s="6"/>
      <c r="K920" s="6"/>
      <c r="L920" s="6"/>
      <c r="M920" s="6"/>
      <c r="N920" s="6"/>
      <c r="O920" s="3"/>
      <c r="P920" s="6"/>
      <c r="Q920" s="6"/>
      <c r="R920" s="6"/>
      <c r="S920" s="6"/>
      <c r="T920" s="6"/>
      <c r="U920" t="str">
        <f t="shared" si="14"/>
        <v/>
      </c>
    </row>
    <row r="921" spans="3:21" customFormat="1" hidden="1">
      <c r="C921" s="6"/>
      <c r="D921" s="6"/>
      <c r="E921" s="98"/>
      <c r="F921" s="3"/>
      <c r="G921" s="6"/>
      <c r="H921" s="3"/>
      <c r="I921" s="6"/>
      <c r="J921" s="6"/>
      <c r="K921" s="6"/>
      <c r="L921" s="6"/>
      <c r="M921" s="6"/>
      <c r="N921" s="6"/>
      <c r="O921" s="3"/>
      <c r="P921" s="6"/>
      <c r="Q921" s="6"/>
      <c r="R921" s="6"/>
      <c r="S921" s="6"/>
      <c r="T921" s="6"/>
      <c r="U921" t="str">
        <f t="shared" si="14"/>
        <v/>
      </c>
    </row>
    <row r="922" spans="3:21" customFormat="1" hidden="1">
      <c r="C922" s="6"/>
      <c r="D922" s="6"/>
      <c r="E922" s="98"/>
      <c r="F922" s="3"/>
      <c r="G922" s="6"/>
      <c r="H922" s="3"/>
      <c r="I922" s="6"/>
      <c r="J922" s="6"/>
      <c r="K922" s="6"/>
      <c r="L922" s="6"/>
      <c r="M922" s="6"/>
      <c r="N922" s="6"/>
      <c r="O922" s="3"/>
      <c r="P922" s="6"/>
      <c r="Q922" s="6"/>
      <c r="R922" s="6"/>
      <c r="S922" s="6"/>
      <c r="T922" s="6"/>
      <c r="U922" t="str">
        <f t="shared" si="14"/>
        <v/>
      </c>
    </row>
    <row r="923" spans="3:21" customFormat="1" hidden="1">
      <c r="C923" s="6"/>
      <c r="D923" s="6"/>
      <c r="E923" s="98"/>
      <c r="F923" s="3"/>
      <c r="G923" s="6"/>
      <c r="H923" s="3"/>
      <c r="I923" s="6"/>
      <c r="J923" s="6"/>
      <c r="K923" s="6"/>
      <c r="L923" s="6"/>
      <c r="M923" s="6"/>
      <c r="N923" s="6"/>
      <c r="O923" s="3"/>
      <c r="P923" s="6"/>
      <c r="Q923" s="6"/>
      <c r="R923" s="6"/>
      <c r="S923" s="6"/>
      <c r="T923" s="6"/>
      <c r="U923" t="str">
        <f t="shared" si="14"/>
        <v/>
      </c>
    </row>
    <row r="924" spans="3:21" customFormat="1" hidden="1">
      <c r="C924" s="6"/>
      <c r="D924" s="6"/>
      <c r="E924" s="98"/>
      <c r="F924" s="3"/>
      <c r="G924" s="6"/>
      <c r="H924" s="3"/>
      <c r="I924" s="6"/>
      <c r="J924" s="6"/>
      <c r="K924" s="6"/>
      <c r="L924" s="6"/>
      <c r="M924" s="6"/>
      <c r="N924" s="6"/>
      <c r="O924" s="3"/>
      <c r="P924" s="6"/>
      <c r="Q924" s="6"/>
      <c r="R924" s="6"/>
      <c r="S924" s="6"/>
      <c r="T924" s="6"/>
      <c r="U924" t="str">
        <f t="shared" si="14"/>
        <v/>
      </c>
    </row>
    <row r="925" spans="3:21" customFormat="1" hidden="1">
      <c r="C925" s="6"/>
      <c r="D925" s="6"/>
      <c r="E925" s="98"/>
      <c r="F925" s="3"/>
      <c r="G925" s="6"/>
      <c r="H925" s="3"/>
      <c r="I925" s="6"/>
      <c r="J925" s="6"/>
      <c r="K925" s="6"/>
      <c r="L925" s="6"/>
      <c r="M925" s="6"/>
      <c r="N925" s="6"/>
      <c r="O925" s="3"/>
      <c r="P925" s="6"/>
      <c r="Q925" s="6"/>
      <c r="R925" s="6"/>
      <c r="S925" s="6"/>
      <c r="T925" s="6"/>
      <c r="U925" t="str">
        <f t="shared" si="14"/>
        <v/>
      </c>
    </row>
    <row r="926" spans="3:21" customFormat="1" hidden="1">
      <c r="C926" s="6"/>
      <c r="D926" s="6"/>
      <c r="E926" s="98"/>
      <c r="F926" s="3"/>
      <c r="G926" s="6"/>
      <c r="H926" s="3"/>
      <c r="I926" s="6"/>
      <c r="J926" s="6"/>
      <c r="K926" s="6"/>
      <c r="L926" s="6"/>
      <c r="M926" s="6"/>
      <c r="N926" s="6"/>
      <c r="O926" s="3"/>
      <c r="P926" s="6"/>
      <c r="Q926" s="6"/>
      <c r="R926" s="6"/>
      <c r="S926" s="6"/>
      <c r="T926" s="6"/>
      <c r="U926" t="str">
        <f t="shared" si="14"/>
        <v/>
      </c>
    </row>
    <row r="927" spans="3:21" customFormat="1" hidden="1">
      <c r="C927" s="6"/>
      <c r="D927" s="6"/>
      <c r="E927" s="98"/>
      <c r="F927" s="3"/>
      <c r="G927" s="6"/>
      <c r="H927" s="3"/>
      <c r="I927" s="6"/>
      <c r="J927" s="6"/>
      <c r="K927" s="6"/>
      <c r="L927" s="6"/>
      <c r="M927" s="6"/>
      <c r="N927" s="6"/>
      <c r="O927" s="3"/>
      <c r="P927" s="6"/>
      <c r="Q927" s="6"/>
      <c r="R927" s="6"/>
      <c r="S927" s="6"/>
      <c r="T927" s="6"/>
      <c r="U927" t="str">
        <f t="shared" si="14"/>
        <v/>
      </c>
    </row>
    <row r="928" spans="3:21" customFormat="1" hidden="1">
      <c r="C928" s="6"/>
      <c r="D928" s="6"/>
      <c r="E928" s="98"/>
      <c r="F928" s="3"/>
      <c r="G928" s="6"/>
      <c r="H928" s="3"/>
      <c r="I928" s="6"/>
      <c r="J928" s="6"/>
      <c r="K928" s="6"/>
      <c r="L928" s="6"/>
      <c r="M928" s="6"/>
      <c r="N928" s="6"/>
      <c r="O928" s="3"/>
      <c r="P928" s="6"/>
      <c r="Q928" s="6"/>
      <c r="R928" s="6"/>
      <c r="S928" s="6"/>
      <c r="T928" s="6"/>
      <c r="U928" t="str">
        <f t="shared" si="14"/>
        <v/>
      </c>
    </row>
    <row r="929" spans="3:21" customFormat="1" hidden="1">
      <c r="C929" s="6"/>
      <c r="D929" s="6"/>
      <c r="E929" s="98"/>
      <c r="F929" s="3"/>
      <c r="G929" s="6"/>
      <c r="H929" s="3"/>
      <c r="I929" s="6"/>
      <c r="J929" s="6"/>
      <c r="K929" s="6"/>
      <c r="L929" s="6"/>
      <c r="M929" s="6"/>
      <c r="N929" s="6"/>
      <c r="O929" s="3"/>
      <c r="P929" s="6"/>
      <c r="Q929" s="6"/>
      <c r="R929" s="6"/>
      <c r="S929" s="6"/>
      <c r="T929" s="6"/>
      <c r="U929" t="str">
        <f t="shared" si="14"/>
        <v/>
      </c>
    </row>
    <row r="930" spans="3:21" customFormat="1" hidden="1">
      <c r="C930" s="6"/>
      <c r="D930" s="6"/>
      <c r="E930" s="98"/>
      <c r="F930" s="3"/>
      <c r="G930" s="6"/>
      <c r="H930" s="3"/>
      <c r="I930" s="6"/>
      <c r="J930" s="6"/>
      <c r="K930" s="6"/>
      <c r="L930" s="6"/>
      <c r="M930" s="6"/>
      <c r="N930" s="6"/>
      <c r="O930" s="3"/>
      <c r="P930" s="6"/>
      <c r="Q930" s="6"/>
      <c r="R930" s="6"/>
      <c r="S930" s="6"/>
      <c r="T930" s="6"/>
      <c r="U930" t="str">
        <f t="shared" si="14"/>
        <v/>
      </c>
    </row>
    <row r="931" spans="3:21" customFormat="1" hidden="1">
      <c r="C931" s="6"/>
      <c r="D931" s="6"/>
      <c r="E931" s="98"/>
      <c r="F931" s="3"/>
      <c r="G931" s="6"/>
      <c r="H931" s="3"/>
      <c r="I931" s="6"/>
      <c r="J931" s="6"/>
      <c r="K931" s="6"/>
      <c r="L931" s="6"/>
      <c r="M931" s="6"/>
      <c r="N931" s="6"/>
      <c r="O931" s="3"/>
      <c r="P931" s="6"/>
      <c r="Q931" s="6"/>
      <c r="R931" s="6"/>
      <c r="S931" s="6"/>
      <c r="T931" s="6"/>
      <c r="U931" t="str">
        <f t="shared" si="14"/>
        <v/>
      </c>
    </row>
    <row r="932" spans="3:21" customFormat="1" hidden="1">
      <c r="C932" s="6"/>
      <c r="D932" s="6"/>
      <c r="E932" s="98"/>
      <c r="F932" s="3"/>
      <c r="G932" s="6"/>
      <c r="H932" s="3"/>
      <c r="I932" s="6"/>
      <c r="J932" s="6"/>
      <c r="K932" s="6"/>
      <c r="L932" s="6"/>
      <c r="M932" s="6"/>
      <c r="N932" s="6"/>
      <c r="O932" s="3"/>
      <c r="P932" s="6"/>
      <c r="Q932" s="6"/>
      <c r="R932" s="6"/>
      <c r="S932" s="6"/>
      <c r="T932" s="6"/>
      <c r="U932" t="str">
        <f t="shared" si="14"/>
        <v/>
      </c>
    </row>
    <row r="933" spans="3:21" customFormat="1" hidden="1">
      <c r="C933" s="6"/>
      <c r="D933" s="6"/>
      <c r="E933" s="98"/>
      <c r="F933" s="3"/>
      <c r="G933" s="6"/>
      <c r="H933" s="3"/>
      <c r="I933" s="6"/>
      <c r="J933" s="6"/>
      <c r="K933" s="6"/>
      <c r="L933" s="6"/>
      <c r="M933" s="6"/>
      <c r="N933" s="6"/>
      <c r="O933" s="3"/>
      <c r="P933" s="6"/>
      <c r="Q933" s="6"/>
      <c r="R933" s="6"/>
      <c r="S933" s="6"/>
      <c r="T933" s="6"/>
      <c r="U933" t="str">
        <f t="shared" si="14"/>
        <v/>
      </c>
    </row>
    <row r="934" spans="3:21" customFormat="1" hidden="1">
      <c r="C934" s="6"/>
      <c r="D934" s="6"/>
      <c r="E934" s="98"/>
      <c r="F934" s="3"/>
      <c r="G934" s="6"/>
      <c r="H934" s="3"/>
      <c r="I934" s="6"/>
      <c r="J934" s="6"/>
      <c r="K934" s="6"/>
      <c r="L934" s="6"/>
      <c r="M934" s="6"/>
      <c r="N934" s="6"/>
      <c r="O934" s="3"/>
      <c r="P934" s="6"/>
      <c r="Q934" s="6"/>
      <c r="R934" s="6"/>
      <c r="S934" s="6"/>
      <c r="T934" s="6"/>
      <c r="U934" t="str">
        <f t="shared" si="14"/>
        <v/>
      </c>
    </row>
    <row r="935" spans="3:21" customFormat="1" hidden="1">
      <c r="C935" s="6"/>
      <c r="D935" s="6"/>
      <c r="E935" s="98"/>
      <c r="F935" s="3"/>
      <c r="G935" s="6"/>
      <c r="H935" s="3"/>
      <c r="I935" s="6"/>
      <c r="J935" s="6"/>
      <c r="K935" s="6"/>
      <c r="L935" s="6"/>
      <c r="M935" s="6"/>
      <c r="N935" s="6"/>
      <c r="O935" s="3"/>
      <c r="P935" s="6"/>
      <c r="Q935" s="6"/>
      <c r="R935" s="6"/>
      <c r="S935" s="6"/>
      <c r="T935" s="6"/>
      <c r="U935" t="str">
        <f t="shared" si="14"/>
        <v/>
      </c>
    </row>
    <row r="936" spans="3:21" customFormat="1" hidden="1">
      <c r="C936" s="6"/>
      <c r="D936" s="6"/>
      <c r="E936" s="98"/>
      <c r="F936" s="3"/>
      <c r="G936" s="6"/>
      <c r="H936" s="3"/>
      <c r="I936" s="6"/>
      <c r="J936" s="6"/>
      <c r="K936" s="6"/>
      <c r="L936" s="6"/>
      <c r="M936" s="6"/>
      <c r="N936" s="6"/>
      <c r="O936" s="3"/>
      <c r="P936" s="6"/>
      <c r="Q936" s="6"/>
      <c r="R936" s="6"/>
      <c r="S936" s="6"/>
      <c r="T936" s="6"/>
      <c r="U936" t="str">
        <f t="shared" si="14"/>
        <v/>
      </c>
    </row>
    <row r="937" spans="3:21" customFormat="1" hidden="1">
      <c r="C937" s="6"/>
      <c r="D937" s="6"/>
      <c r="E937" s="98"/>
      <c r="F937" s="3"/>
      <c r="G937" s="6"/>
      <c r="H937" s="3"/>
      <c r="I937" s="6"/>
      <c r="J937" s="6"/>
      <c r="K937" s="6"/>
      <c r="L937" s="6"/>
      <c r="M937" s="6"/>
      <c r="N937" s="6"/>
      <c r="O937" s="3"/>
      <c r="P937" s="6"/>
      <c r="Q937" s="6"/>
      <c r="R937" s="6"/>
      <c r="S937" s="6"/>
      <c r="T937" s="6"/>
      <c r="U937" t="str">
        <f t="shared" si="14"/>
        <v/>
      </c>
    </row>
    <row r="938" spans="3:21" customFormat="1" hidden="1">
      <c r="C938" s="6"/>
      <c r="D938" s="6"/>
      <c r="E938" s="98"/>
      <c r="F938" s="3"/>
      <c r="G938" s="6"/>
      <c r="H938" s="3"/>
      <c r="I938" s="6"/>
      <c r="J938" s="6"/>
      <c r="K938" s="6"/>
      <c r="L938" s="6"/>
      <c r="M938" s="6"/>
      <c r="N938" s="6"/>
      <c r="O938" s="3"/>
      <c r="P938" s="6"/>
      <c r="Q938" s="6"/>
      <c r="R938" s="6"/>
      <c r="S938" s="6"/>
      <c r="T938" s="6"/>
      <c r="U938" t="str">
        <f t="shared" si="14"/>
        <v/>
      </c>
    </row>
    <row r="939" spans="3:21" customFormat="1" hidden="1">
      <c r="C939" s="6"/>
      <c r="D939" s="6"/>
      <c r="E939" s="98"/>
      <c r="F939" s="3"/>
      <c r="G939" s="6"/>
      <c r="H939" s="3"/>
      <c r="I939" s="6"/>
      <c r="J939" s="6"/>
      <c r="K939" s="6"/>
      <c r="L939" s="6"/>
      <c r="M939" s="6"/>
      <c r="N939" s="6"/>
      <c r="O939" s="3"/>
      <c r="P939" s="6"/>
      <c r="Q939" s="6"/>
      <c r="R939" s="6"/>
      <c r="S939" s="6"/>
      <c r="T939" s="6"/>
      <c r="U939" t="str">
        <f t="shared" si="14"/>
        <v/>
      </c>
    </row>
    <row r="940" spans="3:21" customFormat="1" hidden="1">
      <c r="C940" s="6"/>
      <c r="D940" s="6"/>
      <c r="E940" s="98"/>
      <c r="F940" s="3"/>
      <c r="G940" s="6"/>
      <c r="H940" s="3"/>
      <c r="I940" s="6"/>
      <c r="J940" s="6"/>
      <c r="K940" s="6"/>
      <c r="L940" s="6"/>
      <c r="M940" s="6"/>
      <c r="N940" s="6"/>
      <c r="O940" s="3"/>
      <c r="P940" s="6"/>
      <c r="Q940" s="6"/>
      <c r="R940" s="6"/>
      <c r="S940" s="6"/>
      <c r="T940" s="6"/>
      <c r="U940" t="str">
        <f t="shared" si="14"/>
        <v/>
      </c>
    </row>
    <row r="941" spans="3:21" customFormat="1" hidden="1">
      <c r="C941" s="6"/>
      <c r="D941" s="6"/>
      <c r="E941" s="98"/>
      <c r="F941" s="3"/>
      <c r="G941" s="6"/>
      <c r="H941" s="3"/>
      <c r="I941" s="6"/>
      <c r="J941" s="6"/>
      <c r="K941" s="6"/>
      <c r="L941" s="6"/>
      <c r="M941" s="6"/>
      <c r="N941" s="6"/>
      <c r="O941" s="3"/>
      <c r="P941" s="6"/>
      <c r="Q941" s="6"/>
      <c r="R941" s="6"/>
      <c r="S941" s="6"/>
      <c r="T941" s="6"/>
      <c r="U941" t="str">
        <f t="shared" si="14"/>
        <v/>
      </c>
    </row>
    <row r="942" spans="3:21" customFormat="1" hidden="1">
      <c r="C942" s="6"/>
      <c r="D942" s="6"/>
      <c r="E942" s="98"/>
      <c r="F942" s="3"/>
      <c r="G942" s="6"/>
      <c r="H942" s="3"/>
      <c r="I942" s="6"/>
      <c r="J942" s="6"/>
      <c r="K942" s="6"/>
      <c r="L942" s="6"/>
      <c r="M942" s="6"/>
      <c r="N942" s="6"/>
      <c r="O942" s="3"/>
      <c r="P942" s="6"/>
      <c r="Q942" s="6"/>
      <c r="R942" s="6"/>
      <c r="S942" s="6"/>
      <c r="T942" s="6"/>
      <c r="U942" t="str">
        <f t="shared" si="14"/>
        <v/>
      </c>
    </row>
    <row r="943" spans="3:21" customFormat="1" hidden="1">
      <c r="C943" s="6"/>
      <c r="D943" s="6"/>
      <c r="E943" s="98"/>
      <c r="F943" s="3"/>
      <c r="G943" s="6"/>
      <c r="H943" s="3"/>
      <c r="I943" s="6"/>
      <c r="J943" s="6"/>
      <c r="K943" s="6"/>
      <c r="L943" s="6"/>
      <c r="M943" s="6"/>
      <c r="N943" s="6"/>
      <c r="O943" s="3"/>
      <c r="P943" s="6"/>
      <c r="Q943" s="6"/>
      <c r="R943" s="6"/>
      <c r="S943" s="6"/>
      <c r="T943" s="6"/>
      <c r="U943" t="str">
        <f t="shared" si="14"/>
        <v/>
      </c>
    </row>
    <row r="944" spans="3:21" customFormat="1" hidden="1">
      <c r="C944" s="6"/>
      <c r="D944" s="6"/>
      <c r="E944" s="98"/>
      <c r="F944" s="3"/>
      <c r="G944" s="6"/>
      <c r="H944" s="3"/>
      <c r="I944" s="6"/>
      <c r="J944" s="6"/>
      <c r="K944" s="6"/>
      <c r="L944" s="6"/>
      <c r="M944" s="6"/>
      <c r="N944" s="6"/>
      <c r="O944" s="3"/>
      <c r="P944" s="6"/>
      <c r="Q944" s="6"/>
      <c r="R944" s="6"/>
      <c r="S944" s="6"/>
      <c r="T944" s="6"/>
      <c r="U944" t="str">
        <f t="shared" si="14"/>
        <v/>
      </c>
    </row>
    <row r="945" spans="3:21" customFormat="1" hidden="1">
      <c r="C945" s="6"/>
      <c r="D945" s="6"/>
      <c r="E945" s="98"/>
      <c r="F945" s="3"/>
      <c r="G945" s="6"/>
      <c r="H945" s="3"/>
      <c r="I945" s="6"/>
      <c r="J945" s="6"/>
      <c r="K945" s="6"/>
      <c r="L945" s="6"/>
      <c r="M945" s="6"/>
      <c r="N945" s="6"/>
      <c r="O945" s="3"/>
      <c r="P945" s="6"/>
      <c r="Q945" s="6"/>
      <c r="R945" s="6"/>
      <c r="S945" s="6"/>
      <c r="T945" s="6"/>
      <c r="U945" t="str">
        <f t="shared" si="14"/>
        <v/>
      </c>
    </row>
    <row r="946" spans="3:21" customFormat="1" hidden="1">
      <c r="C946" s="6"/>
      <c r="D946" s="6"/>
      <c r="E946" s="98"/>
      <c r="F946" s="3"/>
      <c r="G946" s="6"/>
      <c r="H946" s="3"/>
      <c r="I946" s="6"/>
      <c r="J946" s="6"/>
      <c r="K946" s="6"/>
      <c r="L946" s="6"/>
      <c r="M946" s="6"/>
      <c r="N946" s="6"/>
      <c r="O946" s="3"/>
      <c r="P946" s="6"/>
      <c r="Q946" s="6"/>
      <c r="R946" s="6"/>
      <c r="S946" s="6"/>
      <c r="T946" s="6"/>
      <c r="U946" t="str">
        <f t="shared" si="14"/>
        <v/>
      </c>
    </row>
    <row r="947" spans="3:21" customFormat="1" hidden="1">
      <c r="C947" s="6"/>
      <c r="D947" s="6"/>
      <c r="E947" s="98"/>
      <c r="F947" s="3"/>
      <c r="G947" s="6"/>
      <c r="H947" s="3"/>
      <c r="I947" s="6"/>
      <c r="J947" s="6"/>
      <c r="K947" s="6"/>
      <c r="L947" s="6"/>
      <c r="M947" s="6"/>
      <c r="N947" s="6"/>
      <c r="O947" s="3"/>
      <c r="P947" s="6"/>
      <c r="Q947" s="6"/>
      <c r="R947" s="6"/>
      <c r="S947" s="6"/>
      <c r="T947" s="6"/>
      <c r="U947" t="str">
        <f t="shared" si="14"/>
        <v/>
      </c>
    </row>
    <row r="948" spans="3:21" customFormat="1" hidden="1">
      <c r="C948" s="6"/>
      <c r="D948" s="6"/>
      <c r="E948" s="98"/>
      <c r="F948" s="3"/>
      <c r="G948" s="6"/>
      <c r="H948" s="3"/>
      <c r="I948" s="6"/>
      <c r="J948" s="6"/>
      <c r="K948" s="6"/>
      <c r="L948" s="6"/>
      <c r="M948" s="6"/>
      <c r="N948" s="6"/>
      <c r="O948" s="3"/>
      <c r="P948" s="6"/>
      <c r="Q948" s="6"/>
      <c r="R948" s="6"/>
      <c r="S948" s="6"/>
      <c r="T948" s="6"/>
      <c r="U948" t="str">
        <f t="shared" si="14"/>
        <v/>
      </c>
    </row>
    <row r="949" spans="3:21" customFormat="1" hidden="1">
      <c r="C949" s="6"/>
      <c r="D949" s="6"/>
      <c r="E949" s="98"/>
      <c r="F949" s="3"/>
      <c r="G949" s="6"/>
      <c r="H949" s="3"/>
      <c r="I949" s="6"/>
      <c r="J949" s="6"/>
      <c r="K949" s="6"/>
      <c r="L949" s="6"/>
      <c r="M949" s="6"/>
      <c r="N949" s="6"/>
      <c r="O949" s="3"/>
      <c r="P949" s="6"/>
      <c r="Q949" s="6"/>
      <c r="R949" s="6"/>
      <c r="S949" s="6"/>
      <c r="T949" s="6"/>
      <c r="U949" t="str">
        <f t="shared" si="14"/>
        <v/>
      </c>
    </row>
    <row r="950" spans="3:21" customFormat="1" hidden="1">
      <c r="C950" s="6"/>
      <c r="D950" s="6"/>
      <c r="E950" s="98"/>
      <c r="F950" s="3"/>
      <c r="G950" s="6"/>
      <c r="H950" s="3"/>
      <c r="I950" s="6"/>
      <c r="J950" s="6"/>
      <c r="K950" s="6"/>
      <c r="L950" s="6"/>
      <c r="M950" s="6"/>
      <c r="N950" s="6"/>
      <c r="O950" s="3"/>
      <c r="P950" s="6"/>
      <c r="Q950" s="6"/>
      <c r="R950" s="6"/>
      <c r="S950" s="6"/>
      <c r="T950" s="6"/>
      <c r="U950" t="str">
        <f t="shared" si="14"/>
        <v/>
      </c>
    </row>
    <row r="951" spans="3:21" customFormat="1" hidden="1">
      <c r="C951" s="6"/>
      <c r="D951" s="6"/>
      <c r="E951" s="98"/>
      <c r="F951" s="3"/>
      <c r="G951" s="6"/>
      <c r="H951" s="3"/>
      <c r="I951" s="6"/>
      <c r="J951" s="6"/>
      <c r="K951" s="6"/>
      <c r="L951" s="6"/>
      <c r="M951" s="6"/>
      <c r="N951" s="6"/>
      <c r="O951" s="3"/>
      <c r="P951" s="6"/>
      <c r="Q951" s="6"/>
      <c r="R951" s="6"/>
      <c r="S951" s="6"/>
      <c r="T951" s="6"/>
      <c r="U951" t="str">
        <f t="shared" si="14"/>
        <v/>
      </c>
    </row>
    <row r="952" spans="3:21" customFormat="1" hidden="1">
      <c r="C952" s="6"/>
      <c r="D952" s="6"/>
      <c r="E952" s="98"/>
      <c r="F952" s="3"/>
      <c r="G952" s="6"/>
      <c r="H952" s="3"/>
      <c r="I952" s="6"/>
      <c r="J952" s="6"/>
      <c r="K952" s="6"/>
      <c r="L952" s="6"/>
      <c r="M952" s="6"/>
      <c r="N952" s="6"/>
      <c r="O952" s="3"/>
      <c r="P952" s="6"/>
      <c r="Q952" s="6"/>
      <c r="R952" s="6"/>
      <c r="S952" s="6"/>
      <c r="T952" s="6"/>
      <c r="U952" t="str">
        <f t="shared" si="14"/>
        <v/>
      </c>
    </row>
    <row r="953" spans="3:21" customFormat="1" hidden="1">
      <c r="C953" s="6"/>
      <c r="D953" s="6"/>
      <c r="E953" s="98"/>
      <c r="F953" s="3"/>
      <c r="G953" s="6"/>
      <c r="H953" s="3"/>
      <c r="I953" s="6"/>
      <c r="J953" s="6"/>
      <c r="K953" s="6"/>
      <c r="L953" s="6"/>
      <c r="M953" s="6"/>
      <c r="N953" s="6"/>
      <c r="O953" s="3"/>
      <c r="P953" s="6"/>
      <c r="Q953" s="6"/>
      <c r="R953" s="6"/>
      <c r="S953" s="6"/>
      <c r="T953" s="6"/>
      <c r="U953" t="str">
        <f t="shared" si="14"/>
        <v/>
      </c>
    </row>
    <row r="954" spans="3:21" customFormat="1" hidden="1">
      <c r="C954" s="6"/>
      <c r="D954" s="6"/>
      <c r="E954" s="98"/>
      <c r="F954" s="3"/>
      <c r="G954" s="6"/>
      <c r="H954" s="3"/>
      <c r="I954" s="6"/>
      <c r="J954" s="6"/>
      <c r="K954" s="6"/>
      <c r="L954" s="6"/>
      <c r="M954" s="6"/>
      <c r="N954" s="6"/>
      <c r="O954" s="3"/>
      <c r="P954" s="6"/>
      <c r="Q954" s="6"/>
      <c r="R954" s="6"/>
      <c r="S954" s="6"/>
      <c r="T954" s="6"/>
      <c r="U954" t="str">
        <f t="shared" si="14"/>
        <v/>
      </c>
    </row>
    <row r="955" spans="3:21" customFormat="1" hidden="1">
      <c r="C955" s="6"/>
      <c r="D955" s="6"/>
      <c r="E955" s="98"/>
      <c r="F955" s="3"/>
      <c r="G955" s="6"/>
      <c r="H955" s="3"/>
      <c r="I955" s="6"/>
      <c r="J955" s="6"/>
      <c r="K955" s="6"/>
      <c r="L955" s="6"/>
      <c r="M955" s="6"/>
      <c r="N955" s="6"/>
      <c r="O955" s="3"/>
      <c r="P955" s="6"/>
      <c r="Q955" s="6"/>
      <c r="R955" s="6"/>
      <c r="S955" s="6"/>
      <c r="T955" s="6"/>
      <c r="U955" t="str">
        <f t="shared" si="14"/>
        <v/>
      </c>
    </row>
    <row r="956" spans="3:21" customFormat="1" hidden="1">
      <c r="C956" s="6"/>
      <c r="D956" s="6"/>
      <c r="E956" s="98"/>
      <c r="F956" s="3"/>
      <c r="G956" s="6"/>
      <c r="H956" s="3"/>
      <c r="I956" s="6"/>
      <c r="J956" s="6"/>
      <c r="K956" s="6"/>
      <c r="L956" s="6"/>
      <c r="M956" s="6"/>
      <c r="N956" s="6"/>
      <c r="O956" s="3"/>
      <c r="P956" s="6"/>
      <c r="Q956" s="6"/>
      <c r="R956" s="6"/>
      <c r="S956" s="6"/>
      <c r="T956" s="6"/>
      <c r="U956" t="str">
        <f t="shared" si="14"/>
        <v/>
      </c>
    </row>
    <row r="957" spans="3:21" customFormat="1" hidden="1">
      <c r="C957" s="6"/>
      <c r="D957" s="6"/>
      <c r="E957" s="98"/>
      <c r="F957" s="3"/>
      <c r="G957" s="6"/>
      <c r="H957" s="3"/>
      <c r="I957" s="6"/>
      <c r="J957" s="6"/>
      <c r="K957" s="6"/>
      <c r="L957" s="6"/>
      <c r="M957" s="6"/>
      <c r="N957" s="6"/>
      <c r="O957" s="3"/>
      <c r="P957" s="6"/>
      <c r="Q957" s="6"/>
      <c r="R957" s="6"/>
      <c r="S957" s="6"/>
      <c r="T957" s="6"/>
      <c r="U957" t="str">
        <f t="shared" si="14"/>
        <v/>
      </c>
    </row>
    <row r="958" spans="3:21" customFormat="1" hidden="1">
      <c r="C958" s="6"/>
      <c r="D958" s="6"/>
      <c r="E958" s="98"/>
      <c r="F958" s="3"/>
      <c r="G958" s="6"/>
      <c r="H958" s="3"/>
      <c r="I958" s="6"/>
      <c r="J958" s="6"/>
      <c r="K958" s="6"/>
      <c r="L958" s="6"/>
      <c r="M958" s="6"/>
      <c r="N958" s="6"/>
      <c r="O958" s="3"/>
      <c r="P958" s="6"/>
      <c r="Q958" s="6"/>
      <c r="R958" s="6"/>
      <c r="S958" s="6"/>
      <c r="T958" s="6"/>
      <c r="U958" t="str">
        <f t="shared" si="14"/>
        <v/>
      </c>
    </row>
    <row r="959" spans="3:21" customFormat="1" hidden="1">
      <c r="C959" s="6"/>
      <c r="D959" s="6"/>
      <c r="E959" s="98"/>
      <c r="F959" s="3"/>
      <c r="G959" s="6"/>
      <c r="H959" s="3"/>
      <c r="I959" s="6"/>
      <c r="J959" s="6"/>
      <c r="K959" s="6"/>
      <c r="L959" s="6"/>
      <c r="M959" s="6"/>
      <c r="N959" s="6"/>
      <c r="O959" s="3"/>
      <c r="P959" s="6"/>
      <c r="Q959" s="6"/>
      <c r="R959" s="6"/>
      <c r="S959" s="6"/>
      <c r="T959" s="6"/>
      <c r="U959" t="str">
        <f t="shared" si="14"/>
        <v/>
      </c>
    </row>
    <row r="960" spans="3:21" customFormat="1" hidden="1">
      <c r="C960" s="6"/>
      <c r="D960" s="6"/>
      <c r="E960" s="98"/>
      <c r="F960" s="3"/>
      <c r="G960" s="6"/>
      <c r="H960" s="3"/>
      <c r="I960" s="6"/>
      <c r="J960" s="6"/>
      <c r="K960" s="6"/>
      <c r="L960" s="6"/>
      <c r="M960" s="6"/>
      <c r="N960" s="6"/>
      <c r="O960" s="3"/>
      <c r="P960" s="6"/>
      <c r="Q960" s="6"/>
      <c r="R960" s="6"/>
      <c r="S960" s="6"/>
      <c r="T960" s="6"/>
      <c r="U960" t="str">
        <f t="shared" si="14"/>
        <v/>
      </c>
    </row>
    <row r="961" spans="3:21" customFormat="1" hidden="1">
      <c r="C961" s="6"/>
      <c r="D961" s="6"/>
      <c r="E961" s="98"/>
      <c r="F961" s="3"/>
      <c r="G961" s="6"/>
      <c r="H961" s="3"/>
      <c r="I961" s="6"/>
      <c r="J961" s="6"/>
      <c r="K961" s="6"/>
      <c r="L961" s="6"/>
      <c r="M961" s="6"/>
      <c r="N961" s="6"/>
      <c r="O961" s="3"/>
      <c r="P961" s="6"/>
      <c r="Q961" s="6"/>
      <c r="R961" s="6"/>
      <c r="S961" s="6"/>
      <c r="T961" s="6"/>
      <c r="U961" t="str">
        <f t="shared" si="14"/>
        <v/>
      </c>
    </row>
    <row r="962" spans="3:21" customFormat="1" hidden="1">
      <c r="C962" s="6"/>
      <c r="D962" s="6"/>
      <c r="E962" s="98"/>
      <c r="F962" s="3"/>
      <c r="G962" s="6"/>
      <c r="H962" s="3"/>
      <c r="I962" s="6"/>
      <c r="J962" s="6"/>
      <c r="K962" s="6"/>
      <c r="L962" s="6"/>
      <c r="M962" s="6"/>
      <c r="N962" s="6"/>
      <c r="O962" s="3"/>
      <c r="P962" s="6"/>
      <c r="Q962" s="6"/>
      <c r="R962" s="6"/>
      <c r="S962" s="6"/>
      <c r="T962" s="6"/>
      <c r="U962" t="str">
        <f t="shared" si="14"/>
        <v/>
      </c>
    </row>
    <row r="963" spans="3:21" customFormat="1" hidden="1">
      <c r="C963" s="6"/>
      <c r="D963" s="6"/>
      <c r="E963" s="98"/>
      <c r="F963" s="3"/>
      <c r="G963" s="6"/>
      <c r="H963" s="3"/>
      <c r="I963" s="6"/>
      <c r="J963" s="6"/>
      <c r="K963" s="6"/>
      <c r="L963" s="6"/>
      <c r="M963" s="6"/>
      <c r="N963" s="6"/>
      <c r="O963" s="3"/>
      <c r="P963" s="6"/>
      <c r="Q963" s="6"/>
      <c r="R963" s="6"/>
      <c r="S963" s="6"/>
      <c r="T963" s="6"/>
      <c r="U963" t="str">
        <f t="shared" si="14"/>
        <v/>
      </c>
    </row>
    <row r="964" spans="3:21" customFormat="1" hidden="1">
      <c r="C964" s="6"/>
      <c r="D964" s="6"/>
      <c r="E964" s="98"/>
      <c r="F964" s="3"/>
      <c r="G964" s="6"/>
      <c r="H964" s="3"/>
      <c r="I964" s="6"/>
      <c r="J964" s="6"/>
      <c r="K964" s="6"/>
      <c r="L964" s="6"/>
      <c r="M964" s="6"/>
      <c r="N964" s="6"/>
      <c r="O964" s="3"/>
      <c r="P964" s="6"/>
      <c r="Q964" s="6"/>
      <c r="R964" s="6"/>
      <c r="S964" s="6"/>
      <c r="T964" s="6"/>
      <c r="U964" t="str">
        <f t="shared" si="14"/>
        <v/>
      </c>
    </row>
    <row r="965" spans="3:21" customFormat="1" hidden="1">
      <c r="C965" s="6"/>
      <c r="D965" s="6"/>
      <c r="E965" s="98"/>
      <c r="F965" s="3"/>
      <c r="G965" s="6"/>
      <c r="H965" s="3"/>
      <c r="I965" s="6"/>
      <c r="J965" s="6"/>
      <c r="K965" s="6"/>
      <c r="L965" s="6"/>
      <c r="M965" s="6"/>
      <c r="N965" s="6"/>
      <c r="O965" s="3"/>
      <c r="P965" s="6"/>
      <c r="Q965" s="6"/>
      <c r="R965" s="6"/>
      <c r="S965" s="6"/>
      <c r="T965" s="6"/>
      <c r="U965" t="str">
        <f t="shared" si="14"/>
        <v/>
      </c>
    </row>
    <row r="966" spans="3:21" customFormat="1" hidden="1">
      <c r="C966" s="6"/>
      <c r="D966" s="6"/>
      <c r="E966" s="98"/>
      <c r="F966" s="3"/>
      <c r="G966" s="6"/>
      <c r="H966" s="3"/>
      <c r="I966" s="6"/>
      <c r="J966" s="6"/>
      <c r="K966" s="6"/>
      <c r="L966" s="6"/>
      <c r="M966" s="6"/>
      <c r="N966" s="6"/>
      <c r="O966" s="3"/>
      <c r="P966" s="6"/>
      <c r="Q966" s="6"/>
      <c r="R966" s="6"/>
      <c r="S966" s="6"/>
      <c r="T966" s="6"/>
      <c r="U966" t="str">
        <f t="shared" si="14"/>
        <v/>
      </c>
    </row>
    <row r="967" spans="3:21" customFormat="1" hidden="1">
      <c r="C967" s="6"/>
      <c r="D967" s="6"/>
      <c r="E967" s="98"/>
      <c r="F967" s="3"/>
      <c r="G967" s="6"/>
      <c r="H967" s="3"/>
      <c r="I967" s="6"/>
      <c r="J967" s="6"/>
      <c r="K967" s="6"/>
      <c r="L967" s="6"/>
      <c r="M967" s="6"/>
      <c r="N967" s="6"/>
      <c r="O967" s="3"/>
      <c r="P967" s="6"/>
      <c r="Q967" s="6"/>
      <c r="R967" s="6"/>
      <c r="S967" s="6"/>
      <c r="T967" s="6"/>
      <c r="U967" t="str">
        <f t="shared" ref="U967:U1030" si="15">IF(D967="","","x")</f>
        <v/>
      </c>
    </row>
    <row r="968" spans="3:21" customFormat="1" hidden="1">
      <c r="C968" s="6"/>
      <c r="D968" s="6"/>
      <c r="E968" s="98"/>
      <c r="F968" s="3"/>
      <c r="G968" s="6"/>
      <c r="H968" s="3"/>
      <c r="I968" s="6"/>
      <c r="J968" s="6"/>
      <c r="K968" s="6"/>
      <c r="L968" s="6"/>
      <c r="M968" s="6"/>
      <c r="N968" s="6"/>
      <c r="O968" s="3"/>
      <c r="P968" s="6"/>
      <c r="Q968" s="6"/>
      <c r="R968" s="6"/>
      <c r="S968" s="6"/>
      <c r="T968" s="6"/>
      <c r="U968" t="str">
        <f t="shared" si="15"/>
        <v/>
      </c>
    </row>
    <row r="969" spans="3:21" customFormat="1" hidden="1">
      <c r="C969" s="6"/>
      <c r="D969" s="6"/>
      <c r="E969" s="98"/>
      <c r="F969" s="3"/>
      <c r="G969" s="6"/>
      <c r="H969" s="3"/>
      <c r="I969" s="6"/>
      <c r="J969" s="6"/>
      <c r="K969" s="6"/>
      <c r="L969" s="6"/>
      <c r="M969" s="6"/>
      <c r="N969" s="6"/>
      <c r="O969" s="3"/>
      <c r="P969" s="6"/>
      <c r="Q969" s="6"/>
      <c r="R969" s="6"/>
      <c r="S969" s="6"/>
      <c r="T969" s="6"/>
      <c r="U969" t="str">
        <f t="shared" si="15"/>
        <v/>
      </c>
    </row>
    <row r="970" spans="3:21" customFormat="1" hidden="1">
      <c r="C970" s="6"/>
      <c r="D970" s="6"/>
      <c r="E970" s="98"/>
      <c r="F970" s="3"/>
      <c r="G970" s="6"/>
      <c r="H970" s="3"/>
      <c r="I970" s="6"/>
      <c r="J970" s="6"/>
      <c r="K970" s="6"/>
      <c r="L970" s="6"/>
      <c r="M970" s="6"/>
      <c r="N970" s="6"/>
      <c r="O970" s="3"/>
      <c r="P970" s="6"/>
      <c r="Q970" s="6"/>
      <c r="R970" s="6"/>
      <c r="S970" s="6"/>
      <c r="T970" s="6"/>
      <c r="U970" t="str">
        <f t="shared" si="15"/>
        <v/>
      </c>
    </row>
    <row r="971" spans="3:21" customFormat="1" hidden="1">
      <c r="C971" s="6"/>
      <c r="D971" s="6"/>
      <c r="E971" s="98"/>
      <c r="F971" s="3"/>
      <c r="G971" s="6"/>
      <c r="H971" s="3"/>
      <c r="I971" s="6"/>
      <c r="J971" s="6"/>
      <c r="K971" s="6"/>
      <c r="L971" s="6"/>
      <c r="M971" s="6"/>
      <c r="N971" s="6"/>
      <c r="O971" s="3"/>
      <c r="P971" s="6"/>
      <c r="Q971" s="6"/>
      <c r="R971" s="6"/>
      <c r="S971" s="6"/>
      <c r="T971" s="6"/>
      <c r="U971" t="str">
        <f t="shared" si="15"/>
        <v/>
      </c>
    </row>
    <row r="972" spans="3:21" customFormat="1" hidden="1">
      <c r="C972" s="6"/>
      <c r="D972" s="6"/>
      <c r="E972" s="98"/>
      <c r="F972" s="3"/>
      <c r="G972" s="6"/>
      <c r="H972" s="3"/>
      <c r="I972" s="6"/>
      <c r="J972" s="6"/>
      <c r="K972" s="6"/>
      <c r="L972" s="6"/>
      <c r="M972" s="6"/>
      <c r="N972" s="6"/>
      <c r="O972" s="3"/>
      <c r="P972" s="6"/>
      <c r="Q972" s="6"/>
      <c r="R972" s="6"/>
      <c r="S972" s="6"/>
      <c r="T972" s="6"/>
      <c r="U972" t="str">
        <f t="shared" si="15"/>
        <v/>
      </c>
    </row>
    <row r="973" spans="3:21" customFormat="1" hidden="1">
      <c r="C973" s="6"/>
      <c r="D973" s="6"/>
      <c r="E973" s="98"/>
      <c r="F973" s="3"/>
      <c r="G973" s="6"/>
      <c r="H973" s="3"/>
      <c r="I973" s="6"/>
      <c r="J973" s="6"/>
      <c r="K973" s="6"/>
      <c r="L973" s="6"/>
      <c r="M973" s="6"/>
      <c r="N973" s="6"/>
      <c r="O973" s="3"/>
      <c r="P973" s="6"/>
      <c r="Q973" s="6"/>
      <c r="R973" s="6"/>
      <c r="S973" s="6"/>
      <c r="T973" s="6"/>
      <c r="U973" t="str">
        <f t="shared" si="15"/>
        <v/>
      </c>
    </row>
    <row r="974" spans="3:21" customFormat="1" hidden="1">
      <c r="C974" s="6"/>
      <c r="D974" s="6"/>
      <c r="E974" s="98"/>
      <c r="F974" s="3"/>
      <c r="G974" s="6"/>
      <c r="H974" s="3"/>
      <c r="I974" s="6"/>
      <c r="J974" s="6"/>
      <c r="K974" s="6"/>
      <c r="L974" s="6"/>
      <c r="M974" s="6"/>
      <c r="N974" s="6"/>
      <c r="O974" s="3"/>
      <c r="P974" s="6"/>
      <c r="Q974" s="6"/>
      <c r="R974" s="6"/>
      <c r="S974" s="6"/>
      <c r="T974" s="6"/>
      <c r="U974" t="str">
        <f t="shared" si="15"/>
        <v/>
      </c>
    </row>
    <row r="975" spans="3:21" customFormat="1" hidden="1">
      <c r="C975" s="6"/>
      <c r="D975" s="6"/>
      <c r="E975" s="98"/>
      <c r="F975" s="3"/>
      <c r="G975" s="6"/>
      <c r="H975" s="3"/>
      <c r="I975" s="6"/>
      <c r="J975" s="6"/>
      <c r="K975" s="6"/>
      <c r="L975" s="6"/>
      <c r="M975" s="6"/>
      <c r="N975" s="6"/>
      <c r="O975" s="3"/>
      <c r="P975" s="6"/>
      <c r="Q975" s="6"/>
      <c r="R975" s="6"/>
      <c r="S975" s="6"/>
      <c r="T975" s="6"/>
      <c r="U975" t="str">
        <f t="shared" si="15"/>
        <v/>
      </c>
    </row>
    <row r="976" spans="3:21" customFormat="1" hidden="1">
      <c r="C976" s="6"/>
      <c r="D976" s="6"/>
      <c r="E976" s="98"/>
      <c r="F976" s="3"/>
      <c r="G976" s="6"/>
      <c r="H976" s="3"/>
      <c r="I976" s="6"/>
      <c r="J976" s="6"/>
      <c r="K976" s="6"/>
      <c r="L976" s="6"/>
      <c r="M976" s="6"/>
      <c r="N976" s="6"/>
      <c r="O976" s="3"/>
      <c r="P976" s="6"/>
      <c r="Q976" s="6"/>
      <c r="R976" s="6"/>
      <c r="S976" s="6"/>
      <c r="T976" s="6"/>
      <c r="U976" t="str">
        <f t="shared" si="15"/>
        <v/>
      </c>
    </row>
    <row r="977" spans="3:21" customFormat="1" hidden="1">
      <c r="C977" s="6"/>
      <c r="D977" s="6"/>
      <c r="E977" s="98"/>
      <c r="F977" s="3"/>
      <c r="G977" s="6"/>
      <c r="H977" s="3"/>
      <c r="I977" s="6"/>
      <c r="J977" s="6"/>
      <c r="K977" s="6"/>
      <c r="L977" s="6"/>
      <c r="M977" s="6"/>
      <c r="N977" s="6"/>
      <c r="O977" s="3"/>
      <c r="P977" s="6"/>
      <c r="Q977" s="6"/>
      <c r="R977" s="6"/>
      <c r="S977" s="6"/>
      <c r="T977" s="6"/>
      <c r="U977" t="str">
        <f t="shared" si="15"/>
        <v/>
      </c>
    </row>
    <row r="978" spans="3:21" customFormat="1" hidden="1">
      <c r="C978" s="6"/>
      <c r="D978" s="6"/>
      <c r="E978" s="98"/>
      <c r="F978" s="3"/>
      <c r="G978" s="6"/>
      <c r="H978" s="3"/>
      <c r="I978" s="6"/>
      <c r="J978" s="6"/>
      <c r="K978" s="6"/>
      <c r="L978" s="6"/>
      <c r="M978" s="6"/>
      <c r="N978" s="6"/>
      <c r="O978" s="3"/>
      <c r="P978" s="6"/>
      <c r="Q978" s="6"/>
      <c r="R978" s="6"/>
      <c r="S978" s="6"/>
      <c r="T978" s="6"/>
      <c r="U978" t="str">
        <f t="shared" si="15"/>
        <v/>
      </c>
    </row>
    <row r="979" spans="3:21" customFormat="1" hidden="1">
      <c r="C979" s="6"/>
      <c r="D979" s="6"/>
      <c r="E979" s="98"/>
      <c r="F979" s="3"/>
      <c r="G979" s="6"/>
      <c r="H979" s="3"/>
      <c r="I979" s="6"/>
      <c r="J979" s="6"/>
      <c r="K979" s="6"/>
      <c r="L979" s="6"/>
      <c r="M979" s="6"/>
      <c r="N979" s="6"/>
      <c r="O979" s="3"/>
      <c r="P979" s="6"/>
      <c r="Q979" s="6"/>
      <c r="R979" s="6"/>
      <c r="S979" s="6"/>
      <c r="T979" s="6"/>
      <c r="U979" t="str">
        <f t="shared" si="15"/>
        <v/>
      </c>
    </row>
    <row r="980" spans="3:21" customFormat="1" hidden="1">
      <c r="C980" s="6"/>
      <c r="D980" s="6"/>
      <c r="E980" s="98"/>
      <c r="F980" s="3"/>
      <c r="G980" s="6"/>
      <c r="H980" s="3"/>
      <c r="I980" s="6"/>
      <c r="J980" s="6"/>
      <c r="K980" s="6"/>
      <c r="L980" s="6"/>
      <c r="M980" s="6"/>
      <c r="N980" s="6"/>
      <c r="O980" s="3"/>
      <c r="P980" s="6"/>
      <c r="Q980" s="6"/>
      <c r="R980" s="6"/>
      <c r="S980" s="6"/>
      <c r="T980" s="6"/>
      <c r="U980" t="str">
        <f t="shared" si="15"/>
        <v/>
      </c>
    </row>
    <row r="981" spans="3:21" customFormat="1" hidden="1">
      <c r="C981" s="6"/>
      <c r="D981" s="6"/>
      <c r="E981" s="98"/>
      <c r="F981" s="3"/>
      <c r="G981" s="6"/>
      <c r="H981" s="3"/>
      <c r="I981" s="6"/>
      <c r="J981" s="6"/>
      <c r="K981" s="6"/>
      <c r="L981" s="6"/>
      <c r="M981" s="6"/>
      <c r="N981" s="6"/>
      <c r="O981" s="3"/>
      <c r="P981" s="6"/>
      <c r="Q981" s="6"/>
      <c r="R981" s="6"/>
      <c r="S981" s="6"/>
      <c r="T981" s="6"/>
      <c r="U981" t="str">
        <f t="shared" si="15"/>
        <v/>
      </c>
    </row>
    <row r="982" spans="3:21" customFormat="1" hidden="1">
      <c r="C982" s="6"/>
      <c r="D982" s="6"/>
      <c r="E982" s="98"/>
      <c r="F982" s="3"/>
      <c r="G982" s="6"/>
      <c r="H982" s="3"/>
      <c r="I982" s="6"/>
      <c r="J982" s="6"/>
      <c r="K982" s="6"/>
      <c r="L982" s="6"/>
      <c r="M982" s="6"/>
      <c r="N982" s="6"/>
      <c r="O982" s="3"/>
      <c r="P982" s="6"/>
      <c r="Q982" s="6"/>
      <c r="R982" s="6"/>
      <c r="S982" s="6"/>
      <c r="T982" s="6"/>
      <c r="U982" t="str">
        <f t="shared" si="15"/>
        <v/>
      </c>
    </row>
    <row r="983" spans="3:21" customFormat="1" hidden="1">
      <c r="C983" s="6"/>
      <c r="D983" s="6"/>
      <c r="E983" s="98"/>
      <c r="F983" s="3"/>
      <c r="G983" s="6"/>
      <c r="H983" s="3"/>
      <c r="I983" s="6"/>
      <c r="J983" s="6"/>
      <c r="K983" s="6"/>
      <c r="L983" s="6"/>
      <c r="M983" s="6"/>
      <c r="N983" s="6"/>
      <c r="O983" s="3"/>
      <c r="P983" s="6"/>
      <c r="Q983" s="6"/>
      <c r="R983" s="6"/>
      <c r="S983" s="6"/>
      <c r="T983" s="6"/>
      <c r="U983" t="str">
        <f t="shared" si="15"/>
        <v/>
      </c>
    </row>
    <row r="984" spans="3:21" customFormat="1" hidden="1">
      <c r="C984" s="6"/>
      <c r="D984" s="6"/>
      <c r="E984" s="98"/>
      <c r="F984" s="3"/>
      <c r="G984" s="6"/>
      <c r="H984" s="3"/>
      <c r="I984" s="6"/>
      <c r="J984" s="6"/>
      <c r="K984" s="6"/>
      <c r="L984" s="6"/>
      <c r="M984" s="6"/>
      <c r="N984" s="6"/>
      <c r="O984" s="3"/>
      <c r="P984" s="6"/>
      <c r="Q984" s="6"/>
      <c r="R984" s="6"/>
      <c r="S984" s="6"/>
      <c r="T984" s="6"/>
      <c r="U984" t="str">
        <f t="shared" si="15"/>
        <v/>
      </c>
    </row>
    <row r="985" spans="3:21" customFormat="1" hidden="1">
      <c r="C985" s="6"/>
      <c r="D985" s="6"/>
      <c r="E985" s="98"/>
      <c r="F985" s="3"/>
      <c r="G985" s="6"/>
      <c r="H985" s="3"/>
      <c r="I985" s="6"/>
      <c r="J985" s="6"/>
      <c r="K985" s="6"/>
      <c r="L985" s="6"/>
      <c r="M985" s="6"/>
      <c r="N985" s="6"/>
      <c r="O985" s="3"/>
      <c r="P985" s="6"/>
      <c r="Q985" s="6"/>
      <c r="R985" s="6"/>
      <c r="S985" s="6"/>
      <c r="T985" s="6"/>
      <c r="U985" t="str">
        <f t="shared" si="15"/>
        <v/>
      </c>
    </row>
    <row r="986" spans="3:21" customFormat="1" hidden="1">
      <c r="C986" s="6"/>
      <c r="D986" s="6"/>
      <c r="E986" s="98"/>
      <c r="F986" s="3"/>
      <c r="G986" s="6"/>
      <c r="H986" s="3"/>
      <c r="I986" s="6"/>
      <c r="J986" s="6"/>
      <c r="K986" s="6"/>
      <c r="L986" s="6"/>
      <c r="M986" s="6"/>
      <c r="N986" s="6"/>
      <c r="O986" s="3"/>
      <c r="P986" s="6"/>
      <c r="Q986" s="6"/>
      <c r="R986" s="6"/>
      <c r="S986" s="6"/>
      <c r="T986" s="6"/>
      <c r="U986" t="str">
        <f t="shared" si="15"/>
        <v/>
      </c>
    </row>
    <row r="987" spans="3:21" customFormat="1" hidden="1">
      <c r="C987" s="6"/>
      <c r="D987" s="6"/>
      <c r="E987" s="98"/>
      <c r="F987" s="3"/>
      <c r="G987" s="6"/>
      <c r="H987" s="3"/>
      <c r="I987" s="6"/>
      <c r="J987" s="6"/>
      <c r="K987" s="6"/>
      <c r="L987" s="6"/>
      <c r="M987" s="6"/>
      <c r="N987" s="6"/>
      <c r="O987" s="3"/>
      <c r="P987" s="6"/>
      <c r="Q987" s="6"/>
      <c r="R987" s="6"/>
      <c r="S987" s="6"/>
      <c r="T987" s="6"/>
      <c r="U987" t="str">
        <f t="shared" si="15"/>
        <v/>
      </c>
    </row>
    <row r="988" spans="3:21" customFormat="1" hidden="1">
      <c r="C988" s="6"/>
      <c r="D988" s="6"/>
      <c r="E988" s="98"/>
      <c r="F988" s="3"/>
      <c r="G988" s="6"/>
      <c r="H988" s="3"/>
      <c r="I988" s="6"/>
      <c r="J988" s="6"/>
      <c r="K988" s="6"/>
      <c r="L988" s="6"/>
      <c r="M988" s="6"/>
      <c r="N988" s="6"/>
      <c r="O988" s="3"/>
      <c r="P988" s="6"/>
      <c r="Q988" s="6"/>
      <c r="R988" s="6"/>
      <c r="S988" s="6"/>
      <c r="T988" s="6"/>
      <c r="U988" t="str">
        <f t="shared" si="15"/>
        <v/>
      </c>
    </row>
    <row r="989" spans="3:21" customFormat="1" hidden="1">
      <c r="C989" s="6"/>
      <c r="D989" s="6"/>
      <c r="E989" s="98"/>
      <c r="F989" s="3"/>
      <c r="G989" s="6"/>
      <c r="H989" s="3"/>
      <c r="I989" s="6"/>
      <c r="J989" s="6"/>
      <c r="K989" s="6"/>
      <c r="L989" s="6"/>
      <c r="M989" s="6"/>
      <c r="N989" s="6"/>
      <c r="O989" s="3"/>
      <c r="P989" s="6"/>
      <c r="Q989" s="6"/>
      <c r="R989" s="6"/>
      <c r="S989" s="6"/>
      <c r="T989" s="6"/>
      <c r="U989" t="str">
        <f t="shared" si="15"/>
        <v/>
      </c>
    </row>
    <row r="990" spans="3:21" customFormat="1" hidden="1">
      <c r="C990" s="6"/>
      <c r="D990" s="6"/>
      <c r="E990" s="98"/>
      <c r="F990" s="3"/>
      <c r="G990" s="6"/>
      <c r="H990" s="3"/>
      <c r="I990" s="6"/>
      <c r="J990" s="6"/>
      <c r="K990" s="6"/>
      <c r="L990" s="6"/>
      <c r="M990" s="6"/>
      <c r="N990" s="6"/>
      <c r="O990" s="3"/>
      <c r="P990" s="6"/>
      <c r="Q990" s="6"/>
      <c r="R990" s="6"/>
      <c r="S990" s="6"/>
      <c r="T990" s="6"/>
      <c r="U990" t="str">
        <f t="shared" si="15"/>
        <v/>
      </c>
    </row>
    <row r="991" spans="3:21" customFormat="1" hidden="1">
      <c r="C991" s="6"/>
      <c r="D991" s="6"/>
      <c r="E991" s="98"/>
      <c r="F991" s="3"/>
      <c r="G991" s="6"/>
      <c r="H991" s="3"/>
      <c r="I991" s="6"/>
      <c r="J991" s="6"/>
      <c r="K991" s="6"/>
      <c r="L991" s="6"/>
      <c r="M991" s="6"/>
      <c r="N991" s="6"/>
      <c r="O991" s="3"/>
      <c r="P991" s="6"/>
      <c r="Q991" s="6"/>
      <c r="R991" s="6"/>
      <c r="S991" s="6"/>
      <c r="T991" s="6"/>
      <c r="U991" t="str">
        <f t="shared" si="15"/>
        <v/>
      </c>
    </row>
    <row r="992" spans="3:21" customFormat="1" hidden="1">
      <c r="C992" s="6"/>
      <c r="D992" s="6"/>
      <c r="E992" s="98"/>
      <c r="F992" s="3"/>
      <c r="G992" s="6"/>
      <c r="H992" s="3"/>
      <c r="I992" s="6"/>
      <c r="J992" s="6"/>
      <c r="K992" s="6"/>
      <c r="L992" s="6"/>
      <c r="M992" s="6"/>
      <c r="N992" s="6"/>
      <c r="O992" s="3"/>
      <c r="P992" s="6"/>
      <c r="Q992" s="6"/>
      <c r="R992" s="6"/>
      <c r="S992" s="6"/>
      <c r="T992" s="6"/>
      <c r="U992" t="str">
        <f t="shared" si="15"/>
        <v/>
      </c>
    </row>
    <row r="993" spans="3:21" customFormat="1" hidden="1">
      <c r="C993" s="6"/>
      <c r="D993" s="6"/>
      <c r="E993" s="98"/>
      <c r="F993" s="3"/>
      <c r="G993" s="6"/>
      <c r="H993" s="3"/>
      <c r="I993" s="6"/>
      <c r="J993" s="6"/>
      <c r="K993" s="6"/>
      <c r="L993" s="6"/>
      <c r="M993" s="6"/>
      <c r="N993" s="6"/>
      <c r="O993" s="3"/>
      <c r="P993" s="6"/>
      <c r="Q993" s="6"/>
      <c r="R993" s="6"/>
      <c r="S993" s="6"/>
      <c r="T993" s="6"/>
      <c r="U993" t="str">
        <f t="shared" si="15"/>
        <v/>
      </c>
    </row>
    <row r="994" spans="3:21" customFormat="1" hidden="1">
      <c r="C994" s="6"/>
      <c r="D994" s="6"/>
      <c r="E994" s="98"/>
      <c r="F994" s="3"/>
      <c r="G994" s="6"/>
      <c r="H994" s="3"/>
      <c r="I994" s="6"/>
      <c r="J994" s="6"/>
      <c r="K994" s="6"/>
      <c r="L994" s="6"/>
      <c r="M994" s="6"/>
      <c r="N994" s="6"/>
      <c r="O994" s="3"/>
      <c r="P994" s="6"/>
      <c r="Q994" s="6"/>
      <c r="R994" s="6"/>
      <c r="S994" s="6"/>
      <c r="T994" s="6"/>
      <c r="U994" t="str">
        <f t="shared" si="15"/>
        <v/>
      </c>
    </row>
    <row r="995" spans="3:21" customFormat="1" hidden="1">
      <c r="C995" s="6"/>
      <c r="D995" s="6"/>
      <c r="E995" s="98"/>
      <c r="F995" s="3"/>
      <c r="G995" s="6"/>
      <c r="H995" s="3"/>
      <c r="I995" s="6"/>
      <c r="J995" s="6"/>
      <c r="K995" s="6"/>
      <c r="L995" s="6"/>
      <c r="M995" s="6"/>
      <c r="N995" s="6"/>
      <c r="O995" s="3"/>
      <c r="P995" s="6"/>
      <c r="Q995" s="6"/>
      <c r="R995" s="6"/>
      <c r="S995" s="6"/>
      <c r="T995" s="6"/>
      <c r="U995" t="str">
        <f t="shared" si="15"/>
        <v/>
      </c>
    </row>
    <row r="996" spans="3:21" customFormat="1" hidden="1">
      <c r="C996" s="6"/>
      <c r="D996" s="6"/>
      <c r="E996" s="98"/>
      <c r="F996" s="3"/>
      <c r="G996" s="6"/>
      <c r="H996" s="3"/>
      <c r="I996" s="6"/>
      <c r="J996" s="6"/>
      <c r="K996" s="6"/>
      <c r="L996" s="6"/>
      <c r="M996" s="6"/>
      <c r="N996" s="6"/>
      <c r="O996" s="3"/>
      <c r="P996" s="6"/>
      <c r="Q996" s="6"/>
      <c r="R996" s="6"/>
      <c r="S996" s="6"/>
      <c r="T996" s="6"/>
      <c r="U996" t="str">
        <f t="shared" si="15"/>
        <v/>
      </c>
    </row>
    <row r="997" spans="3:21" customFormat="1" hidden="1">
      <c r="C997" s="6"/>
      <c r="D997" s="6"/>
      <c r="E997" s="98"/>
      <c r="F997" s="3"/>
      <c r="G997" s="6"/>
      <c r="H997" s="3"/>
      <c r="I997" s="6"/>
      <c r="J997" s="6"/>
      <c r="K997" s="6"/>
      <c r="L997" s="6"/>
      <c r="M997" s="6"/>
      <c r="N997" s="6"/>
      <c r="O997" s="3"/>
      <c r="P997" s="6"/>
      <c r="Q997" s="6"/>
      <c r="R997" s="6"/>
      <c r="S997" s="6"/>
      <c r="T997" s="6"/>
      <c r="U997" t="str">
        <f t="shared" si="15"/>
        <v/>
      </c>
    </row>
    <row r="998" spans="3:21" customFormat="1" hidden="1">
      <c r="C998" s="6"/>
      <c r="D998" s="6"/>
      <c r="E998" s="98"/>
      <c r="F998" s="3"/>
      <c r="G998" s="6"/>
      <c r="H998" s="3"/>
      <c r="I998" s="6"/>
      <c r="J998" s="6"/>
      <c r="K998" s="6"/>
      <c r="L998" s="6"/>
      <c r="M998" s="6"/>
      <c r="N998" s="6"/>
      <c r="O998" s="3"/>
      <c r="P998" s="6"/>
      <c r="Q998" s="6"/>
      <c r="R998" s="6"/>
      <c r="S998" s="6"/>
      <c r="T998" s="6"/>
      <c r="U998" t="str">
        <f t="shared" si="15"/>
        <v/>
      </c>
    </row>
    <row r="999" spans="3:21" customFormat="1" hidden="1">
      <c r="C999" s="6"/>
      <c r="D999" s="6"/>
      <c r="E999" s="98"/>
      <c r="F999" s="3"/>
      <c r="G999" s="6"/>
      <c r="H999" s="3"/>
      <c r="I999" s="6"/>
      <c r="J999" s="6"/>
      <c r="K999" s="6"/>
      <c r="L999" s="6"/>
      <c r="M999" s="6"/>
      <c r="N999" s="6"/>
      <c r="O999" s="3"/>
      <c r="P999" s="6"/>
      <c r="Q999" s="6"/>
      <c r="R999" s="6"/>
      <c r="S999" s="6"/>
      <c r="T999" s="6"/>
      <c r="U999" t="str">
        <f t="shared" si="15"/>
        <v/>
      </c>
    </row>
    <row r="1000" spans="3:21" customFormat="1" hidden="1">
      <c r="C1000" s="6"/>
      <c r="D1000" s="6"/>
      <c r="E1000" s="98"/>
      <c r="F1000" s="3"/>
      <c r="G1000" s="6"/>
      <c r="H1000" s="3"/>
      <c r="I1000" s="6"/>
      <c r="J1000" s="6"/>
      <c r="K1000" s="6"/>
      <c r="L1000" s="6"/>
      <c r="M1000" s="6"/>
      <c r="N1000" s="6"/>
      <c r="O1000" s="3"/>
      <c r="P1000" s="6"/>
      <c r="Q1000" s="6"/>
      <c r="R1000" s="6"/>
      <c r="S1000" s="6"/>
      <c r="T1000" s="6"/>
      <c r="U1000" t="str">
        <f t="shared" si="15"/>
        <v/>
      </c>
    </row>
    <row r="1001" spans="3:21" customFormat="1" hidden="1">
      <c r="C1001" s="6"/>
      <c r="D1001" s="6"/>
      <c r="E1001" s="98"/>
      <c r="F1001" s="3"/>
      <c r="G1001" s="6"/>
      <c r="H1001" s="3"/>
      <c r="I1001" s="6"/>
      <c r="J1001" s="6"/>
      <c r="K1001" s="6"/>
      <c r="L1001" s="6"/>
      <c r="M1001" s="6"/>
      <c r="N1001" s="6"/>
      <c r="O1001" s="3"/>
      <c r="P1001" s="6"/>
      <c r="Q1001" s="6"/>
      <c r="R1001" s="6"/>
      <c r="S1001" s="6"/>
      <c r="T1001" s="6"/>
      <c r="U1001" t="str">
        <f t="shared" si="15"/>
        <v/>
      </c>
    </row>
    <row r="1002" spans="3:21" customFormat="1" hidden="1">
      <c r="C1002" s="6"/>
      <c r="D1002" s="6"/>
      <c r="E1002" s="98"/>
      <c r="F1002" s="3"/>
      <c r="G1002" s="6"/>
      <c r="H1002" s="3"/>
      <c r="I1002" s="6"/>
      <c r="J1002" s="6"/>
      <c r="K1002" s="6"/>
      <c r="L1002" s="6"/>
      <c r="M1002" s="6"/>
      <c r="N1002" s="6"/>
      <c r="O1002" s="3"/>
      <c r="P1002" s="6"/>
      <c r="Q1002" s="6"/>
      <c r="R1002" s="6"/>
      <c r="S1002" s="6"/>
      <c r="T1002" s="6"/>
      <c r="U1002" t="str">
        <f t="shared" si="15"/>
        <v/>
      </c>
    </row>
    <row r="1003" spans="3:21" customFormat="1" hidden="1">
      <c r="C1003" s="6"/>
      <c r="D1003" s="6"/>
      <c r="E1003" s="98"/>
      <c r="F1003" s="3"/>
      <c r="G1003" s="6"/>
      <c r="H1003" s="3"/>
      <c r="I1003" s="6"/>
      <c r="J1003" s="6"/>
      <c r="K1003" s="6"/>
      <c r="L1003" s="6"/>
      <c r="M1003" s="6"/>
      <c r="N1003" s="6"/>
      <c r="O1003" s="3"/>
      <c r="P1003" s="6"/>
      <c r="Q1003" s="6"/>
      <c r="R1003" s="6"/>
      <c r="S1003" s="6"/>
      <c r="T1003" s="6"/>
      <c r="U1003" t="str">
        <f t="shared" si="15"/>
        <v/>
      </c>
    </row>
    <row r="1004" spans="3:21" customFormat="1" hidden="1">
      <c r="C1004" s="6"/>
      <c r="D1004" s="6"/>
      <c r="E1004" s="98"/>
      <c r="F1004" s="3"/>
      <c r="G1004" s="6"/>
      <c r="H1004" s="3"/>
      <c r="I1004" s="6"/>
      <c r="J1004" s="6"/>
      <c r="K1004" s="6"/>
      <c r="L1004" s="6"/>
      <c r="M1004" s="6"/>
      <c r="N1004" s="6"/>
      <c r="O1004" s="3"/>
      <c r="P1004" s="6"/>
      <c r="Q1004" s="6"/>
      <c r="R1004" s="6"/>
      <c r="S1004" s="6"/>
      <c r="T1004" s="6"/>
      <c r="U1004" t="str">
        <f t="shared" si="15"/>
        <v/>
      </c>
    </row>
    <row r="1005" spans="3:21" customFormat="1" hidden="1">
      <c r="C1005" s="6"/>
      <c r="D1005" s="6"/>
      <c r="E1005" s="98"/>
      <c r="F1005" s="3"/>
      <c r="G1005" s="6"/>
      <c r="H1005" s="3"/>
      <c r="I1005" s="6"/>
      <c r="J1005" s="6"/>
      <c r="K1005" s="6"/>
      <c r="L1005" s="6"/>
      <c r="M1005" s="6"/>
      <c r="N1005" s="6"/>
      <c r="O1005" s="3"/>
      <c r="P1005" s="6"/>
      <c r="Q1005" s="6"/>
      <c r="R1005" s="6"/>
      <c r="S1005" s="6"/>
      <c r="T1005" s="6"/>
      <c r="U1005" t="str">
        <f t="shared" si="15"/>
        <v/>
      </c>
    </row>
    <row r="1006" spans="3:21" customFormat="1" hidden="1">
      <c r="C1006" s="6"/>
      <c r="D1006" s="6"/>
      <c r="E1006" s="98"/>
      <c r="F1006" s="3"/>
      <c r="G1006" s="6"/>
      <c r="H1006" s="3"/>
      <c r="I1006" s="6"/>
      <c r="J1006" s="6"/>
      <c r="K1006" s="6"/>
      <c r="L1006" s="6"/>
      <c r="M1006" s="6"/>
      <c r="N1006" s="6"/>
      <c r="O1006" s="3"/>
      <c r="P1006" s="6"/>
      <c r="Q1006" s="6"/>
      <c r="R1006" s="6"/>
      <c r="S1006" s="6"/>
      <c r="T1006" s="6"/>
      <c r="U1006" t="str">
        <f t="shared" si="15"/>
        <v/>
      </c>
    </row>
    <row r="1007" spans="3:21" customFormat="1" hidden="1">
      <c r="C1007" s="6"/>
      <c r="D1007" s="6"/>
      <c r="E1007" s="98"/>
      <c r="F1007" s="3"/>
      <c r="G1007" s="6"/>
      <c r="H1007" s="3"/>
      <c r="I1007" s="6"/>
      <c r="J1007" s="6"/>
      <c r="K1007" s="6"/>
      <c r="L1007" s="6"/>
      <c r="M1007" s="6"/>
      <c r="N1007" s="6"/>
      <c r="O1007" s="3"/>
      <c r="P1007" s="6"/>
      <c r="Q1007" s="6"/>
      <c r="R1007" s="6"/>
      <c r="S1007" s="6"/>
      <c r="T1007" s="6"/>
      <c r="U1007" t="str">
        <f t="shared" si="15"/>
        <v/>
      </c>
    </row>
    <row r="1008" spans="3:21" customFormat="1" hidden="1">
      <c r="C1008" s="6"/>
      <c r="D1008" s="6"/>
      <c r="E1008" s="98"/>
      <c r="F1008" s="3"/>
      <c r="G1008" s="6"/>
      <c r="H1008" s="3"/>
      <c r="I1008" s="6"/>
      <c r="J1008" s="6"/>
      <c r="K1008" s="6"/>
      <c r="L1008" s="6"/>
      <c r="M1008" s="6"/>
      <c r="N1008" s="6"/>
      <c r="O1008" s="3"/>
      <c r="P1008" s="6"/>
      <c r="Q1008" s="6"/>
      <c r="R1008" s="6"/>
      <c r="S1008" s="6"/>
      <c r="T1008" s="6"/>
      <c r="U1008" t="str">
        <f t="shared" si="15"/>
        <v/>
      </c>
    </row>
    <row r="1009" spans="3:21" customFormat="1" hidden="1">
      <c r="C1009" s="6"/>
      <c r="D1009" s="6"/>
      <c r="E1009" s="98"/>
      <c r="F1009" s="3"/>
      <c r="G1009" s="6"/>
      <c r="H1009" s="3"/>
      <c r="I1009" s="6"/>
      <c r="J1009" s="6"/>
      <c r="K1009" s="6"/>
      <c r="L1009" s="6"/>
      <c r="M1009" s="6"/>
      <c r="N1009" s="6"/>
      <c r="O1009" s="3"/>
      <c r="P1009" s="6"/>
      <c r="Q1009" s="6"/>
      <c r="R1009" s="6"/>
      <c r="S1009" s="6"/>
      <c r="T1009" s="6"/>
      <c r="U1009" t="str">
        <f t="shared" si="15"/>
        <v/>
      </c>
    </row>
    <row r="1010" spans="3:21" customFormat="1" hidden="1">
      <c r="C1010" s="6"/>
      <c r="D1010" s="6"/>
      <c r="E1010" s="98"/>
      <c r="F1010" s="3"/>
      <c r="G1010" s="6"/>
      <c r="H1010" s="3"/>
      <c r="I1010" s="6"/>
      <c r="J1010" s="6"/>
      <c r="K1010" s="6"/>
      <c r="L1010" s="6"/>
      <c r="M1010" s="6"/>
      <c r="N1010" s="6"/>
      <c r="O1010" s="3"/>
      <c r="P1010" s="6"/>
      <c r="Q1010" s="6"/>
      <c r="R1010" s="6"/>
      <c r="S1010" s="6"/>
      <c r="T1010" s="6"/>
      <c r="U1010" t="str">
        <f t="shared" si="15"/>
        <v/>
      </c>
    </row>
    <row r="1011" spans="3:21" customFormat="1" hidden="1">
      <c r="C1011" s="6"/>
      <c r="D1011" s="6"/>
      <c r="E1011" s="98"/>
      <c r="F1011" s="3"/>
      <c r="G1011" s="6"/>
      <c r="H1011" s="3"/>
      <c r="I1011" s="6"/>
      <c r="J1011" s="6"/>
      <c r="K1011" s="6"/>
      <c r="L1011" s="6"/>
      <c r="M1011" s="6"/>
      <c r="N1011" s="6"/>
      <c r="O1011" s="3"/>
      <c r="P1011" s="6"/>
      <c r="Q1011" s="6"/>
      <c r="R1011" s="6"/>
      <c r="S1011" s="6"/>
      <c r="T1011" s="6"/>
      <c r="U1011" t="str">
        <f t="shared" si="15"/>
        <v/>
      </c>
    </row>
    <row r="1012" spans="3:21" customFormat="1" hidden="1">
      <c r="C1012" s="6"/>
      <c r="D1012" s="6"/>
      <c r="E1012" s="98"/>
      <c r="F1012" s="3"/>
      <c r="G1012" s="6"/>
      <c r="H1012" s="3"/>
      <c r="I1012" s="6"/>
      <c r="J1012" s="6"/>
      <c r="K1012" s="6"/>
      <c r="L1012" s="6"/>
      <c r="M1012" s="6"/>
      <c r="N1012" s="6"/>
      <c r="O1012" s="3"/>
      <c r="P1012" s="6"/>
      <c r="Q1012" s="6"/>
      <c r="R1012" s="6"/>
      <c r="S1012" s="6"/>
      <c r="T1012" s="6"/>
      <c r="U1012" t="str">
        <f t="shared" si="15"/>
        <v/>
      </c>
    </row>
    <row r="1013" spans="3:21" customFormat="1" hidden="1">
      <c r="C1013" s="6"/>
      <c r="D1013" s="6"/>
      <c r="E1013" s="98"/>
      <c r="F1013" s="3"/>
      <c r="G1013" s="6"/>
      <c r="H1013" s="3"/>
      <c r="I1013" s="6"/>
      <c r="J1013" s="6"/>
      <c r="K1013" s="6"/>
      <c r="L1013" s="6"/>
      <c r="M1013" s="6"/>
      <c r="N1013" s="6"/>
      <c r="O1013" s="3"/>
      <c r="P1013" s="6"/>
      <c r="Q1013" s="6"/>
      <c r="R1013" s="6"/>
      <c r="S1013" s="6"/>
      <c r="T1013" s="6"/>
      <c r="U1013" t="str">
        <f t="shared" si="15"/>
        <v/>
      </c>
    </row>
    <row r="1014" spans="3:21" customFormat="1" hidden="1">
      <c r="C1014" s="6"/>
      <c r="D1014" s="6"/>
      <c r="E1014" s="98"/>
      <c r="F1014" s="3"/>
      <c r="G1014" s="6"/>
      <c r="H1014" s="3"/>
      <c r="I1014" s="6"/>
      <c r="J1014" s="6"/>
      <c r="K1014" s="6"/>
      <c r="L1014" s="6"/>
      <c r="M1014" s="6"/>
      <c r="N1014" s="6"/>
      <c r="O1014" s="3"/>
      <c r="P1014" s="6"/>
      <c r="Q1014" s="6"/>
      <c r="R1014" s="6"/>
      <c r="S1014" s="6"/>
      <c r="T1014" s="6"/>
      <c r="U1014" t="str">
        <f t="shared" si="15"/>
        <v/>
      </c>
    </row>
    <row r="1015" spans="3:21" customFormat="1" hidden="1">
      <c r="C1015" s="6"/>
      <c r="D1015" s="6"/>
      <c r="E1015" s="98"/>
      <c r="F1015" s="3"/>
      <c r="G1015" s="6"/>
      <c r="H1015" s="3"/>
      <c r="I1015" s="6"/>
      <c r="J1015" s="6"/>
      <c r="K1015" s="6"/>
      <c r="L1015" s="6"/>
      <c r="M1015" s="6"/>
      <c r="N1015" s="6"/>
      <c r="O1015" s="3"/>
      <c r="P1015" s="6"/>
      <c r="Q1015" s="6"/>
      <c r="R1015" s="6"/>
      <c r="S1015" s="6"/>
      <c r="T1015" s="6"/>
      <c r="U1015" t="str">
        <f t="shared" si="15"/>
        <v/>
      </c>
    </row>
    <row r="1016" spans="3:21" customFormat="1" hidden="1">
      <c r="C1016" s="6"/>
      <c r="D1016" s="6"/>
      <c r="E1016" s="98"/>
      <c r="F1016" s="3"/>
      <c r="G1016" s="6"/>
      <c r="H1016" s="3"/>
      <c r="I1016" s="6"/>
      <c r="J1016" s="6"/>
      <c r="K1016" s="6"/>
      <c r="L1016" s="6"/>
      <c r="M1016" s="6"/>
      <c r="N1016" s="6"/>
      <c r="O1016" s="3"/>
      <c r="P1016" s="6"/>
      <c r="Q1016" s="6"/>
      <c r="R1016" s="6"/>
      <c r="S1016" s="6"/>
      <c r="T1016" s="6"/>
      <c r="U1016" t="str">
        <f t="shared" si="15"/>
        <v/>
      </c>
    </row>
    <row r="1017" spans="3:21" customFormat="1" hidden="1">
      <c r="C1017" s="6"/>
      <c r="D1017" s="6"/>
      <c r="E1017" s="98"/>
      <c r="F1017" s="3"/>
      <c r="G1017" s="6"/>
      <c r="H1017" s="3"/>
      <c r="I1017" s="6"/>
      <c r="J1017" s="6"/>
      <c r="K1017" s="6"/>
      <c r="L1017" s="6"/>
      <c r="M1017" s="6"/>
      <c r="N1017" s="6"/>
      <c r="O1017" s="3"/>
      <c r="P1017" s="6"/>
      <c r="Q1017" s="6"/>
      <c r="R1017" s="6"/>
      <c r="S1017" s="6"/>
      <c r="T1017" s="6"/>
      <c r="U1017" t="str">
        <f t="shared" si="15"/>
        <v/>
      </c>
    </row>
    <row r="1018" spans="3:21" customFormat="1" hidden="1">
      <c r="C1018" s="6"/>
      <c r="D1018" s="6"/>
      <c r="E1018" s="98"/>
      <c r="F1018" s="3"/>
      <c r="G1018" s="6"/>
      <c r="H1018" s="3"/>
      <c r="I1018" s="6"/>
      <c r="J1018" s="6"/>
      <c r="K1018" s="6"/>
      <c r="L1018" s="6"/>
      <c r="M1018" s="6"/>
      <c r="N1018" s="6"/>
      <c r="O1018" s="3"/>
      <c r="P1018" s="6"/>
      <c r="Q1018" s="6"/>
      <c r="R1018" s="6"/>
      <c r="S1018" s="6"/>
      <c r="T1018" s="6"/>
      <c r="U1018" t="str">
        <f t="shared" si="15"/>
        <v/>
      </c>
    </row>
    <row r="1019" spans="3:21" customFormat="1" hidden="1">
      <c r="C1019" s="6"/>
      <c r="D1019" s="6"/>
      <c r="E1019" s="98"/>
      <c r="F1019" s="3"/>
      <c r="G1019" s="6"/>
      <c r="H1019" s="3"/>
      <c r="I1019" s="6"/>
      <c r="J1019" s="6"/>
      <c r="K1019" s="6"/>
      <c r="L1019" s="6"/>
      <c r="M1019" s="6"/>
      <c r="N1019" s="6"/>
      <c r="O1019" s="3"/>
      <c r="P1019" s="6"/>
      <c r="Q1019" s="6"/>
      <c r="R1019" s="6"/>
      <c r="S1019" s="6"/>
      <c r="T1019" s="6"/>
      <c r="U1019" t="str">
        <f t="shared" si="15"/>
        <v/>
      </c>
    </row>
    <row r="1020" spans="3:21" customFormat="1" hidden="1">
      <c r="C1020" s="6"/>
      <c r="D1020" s="6"/>
      <c r="E1020" s="98"/>
      <c r="F1020" s="3"/>
      <c r="G1020" s="6"/>
      <c r="H1020" s="3"/>
      <c r="I1020" s="6"/>
      <c r="J1020" s="6"/>
      <c r="K1020" s="6"/>
      <c r="L1020" s="6"/>
      <c r="M1020" s="6"/>
      <c r="N1020" s="6"/>
      <c r="O1020" s="3"/>
      <c r="P1020" s="6"/>
      <c r="Q1020" s="6"/>
      <c r="R1020" s="6"/>
      <c r="S1020" s="6"/>
      <c r="T1020" s="6"/>
      <c r="U1020" t="str">
        <f t="shared" si="15"/>
        <v/>
      </c>
    </row>
    <row r="1021" spans="3:21" customFormat="1" hidden="1">
      <c r="C1021" s="6"/>
      <c r="D1021" s="6"/>
      <c r="E1021" s="98"/>
      <c r="F1021" s="3"/>
      <c r="G1021" s="6"/>
      <c r="H1021" s="3"/>
      <c r="I1021" s="6"/>
      <c r="J1021" s="6"/>
      <c r="K1021" s="6"/>
      <c r="L1021" s="6"/>
      <c r="M1021" s="6"/>
      <c r="N1021" s="6"/>
      <c r="O1021" s="3"/>
      <c r="P1021" s="6"/>
      <c r="Q1021" s="6"/>
      <c r="R1021" s="6"/>
      <c r="S1021" s="6"/>
      <c r="T1021" s="6"/>
      <c r="U1021" t="str">
        <f t="shared" si="15"/>
        <v/>
      </c>
    </row>
    <row r="1022" spans="3:21" customFormat="1" hidden="1">
      <c r="C1022" s="6"/>
      <c r="D1022" s="6"/>
      <c r="E1022" s="98"/>
      <c r="F1022" s="3"/>
      <c r="G1022" s="6"/>
      <c r="H1022" s="3"/>
      <c r="I1022" s="6"/>
      <c r="J1022" s="6"/>
      <c r="K1022" s="6"/>
      <c r="L1022" s="6"/>
      <c r="M1022" s="6"/>
      <c r="N1022" s="6"/>
      <c r="O1022" s="3"/>
      <c r="P1022" s="6"/>
      <c r="Q1022" s="6"/>
      <c r="R1022" s="6"/>
      <c r="S1022" s="6"/>
      <c r="T1022" s="6"/>
      <c r="U1022" t="str">
        <f t="shared" si="15"/>
        <v/>
      </c>
    </row>
    <row r="1023" spans="3:21" customFormat="1" hidden="1">
      <c r="C1023" s="6"/>
      <c r="D1023" s="6"/>
      <c r="E1023" s="98"/>
      <c r="F1023" s="3"/>
      <c r="G1023" s="6"/>
      <c r="H1023" s="3"/>
      <c r="I1023" s="6"/>
      <c r="J1023" s="6"/>
      <c r="K1023" s="6"/>
      <c r="L1023" s="6"/>
      <c r="M1023" s="6"/>
      <c r="N1023" s="6"/>
      <c r="O1023" s="3"/>
      <c r="P1023" s="6"/>
      <c r="Q1023" s="6"/>
      <c r="R1023" s="6"/>
      <c r="S1023" s="6"/>
      <c r="T1023" s="6"/>
      <c r="U1023" t="str">
        <f t="shared" si="15"/>
        <v/>
      </c>
    </row>
    <row r="1024" spans="3:21" customFormat="1" hidden="1">
      <c r="C1024" s="6"/>
      <c r="D1024" s="6"/>
      <c r="E1024" s="98"/>
      <c r="F1024" s="3"/>
      <c r="G1024" s="6"/>
      <c r="H1024" s="3"/>
      <c r="I1024" s="6"/>
      <c r="J1024" s="6"/>
      <c r="K1024" s="6"/>
      <c r="L1024" s="6"/>
      <c r="M1024" s="6"/>
      <c r="N1024" s="6"/>
      <c r="O1024" s="3"/>
      <c r="P1024" s="6"/>
      <c r="Q1024" s="6"/>
      <c r="R1024" s="6"/>
      <c r="S1024" s="6"/>
      <c r="T1024" s="6"/>
      <c r="U1024" t="str">
        <f t="shared" si="15"/>
        <v/>
      </c>
    </row>
    <row r="1025" spans="3:21" customFormat="1" hidden="1">
      <c r="C1025" s="6"/>
      <c r="D1025" s="6"/>
      <c r="E1025" s="98"/>
      <c r="F1025" s="3"/>
      <c r="G1025" s="6"/>
      <c r="H1025" s="3"/>
      <c r="I1025" s="6"/>
      <c r="J1025" s="6"/>
      <c r="K1025" s="6"/>
      <c r="L1025" s="6"/>
      <c r="M1025" s="6"/>
      <c r="N1025" s="6"/>
      <c r="O1025" s="3"/>
      <c r="P1025" s="6"/>
      <c r="Q1025" s="6"/>
      <c r="R1025" s="6"/>
      <c r="S1025" s="6"/>
      <c r="T1025" s="6"/>
      <c r="U1025" t="str">
        <f t="shared" si="15"/>
        <v/>
      </c>
    </row>
    <row r="1026" spans="3:21" customFormat="1" hidden="1">
      <c r="C1026" s="6"/>
      <c r="D1026" s="6"/>
      <c r="E1026" s="98"/>
      <c r="F1026" s="3"/>
      <c r="G1026" s="6"/>
      <c r="H1026" s="3"/>
      <c r="I1026" s="6"/>
      <c r="J1026" s="6"/>
      <c r="K1026" s="6"/>
      <c r="L1026" s="6"/>
      <c r="M1026" s="6"/>
      <c r="N1026" s="6"/>
      <c r="O1026" s="3"/>
      <c r="P1026" s="6"/>
      <c r="Q1026" s="6"/>
      <c r="R1026" s="6"/>
      <c r="S1026" s="6"/>
      <c r="T1026" s="6"/>
      <c r="U1026" t="str">
        <f t="shared" si="15"/>
        <v/>
      </c>
    </row>
    <row r="1027" spans="3:21" customFormat="1" hidden="1">
      <c r="C1027" s="6"/>
      <c r="D1027" s="6"/>
      <c r="E1027" s="98"/>
      <c r="F1027" s="3"/>
      <c r="G1027" s="6"/>
      <c r="H1027" s="3"/>
      <c r="I1027" s="6"/>
      <c r="J1027" s="6"/>
      <c r="K1027" s="6"/>
      <c r="L1027" s="6"/>
      <c r="M1027" s="6"/>
      <c r="N1027" s="6"/>
      <c r="O1027" s="3"/>
      <c r="P1027" s="6"/>
      <c r="Q1027" s="6"/>
      <c r="R1027" s="6"/>
      <c r="S1027" s="6"/>
      <c r="T1027" s="6"/>
      <c r="U1027" t="str">
        <f t="shared" si="15"/>
        <v/>
      </c>
    </row>
    <row r="1028" spans="3:21" customFormat="1" hidden="1">
      <c r="C1028" s="6"/>
      <c r="D1028" s="6"/>
      <c r="E1028" s="98"/>
      <c r="F1028" s="3"/>
      <c r="G1028" s="6"/>
      <c r="H1028" s="3"/>
      <c r="I1028" s="6"/>
      <c r="J1028" s="6"/>
      <c r="K1028" s="6"/>
      <c r="L1028" s="6"/>
      <c r="M1028" s="6"/>
      <c r="N1028" s="6"/>
      <c r="O1028" s="3"/>
      <c r="P1028" s="6"/>
      <c r="Q1028" s="6"/>
      <c r="R1028" s="6"/>
      <c r="S1028" s="6"/>
      <c r="T1028" s="6"/>
      <c r="U1028" t="str">
        <f t="shared" si="15"/>
        <v/>
      </c>
    </row>
    <row r="1029" spans="3:21" customFormat="1" hidden="1">
      <c r="C1029" s="6"/>
      <c r="D1029" s="6"/>
      <c r="E1029" s="98"/>
      <c r="F1029" s="3"/>
      <c r="G1029" s="6"/>
      <c r="H1029" s="3"/>
      <c r="I1029" s="6"/>
      <c r="J1029" s="6"/>
      <c r="K1029" s="6"/>
      <c r="L1029" s="6"/>
      <c r="M1029" s="6"/>
      <c r="N1029" s="6"/>
      <c r="O1029" s="3"/>
      <c r="P1029" s="6"/>
      <c r="Q1029" s="6"/>
      <c r="R1029" s="6"/>
      <c r="S1029" s="6"/>
      <c r="T1029" s="6"/>
      <c r="U1029" t="str">
        <f t="shared" si="15"/>
        <v/>
      </c>
    </row>
    <row r="1030" spans="3:21" customFormat="1" hidden="1">
      <c r="C1030" s="6"/>
      <c r="D1030" s="6"/>
      <c r="E1030" s="98"/>
      <c r="F1030" s="3"/>
      <c r="G1030" s="6"/>
      <c r="H1030" s="3"/>
      <c r="I1030" s="6"/>
      <c r="J1030" s="6"/>
      <c r="K1030" s="6"/>
      <c r="L1030" s="6"/>
      <c r="M1030" s="6"/>
      <c r="N1030" s="6"/>
      <c r="O1030" s="3"/>
      <c r="P1030" s="6"/>
      <c r="Q1030" s="6"/>
      <c r="R1030" s="6"/>
      <c r="S1030" s="6"/>
      <c r="T1030" s="6"/>
      <c r="U1030" t="str">
        <f t="shared" si="15"/>
        <v/>
      </c>
    </row>
    <row r="1031" spans="3:21" customFormat="1" hidden="1">
      <c r="C1031" s="6"/>
      <c r="D1031" s="6"/>
      <c r="E1031" s="98"/>
      <c r="F1031" s="3"/>
      <c r="G1031" s="6"/>
      <c r="H1031" s="3"/>
      <c r="I1031" s="6"/>
      <c r="J1031" s="6"/>
      <c r="K1031" s="6"/>
      <c r="L1031" s="6"/>
      <c r="M1031" s="6"/>
      <c r="N1031" s="6"/>
      <c r="O1031" s="3"/>
      <c r="P1031" s="6"/>
      <c r="Q1031" s="6"/>
      <c r="R1031" s="6"/>
      <c r="S1031" s="6"/>
      <c r="T1031" s="6"/>
      <c r="U1031" t="str">
        <f t="shared" ref="U1031:U1094" si="16">IF(D1031="","","x")</f>
        <v/>
      </c>
    </row>
    <row r="1032" spans="3:21" customFormat="1" hidden="1">
      <c r="C1032" s="6"/>
      <c r="D1032" s="6"/>
      <c r="E1032" s="98"/>
      <c r="F1032" s="3"/>
      <c r="G1032" s="6"/>
      <c r="H1032" s="3"/>
      <c r="I1032" s="6"/>
      <c r="J1032" s="6"/>
      <c r="K1032" s="6"/>
      <c r="L1032" s="6"/>
      <c r="M1032" s="6"/>
      <c r="N1032" s="6"/>
      <c r="O1032" s="3"/>
      <c r="P1032" s="6"/>
      <c r="Q1032" s="6"/>
      <c r="R1032" s="6"/>
      <c r="S1032" s="6"/>
      <c r="T1032" s="6"/>
      <c r="U1032" t="str">
        <f t="shared" si="16"/>
        <v/>
      </c>
    </row>
    <row r="1033" spans="3:21" customFormat="1" hidden="1">
      <c r="C1033" s="6"/>
      <c r="D1033" s="6"/>
      <c r="E1033" s="98"/>
      <c r="F1033" s="3"/>
      <c r="G1033" s="6"/>
      <c r="H1033" s="3"/>
      <c r="I1033" s="6"/>
      <c r="J1033" s="6"/>
      <c r="K1033" s="6"/>
      <c r="L1033" s="6"/>
      <c r="M1033" s="6"/>
      <c r="N1033" s="6"/>
      <c r="O1033" s="3"/>
      <c r="P1033" s="6"/>
      <c r="Q1033" s="6"/>
      <c r="R1033" s="6"/>
      <c r="S1033" s="6"/>
      <c r="T1033" s="6"/>
      <c r="U1033" t="str">
        <f t="shared" si="16"/>
        <v/>
      </c>
    </row>
    <row r="1034" spans="3:21" customFormat="1" hidden="1">
      <c r="C1034" s="6"/>
      <c r="D1034" s="6"/>
      <c r="E1034" s="98"/>
      <c r="F1034" s="3"/>
      <c r="G1034" s="6"/>
      <c r="H1034" s="3"/>
      <c r="I1034" s="6"/>
      <c r="J1034" s="6"/>
      <c r="K1034" s="6"/>
      <c r="L1034" s="6"/>
      <c r="M1034" s="6"/>
      <c r="N1034" s="6"/>
      <c r="O1034" s="3"/>
      <c r="P1034" s="6"/>
      <c r="Q1034" s="6"/>
      <c r="R1034" s="6"/>
      <c r="S1034" s="6"/>
      <c r="T1034" s="6"/>
      <c r="U1034" t="str">
        <f t="shared" si="16"/>
        <v/>
      </c>
    </row>
    <row r="1035" spans="3:21" customFormat="1" hidden="1">
      <c r="C1035" s="6"/>
      <c r="D1035" s="6"/>
      <c r="E1035" s="98"/>
      <c r="F1035" s="3"/>
      <c r="G1035" s="6"/>
      <c r="H1035" s="3"/>
      <c r="I1035" s="6"/>
      <c r="J1035" s="6"/>
      <c r="K1035" s="6"/>
      <c r="L1035" s="6"/>
      <c r="M1035" s="6"/>
      <c r="N1035" s="6"/>
      <c r="O1035" s="3"/>
      <c r="P1035" s="6"/>
      <c r="Q1035" s="6"/>
      <c r="R1035" s="6"/>
      <c r="S1035" s="6"/>
      <c r="T1035" s="6"/>
      <c r="U1035" t="str">
        <f t="shared" si="16"/>
        <v/>
      </c>
    </row>
    <row r="1036" spans="3:21" customFormat="1" hidden="1">
      <c r="C1036" s="6"/>
      <c r="D1036" s="6"/>
      <c r="E1036" s="98"/>
      <c r="F1036" s="3"/>
      <c r="G1036" s="6"/>
      <c r="H1036" s="3"/>
      <c r="I1036" s="6"/>
      <c r="J1036" s="6"/>
      <c r="K1036" s="6"/>
      <c r="L1036" s="6"/>
      <c r="M1036" s="6"/>
      <c r="N1036" s="6"/>
      <c r="O1036" s="3"/>
      <c r="P1036" s="6"/>
      <c r="Q1036" s="6"/>
      <c r="R1036" s="6"/>
      <c r="S1036" s="6"/>
      <c r="T1036" s="6"/>
      <c r="U1036" t="str">
        <f t="shared" si="16"/>
        <v/>
      </c>
    </row>
    <row r="1037" spans="3:21" customFormat="1" hidden="1">
      <c r="C1037" s="6"/>
      <c r="D1037" s="6"/>
      <c r="E1037" s="98"/>
      <c r="F1037" s="3"/>
      <c r="G1037" s="6"/>
      <c r="H1037" s="3"/>
      <c r="I1037" s="6"/>
      <c r="J1037" s="6"/>
      <c r="K1037" s="6"/>
      <c r="L1037" s="6"/>
      <c r="M1037" s="6"/>
      <c r="N1037" s="6"/>
      <c r="O1037" s="3"/>
      <c r="P1037" s="6"/>
      <c r="Q1037" s="6"/>
      <c r="R1037" s="6"/>
      <c r="S1037" s="6"/>
      <c r="T1037" s="6"/>
      <c r="U1037" t="str">
        <f t="shared" si="16"/>
        <v/>
      </c>
    </row>
    <row r="1038" spans="3:21" customFormat="1" hidden="1">
      <c r="C1038" s="6"/>
      <c r="D1038" s="6"/>
      <c r="E1038" s="98"/>
      <c r="F1038" s="3"/>
      <c r="G1038" s="6"/>
      <c r="H1038" s="3"/>
      <c r="I1038" s="6"/>
      <c r="J1038" s="6"/>
      <c r="K1038" s="6"/>
      <c r="L1038" s="6"/>
      <c r="M1038" s="6"/>
      <c r="N1038" s="6"/>
      <c r="O1038" s="3"/>
      <c r="P1038" s="6"/>
      <c r="Q1038" s="6"/>
      <c r="R1038" s="6"/>
      <c r="S1038" s="6"/>
      <c r="T1038" s="6"/>
      <c r="U1038" t="str">
        <f t="shared" si="16"/>
        <v/>
      </c>
    </row>
    <row r="1039" spans="3:21" customFormat="1" hidden="1">
      <c r="C1039" s="6"/>
      <c r="D1039" s="6"/>
      <c r="E1039" s="98"/>
      <c r="F1039" s="3"/>
      <c r="G1039" s="6"/>
      <c r="H1039" s="3"/>
      <c r="I1039" s="6"/>
      <c r="J1039" s="6"/>
      <c r="K1039" s="6"/>
      <c r="L1039" s="6"/>
      <c r="M1039" s="6"/>
      <c r="N1039" s="6"/>
      <c r="O1039" s="3"/>
      <c r="P1039" s="6"/>
      <c r="Q1039" s="6"/>
      <c r="R1039" s="6"/>
      <c r="S1039" s="6"/>
      <c r="T1039" s="6"/>
      <c r="U1039" t="str">
        <f t="shared" si="16"/>
        <v/>
      </c>
    </row>
    <row r="1040" spans="3:21" customFormat="1" hidden="1">
      <c r="C1040" s="6"/>
      <c r="D1040" s="6"/>
      <c r="E1040" s="98"/>
      <c r="F1040" s="3"/>
      <c r="G1040" s="6"/>
      <c r="H1040" s="3"/>
      <c r="I1040" s="6"/>
      <c r="J1040" s="6"/>
      <c r="K1040" s="6"/>
      <c r="L1040" s="6"/>
      <c r="M1040" s="6"/>
      <c r="N1040" s="6"/>
      <c r="O1040" s="3"/>
      <c r="P1040" s="6"/>
      <c r="Q1040" s="6"/>
      <c r="R1040" s="6"/>
      <c r="S1040" s="6"/>
      <c r="T1040" s="6"/>
      <c r="U1040" t="str">
        <f t="shared" si="16"/>
        <v/>
      </c>
    </row>
    <row r="1041" spans="3:21" customFormat="1" hidden="1">
      <c r="C1041" s="6"/>
      <c r="D1041" s="6"/>
      <c r="E1041" s="98"/>
      <c r="F1041" s="3"/>
      <c r="G1041" s="6"/>
      <c r="H1041" s="3"/>
      <c r="I1041" s="6"/>
      <c r="J1041" s="6"/>
      <c r="K1041" s="6"/>
      <c r="L1041" s="6"/>
      <c r="M1041" s="6"/>
      <c r="N1041" s="6"/>
      <c r="O1041" s="3"/>
      <c r="P1041" s="6"/>
      <c r="Q1041" s="6"/>
      <c r="R1041" s="6"/>
      <c r="S1041" s="6"/>
      <c r="T1041" s="6"/>
      <c r="U1041" t="str">
        <f t="shared" si="16"/>
        <v/>
      </c>
    </row>
    <row r="1042" spans="3:21" customFormat="1" hidden="1">
      <c r="C1042" s="6"/>
      <c r="D1042" s="6"/>
      <c r="E1042" s="98"/>
      <c r="F1042" s="3"/>
      <c r="G1042" s="6"/>
      <c r="H1042" s="3"/>
      <c r="I1042" s="6"/>
      <c r="J1042" s="6"/>
      <c r="K1042" s="6"/>
      <c r="L1042" s="6"/>
      <c r="M1042" s="6"/>
      <c r="N1042" s="6"/>
      <c r="O1042" s="3"/>
      <c r="P1042" s="6"/>
      <c r="Q1042" s="6"/>
      <c r="R1042" s="6"/>
      <c r="S1042" s="6"/>
      <c r="T1042" s="6"/>
      <c r="U1042" t="str">
        <f t="shared" si="16"/>
        <v/>
      </c>
    </row>
    <row r="1043" spans="3:21" customFormat="1" hidden="1">
      <c r="C1043" s="6"/>
      <c r="D1043" s="6"/>
      <c r="E1043" s="98"/>
      <c r="F1043" s="3"/>
      <c r="G1043" s="6"/>
      <c r="H1043" s="3"/>
      <c r="I1043" s="6"/>
      <c r="J1043" s="6"/>
      <c r="K1043" s="6"/>
      <c r="L1043" s="6"/>
      <c r="M1043" s="6"/>
      <c r="N1043" s="6"/>
      <c r="O1043" s="3"/>
      <c r="P1043" s="6"/>
      <c r="Q1043" s="6"/>
      <c r="R1043" s="6"/>
      <c r="S1043" s="6"/>
      <c r="T1043" s="6"/>
      <c r="U1043" t="str">
        <f t="shared" si="16"/>
        <v/>
      </c>
    </row>
    <row r="1044" spans="3:21" customFormat="1" hidden="1">
      <c r="C1044" s="6"/>
      <c r="D1044" s="6"/>
      <c r="E1044" s="98"/>
      <c r="F1044" s="3"/>
      <c r="G1044" s="6"/>
      <c r="H1044" s="3"/>
      <c r="I1044" s="6"/>
      <c r="J1044" s="6"/>
      <c r="K1044" s="6"/>
      <c r="L1044" s="6"/>
      <c r="M1044" s="6"/>
      <c r="N1044" s="6"/>
      <c r="O1044" s="3"/>
      <c r="P1044" s="6"/>
      <c r="Q1044" s="6"/>
      <c r="R1044" s="6"/>
      <c r="S1044" s="6"/>
      <c r="T1044" s="6"/>
      <c r="U1044" t="str">
        <f t="shared" si="16"/>
        <v/>
      </c>
    </row>
    <row r="1045" spans="3:21" customFormat="1" hidden="1">
      <c r="C1045" s="6"/>
      <c r="D1045" s="6"/>
      <c r="E1045" s="98"/>
      <c r="F1045" s="3"/>
      <c r="G1045" s="6"/>
      <c r="H1045" s="3"/>
      <c r="I1045" s="6"/>
      <c r="J1045" s="6"/>
      <c r="K1045" s="6"/>
      <c r="L1045" s="6"/>
      <c r="M1045" s="6"/>
      <c r="N1045" s="6"/>
      <c r="O1045" s="3"/>
      <c r="P1045" s="6"/>
      <c r="Q1045" s="6"/>
      <c r="R1045" s="6"/>
      <c r="S1045" s="6"/>
      <c r="T1045" s="6"/>
      <c r="U1045" t="str">
        <f t="shared" si="16"/>
        <v/>
      </c>
    </row>
    <row r="1046" spans="3:21" customFormat="1" hidden="1">
      <c r="C1046" s="6"/>
      <c r="D1046" s="6"/>
      <c r="E1046" s="98"/>
      <c r="F1046" s="3"/>
      <c r="G1046" s="6"/>
      <c r="H1046" s="3"/>
      <c r="I1046" s="6"/>
      <c r="J1046" s="6"/>
      <c r="K1046" s="6"/>
      <c r="L1046" s="6"/>
      <c r="M1046" s="6"/>
      <c r="N1046" s="6"/>
      <c r="O1046" s="3"/>
      <c r="P1046" s="6"/>
      <c r="Q1046" s="6"/>
      <c r="R1046" s="6"/>
      <c r="S1046" s="6"/>
      <c r="T1046" s="6"/>
      <c r="U1046" t="str">
        <f t="shared" si="16"/>
        <v/>
      </c>
    </row>
    <row r="1047" spans="3:21" customFormat="1" hidden="1">
      <c r="C1047" s="6"/>
      <c r="D1047" s="6"/>
      <c r="E1047" s="98"/>
      <c r="F1047" s="3"/>
      <c r="G1047" s="6"/>
      <c r="H1047" s="3"/>
      <c r="I1047" s="6"/>
      <c r="J1047" s="6"/>
      <c r="K1047" s="6"/>
      <c r="L1047" s="6"/>
      <c r="M1047" s="6"/>
      <c r="N1047" s="6"/>
      <c r="O1047" s="3"/>
      <c r="P1047" s="6"/>
      <c r="Q1047" s="6"/>
      <c r="R1047" s="6"/>
      <c r="S1047" s="6"/>
      <c r="T1047" s="6"/>
      <c r="U1047" t="str">
        <f t="shared" si="16"/>
        <v/>
      </c>
    </row>
    <row r="1048" spans="3:21" customFormat="1" hidden="1">
      <c r="C1048" s="6"/>
      <c r="D1048" s="6"/>
      <c r="E1048" s="98"/>
      <c r="F1048" s="3"/>
      <c r="G1048" s="6"/>
      <c r="H1048" s="3"/>
      <c r="I1048" s="6"/>
      <c r="J1048" s="6"/>
      <c r="K1048" s="6"/>
      <c r="L1048" s="6"/>
      <c r="M1048" s="6"/>
      <c r="N1048" s="6"/>
      <c r="O1048" s="3"/>
      <c r="P1048" s="6"/>
      <c r="Q1048" s="6"/>
      <c r="R1048" s="6"/>
      <c r="S1048" s="6"/>
      <c r="T1048" s="6"/>
      <c r="U1048" t="str">
        <f t="shared" si="16"/>
        <v/>
      </c>
    </row>
    <row r="1049" spans="3:21" customFormat="1" hidden="1">
      <c r="C1049" s="6"/>
      <c r="D1049" s="6"/>
      <c r="E1049" s="98"/>
      <c r="F1049" s="3"/>
      <c r="G1049" s="6"/>
      <c r="H1049" s="3"/>
      <c r="I1049" s="6"/>
      <c r="J1049" s="6"/>
      <c r="K1049" s="6"/>
      <c r="L1049" s="6"/>
      <c r="M1049" s="6"/>
      <c r="N1049" s="6"/>
      <c r="O1049" s="3"/>
      <c r="P1049" s="6"/>
      <c r="Q1049" s="6"/>
      <c r="R1049" s="6"/>
      <c r="S1049" s="6"/>
      <c r="T1049" s="6"/>
      <c r="U1049" t="str">
        <f t="shared" si="16"/>
        <v/>
      </c>
    </row>
    <row r="1050" spans="3:21" customFormat="1" hidden="1">
      <c r="C1050" s="6"/>
      <c r="D1050" s="6"/>
      <c r="E1050" s="98"/>
      <c r="F1050" s="3"/>
      <c r="G1050" s="6"/>
      <c r="H1050" s="3"/>
      <c r="I1050" s="6"/>
      <c r="J1050" s="6"/>
      <c r="K1050" s="6"/>
      <c r="L1050" s="6"/>
      <c r="M1050" s="6"/>
      <c r="N1050" s="6"/>
      <c r="O1050" s="3"/>
      <c r="P1050" s="6"/>
      <c r="Q1050" s="6"/>
      <c r="R1050" s="6"/>
      <c r="S1050" s="6"/>
      <c r="T1050" s="6"/>
      <c r="U1050" t="str">
        <f t="shared" si="16"/>
        <v/>
      </c>
    </row>
    <row r="1051" spans="3:21" customFormat="1" hidden="1">
      <c r="C1051" s="6"/>
      <c r="D1051" s="6"/>
      <c r="E1051" s="98"/>
      <c r="F1051" s="3"/>
      <c r="G1051" s="6"/>
      <c r="H1051" s="3"/>
      <c r="I1051" s="6"/>
      <c r="J1051" s="6"/>
      <c r="K1051" s="6"/>
      <c r="L1051" s="6"/>
      <c r="M1051" s="6"/>
      <c r="N1051" s="6"/>
      <c r="O1051" s="3"/>
      <c r="P1051" s="6"/>
      <c r="Q1051" s="6"/>
      <c r="R1051" s="6"/>
      <c r="S1051" s="6"/>
      <c r="T1051" s="6"/>
      <c r="U1051" t="str">
        <f t="shared" si="16"/>
        <v/>
      </c>
    </row>
    <row r="1052" spans="3:21" customFormat="1" hidden="1">
      <c r="C1052" s="6"/>
      <c r="D1052" s="6"/>
      <c r="E1052" s="98"/>
      <c r="F1052" s="3"/>
      <c r="G1052" s="6"/>
      <c r="H1052" s="3"/>
      <c r="I1052" s="6"/>
      <c r="J1052" s="6"/>
      <c r="K1052" s="6"/>
      <c r="L1052" s="6"/>
      <c r="M1052" s="6"/>
      <c r="N1052" s="6"/>
      <c r="O1052" s="3"/>
      <c r="P1052" s="6"/>
      <c r="Q1052" s="6"/>
      <c r="R1052" s="6"/>
      <c r="S1052" s="6"/>
      <c r="T1052" s="6"/>
      <c r="U1052" t="str">
        <f t="shared" si="16"/>
        <v/>
      </c>
    </row>
    <row r="1053" spans="3:21" customFormat="1" hidden="1">
      <c r="C1053" s="6"/>
      <c r="D1053" s="6"/>
      <c r="E1053" s="98"/>
      <c r="F1053" s="3"/>
      <c r="G1053" s="6"/>
      <c r="H1053" s="3"/>
      <c r="I1053" s="6"/>
      <c r="J1053" s="6"/>
      <c r="K1053" s="6"/>
      <c r="L1053" s="6"/>
      <c r="M1053" s="6"/>
      <c r="N1053" s="6"/>
      <c r="O1053" s="3"/>
      <c r="P1053" s="6"/>
      <c r="Q1053" s="6"/>
      <c r="R1053" s="6"/>
      <c r="S1053" s="6"/>
      <c r="T1053" s="6"/>
      <c r="U1053" t="str">
        <f t="shared" si="16"/>
        <v/>
      </c>
    </row>
    <row r="1054" spans="3:21" customFormat="1" hidden="1">
      <c r="C1054" s="6"/>
      <c r="D1054" s="6"/>
      <c r="E1054" s="98"/>
      <c r="F1054" s="3"/>
      <c r="G1054" s="6"/>
      <c r="H1054" s="3"/>
      <c r="I1054" s="6"/>
      <c r="J1054" s="6"/>
      <c r="K1054" s="6"/>
      <c r="L1054" s="6"/>
      <c r="M1054" s="6"/>
      <c r="N1054" s="6"/>
      <c r="O1054" s="3"/>
      <c r="P1054" s="6"/>
      <c r="Q1054" s="6"/>
      <c r="R1054" s="6"/>
      <c r="S1054" s="6"/>
      <c r="T1054" s="6"/>
      <c r="U1054" t="str">
        <f t="shared" si="16"/>
        <v/>
      </c>
    </row>
    <row r="1055" spans="3:21" customFormat="1" hidden="1">
      <c r="C1055" s="6"/>
      <c r="D1055" s="6"/>
      <c r="E1055" s="98"/>
      <c r="F1055" s="3"/>
      <c r="G1055" s="6"/>
      <c r="H1055" s="3"/>
      <c r="I1055" s="6"/>
      <c r="J1055" s="6"/>
      <c r="K1055" s="6"/>
      <c r="L1055" s="6"/>
      <c r="M1055" s="6"/>
      <c r="N1055" s="6"/>
      <c r="O1055" s="3"/>
      <c r="P1055" s="6"/>
      <c r="Q1055" s="6"/>
      <c r="R1055" s="6"/>
      <c r="S1055" s="6"/>
      <c r="T1055" s="6"/>
      <c r="U1055" t="str">
        <f t="shared" si="16"/>
        <v/>
      </c>
    </row>
    <row r="1056" spans="3:21" customFormat="1" hidden="1">
      <c r="C1056" s="6"/>
      <c r="D1056" s="6"/>
      <c r="E1056" s="98"/>
      <c r="F1056" s="3"/>
      <c r="G1056" s="6"/>
      <c r="H1056" s="3"/>
      <c r="I1056" s="6"/>
      <c r="J1056" s="6"/>
      <c r="K1056" s="6"/>
      <c r="L1056" s="6"/>
      <c r="M1056" s="6"/>
      <c r="N1056" s="6"/>
      <c r="O1056" s="3"/>
      <c r="P1056" s="6"/>
      <c r="Q1056" s="6"/>
      <c r="R1056" s="6"/>
      <c r="S1056" s="6"/>
      <c r="T1056" s="6"/>
      <c r="U1056" t="str">
        <f t="shared" si="16"/>
        <v/>
      </c>
    </row>
    <row r="1057" spans="3:21" customFormat="1" hidden="1">
      <c r="C1057" s="6"/>
      <c r="D1057" s="6"/>
      <c r="E1057" s="98"/>
      <c r="F1057" s="3"/>
      <c r="G1057" s="6"/>
      <c r="H1057" s="3"/>
      <c r="I1057" s="6"/>
      <c r="J1057" s="6"/>
      <c r="K1057" s="6"/>
      <c r="L1057" s="6"/>
      <c r="M1057" s="6"/>
      <c r="N1057" s="6"/>
      <c r="O1057" s="3"/>
      <c r="P1057" s="6"/>
      <c r="Q1057" s="6"/>
      <c r="R1057" s="6"/>
      <c r="S1057" s="6"/>
      <c r="T1057" s="6"/>
      <c r="U1057" t="str">
        <f t="shared" si="16"/>
        <v/>
      </c>
    </row>
    <row r="1058" spans="3:21" customFormat="1" hidden="1">
      <c r="C1058" s="6"/>
      <c r="D1058" s="6"/>
      <c r="E1058" s="98"/>
      <c r="F1058" s="3"/>
      <c r="G1058" s="6"/>
      <c r="H1058" s="3"/>
      <c r="I1058" s="6"/>
      <c r="J1058" s="6"/>
      <c r="K1058" s="6"/>
      <c r="L1058" s="6"/>
      <c r="M1058" s="6"/>
      <c r="N1058" s="6"/>
      <c r="O1058" s="3"/>
      <c r="P1058" s="6"/>
      <c r="Q1058" s="6"/>
      <c r="R1058" s="6"/>
      <c r="S1058" s="6"/>
      <c r="T1058" s="6"/>
      <c r="U1058" t="str">
        <f t="shared" si="16"/>
        <v/>
      </c>
    </row>
    <row r="1059" spans="3:21" customFormat="1" hidden="1">
      <c r="C1059" s="6"/>
      <c r="D1059" s="6"/>
      <c r="E1059" s="98"/>
      <c r="F1059" s="3"/>
      <c r="G1059" s="6"/>
      <c r="H1059" s="3"/>
      <c r="I1059" s="6"/>
      <c r="J1059" s="6"/>
      <c r="K1059" s="6"/>
      <c r="L1059" s="6"/>
      <c r="M1059" s="6"/>
      <c r="N1059" s="6"/>
      <c r="O1059" s="3"/>
      <c r="P1059" s="6"/>
      <c r="Q1059" s="6"/>
      <c r="R1059" s="6"/>
      <c r="S1059" s="6"/>
      <c r="T1059" s="6"/>
      <c r="U1059" t="str">
        <f t="shared" si="16"/>
        <v/>
      </c>
    </row>
    <row r="1060" spans="3:21" customFormat="1" hidden="1">
      <c r="C1060" s="6"/>
      <c r="D1060" s="6"/>
      <c r="E1060" s="98"/>
      <c r="F1060" s="3"/>
      <c r="G1060" s="6"/>
      <c r="H1060" s="3"/>
      <c r="I1060" s="6"/>
      <c r="J1060" s="6"/>
      <c r="K1060" s="6"/>
      <c r="L1060" s="6"/>
      <c r="M1060" s="6"/>
      <c r="N1060" s="6"/>
      <c r="O1060" s="3"/>
      <c r="P1060" s="6"/>
      <c r="Q1060" s="6"/>
      <c r="R1060" s="6"/>
      <c r="S1060" s="6"/>
      <c r="T1060" s="6"/>
      <c r="U1060" t="str">
        <f t="shared" si="16"/>
        <v/>
      </c>
    </row>
    <row r="1061" spans="3:21" customFormat="1" hidden="1">
      <c r="C1061" s="6"/>
      <c r="D1061" s="6"/>
      <c r="E1061" s="98"/>
      <c r="F1061" s="3"/>
      <c r="G1061" s="6"/>
      <c r="H1061" s="3"/>
      <c r="I1061" s="6"/>
      <c r="J1061" s="6"/>
      <c r="K1061" s="6"/>
      <c r="L1061" s="6"/>
      <c r="M1061" s="6"/>
      <c r="N1061" s="6"/>
      <c r="O1061" s="3"/>
      <c r="P1061" s="6"/>
      <c r="Q1061" s="6"/>
      <c r="R1061" s="6"/>
      <c r="S1061" s="6"/>
      <c r="T1061" s="6"/>
      <c r="U1061" t="str">
        <f t="shared" si="16"/>
        <v/>
      </c>
    </row>
    <row r="1062" spans="3:21" customFormat="1" hidden="1">
      <c r="C1062" s="6"/>
      <c r="D1062" s="6"/>
      <c r="E1062" s="98"/>
      <c r="F1062" s="3"/>
      <c r="G1062" s="6"/>
      <c r="H1062" s="3"/>
      <c r="I1062" s="6"/>
      <c r="J1062" s="6"/>
      <c r="K1062" s="6"/>
      <c r="L1062" s="6"/>
      <c r="M1062" s="6"/>
      <c r="N1062" s="6"/>
      <c r="O1062" s="3"/>
      <c r="P1062" s="6"/>
      <c r="Q1062" s="6"/>
      <c r="R1062" s="6"/>
      <c r="S1062" s="6"/>
      <c r="T1062" s="6"/>
      <c r="U1062" t="str">
        <f t="shared" si="16"/>
        <v/>
      </c>
    </row>
    <row r="1063" spans="3:21" customFormat="1" hidden="1">
      <c r="C1063" s="6"/>
      <c r="D1063" s="6"/>
      <c r="E1063" s="98"/>
      <c r="F1063" s="3"/>
      <c r="G1063" s="6"/>
      <c r="H1063" s="3"/>
      <c r="I1063" s="6"/>
      <c r="J1063" s="6"/>
      <c r="K1063" s="6"/>
      <c r="L1063" s="6"/>
      <c r="M1063" s="6"/>
      <c r="N1063" s="6"/>
      <c r="O1063" s="3"/>
      <c r="P1063" s="6"/>
      <c r="Q1063" s="6"/>
      <c r="R1063" s="6"/>
      <c r="S1063" s="6"/>
      <c r="T1063" s="6"/>
      <c r="U1063" t="str">
        <f t="shared" si="16"/>
        <v/>
      </c>
    </row>
    <row r="1064" spans="3:21" customFormat="1" hidden="1">
      <c r="C1064" s="6"/>
      <c r="D1064" s="6"/>
      <c r="E1064" s="98"/>
      <c r="F1064" s="3"/>
      <c r="G1064" s="6"/>
      <c r="H1064" s="3"/>
      <c r="I1064" s="6"/>
      <c r="J1064" s="6"/>
      <c r="K1064" s="6"/>
      <c r="L1064" s="6"/>
      <c r="M1064" s="6"/>
      <c r="N1064" s="6"/>
      <c r="O1064" s="3"/>
      <c r="P1064" s="6"/>
      <c r="Q1064" s="6"/>
      <c r="R1064" s="6"/>
      <c r="S1064" s="6"/>
      <c r="T1064" s="6"/>
      <c r="U1064" t="str">
        <f t="shared" si="16"/>
        <v/>
      </c>
    </row>
    <row r="1065" spans="3:21" customFormat="1" hidden="1">
      <c r="C1065" s="6"/>
      <c r="D1065" s="6"/>
      <c r="E1065" s="98"/>
      <c r="F1065" s="3"/>
      <c r="G1065" s="6"/>
      <c r="H1065" s="3"/>
      <c r="I1065" s="6"/>
      <c r="J1065" s="6"/>
      <c r="K1065" s="6"/>
      <c r="L1065" s="6"/>
      <c r="M1065" s="6"/>
      <c r="N1065" s="6"/>
      <c r="O1065" s="3"/>
      <c r="P1065" s="6"/>
      <c r="Q1065" s="6"/>
      <c r="R1065" s="6"/>
      <c r="S1065" s="6"/>
      <c r="T1065" s="6"/>
      <c r="U1065" t="str">
        <f t="shared" si="16"/>
        <v/>
      </c>
    </row>
    <row r="1066" spans="3:21" customFormat="1" hidden="1">
      <c r="C1066" s="6"/>
      <c r="D1066" s="6"/>
      <c r="E1066" s="98"/>
      <c r="F1066" s="3"/>
      <c r="G1066" s="6"/>
      <c r="H1066" s="3"/>
      <c r="I1066" s="6"/>
      <c r="J1066" s="6"/>
      <c r="K1066" s="6"/>
      <c r="L1066" s="6"/>
      <c r="M1066" s="6"/>
      <c r="N1066" s="6"/>
      <c r="O1066" s="3"/>
      <c r="P1066" s="6"/>
      <c r="Q1066" s="6"/>
      <c r="R1066" s="6"/>
      <c r="S1066" s="6"/>
      <c r="T1066" s="6"/>
      <c r="U1066" t="str">
        <f t="shared" si="16"/>
        <v/>
      </c>
    </row>
    <row r="1067" spans="3:21" customFormat="1" hidden="1">
      <c r="C1067" s="6"/>
      <c r="D1067" s="6"/>
      <c r="E1067" s="98"/>
      <c r="F1067" s="3"/>
      <c r="G1067" s="6"/>
      <c r="H1067" s="3"/>
      <c r="I1067" s="6"/>
      <c r="J1067" s="6"/>
      <c r="K1067" s="6"/>
      <c r="L1067" s="6"/>
      <c r="M1067" s="6"/>
      <c r="N1067" s="6"/>
      <c r="O1067" s="3"/>
      <c r="P1067" s="6"/>
      <c r="Q1067" s="6"/>
      <c r="R1067" s="6"/>
      <c r="S1067" s="6"/>
      <c r="T1067" s="6"/>
      <c r="U1067" t="str">
        <f t="shared" si="16"/>
        <v/>
      </c>
    </row>
    <row r="1068" spans="3:21" customFormat="1" hidden="1">
      <c r="C1068" s="6"/>
      <c r="D1068" s="6"/>
      <c r="E1068" s="98"/>
      <c r="F1068" s="3"/>
      <c r="G1068" s="6"/>
      <c r="H1068" s="3"/>
      <c r="I1068" s="6"/>
      <c r="J1068" s="6"/>
      <c r="K1068" s="6"/>
      <c r="L1068" s="6"/>
      <c r="M1068" s="6"/>
      <c r="N1068" s="6"/>
      <c r="O1068" s="3"/>
      <c r="P1068" s="6"/>
      <c r="Q1068" s="6"/>
      <c r="R1068" s="6"/>
      <c r="S1068" s="6"/>
      <c r="T1068" s="6"/>
      <c r="U1068" t="str">
        <f t="shared" si="16"/>
        <v/>
      </c>
    </row>
    <row r="1069" spans="3:21" customFormat="1" hidden="1">
      <c r="C1069" s="6"/>
      <c r="D1069" s="6"/>
      <c r="E1069" s="98"/>
      <c r="F1069" s="3"/>
      <c r="G1069" s="6"/>
      <c r="H1069" s="3"/>
      <c r="I1069" s="6"/>
      <c r="J1069" s="6"/>
      <c r="K1069" s="6"/>
      <c r="L1069" s="6"/>
      <c r="M1069" s="6"/>
      <c r="N1069" s="6"/>
      <c r="O1069" s="3"/>
      <c r="P1069" s="6"/>
      <c r="Q1069" s="6"/>
      <c r="R1069" s="6"/>
      <c r="S1069" s="6"/>
      <c r="T1069" s="6"/>
      <c r="U1069" t="str">
        <f t="shared" si="16"/>
        <v/>
      </c>
    </row>
    <row r="1070" spans="3:21" customFormat="1" hidden="1">
      <c r="C1070" s="6"/>
      <c r="D1070" s="6"/>
      <c r="E1070" s="98"/>
      <c r="F1070" s="3"/>
      <c r="G1070" s="6"/>
      <c r="H1070" s="3"/>
      <c r="I1070" s="6"/>
      <c r="J1070" s="6"/>
      <c r="K1070" s="6"/>
      <c r="L1070" s="6"/>
      <c r="M1070" s="6"/>
      <c r="N1070" s="6"/>
      <c r="O1070" s="3"/>
      <c r="P1070" s="6"/>
      <c r="Q1070" s="6"/>
      <c r="R1070" s="6"/>
      <c r="S1070" s="6"/>
      <c r="T1070" s="6"/>
      <c r="U1070" t="str">
        <f t="shared" si="16"/>
        <v/>
      </c>
    </row>
    <row r="1071" spans="3:21" customFormat="1" hidden="1">
      <c r="C1071" s="6"/>
      <c r="D1071" s="6"/>
      <c r="E1071" s="98"/>
      <c r="F1071" s="3"/>
      <c r="G1071" s="6"/>
      <c r="H1071" s="3"/>
      <c r="I1071" s="6"/>
      <c r="J1071" s="6"/>
      <c r="K1071" s="6"/>
      <c r="L1071" s="6"/>
      <c r="M1071" s="6"/>
      <c r="N1071" s="6"/>
      <c r="O1071" s="3"/>
      <c r="P1071" s="6"/>
      <c r="Q1071" s="6"/>
      <c r="R1071" s="6"/>
      <c r="S1071" s="6"/>
      <c r="T1071" s="6"/>
      <c r="U1071" t="str">
        <f t="shared" si="16"/>
        <v/>
      </c>
    </row>
    <row r="1072" spans="3:21" customFormat="1" hidden="1">
      <c r="C1072" s="6"/>
      <c r="D1072" s="6"/>
      <c r="E1072" s="98"/>
      <c r="F1072" s="3"/>
      <c r="G1072" s="6"/>
      <c r="H1072" s="3"/>
      <c r="I1072" s="6"/>
      <c r="J1072" s="6"/>
      <c r="K1072" s="6"/>
      <c r="L1072" s="6"/>
      <c r="M1072" s="6"/>
      <c r="N1072" s="6"/>
      <c r="O1072" s="3"/>
      <c r="P1072" s="6"/>
      <c r="Q1072" s="6"/>
      <c r="R1072" s="6"/>
      <c r="S1072" s="6"/>
      <c r="T1072" s="6"/>
      <c r="U1072" t="str">
        <f t="shared" si="16"/>
        <v/>
      </c>
    </row>
    <row r="1073" spans="3:21" customFormat="1" hidden="1">
      <c r="C1073" s="6"/>
      <c r="D1073" s="6"/>
      <c r="E1073" s="98"/>
      <c r="F1073" s="3"/>
      <c r="G1073" s="6"/>
      <c r="H1073" s="3"/>
      <c r="I1073" s="6"/>
      <c r="J1073" s="6"/>
      <c r="K1073" s="6"/>
      <c r="L1073" s="6"/>
      <c r="M1073" s="6"/>
      <c r="N1073" s="6"/>
      <c r="O1073" s="3"/>
      <c r="P1073" s="6"/>
      <c r="Q1073" s="6"/>
      <c r="R1073" s="6"/>
      <c r="S1073" s="6"/>
      <c r="T1073" s="6"/>
      <c r="U1073" t="str">
        <f t="shared" si="16"/>
        <v/>
      </c>
    </row>
    <row r="1074" spans="3:21" customFormat="1" hidden="1">
      <c r="C1074" s="6"/>
      <c r="D1074" s="6"/>
      <c r="E1074" s="98"/>
      <c r="F1074" s="3"/>
      <c r="G1074" s="6"/>
      <c r="H1074" s="3"/>
      <c r="I1074" s="6"/>
      <c r="J1074" s="6"/>
      <c r="K1074" s="6"/>
      <c r="L1074" s="6"/>
      <c r="M1074" s="6"/>
      <c r="N1074" s="6"/>
      <c r="O1074" s="3"/>
      <c r="P1074" s="6"/>
      <c r="Q1074" s="6"/>
      <c r="R1074" s="6"/>
      <c r="S1074" s="6"/>
      <c r="T1074" s="6"/>
      <c r="U1074" t="str">
        <f t="shared" si="16"/>
        <v/>
      </c>
    </row>
    <row r="1075" spans="3:21" customFormat="1" hidden="1">
      <c r="C1075" s="6"/>
      <c r="D1075" s="6"/>
      <c r="E1075" s="98"/>
      <c r="F1075" s="3"/>
      <c r="G1075" s="6"/>
      <c r="H1075" s="3"/>
      <c r="I1075" s="6"/>
      <c r="J1075" s="6"/>
      <c r="K1075" s="6"/>
      <c r="L1075" s="6"/>
      <c r="M1075" s="6"/>
      <c r="N1075" s="6"/>
      <c r="O1075" s="3"/>
      <c r="P1075" s="6"/>
      <c r="Q1075" s="6"/>
      <c r="R1075" s="6"/>
      <c r="S1075" s="6"/>
      <c r="T1075" s="6"/>
      <c r="U1075" t="str">
        <f t="shared" si="16"/>
        <v/>
      </c>
    </row>
    <row r="1076" spans="3:21" customFormat="1" hidden="1">
      <c r="C1076" s="6"/>
      <c r="D1076" s="6"/>
      <c r="E1076" s="98"/>
      <c r="F1076" s="3"/>
      <c r="G1076" s="6"/>
      <c r="H1076" s="3"/>
      <c r="I1076" s="6"/>
      <c r="J1076" s="6"/>
      <c r="K1076" s="6"/>
      <c r="L1076" s="6"/>
      <c r="M1076" s="6"/>
      <c r="N1076" s="6"/>
      <c r="O1076" s="3"/>
      <c r="P1076" s="6"/>
      <c r="Q1076" s="6"/>
      <c r="R1076" s="6"/>
      <c r="S1076" s="6"/>
      <c r="T1076" s="6"/>
      <c r="U1076" t="str">
        <f t="shared" si="16"/>
        <v/>
      </c>
    </row>
    <row r="1077" spans="3:21" customFormat="1" hidden="1">
      <c r="C1077" s="6"/>
      <c r="D1077" s="6"/>
      <c r="E1077" s="98"/>
      <c r="F1077" s="3"/>
      <c r="G1077" s="6"/>
      <c r="H1077" s="3"/>
      <c r="I1077" s="6"/>
      <c r="J1077" s="6"/>
      <c r="K1077" s="6"/>
      <c r="L1077" s="6"/>
      <c r="M1077" s="6"/>
      <c r="N1077" s="6"/>
      <c r="O1077" s="3"/>
      <c r="P1077" s="6"/>
      <c r="Q1077" s="6"/>
      <c r="R1077" s="6"/>
      <c r="S1077" s="6"/>
      <c r="T1077" s="6"/>
      <c r="U1077" t="str">
        <f t="shared" si="16"/>
        <v/>
      </c>
    </row>
    <row r="1078" spans="3:21" customFormat="1" hidden="1">
      <c r="C1078" s="6"/>
      <c r="D1078" s="6"/>
      <c r="E1078" s="98"/>
      <c r="F1078" s="3"/>
      <c r="G1078" s="6"/>
      <c r="H1078" s="3"/>
      <c r="I1078" s="6"/>
      <c r="J1078" s="6"/>
      <c r="K1078" s="6"/>
      <c r="L1078" s="6"/>
      <c r="M1078" s="6"/>
      <c r="N1078" s="6"/>
      <c r="O1078" s="3"/>
      <c r="P1078" s="6"/>
      <c r="Q1078" s="6"/>
      <c r="R1078" s="6"/>
      <c r="S1078" s="6"/>
      <c r="T1078" s="6"/>
      <c r="U1078" t="str">
        <f t="shared" si="16"/>
        <v/>
      </c>
    </row>
    <row r="1079" spans="3:21" customFormat="1" hidden="1">
      <c r="C1079" s="6"/>
      <c r="D1079" s="6"/>
      <c r="E1079" s="98"/>
      <c r="F1079" s="3"/>
      <c r="G1079" s="6"/>
      <c r="H1079" s="3"/>
      <c r="I1079" s="6"/>
      <c r="J1079" s="6"/>
      <c r="K1079" s="6"/>
      <c r="L1079" s="6"/>
      <c r="M1079" s="6"/>
      <c r="N1079" s="6"/>
      <c r="O1079" s="3"/>
      <c r="P1079" s="6"/>
      <c r="Q1079" s="6"/>
      <c r="R1079" s="6"/>
      <c r="S1079" s="6"/>
      <c r="T1079" s="6"/>
      <c r="U1079" t="str">
        <f t="shared" si="16"/>
        <v/>
      </c>
    </row>
    <row r="1080" spans="3:21" customFormat="1" hidden="1">
      <c r="C1080" s="6"/>
      <c r="D1080" s="6"/>
      <c r="E1080" s="98"/>
      <c r="F1080" s="3"/>
      <c r="G1080" s="6"/>
      <c r="H1080" s="3"/>
      <c r="I1080" s="6"/>
      <c r="J1080" s="6"/>
      <c r="K1080" s="6"/>
      <c r="L1080" s="6"/>
      <c r="M1080" s="6"/>
      <c r="N1080" s="6"/>
      <c r="O1080" s="3"/>
      <c r="P1080" s="6"/>
      <c r="Q1080" s="6"/>
      <c r="R1080" s="6"/>
      <c r="S1080" s="6"/>
      <c r="T1080" s="6"/>
      <c r="U1080" t="str">
        <f t="shared" si="16"/>
        <v/>
      </c>
    </row>
    <row r="1081" spans="3:21" customFormat="1" hidden="1">
      <c r="C1081" s="6"/>
      <c r="D1081" s="6"/>
      <c r="E1081" s="98"/>
      <c r="F1081" s="3"/>
      <c r="G1081" s="6"/>
      <c r="H1081" s="3"/>
      <c r="I1081" s="6"/>
      <c r="J1081" s="6"/>
      <c r="K1081" s="6"/>
      <c r="L1081" s="6"/>
      <c r="M1081" s="6"/>
      <c r="N1081" s="6"/>
      <c r="O1081" s="3"/>
      <c r="P1081" s="6"/>
      <c r="Q1081" s="6"/>
      <c r="R1081" s="6"/>
      <c r="S1081" s="6"/>
      <c r="T1081" s="6"/>
      <c r="U1081" t="str">
        <f t="shared" si="16"/>
        <v/>
      </c>
    </row>
    <row r="1082" spans="3:21" customFormat="1" hidden="1">
      <c r="C1082" s="6"/>
      <c r="D1082" s="6"/>
      <c r="E1082" s="98"/>
      <c r="F1082" s="3"/>
      <c r="G1082" s="6"/>
      <c r="H1082" s="3"/>
      <c r="I1082" s="6"/>
      <c r="J1082" s="6"/>
      <c r="K1082" s="6"/>
      <c r="L1082" s="6"/>
      <c r="M1082" s="6"/>
      <c r="N1082" s="6"/>
      <c r="O1082" s="3"/>
      <c r="P1082" s="6"/>
      <c r="Q1082" s="6"/>
      <c r="R1082" s="6"/>
      <c r="S1082" s="6"/>
      <c r="T1082" s="6"/>
      <c r="U1082" t="str">
        <f t="shared" si="16"/>
        <v/>
      </c>
    </row>
    <row r="1083" spans="3:21" customFormat="1" hidden="1">
      <c r="C1083" s="6"/>
      <c r="D1083" s="6"/>
      <c r="E1083" s="98"/>
      <c r="F1083" s="3"/>
      <c r="G1083" s="6"/>
      <c r="H1083" s="3"/>
      <c r="I1083" s="6"/>
      <c r="J1083" s="6"/>
      <c r="K1083" s="6"/>
      <c r="L1083" s="6"/>
      <c r="M1083" s="6"/>
      <c r="N1083" s="6"/>
      <c r="O1083" s="3"/>
      <c r="P1083" s="6"/>
      <c r="Q1083" s="6"/>
      <c r="R1083" s="6"/>
      <c r="S1083" s="6"/>
      <c r="T1083" s="6"/>
      <c r="U1083" t="str">
        <f t="shared" si="16"/>
        <v/>
      </c>
    </row>
    <row r="1084" spans="3:21" customFormat="1" hidden="1">
      <c r="C1084" s="6"/>
      <c r="D1084" s="6"/>
      <c r="E1084" s="98"/>
      <c r="F1084" s="3"/>
      <c r="G1084" s="6"/>
      <c r="H1084" s="3"/>
      <c r="I1084" s="6"/>
      <c r="J1084" s="6"/>
      <c r="K1084" s="6"/>
      <c r="L1084" s="6"/>
      <c r="M1084" s="6"/>
      <c r="N1084" s="6"/>
      <c r="O1084" s="3"/>
      <c r="P1084" s="6"/>
      <c r="Q1084" s="6"/>
      <c r="R1084" s="6"/>
      <c r="S1084" s="6"/>
      <c r="T1084" s="6"/>
      <c r="U1084" t="str">
        <f t="shared" si="16"/>
        <v/>
      </c>
    </row>
    <row r="1085" spans="3:21" customFormat="1" hidden="1">
      <c r="C1085" s="6"/>
      <c r="D1085" s="6"/>
      <c r="E1085" s="98"/>
      <c r="F1085" s="3"/>
      <c r="G1085" s="6"/>
      <c r="H1085" s="3"/>
      <c r="I1085" s="6"/>
      <c r="J1085" s="6"/>
      <c r="K1085" s="6"/>
      <c r="L1085" s="6"/>
      <c r="M1085" s="6"/>
      <c r="N1085" s="6"/>
      <c r="O1085" s="3"/>
      <c r="P1085" s="6"/>
      <c r="Q1085" s="6"/>
      <c r="R1085" s="6"/>
      <c r="S1085" s="6"/>
      <c r="T1085" s="6"/>
      <c r="U1085" t="str">
        <f t="shared" si="16"/>
        <v/>
      </c>
    </row>
    <row r="1086" spans="3:21" customFormat="1" hidden="1">
      <c r="C1086" s="6"/>
      <c r="D1086" s="6"/>
      <c r="E1086" s="98"/>
      <c r="F1086" s="3"/>
      <c r="G1086" s="6"/>
      <c r="H1086" s="3"/>
      <c r="I1086" s="6"/>
      <c r="J1086" s="6"/>
      <c r="K1086" s="6"/>
      <c r="L1086" s="6"/>
      <c r="M1086" s="6"/>
      <c r="N1086" s="6"/>
      <c r="O1086" s="3"/>
      <c r="P1086" s="6"/>
      <c r="Q1086" s="6"/>
      <c r="R1086" s="6"/>
      <c r="S1086" s="6"/>
      <c r="T1086" s="6"/>
      <c r="U1086" t="str">
        <f t="shared" si="16"/>
        <v/>
      </c>
    </row>
    <row r="1087" spans="3:21" customFormat="1" hidden="1">
      <c r="C1087" s="6"/>
      <c r="D1087" s="6"/>
      <c r="E1087" s="98"/>
      <c r="F1087" s="3"/>
      <c r="G1087" s="6"/>
      <c r="H1087" s="3"/>
      <c r="I1087" s="6"/>
      <c r="J1087" s="6"/>
      <c r="K1087" s="6"/>
      <c r="L1087" s="6"/>
      <c r="M1087" s="6"/>
      <c r="N1087" s="6"/>
      <c r="O1087" s="3"/>
      <c r="P1087" s="6"/>
      <c r="Q1087" s="6"/>
      <c r="R1087" s="6"/>
      <c r="S1087" s="6"/>
      <c r="T1087" s="6"/>
      <c r="U1087" t="str">
        <f t="shared" si="16"/>
        <v/>
      </c>
    </row>
    <row r="1088" spans="3:21" customFormat="1" hidden="1">
      <c r="C1088" s="6"/>
      <c r="D1088" s="6"/>
      <c r="E1088" s="98"/>
      <c r="F1088" s="3"/>
      <c r="G1088" s="6"/>
      <c r="H1088" s="3"/>
      <c r="I1088" s="6"/>
      <c r="J1088" s="6"/>
      <c r="K1088" s="6"/>
      <c r="L1088" s="6"/>
      <c r="M1088" s="6"/>
      <c r="N1088" s="6"/>
      <c r="O1088" s="3"/>
      <c r="P1088" s="6"/>
      <c r="Q1088" s="6"/>
      <c r="R1088" s="6"/>
      <c r="S1088" s="6"/>
      <c r="T1088" s="6"/>
      <c r="U1088" t="str">
        <f t="shared" si="16"/>
        <v/>
      </c>
    </row>
    <row r="1089" spans="3:21" customFormat="1" hidden="1">
      <c r="C1089" s="6"/>
      <c r="D1089" s="6"/>
      <c r="E1089" s="98"/>
      <c r="F1089" s="3"/>
      <c r="G1089" s="6"/>
      <c r="H1089" s="3"/>
      <c r="I1089" s="6"/>
      <c r="J1089" s="6"/>
      <c r="K1089" s="6"/>
      <c r="L1089" s="6"/>
      <c r="M1089" s="6"/>
      <c r="N1089" s="6"/>
      <c r="O1089" s="3"/>
      <c r="P1089" s="6"/>
      <c r="Q1089" s="6"/>
      <c r="R1089" s="6"/>
      <c r="S1089" s="6"/>
      <c r="T1089" s="6"/>
      <c r="U1089" t="str">
        <f t="shared" si="16"/>
        <v/>
      </c>
    </row>
    <row r="1090" spans="3:21" customFormat="1" hidden="1">
      <c r="C1090" s="6"/>
      <c r="D1090" s="6"/>
      <c r="E1090" s="98"/>
      <c r="F1090" s="3"/>
      <c r="G1090" s="6"/>
      <c r="H1090" s="3"/>
      <c r="I1090" s="6"/>
      <c r="J1090" s="6"/>
      <c r="K1090" s="6"/>
      <c r="L1090" s="6"/>
      <c r="M1090" s="6"/>
      <c r="N1090" s="6"/>
      <c r="O1090" s="3"/>
      <c r="P1090" s="6"/>
      <c r="Q1090" s="6"/>
      <c r="R1090" s="6"/>
      <c r="S1090" s="6"/>
      <c r="T1090" s="6"/>
      <c r="U1090" t="str">
        <f t="shared" si="16"/>
        <v/>
      </c>
    </row>
    <row r="1091" spans="3:21" customFormat="1" hidden="1">
      <c r="C1091" s="6"/>
      <c r="D1091" s="6"/>
      <c r="E1091" s="98"/>
      <c r="F1091" s="3"/>
      <c r="G1091" s="6"/>
      <c r="H1091" s="3"/>
      <c r="I1091" s="6"/>
      <c r="J1091" s="6"/>
      <c r="K1091" s="6"/>
      <c r="L1091" s="6"/>
      <c r="M1091" s="6"/>
      <c r="N1091" s="6"/>
      <c r="O1091" s="3"/>
      <c r="P1091" s="6"/>
      <c r="Q1091" s="6"/>
      <c r="R1091" s="6"/>
      <c r="S1091" s="6"/>
      <c r="T1091" s="6"/>
      <c r="U1091" t="str">
        <f t="shared" si="16"/>
        <v/>
      </c>
    </row>
    <row r="1092" spans="3:21" customFormat="1" hidden="1">
      <c r="C1092" s="6"/>
      <c r="D1092" s="6"/>
      <c r="E1092" s="98"/>
      <c r="F1092" s="3"/>
      <c r="G1092" s="6"/>
      <c r="H1092" s="3"/>
      <c r="I1092" s="6"/>
      <c r="J1092" s="6"/>
      <c r="K1092" s="6"/>
      <c r="L1092" s="6"/>
      <c r="M1092" s="6"/>
      <c r="N1092" s="6"/>
      <c r="O1092" s="3"/>
      <c r="P1092" s="6"/>
      <c r="Q1092" s="6"/>
      <c r="R1092" s="6"/>
      <c r="S1092" s="6"/>
      <c r="T1092" s="6"/>
      <c r="U1092" t="str">
        <f t="shared" si="16"/>
        <v/>
      </c>
    </row>
    <row r="1093" spans="3:21" customFormat="1" hidden="1">
      <c r="C1093" s="6"/>
      <c r="D1093" s="6"/>
      <c r="E1093" s="98"/>
      <c r="F1093" s="3"/>
      <c r="G1093" s="6"/>
      <c r="H1093" s="3"/>
      <c r="I1093" s="6"/>
      <c r="J1093" s="6"/>
      <c r="K1093" s="6"/>
      <c r="L1093" s="6"/>
      <c r="M1093" s="6"/>
      <c r="N1093" s="6"/>
      <c r="O1093" s="3"/>
      <c r="P1093" s="6"/>
      <c r="Q1093" s="6"/>
      <c r="R1093" s="6"/>
      <c r="S1093" s="6"/>
      <c r="T1093" s="6"/>
      <c r="U1093" t="str">
        <f t="shared" si="16"/>
        <v/>
      </c>
    </row>
    <row r="1094" spans="3:21" customFormat="1" hidden="1">
      <c r="C1094" s="6"/>
      <c r="D1094" s="6"/>
      <c r="E1094" s="98"/>
      <c r="F1094" s="3"/>
      <c r="G1094" s="6"/>
      <c r="H1094" s="3"/>
      <c r="I1094" s="6"/>
      <c r="J1094" s="6"/>
      <c r="K1094" s="6"/>
      <c r="L1094" s="6"/>
      <c r="M1094" s="6"/>
      <c r="N1094" s="6"/>
      <c r="O1094" s="3"/>
      <c r="P1094" s="6"/>
      <c r="Q1094" s="6"/>
      <c r="R1094" s="6"/>
      <c r="S1094" s="6"/>
      <c r="T1094" s="6"/>
      <c r="U1094" t="str">
        <f t="shared" si="16"/>
        <v/>
      </c>
    </row>
    <row r="1095" spans="3:21" customFormat="1" hidden="1">
      <c r="C1095" s="6"/>
      <c r="D1095" s="6"/>
      <c r="E1095" s="98"/>
      <c r="F1095" s="3"/>
      <c r="G1095" s="6"/>
      <c r="H1095" s="3"/>
      <c r="I1095" s="6"/>
      <c r="J1095" s="6"/>
      <c r="K1095" s="6"/>
      <c r="L1095" s="6"/>
      <c r="M1095" s="6"/>
      <c r="N1095" s="6"/>
      <c r="O1095" s="3"/>
      <c r="P1095" s="6"/>
      <c r="Q1095" s="6"/>
      <c r="R1095" s="6"/>
      <c r="S1095" s="6"/>
      <c r="T1095" s="6"/>
      <c r="U1095" t="str">
        <f t="shared" ref="U1095:U1158" si="17">IF(D1095="","","x")</f>
        <v/>
      </c>
    </row>
    <row r="1096" spans="3:21" customFormat="1" hidden="1">
      <c r="C1096" s="6"/>
      <c r="D1096" s="6"/>
      <c r="E1096" s="98"/>
      <c r="F1096" s="3"/>
      <c r="G1096" s="6"/>
      <c r="H1096" s="3"/>
      <c r="I1096" s="6"/>
      <c r="J1096" s="6"/>
      <c r="K1096" s="6"/>
      <c r="L1096" s="6"/>
      <c r="M1096" s="6"/>
      <c r="N1096" s="6"/>
      <c r="O1096" s="3"/>
      <c r="P1096" s="6"/>
      <c r="Q1096" s="6"/>
      <c r="R1096" s="6"/>
      <c r="S1096" s="6"/>
      <c r="T1096" s="6"/>
      <c r="U1096" t="str">
        <f t="shared" si="17"/>
        <v/>
      </c>
    </row>
    <row r="1097" spans="3:21" customFormat="1" hidden="1">
      <c r="C1097" s="6"/>
      <c r="D1097" s="6"/>
      <c r="E1097" s="98"/>
      <c r="F1097" s="3"/>
      <c r="G1097" s="6"/>
      <c r="H1097" s="3"/>
      <c r="I1097" s="6"/>
      <c r="J1097" s="6"/>
      <c r="K1097" s="6"/>
      <c r="L1097" s="6"/>
      <c r="M1097" s="6"/>
      <c r="N1097" s="6"/>
      <c r="O1097" s="3"/>
      <c r="P1097" s="6"/>
      <c r="Q1097" s="6"/>
      <c r="R1097" s="6"/>
      <c r="S1097" s="6"/>
      <c r="T1097" s="6"/>
      <c r="U1097" t="str">
        <f t="shared" si="17"/>
        <v/>
      </c>
    </row>
    <row r="1098" spans="3:21" customFormat="1" hidden="1">
      <c r="C1098" s="6"/>
      <c r="D1098" s="6"/>
      <c r="E1098" s="98"/>
      <c r="F1098" s="3"/>
      <c r="G1098" s="6"/>
      <c r="H1098" s="3"/>
      <c r="I1098" s="6"/>
      <c r="J1098" s="6"/>
      <c r="K1098" s="6"/>
      <c r="L1098" s="6"/>
      <c r="M1098" s="6"/>
      <c r="N1098" s="6"/>
      <c r="O1098" s="3"/>
      <c r="P1098" s="6"/>
      <c r="Q1098" s="6"/>
      <c r="R1098" s="6"/>
      <c r="S1098" s="6"/>
      <c r="T1098" s="6"/>
      <c r="U1098" t="str">
        <f t="shared" si="17"/>
        <v/>
      </c>
    </row>
    <row r="1099" spans="3:21" customFormat="1" hidden="1">
      <c r="C1099" s="6"/>
      <c r="D1099" s="6"/>
      <c r="E1099" s="98"/>
      <c r="F1099" s="3"/>
      <c r="G1099" s="6"/>
      <c r="H1099" s="3"/>
      <c r="I1099" s="6"/>
      <c r="J1099" s="6"/>
      <c r="K1099" s="6"/>
      <c r="L1099" s="6"/>
      <c r="M1099" s="6"/>
      <c r="N1099" s="6"/>
      <c r="O1099" s="3"/>
      <c r="P1099" s="6"/>
      <c r="Q1099" s="6"/>
      <c r="R1099" s="6"/>
      <c r="S1099" s="6"/>
      <c r="T1099" s="6"/>
      <c r="U1099" t="str">
        <f t="shared" si="17"/>
        <v/>
      </c>
    </row>
    <row r="1100" spans="3:21" customFormat="1" hidden="1">
      <c r="C1100" s="6"/>
      <c r="D1100" s="6"/>
      <c r="E1100" s="98"/>
      <c r="F1100" s="3"/>
      <c r="G1100" s="6"/>
      <c r="H1100" s="3"/>
      <c r="I1100" s="6"/>
      <c r="J1100" s="6"/>
      <c r="K1100" s="6"/>
      <c r="L1100" s="6"/>
      <c r="M1100" s="6"/>
      <c r="N1100" s="6"/>
      <c r="O1100" s="3"/>
      <c r="P1100" s="6"/>
      <c r="Q1100" s="6"/>
      <c r="R1100" s="6"/>
      <c r="S1100" s="6"/>
      <c r="T1100" s="6"/>
      <c r="U1100" t="str">
        <f t="shared" si="17"/>
        <v/>
      </c>
    </row>
    <row r="1101" spans="3:21" customFormat="1" hidden="1">
      <c r="C1101" s="6"/>
      <c r="D1101" s="6"/>
      <c r="E1101" s="98"/>
      <c r="F1101" s="3"/>
      <c r="G1101" s="6"/>
      <c r="H1101" s="3"/>
      <c r="I1101" s="6"/>
      <c r="J1101" s="6"/>
      <c r="K1101" s="6"/>
      <c r="L1101" s="6"/>
      <c r="M1101" s="6"/>
      <c r="N1101" s="6"/>
      <c r="O1101" s="3"/>
      <c r="P1101" s="6"/>
      <c r="Q1101" s="6"/>
      <c r="R1101" s="6"/>
      <c r="S1101" s="6"/>
      <c r="T1101" s="6"/>
      <c r="U1101" t="str">
        <f t="shared" si="17"/>
        <v/>
      </c>
    </row>
    <row r="1102" spans="3:21" customFormat="1" hidden="1">
      <c r="C1102" s="6"/>
      <c r="D1102" s="6"/>
      <c r="E1102" s="98"/>
      <c r="F1102" s="3"/>
      <c r="G1102" s="6"/>
      <c r="H1102" s="3"/>
      <c r="I1102" s="6"/>
      <c r="J1102" s="6"/>
      <c r="K1102" s="6"/>
      <c r="L1102" s="6"/>
      <c r="M1102" s="6"/>
      <c r="N1102" s="6"/>
      <c r="O1102" s="3"/>
      <c r="P1102" s="6"/>
      <c r="Q1102" s="6"/>
      <c r="R1102" s="6"/>
      <c r="S1102" s="6"/>
      <c r="T1102" s="6"/>
      <c r="U1102" t="str">
        <f t="shared" si="17"/>
        <v/>
      </c>
    </row>
    <row r="1103" spans="3:21" customFormat="1" hidden="1">
      <c r="C1103" s="6"/>
      <c r="D1103" s="6"/>
      <c r="E1103" s="98"/>
      <c r="F1103" s="3"/>
      <c r="G1103" s="6"/>
      <c r="H1103" s="3"/>
      <c r="I1103" s="6"/>
      <c r="J1103" s="6"/>
      <c r="K1103" s="6"/>
      <c r="L1103" s="6"/>
      <c r="M1103" s="6"/>
      <c r="N1103" s="6"/>
      <c r="O1103" s="3"/>
      <c r="P1103" s="6"/>
      <c r="Q1103" s="6"/>
      <c r="R1103" s="6"/>
      <c r="S1103" s="6"/>
      <c r="T1103" s="6"/>
      <c r="U1103" t="str">
        <f t="shared" si="17"/>
        <v/>
      </c>
    </row>
    <row r="1104" spans="3:21" customFormat="1" hidden="1">
      <c r="C1104" s="6"/>
      <c r="D1104" s="6"/>
      <c r="E1104" s="98"/>
      <c r="F1104" s="3"/>
      <c r="G1104" s="6"/>
      <c r="H1104" s="3"/>
      <c r="I1104" s="6"/>
      <c r="J1104" s="6"/>
      <c r="K1104" s="6"/>
      <c r="L1104" s="6"/>
      <c r="M1104" s="6"/>
      <c r="N1104" s="6"/>
      <c r="O1104" s="3"/>
      <c r="P1104" s="6"/>
      <c r="Q1104" s="6"/>
      <c r="R1104" s="6"/>
      <c r="S1104" s="6"/>
      <c r="T1104" s="6"/>
      <c r="U1104" t="str">
        <f t="shared" si="17"/>
        <v/>
      </c>
    </row>
    <row r="1105" spans="3:21" customFormat="1" hidden="1">
      <c r="C1105" s="6"/>
      <c r="D1105" s="6"/>
      <c r="E1105" s="98"/>
      <c r="F1105" s="3"/>
      <c r="G1105" s="6"/>
      <c r="H1105" s="3"/>
      <c r="I1105" s="6"/>
      <c r="J1105" s="6"/>
      <c r="K1105" s="6"/>
      <c r="L1105" s="6"/>
      <c r="M1105" s="6"/>
      <c r="N1105" s="6"/>
      <c r="O1105" s="3"/>
      <c r="P1105" s="6"/>
      <c r="Q1105" s="6"/>
      <c r="R1105" s="6"/>
      <c r="S1105" s="6"/>
      <c r="T1105" s="6"/>
      <c r="U1105" t="str">
        <f t="shared" si="17"/>
        <v/>
      </c>
    </row>
    <row r="1106" spans="3:21" customFormat="1" hidden="1">
      <c r="C1106" s="6"/>
      <c r="D1106" s="6"/>
      <c r="E1106" s="98"/>
      <c r="F1106" s="3"/>
      <c r="G1106" s="6"/>
      <c r="H1106" s="3"/>
      <c r="I1106" s="6"/>
      <c r="J1106" s="6"/>
      <c r="K1106" s="6"/>
      <c r="L1106" s="6"/>
      <c r="M1106" s="6"/>
      <c r="N1106" s="6"/>
      <c r="O1106" s="3"/>
      <c r="P1106" s="6"/>
      <c r="Q1106" s="6"/>
      <c r="R1106" s="6"/>
      <c r="S1106" s="6"/>
      <c r="T1106" s="6"/>
      <c r="U1106" t="str">
        <f t="shared" si="17"/>
        <v/>
      </c>
    </row>
    <row r="1107" spans="3:21" customFormat="1" hidden="1">
      <c r="C1107" s="6"/>
      <c r="D1107" s="6"/>
      <c r="E1107" s="98"/>
      <c r="F1107" s="3"/>
      <c r="G1107" s="6"/>
      <c r="H1107" s="3"/>
      <c r="I1107" s="6"/>
      <c r="J1107" s="6"/>
      <c r="K1107" s="6"/>
      <c r="L1107" s="6"/>
      <c r="M1107" s="6"/>
      <c r="N1107" s="6"/>
      <c r="O1107" s="3"/>
      <c r="P1107" s="6"/>
      <c r="Q1107" s="6"/>
      <c r="R1107" s="6"/>
      <c r="S1107" s="6"/>
      <c r="T1107" s="6"/>
      <c r="U1107" t="str">
        <f t="shared" si="17"/>
        <v/>
      </c>
    </row>
    <row r="1108" spans="3:21" customFormat="1" hidden="1">
      <c r="C1108" s="6"/>
      <c r="D1108" s="6"/>
      <c r="E1108" s="98"/>
      <c r="F1108" s="3"/>
      <c r="G1108" s="6"/>
      <c r="H1108" s="3"/>
      <c r="I1108" s="6"/>
      <c r="J1108" s="6"/>
      <c r="K1108" s="6"/>
      <c r="L1108" s="6"/>
      <c r="M1108" s="6"/>
      <c r="N1108" s="6"/>
      <c r="O1108" s="3"/>
      <c r="P1108" s="6"/>
      <c r="Q1108" s="6"/>
      <c r="R1108" s="6"/>
      <c r="S1108" s="6"/>
      <c r="T1108" s="6"/>
      <c r="U1108" t="str">
        <f t="shared" si="17"/>
        <v/>
      </c>
    </row>
    <row r="1109" spans="3:21" customFormat="1" hidden="1">
      <c r="C1109" s="6"/>
      <c r="D1109" s="6"/>
      <c r="E1109" s="98"/>
      <c r="F1109" s="3"/>
      <c r="G1109" s="6"/>
      <c r="H1109" s="3"/>
      <c r="I1109" s="6"/>
      <c r="J1109" s="6"/>
      <c r="K1109" s="6"/>
      <c r="L1109" s="6"/>
      <c r="M1109" s="6"/>
      <c r="N1109" s="6"/>
      <c r="O1109" s="3"/>
      <c r="P1109" s="6"/>
      <c r="Q1109" s="6"/>
      <c r="R1109" s="6"/>
      <c r="S1109" s="6"/>
      <c r="T1109" s="6"/>
      <c r="U1109" t="str">
        <f t="shared" si="17"/>
        <v/>
      </c>
    </row>
    <row r="1110" spans="3:21" customFormat="1" hidden="1">
      <c r="C1110" s="6"/>
      <c r="D1110" s="6"/>
      <c r="E1110" s="98"/>
      <c r="F1110" s="3"/>
      <c r="G1110" s="6"/>
      <c r="H1110" s="3"/>
      <c r="I1110" s="6"/>
      <c r="J1110" s="6"/>
      <c r="K1110" s="6"/>
      <c r="L1110" s="6"/>
      <c r="M1110" s="6"/>
      <c r="N1110" s="6"/>
      <c r="O1110" s="3"/>
      <c r="P1110" s="6"/>
      <c r="Q1110" s="6"/>
      <c r="R1110" s="6"/>
      <c r="S1110" s="6"/>
      <c r="T1110" s="6"/>
      <c r="U1110" t="str">
        <f t="shared" si="17"/>
        <v/>
      </c>
    </row>
    <row r="1111" spans="3:21" customFormat="1" hidden="1">
      <c r="C1111" s="6"/>
      <c r="D1111" s="6"/>
      <c r="E1111" s="98"/>
      <c r="F1111" s="3"/>
      <c r="G1111" s="6"/>
      <c r="H1111" s="3"/>
      <c r="I1111" s="6"/>
      <c r="J1111" s="6"/>
      <c r="K1111" s="6"/>
      <c r="L1111" s="6"/>
      <c r="M1111" s="6"/>
      <c r="N1111" s="6"/>
      <c r="O1111" s="3"/>
      <c r="P1111" s="6"/>
      <c r="Q1111" s="6"/>
      <c r="R1111" s="6"/>
      <c r="S1111" s="6"/>
      <c r="T1111" s="6"/>
      <c r="U1111" t="str">
        <f t="shared" si="17"/>
        <v/>
      </c>
    </row>
    <row r="1112" spans="3:21" customFormat="1" hidden="1">
      <c r="C1112" s="6"/>
      <c r="D1112" s="6"/>
      <c r="E1112" s="98"/>
      <c r="F1112" s="3"/>
      <c r="G1112" s="6"/>
      <c r="H1112" s="3"/>
      <c r="I1112" s="6"/>
      <c r="J1112" s="6"/>
      <c r="K1112" s="6"/>
      <c r="L1112" s="6"/>
      <c r="M1112" s="6"/>
      <c r="N1112" s="6"/>
      <c r="O1112" s="3"/>
      <c r="P1112" s="6"/>
      <c r="Q1112" s="6"/>
      <c r="R1112" s="6"/>
      <c r="S1112" s="6"/>
      <c r="T1112" s="6"/>
      <c r="U1112" t="str">
        <f t="shared" si="17"/>
        <v/>
      </c>
    </row>
    <row r="1113" spans="3:21" customFormat="1" hidden="1">
      <c r="C1113" s="6"/>
      <c r="D1113" s="6"/>
      <c r="E1113" s="98"/>
      <c r="F1113" s="3"/>
      <c r="G1113" s="6"/>
      <c r="H1113" s="3"/>
      <c r="I1113" s="6"/>
      <c r="J1113" s="6"/>
      <c r="K1113" s="6"/>
      <c r="L1113" s="6"/>
      <c r="M1113" s="6"/>
      <c r="N1113" s="6"/>
      <c r="O1113" s="3"/>
      <c r="P1113" s="6"/>
      <c r="Q1113" s="6"/>
      <c r="R1113" s="6"/>
      <c r="S1113" s="6"/>
      <c r="T1113" s="6"/>
      <c r="U1113" t="str">
        <f t="shared" si="17"/>
        <v/>
      </c>
    </row>
    <row r="1114" spans="3:21" customFormat="1" hidden="1">
      <c r="C1114" s="6"/>
      <c r="D1114" s="6"/>
      <c r="E1114" s="98"/>
      <c r="F1114" s="3"/>
      <c r="G1114" s="6"/>
      <c r="H1114" s="3"/>
      <c r="I1114" s="6"/>
      <c r="J1114" s="6"/>
      <c r="K1114" s="6"/>
      <c r="L1114" s="6"/>
      <c r="M1114" s="6"/>
      <c r="N1114" s="6"/>
      <c r="O1114" s="3"/>
      <c r="P1114" s="6"/>
      <c r="Q1114" s="6"/>
      <c r="R1114" s="6"/>
      <c r="S1114" s="6"/>
      <c r="T1114" s="6"/>
      <c r="U1114" t="str">
        <f t="shared" si="17"/>
        <v/>
      </c>
    </row>
    <row r="1115" spans="3:21" customFormat="1" hidden="1">
      <c r="C1115" s="6"/>
      <c r="D1115" s="6"/>
      <c r="E1115" s="98"/>
      <c r="F1115" s="3"/>
      <c r="G1115" s="6"/>
      <c r="H1115" s="3"/>
      <c r="I1115" s="6"/>
      <c r="J1115" s="6"/>
      <c r="K1115" s="6"/>
      <c r="L1115" s="6"/>
      <c r="M1115" s="6"/>
      <c r="N1115" s="6"/>
      <c r="O1115" s="3"/>
      <c r="P1115" s="6"/>
      <c r="Q1115" s="6"/>
      <c r="R1115" s="6"/>
      <c r="S1115" s="6"/>
      <c r="T1115" s="6"/>
      <c r="U1115" t="str">
        <f t="shared" si="17"/>
        <v/>
      </c>
    </row>
    <row r="1116" spans="3:21" customFormat="1" hidden="1">
      <c r="C1116" s="6"/>
      <c r="D1116" s="6"/>
      <c r="E1116" s="98"/>
      <c r="F1116" s="3"/>
      <c r="G1116" s="6"/>
      <c r="H1116" s="3"/>
      <c r="I1116" s="6"/>
      <c r="J1116" s="6"/>
      <c r="K1116" s="6"/>
      <c r="L1116" s="6"/>
      <c r="M1116" s="6"/>
      <c r="N1116" s="6"/>
      <c r="O1116" s="3"/>
      <c r="P1116" s="6"/>
      <c r="Q1116" s="6"/>
      <c r="R1116" s="6"/>
      <c r="S1116" s="6"/>
      <c r="T1116" s="6"/>
      <c r="U1116" t="str">
        <f t="shared" si="17"/>
        <v/>
      </c>
    </row>
    <row r="1117" spans="3:21" customFormat="1" hidden="1">
      <c r="C1117" s="6"/>
      <c r="D1117" s="6"/>
      <c r="E1117" s="98"/>
      <c r="F1117" s="3"/>
      <c r="G1117" s="6"/>
      <c r="H1117" s="3"/>
      <c r="I1117" s="6"/>
      <c r="J1117" s="6"/>
      <c r="K1117" s="6"/>
      <c r="L1117" s="6"/>
      <c r="M1117" s="6"/>
      <c r="N1117" s="6"/>
      <c r="O1117" s="3"/>
      <c r="P1117" s="6"/>
      <c r="Q1117" s="6"/>
      <c r="R1117" s="6"/>
      <c r="S1117" s="6"/>
      <c r="T1117" s="6"/>
      <c r="U1117" t="str">
        <f t="shared" si="17"/>
        <v/>
      </c>
    </row>
    <row r="1118" spans="3:21" customFormat="1" hidden="1">
      <c r="C1118" s="6"/>
      <c r="D1118" s="6"/>
      <c r="E1118" s="98"/>
      <c r="F1118" s="3"/>
      <c r="G1118" s="6"/>
      <c r="H1118" s="3"/>
      <c r="I1118" s="6"/>
      <c r="J1118" s="6"/>
      <c r="K1118" s="6"/>
      <c r="L1118" s="6"/>
      <c r="M1118" s="6"/>
      <c r="N1118" s="6"/>
      <c r="O1118" s="3"/>
      <c r="P1118" s="6"/>
      <c r="Q1118" s="6"/>
      <c r="R1118" s="6"/>
      <c r="S1118" s="6"/>
      <c r="T1118" s="6"/>
      <c r="U1118" t="str">
        <f t="shared" si="17"/>
        <v/>
      </c>
    </row>
    <row r="1119" spans="3:21" customFormat="1" hidden="1">
      <c r="C1119" s="6"/>
      <c r="D1119" s="6"/>
      <c r="E1119" s="98"/>
      <c r="F1119" s="3"/>
      <c r="G1119" s="6"/>
      <c r="H1119" s="3"/>
      <c r="I1119" s="6"/>
      <c r="J1119" s="6"/>
      <c r="K1119" s="6"/>
      <c r="L1119" s="6"/>
      <c r="M1119" s="6"/>
      <c r="N1119" s="6"/>
      <c r="O1119" s="3"/>
      <c r="P1119" s="6"/>
      <c r="Q1119" s="6"/>
      <c r="R1119" s="6"/>
      <c r="S1119" s="6"/>
      <c r="T1119" s="6"/>
      <c r="U1119" t="str">
        <f t="shared" si="17"/>
        <v/>
      </c>
    </row>
    <row r="1120" spans="3:21" customFormat="1" hidden="1">
      <c r="C1120" s="6"/>
      <c r="D1120" s="6"/>
      <c r="E1120" s="98"/>
      <c r="F1120" s="3"/>
      <c r="G1120" s="6"/>
      <c r="H1120" s="3"/>
      <c r="I1120" s="6"/>
      <c r="J1120" s="6"/>
      <c r="K1120" s="6"/>
      <c r="L1120" s="6"/>
      <c r="M1120" s="6"/>
      <c r="N1120" s="6"/>
      <c r="O1120" s="3"/>
      <c r="P1120" s="6"/>
      <c r="Q1120" s="6"/>
      <c r="R1120" s="6"/>
      <c r="S1120" s="6"/>
      <c r="T1120" s="6"/>
      <c r="U1120" t="str">
        <f t="shared" si="17"/>
        <v/>
      </c>
    </row>
    <row r="1121" spans="3:21" customFormat="1" hidden="1">
      <c r="C1121" s="6"/>
      <c r="D1121" s="6"/>
      <c r="E1121" s="98"/>
      <c r="F1121" s="3"/>
      <c r="G1121" s="6"/>
      <c r="H1121" s="3"/>
      <c r="I1121" s="6"/>
      <c r="J1121" s="6"/>
      <c r="K1121" s="6"/>
      <c r="L1121" s="6"/>
      <c r="M1121" s="6"/>
      <c r="N1121" s="6"/>
      <c r="O1121" s="3"/>
      <c r="P1121" s="6"/>
      <c r="Q1121" s="6"/>
      <c r="R1121" s="6"/>
      <c r="S1121" s="6"/>
      <c r="T1121" s="6"/>
      <c r="U1121" t="str">
        <f t="shared" si="17"/>
        <v/>
      </c>
    </row>
    <row r="1122" spans="3:21" customFormat="1" hidden="1">
      <c r="C1122" s="6"/>
      <c r="D1122" s="6"/>
      <c r="E1122" s="98"/>
      <c r="F1122" s="3"/>
      <c r="G1122" s="6"/>
      <c r="H1122" s="3"/>
      <c r="I1122" s="6"/>
      <c r="J1122" s="6"/>
      <c r="K1122" s="6"/>
      <c r="L1122" s="6"/>
      <c r="M1122" s="6"/>
      <c r="N1122" s="6"/>
      <c r="O1122" s="3"/>
      <c r="P1122" s="6"/>
      <c r="Q1122" s="6"/>
      <c r="R1122" s="6"/>
      <c r="S1122" s="6"/>
      <c r="T1122" s="6"/>
      <c r="U1122" t="str">
        <f t="shared" si="17"/>
        <v/>
      </c>
    </row>
    <row r="1123" spans="3:21" customFormat="1" hidden="1">
      <c r="C1123" s="6"/>
      <c r="D1123" s="6"/>
      <c r="E1123" s="98"/>
      <c r="F1123" s="3"/>
      <c r="G1123" s="6"/>
      <c r="H1123" s="3"/>
      <c r="I1123" s="6"/>
      <c r="J1123" s="6"/>
      <c r="K1123" s="6"/>
      <c r="L1123" s="6"/>
      <c r="M1123" s="6"/>
      <c r="N1123" s="6"/>
      <c r="O1123" s="3"/>
      <c r="P1123" s="6"/>
      <c r="Q1123" s="6"/>
      <c r="R1123" s="6"/>
      <c r="S1123" s="6"/>
      <c r="T1123" s="6"/>
      <c r="U1123" t="str">
        <f t="shared" si="17"/>
        <v/>
      </c>
    </row>
    <row r="1124" spans="3:21" customFormat="1" hidden="1">
      <c r="C1124" s="6"/>
      <c r="D1124" s="6"/>
      <c r="E1124" s="98"/>
      <c r="F1124" s="3"/>
      <c r="G1124" s="6"/>
      <c r="H1124" s="3"/>
      <c r="I1124" s="6"/>
      <c r="J1124" s="6"/>
      <c r="K1124" s="6"/>
      <c r="L1124" s="6"/>
      <c r="M1124" s="6"/>
      <c r="N1124" s="6"/>
      <c r="O1124" s="3"/>
      <c r="P1124" s="6"/>
      <c r="Q1124" s="6"/>
      <c r="R1124" s="6"/>
      <c r="S1124" s="6"/>
      <c r="T1124" s="6"/>
      <c r="U1124" t="str">
        <f t="shared" si="17"/>
        <v/>
      </c>
    </row>
    <row r="1125" spans="3:21" customFormat="1" hidden="1">
      <c r="C1125" s="6"/>
      <c r="D1125" s="6"/>
      <c r="E1125" s="98"/>
      <c r="F1125" s="3"/>
      <c r="G1125" s="6"/>
      <c r="H1125" s="3"/>
      <c r="I1125" s="6"/>
      <c r="J1125" s="6"/>
      <c r="K1125" s="6"/>
      <c r="L1125" s="6"/>
      <c r="M1125" s="6"/>
      <c r="N1125" s="6"/>
      <c r="O1125" s="3"/>
      <c r="P1125" s="6"/>
      <c r="Q1125" s="6"/>
      <c r="R1125" s="6"/>
      <c r="S1125" s="6"/>
      <c r="T1125" s="6"/>
      <c r="U1125" t="str">
        <f t="shared" si="17"/>
        <v/>
      </c>
    </row>
    <row r="1126" spans="3:21" customFormat="1" hidden="1">
      <c r="C1126" s="6"/>
      <c r="D1126" s="6"/>
      <c r="E1126" s="98"/>
      <c r="F1126" s="3"/>
      <c r="G1126" s="6"/>
      <c r="H1126" s="3"/>
      <c r="I1126" s="6"/>
      <c r="J1126" s="6"/>
      <c r="K1126" s="6"/>
      <c r="L1126" s="6"/>
      <c r="M1126" s="6"/>
      <c r="N1126" s="6"/>
      <c r="O1126" s="3"/>
      <c r="P1126" s="6"/>
      <c r="Q1126" s="6"/>
      <c r="R1126" s="6"/>
      <c r="S1126" s="6"/>
      <c r="T1126" s="6"/>
      <c r="U1126" t="str">
        <f t="shared" si="17"/>
        <v/>
      </c>
    </row>
    <row r="1127" spans="3:21" customFormat="1" hidden="1">
      <c r="C1127" s="6"/>
      <c r="D1127" s="6"/>
      <c r="E1127" s="98"/>
      <c r="F1127" s="3"/>
      <c r="G1127" s="6"/>
      <c r="H1127" s="3"/>
      <c r="I1127" s="6"/>
      <c r="J1127" s="6"/>
      <c r="K1127" s="6"/>
      <c r="L1127" s="6"/>
      <c r="M1127" s="6"/>
      <c r="N1127" s="6"/>
      <c r="O1127" s="3"/>
      <c r="P1127" s="6"/>
      <c r="Q1127" s="6"/>
      <c r="R1127" s="6"/>
      <c r="S1127" s="6"/>
      <c r="T1127" s="6"/>
      <c r="U1127" t="str">
        <f t="shared" si="17"/>
        <v/>
      </c>
    </row>
    <row r="1128" spans="3:21" customFormat="1" hidden="1">
      <c r="C1128" s="6"/>
      <c r="D1128" s="6"/>
      <c r="E1128" s="98"/>
      <c r="F1128" s="3"/>
      <c r="G1128" s="6"/>
      <c r="H1128" s="3"/>
      <c r="I1128" s="6"/>
      <c r="J1128" s="6"/>
      <c r="K1128" s="6"/>
      <c r="L1128" s="6"/>
      <c r="M1128" s="6"/>
      <c r="N1128" s="6"/>
      <c r="O1128" s="3"/>
      <c r="P1128" s="6"/>
      <c r="Q1128" s="6"/>
      <c r="R1128" s="6"/>
      <c r="S1128" s="6"/>
      <c r="T1128" s="6"/>
      <c r="U1128" t="str">
        <f t="shared" si="17"/>
        <v/>
      </c>
    </row>
    <row r="1129" spans="3:21" customFormat="1" hidden="1">
      <c r="C1129" s="6"/>
      <c r="D1129" s="6"/>
      <c r="E1129" s="98"/>
      <c r="F1129" s="3"/>
      <c r="G1129" s="6"/>
      <c r="H1129" s="3"/>
      <c r="I1129" s="6"/>
      <c r="J1129" s="6"/>
      <c r="K1129" s="6"/>
      <c r="L1129" s="6"/>
      <c r="M1129" s="6"/>
      <c r="N1129" s="6"/>
      <c r="O1129" s="3"/>
      <c r="P1129" s="6"/>
      <c r="Q1129" s="6"/>
      <c r="R1129" s="6"/>
      <c r="S1129" s="6"/>
      <c r="T1129" s="6"/>
      <c r="U1129" t="str">
        <f t="shared" si="17"/>
        <v/>
      </c>
    </row>
    <row r="1130" spans="3:21" customFormat="1" hidden="1">
      <c r="C1130" s="6"/>
      <c r="D1130" s="6"/>
      <c r="E1130" s="98"/>
      <c r="F1130" s="3"/>
      <c r="G1130" s="6"/>
      <c r="H1130" s="3"/>
      <c r="I1130" s="6"/>
      <c r="J1130" s="6"/>
      <c r="K1130" s="6"/>
      <c r="L1130" s="6"/>
      <c r="M1130" s="6"/>
      <c r="N1130" s="6"/>
      <c r="O1130" s="3"/>
      <c r="P1130" s="6"/>
      <c r="Q1130" s="6"/>
      <c r="R1130" s="6"/>
      <c r="S1130" s="6"/>
      <c r="T1130" s="6"/>
      <c r="U1130" t="str">
        <f t="shared" si="17"/>
        <v/>
      </c>
    </row>
    <row r="1131" spans="3:21" customFormat="1" hidden="1">
      <c r="C1131" s="6"/>
      <c r="D1131" s="6"/>
      <c r="E1131" s="98"/>
      <c r="F1131" s="3"/>
      <c r="G1131" s="6"/>
      <c r="H1131" s="3"/>
      <c r="I1131" s="6"/>
      <c r="J1131" s="6"/>
      <c r="K1131" s="6"/>
      <c r="L1131" s="6"/>
      <c r="M1131" s="6"/>
      <c r="N1131" s="6"/>
      <c r="O1131" s="3"/>
      <c r="P1131" s="6"/>
      <c r="Q1131" s="6"/>
      <c r="R1131" s="6"/>
      <c r="S1131" s="6"/>
      <c r="T1131" s="6"/>
      <c r="U1131" t="str">
        <f t="shared" si="17"/>
        <v/>
      </c>
    </row>
    <row r="1132" spans="3:21" customFormat="1" hidden="1">
      <c r="C1132" s="6"/>
      <c r="D1132" s="6"/>
      <c r="E1132" s="98"/>
      <c r="F1132" s="3"/>
      <c r="G1132" s="6"/>
      <c r="H1132" s="3"/>
      <c r="I1132" s="6"/>
      <c r="J1132" s="6"/>
      <c r="K1132" s="6"/>
      <c r="L1132" s="6"/>
      <c r="M1132" s="6"/>
      <c r="N1132" s="6"/>
      <c r="O1132" s="3"/>
      <c r="P1132" s="6"/>
      <c r="Q1132" s="6"/>
      <c r="R1132" s="6"/>
      <c r="S1132" s="6"/>
      <c r="T1132" s="6"/>
      <c r="U1132" t="str">
        <f t="shared" si="17"/>
        <v/>
      </c>
    </row>
    <row r="1133" spans="3:21" customFormat="1" hidden="1">
      <c r="C1133" s="6"/>
      <c r="D1133" s="6"/>
      <c r="E1133" s="98"/>
      <c r="F1133" s="3"/>
      <c r="G1133" s="6"/>
      <c r="H1133" s="3"/>
      <c r="I1133" s="6"/>
      <c r="J1133" s="6"/>
      <c r="K1133" s="6"/>
      <c r="L1133" s="6"/>
      <c r="M1133" s="6"/>
      <c r="N1133" s="6"/>
      <c r="O1133" s="3"/>
      <c r="P1133" s="6"/>
      <c r="Q1133" s="6"/>
      <c r="R1133" s="6"/>
      <c r="S1133" s="6"/>
      <c r="T1133" s="6"/>
      <c r="U1133" t="str">
        <f t="shared" si="17"/>
        <v/>
      </c>
    </row>
    <row r="1134" spans="3:21" customFormat="1" hidden="1">
      <c r="C1134" s="6"/>
      <c r="D1134" s="6"/>
      <c r="E1134" s="98"/>
      <c r="F1134" s="3"/>
      <c r="G1134" s="6"/>
      <c r="H1134" s="3"/>
      <c r="I1134" s="6"/>
      <c r="J1134" s="6"/>
      <c r="K1134" s="6"/>
      <c r="L1134" s="6"/>
      <c r="M1134" s="6"/>
      <c r="N1134" s="6"/>
      <c r="O1134" s="3"/>
      <c r="P1134" s="6"/>
      <c r="Q1134" s="6"/>
      <c r="R1134" s="6"/>
      <c r="S1134" s="6"/>
      <c r="T1134" s="6"/>
      <c r="U1134" t="str">
        <f t="shared" si="17"/>
        <v/>
      </c>
    </row>
    <row r="1135" spans="3:21" customFormat="1" hidden="1">
      <c r="C1135" s="6"/>
      <c r="D1135" s="6"/>
      <c r="E1135" s="98"/>
      <c r="F1135" s="3"/>
      <c r="G1135" s="6"/>
      <c r="H1135" s="3"/>
      <c r="I1135" s="6"/>
      <c r="J1135" s="6"/>
      <c r="K1135" s="6"/>
      <c r="L1135" s="6"/>
      <c r="M1135" s="6"/>
      <c r="N1135" s="6"/>
      <c r="O1135" s="3"/>
      <c r="P1135" s="6"/>
      <c r="Q1135" s="6"/>
      <c r="R1135" s="6"/>
      <c r="S1135" s="6"/>
      <c r="T1135" s="6"/>
      <c r="U1135" t="str">
        <f t="shared" si="17"/>
        <v/>
      </c>
    </row>
    <row r="1136" spans="3:21" customFormat="1" hidden="1">
      <c r="C1136" s="6"/>
      <c r="D1136" s="6"/>
      <c r="E1136" s="98"/>
      <c r="F1136" s="3"/>
      <c r="G1136" s="6"/>
      <c r="H1136" s="3"/>
      <c r="I1136" s="6"/>
      <c r="J1136" s="6"/>
      <c r="K1136" s="6"/>
      <c r="L1136" s="6"/>
      <c r="M1136" s="6"/>
      <c r="N1136" s="6"/>
      <c r="O1136" s="3"/>
      <c r="P1136" s="6"/>
      <c r="Q1136" s="6"/>
      <c r="R1136" s="6"/>
      <c r="S1136" s="6"/>
      <c r="T1136" s="6"/>
      <c r="U1136" t="str">
        <f t="shared" si="17"/>
        <v/>
      </c>
    </row>
    <row r="1137" spans="3:21" customFormat="1" hidden="1">
      <c r="C1137" s="6"/>
      <c r="D1137" s="6"/>
      <c r="E1137" s="98"/>
      <c r="F1137" s="3"/>
      <c r="G1137" s="6"/>
      <c r="H1137" s="3"/>
      <c r="I1137" s="6"/>
      <c r="J1137" s="6"/>
      <c r="K1137" s="6"/>
      <c r="L1137" s="6"/>
      <c r="M1137" s="6"/>
      <c r="N1137" s="6"/>
      <c r="O1137" s="3"/>
      <c r="P1137" s="6"/>
      <c r="Q1137" s="6"/>
      <c r="R1137" s="6"/>
      <c r="S1137" s="6"/>
      <c r="T1137" s="6"/>
      <c r="U1137" t="str">
        <f t="shared" si="17"/>
        <v/>
      </c>
    </row>
    <row r="1138" spans="3:21" customFormat="1" hidden="1">
      <c r="C1138" s="6"/>
      <c r="D1138" s="6"/>
      <c r="E1138" s="98"/>
      <c r="F1138" s="3"/>
      <c r="G1138" s="6"/>
      <c r="H1138" s="3"/>
      <c r="I1138" s="6"/>
      <c r="J1138" s="6"/>
      <c r="K1138" s="6"/>
      <c r="L1138" s="6"/>
      <c r="M1138" s="6"/>
      <c r="N1138" s="6"/>
      <c r="O1138" s="3"/>
      <c r="P1138" s="6"/>
      <c r="Q1138" s="6"/>
      <c r="R1138" s="6"/>
      <c r="S1138" s="6"/>
      <c r="T1138" s="6"/>
      <c r="U1138" t="str">
        <f t="shared" si="17"/>
        <v/>
      </c>
    </row>
    <row r="1139" spans="3:21" customFormat="1" hidden="1">
      <c r="C1139" s="6"/>
      <c r="D1139" s="6"/>
      <c r="E1139" s="98"/>
      <c r="F1139" s="3"/>
      <c r="G1139" s="6"/>
      <c r="H1139" s="3"/>
      <c r="I1139" s="6"/>
      <c r="J1139" s="6"/>
      <c r="K1139" s="6"/>
      <c r="L1139" s="6"/>
      <c r="M1139" s="6"/>
      <c r="N1139" s="6"/>
      <c r="O1139" s="3"/>
      <c r="P1139" s="6"/>
      <c r="Q1139" s="6"/>
      <c r="R1139" s="6"/>
      <c r="S1139" s="6"/>
      <c r="T1139" s="6"/>
      <c r="U1139" t="str">
        <f t="shared" si="17"/>
        <v/>
      </c>
    </row>
    <row r="1140" spans="3:21" customFormat="1" hidden="1">
      <c r="C1140" s="6"/>
      <c r="D1140" s="6"/>
      <c r="E1140" s="98"/>
      <c r="F1140" s="3"/>
      <c r="G1140" s="6"/>
      <c r="H1140" s="3"/>
      <c r="I1140" s="6"/>
      <c r="J1140" s="6"/>
      <c r="K1140" s="6"/>
      <c r="L1140" s="6"/>
      <c r="M1140" s="6"/>
      <c r="N1140" s="6"/>
      <c r="O1140" s="3"/>
      <c r="P1140" s="6"/>
      <c r="Q1140" s="6"/>
      <c r="R1140" s="6"/>
      <c r="S1140" s="6"/>
      <c r="T1140" s="6"/>
      <c r="U1140" t="str">
        <f t="shared" si="17"/>
        <v/>
      </c>
    </row>
    <row r="1141" spans="3:21" customFormat="1" hidden="1">
      <c r="C1141" s="6"/>
      <c r="D1141" s="6"/>
      <c r="E1141" s="98"/>
      <c r="F1141" s="3"/>
      <c r="G1141" s="6"/>
      <c r="H1141" s="3"/>
      <c r="I1141" s="6"/>
      <c r="J1141" s="6"/>
      <c r="K1141" s="6"/>
      <c r="L1141" s="6"/>
      <c r="M1141" s="6"/>
      <c r="N1141" s="6"/>
      <c r="O1141" s="3"/>
      <c r="P1141" s="6"/>
      <c r="Q1141" s="6"/>
      <c r="R1141" s="6"/>
      <c r="S1141" s="6"/>
      <c r="T1141" s="6"/>
      <c r="U1141" t="str">
        <f t="shared" si="17"/>
        <v/>
      </c>
    </row>
    <row r="1142" spans="3:21" customFormat="1" hidden="1">
      <c r="C1142" s="6"/>
      <c r="D1142" s="6"/>
      <c r="E1142" s="98"/>
      <c r="F1142" s="3"/>
      <c r="G1142" s="6"/>
      <c r="H1142" s="3"/>
      <c r="I1142" s="6"/>
      <c r="J1142" s="6"/>
      <c r="K1142" s="6"/>
      <c r="L1142" s="6"/>
      <c r="M1142" s="6"/>
      <c r="N1142" s="6"/>
      <c r="O1142" s="3"/>
      <c r="P1142" s="6"/>
      <c r="Q1142" s="6"/>
      <c r="R1142" s="6"/>
      <c r="S1142" s="6"/>
      <c r="T1142" s="6"/>
      <c r="U1142" t="str">
        <f t="shared" si="17"/>
        <v/>
      </c>
    </row>
    <row r="1143" spans="3:21" customFormat="1" hidden="1">
      <c r="C1143" s="6"/>
      <c r="D1143" s="6"/>
      <c r="E1143" s="98"/>
      <c r="F1143" s="3"/>
      <c r="G1143" s="6"/>
      <c r="H1143" s="3"/>
      <c r="I1143" s="6"/>
      <c r="J1143" s="6"/>
      <c r="K1143" s="6"/>
      <c r="L1143" s="6"/>
      <c r="M1143" s="6"/>
      <c r="N1143" s="6"/>
      <c r="O1143" s="3"/>
      <c r="P1143" s="6"/>
      <c r="Q1143" s="6"/>
      <c r="R1143" s="6"/>
      <c r="S1143" s="6"/>
      <c r="T1143" s="6"/>
      <c r="U1143" t="str">
        <f t="shared" si="17"/>
        <v/>
      </c>
    </row>
    <row r="1144" spans="3:21" customFormat="1" hidden="1">
      <c r="C1144" s="6"/>
      <c r="D1144" s="6"/>
      <c r="E1144" s="98"/>
      <c r="F1144" s="3"/>
      <c r="G1144" s="6"/>
      <c r="H1144" s="3"/>
      <c r="I1144" s="6"/>
      <c r="J1144" s="6"/>
      <c r="K1144" s="6"/>
      <c r="L1144" s="6"/>
      <c r="M1144" s="6"/>
      <c r="N1144" s="6"/>
      <c r="O1144" s="3"/>
      <c r="P1144" s="6"/>
      <c r="Q1144" s="6"/>
      <c r="R1144" s="6"/>
      <c r="S1144" s="6"/>
      <c r="T1144" s="6"/>
      <c r="U1144" t="str">
        <f t="shared" si="17"/>
        <v/>
      </c>
    </row>
    <row r="1145" spans="3:21" customFormat="1" hidden="1">
      <c r="C1145" s="6"/>
      <c r="D1145" s="6"/>
      <c r="E1145" s="98"/>
      <c r="F1145" s="3"/>
      <c r="G1145" s="6"/>
      <c r="H1145" s="3"/>
      <c r="I1145" s="6"/>
      <c r="J1145" s="6"/>
      <c r="K1145" s="6"/>
      <c r="L1145" s="6"/>
      <c r="M1145" s="6"/>
      <c r="N1145" s="6"/>
      <c r="O1145" s="3"/>
      <c r="P1145" s="6"/>
      <c r="Q1145" s="6"/>
      <c r="R1145" s="6"/>
      <c r="S1145" s="6"/>
      <c r="T1145" s="6"/>
      <c r="U1145" t="str">
        <f t="shared" si="17"/>
        <v/>
      </c>
    </row>
    <row r="1146" spans="3:21" customFormat="1" hidden="1">
      <c r="C1146" s="6"/>
      <c r="D1146" s="6"/>
      <c r="E1146" s="98"/>
      <c r="F1146" s="3"/>
      <c r="G1146" s="6"/>
      <c r="H1146" s="3"/>
      <c r="I1146" s="6"/>
      <c r="J1146" s="6"/>
      <c r="K1146" s="6"/>
      <c r="L1146" s="6"/>
      <c r="M1146" s="6"/>
      <c r="N1146" s="6"/>
      <c r="O1146" s="3"/>
      <c r="P1146" s="6"/>
      <c r="Q1146" s="6"/>
      <c r="R1146" s="6"/>
      <c r="S1146" s="6"/>
      <c r="T1146" s="6"/>
      <c r="U1146" t="str">
        <f t="shared" si="17"/>
        <v/>
      </c>
    </row>
    <row r="1147" spans="3:21" customFormat="1" hidden="1">
      <c r="C1147" s="6"/>
      <c r="D1147" s="6"/>
      <c r="E1147" s="98"/>
      <c r="F1147" s="3"/>
      <c r="G1147" s="6"/>
      <c r="H1147" s="3"/>
      <c r="I1147" s="6"/>
      <c r="J1147" s="6"/>
      <c r="K1147" s="6"/>
      <c r="L1147" s="6"/>
      <c r="M1147" s="6"/>
      <c r="N1147" s="6"/>
      <c r="O1147" s="3"/>
      <c r="P1147" s="6"/>
      <c r="Q1147" s="6"/>
      <c r="R1147" s="6"/>
      <c r="S1147" s="6"/>
      <c r="T1147" s="6"/>
      <c r="U1147" t="str">
        <f t="shared" si="17"/>
        <v/>
      </c>
    </row>
    <row r="1148" spans="3:21" customFormat="1" hidden="1">
      <c r="C1148" s="6"/>
      <c r="D1148" s="6"/>
      <c r="E1148" s="98"/>
      <c r="F1148" s="3"/>
      <c r="G1148" s="6"/>
      <c r="H1148" s="3"/>
      <c r="I1148" s="6"/>
      <c r="J1148" s="6"/>
      <c r="K1148" s="6"/>
      <c r="L1148" s="6"/>
      <c r="M1148" s="6"/>
      <c r="N1148" s="6"/>
      <c r="O1148" s="3"/>
      <c r="P1148" s="6"/>
      <c r="Q1148" s="6"/>
      <c r="R1148" s="6"/>
      <c r="S1148" s="6"/>
      <c r="T1148" s="6"/>
      <c r="U1148" t="str">
        <f t="shared" si="17"/>
        <v/>
      </c>
    </row>
    <row r="1149" spans="3:21" customFormat="1" hidden="1">
      <c r="C1149" s="6"/>
      <c r="D1149" s="6"/>
      <c r="E1149" s="98"/>
      <c r="F1149" s="3"/>
      <c r="G1149" s="6"/>
      <c r="H1149" s="3"/>
      <c r="I1149" s="6"/>
      <c r="J1149" s="6"/>
      <c r="K1149" s="6"/>
      <c r="L1149" s="6"/>
      <c r="M1149" s="6"/>
      <c r="N1149" s="6"/>
      <c r="O1149" s="3"/>
      <c r="P1149" s="6"/>
      <c r="Q1149" s="6"/>
      <c r="R1149" s="6"/>
      <c r="S1149" s="6"/>
      <c r="T1149" s="6"/>
      <c r="U1149" t="str">
        <f t="shared" si="17"/>
        <v/>
      </c>
    </row>
    <row r="1150" spans="3:21" customFormat="1" hidden="1">
      <c r="C1150" s="6"/>
      <c r="D1150" s="6"/>
      <c r="E1150" s="98"/>
      <c r="F1150" s="3"/>
      <c r="G1150" s="6"/>
      <c r="H1150" s="3"/>
      <c r="I1150" s="6"/>
      <c r="J1150" s="6"/>
      <c r="K1150" s="6"/>
      <c r="L1150" s="6"/>
      <c r="M1150" s="6"/>
      <c r="N1150" s="6"/>
      <c r="O1150" s="3"/>
      <c r="P1150" s="6"/>
      <c r="Q1150" s="6"/>
      <c r="R1150" s="6"/>
      <c r="S1150" s="6"/>
      <c r="T1150" s="6"/>
      <c r="U1150" t="str">
        <f t="shared" si="17"/>
        <v/>
      </c>
    </row>
    <row r="1151" spans="3:21" customFormat="1" hidden="1">
      <c r="C1151" s="6"/>
      <c r="D1151" s="6"/>
      <c r="E1151" s="98"/>
      <c r="F1151" s="3"/>
      <c r="G1151" s="6"/>
      <c r="H1151" s="3"/>
      <c r="I1151" s="6"/>
      <c r="J1151" s="6"/>
      <c r="K1151" s="6"/>
      <c r="L1151" s="6"/>
      <c r="M1151" s="6"/>
      <c r="N1151" s="6"/>
      <c r="O1151" s="3"/>
      <c r="P1151" s="6"/>
      <c r="Q1151" s="6"/>
      <c r="R1151" s="6"/>
      <c r="S1151" s="6"/>
      <c r="T1151" s="6"/>
      <c r="U1151" t="str">
        <f t="shared" si="17"/>
        <v/>
      </c>
    </row>
    <row r="1152" spans="3:21" customFormat="1" hidden="1">
      <c r="C1152" s="6"/>
      <c r="D1152" s="6"/>
      <c r="E1152" s="98"/>
      <c r="F1152" s="3"/>
      <c r="G1152" s="6"/>
      <c r="H1152" s="3"/>
      <c r="I1152" s="6"/>
      <c r="J1152" s="6"/>
      <c r="K1152" s="6"/>
      <c r="L1152" s="6"/>
      <c r="M1152" s="6"/>
      <c r="N1152" s="6"/>
      <c r="O1152" s="3"/>
      <c r="P1152" s="6"/>
      <c r="Q1152" s="6"/>
      <c r="R1152" s="6"/>
      <c r="S1152" s="6"/>
      <c r="T1152" s="6"/>
      <c r="U1152" t="str">
        <f t="shared" si="17"/>
        <v/>
      </c>
    </row>
    <row r="1153" spans="3:21" customFormat="1" hidden="1">
      <c r="C1153" s="6"/>
      <c r="D1153" s="6"/>
      <c r="E1153" s="98"/>
      <c r="F1153" s="3"/>
      <c r="G1153" s="6"/>
      <c r="H1153" s="3"/>
      <c r="I1153" s="6"/>
      <c r="J1153" s="6"/>
      <c r="K1153" s="6"/>
      <c r="L1153" s="6"/>
      <c r="M1153" s="6"/>
      <c r="N1153" s="6"/>
      <c r="O1153" s="3"/>
      <c r="P1153" s="6"/>
      <c r="Q1153" s="6"/>
      <c r="R1153" s="6"/>
      <c r="S1153" s="6"/>
      <c r="T1153" s="6"/>
      <c r="U1153" t="str">
        <f t="shared" si="17"/>
        <v/>
      </c>
    </row>
    <row r="1154" spans="3:21" customFormat="1" hidden="1">
      <c r="C1154" s="6"/>
      <c r="D1154" s="6"/>
      <c r="E1154" s="98"/>
      <c r="F1154" s="3"/>
      <c r="G1154" s="6"/>
      <c r="H1154" s="3"/>
      <c r="I1154" s="6"/>
      <c r="J1154" s="6"/>
      <c r="K1154" s="6"/>
      <c r="L1154" s="6"/>
      <c r="M1154" s="6"/>
      <c r="N1154" s="6"/>
      <c r="O1154" s="3"/>
      <c r="P1154" s="6"/>
      <c r="Q1154" s="6"/>
      <c r="R1154" s="6"/>
      <c r="S1154" s="6"/>
      <c r="T1154" s="6"/>
      <c r="U1154" t="str">
        <f t="shared" si="17"/>
        <v/>
      </c>
    </row>
    <row r="1155" spans="3:21" customFormat="1" hidden="1">
      <c r="C1155" s="6"/>
      <c r="D1155" s="6"/>
      <c r="E1155" s="98"/>
      <c r="F1155" s="3"/>
      <c r="G1155" s="6"/>
      <c r="H1155" s="3"/>
      <c r="I1155" s="6"/>
      <c r="J1155" s="6"/>
      <c r="K1155" s="6"/>
      <c r="L1155" s="6"/>
      <c r="M1155" s="6"/>
      <c r="N1155" s="6"/>
      <c r="O1155" s="3"/>
      <c r="P1155" s="6"/>
      <c r="Q1155" s="6"/>
      <c r="R1155" s="6"/>
      <c r="S1155" s="6"/>
      <c r="T1155" s="6"/>
      <c r="U1155" t="str">
        <f t="shared" si="17"/>
        <v/>
      </c>
    </row>
    <row r="1156" spans="3:21" customFormat="1" hidden="1">
      <c r="C1156" s="6"/>
      <c r="D1156" s="6"/>
      <c r="E1156" s="98"/>
      <c r="F1156" s="3"/>
      <c r="G1156" s="6"/>
      <c r="H1156" s="3"/>
      <c r="I1156" s="6"/>
      <c r="J1156" s="6"/>
      <c r="K1156" s="6"/>
      <c r="L1156" s="6"/>
      <c r="M1156" s="6"/>
      <c r="N1156" s="6"/>
      <c r="O1156" s="3"/>
      <c r="P1156" s="6"/>
      <c r="Q1156" s="6"/>
      <c r="R1156" s="6"/>
      <c r="S1156" s="6"/>
      <c r="T1156" s="6"/>
      <c r="U1156" t="str">
        <f t="shared" si="17"/>
        <v/>
      </c>
    </row>
    <row r="1157" spans="3:21" customFormat="1" hidden="1">
      <c r="C1157" s="6"/>
      <c r="D1157" s="6"/>
      <c r="E1157" s="98"/>
      <c r="F1157" s="3"/>
      <c r="G1157" s="6"/>
      <c r="H1157" s="3"/>
      <c r="I1157" s="6"/>
      <c r="J1157" s="6"/>
      <c r="K1157" s="6"/>
      <c r="L1157" s="6"/>
      <c r="M1157" s="6"/>
      <c r="N1157" s="6"/>
      <c r="O1157" s="3"/>
      <c r="P1157" s="6"/>
      <c r="Q1157" s="6"/>
      <c r="R1157" s="6"/>
      <c r="S1157" s="6"/>
      <c r="T1157" s="6"/>
      <c r="U1157" t="str">
        <f t="shared" si="17"/>
        <v/>
      </c>
    </row>
    <row r="1158" spans="3:21" customFormat="1" hidden="1">
      <c r="C1158" s="6"/>
      <c r="D1158" s="6"/>
      <c r="E1158" s="98"/>
      <c r="F1158" s="3"/>
      <c r="G1158" s="6"/>
      <c r="H1158" s="3"/>
      <c r="I1158" s="6"/>
      <c r="J1158" s="6"/>
      <c r="K1158" s="6"/>
      <c r="L1158" s="6"/>
      <c r="M1158" s="6"/>
      <c r="N1158" s="6"/>
      <c r="O1158" s="3"/>
      <c r="P1158" s="6"/>
      <c r="Q1158" s="6"/>
      <c r="R1158" s="6"/>
      <c r="S1158" s="6"/>
      <c r="T1158" s="6"/>
      <c r="U1158" t="str">
        <f t="shared" si="17"/>
        <v/>
      </c>
    </row>
    <row r="1159" spans="3:21" customFormat="1" hidden="1">
      <c r="C1159" s="6"/>
      <c r="D1159" s="6"/>
      <c r="E1159" s="98"/>
      <c r="F1159" s="3"/>
      <c r="G1159" s="6"/>
      <c r="H1159" s="3"/>
      <c r="I1159" s="6"/>
      <c r="J1159" s="6"/>
      <c r="K1159" s="6"/>
      <c r="L1159" s="6"/>
      <c r="M1159" s="6"/>
      <c r="N1159" s="6"/>
      <c r="O1159" s="3"/>
      <c r="P1159" s="6"/>
      <c r="Q1159" s="6"/>
      <c r="R1159" s="6"/>
      <c r="S1159" s="6"/>
      <c r="T1159" s="6"/>
      <c r="U1159" t="str">
        <f t="shared" ref="U1159:U1222" si="18">IF(D1159="","","x")</f>
        <v/>
      </c>
    </row>
    <row r="1160" spans="3:21" customFormat="1" hidden="1">
      <c r="C1160" s="6"/>
      <c r="D1160" s="6"/>
      <c r="E1160" s="98"/>
      <c r="F1160" s="3"/>
      <c r="G1160" s="6"/>
      <c r="H1160" s="3"/>
      <c r="I1160" s="6"/>
      <c r="J1160" s="6"/>
      <c r="K1160" s="6"/>
      <c r="L1160" s="6"/>
      <c r="M1160" s="6"/>
      <c r="N1160" s="6"/>
      <c r="O1160" s="3"/>
      <c r="P1160" s="6"/>
      <c r="Q1160" s="6"/>
      <c r="R1160" s="6"/>
      <c r="S1160" s="6"/>
      <c r="T1160" s="6"/>
      <c r="U1160" t="str">
        <f t="shared" si="18"/>
        <v/>
      </c>
    </row>
    <row r="1161" spans="3:21" customFormat="1" hidden="1">
      <c r="C1161" s="6"/>
      <c r="D1161" s="6"/>
      <c r="E1161" s="98"/>
      <c r="F1161" s="3"/>
      <c r="G1161" s="6"/>
      <c r="H1161" s="3"/>
      <c r="I1161" s="6"/>
      <c r="J1161" s="6"/>
      <c r="K1161" s="6"/>
      <c r="L1161" s="6"/>
      <c r="M1161" s="6"/>
      <c r="N1161" s="6"/>
      <c r="O1161" s="3"/>
      <c r="P1161" s="6"/>
      <c r="Q1161" s="6"/>
      <c r="R1161" s="6"/>
      <c r="S1161" s="6"/>
      <c r="T1161" s="6"/>
      <c r="U1161" t="str">
        <f t="shared" si="18"/>
        <v/>
      </c>
    </row>
    <row r="1162" spans="3:21" customFormat="1" hidden="1">
      <c r="C1162" s="6"/>
      <c r="D1162" s="6"/>
      <c r="E1162" s="98"/>
      <c r="F1162" s="3"/>
      <c r="G1162" s="6"/>
      <c r="H1162" s="3"/>
      <c r="I1162" s="6"/>
      <c r="J1162" s="6"/>
      <c r="K1162" s="6"/>
      <c r="L1162" s="6"/>
      <c r="M1162" s="6"/>
      <c r="N1162" s="6"/>
      <c r="O1162" s="3"/>
      <c r="P1162" s="6"/>
      <c r="Q1162" s="6"/>
      <c r="R1162" s="6"/>
      <c r="S1162" s="6"/>
      <c r="T1162" s="6"/>
      <c r="U1162" t="str">
        <f t="shared" si="18"/>
        <v/>
      </c>
    </row>
    <row r="1163" spans="3:21" customFormat="1" hidden="1">
      <c r="C1163" s="6"/>
      <c r="D1163" s="6"/>
      <c r="E1163" s="98"/>
      <c r="F1163" s="3"/>
      <c r="G1163" s="6"/>
      <c r="H1163" s="3"/>
      <c r="I1163" s="6"/>
      <c r="J1163" s="6"/>
      <c r="K1163" s="6"/>
      <c r="L1163" s="6"/>
      <c r="M1163" s="6"/>
      <c r="N1163" s="6"/>
      <c r="O1163" s="3"/>
      <c r="P1163" s="6"/>
      <c r="Q1163" s="6"/>
      <c r="R1163" s="6"/>
      <c r="S1163" s="6"/>
      <c r="T1163" s="6"/>
      <c r="U1163" t="str">
        <f t="shared" si="18"/>
        <v/>
      </c>
    </row>
    <row r="1164" spans="3:21" customFormat="1" hidden="1">
      <c r="C1164" s="6"/>
      <c r="D1164" s="6"/>
      <c r="E1164" s="98"/>
      <c r="F1164" s="3"/>
      <c r="G1164" s="6"/>
      <c r="H1164" s="3"/>
      <c r="I1164" s="6"/>
      <c r="J1164" s="6"/>
      <c r="K1164" s="6"/>
      <c r="L1164" s="6"/>
      <c r="M1164" s="6"/>
      <c r="N1164" s="6"/>
      <c r="O1164" s="3"/>
      <c r="P1164" s="6"/>
      <c r="Q1164" s="6"/>
      <c r="R1164" s="6"/>
      <c r="S1164" s="6"/>
      <c r="T1164" s="6"/>
      <c r="U1164" t="str">
        <f t="shared" si="18"/>
        <v/>
      </c>
    </row>
    <row r="1165" spans="3:21" customFormat="1" hidden="1">
      <c r="C1165" s="6"/>
      <c r="D1165" s="6"/>
      <c r="E1165" s="98"/>
      <c r="F1165" s="3"/>
      <c r="G1165" s="6"/>
      <c r="H1165" s="3"/>
      <c r="I1165" s="6"/>
      <c r="J1165" s="6"/>
      <c r="K1165" s="6"/>
      <c r="L1165" s="6"/>
      <c r="M1165" s="6"/>
      <c r="N1165" s="6"/>
      <c r="O1165" s="3"/>
      <c r="P1165" s="6"/>
      <c r="Q1165" s="6"/>
      <c r="R1165" s="6"/>
      <c r="S1165" s="6"/>
      <c r="T1165" s="6"/>
      <c r="U1165" t="str">
        <f t="shared" si="18"/>
        <v/>
      </c>
    </row>
    <row r="1166" spans="3:21" customFormat="1" hidden="1">
      <c r="C1166" s="6"/>
      <c r="D1166" s="6"/>
      <c r="E1166" s="98"/>
      <c r="F1166" s="3"/>
      <c r="G1166" s="6"/>
      <c r="H1166" s="3"/>
      <c r="I1166" s="6"/>
      <c r="J1166" s="6"/>
      <c r="K1166" s="6"/>
      <c r="L1166" s="6"/>
      <c r="M1166" s="6"/>
      <c r="N1166" s="6"/>
      <c r="O1166" s="3"/>
      <c r="P1166" s="6"/>
      <c r="Q1166" s="6"/>
      <c r="R1166" s="6"/>
      <c r="S1166" s="6"/>
      <c r="T1166" s="6"/>
      <c r="U1166" t="str">
        <f t="shared" si="18"/>
        <v/>
      </c>
    </row>
    <row r="1167" spans="3:21" customFormat="1" hidden="1">
      <c r="C1167" s="6"/>
      <c r="D1167" s="6"/>
      <c r="E1167" s="98"/>
      <c r="F1167" s="3"/>
      <c r="G1167" s="6"/>
      <c r="H1167" s="3"/>
      <c r="I1167" s="6"/>
      <c r="J1167" s="6"/>
      <c r="K1167" s="6"/>
      <c r="L1167" s="6"/>
      <c r="M1167" s="6"/>
      <c r="N1167" s="6"/>
      <c r="O1167" s="3"/>
      <c r="P1167" s="6"/>
      <c r="Q1167" s="6"/>
      <c r="R1167" s="6"/>
      <c r="S1167" s="6"/>
      <c r="T1167" s="6"/>
      <c r="U1167" t="str">
        <f t="shared" si="18"/>
        <v/>
      </c>
    </row>
    <row r="1168" spans="3:21" customFormat="1" hidden="1">
      <c r="C1168" s="6"/>
      <c r="D1168" s="6"/>
      <c r="E1168" s="98"/>
      <c r="F1168" s="3"/>
      <c r="G1168" s="6"/>
      <c r="H1168" s="3"/>
      <c r="I1168" s="6"/>
      <c r="J1168" s="6"/>
      <c r="K1168" s="6"/>
      <c r="L1168" s="6"/>
      <c r="M1168" s="6"/>
      <c r="N1168" s="6"/>
      <c r="O1168" s="3"/>
      <c r="P1168" s="6"/>
      <c r="Q1168" s="6"/>
      <c r="R1168" s="6"/>
      <c r="S1168" s="6"/>
      <c r="T1168" s="6"/>
      <c r="U1168" t="str">
        <f t="shared" si="18"/>
        <v/>
      </c>
    </row>
    <row r="1169" spans="3:21" customFormat="1" hidden="1">
      <c r="C1169" s="6"/>
      <c r="D1169" s="6"/>
      <c r="E1169" s="98"/>
      <c r="F1169" s="3"/>
      <c r="G1169" s="6"/>
      <c r="H1169" s="3"/>
      <c r="I1169" s="6"/>
      <c r="J1169" s="6"/>
      <c r="K1169" s="6"/>
      <c r="L1169" s="6"/>
      <c r="M1169" s="6"/>
      <c r="N1169" s="6"/>
      <c r="O1169" s="3"/>
      <c r="P1169" s="6"/>
      <c r="Q1169" s="6"/>
      <c r="R1169" s="6"/>
      <c r="S1169" s="6"/>
      <c r="T1169" s="6"/>
      <c r="U1169" t="str">
        <f t="shared" si="18"/>
        <v/>
      </c>
    </row>
    <row r="1170" spans="3:21" customFormat="1" hidden="1">
      <c r="C1170" s="6"/>
      <c r="D1170" s="6"/>
      <c r="E1170" s="98"/>
      <c r="F1170" s="3"/>
      <c r="G1170" s="6"/>
      <c r="H1170" s="3"/>
      <c r="I1170" s="6"/>
      <c r="J1170" s="6"/>
      <c r="K1170" s="6"/>
      <c r="L1170" s="6"/>
      <c r="M1170" s="6"/>
      <c r="N1170" s="6"/>
      <c r="O1170" s="3"/>
      <c r="P1170" s="6"/>
      <c r="Q1170" s="6"/>
      <c r="R1170" s="6"/>
      <c r="S1170" s="6"/>
      <c r="T1170" s="6"/>
      <c r="U1170" t="str">
        <f t="shared" si="18"/>
        <v/>
      </c>
    </row>
    <row r="1171" spans="3:21" customFormat="1" hidden="1">
      <c r="C1171" s="6"/>
      <c r="D1171" s="6"/>
      <c r="E1171" s="98"/>
      <c r="F1171" s="3"/>
      <c r="G1171" s="6"/>
      <c r="H1171" s="3"/>
      <c r="I1171" s="6"/>
      <c r="J1171" s="6"/>
      <c r="K1171" s="6"/>
      <c r="L1171" s="6"/>
      <c r="M1171" s="6"/>
      <c r="N1171" s="6"/>
      <c r="O1171" s="3"/>
      <c r="P1171" s="6"/>
      <c r="Q1171" s="6"/>
      <c r="R1171" s="6"/>
      <c r="S1171" s="6"/>
      <c r="T1171" s="6"/>
      <c r="U1171" t="str">
        <f t="shared" si="18"/>
        <v/>
      </c>
    </row>
    <row r="1172" spans="3:21" customFormat="1" hidden="1">
      <c r="C1172" s="6"/>
      <c r="D1172" s="6"/>
      <c r="E1172" s="98"/>
      <c r="F1172" s="3"/>
      <c r="G1172" s="6"/>
      <c r="H1172" s="3"/>
      <c r="I1172" s="6"/>
      <c r="J1172" s="6"/>
      <c r="K1172" s="6"/>
      <c r="L1172" s="6"/>
      <c r="M1172" s="6"/>
      <c r="N1172" s="6"/>
      <c r="O1172" s="3"/>
      <c r="P1172" s="6"/>
      <c r="Q1172" s="6"/>
      <c r="R1172" s="6"/>
      <c r="S1172" s="6"/>
      <c r="T1172" s="6"/>
      <c r="U1172" t="str">
        <f t="shared" si="18"/>
        <v/>
      </c>
    </row>
    <row r="1173" spans="3:21" customFormat="1" hidden="1">
      <c r="C1173" s="6"/>
      <c r="D1173" s="6"/>
      <c r="E1173" s="98"/>
      <c r="F1173" s="3"/>
      <c r="G1173" s="6"/>
      <c r="H1173" s="3"/>
      <c r="I1173" s="6"/>
      <c r="J1173" s="6"/>
      <c r="K1173" s="6"/>
      <c r="L1173" s="6"/>
      <c r="M1173" s="6"/>
      <c r="N1173" s="6"/>
      <c r="O1173" s="3"/>
      <c r="P1173" s="6"/>
      <c r="Q1173" s="6"/>
      <c r="R1173" s="6"/>
      <c r="S1173" s="6"/>
      <c r="T1173" s="6"/>
      <c r="U1173" t="str">
        <f t="shared" si="18"/>
        <v/>
      </c>
    </row>
    <row r="1174" spans="3:21" customFormat="1" hidden="1">
      <c r="C1174" s="6"/>
      <c r="D1174" s="6"/>
      <c r="E1174" s="98"/>
      <c r="F1174" s="3"/>
      <c r="G1174" s="6"/>
      <c r="H1174" s="3"/>
      <c r="I1174" s="6"/>
      <c r="J1174" s="6"/>
      <c r="K1174" s="6"/>
      <c r="L1174" s="6"/>
      <c r="M1174" s="6"/>
      <c r="N1174" s="6"/>
      <c r="O1174" s="3"/>
      <c r="P1174" s="6"/>
      <c r="Q1174" s="6"/>
      <c r="R1174" s="6"/>
      <c r="S1174" s="6"/>
      <c r="T1174" s="6"/>
      <c r="U1174" t="str">
        <f t="shared" si="18"/>
        <v/>
      </c>
    </row>
    <row r="1175" spans="3:21" customFormat="1" hidden="1">
      <c r="C1175" s="6"/>
      <c r="D1175" s="6"/>
      <c r="E1175" s="98"/>
      <c r="F1175" s="3"/>
      <c r="G1175" s="6"/>
      <c r="H1175" s="3"/>
      <c r="I1175" s="6"/>
      <c r="J1175" s="6"/>
      <c r="K1175" s="6"/>
      <c r="L1175" s="6"/>
      <c r="M1175" s="6"/>
      <c r="N1175" s="6"/>
      <c r="O1175" s="3"/>
      <c r="P1175" s="6"/>
      <c r="Q1175" s="6"/>
      <c r="R1175" s="6"/>
      <c r="S1175" s="6"/>
      <c r="T1175" s="6"/>
      <c r="U1175" t="str">
        <f t="shared" si="18"/>
        <v/>
      </c>
    </row>
    <row r="1176" spans="3:21" customFormat="1" hidden="1">
      <c r="C1176" s="6"/>
      <c r="D1176" s="6"/>
      <c r="E1176" s="98"/>
      <c r="F1176" s="3"/>
      <c r="G1176" s="6"/>
      <c r="H1176" s="3"/>
      <c r="I1176" s="6"/>
      <c r="J1176" s="6"/>
      <c r="K1176" s="6"/>
      <c r="L1176" s="6"/>
      <c r="M1176" s="6"/>
      <c r="N1176" s="6"/>
      <c r="O1176" s="3"/>
      <c r="P1176" s="6"/>
      <c r="Q1176" s="6"/>
      <c r="R1176" s="6"/>
      <c r="S1176" s="6"/>
      <c r="T1176" s="6"/>
      <c r="U1176" t="str">
        <f t="shared" si="18"/>
        <v/>
      </c>
    </row>
    <row r="1177" spans="3:21" customFormat="1" hidden="1">
      <c r="C1177" s="6"/>
      <c r="D1177" s="6"/>
      <c r="E1177" s="98"/>
      <c r="F1177" s="3"/>
      <c r="G1177" s="6"/>
      <c r="H1177" s="3"/>
      <c r="I1177" s="6"/>
      <c r="J1177" s="6"/>
      <c r="K1177" s="6"/>
      <c r="L1177" s="6"/>
      <c r="M1177" s="6"/>
      <c r="N1177" s="6"/>
      <c r="O1177" s="3"/>
      <c r="P1177" s="6"/>
      <c r="Q1177" s="6"/>
      <c r="R1177" s="6"/>
      <c r="S1177" s="6"/>
      <c r="T1177" s="6"/>
      <c r="U1177" t="str">
        <f t="shared" si="18"/>
        <v/>
      </c>
    </row>
    <row r="1178" spans="3:21" customFormat="1" hidden="1">
      <c r="C1178" s="6"/>
      <c r="D1178" s="6"/>
      <c r="E1178" s="98"/>
      <c r="F1178" s="3"/>
      <c r="G1178" s="6"/>
      <c r="H1178" s="3"/>
      <c r="I1178" s="6"/>
      <c r="J1178" s="6"/>
      <c r="K1178" s="6"/>
      <c r="L1178" s="6"/>
      <c r="M1178" s="6"/>
      <c r="N1178" s="6"/>
      <c r="O1178" s="3"/>
      <c r="P1178" s="6"/>
      <c r="Q1178" s="6"/>
      <c r="R1178" s="6"/>
      <c r="S1178" s="6"/>
      <c r="T1178" s="6"/>
      <c r="U1178" t="str">
        <f t="shared" si="18"/>
        <v/>
      </c>
    </row>
    <row r="1179" spans="3:21" customFormat="1" hidden="1">
      <c r="C1179" s="6"/>
      <c r="D1179" s="6"/>
      <c r="E1179" s="98"/>
      <c r="F1179" s="3"/>
      <c r="G1179" s="6"/>
      <c r="H1179" s="3"/>
      <c r="I1179" s="6"/>
      <c r="J1179" s="6"/>
      <c r="K1179" s="6"/>
      <c r="L1179" s="6"/>
      <c r="M1179" s="6"/>
      <c r="N1179" s="6"/>
      <c r="O1179" s="3"/>
      <c r="P1179" s="6"/>
      <c r="Q1179" s="6"/>
      <c r="R1179" s="6"/>
      <c r="S1179" s="6"/>
      <c r="T1179" s="6"/>
      <c r="U1179" t="str">
        <f t="shared" si="18"/>
        <v/>
      </c>
    </row>
    <row r="1180" spans="3:21" customFormat="1" hidden="1">
      <c r="C1180" s="6"/>
      <c r="D1180" s="6"/>
      <c r="E1180" s="98"/>
      <c r="F1180" s="3"/>
      <c r="G1180" s="6"/>
      <c r="H1180" s="3"/>
      <c r="I1180" s="6"/>
      <c r="J1180" s="6"/>
      <c r="K1180" s="6"/>
      <c r="L1180" s="6"/>
      <c r="M1180" s="6"/>
      <c r="N1180" s="6"/>
      <c r="O1180" s="3"/>
      <c r="P1180" s="6"/>
      <c r="Q1180" s="6"/>
      <c r="R1180" s="6"/>
      <c r="S1180" s="6"/>
      <c r="T1180" s="6"/>
      <c r="U1180" t="str">
        <f t="shared" si="18"/>
        <v/>
      </c>
    </row>
    <row r="1181" spans="3:21" customFormat="1" hidden="1">
      <c r="C1181" s="6"/>
      <c r="D1181" s="6"/>
      <c r="E1181" s="98"/>
      <c r="F1181" s="3"/>
      <c r="G1181" s="6"/>
      <c r="H1181" s="3"/>
      <c r="I1181" s="6"/>
      <c r="J1181" s="6"/>
      <c r="K1181" s="6"/>
      <c r="L1181" s="6"/>
      <c r="M1181" s="6"/>
      <c r="N1181" s="6"/>
      <c r="O1181" s="3"/>
      <c r="P1181" s="6"/>
      <c r="Q1181" s="6"/>
      <c r="R1181" s="6"/>
      <c r="S1181" s="6"/>
      <c r="T1181" s="6"/>
      <c r="U1181" t="str">
        <f t="shared" si="18"/>
        <v/>
      </c>
    </row>
    <row r="1182" spans="3:21" customFormat="1" hidden="1">
      <c r="C1182" s="6"/>
      <c r="D1182" s="6"/>
      <c r="E1182" s="98"/>
      <c r="F1182" s="3"/>
      <c r="G1182" s="6"/>
      <c r="H1182" s="3"/>
      <c r="I1182" s="6"/>
      <c r="J1182" s="6"/>
      <c r="K1182" s="6"/>
      <c r="L1182" s="6"/>
      <c r="M1182" s="6"/>
      <c r="N1182" s="6"/>
      <c r="O1182" s="3"/>
      <c r="P1182" s="6"/>
      <c r="Q1182" s="6"/>
      <c r="R1182" s="6"/>
      <c r="S1182" s="6"/>
      <c r="T1182" s="6"/>
      <c r="U1182" t="str">
        <f t="shared" si="18"/>
        <v/>
      </c>
    </row>
    <row r="1183" spans="3:21" customFormat="1" hidden="1">
      <c r="C1183" s="6"/>
      <c r="D1183" s="6"/>
      <c r="E1183" s="98"/>
      <c r="F1183" s="3"/>
      <c r="G1183" s="6"/>
      <c r="H1183" s="3"/>
      <c r="I1183" s="6"/>
      <c r="J1183" s="6"/>
      <c r="K1183" s="6"/>
      <c r="L1183" s="6"/>
      <c r="M1183" s="6"/>
      <c r="N1183" s="6"/>
      <c r="O1183" s="3"/>
      <c r="P1183" s="6"/>
      <c r="Q1183" s="6"/>
      <c r="R1183" s="6"/>
      <c r="S1183" s="6"/>
      <c r="T1183" s="6"/>
      <c r="U1183" t="str">
        <f t="shared" si="18"/>
        <v/>
      </c>
    </row>
    <row r="1184" spans="3:21" customFormat="1" hidden="1">
      <c r="C1184" s="6"/>
      <c r="D1184" s="6"/>
      <c r="E1184" s="98"/>
      <c r="F1184" s="3"/>
      <c r="G1184" s="6"/>
      <c r="H1184" s="3"/>
      <c r="I1184" s="6"/>
      <c r="J1184" s="6"/>
      <c r="K1184" s="6"/>
      <c r="L1184" s="6"/>
      <c r="M1184" s="6"/>
      <c r="N1184" s="6"/>
      <c r="O1184" s="3"/>
      <c r="P1184" s="6"/>
      <c r="Q1184" s="6"/>
      <c r="R1184" s="6"/>
      <c r="S1184" s="6"/>
      <c r="T1184" s="6"/>
      <c r="U1184" t="str">
        <f t="shared" si="18"/>
        <v/>
      </c>
    </row>
    <row r="1185" spans="3:21" customFormat="1" hidden="1">
      <c r="C1185" s="6"/>
      <c r="D1185" s="6"/>
      <c r="E1185" s="98"/>
      <c r="F1185" s="3"/>
      <c r="G1185" s="6"/>
      <c r="H1185" s="3"/>
      <c r="I1185" s="6"/>
      <c r="J1185" s="6"/>
      <c r="K1185" s="6"/>
      <c r="L1185" s="6"/>
      <c r="M1185" s="6"/>
      <c r="N1185" s="6"/>
      <c r="O1185" s="3"/>
      <c r="P1185" s="6"/>
      <c r="Q1185" s="6"/>
      <c r="R1185" s="6"/>
      <c r="S1185" s="6"/>
      <c r="T1185" s="6"/>
      <c r="U1185" t="str">
        <f t="shared" si="18"/>
        <v/>
      </c>
    </row>
    <row r="1186" spans="3:21" customFormat="1" hidden="1">
      <c r="C1186" s="6"/>
      <c r="D1186" s="6"/>
      <c r="E1186" s="98"/>
      <c r="F1186" s="3"/>
      <c r="G1186" s="6"/>
      <c r="H1186" s="3"/>
      <c r="I1186" s="6"/>
      <c r="J1186" s="6"/>
      <c r="K1186" s="6"/>
      <c r="L1186" s="6"/>
      <c r="M1186" s="6"/>
      <c r="N1186" s="6"/>
      <c r="O1186" s="3"/>
      <c r="P1186" s="6"/>
      <c r="Q1186" s="6"/>
      <c r="R1186" s="6"/>
      <c r="S1186" s="6"/>
      <c r="T1186" s="6"/>
      <c r="U1186" t="str">
        <f t="shared" si="18"/>
        <v/>
      </c>
    </row>
    <row r="1187" spans="3:21" customFormat="1" hidden="1">
      <c r="C1187" s="6"/>
      <c r="D1187" s="6"/>
      <c r="E1187" s="98"/>
      <c r="F1187" s="3"/>
      <c r="G1187" s="6"/>
      <c r="H1187" s="3"/>
      <c r="I1187" s="6"/>
      <c r="J1187" s="6"/>
      <c r="K1187" s="6"/>
      <c r="L1187" s="6"/>
      <c r="M1187" s="6"/>
      <c r="N1187" s="6"/>
      <c r="O1187" s="3"/>
      <c r="P1187" s="6"/>
      <c r="Q1187" s="6"/>
      <c r="R1187" s="6"/>
      <c r="S1187" s="6"/>
      <c r="T1187" s="6"/>
      <c r="U1187" t="str">
        <f t="shared" si="18"/>
        <v/>
      </c>
    </row>
    <row r="1188" spans="3:21" customFormat="1" hidden="1">
      <c r="C1188" s="6"/>
      <c r="D1188" s="6"/>
      <c r="E1188" s="98"/>
      <c r="F1188" s="3"/>
      <c r="G1188" s="6"/>
      <c r="H1188" s="3"/>
      <c r="I1188" s="6"/>
      <c r="J1188" s="6"/>
      <c r="K1188" s="6"/>
      <c r="L1188" s="6"/>
      <c r="M1188" s="6"/>
      <c r="N1188" s="6"/>
      <c r="O1188" s="3"/>
      <c r="P1188" s="6"/>
      <c r="Q1188" s="6"/>
      <c r="R1188" s="6"/>
      <c r="S1188" s="6"/>
      <c r="T1188" s="6"/>
      <c r="U1188" t="str">
        <f t="shared" si="18"/>
        <v/>
      </c>
    </row>
    <row r="1189" spans="3:21" customFormat="1" hidden="1">
      <c r="C1189" s="6"/>
      <c r="D1189" s="6"/>
      <c r="E1189" s="98"/>
      <c r="F1189" s="3"/>
      <c r="G1189" s="6"/>
      <c r="H1189" s="3"/>
      <c r="I1189" s="6"/>
      <c r="J1189" s="6"/>
      <c r="K1189" s="6"/>
      <c r="L1189" s="6"/>
      <c r="M1189" s="6"/>
      <c r="N1189" s="6"/>
      <c r="O1189" s="3"/>
      <c r="P1189" s="6"/>
      <c r="Q1189" s="6"/>
      <c r="R1189" s="6"/>
      <c r="S1189" s="6"/>
      <c r="T1189" s="6"/>
      <c r="U1189" t="str">
        <f t="shared" si="18"/>
        <v/>
      </c>
    </row>
    <row r="1190" spans="3:21" customFormat="1" hidden="1">
      <c r="C1190" s="6"/>
      <c r="D1190" s="6"/>
      <c r="E1190" s="98"/>
      <c r="F1190" s="3"/>
      <c r="G1190" s="6"/>
      <c r="H1190" s="3"/>
      <c r="I1190" s="6"/>
      <c r="J1190" s="6"/>
      <c r="K1190" s="6"/>
      <c r="L1190" s="6"/>
      <c r="M1190" s="6"/>
      <c r="N1190" s="6"/>
      <c r="O1190" s="3"/>
      <c r="P1190" s="6"/>
      <c r="Q1190" s="6"/>
      <c r="R1190" s="6"/>
      <c r="S1190" s="6"/>
      <c r="T1190" s="6"/>
      <c r="U1190" t="str">
        <f t="shared" si="18"/>
        <v/>
      </c>
    </row>
    <row r="1191" spans="3:21" customFormat="1" hidden="1">
      <c r="C1191" s="6"/>
      <c r="D1191" s="6"/>
      <c r="E1191" s="98"/>
      <c r="F1191" s="3"/>
      <c r="G1191" s="6"/>
      <c r="H1191" s="3"/>
      <c r="I1191" s="6"/>
      <c r="J1191" s="6"/>
      <c r="K1191" s="6"/>
      <c r="L1191" s="6"/>
      <c r="M1191" s="6"/>
      <c r="N1191" s="6"/>
      <c r="O1191" s="3"/>
      <c r="P1191" s="6"/>
      <c r="Q1191" s="6"/>
      <c r="R1191" s="6"/>
      <c r="S1191" s="6"/>
      <c r="T1191" s="6"/>
      <c r="U1191" t="str">
        <f t="shared" si="18"/>
        <v/>
      </c>
    </row>
    <row r="1192" spans="3:21" customFormat="1" hidden="1">
      <c r="C1192" s="6"/>
      <c r="D1192" s="6"/>
      <c r="E1192" s="98"/>
      <c r="F1192" s="3"/>
      <c r="G1192" s="6"/>
      <c r="H1192" s="3"/>
      <c r="I1192" s="6"/>
      <c r="J1192" s="6"/>
      <c r="K1192" s="6"/>
      <c r="L1192" s="6"/>
      <c r="M1192" s="6"/>
      <c r="N1192" s="6"/>
      <c r="O1192" s="3"/>
      <c r="P1192" s="6"/>
      <c r="Q1192" s="6"/>
      <c r="R1192" s="6"/>
      <c r="S1192" s="6"/>
      <c r="T1192" s="6"/>
      <c r="U1192" t="str">
        <f t="shared" si="18"/>
        <v/>
      </c>
    </row>
    <row r="1193" spans="3:21" customFormat="1" hidden="1">
      <c r="C1193" s="6"/>
      <c r="D1193" s="6"/>
      <c r="E1193" s="98"/>
      <c r="F1193" s="3"/>
      <c r="G1193" s="6"/>
      <c r="H1193" s="3"/>
      <c r="I1193" s="6"/>
      <c r="J1193" s="6"/>
      <c r="K1193" s="6"/>
      <c r="L1193" s="6"/>
      <c r="M1193" s="6"/>
      <c r="N1193" s="6"/>
      <c r="O1193" s="3"/>
      <c r="P1193" s="6"/>
      <c r="Q1193" s="6"/>
      <c r="R1193" s="6"/>
      <c r="S1193" s="6"/>
      <c r="T1193" s="6"/>
      <c r="U1193" t="str">
        <f t="shared" si="18"/>
        <v/>
      </c>
    </row>
    <row r="1194" spans="3:21" customFormat="1" hidden="1">
      <c r="C1194" s="6"/>
      <c r="D1194" s="6"/>
      <c r="E1194" s="98"/>
      <c r="F1194" s="3"/>
      <c r="G1194" s="6"/>
      <c r="H1194" s="3"/>
      <c r="I1194" s="6"/>
      <c r="J1194" s="6"/>
      <c r="K1194" s="6"/>
      <c r="L1194" s="6"/>
      <c r="M1194" s="6"/>
      <c r="N1194" s="6"/>
      <c r="O1194" s="3"/>
      <c r="P1194" s="6"/>
      <c r="Q1194" s="6"/>
      <c r="R1194" s="6"/>
      <c r="S1194" s="6"/>
      <c r="T1194" s="6"/>
      <c r="U1194" t="str">
        <f t="shared" si="18"/>
        <v/>
      </c>
    </row>
    <row r="1195" spans="3:21" customFormat="1" hidden="1">
      <c r="C1195" s="6"/>
      <c r="D1195" s="6"/>
      <c r="E1195" s="98"/>
      <c r="F1195" s="3"/>
      <c r="G1195" s="6"/>
      <c r="H1195" s="3"/>
      <c r="I1195" s="6"/>
      <c r="J1195" s="6"/>
      <c r="K1195" s="6"/>
      <c r="L1195" s="6"/>
      <c r="M1195" s="6"/>
      <c r="N1195" s="6"/>
      <c r="O1195" s="3"/>
      <c r="P1195" s="6"/>
      <c r="Q1195" s="6"/>
      <c r="R1195" s="6"/>
      <c r="S1195" s="6"/>
      <c r="T1195" s="6"/>
      <c r="U1195" t="str">
        <f t="shared" si="18"/>
        <v/>
      </c>
    </row>
    <row r="1196" spans="3:21" customFormat="1" hidden="1">
      <c r="C1196" s="6"/>
      <c r="D1196" s="6"/>
      <c r="E1196" s="98"/>
      <c r="F1196" s="3"/>
      <c r="G1196" s="6"/>
      <c r="H1196" s="3"/>
      <c r="I1196" s="6"/>
      <c r="J1196" s="6"/>
      <c r="K1196" s="6"/>
      <c r="L1196" s="6"/>
      <c r="M1196" s="6"/>
      <c r="N1196" s="6"/>
      <c r="O1196" s="3"/>
      <c r="P1196" s="6"/>
      <c r="Q1196" s="6"/>
      <c r="R1196" s="6"/>
      <c r="S1196" s="6"/>
      <c r="T1196" s="6"/>
      <c r="U1196" t="str">
        <f t="shared" si="18"/>
        <v/>
      </c>
    </row>
    <row r="1197" spans="3:21" customFormat="1" hidden="1">
      <c r="C1197" s="6"/>
      <c r="D1197" s="6"/>
      <c r="E1197" s="98"/>
      <c r="F1197" s="3"/>
      <c r="G1197" s="6"/>
      <c r="H1197" s="3"/>
      <c r="I1197" s="6"/>
      <c r="J1197" s="6"/>
      <c r="K1197" s="6"/>
      <c r="L1197" s="6"/>
      <c r="M1197" s="6"/>
      <c r="N1197" s="6"/>
      <c r="O1197" s="3"/>
      <c r="P1197" s="6"/>
      <c r="Q1197" s="6"/>
      <c r="R1197" s="6"/>
      <c r="S1197" s="6"/>
      <c r="T1197" s="6"/>
      <c r="U1197" t="str">
        <f t="shared" si="18"/>
        <v/>
      </c>
    </row>
    <row r="1198" spans="3:21" customFormat="1" hidden="1">
      <c r="C1198" s="6"/>
      <c r="D1198" s="6"/>
      <c r="E1198" s="98"/>
      <c r="F1198" s="3"/>
      <c r="G1198" s="6"/>
      <c r="H1198" s="3"/>
      <c r="I1198" s="6"/>
      <c r="J1198" s="6"/>
      <c r="K1198" s="6"/>
      <c r="L1198" s="6"/>
      <c r="M1198" s="6"/>
      <c r="N1198" s="6"/>
      <c r="O1198" s="3"/>
      <c r="P1198" s="6"/>
      <c r="Q1198" s="6"/>
      <c r="R1198" s="6"/>
      <c r="S1198" s="6"/>
      <c r="T1198" s="6"/>
      <c r="U1198" t="str">
        <f t="shared" si="18"/>
        <v/>
      </c>
    </row>
    <row r="1199" spans="3:21" customFormat="1" hidden="1">
      <c r="C1199" s="6"/>
      <c r="D1199" s="6"/>
      <c r="E1199" s="98"/>
      <c r="F1199" s="3"/>
      <c r="G1199" s="6"/>
      <c r="H1199" s="3"/>
      <c r="I1199" s="6"/>
      <c r="J1199" s="6"/>
      <c r="K1199" s="6"/>
      <c r="L1199" s="6"/>
      <c r="M1199" s="6"/>
      <c r="N1199" s="6"/>
      <c r="O1199" s="3"/>
      <c r="P1199" s="6"/>
      <c r="Q1199" s="6"/>
      <c r="R1199" s="6"/>
      <c r="S1199" s="6"/>
      <c r="T1199" s="6"/>
      <c r="U1199" t="str">
        <f t="shared" si="18"/>
        <v/>
      </c>
    </row>
    <row r="1200" spans="3:21" customFormat="1" hidden="1">
      <c r="C1200" s="6"/>
      <c r="D1200" s="6"/>
      <c r="E1200" s="98"/>
      <c r="F1200" s="3"/>
      <c r="G1200" s="6"/>
      <c r="H1200" s="3"/>
      <c r="I1200" s="6"/>
      <c r="J1200" s="6"/>
      <c r="K1200" s="6"/>
      <c r="L1200" s="6"/>
      <c r="M1200" s="6"/>
      <c r="N1200" s="6"/>
      <c r="O1200" s="3"/>
      <c r="P1200" s="6"/>
      <c r="Q1200" s="6"/>
      <c r="R1200" s="6"/>
      <c r="S1200" s="6"/>
      <c r="T1200" s="6"/>
      <c r="U1200" t="str">
        <f t="shared" si="18"/>
        <v/>
      </c>
    </row>
    <row r="1201" spans="3:21" customFormat="1" hidden="1">
      <c r="C1201" s="6"/>
      <c r="D1201" s="6"/>
      <c r="E1201" s="98"/>
      <c r="F1201" s="3"/>
      <c r="G1201" s="6"/>
      <c r="H1201" s="3"/>
      <c r="I1201" s="6"/>
      <c r="J1201" s="6"/>
      <c r="K1201" s="6"/>
      <c r="L1201" s="6"/>
      <c r="M1201" s="6"/>
      <c r="N1201" s="6"/>
      <c r="O1201" s="3"/>
      <c r="P1201" s="6"/>
      <c r="Q1201" s="6"/>
      <c r="R1201" s="6"/>
      <c r="S1201" s="6"/>
      <c r="T1201" s="6"/>
      <c r="U1201" t="str">
        <f t="shared" si="18"/>
        <v/>
      </c>
    </row>
    <row r="1202" spans="3:21" customFormat="1" hidden="1">
      <c r="C1202" s="6"/>
      <c r="D1202" s="6"/>
      <c r="E1202" s="98"/>
      <c r="F1202" s="3"/>
      <c r="G1202" s="6"/>
      <c r="H1202" s="3"/>
      <c r="I1202" s="6"/>
      <c r="J1202" s="6"/>
      <c r="K1202" s="6"/>
      <c r="L1202" s="6"/>
      <c r="M1202" s="6"/>
      <c r="N1202" s="6"/>
      <c r="O1202" s="3"/>
      <c r="P1202" s="6"/>
      <c r="Q1202" s="6"/>
      <c r="R1202" s="6"/>
      <c r="S1202" s="6"/>
      <c r="T1202" s="6"/>
      <c r="U1202" t="str">
        <f t="shared" si="18"/>
        <v/>
      </c>
    </row>
    <row r="1203" spans="3:21" customFormat="1" hidden="1">
      <c r="C1203" s="6"/>
      <c r="D1203" s="6"/>
      <c r="E1203" s="98"/>
      <c r="F1203" s="3"/>
      <c r="G1203" s="6"/>
      <c r="H1203" s="3"/>
      <c r="I1203" s="6"/>
      <c r="J1203" s="6"/>
      <c r="K1203" s="6"/>
      <c r="L1203" s="6"/>
      <c r="M1203" s="6"/>
      <c r="N1203" s="6"/>
      <c r="O1203" s="3"/>
      <c r="P1203" s="6"/>
      <c r="Q1203" s="6"/>
      <c r="R1203" s="6"/>
      <c r="S1203" s="6"/>
      <c r="T1203" s="6"/>
      <c r="U1203" t="str">
        <f t="shared" si="18"/>
        <v/>
      </c>
    </row>
    <row r="1204" spans="3:21" customFormat="1" hidden="1">
      <c r="C1204" s="6"/>
      <c r="D1204" s="6"/>
      <c r="E1204" s="98"/>
      <c r="F1204" s="3"/>
      <c r="G1204" s="6"/>
      <c r="H1204" s="3"/>
      <c r="I1204" s="6"/>
      <c r="J1204" s="6"/>
      <c r="K1204" s="6"/>
      <c r="L1204" s="6"/>
      <c r="M1204" s="6"/>
      <c r="N1204" s="6"/>
      <c r="O1204" s="3"/>
      <c r="P1204" s="6"/>
      <c r="Q1204" s="6"/>
      <c r="R1204" s="6"/>
      <c r="S1204" s="6"/>
      <c r="T1204" s="6"/>
      <c r="U1204" t="str">
        <f t="shared" si="18"/>
        <v/>
      </c>
    </row>
    <row r="1205" spans="3:21" customFormat="1" hidden="1">
      <c r="C1205" s="6"/>
      <c r="D1205" s="6"/>
      <c r="E1205" s="98"/>
      <c r="F1205" s="3"/>
      <c r="G1205" s="6"/>
      <c r="H1205" s="3"/>
      <c r="I1205" s="6"/>
      <c r="J1205" s="6"/>
      <c r="K1205" s="6"/>
      <c r="L1205" s="6"/>
      <c r="M1205" s="6"/>
      <c r="N1205" s="6"/>
      <c r="O1205" s="3"/>
      <c r="P1205" s="6"/>
      <c r="Q1205" s="6"/>
      <c r="R1205" s="6"/>
      <c r="S1205" s="6"/>
      <c r="T1205" s="6"/>
      <c r="U1205" t="str">
        <f t="shared" si="18"/>
        <v/>
      </c>
    </row>
    <row r="1206" spans="3:21" customFormat="1" hidden="1">
      <c r="C1206" s="6"/>
      <c r="D1206" s="6"/>
      <c r="E1206" s="98"/>
      <c r="F1206" s="3"/>
      <c r="G1206" s="6"/>
      <c r="H1206" s="3"/>
      <c r="I1206" s="6"/>
      <c r="J1206" s="6"/>
      <c r="K1206" s="6"/>
      <c r="L1206" s="6"/>
      <c r="M1206" s="6"/>
      <c r="N1206" s="6"/>
      <c r="O1206" s="3"/>
      <c r="P1206" s="6"/>
      <c r="Q1206" s="6"/>
      <c r="R1206" s="6"/>
      <c r="S1206" s="6"/>
      <c r="T1206" s="6"/>
      <c r="U1206" t="str">
        <f t="shared" si="18"/>
        <v/>
      </c>
    </row>
    <row r="1207" spans="3:21" customFormat="1" hidden="1">
      <c r="C1207" s="6"/>
      <c r="D1207" s="6"/>
      <c r="E1207" s="98"/>
      <c r="F1207" s="3"/>
      <c r="G1207" s="6"/>
      <c r="H1207" s="3"/>
      <c r="I1207" s="6"/>
      <c r="J1207" s="6"/>
      <c r="K1207" s="6"/>
      <c r="L1207" s="6"/>
      <c r="M1207" s="6"/>
      <c r="N1207" s="6"/>
      <c r="O1207" s="3"/>
      <c r="P1207" s="6"/>
      <c r="Q1207" s="6"/>
      <c r="R1207" s="6"/>
      <c r="S1207" s="6"/>
      <c r="T1207" s="6"/>
      <c r="U1207" t="str">
        <f t="shared" si="18"/>
        <v/>
      </c>
    </row>
    <row r="1208" spans="3:21" customFormat="1" hidden="1">
      <c r="C1208" s="6"/>
      <c r="D1208" s="6"/>
      <c r="E1208" s="98"/>
      <c r="F1208" s="3"/>
      <c r="G1208" s="6"/>
      <c r="H1208" s="3"/>
      <c r="I1208" s="6"/>
      <c r="J1208" s="6"/>
      <c r="K1208" s="6"/>
      <c r="L1208" s="6"/>
      <c r="M1208" s="6"/>
      <c r="N1208" s="6"/>
      <c r="O1208" s="3"/>
      <c r="P1208" s="6"/>
      <c r="Q1208" s="6"/>
      <c r="R1208" s="6"/>
      <c r="S1208" s="6"/>
      <c r="T1208" s="6"/>
      <c r="U1208" t="str">
        <f t="shared" si="18"/>
        <v/>
      </c>
    </row>
    <row r="1209" spans="3:21" customFormat="1" hidden="1">
      <c r="C1209" s="6"/>
      <c r="D1209" s="6"/>
      <c r="E1209" s="98"/>
      <c r="F1209" s="3"/>
      <c r="G1209" s="6"/>
      <c r="H1209" s="3"/>
      <c r="I1209" s="6"/>
      <c r="J1209" s="6"/>
      <c r="K1209" s="6"/>
      <c r="L1209" s="6"/>
      <c r="M1209" s="6"/>
      <c r="N1209" s="6"/>
      <c r="O1209" s="3"/>
      <c r="P1209" s="6"/>
      <c r="Q1209" s="6"/>
      <c r="R1209" s="6"/>
      <c r="S1209" s="6"/>
      <c r="T1209" s="6"/>
      <c r="U1209" t="str">
        <f t="shared" si="18"/>
        <v/>
      </c>
    </row>
    <row r="1210" spans="3:21" customFormat="1" hidden="1">
      <c r="C1210" s="6"/>
      <c r="D1210" s="6"/>
      <c r="E1210" s="98"/>
      <c r="F1210" s="3"/>
      <c r="G1210" s="6"/>
      <c r="H1210" s="3"/>
      <c r="I1210" s="6"/>
      <c r="J1210" s="6"/>
      <c r="K1210" s="6"/>
      <c r="L1210" s="6"/>
      <c r="M1210" s="6"/>
      <c r="N1210" s="6"/>
      <c r="O1210" s="3"/>
      <c r="P1210" s="6"/>
      <c r="Q1210" s="6"/>
      <c r="R1210" s="6"/>
      <c r="S1210" s="6"/>
      <c r="T1210" s="6"/>
      <c r="U1210" t="str">
        <f t="shared" si="18"/>
        <v/>
      </c>
    </row>
    <row r="1211" spans="3:21" customFormat="1" hidden="1">
      <c r="C1211" s="6"/>
      <c r="D1211" s="6"/>
      <c r="E1211" s="98"/>
      <c r="F1211" s="3"/>
      <c r="G1211" s="6"/>
      <c r="H1211" s="3"/>
      <c r="I1211" s="6"/>
      <c r="J1211" s="6"/>
      <c r="K1211" s="6"/>
      <c r="L1211" s="6"/>
      <c r="M1211" s="6"/>
      <c r="N1211" s="6"/>
      <c r="O1211" s="3"/>
      <c r="P1211" s="6"/>
      <c r="Q1211" s="6"/>
      <c r="R1211" s="6"/>
      <c r="S1211" s="6"/>
      <c r="T1211" s="6"/>
      <c r="U1211" t="str">
        <f t="shared" si="18"/>
        <v/>
      </c>
    </row>
    <row r="1212" spans="3:21" customFormat="1" hidden="1">
      <c r="C1212" s="6"/>
      <c r="D1212" s="6"/>
      <c r="E1212" s="98"/>
      <c r="F1212" s="3"/>
      <c r="G1212" s="6"/>
      <c r="H1212" s="3"/>
      <c r="I1212" s="6"/>
      <c r="J1212" s="6"/>
      <c r="K1212" s="6"/>
      <c r="L1212" s="6"/>
      <c r="M1212" s="6"/>
      <c r="N1212" s="6"/>
      <c r="O1212" s="3"/>
      <c r="P1212" s="6"/>
      <c r="Q1212" s="6"/>
      <c r="R1212" s="6"/>
      <c r="S1212" s="6"/>
      <c r="T1212" s="6"/>
      <c r="U1212" t="str">
        <f t="shared" si="18"/>
        <v/>
      </c>
    </row>
    <row r="1213" spans="3:21" customFormat="1" hidden="1">
      <c r="C1213" s="6"/>
      <c r="D1213" s="6"/>
      <c r="E1213" s="98"/>
      <c r="F1213" s="3"/>
      <c r="G1213" s="6"/>
      <c r="H1213" s="3"/>
      <c r="I1213" s="6"/>
      <c r="J1213" s="6"/>
      <c r="K1213" s="6"/>
      <c r="L1213" s="6"/>
      <c r="M1213" s="6"/>
      <c r="N1213" s="6"/>
      <c r="O1213" s="3"/>
      <c r="P1213" s="6"/>
      <c r="Q1213" s="6"/>
      <c r="R1213" s="6"/>
      <c r="S1213" s="6"/>
      <c r="T1213" s="6"/>
      <c r="U1213" t="str">
        <f t="shared" si="18"/>
        <v/>
      </c>
    </row>
    <row r="1214" spans="3:21" customFormat="1" hidden="1">
      <c r="C1214" s="6"/>
      <c r="D1214" s="6"/>
      <c r="E1214" s="98"/>
      <c r="F1214" s="3"/>
      <c r="G1214" s="6"/>
      <c r="H1214" s="3"/>
      <c r="I1214" s="6"/>
      <c r="J1214" s="6"/>
      <c r="K1214" s="6"/>
      <c r="L1214" s="6"/>
      <c r="M1214" s="6"/>
      <c r="N1214" s="6"/>
      <c r="O1214" s="3"/>
      <c r="P1214" s="6"/>
      <c r="Q1214" s="6"/>
      <c r="R1214" s="6"/>
      <c r="S1214" s="6"/>
      <c r="T1214" s="6"/>
      <c r="U1214" t="str">
        <f t="shared" si="18"/>
        <v/>
      </c>
    </row>
    <row r="1215" spans="3:21" customFormat="1" hidden="1">
      <c r="C1215" s="6"/>
      <c r="D1215" s="6"/>
      <c r="E1215" s="98"/>
      <c r="F1215" s="3"/>
      <c r="G1215" s="6"/>
      <c r="H1215" s="3"/>
      <c r="I1215" s="6"/>
      <c r="J1215" s="6"/>
      <c r="K1215" s="6"/>
      <c r="L1215" s="6"/>
      <c r="M1215" s="6"/>
      <c r="N1215" s="6"/>
      <c r="O1215" s="3"/>
      <c r="P1215" s="6"/>
      <c r="Q1215" s="6"/>
      <c r="R1215" s="6"/>
      <c r="S1215" s="6"/>
      <c r="T1215" s="6"/>
      <c r="U1215" t="str">
        <f t="shared" si="18"/>
        <v/>
      </c>
    </row>
    <row r="1216" spans="3:21" customFormat="1" hidden="1">
      <c r="C1216" s="6"/>
      <c r="D1216" s="6"/>
      <c r="E1216" s="98"/>
      <c r="F1216" s="3"/>
      <c r="G1216" s="6"/>
      <c r="H1216" s="3"/>
      <c r="I1216" s="6"/>
      <c r="J1216" s="6"/>
      <c r="K1216" s="6"/>
      <c r="L1216" s="6"/>
      <c r="M1216" s="6"/>
      <c r="N1216" s="6"/>
      <c r="O1216" s="3"/>
      <c r="P1216" s="6"/>
      <c r="Q1216" s="6"/>
      <c r="R1216" s="6"/>
      <c r="S1216" s="6"/>
      <c r="T1216" s="6"/>
      <c r="U1216" t="str">
        <f t="shared" si="18"/>
        <v/>
      </c>
    </row>
    <row r="1217" spans="3:21" customFormat="1" hidden="1">
      <c r="C1217" s="6"/>
      <c r="D1217" s="6"/>
      <c r="E1217" s="98"/>
      <c r="F1217" s="3"/>
      <c r="G1217" s="6"/>
      <c r="H1217" s="3"/>
      <c r="I1217" s="6"/>
      <c r="J1217" s="6"/>
      <c r="K1217" s="6"/>
      <c r="L1217" s="6"/>
      <c r="M1217" s="6"/>
      <c r="N1217" s="6"/>
      <c r="O1217" s="3"/>
      <c r="P1217" s="6"/>
      <c r="Q1217" s="6"/>
      <c r="R1217" s="6"/>
      <c r="S1217" s="6"/>
      <c r="T1217" s="6"/>
      <c r="U1217" t="str">
        <f t="shared" si="18"/>
        <v/>
      </c>
    </row>
    <row r="1218" spans="3:21" customFormat="1" hidden="1">
      <c r="C1218" s="6"/>
      <c r="D1218" s="6"/>
      <c r="E1218" s="98"/>
      <c r="F1218" s="3"/>
      <c r="G1218" s="6"/>
      <c r="H1218" s="3"/>
      <c r="I1218" s="6"/>
      <c r="J1218" s="6"/>
      <c r="K1218" s="6"/>
      <c r="L1218" s="6"/>
      <c r="M1218" s="6"/>
      <c r="N1218" s="6"/>
      <c r="O1218" s="3"/>
      <c r="P1218" s="6"/>
      <c r="Q1218" s="6"/>
      <c r="R1218" s="6"/>
      <c r="S1218" s="6"/>
      <c r="T1218" s="6"/>
      <c r="U1218" t="str">
        <f t="shared" si="18"/>
        <v/>
      </c>
    </row>
    <row r="1219" spans="3:21" customFormat="1" hidden="1">
      <c r="C1219" s="6"/>
      <c r="D1219" s="6"/>
      <c r="E1219" s="98"/>
      <c r="F1219" s="3"/>
      <c r="G1219" s="6"/>
      <c r="H1219" s="3"/>
      <c r="I1219" s="6"/>
      <c r="J1219" s="6"/>
      <c r="K1219" s="6"/>
      <c r="L1219" s="6"/>
      <c r="M1219" s="6"/>
      <c r="N1219" s="6"/>
      <c r="O1219" s="3"/>
      <c r="P1219" s="6"/>
      <c r="Q1219" s="6"/>
      <c r="R1219" s="6"/>
      <c r="S1219" s="6"/>
      <c r="T1219" s="6"/>
      <c r="U1219" t="str">
        <f t="shared" si="18"/>
        <v/>
      </c>
    </row>
    <row r="1220" spans="3:21" customFormat="1" hidden="1">
      <c r="C1220" s="6"/>
      <c r="D1220" s="6"/>
      <c r="E1220" s="98"/>
      <c r="F1220" s="3"/>
      <c r="G1220" s="6"/>
      <c r="H1220" s="3"/>
      <c r="I1220" s="6"/>
      <c r="J1220" s="6"/>
      <c r="K1220" s="6"/>
      <c r="L1220" s="6"/>
      <c r="M1220" s="6"/>
      <c r="N1220" s="6"/>
      <c r="O1220" s="3"/>
      <c r="P1220" s="6"/>
      <c r="Q1220" s="6"/>
      <c r="R1220" s="6"/>
      <c r="S1220" s="6"/>
      <c r="T1220" s="6"/>
      <c r="U1220" t="str">
        <f t="shared" si="18"/>
        <v/>
      </c>
    </row>
    <row r="1221" spans="3:21" customFormat="1" hidden="1">
      <c r="C1221" s="6"/>
      <c r="D1221" s="6"/>
      <c r="E1221" s="98"/>
      <c r="F1221" s="3"/>
      <c r="G1221" s="6"/>
      <c r="H1221" s="3"/>
      <c r="I1221" s="6"/>
      <c r="J1221" s="6"/>
      <c r="K1221" s="6"/>
      <c r="L1221" s="6"/>
      <c r="M1221" s="6"/>
      <c r="N1221" s="6"/>
      <c r="O1221" s="3"/>
      <c r="P1221" s="6"/>
      <c r="Q1221" s="6"/>
      <c r="R1221" s="6"/>
      <c r="S1221" s="6"/>
      <c r="T1221" s="6"/>
      <c r="U1221" t="str">
        <f t="shared" si="18"/>
        <v/>
      </c>
    </row>
    <row r="1222" spans="3:21" customFormat="1" hidden="1">
      <c r="C1222" s="6"/>
      <c r="D1222" s="6"/>
      <c r="E1222" s="98"/>
      <c r="F1222" s="3"/>
      <c r="G1222" s="6"/>
      <c r="H1222" s="3"/>
      <c r="I1222" s="6"/>
      <c r="J1222" s="6"/>
      <c r="K1222" s="6"/>
      <c r="L1222" s="6"/>
      <c r="M1222" s="6"/>
      <c r="N1222" s="6"/>
      <c r="O1222" s="3"/>
      <c r="P1222" s="6"/>
      <c r="Q1222" s="6"/>
      <c r="R1222" s="6"/>
      <c r="S1222" s="6"/>
      <c r="T1222" s="6"/>
      <c r="U1222" t="str">
        <f t="shared" si="18"/>
        <v/>
      </c>
    </row>
    <row r="1223" spans="3:21" customFormat="1" hidden="1">
      <c r="C1223" s="6"/>
      <c r="D1223" s="6"/>
      <c r="E1223" s="98"/>
      <c r="F1223" s="3"/>
      <c r="G1223" s="6"/>
      <c r="H1223" s="3"/>
      <c r="I1223" s="6"/>
      <c r="J1223" s="6"/>
      <c r="K1223" s="6"/>
      <c r="L1223" s="6"/>
      <c r="M1223" s="6"/>
      <c r="N1223" s="6"/>
      <c r="O1223" s="3"/>
      <c r="P1223" s="6"/>
      <c r="Q1223" s="6"/>
      <c r="R1223" s="6"/>
      <c r="S1223" s="6"/>
      <c r="T1223" s="6"/>
      <c r="U1223" t="str">
        <f t="shared" ref="U1223:U1286" si="19">IF(D1223="","","x")</f>
        <v/>
      </c>
    </row>
    <row r="1224" spans="3:21" customFormat="1" hidden="1">
      <c r="C1224" s="6"/>
      <c r="D1224" s="6"/>
      <c r="E1224" s="98"/>
      <c r="F1224" s="3"/>
      <c r="G1224" s="6"/>
      <c r="H1224" s="3"/>
      <c r="I1224" s="6"/>
      <c r="J1224" s="6"/>
      <c r="K1224" s="6"/>
      <c r="L1224" s="6"/>
      <c r="M1224" s="6"/>
      <c r="N1224" s="6"/>
      <c r="O1224" s="3"/>
      <c r="P1224" s="6"/>
      <c r="Q1224" s="6"/>
      <c r="R1224" s="6"/>
      <c r="S1224" s="6"/>
      <c r="T1224" s="6"/>
      <c r="U1224" t="str">
        <f t="shared" si="19"/>
        <v/>
      </c>
    </row>
    <row r="1225" spans="3:21" customFormat="1" hidden="1">
      <c r="C1225" s="6"/>
      <c r="D1225" s="6"/>
      <c r="E1225" s="98"/>
      <c r="F1225" s="3"/>
      <c r="G1225" s="6"/>
      <c r="H1225" s="3"/>
      <c r="I1225" s="6"/>
      <c r="J1225" s="6"/>
      <c r="K1225" s="6"/>
      <c r="L1225" s="6"/>
      <c r="M1225" s="6"/>
      <c r="N1225" s="6"/>
      <c r="O1225" s="3"/>
      <c r="P1225" s="6"/>
      <c r="Q1225" s="6"/>
      <c r="R1225" s="6"/>
      <c r="S1225" s="6"/>
      <c r="T1225" s="6"/>
      <c r="U1225" t="str">
        <f t="shared" si="19"/>
        <v/>
      </c>
    </row>
    <row r="1226" spans="3:21" customFormat="1" hidden="1">
      <c r="C1226" s="6"/>
      <c r="D1226" s="6"/>
      <c r="E1226" s="98"/>
      <c r="F1226" s="3"/>
      <c r="G1226" s="6"/>
      <c r="H1226" s="3"/>
      <c r="I1226" s="6"/>
      <c r="J1226" s="6"/>
      <c r="K1226" s="6"/>
      <c r="L1226" s="6"/>
      <c r="M1226" s="6"/>
      <c r="N1226" s="6"/>
      <c r="O1226" s="3"/>
      <c r="P1226" s="6"/>
      <c r="Q1226" s="6"/>
      <c r="R1226" s="6"/>
      <c r="S1226" s="6"/>
      <c r="T1226" s="6"/>
      <c r="U1226" t="str">
        <f t="shared" si="19"/>
        <v/>
      </c>
    </row>
    <row r="1227" spans="3:21" customFormat="1" hidden="1">
      <c r="C1227" s="6"/>
      <c r="D1227" s="6"/>
      <c r="E1227" s="98"/>
      <c r="F1227" s="3"/>
      <c r="G1227" s="6"/>
      <c r="H1227" s="3"/>
      <c r="I1227" s="6"/>
      <c r="J1227" s="6"/>
      <c r="K1227" s="6"/>
      <c r="L1227" s="6"/>
      <c r="M1227" s="6"/>
      <c r="N1227" s="6"/>
      <c r="O1227" s="3"/>
      <c r="P1227" s="6"/>
      <c r="Q1227" s="6"/>
      <c r="R1227" s="6"/>
      <c r="S1227" s="6"/>
      <c r="T1227" s="6"/>
      <c r="U1227" t="str">
        <f t="shared" si="19"/>
        <v/>
      </c>
    </row>
    <row r="1228" spans="3:21" customFormat="1" hidden="1">
      <c r="C1228" s="6"/>
      <c r="D1228" s="6"/>
      <c r="E1228" s="98"/>
      <c r="F1228" s="3"/>
      <c r="G1228" s="6"/>
      <c r="H1228" s="3"/>
      <c r="I1228" s="6"/>
      <c r="J1228" s="6"/>
      <c r="K1228" s="6"/>
      <c r="L1228" s="6"/>
      <c r="M1228" s="6"/>
      <c r="N1228" s="6"/>
      <c r="O1228" s="3"/>
      <c r="P1228" s="6"/>
      <c r="Q1228" s="6"/>
      <c r="R1228" s="6"/>
      <c r="S1228" s="6"/>
      <c r="T1228" s="6"/>
      <c r="U1228" t="str">
        <f t="shared" si="19"/>
        <v/>
      </c>
    </row>
    <row r="1229" spans="3:21" customFormat="1" hidden="1">
      <c r="C1229" s="6"/>
      <c r="D1229" s="6"/>
      <c r="E1229" s="98"/>
      <c r="F1229" s="3"/>
      <c r="G1229" s="6"/>
      <c r="H1229" s="3"/>
      <c r="I1229" s="6"/>
      <c r="J1229" s="6"/>
      <c r="K1229" s="6"/>
      <c r="L1229" s="6"/>
      <c r="M1229" s="6"/>
      <c r="N1229" s="6"/>
      <c r="O1229" s="3"/>
      <c r="P1229" s="6"/>
      <c r="Q1229" s="6"/>
      <c r="R1229" s="6"/>
      <c r="S1229" s="6"/>
      <c r="T1229" s="6"/>
      <c r="U1229" t="str">
        <f t="shared" si="19"/>
        <v/>
      </c>
    </row>
    <row r="1230" spans="3:21" customFormat="1" hidden="1">
      <c r="C1230" s="6"/>
      <c r="D1230" s="6"/>
      <c r="E1230" s="98"/>
      <c r="F1230" s="3"/>
      <c r="G1230" s="6"/>
      <c r="H1230" s="3"/>
      <c r="I1230" s="6"/>
      <c r="J1230" s="6"/>
      <c r="K1230" s="6"/>
      <c r="L1230" s="6"/>
      <c r="M1230" s="6"/>
      <c r="N1230" s="6"/>
      <c r="O1230" s="3"/>
      <c r="P1230" s="6"/>
      <c r="Q1230" s="6"/>
      <c r="R1230" s="6"/>
      <c r="S1230" s="6"/>
      <c r="T1230" s="6"/>
      <c r="U1230" t="str">
        <f t="shared" si="19"/>
        <v/>
      </c>
    </row>
    <row r="1231" spans="3:21" customFormat="1" hidden="1">
      <c r="C1231" s="6"/>
      <c r="D1231" s="6"/>
      <c r="E1231" s="98"/>
      <c r="F1231" s="3"/>
      <c r="G1231" s="6"/>
      <c r="H1231" s="3"/>
      <c r="I1231" s="6"/>
      <c r="J1231" s="6"/>
      <c r="K1231" s="6"/>
      <c r="L1231" s="6"/>
      <c r="M1231" s="6"/>
      <c r="N1231" s="6"/>
      <c r="O1231" s="3"/>
      <c r="P1231" s="6"/>
      <c r="Q1231" s="6"/>
      <c r="R1231" s="6"/>
      <c r="S1231" s="6"/>
      <c r="T1231" s="6"/>
      <c r="U1231" t="str">
        <f t="shared" si="19"/>
        <v/>
      </c>
    </row>
    <row r="1232" spans="3:21" customFormat="1" hidden="1">
      <c r="C1232" s="6"/>
      <c r="D1232" s="6"/>
      <c r="E1232" s="98"/>
      <c r="F1232" s="3"/>
      <c r="G1232" s="6"/>
      <c r="H1232" s="3"/>
      <c r="I1232" s="6"/>
      <c r="J1232" s="6"/>
      <c r="K1232" s="6"/>
      <c r="L1232" s="6"/>
      <c r="M1232" s="6"/>
      <c r="N1232" s="6"/>
      <c r="O1232" s="3"/>
      <c r="P1232" s="6"/>
      <c r="Q1232" s="6"/>
      <c r="R1232" s="6"/>
      <c r="S1232" s="6"/>
      <c r="T1232" s="6"/>
      <c r="U1232" t="str">
        <f t="shared" si="19"/>
        <v/>
      </c>
    </row>
    <row r="1233" spans="3:21" customFormat="1" hidden="1">
      <c r="C1233" s="6"/>
      <c r="D1233" s="6"/>
      <c r="E1233" s="98"/>
      <c r="F1233" s="3"/>
      <c r="G1233" s="6"/>
      <c r="H1233" s="3"/>
      <c r="I1233" s="6"/>
      <c r="J1233" s="6"/>
      <c r="K1233" s="6"/>
      <c r="L1233" s="6"/>
      <c r="M1233" s="6"/>
      <c r="N1233" s="6"/>
      <c r="O1233" s="3"/>
      <c r="P1233" s="6"/>
      <c r="Q1233" s="6"/>
      <c r="R1233" s="6"/>
      <c r="S1233" s="6"/>
      <c r="T1233" s="6"/>
      <c r="U1233" t="str">
        <f t="shared" si="19"/>
        <v/>
      </c>
    </row>
    <row r="1234" spans="3:21" customFormat="1" hidden="1">
      <c r="C1234" s="6"/>
      <c r="D1234" s="6"/>
      <c r="E1234" s="98"/>
      <c r="F1234" s="3"/>
      <c r="G1234" s="6"/>
      <c r="H1234" s="3"/>
      <c r="I1234" s="6"/>
      <c r="J1234" s="6"/>
      <c r="K1234" s="6"/>
      <c r="L1234" s="6"/>
      <c r="M1234" s="6"/>
      <c r="N1234" s="6"/>
      <c r="O1234" s="3"/>
      <c r="P1234" s="6"/>
      <c r="Q1234" s="6"/>
      <c r="R1234" s="6"/>
      <c r="S1234" s="6"/>
      <c r="T1234" s="6"/>
      <c r="U1234" t="str">
        <f t="shared" si="19"/>
        <v/>
      </c>
    </row>
    <row r="1235" spans="3:21" customFormat="1" hidden="1">
      <c r="C1235" s="6"/>
      <c r="D1235" s="6"/>
      <c r="E1235" s="98"/>
      <c r="F1235" s="3"/>
      <c r="G1235" s="6"/>
      <c r="H1235" s="3"/>
      <c r="I1235" s="6"/>
      <c r="J1235" s="6"/>
      <c r="K1235" s="6"/>
      <c r="L1235" s="6"/>
      <c r="M1235" s="6"/>
      <c r="N1235" s="6"/>
      <c r="O1235" s="3"/>
      <c r="P1235" s="6"/>
      <c r="Q1235" s="6"/>
      <c r="R1235" s="6"/>
      <c r="S1235" s="6"/>
      <c r="T1235" s="6"/>
      <c r="U1235" t="str">
        <f t="shared" si="19"/>
        <v/>
      </c>
    </row>
    <row r="1236" spans="3:21" customFormat="1" hidden="1">
      <c r="C1236" s="6"/>
      <c r="D1236" s="6"/>
      <c r="E1236" s="98"/>
      <c r="F1236" s="3"/>
      <c r="G1236" s="6"/>
      <c r="H1236" s="3"/>
      <c r="I1236" s="6"/>
      <c r="J1236" s="6"/>
      <c r="K1236" s="6"/>
      <c r="L1236" s="6"/>
      <c r="M1236" s="6"/>
      <c r="N1236" s="6"/>
      <c r="O1236" s="3"/>
      <c r="P1236" s="6"/>
      <c r="Q1236" s="6"/>
      <c r="R1236" s="6"/>
      <c r="S1236" s="6"/>
      <c r="T1236" s="6"/>
      <c r="U1236" t="str">
        <f t="shared" si="19"/>
        <v/>
      </c>
    </row>
    <row r="1237" spans="3:21" customFormat="1" hidden="1">
      <c r="C1237" s="6"/>
      <c r="D1237" s="6"/>
      <c r="E1237" s="98"/>
      <c r="F1237" s="3"/>
      <c r="G1237" s="6"/>
      <c r="H1237" s="3"/>
      <c r="I1237" s="6"/>
      <c r="J1237" s="6"/>
      <c r="K1237" s="6"/>
      <c r="L1237" s="6"/>
      <c r="M1237" s="6"/>
      <c r="N1237" s="6"/>
      <c r="O1237" s="3"/>
      <c r="P1237" s="6"/>
      <c r="Q1237" s="6"/>
      <c r="R1237" s="6"/>
      <c r="S1237" s="6"/>
      <c r="T1237" s="6"/>
      <c r="U1237" t="str">
        <f t="shared" si="19"/>
        <v/>
      </c>
    </row>
    <row r="1238" spans="3:21" customFormat="1" hidden="1">
      <c r="C1238" s="6"/>
      <c r="D1238" s="6"/>
      <c r="E1238" s="98"/>
      <c r="F1238" s="3"/>
      <c r="G1238" s="6"/>
      <c r="H1238" s="3"/>
      <c r="I1238" s="6"/>
      <c r="J1238" s="6"/>
      <c r="K1238" s="6"/>
      <c r="L1238" s="6"/>
      <c r="M1238" s="6"/>
      <c r="N1238" s="6"/>
      <c r="O1238" s="3"/>
      <c r="P1238" s="6"/>
      <c r="Q1238" s="6"/>
      <c r="R1238" s="6"/>
      <c r="S1238" s="6"/>
      <c r="T1238" s="6"/>
      <c r="U1238" t="str">
        <f t="shared" si="19"/>
        <v/>
      </c>
    </row>
    <row r="1239" spans="3:21" customFormat="1" hidden="1">
      <c r="C1239" s="6"/>
      <c r="D1239" s="6"/>
      <c r="E1239" s="98"/>
      <c r="F1239" s="3"/>
      <c r="G1239" s="6"/>
      <c r="H1239" s="3"/>
      <c r="I1239" s="6"/>
      <c r="J1239" s="6"/>
      <c r="K1239" s="6"/>
      <c r="L1239" s="6"/>
      <c r="M1239" s="6"/>
      <c r="N1239" s="6"/>
      <c r="O1239" s="3"/>
      <c r="P1239" s="6"/>
      <c r="Q1239" s="6"/>
      <c r="R1239" s="6"/>
      <c r="S1239" s="6"/>
      <c r="T1239" s="6"/>
      <c r="U1239" t="str">
        <f t="shared" si="19"/>
        <v/>
      </c>
    </row>
    <row r="1240" spans="3:21" customFormat="1" hidden="1">
      <c r="C1240" s="6"/>
      <c r="D1240" s="6"/>
      <c r="E1240" s="98"/>
      <c r="F1240" s="3"/>
      <c r="G1240" s="6"/>
      <c r="H1240" s="3"/>
      <c r="I1240" s="6"/>
      <c r="J1240" s="6"/>
      <c r="K1240" s="6"/>
      <c r="L1240" s="6"/>
      <c r="M1240" s="6"/>
      <c r="N1240" s="6"/>
      <c r="O1240" s="3"/>
      <c r="P1240" s="6"/>
      <c r="Q1240" s="6"/>
      <c r="R1240" s="6"/>
      <c r="S1240" s="6"/>
      <c r="T1240" s="6"/>
      <c r="U1240" t="str">
        <f t="shared" si="19"/>
        <v/>
      </c>
    </row>
    <row r="1241" spans="3:21" customFormat="1" hidden="1">
      <c r="C1241" s="6"/>
      <c r="D1241" s="6"/>
      <c r="E1241" s="98"/>
      <c r="F1241" s="3"/>
      <c r="G1241" s="6"/>
      <c r="H1241" s="3"/>
      <c r="I1241" s="6"/>
      <c r="J1241" s="6"/>
      <c r="K1241" s="6"/>
      <c r="L1241" s="6"/>
      <c r="M1241" s="6"/>
      <c r="N1241" s="6"/>
      <c r="O1241" s="3"/>
      <c r="P1241" s="6"/>
      <c r="Q1241" s="6"/>
      <c r="R1241" s="6"/>
      <c r="S1241" s="6"/>
      <c r="T1241" s="6"/>
      <c r="U1241" t="str">
        <f t="shared" si="19"/>
        <v/>
      </c>
    </row>
    <row r="1242" spans="3:21" customFormat="1" hidden="1">
      <c r="C1242" s="6"/>
      <c r="D1242" s="6"/>
      <c r="E1242" s="98"/>
      <c r="F1242" s="3"/>
      <c r="G1242" s="6"/>
      <c r="H1242" s="3"/>
      <c r="I1242" s="6"/>
      <c r="J1242" s="6"/>
      <c r="K1242" s="6"/>
      <c r="L1242" s="6"/>
      <c r="M1242" s="6"/>
      <c r="N1242" s="6"/>
      <c r="O1242" s="3"/>
      <c r="P1242" s="6"/>
      <c r="Q1242" s="6"/>
      <c r="R1242" s="6"/>
      <c r="S1242" s="6"/>
      <c r="T1242" s="6"/>
      <c r="U1242" t="str">
        <f t="shared" si="19"/>
        <v/>
      </c>
    </row>
    <row r="1243" spans="3:21" customFormat="1" hidden="1">
      <c r="C1243" s="6"/>
      <c r="D1243" s="6"/>
      <c r="E1243" s="98"/>
      <c r="F1243" s="3"/>
      <c r="G1243" s="6"/>
      <c r="H1243" s="3"/>
      <c r="I1243" s="6"/>
      <c r="J1243" s="6"/>
      <c r="K1243" s="6"/>
      <c r="L1243" s="6"/>
      <c r="M1243" s="6"/>
      <c r="N1243" s="6"/>
      <c r="O1243" s="3"/>
      <c r="P1243" s="6"/>
      <c r="Q1243" s="6"/>
      <c r="R1243" s="6"/>
      <c r="S1243" s="6"/>
      <c r="T1243" s="6"/>
      <c r="U1243" t="str">
        <f t="shared" si="19"/>
        <v/>
      </c>
    </row>
    <row r="1244" spans="3:21" customFormat="1" hidden="1">
      <c r="C1244" s="6"/>
      <c r="D1244" s="6"/>
      <c r="E1244" s="98"/>
      <c r="F1244" s="3"/>
      <c r="G1244" s="6"/>
      <c r="H1244" s="3"/>
      <c r="I1244" s="6"/>
      <c r="J1244" s="6"/>
      <c r="K1244" s="6"/>
      <c r="L1244" s="6"/>
      <c r="M1244" s="6"/>
      <c r="N1244" s="6"/>
      <c r="O1244" s="3"/>
      <c r="P1244" s="6"/>
      <c r="Q1244" s="6"/>
      <c r="R1244" s="6"/>
      <c r="S1244" s="6"/>
      <c r="T1244" s="6"/>
      <c r="U1244" t="str">
        <f t="shared" si="19"/>
        <v/>
      </c>
    </row>
    <row r="1245" spans="3:21" customFormat="1" hidden="1">
      <c r="C1245" s="6"/>
      <c r="D1245" s="6"/>
      <c r="E1245" s="98"/>
      <c r="F1245" s="3"/>
      <c r="G1245" s="6"/>
      <c r="H1245" s="3"/>
      <c r="I1245" s="6"/>
      <c r="J1245" s="6"/>
      <c r="K1245" s="6"/>
      <c r="L1245" s="6"/>
      <c r="M1245" s="6"/>
      <c r="N1245" s="6"/>
      <c r="O1245" s="3"/>
      <c r="P1245" s="6"/>
      <c r="Q1245" s="6"/>
      <c r="R1245" s="6"/>
      <c r="S1245" s="6"/>
      <c r="T1245" s="6"/>
      <c r="U1245" t="str">
        <f t="shared" si="19"/>
        <v/>
      </c>
    </row>
    <row r="1246" spans="3:21" customFormat="1" hidden="1">
      <c r="C1246" s="6"/>
      <c r="D1246" s="6"/>
      <c r="E1246" s="98"/>
      <c r="F1246" s="3"/>
      <c r="G1246" s="6"/>
      <c r="H1246" s="3"/>
      <c r="I1246" s="6"/>
      <c r="J1246" s="6"/>
      <c r="K1246" s="6"/>
      <c r="L1246" s="6"/>
      <c r="M1246" s="6"/>
      <c r="N1246" s="6"/>
      <c r="O1246" s="3"/>
      <c r="P1246" s="6"/>
      <c r="Q1246" s="6"/>
      <c r="R1246" s="6"/>
      <c r="S1246" s="6"/>
      <c r="T1246" s="6"/>
      <c r="U1246" t="str">
        <f t="shared" si="19"/>
        <v/>
      </c>
    </row>
    <row r="1247" spans="3:21" customFormat="1" hidden="1">
      <c r="C1247" s="6"/>
      <c r="D1247" s="6"/>
      <c r="E1247" s="98"/>
      <c r="F1247" s="3"/>
      <c r="G1247" s="6"/>
      <c r="H1247" s="3"/>
      <c r="I1247" s="6"/>
      <c r="J1247" s="6"/>
      <c r="K1247" s="6"/>
      <c r="L1247" s="6"/>
      <c r="M1247" s="6"/>
      <c r="N1247" s="6"/>
      <c r="O1247" s="3"/>
      <c r="P1247" s="6"/>
      <c r="Q1247" s="6"/>
      <c r="R1247" s="6"/>
      <c r="S1247" s="6"/>
      <c r="T1247" s="6"/>
      <c r="U1247" t="str">
        <f t="shared" si="19"/>
        <v/>
      </c>
    </row>
    <row r="1248" spans="3:21" customFormat="1" hidden="1">
      <c r="C1248" s="6"/>
      <c r="D1248" s="6"/>
      <c r="E1248" s="98"/>
      <c r="F1248" s="3"/>
      <c r="G1248" s="6"/>
      <c r="H1248" s="3"/>
      <c r="I1248" s="6"/>
      <c r="J1248" s="6"/>
      <c r="K1248" s="6"/>
      <c r="L1248" s="6"/>
      <c r="M1248" s="6"/>
      <c r="N1248" s="6"/>
      <c r="O1248" s="3"/>
      <c r="P1248" s="6"/>
      <c r="Q1248" s="6"/>
      <c r="R1248" s="6"/>
      <c r="S1248" s="6"/>
      <c r="T1248" s="6"/>
      <c r="U1248" t="str">
        <f t="shared" si="19"/>
        <v/>
      </c>
    </row>
    <row r="1249" spans="3:21" customFormat="1" hidden="1">
      <c r="C1249" s="6"/>
      <c r="D1249" s="6"/>
      <c r="E1249" s="98"/>
      <c r="F1249" s="3"/>
      <c r="G1249" s="6"/>
      <c r="H1249" s="3"/>
      <c r="I1249" s="6"/>
      <c r="J1249" s="6"/>
      <c r="K1249" s="6"/>
      <c r="L1249" s="6"/>
      <c r="M1249" s="6"/>
      <c r="N1249" s="6"/>
      <c r="O1249" s="3"/>
      <c r="P1249" s="6"/>
      <c r="Q1249" s="6"/>
      <c r="R1249" s="6"/>
      <c r="S1249" s="6"/>
      <c r="T1249" s="6"/>
      <c r="U1249" t="str">
        <f t="shared" si="19"/>
        <v/>
      </c>
    </row>
    <row r="1250" spans="3:21" customFormat="1" hidden="1">
      <c r="C1250" s="6"/>
      <c r="D1250" s="6"/>
      <c r="E1250" s="98"/>
      <c r="F1250" s="3"/>
      <c r="G1250" s="6"/>
      <c r="H1250" s="3"/>
      <c r="I1250" s="6"/>
      <c r="J1250" s="6"/>
      <c r="K1250" s="6"/>
      <c r="L1250" s="6"/>
      <c r="M1250" s="6"/>
      <c r="N1250" s="6"/>
      <c r="O1250" s="3"/>
      <c r="P1250" s="6"/>
      <c r="Q1250" s="6"/>
      <c r="R1250" s="6"/>
      <c r="S1250" s="6"/>
      <c r="T1250" s="6"/>
      <c r="U1250" t="str">
        <f t="shared" si="19"/>
        <v/>
      </c>
    </row>
    <row r="1251" spans="3:21" customFormat="1" hidden="1">
      <c r="C1251" s="6"/>
      <c r="D1251" s="6"/>
      <c r="E1251" s="98"/>
      <c r="F1251" s="3"/>
      <c r="G1251" s="6"/>
      <c r="H1251" s="3"/>
      <c r="I1251" s="6"/>
      <c r="J1251" s="6"/>
      <c r="K1251" s="6"/>
      <c r="L1251" s="6"/>
      <c r="M1251" s="6"/>
      <c r="N1251" s="6"/>
      <c r="O1251" s="3"/>
      <c r="P1251" s="6"/>
      <c r="Q1251" s="6"/>
      <c r="R1251" s="6"/>
      <c r="S1251" s="6"/>
      <c r="T1251" s="6"/>
      <c r="U1251" t="str">
        <f t="shared" si="19"/>
        <v/>
      </c>
    </row>
    <row r="1252" spans="3:21" customFormat="1" hidden="1">
      <c r="C1252" s="6"/>
      <c r="D1252" s="6"/>
      <c r="E1252" s="98"/>
      <c r="F1252" s="3"/>
      <c r="G1252" s="6"/>
      <c r="H1252" s="3"/>
      <c r="I1252" s="6"/>
      <c r="J1252" s="6"/>
      <c r="K1252" s="6"/>
      <c r="L1252" s="6"/>
      <c r="M1252" s="6"/>
      <c r="N1252" s="6"/>
      <c r="O1252" s="3"/>
      <c r="P1252" s="6"/>
      <c r="Q1252" s="6"/>
      <c r="R1252" s="6"/>
      <c r="S1252" s="6"/>
      <c r="T1252" s="6"/>
      <c r="U1252" t="str">
        <f t="shared" si="19"/>
        <v/>
      </c>
    </row>
    <row r="1253" spans="3:21" customFormat="1" hidden="1">
      <c r="C1253" s="6"/>
      <c r="D1253" s="6"/>
      <c r="E1253" s="98"/>
      <c r="F1253" s="3"/>
      <c r="G1253" s="6"/>
      <c r="H1253" s="3"/>
      <c r="I1253" s="6"/>
      <c r="J1253" s="6"/>
      <c r="K1253" s="6"/>
      <c r="L1253" s="6"/>
      <c r="M1253" s="6"/>
      <c r="N1253" s="6"/>
      <c r="O1253" s="3"/>
      <c r="P1253" s="6"/>
      <c r="Q1253" s="6"/>
      <c r="R1253" s="6"/>
      <c r="S1253" s="6"/>
      <c r="T1253" s="6"/>
      <c r="U1253" t="str">
        <f t="shared" si="19"/>
        <v/>
      </c>
    </row>
    <row r="1254" spans="3:21" customFormat="1" hidden="1">
      <c r="C1254" s="6"/>
      <c r="D1254" s="6"/>
      <c r="E1254" s="98"/>
      <c r="F1254" s="3"/>
      <c r="G1254" s="6"/>
      <c r="H1254" s="3"/>
      <c r="I1254" s="6"/>
      <c r="J1254" s="6"/>
      <c r="K1254" s="6"/>
      <c r="L1254" s="6"/>
      <c r="M1254" s="6"/>
      <c r="N1254" s="6"/>
      <c r="O1254" s="3"/>
      <c r="P1254" s="6"/>
      <c r="Q1254" s="6"/>
      <c r="R1254" s="6"/>
      <c r="S1254" s="6"/>
      <c r="T1254" s="6"/>
      <c r="U1254" t="str">
        <f t="shared" si="19"/>
        <v/>
      </c>
    </row>
    <row r="1255" spans="3:21" customFormat="1" hidden="1">
      <c r="C1255" s="6"/>
      <c r="D1255" s="6"/>
      <c r="E1255" s="98"/>
      <c r="F1255" s="3"/>
      <c r="G1255" s="6"/>
      <c r="H1255" s="3"/>
      <c r="I1255" s="6"/>
      <c r="J1255" s="6"/>
      <c r="K1255" s="6"/>
      <c r="L1255" s="6"/>
      <c r="M1255" s="6"/>
      <c r="N1255" s="6"/>
      <c r="O1255" s="3"/>
      <c r="P1255" s="6"/>
      <c r="Q1255" s="6"/>
      <c r="R1255" s="6"/>
      <c r="S1255" s="6"/>
      <c r="T1255" s="6"/>
      <c r="U1255" t="str">
        <f t="shared" si="19"/>
        <v/>
      </c>
    </row>
    <row r="1256" spans="3:21" customFormat="1" hidden="1">
      <c r="C1256" s="6"/>
      <c r="D1256" s="6"/>
      <c r="E1256" s="98"/>
      <c r="F1256" s="3"/>
      <c r="G1256" s="6"/>
      <c r="H1256" s="3"/>
      <c r="I1256" s="6"/>
      <c r="J1256" s="6"/>
      <c r="K1256" s="6"/>
      <c r="L1256" s="6"/>
      <c r="M1256" s="6"/>
      <c r="N1256" s="6"/>
      <c r="O1256" s="3"/>
      <c r="P1256" s="6"/>
      <c r="Q1256" s="6"/>
      <c r="R1256" s="6"/>
      <c r="S1256" s="6"/>
      <c r="T1256" s="6"/>
      <c r="U1256" t="str">
        <f t="shared" si="19"/>
        <v/>
      </c>
    </row>
    <row r="1257" spans="3:21" customFormat="1" hidden="1">
      <c r="C1257" s="6"/>
      <c r="D1257" s="6"/>
      <c r="E1257" s="98"/>
      <c r="F1257" s="3"/>
      <c r="G1257" s="6"/>
      <c r="H1257" s="3"/>
      <c r="I1257" s="6"/>
      <c r="J1257" s="6"/>
      <c r="K1257" s="6"/>
      <c r="L1257" s="6"/>
      <c r="M1257" s="6"/>
      <c r="N1257" s="6"/>
      <c r="O1257" s="3"/>
      <c r="P1257" s="6"/>
      <c r="Q1257" s="6"/>
      <c r="R1257" s="6"/>
      <c r="S1257" s="6"/>
      <c r="T1257" s="6"/>
      <c r="U1257" t="str">
        <f t="shared" si="19"/>
        <v/>
      </c>
    </row>
    <row r="1258" spans="3:21" customFormat="1" hidden="1">
      <c r="C1258" s="6"/>
      <c r="D1258" s="6"/>
      <c r="E1258" s="98"/>
      <c r="F1258" s="3"/>
      <c r="G1258" s="6"/>
      <c r="H1258" s="3"/>
      <c r="I1258" s="6"/>
      <c r="J1258" s="6"/>
      <c r="K1258" s="6"/>
      <c r="L1258" s="6"/>
      <c r="M1258" s="6"/>
      <c r="N1258" s="6"/>
      <c r="O1258" s="3"/>
      <c r="P1258" s="6"/>
      <c r="Q1258" s="6"/>
      <c r="R1258" s="6"/>
      <c r="S1258" s="6"/>
      <c r="T1258" s="6"/>
      <c r="U1258" t="str">
        <f t="shared" si="19"/>
        <v/>
      </c>
    </row>
    <row r="1259" spans="3:21" customFormat="1" hidden="1">
      <c r="C1259" s="6"/>
      <c r="D1259" s="6"/>
      <c r="E1259" s="98"/>
      <c r="F1259" s="3"/>
      <c r="G1259" s="6"/>
      <c r="H1259" s="3"/>
      <c r="I1259" s="6"/>
      <c r="J1259" s="6"/>
      <c r="K1259" s="6"/>
      <c r="L1259" s="6"/>
      <c r="M1259" s="6"/>
      <c r="N1259" s="6"/>
      <c r="O1259" s="3"/>
      <c r="P1259" s="6"/>
      <c r="Q1259" s="6"/>
      <c r="R1259" s="6"/>
      <c r="S1259" s="6"/>
      <c r="T1259" s="6"/>
      <c r="U1259" t="str">
        <f t="shared" si="19"/>
        <v/>
      </c>
    </row>
    <row r="1260" spans="3:21" customFormat="1" hidden="1">
      <c r="C1260" s="6"/>
      <c r="D1260" s="6"/>
      <c r="E1260" s="98"/>
      <c r="F1260" s="3"/>
      <c r="G1260" s="6"/>
      <c r="H1260" s="3"/>
      <c r="I1260" s="6"/>
      <c r="J1260" s="6"/>
      <c r="K1260" s="6"/>
      <c r="L1260" s="6"/>
      <c r="M1260" s="6"/>
      <c r="N1260" s="6"/>
      <c r="O1260" s="3"/>
      <c r="P1260" s="6"/>
      <c r="Q1260" s="6"/>
      <c r="R1260" s="6"/>
      <c r="S1260" s="6"/>
      <c r="T1260" s="6"/>
      <c r="U1260" t="str">
        <f t="shared" si="19"/>
        <v/>
      </c>
    </row>
    <row r="1261" spans="3:21" customFormat="1" hidden="1">
      <c r="C1261" s="6"/>
      <c r="D1261" s="6"/>
      <c r="E1261" s="98"/>
      <c r="F1261" s="3"/>
      <c r="G1261" s="6"/>
      <c r="H1261" s="3"/>
      <c r="I1261" s="6"/>
      <c r="J1261" s="6"/>
      <c r="K1261" s="6"/>
      <c r="L1261" s="6"/>
      <c r="M1261" s="6"/>
      <c r="N1261" s="6"/>
      <c r="O1261" s="3"/>
      <c r="P1261" s="6"/>
      <c r="Q1261" s="6"/>
      <c r="R1261" s="6"/>
      <c r="S1261" s="6"/>
      <c r="T1261" s="6"/>
      <c r="U1261" t="str">
        <f t="shared" si="19"/>
        <v/>
      </c>
    </row>
    <row r="1262" spans="3:21" customFormat="1" hidden="1">
      <c r="C1262" s="6"/>
      <c r="D1262" s="6"/>
      <c r="E1262" s="98"/>
      <c r="F1262" s="3"/>
      <c r="G1262" s="6"/>
      <c r="H1262" s="3"/>
      <c r="I1262" s="6"/>
      <c r="J1262" s="6"/>
      <c r="K1262" s="6"/>
      <c r="L1262" s="6"/>
      <c r="M1262" s="6"/>
      <c r="N1262" s="6"/>
      <c r="O1262" s="3"/>
      <c r="P1262" s="6"/>
      <c r="Q1262" s="6"/>
      <c r="R1262" s="6"/>
      <c r="S1262" s="6"/>
      <c r="T1262" s="6"/>
      <c r="U1262" t="str">
        <f t="shared" si="19"/>
        <v/>
      </c>
    </row>
    <row r="1263" spans="3:21" customFormat="1" hidden="1">
      <c r="C1263" s="6"/>
      <c r="D1263" s="6"/>
      <c r="E1263" s="98"/>
      <c r="F1263" s="3"/>
      <c r="G1263" s="6"/>
      <c r="H1263" s="3"/>
      <c r="I1263" s="6"/>
      <c r="J1263" s="6"/>
      <c r="K1263" s="6"/>
      <c r="L1263" s="6"/>
      <c r="M1263" s="6"/>
      <c r="N1263" s="6"/>
      <c r="O1263" s="3"/>
      <c r="P1263" s="6"/>
      <c r="Q1263" s="6"/>
      <c r="R1263" s="6"/>
      <c r="S1263" s="6"/>
      <c r="T1263" s="6"/>
      <c r="U1263" t="str">
        <f t="shared" si="19"/>
        <v/>
      </c>
    </row>
    <row r="1264" spans="3:21" customFormat="1" hidden="1">
      <c r="C1264" s="6"/>
      <c r="D1264" s="6"/>
      <c r="E1264" s="98"/>
      <c r="F1264" s="3"/>
      <c r="G1264" s="6"/>
      <c r="H1264" s="3"/>
      <c r="I1264" s="6"/>
      <c r="J1264" s="6"/>
      <c r="K1264" s="6"/>
      <c r="L1264" s="6"/>
      <c r="M1264" s="6"/>
      <c r="N1264" s="6"/>
      <c r="O1264" s="3"/>
      <c r="P1264" s="6"/>
      <c r="Q1264" s="6"/>
      <c r="R1264" s="6"/>
      <c r="S1264" s="6"/>
      <c r="T1264" s="6"/>
      <c r="U1264" t="str">
        <f t="shared" si="19"/>
        <v/>
      </c>
    </row>
    <row r="1265" spans="3:21" customFormat="1" hidden="1">
      <c r="C1265" s="6"/>
      <c r="D1265" s="6"/>
      <c r="E1265" s="98"/>
      <c r="F1265" s="3"/>
      <c r="G1265" s="6"/>
      <c r="H1265" s="3"/>
      <c r="I1265" s="6"/>
      <c r="J1265" s="6"/>
      <c r="K1265" s="6"/>
      <c r="L1265" s="6"/>
      <c r="M1265" s="6"/>
      <c r="N1265" s="6"/>
      <c r="O1265" s="3"/>
      <c r="P1265" s="6"/>
      <c r="Q1265" s="6"/>
      <c r="R1265" s="6"/>
      <c r="S1265" s="6"/>
      <c r="T1265" s="6"/>
      <c r="U1265" t="str">
        <f t="shared" si="19"/>
        <v/>
      </c>
    </row>
    <row r="1266" spans="3:21" customFormat="1" hidden="1">
      <c r="C1266" s="6"/>
      <c r="D1266" s="6"/>
      <c r="E1266" s="98"/>
      <c r="F1266" s="3"/>
      <c r="G1266" s="6"/>
      <c r="H1266" s="3"/>
      <c r="I1266" s="6"/>
      <c r="J1266" s="6"/>
      <c r="K1266" s="6"/>
      <c r="L1266" s="6"/>
      <c r="M1266" s="6"/>
      <c r="N1266" s="6"/>
      <c r="O1266" s="3"/>
      <c r="P1266" s="6"/>
      <c r="Q1266" s="6"/>
      <c r="R1266" s="6"/>
      <c r="S1266" s="6"/>
      <c r="T1266" s="6"/>
      <c r="U1266" t="str">
        <f t="shared" si="19"/>
        <v/>
      </c>
    </row>
    <row r="1267" spans="3:21" customFormat="1" hidden="1">
      <c r="C1267" s="6"/>
      <c r="D1267" s="6"/>
      <c r="E1267" s="98"/>
      <c r="F1267" s="3"/>
      <c r="G1267" s="6"/>
      <c r="H1267" s="3"/>
      <c r="I1267" s="6"/>
      <c r="J1267" s="6"/>
      <c r="K1267" s="6"/>
      <c r="L1267" s="6"/>
      <c r="M1267" s="6"/>
      <c r="N1267" s="6"/>
      <c r="O1267" s="3"/>
      <c r="P1267" s="6"/>
      <c r="Q1267" s="6"/>
      <c r="R1267" s="6"/>
      <c r="S1267" s="6"/>
      <c r="T1267" s="6"/>
      <c r="U1267" t="str">
        <f t="shared" si="19"/>
        <v/>
      </c>
    </row>
    <row r="1268" spans="3:21" customFormat="1" hidden="1">
      <c r="C1268" s="6"/>
      <c r="D1268" s="6"/>
      <c r="E1268" s="98"/>
      <c r="F1268" s="3"/>
      <c r="G1268" s="6"/>
      <c r="H1268" s="3"/>
      <c r="I1268" s="6"/>
      <c r="J1268" s="6"/>
      <c r="K1268" s="6"/>
      <c r="L1268" s="6"/>
      <c r="M1268" s="6"/>
      <c r="N1268" s="6"/>
      <c r="O1268" s="3"/>
      <c r="P1268" s="6"/>
      <c r="Q1268" s="6"/>
      <c r="R1268" s="6"/>
      <c r="S1268" s="6"/>
      <c r="T1268" s="6"/>
      <c r="U1268" t="str">
        <f t="shared" si="19"/>
        <v/>
      </c>
    </row>
    <row r="1269" spans="3:21" customFormat="1" hidden="1">
      <c r="C1269" s="6"/>
      <c r="D1269" s="6"/>
      <c r="E1269" s="98"/>
      <c r="F1269" s="3"/>
      <c r="G1269" s="6"/>
      <c r="H1269" s="3"/>
      <c r="I1269" s="6"/>
      <c r="J1269" s="6"/>
      <c r="K1269" s="6"/>
      <c r="L1269" s="6"/>
      <c r="M1269" s="6"/>
      <c r="N1269" s="6"/>
      <c r="O1269" s="3"/>
      <c r="P1269" s="6"/>
      <c r="Q1269" s="6"/>
      <c r="R1269" s="6"/>
      <c r="S1269" s="6"/>
      <c r="T1269" s="6"/>
      <c r="U1269" t="str">
        <f t="shared" si="19"/>
        <v/>
      </c>
    </row>
    <row r="1270" spans="3:21" customFormat="1" hidden="1">
      <c r="C1270" s="6"/>
      <c r="D1270" s="6"/>
      <c r="E1270" s="98"/>
      <c r="F1270" s="3"/>
      <c r="G1270" s="6"/>
      <c r="H1270" s="3"/>
      <c r="I1270" s="6"/>
      <c r="J1270" s="6"/>
      <c r="K1270" s="6"/>
      <c r="L1270" s="6"/>
      <c r="M1270" s="6"/>
      <c r="N1270" s="6"/>
      <c r="O1270" s="3"/>
      <c r="P1270" s="6"/>
      <c r="Q1270" s="6"/>
      <c r="R1270" s="6"/>
      <c r="S1270" s="6"/>
      <c r="T1270" s="6"/>
      <c r="U1270" t="str">
        <f t="shared" si="19"/>
        <v/>
      </c>
    </row>
    <row r="1271" spans="3:21" customFormat="1" hidden="1">
      <c r="C1271" s="6"/>
      <c r="D1271" s="6"/>
      <c r="E1271" s="98"/>
      <c r="F1271" s="3"/>
      <c r="G1271" s="6"/>
      <c r="H1271" s="3"/>
      <c r="I1271" s="6"/>
      <c r="J1271" s="6"/>
      <c r="K1271" s="6"/>
      <c r="L1271" s="6"/>
      <c r="M1271" s="6"/>
      <c r="N1271" s="6"/>
      <c r="O1271" s="3"/>
      <c r="P1271" s="6"/>
      <c r="Q1271" s="6"/>
      <c r="R1271" s="6"/>
      <c r="S1271" s="6"/>
      <c r="T1271" s="6"/>
      <c r="U1271" t="str">
        <f t="shared" si="19"/>
        <v/>
      </c>
    </row>
    <row r="1272" spans="3:21" customFormat="1" hidden="1">
      <c r="C1272" s="6"/>
      <c r="D1272" s="6"/>
      <c r="E1272" s="98"/>
      <c r="F1272" s="3"/>
      <c r="G1272" s="6"/>
      <c r="H1272" s="3"/>
      <c r="I1272" s="6"/>
      <c r="J1272" s="6"/>
      <c r="K1272" s="6"/>
      <c r="L1272" s="6"/>
      <c r="M1272" s="6"/>
      <c r="N1272" s="6"/>
      <c r="O1272" s="3"/>
      <c r="P1272" s="6"/>
      <c r="Q1272" s="6"/>
      <c r="R1272" s="6"/>
      <c r="S1272" s="6"/>
      <c r="T1272" s="6"/>
      <c r="U1272" t="str">
        <f t="shared" si="19"/>
        <v/>
      </c>
    </row>
    <row r="1273" spans="3:21" customFormat="1" hidden="1">
      <c r="C1273" s="6"/>
      <c r="D1273" s="6"/>
      <c r="E1273" s="98"/>
      <c r="F1273" s="3"/>
      <c r="G1273" s="6"/>
      <c r="H1273" s="3"/>
      <c r="I1273" s="6"/>
      <c r="J1273" s="6"/>
      <c r="K1273" s="6"/>
      <c r="L1273" s="6"/>
      <c r="M1273" s="6"/>
      <c r="N1273" s="6"/>
      <c r="O1273" s="3"/>
      <c r="P1273" s="6"/>
      <c r="Q1273" s="6"/>
      <c r="R1273" s="6"/>
      <c r="S1273" s="6"/>
      <c r="T1273" s="6"/>
      <c r="U1273" t="str">
        <f t="shared" si="19"/>
        <v/>
      </c>
    </row>
    <row r="1274" spans="3:21" customFormat="1" hidden="1">
      <c r="C1274" s="6"/>
      <c r="D1274" s="6"/>
      <c r="E1274" s="98"/>
      <c r="F1274" s="3"/>
      <c r="G1274" s="6"/>
      <c r="H1274" s="3"/>
      <c r="I1274" s="6"/>
      <c r="J1274" s="6"/>
      <c r="K1274" s="6"/>
      <c r="L1274" s="6"/>
      <c r="M1274" s="6"/>
      <c r="N1274" s="6"/>
      <c r="O1274" s="3"/>
      <c r="P1274" s="6"/>
      <c r="Q1274" s="6"/>
      <c r="R1274" s="6"/>
      <c r="S1274" s="6"/>
      <c r="T1274" s="6"/>
      <c r="U1274" t="str">
        <f t="shared" si="19"/>
        <v/>
      </c>
    </row>
    <row r="1275" spans="3:21" customFormat="1" hidden="1">
      <c r="C1275" s="6"/>
      <c r="D1275" s="6"/>
      <c r="E1275" s="98"/>
      <c r="F1275" s="3"/>
      <c r="G1275" s="6"/>
      <c r="H1275" s="3"/>
      <c r="I1275" s="6"/>
      <c r="J1275" s="6"/>
      <c r="K1275" s="6"/>
      <c r="L1275" s="6"/>
      <c r="M1275" s="6"/>
      <c r="N1275" s="6"/>
      <c r="O1275" s="3"/>
      <c r="P1275" s="6"/>
      <c r="Q1275" s="6"/>
      <c r="R1275" s="6"/>
      <c r="S1275" s="6"/>
      <c r="T1275" s="6"/>
      <c r="U1275" t="str">
        <f t="shared" si="19"/>
        <v/>
      </c>
    </row>
    <row r="1276" spans="3:21" customFormat="1" hidden="1">
      <c r="C1276" s="6"/>
      <c r="D1276" s="6"/>
      <c r="E1276" s="98"/>
      <c r="F1276" s="3"/>
      <c r="G1276" s="6"/>
      <c r="H1276" s="3"/>
      <c r="I1276" s="6"/>
      <c r="J1276" s="6"/>
      <c r="K1276" s="6"/>
      <c r="L1276" s="6"/>
      <c r="M1276" s="6"/>
      <c r="N1276" s="6"/>
      <c r="O1276" s="3"/>
      <c r="P1276" s="6"/>
      <c r="Q1276" s="6"/>
      <c r="R1276" s="6"/>
      <c r="S1276" s="6"/>
      <c r="T1276" s="6"/>
      <c r="U1276" t="str">
        <f t="shared" si="19"/>
        <v/>
      </c>
    </row>
    <row r="1277" spans="3:21" customFormat="1" hidden="1">
      <c r="C1277" s="6"/>
      <c r="D1277" s="6"/>
      <c r="E1277" s="98"/>
      <c r="F1277" s="3"/>
      <c r="G1277" s="6"/>
      <c r="H1277" s="3"/>
      <c r="I1277" s="6"/>
      <c r="J1277" s="6"/>
      <c r="K1277" s="6"/>
      <c r="L1277" s="6"/>
      <c r="M1277" s="6"/>
      <c r="N1277" s="6"/>
      <c r="O1277" s="3"/>
      <c r="P1277" s="6"/>
      <c r="Q1277" s="6"/>
      <c r="R1277" s="6"/>
      <c r="S1277" s="6"/>
      <c r="T1277" s="6"/>
      <c r="U1277" t="str">
        <f t="shared" si="19"/>
        <v/>
      </c>
    </row>
    <row r="1278" spans="3:21" customFormat="1" hidden="1">
      <c r="C1278" s="6"/>
      <c r="D1278" s="6"/>
      <c r="E1278" s="98"/>
      <c r="F1278" s="3"/>
      <c r="G1278" s="6"/>
      <c r="H1278" s="3"/>
      <c r="I1278" s="6"/>
      <c r="J1278" s="6"/>
      <c r="K1278" s="6"/>
      <c r="L1278" s="6"/>
      <c r="M1278" s="6"/>
      <c r="N1278" s="6"/>
      <c r="O1278" s="3"/>
      <c r="P1278" s="6"/>
      <c r="Q1278" s="6"/>
      <c r="R1278" s="6"/>
      <c r="S1278" s="6"/>
      <c r="T1278" s="6"/>
      <c r="U1278" t="str">
        <f t="shared" si="19"/>
        <v/>
      </c>
    </row>
    <row r="1279" spans="3:21" customFormat="1" hidden="1">
      <c r="C1279" s="6"/>
      <c r="D1279" s="6"/>
      <c r="E1279" s="98"/>
      <c r="F1279" s="3"/>
      <c r="G1279" s="6"/>
      <c r="H1279" s="3"/>
      <c r="I1279" s="6"/>
      <c r="J1279" s="6"/>
      <c r="K1279" s="6"/>
      <c r="L1279" s="6"/>
      <c r="M1279" s="6"/>
      <c r="N1279" s="6"/>
      <c r="O1279" s="3"/>
      <c r="P1279" s="6"/>
      <c r="Q1279" s="6"/>
      <c r="R1279" s="6"/>
      <c r="S1279" s="6"/>
      <c r="T1279" s="6"/>
      <c r="U1279" t="str">
        <f t="shared" si="19"/>
        <v/>
      </c>
    </row>
    <row r="1280" spans="3:21" customFormat="1" hidden="1">
      <c r="C1280" s="6"/>
      <c r="D1280" s="6"/>
      <c r="E1280" s="98"/>
      <c r="F1280" s="3"/>
      <c r="G1280" s="6"/>
      <c r="H1280" s="3"/>
      <c r="I1280" s="6"/>
      <c r="J1280" s="6"/>
      <c r="K1280" s="6"/>
      <c r="L1280" s="6"/>
      <c r="M1280" s="6"/>
      <c r="N1280" s="6"/>
      <c r="O1280" s="3"/>
      <c r="P1280" s="6"/>
      <c r="Q1280" s="6"/>
      <c r="R1280" s="6"/>
      <c r="S1280" s="6"/>
      <c r="T1280" s="6"/>
      <c r="U1280" t="str">
        <f t="shared" si="19"/>
        <v/>
      </c>
    </row>
    <row r="1281" spans="3:21" customFormat="1" hidden="1">
      <c r="C1281" s="6"/>
      <c r="D1281" s="6"/>
      <c r="E1281" s="98"/>
      <c r="F1281" s="3"/>
      <c r="G1281" s="6"/>
      <c r="H1281" s="3"/>
      <c r="I1281" s="6"/>
      <c r="J1281" s="6"/>
      <c r="K1281" s="6"/>
      <c r="L1281" s="6"/>
      <c r="M1281" s="6"/>
      <c r="N1281" s="6"/>
      <c r="O1281" s="3"/>
      <c r="P1281" s="6"/>
      <c r="Q1281" s="6"/>
      <c r="R1281" s="6"/>
      <c r="S1281" s="6"/>
      <c r="T1281" s="6"/>
      <c r="U1281" t="str">
        <f t="shared" si="19"/>
        <v/>
      </c>
    </row>
    <row r="1282" spans="3:21" customFormat="1" hidden="1">
      <c r="C1282" s="6"/>
      <c r="D1282" s="6"/>
      <c r="E1282" s="98"/>
      <c r="F1282" s="3"/>
      <c r="G1282" s="6"/>
      <c r="H1282" s="3"/>
      <c r="I1282" s="6"/>
      <c r="J1282" s="6"/>
      <c r="K1282" s="6"/>
      <c r="L1282" s="6"/>
      <c r="M1282" s="6"/>
      <c r="N1282" s="6"/>
      <c r="O1282" s="3"/>
      <c r="P1282" s="6"/>
      <c r="Q1282" s="6"/>
      <c r="R1282" s="6"/>
      <c r="S1282" s="6"/>
      <c r="T1282" s="6"/>
      <c r="U1282" t="str">
        <f t="shared" si="19"/>
        <v/>
      </c>
    </row>
    <row r="1283" spans="3:21" customFormat="1" hidden="1">
      <c r="C1283" s="6"/>
      <c r="D1283" s="6"/>
      <c r="E1283" s="98"/>
      <c r="F1283" s="3"/>
      <c r="G1283" s="6"/>
      <c r="H1283" s="3"/>
      <c r="I1283" s="6"/>
      <c r="J1283" s="6"/>
      <c r="K1283" s="6"/>
      <c r="L1283" s="6"/>
      <c r="M1283" s="6"/>
      <c r="N1283" s="6"/>
      <c r="O1283" s="3"/>
      <c r="P1283" s="6"/>
      <c r="Q1283" s="6"/>
      <c r="R1283" s="6"/>
      <c r="S1283" s="6"/>
      <c r="T1283" s="6"/>
      <c r="U1283" t="str">
        <f t="shared" si="19"/>
        <v/>
      </c>
    </row>
    <row r="1284" spans="3:21" customFormat="1" hidden="1">
      <c r="C1284" s="6"/>
      <c r="D1284" s="6"/>
      <c r="E1284" s="98"/>
      <c r="F1284" s="3"/>
      <c r="G1284" s="6"/>
      <c r="H1284" s="3"/>
      <c r="I1284" s="6"/>
      <c r="J1284" s="6"/>
      <c r="K1284" s="6"/>
      <c r="L1284" s="6"/>
      <c r="M1284" s="6"/>
      <c r="N1284" s="6"/>
      <c r="O1284" s="3"/>
      <c r="P1284" s="6"/>
      <c r="Q1284" s="6"/>
      <c r="R1284" s="6"/>
      <c r="S1284" s="6"/>
      <c r="T1284" s="6"/>
      <c r="U1284" t="str">
        <f t="shared" si="19"/>
        <v/>
      </c>
    </row>
    <row r="1285" spans="3:21" customFormat="1" hidden="1">
      <c r="C1285" s="6"/>
      <c r="D1285" s="6"/>
      <c r="E1285" s="98"/>
      <c r="F1285" s="3"/>
      <c r="G1285" s="6"/>
      <c r="H1285" s="3"/>
      <c r="I1285" s="6"/>
      <c r="J1285" s="6"/>
      <c r="K1285" s="6"/>
      <c r="L1285" s="6"/>
      <c r="M1285" s="6"/>
      <c r="N1285" s="6"/>
      <c r="O1285" s="3"/>
      <c r="P1285" s="6"/>
      <c r="Q1285" s="6"/>
      <c r="R1285" s="6"/>
      <c r="S1285" s="6"/>
      <c r="T1285" s="6"/>
      <c r="U1285" t="str">
        <f t="shared" si="19"/>
        <v/>
      </c>
    </row>
    <row r="1286" spans="3:21" customFormat="1" hidden="1">
      <c r="C1286" s="6"/>
      <c r="D1286" s="6"/>
      <c r="E1286" s="98"/>
      <c r="F1286" s="3"/>
      <c r="G1286" s="6"/>
      <c r="H1286" s="3"/>
      <c r="I1286" s="6"/>
      <c r="J1286" s="6"/>
      <c r="K1286" s="6"/>
      <c r="L1286" s="6"/>
      <c r="M1286" s="6"/>
      <c r="N1286" s="6"/>
      <c r="O1286" s="3"/>
      <c r="P1286" s="6"/>
      <c r="Q1286" s="6"/>
      <c r="R1286" s="6"/>
      <c r="S1286" s="6"/>
      <c r="T1286" s="6"/>
      <c r="U1286" t="str">
        <f t="shared" si="19"/>
        <v/>
      </c>
    </row>
    <row r="1287" spans="3:21" customFormat="1" hidden="1">
      <c r="C1287" s="6"/>
      <c r="D1287" s="6"/>
      <c r="E1287" s="98"/>
      <c r="F1287" s="3"/>
      <c r="G1287" s="6"/>
      <c r="H1287" s="3"/>
      <c r="I1287" s="6"/>
      <c r="J1287" s="6"/>
      <c r="K1287" s="6"/>
      <c r="L1287" s="6"/>
      <c r="M1287" s="6"/>
      <c r="N1287" s="6"/>
      <c r="O1287" s="3"/>
      <c r="P1287" s="6"/>
      <c r="Q1287" s="6"/>
      <c r="R1287" s="6"/>
      <c r="S1287" s="6"/>
      <c r="T1287" s="6"/>
      <c r="U1287" t="str">
        <f t="shared" ref="U1287:U1350" si="20">IF(D1287="","","x")</f>
        <v/>
      </c>
    </row>
    <row r="1288" spans="3:21" customFormat="1" hidden="1">
      <c r="C1288" s="6"/>
      <c r="D1288" s="6"/>
      <c r="E1288" s="98"/>
      <c r="F1288" s="3"/>
      <c r="G1288" s="6"/>
      <c r="H1288" s="3"/>
      <c r="I1288" s="6"/>
      <c r="J1288" s="6"/>
      <c r="K1288" s="6"/>
      <c r="L1288" s="6"/>
      <c r="M1288" s="6"/>
      <c r="N1288" s="6"/>
      <c r="O1288" s="3"/>
      <c r="P1288" s="6"/>
      <c r="Q1288" s="6"/>
      <c r="R1288" s="6"/>
      <c r="S1288" s="6"/>
      <c r="T1288" s="6"/>
      <c r="U1288" t="str">
        <f t="shared" si="20"/>
        <v/>
      </c>
    </row>
    <row r="1289" spans="3:21" customFormat="1" hidden="1">
      <c r="C1289" s="6"/>
      <c r="D1289" s="6"/>
      <c r="E1289" s="98"/>
      <c r="F1289" s="3"/>
      <c r="G1289" s="6"/>
      <c r="H1289" s="3"/>
      <c r="I1289" s="6"/>
      <c r="J1289" s="6"/>
      <c r="K1289" s="6"/>
      <c r="L1289" s="6"/>
      <c r="M1289" s="6"/>
      <c r="N1289" s="6"/>
      <c r="O1289" s="3"/>
      <c r="P1289" s="6"/>
      <c r="Q1289" s="6"/>
      <c r="R1289" s="6"/>
      <c r="S1289" s="6"/>
      <c r="T1289" s="6"/>
      <c r="U1289" t="str">
        <f t="shared" si="20"/>
        <v/>
      </c>
    </row>
    <row r="1290" spans="3:21" customFormat="1" hidden="1">
      <c r="C1290" s="6"/>
      <c r="D1290" s="6"/>
      <c r="E1290" s="98"/>
      <c r="F1290" s="3"/>
      <c r="G1290" s="6"/>
      <c r="H1290" s="3"/>
      <c r="I1290" s="6"/>
      <c r="J1290" s="6"/>
      <c r="K1290" s="6"/>
      <c r="L1290" s="6"/>
      <c r="M1290" s="6"/>
      <c r="N1290" s="6"/>
      <c r="O1290" s="3"/>
      <c r="P1290" s="6"/>
      <c r="Q1290" s="6"/>
      <c r="R1290" s="6"/>
      <c r="S1290" s="6"/>
      <c r="T1290" s="6"/>
      <c r="U1290" t="str">
        <f t="shared" si="20"/>
        <v/>
      </c>
    </row>
    <row r="1291" spans="3:21" customFormat="1" hidden="1">
      <c r="C1291" s="6"/>
      <c r="D1291" s="6"/>
      <c r="E1291" s="98"/>
      <c r="F1291" s="3"/>
      <c r="G1291" s="6"/>
      <c r="H1291" s="3"/>
      <c r="I1291" s="6"/>
      <c r="J1291" s="6"/>
      <c r="K1291" s="6"/>
      <c r="L1291" s="6"/>
      <c r="M1291" s="6"/>
      <c r="N1291" s="6"/>
      <c r="O1291" s="3"/>
      <c r="P1291" s="6"/>
      <c r="Q1291" s="6"/>
      <c r="R1291" s="6"/>
      <c r="S1291" s="6"/>
      <c r="T1291" s="6"/>
      <c r="U1291" t="str">
        <f t="shared" si="20"/>
        <v/>
      </c>
    </row>
    <row r="1292" spans="3:21" customFormat="1" hidden="1">
      <c r="C1292" s="6"/>
      <c r="D1292" s="6"/>
      <c r="E1292" s="98"/>
      <c r="F1292" s="3"/>
      <c r="G1292" s="6"/>
      <c r="H1292" s="3"/>
      <c r="I1292" s="6"/>
      <c r="J1292" s="6"/>
      <c r="K1292" s="6"/>
      <c r="L1292" s="6"/>
      <c r="M1292" s="6"/>
      <c r="N1292" s="6"/>
      <c r="O1292" s="3"/>
      <c r="P1292" s="6"/>
      <c r="Q1292" s="6"/>
      <c r="R1292" s="6"/>
      <c r="S1292" s="6"/>
      <c r="T1292" s="6"/>
      <c r="U1292" t="str">
        <f t="shared" si="20"/>
        <v/>
      </c>
    </row>
    <row r="1293" spans="3:21" customFormat="1" hidden="1">
      <c r="C1293" s="6"/>
      <c r="D1293" s="6"/>
      <c r="E1293" s="98"/>
      <c r="F1293" s="3"/>
      <c r="G1293" s="6"/>
      <c r="H1293" s="3"/>
      <c r="I1293" s="6"/>
      <c r="J1293" s="6"/>
      <c r="K1293" s="6"/>
      <c r="L1293" s="6"/>
      <c r="M1293" s="6"/>
      <c r="N1293" s="6"/>
      <c r="O1293" s="3"/>
      <c r="P1293" s="6"/>
      <c r="Q1293" s="6"/>
      <c r="R1293" s="6"/>
      <c r="S1293" s="6"/>
      <c r="T1293" s="6"/>
      <c r="U1293" t="str">
        <f t="shared" si="20"/>
        <v/>
      </c>
    </row>
    <row r="1294" spans="3:21" customFormat="1" hidden="1">
      <c r="C1294" s="6"/>
      <c r="D1294" s="6"/>
      <c r="E1294" s="98"/>
      <c r="F1294" s="3"/>
      <c r="G1294" s="6"/>
      <c r="H1294" s="3"/>
      <c r="I1294" s="6"/>
      <c r="J1294" s="6"/>
      <c r="K1294" s="6"/>
      <c r="L1294" s="6"/>
      <c r="M1294" s="6"/>
      <c r="N1294" s="6"/>
      <c r="O1294" s="3"/>
      <c r="P1294" s="6"/>
      <c r="Q1294" s="6"/>
      <c r="R1294" s="6"/>
      <c r="S1294" s="6"/>
      <c r="T1294" s="6"/>
      <c r="U1294" t="str">
        <f t="shared" si="20"/>
        <v/>
      </c>
    </row>
    <row r="1295" spans="3:21" customFormat="1" hidden="1">
      <c r="C1295" s="6"/>
      <c r="D1295" s="6"/>
      <c r="E1295" s="98"/>
      <c r="F1295" s="3"/>
      <c r="G1295" s="6"/>
      <c r="H1295" s="3"/>
      <c r="I1295" s="6"/>
      <c r="J1295" s="6"/>
      <c r="K1295" s="6"/>
      <c r="L1295" s="6"/>
      <c r="M1295" s="6"/>
      <c r="N1295" s="6"/>
      <c r="O1295" s="3"/>
      <c r="P1295" s="6"/>
      <c r="Q1295" s="6"/>
      <c r="R1295" s="6"/>
      <c r="S1295" s="6"/>
      <c r="T1295" s="6"/>
      <c r="U1295" t="str">
        <f t="shared" si="20"/>
        <v/>
      </c>
    </row>
    <row r="1296" spans="3:21" customFormat="1" hidden="1">
      <c r="C1296" s="6"/>
      <c r="D1296" s="6"/>
      <c r="E1296" s="98"/>
      <c r="F1296" s="3"/>
      <c r="G1296" s="6"/>
      <c r="H1296" s="3"/>
      <c r="I1296" s="6"/>
      <c r="J1296" s="6"/>
      <c r="K1296" s="6"/>
      <c r="L1296" s="6"/>
      <c r="M1296" s="6"/>
      <c r="N1296" s="6"/>
      <c r="O1296" s="3"/>
      <c r="P1296" s="6"/>
      <c r="Q1296" s="6"/>
      <c r="R1296" s="6"/>
      <c r="S1296" s="6"/>
      <c r="T1296" s="6"/>
      <c r="U1296" t="str">
        <f t="shared" si="20"/>
        <v/>
      </c>
    </row>
    <row r="1297" spans="3:21" customFormat="1" hidden="1">
      <c r="C1297" s="6"/>
      <c r="D1297" s="6"/>
      <c r="E1297" s="98"/>
      <c r="F1297" s="3"/>
      <c r="G1297" s="6"/>
      <c r="H1297" s="3"/>
      <c r="I1297" s="6"/>
      <c r="J1297" s="6"/>
      <c r="K1297" s="6"/>
      <c r="L1297" s="6"/>
      <c r="M1297" s="6"/>
      <c r="N1297" s="6"/>
      <c r="O1297" s="3"/>
      <c r="P1297" s="6"/>
      <c r="Q1297" s="6"/>
      <c r="R1297" s="6"/>
      <c r="S1297" s="6"/>
      <c r="T1297" s="6"/>
      <c r="U1297" t="str">
        <f t="shared" si="20"/>
        <v/>
      </c>
    </row>
    <row r="1298" spans="3:21" customFormat="1" hidden="1">
      <c r="C1298" s="6"/>
      <c r="D1298" s="6"/>
      <c r="E1298" s="98"/>
      <c r="F1298" s="3"/>
      <c r="G1298" s="6"/>
      <c r="H1298" s="3"/>
      <c r="I1298" s="6"/>
      <c r="J1298" s="6"/>
      <c r="K1298" s="6"/>
      <c r="L1298" s="6"/>
      <c r="M1298" s="6"/>
      <c r="N1298" s="6"/>
      <c r="O1298" s="3"/>
      <c r="P1298" s="6"/>
      <c r="Q1298" s="6"/>
      <c r="R1298" s="6"/>
      <c r="S1298" s="6"/>
      <c r="T1298" s="6"/>
      <c r="U1298" t="str">
        <f t="shared" si="20"/>
        <v/>
      </c>
    </row>
    <row r="1299" spans="3:21" customFormat="1" hidden="1">
      <c r="C1299" s="6"/>
      <c r="D1299" s="6"/>
      <c r="E1299" s="98"/>
      <c r="F1299" s="3"/>
      <c r="G1299" s="6"/>
      <c r="H1299" s="3"/>
      <c r="I1299" s="6"/>
      <c r="J1299" s="6"/>
      <c r="K1299" s="6"/>
      <c r="L1299" s="6"/>
      <c r="M1299" s="6"/>
      <c r="N1299" s="6"/>
      <c r="O1299" s="3"/>
      <c r="P1299" s="6"/>
      <c r="Q1299" s="6"/>
      <c r="R1299" s="6"/>
      <c r="S1299" s="6"/>
      <c r="T1299" s="6"/>
      <c r="U1299" t="str">
        <f t="shared" si="20"/>
        <v/>
      </c>
    </row>
    <row r="1300" spans="3:21" customFormat="1" hidden="1">
      <c r="C1300" s="6"/>
      <c r="D1300" s="6"/>
      <c r="E1300" s="98"/>
      <c r="F1300" s="3"/>
      <c r="G1300" s="6"/>
      <c r="H1300" s="3"/>
      <c r="I1300" s="6"/>
      <c r="J1300" s="6"/>
      <c r="K1300" s="6"/>
      <c r="L1300" s="6"/>
      <c r="M1300" s="6"/>
      <c r="N1300" s="6"/>
      <c r="O1300" s="3"/>
      <c r="P1300" s="6"/>
      <c r="Q1300" s="6"/>
      <c r="R1300" s="6"/>
      <c r="S1300" s="6"/>
      <c r="T1300" s="6"/>
      <c r="U1300" t="str">
        <f t="shared" si="20"/>
        <v/>
      </c>
    </row>
    <row r="1301" spans="3:21" customFormat="1" hidden="1">
      <c r="C1301" s="6"/>
      <c r="D1301" s="6"/>
      <c r="E1301" s="98"/>
      <c r="F1301" s="3"/>
      <c r="G1301" s="6"/>
      <c r="H1301" s="3"/>
      <c r="I1301" s="6"/>
      <c r="J1301" s="6"/>
      <c r="K1301" s="6"/>
      <c r="L1301" s="6"/>
      <c r="M1301" s="6"/>
      <c r="N1301" s="6"/>
      <c r="O1301" s="3"/>
      <c r="P1301" s="6"/>
      <c r="Q1301" s="6"/>
      <c r="R1301" s="6"/>
      <c r="S1301" s="6"/>
      <c r="T1301" s="6"/>
      <c r="U1301" t="str">
        <f t="shared" si="20"/>
        <v/>
      </c>
    </row>
    <row r="1302" spans="3:21" customFormat="1" hidden="1">
      <c r="C1302" s="6"/>
      <c r="D1302" s="6"/>
      <c r="E1302" s="98"/>
      <c r="F1302" s="3"/>
      <c r="G1302" s="6"/>
      <c r="H1302" s="3"/>
      <c r="I1302" s="6"/>
      <c r="J1302" s="6"/>
      <c r="K1302" s="6"/>
      <c r="L1302" s="6"/>
      <c r="M1302" s="6"/>
      <c r="N1302" s="6"/>
      <c r="O1302" s="3"/>
      <c r="P1302" s="6"/>
      <c r="Q1302" s="6"/>
      <c r="R1302" s="6"/>
      <c r="S1302" s="6"/>
      <c r="T1302" s="6"/>
      <c r="U1302" t="str">
        <f t="shared" si="20"/>
        <v/>
      </c>
    </row>
    <row r="1303" spans="3:21" customFormat="1" hidden="1">
      <c r="C1303" s="6"/>
      <c r="D1303" s="6"/>
      <c r="E1303" s="98"/>
      <c r="F1303" s="3"/>
      <c r="G1303" s="6"/>
      <c r="H1303" s="3"/>
      <c r="I1303" s="6"/>
      <c r="J1303" s="6"/>
      <c r="K1303" s="6"/>
      <c r="L1303" s="6"/>
      <c r="M1303" s="6"/>
      <c r="N1303" s="6"/>
      <c r="O1303" s="3"/>
      <c r="P1303" s="6"/>
      <c r="Q1303" s="6"/>
      <c r="R1303" s="6"/>
      <c r="S1303" s="6"/>
      <c r="T1303" s="6"/>
      <c r="U1303" t="str">
        <f t="shared" si="20"/>
        <v/>
      </c>
    </row>
    <row r="1304" spans="3:21" customFormat="1" hidden="1">
      <c r="C1304" s="6"/>
      <c r="D1304" s="6"/>
      <c r="E1304" s="98"/>
      <c r="F1304" s="3"/>
      <c r="G1304" s="6"/>
      <c r="H1304" s="3"/>
      <c r="I1304" s="6"/>
      <c r="J1304" s="6"/>
      <c r="K1304" s="6"/>
      <c r="L1304" s="6"/>
      <c r="M1304" s="6"/>
      <c r="N1304" s="6"/>
      <c r="O1304" s="3"/>
      <c r="P1304" s="6"/>
      <c r="Q1304" s="6"/>
      <c r="R1304" s="6"/>
      <c r="S1304" s="6"/>
      <c r="T1304" s="6"/>
      <c r="U1304" t="str">
        <f t="shared" si="20"/>
        <v/>
      </c>
    </row>
    <row r="1305" spans="3:21" customFormat="1" hidden="1">
      <c r="C1305" s="6"/>
      <c r="D1305" s="6"/>
      <c r="E1305" s="98"/>
      <c r="F1305" s="3"/>
      <c r="G1305" s="6"/>
      <c r="H1305" s="3"/>
      <c r="I1305" s="6"/>
      <c r="J1305" s="6"/>
      <c r="K1305" s="6"/>
      <c r="L1305" s="6"/>
      <c r="M1305" s="6"/>
      <c r="N1305" s="6"/>
      <c r="O1305" s="3"/>
      <c r="P1305" s="6"/>
      <c r="Q1305" s="6"/>
      <c r="R1305" s="6"/>
      <c r="S1305" s="6"/>
      <c r="T1305" s="6"/>
      <c r="U1305" t="str">
        <f t="shared" si="20"/>
        <v/>
      </c>
    </row>
    <row r="1306" spans="3:21" customFormat="1" hidden="1">
      <c r="C1306" s="6"/>
      <c r="D1306" s="6"/>
      <c r="E1306" s="98"/>
      <c r="F1306" s="3"/>
      <c r="G1306" s="6"/>
      <c r="H1306" s="3"/>
      <c r="I1306" s="6"/>
      <c r="J1306" s="6"/>
      <c r="K1306" s="6"/>
      <c r="L1306" s="6"/>
      <c r="M1306" s="6"/>
      <c r="N1306" s="6"/>
      <c r="O1306" s="3"/>
      <c r="P1306" s="6"/>
      <c r="Q1306" s="6"/>
      <c r="R1306" s="6"/>
      <c r="S1306" s="6"/>
      <c r="T1306" s="6"/>
      <c r="U1306" t="str">
        <f t="shared" si="20"/>
        <v/>
      </c>
    </row>
    <row r="1307" spans="3:21" customFormat="1" hidden="1">
      <c r="C1307" s="6"/>
      <c r="D1307" s="6"/>
      <c r="E1307" s="98"/>
      <c r="F1307" s="3"/>
      <c r="G1307" s="6"/>
      <c r="H1307" s="3"/>
      <c r="I1307" s="6"/>
      <c r="J1307" s="6"/>
      <c r="K1307" s="6"/>
      <c r="L1307" s="6"/>
      <c r="M1307" s="6"/>
      <c r="N1307" s="6"/>
      <c r="O1307" s="3"/>
      <c r="P1307" s="6"/>
      <c r="Q1307" s="6"/>
      <c r="R1307" s="6"/>
      <c r="S1307" s="6"/>
      <c r="T1307" s="6"/>
      <c r="U1307" t="str">
        <f t="shared" si="20"/>
        <v/>
      </c>
    </row>
    <row r="1308" spans="3:21" customFormat="1" hidden="1">
      <c r="C1308" s="6"/>
      <c r="D1308" s="6"/>
      <c r="E1308" s="98"/>
      <c r="F1308" s="3"/>
      <c r="G1308" s="6"/>
      <c r="H1308" s="3"/>
      <c r="I1308" s="6"/>
      <c r="J1308" s="6"/>
      <c r="K1308" s="6"/>
      <c r="L1308" s="6"/>
      <c r="M1308" s="6"/>
      <c r="N1308" s="6"/>
      <c r="O1308" s="3"/>
      <c r="P1308" s="6"/>
      <c r="Q1308" s="6"/>
      <c r="R1308" s="6"/>
      <c r="S1308" s="6"/>
      <c r="T1308" s="6"/>
      <c r="U1308" t="str">
        <f t="shared" si="20"/>
        <v/>
      </c>
    </row>
    <row r="1309" spans="3:21" customFormat="1" hidden="1">
      <c r="C1309" s="6"/>
      <c r="D1309" s="6"/>
      <c r="E1309" s="98"/>
      <c r="F1309" s="3"/>
      <c r="G1309" s="6"/>
      <c r="H1309" s="3"/>
      <c r="I1309" s="6"/>
      <c r="J1309" s="6"/>
      <c r="K1309" s="6"/>
      <c r="L1309" s="6"/>
      <c r="M1309" s="6"/>
      <c r="N1309" s="6"/>
      <c r="O1309" s="3"/>
      <c r="P1309" s="6"/>
      <c r="Q1309" s="6"/>
      <c r="R1309" s="6"/>
      <c r="S1309" s="6"/>
      <c r="T1309" s="6"/>
      <c r="U1309" t="str">
        <f t="shared" si="20"/>
        <v/>
      </c>
    </row>
    <row r="1310" spans="3:21" customFormat="1" hidden="1">
      <c r="C1310" s="6"/>
      <c r="D1310" s="6"/>
      <c r="E1310" s="98"/>
      <c r="F1310" s="3"/>
      <c r="G1310" s="6"/>
      <c r="H1310" s="3"/>
      <c r="I1310" s="6"/>
      <c r="J1310" s="6"/>
      <c r="K1310" s="6"/>
      <c r="L1310" s="6"/>
      <c r="M1310" s="6"/>
      <c r="N1310" s="6"/>
      <c r="O1310" s="3"/>
      <c r="P1310" s="6"/>
      <c r="Q1310" s="6"/>
      <c r="R1310" s="6"/>
      <c r="S1310" s="6"/>
      <c r="T1310" s="6"/>
      <c r="U1310" t="str">
        <f t="shared" si="20"/>
        <v/>
      </c>
    </row>
    <row r="1311" spans="3:21" customFormat="1" hidden="1">
      <c r="C1311" s="6"/>
      <c r="D1311" s="6"/>
      <c r="E1311" s="98"/>
      <c r="F1311" s="3"/>
      <c r="G1311" s="6"/>
      <c r="H1311" s="3"/>
      <c r="I1311" s="6"/>
      <c r="J1311" s="6"/>
      <c r="K1311" s="6"/>
      <c r="L1311" s="6"/>
      <c r="M1311" s="6"/>
      <c r="N1311" s="6"/>
      <c r="O1311" s="3"/>
      <c r="P1311" s="6"/>
      <c r="Q1311" s="6"/>
      <c r="R1311" s="6"/>
      <c r="S1311" s="6"/>
      <c r="T1311" s="6"/>
      <c r="U1311" t="str">
        <f t="shared" si="20"/>
        <v/>
      </c>
    </row>
    <row r="1312" spans="3:21" customFormat="1" hidden="1">
      <c r="C1312" s="6"/>
      <c r="D1312" s="6"/>
      <c r="E1312" s="98"/>
      <c r="F1312" s="3"/>
      <c r="G1312" s="6"/>
      <c r="H1312" s="3"/>
      <c r="I1312" s="6"/>
      <c r="J1312" s="6"/>
      <c r="K1312" s="6"/>
      <c r="L1312" s="6"/>
      <c r="M1312" s="6"/>
      <c r="N1312" s="6"/>
      <c r="O1312" s="3"/>
      <c r="P1312" s="6"/>
      <c r="Q1312" s="6"/>
      <c r="R1312" s="6"/>
      <c r="S1312" s="6"/>
      <c r="T1312" s="6"/>
      <c r="U1312" t="str">
        <f t="shared" si="20"/>
        <v/>
      </c>
    </row>
    <row r="1313" spans="3:21" customFormat="1" hidden="1">
      <c r="C1313" s="6"/>
      <c r="D1313" s="6"/>
      <c r="E1313" s="98"/>
      <c r="F1313" s="3"/>
      <c r="G1313" s="6"/>
      <c r="H1313" s="3"/>
      <c r="I1313" s="6"/>
      <c r="J1313" s="6"/>
      <c r="K1313" s="6"/>
      <c r="L1313" s="6"/>
      <c r="M1313" s="6"/>
      <c r="N1313" s="6"/>
      <c r="O1313" s="3"/>
      <c r="P1313" s="6"/>
      <c r="Q1313" s="6"/>
      <c r="R1313" s="6"/>
      <c r="S1313" s="6"/>
      <c r="T1313" s="6"/>
      <c r="U1313" t="str">
        <f t="shared" si="20"/>
        <v/>
      </c>
    </row>
    <row r="1314" spans="3:21" customFormat="1" hidden="1">
      <c r="C1314" s="6"/>
      <c r="D1314" s="6"/>
      <c r="E1314" s="98"/>
      <c r="F1314" s="3"/>
      <c r="G1314" s="6"/>
      <c r="H1314" s="3"/>
      <c r="I1314" s="6"/>
      <c r="J1314" s="6"/>
      <c r="K1314" s="6"/>
      <c r="L1314" s="6"/>
      <c r="M1314" s="6"/>
      <c r="N1314" s="6"/>
      <c r="O1314" s="3"/>
      <c r="P1314" s="6"/>
      <c r="Q1314" s="6"/>
      <c r="R1314" s="6"/>
      <c r="S1314" s="6"/>
      <c r="T1314" s="6"/>
      <c r="U1314" t="str">
        <f t="shared" si="20"/>
        <v/>
      </c>
    </row>
    <row r="1315" spans="3:21" customFormat="1" hidden="1">
      <c r="C1315" s="6"/>
      <c r="D1315" s="6"/>
      <c r="E1315" s="98"/>
      <c r="F1315" s="3"/>
      <c r="G1315" s="6"/>
      <c r="H1315" s="3"/>
      <c r="I1315" s="6"/>
      <c r="J1315" s="6"/>
      <c r="K1315" s="6"/>
      <c r="L1315" s="6"/>
      <c r="M1315" s="6"/>
      <c r="N1315" s="6"/>
      <c r="O1315" s="3"/>
      <c r="P1315" s="6"/>
      <c r="Q1315" s="6"/>
      <c r="R1315" s="6"/>
      <c r="S1315" s="6"/>
      <c r="T1315" s="6"/>
      <c r="U1315" t="str">
        <f t="shared" si="20"/>
        <v/>
      </c>
    </row>
    <row r="1316" spans="3:21" customFormat="1" hidden="1">
      <c r="C1316" s="6"/>
      <c r="D1316" s="6"/>
      <c r="E1316" s="98"/>
      <c r="F1316" s="3"/>
      <c r="G1316" s="6"/>
      <c r="H1316" s="3"/>
      <c r="I1316" s="6"/>
      <c r="J1316" s="6"/>
      <c r="K1316" s="6"/>
      <c r="L1316" s="6"/>
      <c r="M1316" s="6"/>
      <c r="N1316" s="6"/>
      <c r="O1316" s="3"/>
      <c r="P1316" s="6"/>
      <c r="Q1316" s="6"/>
      <c r="R1316" s="6"/>
      <c r="S1316" s="6"/>
      <c r="T1316" s="6"/>
      <c r="U1316" t="str">
        <f t="shared" si="20"/>
        <v/>
      </c>
    </row>
    <row r="1317" spans="3:21" customFormat="1" hidden="1">
      <c r="C1317" s="6"/>
      <c r="D1317" s="6"/>
      <c r="E1317" s="98"/>
      <c r="F1317" s="3"/>
      <c r="G1317" s="6"/>
      <c r="H1317" s="3"/>
      <c r="I1317" s="6"/>
      <c r="J1317" s="6"/>
      <c r="K1317" s="6"/>
      <c r="L1317" s="6"/>
      <c r="M1317" s="6"/>
      <c r="N1317" s="6"/>
      <c r="O1317" s="3"/>
      <c r="P1317" s="6"/>
      <c r="Q1317" s="6"/>
      <c r="R1317" s="6"/>
      <c r="S1317" s="6"/>
      <c r="T1317" s="6"/>
      <c r="U1317" t="str">
        <f t="shared" si="20"/>
        <v/>
      </c>
    </row>
    <row r="1318" spans="3:21" customFormat="1" hidden="1">
      <c r="C1318" s="6"/>
      <c r="D1318" s="6"/>
      <c r="E1318" s="98"/>
      <c r="F1318" s="3"/>
      <c r="G1318" s="6"/>
      <c r="H1318" s="3"/>
      <c r="I1318" s="6"/>
      <c r="J1318" s="6"/>
      <c r="K1318" s="6"/>
      <c r="L1318" s="6"/>
      <c r="M1318" s="6"/>
      <c r="N1318" s="6"/>
      <c r="O1318" s="3"/>
      <c r="P1318" s="6"/>
      <c r="Q1318" s="6"/>
      <c r="R1318" s="6"/>
      <c r="S1318" s="6"/>
      <c r="T1318" s="6"/>
      <c r="U1318" t="str">
        <f t="shared" si="20"/>
        <v/>
      </c>
    </row>
    <row r="1319" spans="3:21" customFormat="1" hidden="1">
      <c r="C1319" s="6"/>
      <c r="D1319" s="6"/>
      <c r="E1319" s="98"/>
      <c r="F1319" s="3"/>
      <c r="G1319" s="6"/>
      <c r="H1319" s="3"/>
      <c r="I1319" s="6"/>
      <c r="J1319" s="6"/>
      <c r="K1319" s="6"/>
      <c r="L1319" s="6"/>
      <c r="M1319" s="6"/>
      <c r="N1319" s="6"/>
      <c r="O1319" s="3"/>
      <c r="P1319" s="6"/>
      <c r="Q1319" s="6"/>
      <c r="R1319" s="6"/>
      <c r="S1319" s="6"/>
      <c r="T1319" s="6"/>
      <c r="U1319" t="str">
        <f t="shared" si="20"/>
        <v/>
      </c>
    </row>
    <row r="1320" spans="3:21" customFormat="1" hidden="1">
      <c r="C1320" s="6"/>
      <c r="D1320" s="6"/>
      <c r="E1320" s="98"/>
      <c r="F1320" s="3"/>
      <c r="G1320" s="6"/>
      <c r="H1320" s="3"/>
      <c r="I1320" s="6"/>
      <c r="J1320" s="6"/>
      <c r="K1320" s="6"/>
      <c r="L1320" s="6"/>
      <c r="M1320" s="6"/>
      <c r="N1320" s="6"/>
      <c r="O1320" s="3"/>
      <c r="P1320" s="6"/>
      <c r="Q1320" s="6"/>
      <c r="R1320" s="6"/>
      <c r="S1320" s="6"/>
      <c r="T1320" s="6"/>
      <c r="U1320" t="str">
        <f t="shared" si="20"/>
        <v/>
      </c>
    </row>
    <row r="1321" spans="3:21" customFormat="1" hidden="1">
      <c r="C1321" s="6"/>
      <c r="D1321" s="6"/>
      <c r="E1321" s="98"/>
      <c r="F1321" s="3"/>
      <c r="G1321" s="6"/>
      <c r="H1321" s="3"/>
      <c r="I1321" s="6"/>
      <c r="J1321" s="6"/>
      <c r="K1321" s="6"/>
      <c r="L1321" s="6"/>
      <c r="M1321" s="6"/>
      <c r="N1321" s="6"/>
      <c r="O1321" s="3"/>
      <c r="P1321" s="6"/>
      <c r="Q1321" s="6"/>
      <c r="R1321" s="6"/>
      <c r="S1321" s="6"/>
      <c r="T1321" s="6"/>
      <c r="U1321" t="str">
        <f t="shared" si="20"/>
        <v/>
      </c>
    </row>
    <row r="1322" spans="3:21" customFormat="1" hidden="1">
      <c r="C1322" s="6"/>
      <c r="D1322" s="6"/>
      <c r="E1322" s="98"/>
      <c r="F1322" s="3"/>
      <c r="G1322" s="6"/>
      <c r="H1322" s="3"/>
      <c r="I1322" s="6"/>
      <c r="J1322" s="6"/>
      <c r="K1322" s="6"/>
      <c r="L1322" s="6"/>
      <c r="M1322" s="6"/>
      <c r="N1322" s="6"/>
      <c r="O1322" s="3"/>
      <c r="P1322" s="6"/>
      <c r="Q1322" s="6"/>
      <c r="R1322" s="6"/>
      <c r="S1322" s="6"/>
      <c r="T1322" s="6"/>
      <c r="U1322" t="str">
        <f t="shared" si="20"/>
        <v/>
      </c>
    </row>
    <row r="1323" spans="3:21" customFormat="1" hidden="1">
      <c r="C1323" s="6"/>
      <c r="D1323" s="6"/>
      <c r="E1323" s="98"/>
      <c r="F1323" s="3"/>
      <c r="G1323" s="6"/>
      <c r="H1323" s="3"/>
      <c r="I1323" s="6"/>
      <c r="J1323" s="6"/>
      <c r="K1323" s="6"/>
      <c r="L1323" s="6"/>
      <c r="M1323" s="6"/>
      <c r="N1323" s="6"/>
      <c r="O1323" s="3"/>
      <c r="P1323" s="6"/>
      <c r="Q1323" s="6"/>
      <c r="R1323" s="6"/>
      <c r="S1323" s="6"/>
      <c r="T1323" s="6"/>
      <c r="U1323" t="str">
        <f t="shared" si="20"/>
        <v/>
      </c>
    </row>
    <row r="1324" spans="3:21" customFormat="1" hidden="1">
      <c r="C1324" s="6"/>
      <c r="D1324" s="6"/>
      <c r="E1324" s="98"/>
      <c r="F1324" s="3"/>
      <c r="G1324" s="6"/>
      <c r="H1324" s="3"/>
      <c r="I1324" s="6"/>
      <c r="J1324" s="6"/>
      <c r="K1324" s="6"/>
      <c r="L1324" s="6"/>
      <c r="M1324" s="6"/>
      <c r="N1324" s="6"/>
      <c r="O1324" s="3"/>
      <c r="P1324" s="6"/>
      <c r="Q1324" s="6"/>
      <c r="R1324" s="6"/>
      <c r="S1324" s="6"/>
      <c r="T1324" s="6"/>
      <c r="U1324" t="str">
        <f t="shared" si="20"/>
        <v/>
      </c>
    </row>
    <row r="1325" spans="3:21" customFormat="1" hidden="1">
      <c r="C1325" s="6"/>
      <c r="D1325" s="6"/>
      <c r="E1325" s="98"/>
      <c r="F1325" s="3"/>
      <c r="G1325" s="6"/>
      <c r="H1325" s="3"/>
      <c r="I1325" s="6"/>
      <c r="J1325" s="6"/>
      <c r="K1325" s="6"/>
      <c r="L1325" s="6"/>
      <c r="M1325" s="6"/>
      <c r="N1325" s="6"/>
      <c r="O1325" s="3"/>
      <c r="P1325" s="6"/>
      <c r="Q1325" s="6"/>
      <c r="R1325" s="6"/>
      <c r="S1325" s="6"/>
      <c r="T1325" s="6"/>
      <c r="U1325" t="str">
        <f t="shared" si="20"/>
        <v/>
      </c>
    </row>
    <row r="1326" spans="3:21" customFormat="1" hidden="1">
      <c r="C1326" s="6"/>
      <c r="D1326" s="6"/>
      <c r="E1326" s="98"/>
      <c r="F1326" s="3"/>
      <c r="G1326" s="6"/>
      <c r="H1326" s="3"/>
      <c r="I1326" s="6"/>
      <c r="J1326" s="6"/>
      <c r="K1326" s="6"/>
      <c r="L1326" s="6"/>
      <c r="M1326" s="6"/>
      <c r="N1326" s="6"/>
      <c r="O1326" s="3"/>
      <c r="P1326" s="6"/>
      <c r="Q1326" s="6"/>
      <c r="R1326" s="6"/>
      <c r="S1326" s="6"/>
      <c r="T1326" s="6"/>
      <c r="U1326" t="str">
        <f t="shared" si="20"/>
        <v/>
      </c>
    </row>
    <row r="1327" spans="3:21" customFormat="1" hidden="1">
      <c r="C1327" s="6"/>
      <c r="D1327" s="6"/>
      <c r="E1327" s="98"/>
      <c r="F1327" s="3"/>
      <c r="G1327" s="6"/>
      <c r="H1327" s="3"/>
      <c r="I1327" s="6"/>
      <c r="J1327" s="6"/>
      <c r="K1327" s="6"/>
      <c r="L1327" s="6"/>
      <c r="M1327" s="6"/>
      <c r="N1327" s="6"/>
      <c r="O1327" s="3"/>
      <c r="P1327" s="6"/>
      <c r="Q1327" s="6"/>
      <c r="R1327" s="6"/>
      <c r="S1327" s="6"/>
      <c r="T1327" s="6"/>
      <c r="U1327" t="str">
        <f t="shared" si="20"/>
        <v/>
      </c>
    </row>
    <row r="1328" spans="3:21" customFormat="1" hidden="1">
      <c r="C1328" s="6"/>
      <c r="D1328" s="6"/>
      <c r="E1328" s="98"/>
      <c r="F1328" s="3"/>
      <c r="G1328" s="6"/>
      <c r="H1328" s="3"/>
      <c r="I1328" s="6"/>
      <c r="J1328" s="6"/>
      <c r="K1328" s="6"/>
      <c r="L1328" s="6"/>
      <c r="M1328" s="6"/>
      <c r="N1328" s="6"/>
      <c r="O1328" s="3"/>
      <c r="P1328" s="6"/>
      <c r="Q1328" s="6"/>
      <c r="R1328" s="6"/>
      <c r="S1328" s="6"/>
      <c r="T1328" s="6"/>
      <c r="U1328" t="str">
        <f t="shared" si="20"/>
        <v/>
      </c>
    </row>
    <row r="1329" spans="3:21" customFormat="1" hidden="1">
      <c r="C1329" s="6"/>
      <c r="D1329" s="6"/>
      <c r="E1329" s="98"/>
      <c r="F1329" s="3"/>
      <c r="G1329" s="6"/>
      <c r="H1329" s="3"/>
      <c r="I1329" s="6"/>
      <c r="J1329" s="6"/>
      <c r="K1329" s="6"/>
      <c r="L1329" s="6"/>
      <c r="M1329" s="6"/>
      <c r="N1329" s="6"/>
      <c r="O1329" s="3"/>
      <c r="P1329" s="6"/>
      <c r="Q1329" s="6"/>
      <c r="R1329" s="6"/>
      <c r="S1329" s="6"/>
      <c r="T1329" s="6"/>
      <c r="U1329" t="str">
        <f t="shared" si="20"/>
        <v/>
      </c>
    </row>
    <row r="1330" spans="3:21" customFormat="1" hidden="1">
      <c r="C1330" s="6"/>
      <c r="D1330" s="6"/>
      <c r="E1330" s="98"/>
      <c r="F1330" s="3"/>
      <c r="G1330" s="6"/>
      <c r="H1330" s="3"/>
      <c r="I1330" s="6"/>
      <c r="J1330" s="6"/>
      <c r="K1330" s="6"/>
      <c r="L1330" s="6"/>
      <c r="M1330" s="6"/>
      <c r="N1330" s="6"/>
      <c r="O1330" s="3"/>
      <c r="P1330" s="6"/>
      <c r="Q1330" s="6"/>
      <c r="R1330" s="6"/>
      <c r="S1330" s="6"/>
      <c r="T1330" s="6"/>
      <c r="U1330" t="str">
        <f t="shared" si="20"/>
        <v/>
      </c>
    </row>
    <row r="1331" spans="3:21" customFormat="1" hidden="1">
      <c r="C1331" s="6"/>
      <c r="D1331" s="6"/>
      <c r="E1331" s="98"/>
      <c r="F1331" s="3"/>
      <c r="G1331" s="6"/>
      <c r="H1331" s="3"/>
      <c r="I1331" s="6"/>
      <c r="J1331" s="6"/>
      <c r="K1331" s="6"/>
      <c r="L1331" s="6"/>
      <c r="M1331" s="6"/>
      <c r="N1331" s="6"/>
      <c r="O1331" s="3"/>
      <c r="P1331" s="6"/>
      <c r="Q1331" s="6"/>
      <c r="R1331" s="6"/>
      <c r="S1331" s="6"/>
      <c r="T1331" s="6"/>
      <c r="U1331" t="str">
        <f t="shared" si="20"/>
        <v/>
      </c>
    </row>
    <row r="1332" spans="3:21" customFormat="1" hidden="1">
      <c r="C1332" s="6"/>
      <c r="D1332" s="6"/>
      <c r="E1332" s="98"/>
      <c r="F1332" s="3"/>
      <c r="G1332" s="6"/>
      <c r="H1332" s="3"/>
      <c r="I1332" s="6"/>
      <c r="J1332" s="6"/>
      <c r="K1332" s="6"/>
      <c r="L1332" s="6"/>
      <c r="M1332" s="6"/>
      <c r="N1332" s="6"/>
      <c r="O1332" s="3"/>
      <c r="P1332" s="6"/>
      <c r="Q1332" s="6"/>
      <c r="R1332" s="6"/>
      <c r="S1332" s="6"/>
      <c r="T1332" s="6"/>
      <c r="U1332" t="str">
        <f t="shared" si="20"/>
        <v/>
      </c>
    </row>
    <row r="1333" spans="3:21" customFormat="1" hidden="1">
      <c r="C1333" s="6"/>
      <c r="D1333" s="6"/>
      <c r="E1333" s="98"/>
      <c r="F1333" s="3"/>
      <c r="G1333" s="6"/>
      <c r="H1333" s="3"/>
      <c r="I1333" s="6"/>
      <c r="J1333" s="6"/>
      <c r="K1333" s="6"/>
      <c r="L1333" s="6"/>
      <c r="M1333" s="6"/>
      <c r="N1333" s="6"/>
      <c r="O1333" s="3"/>
      <c r="P1333" s="6"/>
      <c r="Q1333" s="6"/>
      <c r="R1333" s="6"/>
      <c r="S1333" s="6"/>
      <c r="T1333" s="6"/>
      <c r="U1333" t="str">
        <f t="shared" si="20"/>
        <v/>
      </c>
    </row>
    <row r="1334" spans="3:21" customFormat="1" hidden="1">
      <c r="C1334" s="6"/>
      <c r="D1334" s="6"/>
      <c r="E1334" s="98"/>
      <c r="F1334" s="3"/>
      <c r="G1334" s="6"/>
      <c r="H1334" s="3"/>
      <c r="I1334" s="6"/>
      <c r="J1334" s="6"/>
      <c r="K1334" s="6"/>
      <c r="L1334" s="6"/>
      <c r="M1334" s="6"/>
      <c r="N1334" s="6"/>
      <c r="O1334" s="3"/>
      <c r="P1334" s="6"/>
      <c r="Q1334" s="6"/>
      <c r="R1334" s="6"/>
      <c r="S1334" s="6"/>
      <c r="T1334" s="6"/>
      <c r="U1334" t="str">
        <f t="shared" si="20"/>
        <v/>
      </c>
    </row>
    <row r="1335" spans="3:21" customFormat="1" hidden="1">
      <c r="C1335" s="6"/>
      <c r="D1335" s="6"/>
      <c r="E1335" s="98"/>
      <c r="F1335" s="3"/>
      <c r="G1335" s="6"/>
      <c r="H1335" s="3"/>
      <c r="I1335" s="6"/>
      <c r="J1335" s="6"/>
      <c r="K1335" s="6"/>
      <c r="L1335" s="6"/>
      <c r="M1335" s="6"/>
      <c r="N1335" s="6"/>
      <c r="O1335" s="3"/>
      <c r="P1335" s="6"/>
      <c r="Q1335" s="6"/>
      <c r="R1335" s="6"/>
      <c r="S1335" s="6"/>
      <c r="T1335" s="6"/>
      <c r="U1335" t="str">
        <f t="shared" si="20"/>
        <v/>
      </c>
    </row>
    <row r="1336" spans="3:21" customFormat="1" hidden="1">
      <c r="C1336" s="6"/>
      <c r="D1336" s="6"/>
      <c r="E1336" s="98"/>
      <c r="F1336" s="3"/>
      <c r="G1336" s="6"/>
      <c r="H1336" s="3"/>
      <c r="I1336" s="6"/>
      <c r="J1336" s="6"/>
      <c r="K1336" s="6"/>
      <c r="L1336" s="6"/>
      <c r="M1336" s="6"/>
      <c r="N1336" s="6"/>
      <c r="O1336" s="3"/>
      <c r="P1336" s="6"/>
      <c r="Q1336" s="6"/>
      <c r="R1336" s="6"/>
      <c r="S1336" s="6"/>
      <c r="T1336" s="6"/>
      <c r="U1336" t="str">
        <f t="shared" si="20"/>
        <v/>
      </c>
    </row>
    <row r="1337" spans="3:21" customFormat="1" hidden="1">
      <c r="C1337" s="6"/>
      <c r="D1337" s="6"/>
      <c r="E1337" s="98"/>
      <c r="F1337" s="3"/>
      <c r="G1337" s="6"/>
      <c r="H1337" s="3"/>
      <c r="I1337" s="6"/>
      <c r="J1337" s="6"/>
      <c r="K1337" s="6"/>
      <c r="L1337" s="6"/>
      <c r="M1337" s="6"/>
      <c r="N1337" s="6"/>
      <c r="O1337" s="3"/>
      <c r="P1337" s="6"/>
      <c r="Q1337" s="6"/>
      <c r="R1337" s="6"/>
      <c r="S1337" s="6"/>
      <c r="T1337" s="6"/>
      <c r="U1337" t="str">
        <f t="shared" si="20"/>
        <v/>
      </c>
    </row>
    <row r="1338" spans="3:21" customFormat="1" hidden="1">
      <c r="C1338" s="6"/>
      <c r="D1338" s="6"/>
      <c r="E1338" s="98"/>
      <c r="F1338" s="3"/>
      <c r="G1338" s="6"/>
      <c r="H1338" s="3"/>
      <c r="I1338" s="6"/>
      <c r="J1338" s="6"/>
      <c r="K1338" s="6"/>
      <c r="L1338" s="6"/>
      <c r="M1338" s="6"/>
      <c r="N1338" s="6"/>
      <c r="O1338" s="3"/>
      <c r="P1338" s="6"/>
      <c r="Q1338" s="6"/>
      <c r="R1338" s="6"/>
      <c r="S1338" s="6"/>
      <c r="T1338" s="6"/>
      <c r="U1338" t="str">
        <f t="shared" si="20"/>
        <v/>
      </c>
    </row>
    <row r="1339" spans="3:21" customFormat="1" hidden="1">
      <c r="C1339" s="6"/>
      <c r="D1339" s="6"/>
      <c r="E1339" s="98"/>
      <c r="F1339" s="3"/>
      <c r="G1339" s="6"/>
      <c r="H1339" s="3"/>
      <c r="I1339" s="6"/>
      <c r="J1339" s="6"/>
      <c r="K1339" s="6"/>
      <c r="L1339" s="6"/>
      <c r="M1339" s="6"/>
      <c r="N1339" s="6"/>
      <c r="O1339" s="3"/>
      <c r="P1339" s="6"/>
      <c r="Q1339" s="6"/>
      <c r="R1339" s="6"/>
      <c r="S1339" s="6"/>
      <c r="T1339" s="6"/>
      <c r="U1339" t="str">
        <f t="shared" si="20"/>
        <v/>
      </c>
    </row>
    <row r="1340" spans="3:21" customFormat="1" hidden="1">
      <c r="C1340" s="6"/>
      <c r="D1340" s="6"/>
      <c r="E1340" s="98"/>
      <c r="F1340" s="3"/>
      <c r="G1340" s="6"/>
      <c r="H1340" s="3"/>
      <c r="I1340" s="6"/>
      <c r="J1340" s="6"/>
      <c r="K1340" s="6"/>
      <c r="L1340" s="6"/>
      <c r="M1340" s="6"/>
      <c r="N1340" s="6"/>
      <c r="O1340" s="3"/>
      <c r="P1340" s="6"/>
      <c r="Q1340" s="6"/>
      <c r="R1340" s="6"/>
      <c r="S1340" s="6"/>
      <c r="T1340" s="6"/>
      <c r="U1340" t="str">
        <f t="shared" si="20"/>
        <v/>
      </c>
    </row>
    <row r="1341" spans="3:21" customFormat="1" hidden="1">
      <c r="C1341" s="6"/>
      <c r="D1341" s="6"/>
      <c r="E1341" s="98"/>
      <c r="F1341" s="3"/>
      <c r="G1341" s="6"/>
      <c r="H1341" s="3"/>
      <c r="I1341" s="6"/>
      <c r="J1341" s="6"/>
      <c r="K1341" s="6"/>
      <c r="L1341" s="6"/>
      <c r="M1341" s="6"/>
      <c r="N1341" s="6"/>
      <c r="O1341" s="3"/>
      <c r="P1341" s="6"/>
      <c r="Q1341" s="6"/>
      <c r="R1341" s="6"/>
      <c r="S1341" s="6"/>
      <c r="T1341" s="6"/>
      <c r="U1341" t="str">
        <f t="shared" si="20"/>
        <v/>
      </c>
    </row>
    <row r="1342" spans="3:21" customFormat="1" hidden="1">
      <c r="C1342" s="6"/>
      <c r="D1342" s="6"/>
      <c r="E1342" s="98"/>
      <c r="F1342" s="3"/>
      <c r="G1342" s="6"/>
      <c r="H1342" s="3"/>
      <c r="I1342" s="6"/>
      <c r="J1342" s="6"/>
      <c r="K1342" s="6"/>
      <c r="L1342" s="6"/>
      <c r="M1342" s="6"/>
      <c r="N1342" s="6"/>
      <c r="O1342" s="3"/>
      <c r="P1342" s="6"/>
      <c r="Q1342" s="6"/>
      <c r="R1342" s="6"/>
      <c r="S1342" s="6"/>
      <c r="T1342" s="6"/>
      <c r="U1342" t="str">
        <f t="shared" si="20"/>
        <v/>
      </c>
    </row>
    <row r="1343" spans="3:21" customFormat="1" hidden="1">
      <c r="C1343" s="6"/>
      <c r="D1343" s="6"/>
      <c r="E1343" s="98"/>
      <c r="F1343" s="3"/>
      <c r="G1343" s="6"/>
      <c r="H1343" s="3"/>
      <c r="I1343" s="6"/>
      <c r="J1343" s="6"/>
      <c r="K1343" s="6"/>
      <c r="L1343" s="6"/>
      <c r="M1343" s="6"/>
      <c r="N1343" s="6"/>
      <c r="O1343" s="3"/>
      <c r="P1343" s="6"/>
      <c r="Q1343" s="6"/>
      <c r="R1343" s="6"/>
      <c r="S1343" s="6"/>
      <c r="T1343" s="6"/>
      <c r="U1343" t="str">
        <f t="shared" si="20"/>
        <v/>
      </c>
    </row>
    <row r="1344" spans="3:21" customFormat="1" hidden="1">
      <c r="C1344" s="6"/>
      <c r="D1344" s="6"/>
      <c r="E1344" s="98"/>
      <c r="F1344" s="3"/>
      <c r="G1344" s="6"/>
      <c r="H1344" s="3"/>
      <c r="I1344" s="6"/>
      <c r="J1344" s="6"/>
      <c r="K1344" s="6"/>
      <c r="L1344" s="6"/>
      <c r="M1344" s="6"/>
      <c r="N1344" s="6"/>
      <c r="O1344" s="3"/>
      <c r="P1344" s="6"/>
      <c r="Q1344" s="6"/>
      <c r="R1344" s="6"/>
      <c r="S1344" s="6"/>
      <c r="T1344" s="6"/>
      <c r="U1344" t="str">
        <f t="shared" si="20"/>
        <v/>
      </c>
    </row>
    <row r="1345" spans="3:21" customFormat="1" hidden="1">
      <c r="C1345" s="6"/>
      <c r="D1345" s="6"/>
      <c r="E1345" s="98"/>
      <c r="F1345" s="3"/>
      <c r="G1345" s="6"/>
      <c r="H1345" s="3"/>
      <c r="I1345" s="6"/>
      <c r="J1345" s="6"/>
      <c r="K1345" s="6"/>
      <c r="L1345" s="6"/>
      <c r="M1345" s="6"/>
      <c r="N1345" s="6"/>
      <c r="O1345" s="3"/>
      <c r="P1345" s="6"/>
      <c r="Q1345" s="6"/>
      <c r="R1345" s="6"/>
      <c r="S1345" s="6"/>
      <c r="T1345" s="6"/>
      <c r="U1345" t="str">
        <f t="shared" si="20"/>
        <v/>
      </c>
    </row>
    <row r="1346" spans="3:21" customFormat="1" hidden="1">
      <c r="C1346" s="6"/>
      <c r="D1346" s="6"/>
      <c r="E1346" s="98"/>
      <c r="F1346" s="3"/>
      <c r="G1346" s="6"/>
      <c r="H1346" s="3"/>
      <c r="I1346" s="6"/>
      <c r="J1346" s="6"/>
      <c r="K1346" s="6"/>
      <c r="L1346" s="6"/>
      <c r="M1346" s="6"/>
      <c r="N1346" s="6"/>
      <c r="O1346" s="3"/>
      <c r="P1346" s="6"/>
      <c r="Q1346" s="6"/>
      <c r="R1346" s="6"/>
      <c r="S1346" s="6"/>
      <c r="T1346" s="6"/>
      <c r="U1346" t="str">
        <f t="shared" si="20"/>
        <v/>
      </c>
    </row>
    <row r="1347" spans="3:21" customFormat="1" hidden="1">
      <c r="C1347" s="6"/>
      <c r="D1347" s="6"/>
      <c r="E1347" s="98"/>
      <c r="F1347" s="3"/>
      <c r="G1347" s="6"/>
      <c r="H1347" s="3"/>
      <c r="I1347" s="6"/>
      <c r="J1347" s="6"/>
      <c r="K1347" s="6"/>
      <c r="L1347" s="6"/>
      <c r="M1347" s="6"/>
      <c r="N1347" s="6"/>
      <c r="O1347" s="3"/>
      <c r="P1347" s="6"/>
      <c r="Q1347" s="6"/>
      <c r="R1347" s="6"/>
      <c r="S1347" s="6"/>
      <c r="T1347" s="6"/>
      <c r="U1347" t="str">
        <f t="shared" si="20"/>
        <v/>
      </c>
    </row>
    <row r="1348" spans="3:21" customFormat="1" hidden="1">
      <c r="C1348" s="6"/>
      <c r="D1348" s="6"/>
      <c r="E1348" s="98"/>
      <c r="F1348" s="3"/>
      <c r="G1348" s="6"/>
      <c r="H1348" s="3"/>
      <c r="I1348" s="6"/>
      <c r="J1348" s="6"/>
      <c r="K1348" s="6"/>
      <c r="L1348" s="6"/>
      <c r="M1348" s="6"/>
      <c r="N1348" s="6"/>
      <c r="O1348" s="3"/>
      <c r="P1348" s="6"/>
      <c r="Q1348" s="6"/>
      <c r="R1348" s="6"/>
      <c r="S1348" s="6"/>
      <c r="T1348" s="6"/>
      <c r="U1348" t="str">
        <f t="shared" si="20"/>
        <v/>
      </c>
    </row>
    <row r="1349" spans="3:21" customFormat="1" hidden="1">
      <c r="C1349" s="6"/>
      <c r="D1349" s="6"/>
      <c r="E1349" s="98"/>
      <c r="F1349" s="3"/>
      <c r="G1349" s="6"/>
      <c r="H1349" s="3"/>
      <c r="I1349" s="6"/>
      <c r="J1349" s="6"/>
      <c r="K1349" s="6"/>
      <c r="L1349" s="6"/>
      <c r="M1349" s="6"/>
      <c r="N1349" s="6"/>
      <c r="O1349" s="3"/>
      <c r="P1349" s="6"/>
      <c r="Q1349" s="6"/>
      <c r="R1349" s="6"/>
      <c r="S1349" s="6"/>
      <c r="T1349" s="6"/>
      <c r="U1349" t="str">
        <f t="shared" si="20"/>
        <v/>
      </c>
    </row>
    <row r="1350" spans="3:21" customFormat="1" hidden="1">
      <c r="C1350" s="6"/>
      <c r="D1350" s="6"/>
      <c r="E1350" s="98"/>
      <c r="F1350" s="3"/>
      <c r="G1350" s="6"/>
      <c r="H1350" s="3"/>
      <c r="I1350" s="6"/>
      <c r="J1350" s="6"/>
      <c r="K1350" s="6"/>
      <c r="L1350" s="6"/>
      <c r="M1350" s="6"/>
      <c r="N1350" s="6"/>
      <c r="O1350" s="3"/>
      <c r="P1350" s="6"/>
      <c r="Q1350" s="6"/>
      <c r="R1350" s="6"/>
      <c r="S1350" s="6"/>
      <c r="T1350" s="6"/>
      <c r="U1350" t="str">
        <f t="shared" si="20"/>
        <v/>
      </c>
    </row>
    <row r="1351" spans="3:21" customFormat="1" hidden="1">
      <c r="C1351" s="6"/>
      <c r="D1351" s="6"/>
      <c r="E1351" s="98"/>
      <c r="F1351" s="3"/>
      <c r="G1351" s="6"/>
      <c r="H1351" s="3"/>
      <c r="I1351" s="6"/>
      <c r="J1351" s="6"/>
      <c r="K1351" s="6"/>
      <c r="L1351" s="6"/>
      <c r="M1351" s="6"/>
      <c r="N1351" s="6"/>
      <c r="O1351" s="3"/>
      <c r="P1351" s="6"/>
      <c r="Q1351" s="6"/>
      <c r="R1351" s="6"/>
      <c r="S1351" s="6"/>
      <c r="T1351" s="6"/>
      <c r="U1351" t="str">
        <f t="shared" ref="U1351:U1414" si="21">IF(D1351="","","x")</f>
        <v/>
      </c>
    </row>
    <row r="1352" spans="3:21" customFormat="1" hidden="1">
      <c r="C1352" s="6"/>
      <c r="D1352" s="6"/>
      <c r="E1352" s="98"/>
      <c r="F1352" s="3"/>
      <c r="G1352" s="6"/>
      <c r="H1352" s="3"/>
      <c r="I1352" s="6"/>
      <c r="J1352" s="6"/>
      <c r="K1352" s="6"/>
      <c r="L1352" s="6"/>
      <c r="M1352" s="6"/>
      <c r="N1352" s="6"/>
      <c r="O1352" s="3"/>
      <c r="P1352" s="6"/>
      <c r="Q1352" s="6"/>
      <c r="R1352" s="6"/>
      <c r="S1352" s="6"/>
      <c r="T1352" s="6"/>
      <c r="U1352" t="str">
        <f t="shared" si="21"/>
        <v/>
      </c>
    </row>
    <row r="1353" spans="3:21" customFormat="1" hidden="1">
      <c r="C1353" s="6"/>
      <c r="D1353" s="6"/>
      <c r="E1353" s="98"/>
      <c r="F1353" s="3"/>
      <c r="G1353" s="6"/>
      <c r="H1353" s="3"/>
      <c r="I1353" s="6"/>
      <c r="J1353" s="6"/>
      <c r="K1353" s="6"/>
      <c r="L1353" s="6"/>
      <c r="M1353" s="6"/>
      <c r="N1353" s="6"/>
      <c r="O1353" s="3"/>
      <c r="P1353" s="6"/>
      <c r="Q1353" s="6"/>
      <c r="R1353" s="6"/>
      <c r="S1353" s="6"/>
      <c r="T1353" s="6"/>
      <c r="U1353" t="str">
        <f t="shared" si="21"/>
        <v/>
      </c>
    </row>
    <row r="1354" spans="3:21" customFormat="1" hidden="1">
      <c r="C1354" s="6"/>
      <c r="D1354" s="6"/>
      <c r="E1354" s="98"/>
      <c r="F1354" s="3"/>
      <c r="G1354" s="6"/>
      <c r="H1354" s="3"/>
      <c r="I1354" s="6"/>
      <c r="J1354" s="6"/>
      <c r="K1354" s="6"/>
      <c r="L1354" s="6"/>
      <c r="M1354" s="6"/>
      <c r="N1354" s="6"/>
      <c r="O1354" s="3"/>
      <c r="P1354" s="6"/>
      <c r="Q1354" s="6"/>
      <c r="R1354" s="6"/>
      <c r="S1354" s="6"/>
      <c r="T1354" s="6"/>
      <c r="U1354" t="str">
        <f t="shared" si="21"/>
        <v/>
      </c>
    </row>
    <row r="1355" spans="3:21" customFormat="1" hidden="1">
      <c r="C1355" s="6"/>
      <c r="D1355" s="6"/>
      <c r="E1355" s="98"/>
      <c r="F1355" s="3"/>
      <c r="G1355" s="6"/>
      <c r="H1355" s="3"/>
      <c r="I1355" s="6"/>
      <c r="J1355" s="6"/>
      <c r="K1355" s="6"/>
      <c r="L1355" s="6"/>
      <c r="M1355" s="6"/>
      <c r="N1355" s="6"/>
      <c r="O1355" s="3"/>
      <c r="P1355" s="6"/>
      <c r="Q1355" s="6"/>
      <c r="R1355" s="6"/>
      <c r="S1355" s="6"/>
      <c r="T1355" s="6"/>
      <c r="U1355" t="str">
        <f t="shared" si="21"/>
        <v/>
      </c>
    </row>
    <row r="1356" spans="3:21" customFormat="1" hidden="1">
      <c r="C1356" s="6"/>
      <c r="D1356" s="6"/>
      <c r="E1356" s="98"/>
      <c r="F1356" s="3"/>
      <c r="G1356" s="6"/>
      <c r="H1356" s="3"/>
      <c r="I1356" s="6"/>
      <c r="J1356" s="6"/>
      <c r="K1356" s="6"/>
      <c r="L1356" s="6"/>
      <c r="M1356" s="6"/>
      <c r="N1356" s="6"/>
      <c r="O1356" s="3"/>
      <c r="P1356" s="6"/>
      <c r="Q1356" s="6"/>
      <c r="R1356" s="6"/>
      <c r="S1356" s="6"/>
      <c r="T1356" s="6"/>
      <c r="U1356" t="str">
        <f t="shared" si="21"/>
        <v/>
      </c>
    </row>
    <row r="1357" spans="3:21" customFormat="1" hidden="1">
      <c r="C1357" s="6"/>
      <c r="D1357" s="6"/>
      <c r="E1357" s="98"/>
      <c r="F1357" s="3"/>
      <c r="G1357" s="6"/>
      <c r="H1357" s="3"/>
      <c r="I1357" s="6"/>
      <c r="J1357" s="6"/>
      <c r="K1357" s="6"/>
      <c r="L1357" s="6"/>
      <c r="M1357" s="6"/>
      <c r="N1357" s="6"/>
      <c r="O1357" s="3"/>
      <c r="P1357" s="6"/>
      <c r="Q1357" s="6"/>
      <c r="R1357" s="6"/>
      <c r="S1357" s="6"/>
      <c r="T1357" s="6"/>
      <c r="U1357" t="str">
        <f t="shared" si="21"/>
        <v/>
      </c>
    </row>
    <row r="1358" spans="3:21" customFormat="1" hidden="1">
      <c r="C1358" s="6"/>
      <c r="D1358" s="6"/>
      <c r="E1358" s="98"/>
      <c r="F1358" s="3"/>
      <c r="G1358" s="6"/>
      <c r="H1358" s="3"/>
      <c r="I1358" s="6"/>
      <c r="J1358" s="6"/>
      <c r="K1358" s="6"/>
      <c r="L1358" s="6"/>
      <c r="M1358" s="6"/>
      <c r="N1358" s="6"/>
      <c r="O1358" s="3"/>
      <c r="P1358" s="6"/>
      <c r="Q1358" s="6"/>
      <c r="R1358" s="6"/>
      <c r="S1358" s="6"/>
      <c r="T1358" s="6"/>
      <c r="U1358" t="str">
        <f t="shared" si="21"/>
        <v/>
      </c>
    </row>
    <row r="1359" spans="3:21" customFormat="1" hidden="1">
      <c r="C1359" s="6"/>
      <c r="D1359" s="6"/>
      <c r="E1359" s="98"/>
      <c r="F1359" s="3"/>
      <c r="G1359" s="6"/>
      <c r="H1359" s="3"/>
      <c r="I1359" s="6"/>
      <c r="J1359" s="6"/>
      <c r="K1359" s="6"/>
      <c r="L1359" s="6"/>
      <c r="M1359" s="6"/>
      <c r="N1359" s="6"/>
      <c r="O1359" s="3"/>
      <c r="P1359" s="6"/>
      <c r="Q1359" s="6"/>
      <c r="R1359" s="6"/>
      <c r="S1359" s="6"/>
      <c r="T1359" s="6"/>
      <c r="U1359" t="str">
        <f t="shared" si="21"/>
        <v/>
      </c>
    </row>
    <row r="1360" spans="3:21" customFormat="1" hidden="1">
      <c r="C1360" s="6"/>
      <c r="D1360" s="6"/>
      <c r="E1360" s="98"/>
      <c r="F1360" s="3"/>
      <c r="G1360" s="6"/>
      <c r="H1360" s="3"/>
      <c r="I1360" s="6"/>
      <c r="J1360" s="6"/>
      <c r="K1360" s="6"/>
      <c r="L1360" s="6"/>
      <c r="M1360" s="6"/>
      <c r="N1360" s="6"/>
      <c r="O1360" s="3"/>
      <c r="P1360" s="6"/>
      <c r="Q1360" s="6"/>
      <c r="R1360" s="6"/>
      <c r="S1360" s="6"/>
      <c r="T1360" s="6"/>
      <c r="U1360" t="str">
        <f t="shared" si="21"/>
        <v/>
      </c>
    </row>
    <row r="1361" spans="3:21" customFormat="1" hidden="1">
      <c r="C1361" s="6"/>
      <c r="D1361" s="6"/>
      <c r="E1361" s="98"/>
      <c r="F1361" s="3"/>
      <c r="G1361" s="6"/>
      <c r="H1361" s="3"/>
      <c r="I1361" s="6"/>
      <c r="J1361" s="6"/>
      <c r="K1361" s="6"/>
      <c r="L1361" s="6"/>
      <c r="M1361" s="6"/>
      <c r="N1361" s="6"/>
      <c r="O1361" s="3"/>
      <c r="P1361" s="6"/>
      <c r="Q1361" s="6"/>
      <c r="R1361" s="6"/>
      <c r="S1361" s="6"/>
      <c r="T1361" s="6"/>
      <c r="U1361" t="str">
        <f t="shared" si="21"/>
        <v/>
      </c>
    </row>
    <row r="1362" spans="3:21" customFormat="1" hidden="1">
      <c r="C1362" s="6"/>
      <c r="D1362" s="6"/>
      <c r="E1362" s="98"/>
      <c r="F1362" s="3"/>
      <c r="G1362" s="6"/>
      <c r="H1362" s="3"/>
      <c r="I1362" s="6"/>
      <c r="J1362" s="6"/>
      <c r="K1362" s="6"/>
      <c r="L1362" s="6"/>
      <c r="M1362" s="6"/>
      <c r="N1362" s="6"/>
      <c r="O1362" s="3"/>
      <c r="P1362" s="6"/>
      <c r="Q1362" s="6"/>
      <c r="R1362" s="6"/>
      <c r="S1362" s="6"/>
      <c r="T1362" s="6"/>
      <c r="U1362" t="str">
        <f t="shared" si="21"/>
        <v/>
      </c>
    </row>
    <row r="1363" spans="3:21" customFormat="1" hidden="1">
      <c r="C1363" s="6"/>
      <c r="D1363" s="6"/>
      <c r="E1363" s="98"/>
      <c r="F1363" s="3"/>
      <c r="G1363" s="6"/>
      <c r="H1363" s="3"/>
      <c r="I1363" s="6"/>
      <c r="J1363" s="6"/>
      <c r="K1363" s="6"/>
      <c r="L1363" s="6"/>
      <c r="M1363" s="6"/>
      <c r="N1363" s="6"/>
      <c r="O1363" s="3"/>
      <c r="P1363" s="6"/>
      <c r="Q1363" s="6"/>
      <c r="R1363" s="6"/>
      <c r="S1363" s="6"/>
      <c r="T1363" s="6"/>
      <c r="U1363" t="str">
        <f t="shared" si="21"/>
        <v/>
      </c>
    </row>
    <row r="1364" spans="3:21" customFormat="1" hidden="1">
      <c r="C1364" s="6"/>
      <c r="D1364" s="6"/>
      <c r="E1364" s="98"/>
      <c r="F1364" s="3"/>
      <c r="G1364" s="6"/>
      <c r="H1364" s="3"/>
      <c r="I1364" s="6"/>
      <c r="J1364" s="6"/>
      <c r="K1364" s="6"/>
      <c r="L1364" s="6"/>
      <c r="M1364" s="6"/>
      <c r="N1364" s="6"/>
      <c r="O1364" s="3"/>
      <c r="P1364" s="6"/>
      <c r="Q1364" s="6"/>
      <c r="R1364" s="6"/>
      <c r="S1364" s="6"/>
      <c r="T1364" s="6"/>
      <c r="U1364" t="str">
        <f t="shared" si="21"/>
        <v/>
      </c>
    </row>
    <row r="1365" spans="3:21" customFormat="1" hidden="1">
      <c r="C1365" s="6"/>
      <c r="D1365" s="6"/>
      <c r="E1365" s="98"/>
      <c r="F1365" s="3"/>
      <c r="G1365" s="6"/>
      <c r="H1365" s="3"/>
      <c r="I1365" s="6"/>
      <c r="J1365" s="6"/>
      <c r="K1365" s="6"/>
      <c r="L1365" s="6"/>
      <c r="M1365" s="6"/>
      <c r="N1365" s="6"/>
      <c r="O1365" s="3"/>
      <c r="P1365" s="6"/>
      <c r="Q1365" s="6"/>
      <c r="R1365" s="6"/>
      <c r="S1365" s="6"/>
      <c r="T1365" s="6"/>
      <c r="U1365" t="str">
        <f t="shared" si="21"/>
        <v/>
      </c>
    </row>
    <row r="1366" spans="3:21" customFormat="1" hidden="1">
      <c r="C1366" s="6"/>
      <c r="D1366" s="6"/>
      <c r="E1366" s="98"/>
      <c r="F1366" s="3"/>
      <c r="G1366" s="6"/>
      <c r="H1366" s="3"/>
      <c r="I1366" s="6"/>
      <c r="J1366" s="6"/>
      <c r="K1366" s="6"/>
      <c r="L1366" s="6"/>
      <c r="M1366" s="6"/>
      <c r="N1366" s="6"/>
      <c r="O1366" s="3"/>
      <c r="P1366" s="6"/>
      <c r="Q1366" s="6"/>
      <c r="R1366" s="6"/>
      <c r="S1366" s="6"/>
      <c r="T1366" s="6"/>
      <c r="U1366" t="str">
        <f t="shared" si="21"/>
        <v/>
      </c>
    </row>
    <row r="1367" spans="3:21" customFormat="1" hidden="1">
      <c r="C1367" s="6"/>
      <c r="D1367" s="6"/>
      <c r="E1367" s="98"/>
      <c r="F1367" s="3"/>
      <c r="G1367" s="6"/>
      <c r="H1367" s="3"/>
      <c r="I1367" s="6"/>
      <c r="J1367" s="6"/>
      <c r="K1367" s="6"/>
      <c r="L1367" s="6"/>
      <c r="M1367" s="6"/>
      <c r="N1367" s="6"/>
      <c r="O1367" s="3"/>
      <c r="P1367" s="6"/>
      <c r="Q1367" s="6"/>
      <c r="R1367" s="6"/>
      <c r="S1367" s="6"/>
      <c r="T1367" s="6"/>
      <c r="U1367" t="str">
        <f t="shared" si="21"/>
        <v/>
      </c>
    </row>
    <row r="1368" spans="3:21" customFormat="1" hidden="1">
      <c r="C1368" s="6"/>
      <c r="D1368" s="6"/>
      <c r="E1368" s="98"/>
      <c r="F1368" s="3"/>
      <c r="G1368" s="6"/>
      <c r="H1368" s="3"/>
      <c r="I1368" s="6"/>
      <c r="J1368" s="6"/>
      <c r="K1368" s="6"/>
      <c r="L1368" s="6"/>
      <c r="M1368" s="6"/>
      <c r="N1368" s="6"/>
      <c r="O1368" s="3"/>
      <c r="P1368" s="6"/>
      <c r="Q1368" s="6"/>
      <c r="R1368" s="6"/>
      <c r="S1368" s="6"/>
      <c r="T1368" s="6"/>
      <c r="U1368" t="str">
        <f t="shared" si="21"/>
        <v/>
      </c>
    </row>
    <row r="1369" spans="3:21" customFormat="1" hidden="1">
      <c r="C1369" s="6"/>
      <c r="D1369" s="6"/>
      <c r="E1369" s="98"/>
      <c r="F1369" s="3"/>
      <c r="G1369" s="6"/>
      <c r="H1369" s="3"/>
      <c r="I1369" s="6"/>
      <c r="J1369" s="6"/>
      <c r="K1369" s="6"/>
      <c r="L1369" s="6"/>
      <c r="M1369" s="6"/>
      <c r="N1369" s="6"/>
      <c r="O1369" s="3"/>
      <c r="P1369" s="6"/>
      <c r="Q1369" s="6"/>
      <c r="R1369" s="6"/>
      <c r="S1369" s="6"/>
      <c r="T1369" s="6"/>
      <c r="U1369" t="str">
        <f t="shared" si="21"/>
        <v/>
      </c>
    </row>
    <row r="1370" spans="3:21" customFormat="1" hidden="1">
      <c r="C1370" s="6"/>
      <c r="D1370" s="6"/>
      <c r="E1370" s="98"/>
      <c r="F1370" s="3"/>
      <c r="G1370" s="6"/>
      <c r="H1370" s="3"/>
      <c r="I1370" s="6"/>
      <c r="J1370" s="6"/>
      <c r="K1370" s="6"/>
      <c r="L1370" s="6"/>
      <c r="M1370" s="6"/>
      <c r="N1370" s="6"/>
      <c r="O1370" s="3"/>
      <c r="P1370" s="6"/>
      <c r="Q1370" s="6"/>
      <c r="R1370" s="6"/>
      <c r="S1370" s="6"/>
      <c r="T1370" s="6"/>
      <c r="U1370" t="str">
        <f t="shared" si="21"/>
        <v/>
      </c>
    </row>
    <row r="1371" spans="3:21" customFormat="1" hidden="1">
      <c r="C1371" s="6"/>
      <c r="D1371" s="6"/>
      <c r="E1371" s="98"/>
      <c r="F1371" s="3"/>
      <c r="G1371" s="6"/>
      <c r="H1371" s="3"/>
      <c r="I1371" s="6"/>
      <c r="J1371" s="6"/>
      <c r="K1371" s="6"/>
      <c r="L1371" s="6"/>
      <c r="M1371" s="6"/>
      <c r="N1371" s="6"/>
      <c r="O1371" s="3"/>
      <c r="P1371" s="6"/>
      <c r="Q1371" s="6"/>
      <c r="R1371" s="6"/>
      <c r="S1371" s="6"/>
      <c r="T1371" s="6"/>
      <c r="U1371" t="str">
        <f t="shared" si="21"/>
        <v/>
      </c>
    </row>
    <row r="1372" spans="3:21" customFormat="1" hidden="1">
      <c r="C1372" s="6"/>
      <c r="D1372" s="6"/>
      <c r="E1372" s="98"/>
      <c r="F1372" s="3"/>
      <c r="G1372" s="6"/>
      <c r="H1372" s="3"/>
      <c r="I1372" s="6"/>
      <c r="J1372" s="6"/>
      <c r="K1372" s="6"/>
      <c r="L1372" s="6"/>
      <c r="M1372" s="6"/>
      <c r="N1372" s="6"/>
      <c r="O1372" s="3"/>
      <c r="P1372" s="6"/>
      <c r="Q1372" s="6"/>
      <c r="R1372" s="6"/>
      <c r="S1372" s="6"/>
      <c r="T1372" s="6"/>
      <c r="U1372" t="str">
        <f t="shared" si="21"/>
        <v/>
      </c>
    </row>
    <row r="1373" spans="3:21" customFormat="1" hidden="1">
      <c r="C1373" s="6"/>
      <c r="D1373" s="6"/>
      <c r="E1373" s="98"/>
      <c r="F1373" s="3"/>
      <c r="G1373" s="6"/>
      <c r="H1373" s="3"/>
      <c r="I1373" s="6"/>
      <c r="J1373" s="6"/>
      <c r="K1373" s="6"/>
      <c r="L1373" s="6"/>
      <c r="M1373" s="6"/>
      <c r="N1373" s="6"/>
      <c r="O1373" s="3"/>
      <c r="P1373" s="6"/>
      <c r="Q1373" s="6"/>
      <c r="R1373" s="6"/>
      <c r="S1373" s="6"/>
      <c r="T1373" s="6"/>
      <c r="U1373" t="str">
        <f t="shared" si="21"/>
        <v/>
      </c>
    </row>
    <row r="1374" spans="3:21" customFormat="1" hidden="1">
      <c r="C1374" s="6"/>
      <c r="D1374" s="6"/>
      <c r="E1374" s="98"/>
      <c r="F1374" s="3"/>
      <c r="G1374" s="6"/>
      <c r="H1374" s="3"/>
      <c r="I1374" s="6"/>
      <c r="J1374" s="6"/>
      <c r="K1374" s="6"/>
      <c r="L1374" s="6"/>
      <c r="M1374" s="6"/>
      <c r="N1374" s="6"/>
      <c r="O1374" s="3"/>
      <c r="P1374" s="6"/>
      <c r="Q1374" s="6"/>
      <c r="R1374" s="6"/>
      <c r="S1374" s="6"/>
      <c r="T1374" s="6"/>
      <c r="U1374" t="str">
        <f t="shared" si="21"/>
        <v/>
      </c>
    </row>
    <row r="1375" spans="3:21" customFormat="1" hidden="1">
      <c r="C1375" s="6"/>
      <c r="D1375" s="6"/>
      <c r="E1375" s="98"/>
      <c r="F1375" s="3"/>
      <c r="G1375" s="6"/>
      <c r="H1375" s="3"/>
      <c r="I1375" s="6"/>
      <c r="J1375" s="6"/>
      <c r="K1375" s="6"/>
      <c r="L1375" s="6"/>
      <c r="M1375" s="6"/>
      <c r="N1375" s="6"/>
      <c r="O1375" s="3"/>
      <c r="P1375" s="6"/>
      <c r="Q1375" s="6"/>
      <c r="R1375" s="6"/>
      <c r="S1375" s="6"/>
      <c r="T1375" s="6"/>
      <c r="U1375" t="str">
        <f t="shared" si="21"/>
        <v/>
      </c>
    </row>
    <row r="1376" spans="3:21" customFormat="1" hidden="1">
      <c r="C1376" s="6"/>
      <c r="D1376" s="6"/>
      <c r="E1376" s="98"/>
      <c r="F1376" s="3"/>
      <c r="G1376" s="6"/>
      <c r="H1376" s="3"/>
      <c r="I1376" s="6"/>
      <c r="J1376" s="6"/>
      <c r="K1376" s="6"/>
      <c r="L1376" s="6"/>
      <c r="M1376" s="6"/>
      <c r="N1376" s="6"/>
      <c r="O1376" s="3"/>
      <c r="P1376" s="6"/>
      <c r="Q1376" s="6"/>
      <c r="R1376" s="6"/>
      <c r="S1376" s="6"/>
      <c r="T1376" s="6"/>
      <c r="U1376" t="str">
        <f t="shared" si="21"/>
        <v/>
      </c>
    </row>
    <row r="1377" spans="3:21" customFormat="1" hidden="1">
      <c r="C1377" s="6"/>
      <c r="D1377" s="6"/>
      <c r="E1377" s="98"/>
      <c r="F1377" s="3"/>
      <c r="G1377" s="6"/>
      <c r="H1377" s="3"/>
      <c r="I1377" s="6"/>
      <c r="J1377" s="6"/>
      <c r="K1377" s="6"/>
      <c r="L1377" s="6"/>
      <c r="M1377" s="6"/>
      <c r="N1377" s="6"/>
      <c r="O1377" s="3"/>
      <c r="P1377" s="6"/>
      <c r="Q1377" s="6"/>
      <c r="R1377" s="6"/>
      <c r="S1377" s="6"/>
      <c r="T1377" s="6"/>
      <c r="U1377" t="str">
        <f t="shared" si="21"/>
        <v/>
      </c>
    </row>
    <row r="1378" spans="3:21" customFormat="1" hidden="1">
      <c r="C1378" s="6"/>
      <c r="D1378" s="6"/>
      <c r="E1378" s="98"/>
      <c r="F1378" s="3"/>
      <c r="G1378" s="6"/>
      <c r="H1378" s="3"/>
      <c r="I1378" s="6"/>
      <c r="J1378" s="6"/>
      <c r="K1378" s="6"/>
      <c r="L1378" s="6"/>
      <c r="M1378" s="6"/>
      <c r="N1378" s="6"/>
      <c r="O1378" s="3"/>
      <c r="P1378" s="6"/>
      <c r="Q1378" s="6"/>
      <c r="R1378" s="6"/>
      <c r="S1378" s="6"/>
      <c r="T1378" s="6"/>
      <c r="U1378" t="str">
        <f t="shared" si="21"/>
        <v/>
      </c>
    </row>
    <row r="1379" spans="3:21" customFormat="1" hidden="1">
      <c r="C1379" s="6"/>
      <c r="D1379" s="6"/>
      <c r="E1379" s="98"/>
      <c r="F1379" s="3"/>
      <c r="G1379" s="6"/>
      <c r="H1379" s="3"/>
      <c r="I1379" s="6"/>
      <c r="J1379" s="6"/>
      <c r="K1379" s="6"/>
      <c r="L1379" s="6"/>
      <c r="M1379" s="6"/>
      <c r="N1379" s="6"/>
      <c r="O1379" s="3"/>
      <c r="P1379" s="6"/>
      <c r="Q1379" s="6"/>
      <c r="R1379" s="6"/>
      <c r="S1379" s="6"/>
      <c r="T1379" s="6"/>
      <c r="U1379" t="str">
        <f t="shared" si="21"/>
        <v/>
      </c>
    </row>
    <row r="1380" spans="3:21" customFormat="1" hidden="1">
      <c r="C1380" s="6"/>
      <c r="D1380" s="6"/>
      <c r="E1380" s="98"/>
      <c r="F1380" s="3"/>
      <c r="G1380" s="6"/>
      <c r="H1380" s="3"/>
      <c r="I1380" s="6"/>
      <c r="J1380" s="6"/>
      <c r="K1380" s="6"/>
      <c r="L1380" s="6"/>
      <c r="M1380" s="6"/>
      <c r="N1380" s="6"/>
      <c r="O1380" s="3"/>
      <c r="P1380" s="6"/>
      <c r="Q1380" s="6"/>
      <c r="R1380" s="6"/>
      <c r="S1380" s="6"/>
      <c r="T1380" s="6"/>
      <c r="U1380" t="str">
        <f t="shared" si="21"/>
        <v/>
      </c>
    </row>
    <row r="1381" spans="3:21" customFormat="1" hidden="1">
      <c r="C1381" s="6"/>
      <c r="D1381" s="6"/>
      <c r="E1381" s="98"/>
      <c r="F1381" s="3"/>
      <c r="G1381" s="6"/>
      <c r="H1381" s="3"/>
      <c r="I1381" s="6"/>
      <c r="J1381" s="6"/>
      <c r="K1381" s="6"/>
      <c r="L1381" s="6"/>
      <c r="M1381" s="6"/>
      <c r="N1381" s="6"/>
      <c r="O1381" s="3"/>
      <c r="P1381" s="6"/>
      <c r="Q1381" s="6"/>
      <c r="R1381" s="6"/>
      <c r="S1381" s="6"/>
      <c r="T1381" s="6"/>
      <c r="U1381" t="str">
        <f t="shared" si="21"/>
        <v/>
      </c>
    </row>
    <row r="1382" spans="3:21" customFormat="1" hidden="1">
      <c r="C1382" s="6"/>
      <c r="D1382" s="6"/>
      <c r="E1382" s="98"/>
      <c r="F1382" s="3"/>
      <c r="G1382" s="6"/>
      <c r="H1382" s="3"/>
      <c r="I1382" s="6"/>
      <c r="J1382" s="6"/>
      <c r="K1382" s="6"/>
      <c r="L1382" s="6"/>
      <c r="M1382" s="6"/>
      <c r="N1382" s="6"/>
      <c r="O1382" s="3"/>
      <c r="P1382" s="6"/>
      <c r="Q1382" s="6"/>
      <c r="R1382" s="6"/>
      <c r="S1382" s="6"/>
      <c r="T1382" s="6"/>
      <c r="U1382" t="str">
        <f t="shared" si="21"/>
        <v/>
      </c>
    </row>
    <row r="1383" spans="3:21" customFormat="1" hidden="1">
      <c r="C1383" s="6"/>
      <c r="D1383" s="6"/>
      <c r="E1383" s="98"/>
      <c r="F1383" s="3"/>
      <c r="G1383" s="6"/>
      <c r="H1383" s="3"/>
      <c r="I1383" s="6"/>
      <c r="J1383" s="6"/>
      <c r="K1383" s="6"/>
      <c r="L1383" s="6"/>
      <c r="M1383" s="6"/>
      <c r="N1383" s="6"/>
      <c r="O1383" s="3"/>
      <c r="P1383" s="6"/>
      <c r="Q1383" s="6"/>
      <c r="R1383" s="6"/>
      <c r="S1383" s="6"/>
      <c r="T1383" s="6"/>
      <c r="U1383" t="str">
        <f t="shared" si="21"/>
        <v/>
      </c>
    </row>
    <row r="1384" spans="3:21" customFormat="1" hidden="1">
      <c r="C1384" s="6"/>
      <c r="D1384" s="6"/>
      <c r="E1384" s="98"/>
      <c r="F1384" s="3"/>
      <c r="G1384" s="6"/>
      <c r="H1384" s="3"/>
      <c r="I1384" s="6"/>
      <c r="J1384" s="6"/>
      <c r="K1384" s="6"/>
      <c r="L1384" s="6"/>
      <c r="M1384" s="6"/>
      <c r="N1384" s="6"/>
      <c r="O1384" s="3"/>
      <c r="P1384" s="6"/>
      <c r="Q1384" s="6"/>
      <c r="R1384" s="6"/>
      <c r="S1384" s="6"/>
      <c r="T1384" s="6"/>
      <c r="U1384" t="str">
        <f t="shared" si="21"/>
        <v/>
      </c>
    </row>
    <row r="1385" spans="3:21" customFormat="1" hidden="1">
      <c r="C1385" s="6"/>
      <c r="D1385" s="6"/>
      <c r="E1385" s="98"/>
      <c r="F1385" s="3"/>
      <c r="G1385" s="6"/>
      <c r="H1385" s="3"/>
      <c r="I1385" s="6"/>
      <c r="J1385" s="6"/>
      <c r="K1385" s="6"/>
      <c r="L1385" s="6"/>
      <c r="M1385" s="6"/>
      <c r="N1385" s="6"/>
      <c r="O1385" s="3"/>
      <c r="P1385" s="6"/>
      <c r="Q1385" s="6"/>
      <c r="R1385" s="6"/>
      <c r="S1385" s="6"/>
      <c r="T1385" s="6"/>
      <c r="U1385" t="str">
        <f t="shared" si="21"/>
        <v/>
      </c>
    </row>
    <row r="1386" spans="3:21" customFormat="1" hidden="1">
      <c r="C1386" s="6"/>
      <c r="D1386" s="6"/>
      <c r="E1386" s="98"/>
      <c r="F1386" s="3"/>
      <c r="G1386" s="6"/>
      <c r="H1386" s="3"/>
      <c r="I1386" s="6"/>
      <c r="J1386" s="6"/>
      <c r="K1386" s="6"/>
      <c r="L1386" s="6"/>
      <c r="M1386" s="6"/>
      <c r="N1386" s="6"/>
      <c r="O1386" s="3"/>
      <c r="P1386" s="6"/>
      <c r="Q1386" s="6"/>
      <c r="R1386" s="6"/>
      <c r="S1386" s="6"/>
      <c r="T1386" s="6"/>
      <c r="U1386" t="str">
        <f t="shared" si="21"/>
        <v/>
      </c>
    </row>
    <row r="1387" spans="3:21" customFormat="1" hidden="1">
      <c r="C1387" s="6"/>
      <c r="D1387" s="6"/>
      <c r="E1387" s="98"/>
      <c r="F1387" s="3"/>
      <c r="G1387" s="6"/>
      <c r="H1387" s="3"/>
      <c r="I1387" s="6"/>
      <c r="J1387" s="6"/>
      <c r="K1387" s="6"/>
      <c r="L1387" s="6"/>
      <c r="M1387" s="6"/>
      <c r="N1387" s="6"/>
      <c r="O1387" s="3"/>
      <c r="P1387" s="6"/>
      <c r="Q1387" s="6"/>
      <c r="R1387" s="6"/>
      <c r="S1387" s="6"/>
      <c r="T1387" s="6"/>
      <c r="U1387" t="str">
        <f t="shared" si="21"/>
        <v/>
      </c>
    </row>
    <row r="1388" spans="3:21" customFormat="1" hidden="1">
      <c r="C1388" s="6"/>
      <c r="D1388" s="6"/>
      <c r="E1388" s="98"/>
      <c r="F1388" s="3"/>
      <c r="G1388" s="6"/>
      <c r="H1388" s="3"/>
      <c r="I1388" s="6"/>
      <c r="J1388" s="6"/>
      <c r="K1388" s="6"/>
      <c r="L1388" s="6"/>
      <c r="M1388" s="6"/>
      <c r="N1388" s="6"/>
      <c r="O1388" s="3"/>
      <c r="P1388" s="6"/>
      <c r="Q1388" s="6"/>
      <c r="R1388" s="6"/>
      <c r="S1388" s="6"/>
      <c r="T1388" s="6"/>
      <c r="U1388" t="str">
        <f t="shared" si="21"/>
        <v/>
      </c>
    </row>
    <row r="1389" spans="3:21" customFormat="1" hidden="1">
      <c r="C1389" s="6"/>
      <c r="D1389" s="6"/>
      <c r="E1389" s="98"/>
      <c r="F1389" s="3"/>
      <c r="G1389" s="6"/>
      <c r="H1389" s="3"/>
      <c r="I1389" s="6"/>
      <c r="J1389" s="6"/>
      <c r="K1389" s="6"/>
      <c r="L1389" s="6"/>
      <c r="M1389" s="6"/>
      <c r="N1389" s="6"/>
      <c r="O1389" s="3"/>
      <c r="P1389" s="6"/>
      <c r="Q1389" s="6"/>
      <c r="R1389" s="6"/>
      <c r="S1389" s="6"/>
      <c r="T1389" s="6"/>
      <c r="U1389" t="str">
        <f t="shared" si="21"/>
        <v/>
      </c>
    </row>
    <row r="1390" spans="3:21" customFormat="1" hidden="1">
      <c r="C1390" s="6"/>
      <c r="D1390" s="6"/>
      <c r="E1390" s="98"/>
      <c r="F1390" s="3"/>
      <c r="G1390" s="6"/>
      <c r="H1390" s="3"/>
      <c r="I1390" s="6"/>
      <c r="J1390" s="6"/>
      <c r="K1390" s="6"/>
      <c r="L1390" s="6"/>
      <c r="M1390" s="6"/>
      <c r="N1390" s="6"/>
      <c r="O1390" s="3"/>
      <c r="P1390" s="6"/>
      <c r="Q1390" s="6"/>
      <c r="R1390" s="6"/>
      <c r="S1390" s="6"/>
      <c r="T1390" s="6"/>
      <c r="U1390" t="str">
        <f t="shared" si="21"/>
        <v/>
      </c>
    </row>
    <row r="1391" spans="3:21" customFormat="1" hidden="1">
      <c r="C1391" s="6"/>
      <c r="D1391" s="6"/>
      <c r="E1391" s="98"/>
      <c r="F1391" s="3"/>
      <c r="G1391" s="6"/>
      <c r="H1391" s="3"/>
      <c r="I1391" s="6"/>
      <c r="J1391" s="6"/>
      <c r="K1391" s="6"/>
      <c r="L1391" s="6"/>
      <c r="M1391" s="6"/>
      <c r="N1391" s="6"/>
      <c r="O1391" s="3"/>
      <c r="P1391" s="6"/>
      <c r="Q1391" s="6"/>
      <c r="R1391" s="6"/>
      <c r="S1391" s="6"/>
      <c r="T1391" s="6"/>
      <c r="U1391" t="str">
        <f t="shared" si="21"/>
        <v/>
      </c>
    </row>
    <row r="1392" spans="3:21" customFormat="1" hidden="1">
      <c r="C1392" s="6"/>
      <c r="D1392" s="6"/>
      <c r="E1392" s="98"/>
      <c r="F1392" s="3"/>
      <c r="G1392" s="6"/>
      <c r="H1392" s="3"/>
      <c r="I1392" s="6"/>
      <c r="J1392" s="6"/>
      <c r="K1392" s="6"/>
      <c r="L1392" s="6"/>
      <c r="M1392" s="6"/>
      <c r="N1392" s="6"/>
      <c r="O1392" s="3"/>
      <c r="P1392" s="6"/>
      <c r="Q1392" s="6"/>
      <c r="R1392" s="6"/>
      <c r="S1392" s="6"/>
      <c r="T1392" s="6"/>
      <c r="U1392" t="str">
        <f t="shared" si="21"/>
        <v/>
      </c>
    </row>
    <row r="1393" spans="3:21" customFormat="1" hidden="1">
      <c r="C1393" s="6"/>
      <c r="D1393" s="6"/>
      <c r="E1393" s="98"/>
      <c r="F1393" s="3"/>
      <c r="G1393" s="6"/>
      <c r="H1393" s="3"/>
      <c r="I1393" s="6"/>
      <c r="J1393" s="6"/>
      <c r="K1393" s="6"/>
      <c r="L1393" s="6"/>
      <c r="M1393" s="6"/>
      <c r="N1393" s="6"/>
      <c r="O1393" s="3"/>
      <c r="P1393" s="6"/>
      <c r="Q1393" s="6"/>
      <c r="R1393" s="6"/>
      <c r="S1393" s="6"/>
      <c r="T1393" s="6"/>
      <c r="U1393" t="str">
        <f t="shared" si="21"/>
        <v/>
      </c>
    </row>
    <row r="1394" spans="3:21" customFormat="1" hidden="1">
      <c r="C1394" s="6"/>
      <c r="D1394" s="6"/>
      <c r="E1394" s="98"/>
      <c r="F1394" s="3"/>
      <c r="G1394" s="6"/>
      <c r="H1394" s="3"/>
      <c r="I1394" s="6"/>
      <c r="J1394" s="6"/>
      <c r="K1394" s="6"/>
      <c r="L1394" s="6"/>
      <c r="M1394" s="6"/>
      <c r="N1394" s="6"/>
      <c r="O1394" s="3"/>
      <c r="P1394" s="6"/>
      <c r="Q1394" s="6"/>
      <c r="R1394" s="6"/>
      <c r="S1394" s="6"/>
      <c r="T1394" s="6"/>
      <c r="U1394" t="str">
        <f t="shared" si="21"/>
        <v/>
      </c>
    </row>
    <row r="1395" spans="3:21" customFormat="1" hidden="1">
      <c r="C1395" s="6"/>
      <c r="D1395" s="6"/>
      <c r="E1395" s="98"/>
      <c r="F1395" s="3"/>
      <c r="G1395" s="6"/>
      <c r="H1395" s="3"/>
      <c r="I1395" s="6"/>
      <c r="J1395" s="6"/>
      <c r="K1395" s="6"/>
      <c r="L1395" s="6"/>
      <c r="M1395" s="6"/>
      <c r="N1395" s="6"/>
      <c r="O1395" s="3"/>
      <c r="P1395" s="6"/>
      <c r="Q1395" s="6"/>
      <c r="R1395" s="6"/>
      <c r="S1395" s="6"/>
      <c r="T1395" s="6"/>
      <c r="U1395" t="str">
        <f t="shared" si="21"/>
        <v/>
      </c>
    </row>
    <row r="1396" spans="3:21" customFormat="1" hidden="1">
      <c r="C1396" s="6"/>
      <c r="D1396" s="6"/>
      <c r="E1396" s="98"/>
      <c r="F1396" s="3"/>
      <c r="G1396" s="6"/>
      <c r="H1396" s="3"/>
      <c r="I1396" s="6"/>
      <c r="J1396" s="6"/>
      <c r="K1396" s="6"/>
      <c r="L1396" s="6"/>
      <c r="M1396" s="6"/>
      <c r="N1396" s="6"/>
      <c r="O1396" s="3"/>
      <c r="P1396" s="6"/>
      <c r="Q1396" s="6"/>
      <c r="R1396" s="6"/>
      <c r="S1396" s="6"/>
      <c r="T1396" s="6"/>
      <c r="U1396" t="str">
        <f t="shared" si="21"/>
        <v/>
      </c>
    </row>
    <row r="1397" spans="3:21" customFormat="1" hidden="1">
      <c r="C1397" s="6"/>
      <c r="D1397" s="6"/>
      <c r="E1397" s="98"/>
      <c r="F1397" s="3"/>
      <c r="G1397" s="6"/>
      <c r="H1397" s="3"/>
      <c r="I1397" s="6"/>
      <c r="J1397" s="6"/>
      <c r="K1397" s="6"/>
      <c r="L1397" s="6"/>
      <c r="M1397" s="6"/>
      <c r="N1397" s="6"/>
      <c r="O1397" s="3"/>
      <c r="P1397" s="6"/>
      <c r="Q1397" s="6"/>
      <c r="R1397" s="6"/>
      <c r="S1397" s="6"/>
      <c r="T1397" s="6"/>
      <c r="U1397" t="str">
        <f t="shared" si="21"/>
        <v/>
      </c>
    </row>
    <row r="1398" spans="3:21" customFormat="1" hidden="1">
      <c r="C1398" s="6"/>
      <c r="D1398" s="6"/>
      <c r="E1398" s="98"/>
      <c r="F1398" s="3"/>
      <c r="G1398" s="6"/>
      <c r="H1398" s="3"/>
      <c r="I1398" s="6"/>
      <c r="J1398" s="6"/>
      <c r="K1398" s="6"/>
      <c r="L1398" s="6"/>
      <c r="M1398" s="6"/>
      <c r="N1398" s="6"/>
      <c r="O1398" s="3"/>
      <c r="P1398" s="6"/>
      <c r="Q1398" s="6"/>
      <c r="R1398" s="6"/>
      <c r="S1398" s="6"/>
      <c r="T1398" s="6"/>
      <c r="U1398" t="str">
        <f t="shared" si="21"/>
        <v/>
      </c>
    </row>
    <row r="1399" spans="3:21" customFormat="1" hidden="1">
      <c r="C1399" s="6"/>
      <c r="D1399" s="6"/>
      <c r="E1399" s="98"/>
      <c r="F1399" s="3"/>
      <c r="G1399" s="6"/>
      <c r="H1399" s="3"/>
      <c r="I1399" s="6"/>
      <c r="J1399" s="6"/>
      <c r="K1399" s="6"/>
      <c r="L1399" s="6"/>
      <c r="M1399" s="6"/>
      <c r="N1399" s="6"/>
      <c r="O1399" s="3"/>
      <c r="P1399" s="6"/>
      <c r="Q1399" s="6"/>
      <c r="R1399" s="6"/>
      <c r="S1399" s="6"/>
      <c r="T1399" s="6"/>
      <c r="U1399" t="str">
        <f t="shared" si="21"/>
        <v/>
      </c>
    </row>
    <row r="1400" spans="3:21" customFormat="1" hidden="1">
      <c r="C1400" s="6"/>
      <c r="D1400" s="6"/>
      <c r="E1400" s="98"/>
      <c r="F1400" s="3"/>
      <c r="G1400" s="6"/>
      <c r="H1400" s="3"/>
      <c r="I1400" s="6"/>
      <c r="J1400" s="6"/>
      <c r="K1400" s="6"/>
      <c r="L1400" s="6"/>
      <c r="M1400" s="6"/>
      <c r="N1400" s="6"/>
      <c r="O1400" s="3"/>
      <c r="P1400" s="6"/>
      <c r="Q1400" s="6"/>
      <c r="R1400" s="6"/>
      <c r="S1400" s="6"/>
      <c r="T1400" s="6"/>
      <c r="U1400" t="str">
        <f t="shared" si="21"/>
        <v/>
      </c>
    </row>
    <row r="1401" spans="3:21" customFormat="1" hidden="1">
      <c r="C1401" s="6"/>
      <c r="D1401" s="6"/>
      <c r="E1401" s="98"/>
      <c r="F1401" s="3"/>
      <c r="G1401" s="6"/>
      <c r="H1401" s="3"/>
      <c r="I1401" s="6"/>
      <c r="J1401" s="6"/>
      <c r="K1401" s="6"/>
      <c r="L1401" s="6"/>
      <c r="M1401" s="6"/>
      <c r="N1401" s="6"/>
      <c r="O1401" s="3"/>
      <c r="P1401" s="6"/>
      <c r="Q1401" s="6"/>
      <c r="R1401" s="6"/>
      <c r="S1401" s="6"/>
      <c r="T1401" s="6"/>
      <c r="U1401" t="str">
        <f t="shared" si="21"/>
        <v/>
      </c>
    </row>
    <row r="1402" spans="3:21" customFormat="1" hidden="1">
      <c r="C1402" s="6"/>
      <c r="D1402" s="6"/>
      <c r="E1402" s="98"/>
      <c r="F1402" s="3"/>
      <c r="G1402" s="6"/>
      <c r="H1402" s="3"/>
      <c r="I1402" s="6"/>
      <c r="J1402" s="6"/>
      <c r="K1402" s="6"/>
      <c r="L1402" s="6"/>
      <c r="M1402" s="6"/>
      <c r="N1402" s="6"/>
      <c r="O1402" s="3"/>
      <c r="P1402" s="6"/>
      <c r="Q1402" s="6"/>
      <c r="R1402" s="6"/>
      <c r="S1402" s="6"/>
      <c r="T1402" s="6"/>
      <c r="U1402" t="str">
        <f t="shared" si="21"/>
        <v/>
      </c>
    </row>
    <row r="1403" spans="3:21" customFormat="1" hidden="1">
      <c r="C1403" s="6"/>
      <c r="D1403" s="6"/>
      <c r="E1403" s="98"/>
      <c r="F1403" s="3"/>
      <c r="G1403" s="6"/>
      <c r="H1403" s="3"/>
      <c r="I1403" s="6"/>
      <c r="J1403" s="6"/>
      <c r="K1403" s="6"/>
      <c r="L1403" s="6"/>
      <c r="M1403" s="6"/>
      <c r="N1403" s="6"/>
      <c r="O1403" s="3"/>
      <c r="P1403" s="6"/>
      <c r="Q1403" s="6"/>
      <c r="R1403" s="6"/>
      <c r="S1403" s="6"/>
      <c r="T1403" s="6"/>
      <c r="U1403" t="str">
        <f t="shared" si="21"/>
        <v/>
      </c>
    </row>
    <row r="1404" spans="3:21" customFormat="1" hidden="1">
      <c r="C1404" s="6"/>
      <c r="D1404" s="6"/>
      <c r="E1404" s="98"/>
      <c r="F1404" s="3"/>
      <c r="G1404" s="6"/>
      <c r="H1404" s="3"/>
      <c r="I1404" s="6"/>
      <c r="J1404" s="6"/>
      <c r="K1404" s="6"/>
      <c r="L1404" s="6"/>
      <c r="M1404" s="6"/>
      <c r="N1404" s="6"/>
      <c r="O1404" s="3"/>
      <c r="P1404" s="6"/>
      <c r="Q1404" s="6"/>
      <c r="R1404" s="6"/>
      <c r="S1404" s="6"/>
      <c r="T1404" s="6"/>
      <c r="U1404" t="str">
        <f t="shared" si="21"/>
        <v/>
      </c>
    </row>
    <row r="1405" spans="3:21" customFormat="1" hidden="1">
      <c r="C1405" s="6"/>
      <c r="D1405" s="6"/>
      <c r="E1405" s="98"/>
      <c r="F1405" s="3"/>
      <c r="G1405" s="6"/>
      <c r="H1405" s="3"/>
      <c r="I1405" s="6"/>
      <c r="J1405" s="6"/>
      <c r="K1405" s="6"/>
      <c r="L1405" s="6"/>
      <c r="M1405" s="6"/>
      <c r="N1405" s="6"/>
      <c r="O1405" s="3"/>
      <c r="P1405" s="6"/>
      <c r="Q1405" s="6"/>
      <c r="R1405" s="6"/>
      <c r="S1405" s="6"/>
      <c r="T1405" s="6"/>
      <c r="U1405" t="str">
        <f t="shared" si="21"/>
        <v/>
      </c>
    </row>
    <row r="1406" spans="3:21" customFormat="1" hidden="1">
      <c r="C1406" s="6"/>
      <c r="D1406" s="6"/>
      <c r="E1406" s="98"/>
      <c r="F1406" s="3"/>
      <c r="G1406" s="6"/>
      <c r="H1406" s="3"/>
      <c r="I1406" s="6"/>
      <c r="J1406" s="6"/>
      <c r="K1406" s="6"/>
      <c r="L1406" s="6"/>
      <c r="M1406" s="6"/>
      <c r="N1406" s="6"/>
      <c r="O1406" s="3"/>
      <c r="P1406" s="6"/>
      <c r="Q1406" s="6"/>
      <c r="R1406" s="6"/>
      <c r="S1406" s="6"/>
      <c r="T1406" s="6"/>
      <c r="U1406" t="str">
        <f t="shared" si="21"/>
        <v/>
      </c>
    </row>
    <row r="1407" spans="3:21" customFormat="1" hidden="1">
      <c r="C1407" s="6"/>
      <c r="D1407" s="6"/>
      <c r="E1407" s="98"/>
      <c r="F1407" s="3"/>
      <c r="G1407" s="6"/>
      <c r="H1407" s="3"/>
      <c r="I1407" s="6"/>
      <c r="J1407" s="6"/>
      <c r="K1407" s="6"/>
      <c r="L1407" s="6"/>
      <c r="M1407" s="6"/>
      <c r="N1407" s="6"/>
      <c r="O1407" s="3"/>
      <c r="P1407" s="6"/>
      <c r="Q1407" s="6"/>
      <c r="R1407" s="6"/>
      <c r="S1407" s="6"/>
      <c r="T1407" s="6"/>
      <c r="U1407" t="str">
        <f t="shared" si="21"/>
        <v/>
      </c>
    </row>
    <row r="1408" spans="3:21" customFormat="1" hidden="1">
      <c r="C1408" s="6"/>
      <c r="D1408" s="6"/>
      <c r="E1408" s="98"/>
      <c r="F1408" s="3"/>
      <c r="G1408" s="6"/>
      <c r="H1408" s="3"/>
      <c r="I1408" s="6"/>
      <c r="J1408" s="6"/>
      <c r="K1408" s="6"/>
      <c r="L1408" s="6"/>
      <c r="M1408" s="6"/>
      <c r="N1408" s="6"/>
      <c r="O1408" s="3"/>
      <c r="P1408" s="6"/>
      <c r="Q1408" s="6"/>
      <c r="R1408" s="6"/>
      <c r="S1408" s="6"/>
      <c r="T1408" s="6"/>
      <c r="U1408" t="str">
        <f t="shared" si="21"/>
        <v/>
      </c>
    </row>
    <row r="1409" spans="3:21" customFormat="1" hidden="1">
      <c r="C1409" s="6"/>
      <c r="D1409" s="6"/>
      <c r="E1409" s="98"/>
      <c r="F1409" s="3"/>
      <c r="G1409" s="6"/>
      <c r="H1409" s="3"/>
      <c r="I1409" s="6"/>
      <c r="J1409" s="6"/>
      <c r="K1409" s="6"/>
      <c r="L1409" s="6"/>
      <c r="M1409" s="6"/>
      <c r="N1409" s="6"/>
      <c r="O1409" s="3"/>
      <c r="P1409" s="6"/>
      <c r="Q1409" s="6"/>
      <c r="R1409" s="6"/>
      <c r="S1409" s="6"/>
      <c r="T1409" s="6"/>
      <c r="U1409" t="str">
        <f t="shared" si="21"/>
        <v/>
      </c>
    </row>
    <row r="1410" spans="3:21" customFormat="1" hidden="1">
      <c r="C1410" s="6"/>
      <c r="D1410" s="6"/>
      <c r="E1410" s="98"/>
      <c r="F1410" s="3"/>
      <c r="G1410" s="6"/>
      <c r="H1410" s="3"/>
      <c r="I1410" s="6"/>
      <c r="J1410" s="6"/>
      <c r="K1410" s="6"/>
      <c r="L1410" s="6"/>
      <c r="M1410" s="6"/>
      <c r="N1410" s="6"/>
      <c r="O1410" s="3"/>
      <c r="P1410" s="6"/>
      <c r="Q1410" s="6"/>
      <c r="R1410" s="6"/>
      <c r="S1410" s="6"/>
      <c r="T1410" s="6"/>
      <c r="U1410" t="str">
        <f t="shared" si="21"/>
        <v/>
      </c>
    </row>
    <row r="1411" spans="3:21" customFormat="1" hidden="1">
      <c r="C1411" s="6"/>
      <c r="D1411" s="6"/>
      <c r="E1411" s="98"/>
      <c r="F1411" s="3"/>
      <c r="G1411" s="6"/>
      <c r="H1411" s="3"/>
      <c r="I1411" s="6"/>
      <c r="J1411" s="6"/>
      <c r="K1411" s="6"/>
      <c r="L1411" s="6"/>
      <c r="M1411" s="6"/>
      <c r="N1411" s="6"/>
      <c r="O1411" s="3"/>
      <c r="P1411" s="6"/>
      <c r="Q1411" s="6"/>
      <c r="R1411" s="6"/>
      <c r="S1411" s="6"/>
      <c r="T1411" s="6"/>
      <c r="U1411" t="str">
        <f t="shared" si="21"/>
        <v/>
      </c>
    </row>
    <row r="1412" spans="3:21" customFormat="1" hidden="1">
      <c r="C1412" s="6"/>
      <c r="D1412" s="6"/>
      <c r="E1412" s="98"/>
      <c r="F1412" s="3"/>
      <c r="G1412" s="6"/>
      <c r="H1412" s="3"/>
      <c r="I1412" s="6"/>
      <c r="J1412" s="6"/>
      <c r="K1412" s="6"/>
      <c r="L1412" s="6"/>
      <c r="M1412" s="6"/>
      <c r="N1412" s="6"/>
      <c r="O1412" s="3"/>
      <c r="P1412" s="6"/>
      <c r="Q1412" s="6"/>
      <c r="R1412" s="6"/>
      <c r="S1412" s="6"/>
      <c r="T1412" s="6"/>
      <c r="U1412" t="str">
        <f t="shared" si="21"/>
        <v/>
      </c>
    </row>
    <row r="1413" spans="3:21" customFormat="1" hidden="1">
      <c r="C1413" s="6"/>
      <c r="D1413" s="6"/>
      <c r="E1413" s="98"/>
      <c r="F1413" s="3"/>
      <c r="G1413" s="6"/>
      <c r="H1413" s="3"/>
      <c r="I1413" s="6"/>
      <c r="J1413" s="6"/>
      <c r="K1413" s="6"/>
      <c r="L1413" s="6"/>
      <c r="M1413" s="6"/>
      <c r="N1413" s="6"/>
      <c r="O1413" s="3"/>
      <c r="P1413" s="6"/>
      <c r="Q1413" s="6"/>
      <c r="R1413" s="6"/>
      <c r="S1413" s="6"/>
      <c r="T1413" s="6"/>
      <c r="U1413" t="str">
        <f t="shared" si="21"/>
        <v/>
      </c>
    </row>
    <row r="1414" spans="3:21" customFormat="1" hidden="1">
      <c r="C1414" s="6"/>
      <c r="D1414" s="6"/>
      <c r="E1414" s="98"/>
      <c r="F1414" s="3"/>
      <c r="G1414" s="6"/>
      <c r="H1414" s="3"/>
      <c r="I1414" s="6"/>
      <c r="J1414" s="6"/>
      <c r="K1414" s="6"/>
      <c r="L1414" s="6"/>
      <c r="M1414" s="6"/>
      <c r="N1414" s="6"/>
      <c r="O1414" s="3"/>
      <c r="P1414" s="6"/>
      <c r="Q1414" s="6"/>
      <c r="R1414" s="6"/>
      <c r="S1414" s="6"/>
      <c r="T1414" s="6"/>
      <c r="U1414" t="str">
        <f t="shared" si="21"/>
        <v/>
      </c>
    </row>
    <row r="1415" spans="3:21" customFormat="1" hidden="1">
      <c r="C1415" s="6"/>
      <c r="D1415" s="6"/>
      <c r="E1415" s="98"/>
      <c r="F1415" s="3"/>
      <c r="G1415" s="6"/>
      <c r="H1415" s="3"/>
      <c r="I1415" s="6"/>
      <c r="J1415" s="6"/>
      <c r="K1415" s="6"/>
      <c r="L1415" s="6"/>
      <c r="M1415" s="6"/>
      <c r="N1415" s="6"/>
      <c r="O1415" s="3"/>
      <c r="P1415" s="6"/>
      <c r="Q1415" s="6"/>
      <c r="R1415" s="6"/>
      <c r="S1415" s="6"/>
      <c r="T1415" s="6"/>
      <c r="U1415" t="str">
        <f t="shared" ref="U1415:U1478" si="22">IF(D1415="","","x")</f>
        <v/>
      </c>
    </row>
    <row r="1416" spans="3:21" customFormat="1" hidden="1">
      <c r="C1416" s="6"/>
      <c r="D1416" s="6"/>
      <c r="E1416" s="98"/>
      <c r="F1416" s="3"/>
      <c r="G1416" s="6"/>
      <c r="H1416" s="3"/>
      <c r="I1416" s="6"/>
      <c r="J1416" s="6"/>
      <c r="K1416" s="6"/>
      <c r="L1416" s="6"/>
      <c r="M1416" s="6"/>
      <c r="N1416" s="6"/>
      <c r="O1416" s="3"/>
      <c r="P1416" s="6"/>
      <c r="Q1416" s="6"/>
      <c r="R1416" s="6"/>
      <c r="S1416" s="6"/>
      <c r="T1416" s="6"/>
      <c r="U1416" t="str">
        <f t="shared" si="22"/>
        <v/>
      </c>
    </row>
    <row r="1417" spans="3:21" customFormat="1" hidden="1">
      <c r="C1417" s="6"/>
      <c r="D1417" s="6"/>
      <c r="E1417" s="98"/>
      <c r="F1417" s="3"/>
      <c r="G1417" s="6"/>
      <c r="H1417" s="3"/>
      <c r="I1417" s="6"/>
      <c r="J1417" s="6"/>
      <c r="K1417" s="6"/>
      <c r="L1417" s="6"/>
      <c r="M1417" s="6"/>
      <c r="N1417" s="6"/>
      <c r="O1417" s="3"/>
      <c r="P1417" s="6"/>
      <c r="Q1417" s="6"/>
      <c r="R1417" s="6"/>
      <c r="S1417" s="6"/>
      <c r="T1417" s="6"/>
      <c r="U1417" t="str">
        <f t="shared" si="22"/>
        <v/>
      </c>
    </row>
    <row r="1418" spans="3:21" customFormat="1" hidden="1">
      <c r="C1418" s="6"/>
      <c r="D1418" s="6"/>
      <c r="E1418" s="98"/>
      <c r="F1418" s="3"/>
      <c r="G1418" s="6"/>
      <c r="H1418" s="3"/>
      <c r="I1418" s="6"/>
      <c r="J1418" s="6"/>
      <c r="K1418" s="6"/>
      <c r="L1418" s="6"/>
      <c r="M1418" s="6"/>
      <c r="N1418" s="6"/>
      <c r="O1418" s="3"/>
      <c r="P1418" s="6"/>
      <c r="Q1418" s="6"/>
      <c r="R1418" s="6"/>
      <c r="S1418" s="6"/>
      <c r="T1418" s="6"/>
      <c r="U1418" t="str">
        <f t="shared" si="22"/>
        <v/>
      </c>
    </row>
    <row r="1419" spans="3:21" customFormat="1" hidden="1">
      <c r="C1419" s="6"/>
      <c r="D1419" s="6"/>
      <c r="E1419" s="98"/>
      <c r="F1419" s="3"/>
      <c r="G1419" s="6"/>
      <c r="H1419" s="3"/>
      <c r="I1419" s="6"/>
      <c r="J1419" s="6"/>
      <c r="K1419" s="6"/>
      <c r="L1419" s="6"/>
      <c r="M1419" s="6"/>
      <c r="N1419" s="6"/>
      <c r="O1419" s="3"/>
      <c r="P1419" s="6"/>
      <c r="Q1419" s="6"/>
      <c r="R1419" s="6"/>
      <c r="S1419" s="6"/>
      <c r="T1419" s="6"/>
      <c r="U1419" t="str">
        <f t="shared" si="22"/>
        <v/>
      </c>
    </row>
    <row r="1420" spans="3:21" customFormat="1" hidden="1">
      <c r="C1420" s="6"/>
      <c r="D1420" s="6"/>
      <c r="E1420" s="98"/>
      <c r="F1420" s="3"/>
      <c r="G1420" s="6"/>
      <c r="H1420" s="3"/>
      <c r="I1420" s="6"/>
      <c r="J1420" s="6"/>
      <c r="K1420" s="6"/>
      <c r="L1420" s="6"/>
      <c r="M1420" s="6"/>
      <c r="N1420" s="6"/>
      <c r="O1420" s="3"/>
      <c r="P1420" s="6"/>
      <c r="Q1420" s="6"/>
      <c r="R1420" s="6"/>
      <c r="S1420" s="6"/>
      <c r="T1420" s="6"/>
      <c r="U1420" t="str">
        <f t="shared" si="22"/>
        <v/>
      </c>
    </row>
    <row r="1421" spans="3:21" customFormat="1" hidden="1">
      <c r="C1421" s="6"/>
      <c r="D1421" s="6"/>
      <c r="E1421" s="98"/>
      <c r="F1421" s="3"/>
      <c r="G1421" s="6"/>
      <c r="H1421" s="3"/>
      <c r="I1421" s="6"/>
      <c r="J1421" s="6"/>
      <c r="K1421" s="6"/>
      <c r="L1421" s="6"/>
      <c r="M1421" s="6"/>
      <c r="N1421" s="6"/>
      <c r="O1421" s="3"/>
      <c r="P1421" s="6"/>
      <c r="Q1421" s="6"/>
      <c r="R1421" s="6"/>
      <c r="S1421" s="6"/>
      <c r="T1421" s="6"/>
      <c r="U1421" t="str">
        <f t="shared" si="22"/>
        <v/>
      </c>
    </row>
    <row r="1422" spans="3:21" customFormat="1" hidden="1">
      <c r="C1422" s="6"/>
      <c r="D1422" s="6"/>
      <c r="E1422" s="98"/>
      <c r="F1422" s="3"/>
      <c r="G1422" s="6"/>
      <c r="H1422" s="3"/>
      <c r="I1422" s="6"/>
      <c r="J1422" s="6"/>
      <c r="K1422" s="6"/>
      <c r="L1422" s="6"/>
      <c r="M1422" s="6"/>
      <c r="N1422" s="6"/>
      <c r="O1422" s="3"/>
      <c r="P1422" s="6"/>
      <c r="Q1422" s="6"/>
      <c r="R1422" s="6"/>
      <c r="S1422" s="6"/>
      <c r="T1422" s="6"/>
      <c r="U1422" t="str">
        <f t="shared" si="22"/>
        <v/>
      </c>
    </row>
    <row r="1423" spans="3:21" customFormat="1" hidden="1">
      <c r="C1423" s="6"/>
      <c r="D1423" s="6"/>
      <c r="E1423" s="98"/>
      <c r="F1423" s="3"/>
      <c r="G1423" s="6"/>
      <c r="H1423" s="3"/>
      <c r="I1423" s="6"/>
      <c r="J1423" s="6"/>
      <c r="K1423" s="6"/>
      <c r="L1423" s="6"/>
      <c r="M1423" s="6"/>
      <c r="N1423" s="6"/>
      <c r="O1423" s="3"/>
      <c r="P1423" s="6"/>
      <c r="Q1423" s="6"/>
      <c r="R1423" s="6"/>
      <c r="S1423" s="6"/>
      <c r="T1423" s="6"/>
      <c r="U1423" t="str">
        <f t="shared" si="22"/>
        <v/>
      </c>
    </row>
    <row r="1424" spans="3:21" customFormat="1" hidden="1">
      <c r="C1424" s="6"/>
      <c r="D1424" s="6"/>
      <c r="E1424" s="98"/>
      <c r="F1424" s="3"/>
      <c r="G1424" s="6"/>
      <c r="H1424" s="3"/>
      <c r="I1424" s="6"/>
      <c r="J1424" s="6"/>
      <c r="K1424" s="6"/>
      <c r="L1424" s="6"/>
      <c r="M1424" s="6"/>
      <c r="N1424" s="6"/>
      <c r="O1424" s="3"/>
      <c r="P1424" s="6"/>
      <c r="Q1424" s="6"/>
      <c r="R1424" s="6"/>
      <c r="S1424" s="6"/>
      <c r="T1424" s="6"/>
      <c r="U1424" t="str">
        <f t="shared" si="22"/>
        <v/>
      </c>
    </row>
    <row r="1425" spans="3:21" customFormat="1" hidden="1">
      <c r="C1425" s="6"/>
      <c r="D1425" s="6"/>
      <c r="E1425" s="98"/>
      <c r="F1425" s="3"/>
      <c r="G1425" s="6"/>
      <c r="H1425" s="3"/>
      <c r="I1425" s="6"/>
      <c r="J1425" s="6"/>
      <c r="K1425" s="6"/>
      <c r="L1425" s="6"/>
      <c r="M1425" s="6"/>
      <c r="N1425" s="6"/>
      <c r="O1425" s="3"/>
      <c r="P1425" s="6"/>
      <c r="Q1425" s="6"/>
      <c r="R1425" s="6"/>
      <c r="S1425" s="6"/>
      <c r="T1425" s="6"/>
      <c r="U1425" t="str">
        <f t="shared" si="22"/>
        <v/>
      </c>
    </row>
    <row r="1426" spans="3:21" customFormat="1" hidden="1">
      <c r="C1426" s="6"/>
      <c r="D1426" s="6"/>
      <c r="E1426" s="98"/>
      <c r="F1426" s="3"/>
      <c r="G1426" s="6"/>
      <c r="H1426" s="3"/>
      <c r="I1426" s="6"/>
      <c r="J1426" s="6"/>
      <c r="K1426" s="6"/>
      <c r="L1426" s="6"/>
      <c r="M1426" s="6"/>
      <c r="N1426" s="6"/>
      <c r="O1426" s="3"/>
      <c r="P1426" s="6"/>
      <c r="Q1426" s="6"/>
      <c r="R1426" s="6"/>
      <c r="S1426" s="6"/>
      <c r="T1426" s="6"/>
      <c r="U1426" t="str">
        <f t="shared" si="22"/>
        <v/>
      </c>
    </row>
    <row r="1427" spans="3:21" customFormat="1" hidden="1">
      <c r="C1427" s="6"/>
      <c r="D1427" s="6"/>
      <c r="E1427" s="98"/>
      <c r="F1427" s="3"/>
      <c r="G1427" s="6"/>
      <c r="H1427" s="3"/>
      <c r="I1427" s="6"/>
      <c r="J1427" s="6"/>
      <c r="K1427" s="6"/>
      <c r="L1427" s="6"/>
      <c r="M1427" s="6"/>
      <c r="N1427" s="6"/>
      <c r="O1427" s="3"/>
      <c r="P1427" s="6"/>
      <c r="Q1427" s="6"/>
      <c r="R1427" s="6"/>
      <c r="S1427" s="6"/>
      <c r="T1427" s="6"/>
      <c r="U1427" t="str">
        <f t="shared" si="22"/>
        <v/>
      </c>
    </row>
    <row r="1428" spans="3:21" customFormat="1" hidden="1">
      <c r="C1428" s="6"/>
      <c r="D1428" s="6"/>
      <c r="E1428" s="98"/>
      <c r="F1428" s="3"/>
      <c r="G1428" s="6"/>
      <c r="H1428" s="3"/>
      <c r="I1428" s="6"/>
      <c r="J1428" s="6"/>
      <c r="K1428" s="6"/>
      <c r="L1428" s="6"/>
      <c r="M1428" s="6"/>
      <c r="N1428" s="6"/>
      <c r="O1428" s="3"/>
      <c r="P1428" s="6"/>
      <c r="Q1428" s="6"/>
      <c r="R1428" s="6"/>
      <c r="S1428" s="6"/>
      <c r="T1428" s="6"/>
      <c r="U1428" t="str">
        <f t="shared" si="22"/>
        <v/>
      </c>
    </row>
    <row r="1429" spans="3:21" customFormat="1" hidden="1">
      <c r="C1429" s="6"/>
      <c r="D1429" s="6"/>
      <c r="E1429" s="98"/>
      <c r="F1429" s="3"/>
      <c r="G1429" s="6"/>
      <c r="H1429" s="3"/>
      <c r="I1429" s="6"/>
      <c r="J1429" s="6"/>
      <c r="K1429" s="6"/>
      <c r="L1429" s="6"/>
      <c r="M1429" s="6"/>
      <c r="N1429" s="6"/>
      <c r="O1429" s="3"/>
      <c r="P1429" s="6"/>
      <c r="Q1429" s="6"/>
      <c r="R1429" s="6"/>
      <c r="S1429" s="6"/>
      <c r="T1429" s="6"/>
      <c r="U1429" t="str">
        <f t="shared" si="22"/>
        <v/>
      </c>
    </row>
    <row r="1430" spans="3:21" customFormat="1" hidden="1">
      <c r="C1430" s="6"/>
      <c r="D1430" s="6"/>
      <c r="E1430" s="98"/>
      <c r="F1430" s="3"/>
      <c r="G1430" s="6"/>
      <c r="H1430" s="3"/>
      <c r="I1430" s="6"/>
      <c r="J1430" s="6"/>
      <c r="K1430" s="6"/>
      <c r="L1430" s="6"/>
      <c r="M1430" s="6"/>
      <c r="N1430" s="6"/>
      <c r="O1430" s="3"/>
      <c r="P1430" s="6"/>
      <c r="Q1430" s="6"/>
      <c r="R1430" s="6"/>
      <c r="S1430" s="6"/>
      <c r="T1430" s="6"/>
      <c r="U1430" t="str">
        <f t="shared" si="22"/>
        <v/>
      </c>
    </row>
    <row r="1431" spans="3:21" customFormat="1" hidden="1">
      <c r="C1431" s="6"/>
      <c r="D1431" s="6"/>
      <c r="E1431" s="98"/>
      <c r="F1431" s="3"/>
      <c r="G1431" s="6"/>
      <c r="H1431" s="3"/>
      <c r="I1431" s="6"/>
      <c r="J1431" s="6"/>
      <c r="K1431" s="6"/>
      <c r="L1431" s="6"/>
      <c r="M1431" s="6"/>
      <c r="N1431" s="6"/>
      <c r="O1431" s="3"/>
      <c r="P1431" s="6"/>
      <c r="Q1431" s="6"/>
      <c r="R1431" s="6"/>
      <c r="S1431" s="6"/>
      <c r="T1431" s="6"/>
      <c r="U1431" t="str">
        <f t="shared" si="22"/>
        <v/>
      </c>
    </row>
    <row r="1432" spans="3:21" customFormat="1" hidden="1">
      <c r="C1432" s="6"/>
      <c r="D1432" s="6"/>
      <c r="E1432" s="98"/>
      <c r="F1432" s="3"/>
      <c r="G1432" s="6"/>
      <c r="H1432" s="3"/>
      <c r="I1432" s="6"/>
      <c r="J1432" s="6"/>
      <c r="K1432" s="6"/>
      <c r="L1432" s="6"/>
      <c r="M1432" s="6"/>
      <c r="N1432" s="6"/>
      <c r="O1432" s="3"/>
      <c r="P1432" s="6"/>
      <c r="Q1432" s="6"/>
      <c r="R1432" s="6"/>
      <c r="S1432" s="6"/>
      <c r="T1432" s="6"/>
      <c r="U1432" t="str">
        <f t="shared" si="22"/>
        <v/>
      </c>
    </row>
    <row r="1433" spans="3:21" customFormat="1" hidden="1">
      <c r="C1433" s="6"/>
      <c r="D1433" s="6"/>
      <c r="E1433" s="98"/>
      <c r="F1433" s="3"/>
      <c r="G1433" s="6"/>
      <c r="H1433" s="3"/>
      <c r="I1433" s="6"/>
      <c r="J1433" s="6"/>
      <c r="K1433" s="6"/>
      <c r="L1433" s="6"/>
      <c r="M1433" s="6"/>
      <c r="N1433" s="6"/>
      <c r="O1433" s="3"/>
      <c r="P1433" s="6"/>
      <c r="Q1433" s="6"/>
      <c r="R1433" s="6"/>
      <c r="S1433" s="6"/>
      <c r="T1433" s="6"/>
      <c r="U1433" t="str">
        <f t="shared" si="22"/>
        <v/>
      </c>
    </row>
    <row r="1434" spans="3:21" customFormat="1" hidden="1">
      <c r="C1434" s="6"/>
      <c r="D1434" s="6"/>
      <c r="E1434" s="98"/>
      <c r="F1434" s="3"/>
      <c r="G1434" s="6"/>
      <c r="H1434" s="3"/>
      <c r="I1434" s="6"/>
      <c r="J1434" s="6"/>
      <c r="K1434" s="6"/>
      <c r="L1434" s="6"/>
      <c r="M1434" s="6"/>
      <c r="N1434" s="6"/>
      <c r="O1434" s="3"/>
      <c r="P1434" s="6"/>
      <c r="Q1434" s="6"/>
      <c r="R1434" s="6"/>
      <c r="S1434" s="6"/>
      <c r="T1434" s="6"/>
      <c r="U1434" t="str">
        <f t="shared" si="22"/>
        <v/>
      </c>
    </row>
    <row r="1435" spans="3:21" customFormat="1" hidden="1">
      <c r="C1435" s="6"/>
      <c r="D1435" s="6"/>
      <c r="E1435" s="98"/>
      <c r="F1435" s="3"/>
      <c r="G1435" s="6"/>
      <c r="H1435" s="3"/>
      <c r="I1435" s="6"/>
      <c r="J1435" s="6"/>
      <c r="K1435" s="6"/>
      <c r="L1435" s="6"/>
      <c r="M1435" s="6"/>
      <c r="N1435" s="6"/>
      <c r="O1435" s="3"/>
      <c r="P1435" s="6"/>
      <c r="Q1435" s="6"/>
      <c r="R1435" s="6"/>
      <c r="S1435" s="6"/>
      <c r="T1435" s="6"/>
      <c r="U1435" t="str">
        <f t="shared" si="22"/>
        <v/>
      </c>
    </row>
    <row r="1436" spans="3:21" customFormat="1" hidden="1">
      <c r="C1436" s="6"/>
      <c r="D1436" s="6"/>
      <c r="E1436" s="98"/>
      <c r="F1436" s="3"/>
      <c r="G1436" s="6"/>
      <c r="H1436" s="3"/>
      <c r="I1436" s="6"/>
      <c r="J1436" s="6"/>
      <c r="K1436" s="6"/>
      <c r="L1436" s="6"/>
      <c r="M1436" s="6"/>
      <c r="N1436" s="6"/>
      <c r="O1436" s="3"/>
      <c r="P1436" s="6"/>
      <c r="Q1436" s="6"/>
      <c r="R1436" s="6"/>
      <c r="S1436" s="6"/>
      <c r="T1436" s="6"/>
      <c r="U1436" t="str">
        <f t="shared" si="22"/>
        <v/>
      </c>
    </row>
    <row r="1437" spans="3:21" customFormat="1" hidden="1">
      <c r="C1437" s="6"/>
      <c r="D1437" s="6"/>
      <c r="E1437" s="98"/>
      <c r="F1437" s="3"/>
      <c r="G1437" s="6"/>
      <c r="H1437" s="3"/>
      <c r="I1437" s="6"/>
      <c r="J1437" s="6"/>
      <c r="K1437" s="6"/>
      <c r="L1437" s="6"/>
      <c r="M1437" s="6"/>
      <c r="N1437" s="6"/>
      <c r="O1437" s="3"/>
      <c r="P1437" s="6"/>
      <c r="Q1437" s="6"/>
      <c r="R1437" s="6"/>
      <c r="S1437" s="6"/>
      <c r="T1437" s="6"/>
      <c r="U1437" t="str">
        <f t="shared" si="22"/>
        <v/>
      </c>
    </row>
    <row r="1438" spans="3:21" customFormat="1" hidden="1">
      <c r="C1438" s="6"/>
      <c r="D1438" s="6"/>
      <c r="E1438" s="98"/>
      <c r="F1438" s="3"/>
      <c r="G1438" s="6"/>
      <c r="H1438" s="3"/>
      <c r="I1438" s="6"/>
      <c r="J1438" s="6"/>
      <c r="K1438" s="6"/>
      <c r="L1438" s="6"/>
      <c r="M1438" s="6"/>
      <c r="N1438" s="6"/>
      <c r="O1438" s="3"/>
      <c r="P1438" s="6"/>
      <c r="Q1438" s="6"/>
      <c r="R1438" s="6"/>
      <c r="S1438" s="6"/>
      <c r="T1438" s="6"/>
      <c r="U1438" t="str">
        <f t="shared" si="22"/>
        <v/>
      </c>
    </row>
    <row r="1439" spans="3:21" customFormat="1" hidden="1">
      <c r="C1439" s="6"/>
      <c r="D1439" s="6"/>
      <c r="E1439" s="98"/>
      <c r="F1439" s="3"/>
      <c r="G1439" s="6"/>
      <c r="H1439" s="3"/>
      <c r="I1439" s="6"/>
      <c r="J1439" s="6"/>
      <c r="K1439" s="6"/>
      <c r="L1439" s="6"/>
      <c r="M1439" s="6"/>
      <c r="N1439" s="6"/>
      <c r="O1439" s="3"/>
      <c r="P1439" s="6"/>
      <c r="Q1439" s="6"/>
      <c r="R1439" s="6"/>
      <c r="S1439" s="6"/>
      <c r="T1439" s="6"/>
      <c r="U1439" t="str">
        <f t="shared" si="22"/>
        <v/>
      </c>
    </row>
    <row r="1440" spans="3:21" customFormat="1" hidden="1">
      <c r="C1440" s="6"/>
      <c r="D1440" s="6"/>
      <c r="E1440" s="98"/>
      <c r="F1440" s="3"/>
      <c r="G1440" s="6"/>
      <c r="H1440" s="3"/>
      <c r="I1440" s="6"/>
      <c r="J1440" s="6"/>
      <c r="K1440" s="6"/>
      <c r="L1440" s="6"/>
      <c r="M1440" s="6"/>
      <c r="N1440" s="6"/>
      <c r="O1440" s="3"/>
      <c r="P1440" s="6"/>
      <c r="Q1440" s="6"/>
      <c r="R1440" s="6"/>
      <c r="S1440" s="6"/>
      <c r="T1440" s="6"/>
      <c r="U1440" t="str">
        <f t="shared" si="22"/>
        <v/>
      </c>
    </row>
    <row r="1441" spans="3:21" customFormat="1" hidden="1">
      <c r="C1441" s="6"/>
      <c r="D1441" s="6"/>
      <c r="E1441" s="98"/>
      <c r="F1441" s="3"/>
      <c r="G1441" s="6"/>
      <c r="H1441" s="3"/>
      <c r="I1441" s="6"/>
      <c r="J1441" s="6"/>
      <c r="K1441" s="6"/>
      <c r="L1441" s="6"/>
      <c r="M1441" s="6"/>
      <c r="N1441" s="6"/>
      <c r="O1441" s="3"/>
      <c r="P1441" s="6"/>
      <c r="Q1441" s="6"/>
      <c r="R1441" s="6"/>
      <c r="S1441" s="6"/>
      <c r="T1441" s="6"/>
      <c r="U1441" t="str">
        <f t="shared" si="22"/>
        <v/>
      </c>
    </row>
    <row r="1442" spans="3:21" customFormat="1" hidden="1">
      <c r="C1442" s="6"/>
      <c r="D1442" s="6"/>
      <c r="E1442" s="98"/>
      <c r="F1442" s="3"/>
      <c r="G1442" s="6"/>
      <c r="H1442" s="3"/>
      <c r="I1442" s="6"/>
      <c r="J1442" s="6"/>
      <c r="K1442" s="6"/>
      <c r="L1442" s="6"/>
      <c r="M1442" s="6"/>
      <c r="N1442" s="6"/>
      <c r="O1442" s="3"/>
      <c r="P1442" s="6"/>
      <c r="Q1442" s="6"/>
      <c r="R1442" s="6"/>
      <c r="S1442" s="6"/>
      <c r="T1442" s="6"/>
      <c r="U1442" t="str">
        <f t="shared" si="22"/>
        <v/>
      </c>
    </row>
    <row r="1443" spans="3:21" customFormat="1" hidden="1">
      <c r="C1443" s="6"/>
      <c r="D1443" s="6"/>
      <c r="E1443" s="98"/>
      <c r="F1443" s="3"/>
      <c r="G1443" s="6"/>
      <c r="H1443" s="3"/>
      <c r="I1443" s="6"/>
      <c r="J1443" s="6"/>
      <c r="K1443" s="6"/>
      <c r="L1443" s="6"/>
      <c r="M1443" s="6"/>
      <c r="N1443" s="6"/>
      <c r="O1443" s="3"/>
      <c r="P1443" s="6"/>
      <c r="Q1443" s="6"/>
      <c r="R1443" s="6"/>
      <c r="S1443" s="6"/>
      <c r="T1443" s="6"/>
      <c r="U1443" t="str">
        <f t="shared" si="22"/>
        <v/>
      </c>
    </row>
    <row r="1444" spans="3:21" customFormat="1" hidden="1">
      <c r="C1444" s="6"/>
      <c r="D1444" s="6"/>
      <c r="E1444" s="98"/>
      <c r="F1444" s="3"/>
      <c r="G1444" s="6"/>
      <c r="H1444" s="3"/>
      <c r="I1444" s="6"/>
      <c r="J1444" s="6"/>
      <c r="K1444" s="6"/>
      <c r="L1444" s="6"/>
      <c r="M1444" s="6"/>
      <c r="N1444" s="6"/>
      <c r="O1444" s="3"/>
      <c r="P1444" s="6"/>
      <c r="Q1444" s="6"/>
      <c r="R1444" s="6"/>
      <c r="S1444" s="6"/>
      <c r="T1444" s="6"/>
      <c r="U1444" t="str">
        <f t="shared" si="22"/>
        <v/>
      </c>
    </row>
    <row r="1445" spans="3:21" customFormat="1" hidden="1">
      <c r="C1445" s="6"/>
      <c r="D1445" s="6"/>
      <c r="E1445" s="98"/>
      <c r="F1445" s="3"/>
      <c r="G1445" s="6"/>
      <c r="H1445" s="3"/>
      <c r="I1445" s="6"/>
      <c r="J1445" s="6"/>
      <c r="K1445" s="6"/>
      <c r="L1445" s="6"/>
      <c r="M1445" s="6"/>
      <c r="N1445" s="6"/>
      <c r="O1445" s="3"/>
      <c r="P1445" s="6"/>
      <c r="Q1445" s="6"/>
      <c r="R1445" s="6"/>
      <c r="S1445" s="6"/>
      <c r="T1445" s="6"/>
      <c r="U1445" t="str">
        <f t="shared" si="22"/>
        <v/>
      </c>
    </row>
    <row r="1446" spans="3:21" customFormat="1" hidden="1">
      <c r="C1446" s="6"/>
      <c r="D1446" s="6"/>
      <c r="E1446" s="98"/>
      <c r="F1446" s="3"/>
      <c r="G1446" s="6"/>
      <c r="H1446" s="3"/>
      <c r="I1446" s="6"/>
      <c r="J1446" s="6"/>
      <c r="K1446" s="6"/>
      <c r="L1446" s="6"/>
      <c r="M1446" s="6"/>
      <c r="N1446" s="6"/>
      <c r="O1446" s="3"/>
      <c r="P1446" s="6"/>
      <c r="Q1446" s="6"/>
      <c r="R1446" s="6"/>
      <c r="S1446" s="6"/>
      <c r="T1446" s="6"/>
      <c r="U1446" t="str">
        <f t="shared" si="22"/>
        <v/>
      </c>
    </row>
    <row r="1447" spans="3:21" customFormat="1" hidden="1">
      <c r="C1447" s="6"/>
      <c r="D1447" s="6"/>
      <c r="E1447" s="98"/>
      <c r="F1447" s="3"/>
      <c r="G1447" s="6"/>
      <c r="H1447" s="3"/>
      <c r="I1447" s="6"/>
      <c r="J1447" s="6"/>
      <c r="K1447" s="6"/>
      <c r="L1447" s="6"/>
      <c r="M1447" s="6"/>
      <c r="N1447" s="6"/>
      <c r="O1447" s="3"/>
      <c r="P1447" s="6"/>
      <c r="Q1447" s="6"/>
      <c r="R1447" s="6"/>
      <c r="S1447" s="6"/>
      <c r="T1447" s="6"/>
      <c r="U1447" t="str">
        <f t="shared" si="22"/>
        <v/>
      </c>
    </row>
    <row r="1448" spans="3:21" customFormat="1" hidden="1">
      <c r="C1448" s="6"/>
      <c r="D1448" s="6"/>
      <c r="E1448" s="98"/>
      <c r="F1448" s="3"/>
      <c r="G1448" s="6"/>
      <c r="H1448" s="3"/>
      <c r="I1448" s="6"/>
      <c r="J1448" s="6"/>
      <c r="K1448" s="6"/>
      <c r="L1448" s="6"/>
      <c r="M1448" s="6"/>
      <c r="N1448" s="6"/>
      <c r="O1448" s="3"/>
      <c r="P1448" s="6"/>
      <c r="Q1448" s="6"/>
      <c r="R1448" s="6"/>
      <c r="S1448" s="6"/>
      <c r="T1448" s="6"/>
      <c r="U1448" t="str">
        <f t="shared" si="22"/>
        <v/>
      </c>
    </row>
    <row r="1449" spans="3:21" customFormat="1" hidden="1">
      <c r="C1449" s="6"/>
      <c r="D1449" s="6"/>
      <c r="E1449" s="98"/>
      <c r="F1449" s="3"/>
      <c r="G1449" s="6"/>
      <c r="H1449" s="3"/>
      <c r="I1449" s="6"/>
      <c r="J1449" s="6"/>
      <c r="K1449" s="6"/>
      <c r="L1449" s="6"/>
      <c r="M1449" s="6"/>
      <c r="N1449" s="6"/>
      <c r="O1449" s="3"/>
      <c r="P1449" s="6"/>
      <c r="Q1449" s="6"/>
      <c r="R1449" s="6"/>
      <c r="S1449" s="6"/>
      <c r="T1449" s="6"/>
      <c r="U1449" t="str">
        <f t="shared" si="22"/>
        <v/>
      </c>
    </row>
    <row r="1450" spans="3:21" customFormat="1" hidden="1">
      <c r="C1450" s="6"/>
      <c r="D1450" s="6"/>
      <c r="E1450" s="98"/>
      <c r="F1450" s="3"/>
      <c r="G1450" s="6"/>
      <c r="H1450" s="3"/>
      <c r="I1450" s="6"/>
      <c r="J1450" s="6"/>
      <c r="K1450" s="6"/>
      <c r="L1450" s="6"/>
      <c r="M1450" s="6"/>
      <c r="N1450" s="6"/>
      <c r="O1450" s="3"/>
      <c r="P1450" s="6"/>
      <c r="Q1450" s="6"/>
      <c r="R1450" s="6"/>
      <c r="S1450" s="6"/>
      <c r="T1450" s="6"/>
      <c r="U1450" t="str">
        <f t="shared" si="22"/>
        <v/>
      </c>
    </row>
    <row r="1451" spans="3:21" customFormat="1" hidden="1">
      <c r="C1451" s="6"/>
      <c r="D1451" s="6"/>
      <c r="E1451" s="98"/>
      <c r="F1451" s="3"/>
      <c r="G1451" s="6"/>
      <c r="H1451" s="3"/>
      <c r="I1451" s="6"/>
      <c r="J1451" s="6"/>
      <c r="K1451" s="6"/>
      <c r="L1451" s="6"/>
      <c r="M1451" s="6"/>
      <c r="N1451" s="6"/>
      <c r="O1451" s="3"/>
      <c r="P1451" s="6"/>
      <c r="Q1451" s="6"/>
      <c r="R1451" s="6"/>
      <c r="S1451" s="6"/>
      <c r="T1451" s="6"/>
      <c r="U1451" t="str">
        <f t="shared" si="22"/>
        <v/>
      </c>
    </row>
    <row r="1452" spans="3:21" customFormat="1" hidden="1">
      <c r="C1452" s="6"/>
      <c r="D1452" s="6"/>
      <c r="E1452" s="98"/>
      <c r="F1452" s="3"/>
      <c r="G1452" s="6"/>
      <c r="H1452" s="3"/>
      <c r="I1452" s="6"/>
      <c r="J1452" s="6"/>
      <c r="K1452" s="6"/>
      <c r="L1452" s="6"/>
      <c r="M1452" s="6"/>
      <c r="N1452" s="6"/>
      <c r="O1452" s="3"/>
      <c r="P1452" s="6"/>
      <c r="Q1452" s="6"/>
      <c r="R1452" s="6"/>
      <c r="S1452" s="6"/>
      <c r="T1452" s="6"/>
      <c r="U1452" t="str">
        <f t="shared" si="22"/>
        <v/>
      </c>
    </row>
    <row r="1453" spans="3:21" customFormat="1" hidden="1">
      <c r="C1453" s="6"/>
      <c r="D1453" s="6"/>
      <c r="E1453" s="98"/>
      <c r="F1453" s="3"/>
      <c r="G1453" s="6"/>
      <c r="H1453" s="3"/>
      <c r="I1453" s="6"/>
      <c r="J1453" s="6"/>
      <c r="K1453" s="6"/>
      <c r="L1453" s="6"/>
      <c r="M1453" s="6"/>
      <c r="N1453" s="6"/>
      <c r="O1453" s="3"/>
      <c r="P1453" s="6"/>
      <c r="Q1453" s="6"/>
      <c r="R1453" s="6"/>
      <c r="S1453" s="6"/>
      <c r="T1453" s="6"/>
      <c r="U1453" t="str">
        <f t="shared" si="22"/>
        <v/>
      </c>
    </row>
    <row r="1454" spans="3:21" customFormat="1" hidden="1">
      <c r="C1454" s="6"/>
      <c r="D1454" s="6"/>
      <c r="E1454" s="98"/>
      <c r="F1454" s="3"/>
      <c r="G1454" s="6"/>
      <c r="H1454" s="3"/>
      <c r="I1454" s="6"/>
      <c r="J1454" s="6"/>
      <c r="K1454" s="6"/>
      <c r="L1454" s="6"/>
      <c r="M1454" s="6"/>
      <c r="N1454" s="6"/>
      <c r="O1454" s="3"/>
      <c r="P1454" s="6"/>
      <c r="Q1454" s="6"/>
      <c r="R1454" s="6"/>
      <c r="S1454" s="6"/>
      <c r="T1454" s="6"/>
      <c r="U1454" t="str">
        <f t="shared" si="22"/>
        <v/>
      </c>
    </row>
    <row r="1455" spans="3:21" customFormat="1" hidden="1">
      <c r="C1455" s="6"/>
      <c r="D1455" s="6"/>
      <c r="E1455" s="98"/>
      <c r="F1455" s="3"/>
      <c r="G1455" s="6"/>
      <c r="H1455" s="3"/>
      <c r="I1455" s="6"/>
      <c r="J1455" s="6"/>
      <c r="K1455" s="6"/>
      <c r="L1455" s="6"/>
      <c r="M1455" s="6"/>
      <c r="N1455" s="6"/>
      <c r="O1455" s="3"/>
      <c r="P1455" s="6"/>
      <c r="Q1455" s="6"/>
      <c r="R1455" s="6"/>
      <c r="S1455" s="6"/>
      <c r="T1455" s="6"/>
      <c r="U1455" t="str">
        <f t="shared" si="22"/>
        <v/>
      </c>
    </row>
    <row r="1456" spans="3:21" customFormat="1" hidden="1">
      <c r="C1456" s="6"/>
      <c r="D1456" s="6"/>
      <c r="E1456" s="98"/>
      <c r="F1456" s="3"/>
      <c r="G1456" s="6"/>
      <c r="H1456" s="3"/>
      <c r="I1456" s="6"/>
      <c r="J1456" s="6"/>
      <c r="K1456" s="6"/>
      <c r="L1456" s="6"/>
      <c r="M1456" s="6"/>
      <c r="N1456" s="6"/>
      <c r="O1456" s="3"/>
      <c r="P1456" s="6"/>
      <c r="Q1456" s="6"/>
      <c r="R1456" s="6"/>
      <c r="S1456" s="6"/>
      <c r="T1456" s="6"/>
      <c r="U1456" t="str">
        <f t="shared" si="22"/>
        <v/>
      </c>
    </row>
    <row r="1457" spans="3:21" customFormat="1" hidden="1">
      <c r="C1457" s="6"/>
      <c r="D1457" s="6"/>
      <c r="E1457" s="98"/>
      <c r="F1457" s="3"/>
      <c r="G1457" s="6"/>
      <c r="H1457" s="3"/>
      <c r="I1457" s="6"/>
      <c r="J1457" s="6"/>
      <c r="K1457" s="6"/>
      <c r="L1457" s="6"/>
      <c r="M1457" s="6"/>
      <c r="N1457" s="6"/>
      <c r="O1457" s="3"/>
      <c r="P1457" s="6"/>
      <c r="Q1457" s="6"/>
      <c r="R1457" s="6"/>
      <c r="S1457" s="6"/>
      <c r="T1457" s="6"/>
      <c r="U1457" t="str">
        <f t="shared" si="22"/>
        <v/>
      </c>
    </row>
    <row r="1458" spans="3:21" customFormat="1" hidden="1">
      <c r="C1458" s="6"/>
      <c r="D1458" s="6"/>
      <c r="E1458" s="98"/>
      <c r="F1458" s="3"/>
      <c r="G1458" s="6"/>
      <c r="H1458" s="3"/>
      <c r="I1458" s="6"/>
      <c r="J1458" s="6"/>
      <c r="K1458" s="6"/>
      <c r="L1458" s="6"/>
      <c r="M1458" s="6"/>
      <c r="N1458" s="6"/>
      <c r="O1458" s="3"/>
      <c r="P1458" s="6"/>
      <c r="Q1458" s="6"/>
      <c r="R1458" s="6"/>
      <c r="S1458" s="6"/>
      <c r="T1458" s="6"/>
      <c r="U1458" t="str">
        <f t="shared" si="22"/>
        <v/>
      </c>
    </row>
    <row r="1459" spans="3:21" customFormat="1" hidden="1">
      <c r="C1459" s="6"/>
      <c r="D1459" s="6"/>
      <c r="E1459" s="98"/>
      <c r="F1459" s="3"/>
      <c r="G1459" s="6"/>
      <c r="H1459" s="3"/>
      <c r="I1459" s="6"/>
      <c r="J1459" s="6"/>
      <c r="K1459" s="6"/>
      <c r="L1459" s="6"/>
      <c r="M1459" s="6"/>
      <c r="N1459" s="6"/>
      <c r="O1459" s="3"/>
      <c r="P1459" s="6"/>
      <c r="Q1459" s="6"/>
      <c r="R1459" s="6"/>
      <c r="S1459" s="6"/>
      <c r="T1459" s="6"/>
      <c r="U1459" t="str">
        <f t="shared" si="22"/>
        <v/>
      </c>
    </row>
    <row r="1460" spans="3:21" customFormat="1" hidden="1">
      <c r="C1460" s="6"/>
      <c r="D1460" s="6"/>
      <c r="E1460" s="98"/>
      <c r="F1460" s="3"/>
      <c r="G1460" s="6"/>
      <c r="H1460" s="3"/>
      <c r="I1460" s="6"/>
      <c r="J1460" s="6"/>
      <c r="K1460" s="6"/>
      <c r="L1460" s="6"/>
      <c r="M1460" s="6"/>
      <c r="N1460" s="6"/>
      <c r="O1460" s="3"/>
      <c r="P1460" s="6"/>
      <c r="Q1460" s="6"/>
      <c r="R1460" s="6"/>
      <c r="S1460" s="6"/>
      <c r="T1460" s="6"/>
      <c r="U1460" t="str">
        <f t="shared" si="22"/>
        <v/>
      </c>
    </row>
    <row r="1461" spans="3:21" customFormat="1" hidden="1">
      <c r="C1461" s="6"/>
      <c r="D1461" s="6"/>
      <c r="E1461" s="98"/>
      <c r="F1461" s="3"/>
      <c r="G1461" s="6"/>
      <c r="H1461" s="3"/>
      <c r="I1461" s="6"/>
      <c r="J1461" s="6"/>
      <c r="K1461" s="6"/>
      <c r="L1461" s="6"/>
      <c r="M1461" s="6"/>
      <c r="N1461" s="6"/>
      <c r="O1461" s="3"/>
      <c r="P1461" s="6"/>
      <c r="Q1461" s="6"/>
      <c r="R1461" s="6"/>
      <c r="S1461" s="6"/>
      <c r="T1461" s="6"/>
      <c r="U1461" t="str">
        <f t="shared" si="22"/>
        <v/>
      </c>
    </row>
    <row r="1462" spans="3:21" customFormat="1" hidden="1">
      <c r="C1462" s="6"/>
      <c r="D1462" s="6"/>
      <c r="E1462" s="98"/>
      <c r="F1462" s="3"/>
      <c r="G1462" s="6"/>
      <c r="H1462" s="3"/>
      <c r="I1462" s="6"/>
      <c r="J1462" s="6"/>
      <c r="K1462" s="6"/>
      <c r="L1462" s="6"/>
      <c r="M1462" s="6"/>
      <c r="N1462" s="6"/>
      <c r="O1462" s="3"/>
      <c r="P1462" s="6"/>
      <c r="Q1462" s="6"/>
      <c r="R1462" s="6"/>
      <c r="S1462" s="6"/>
      <c r="T1462" s="6"/>
      <c r="U1462" t="str">
        <f t="shared" si="22"/>
        <v/>
      </c>
    </row>
    <row r="1463" spans="3:21" customFormat="1" hidden="1">
      <c r="C1463" s="6"/>
      <c r="D1463" s="6"/>
      <c r="E1463" s="98"/>
      <c r="F1463" s="3"/>
      <c r="G1463" s="6"/>
      <c r="H1463" s="3"/>
      <c r="I1463" s="6"/>
      <c r="J1463" s="6"/>
      <c r="K1463" s="6"/>
      <c r="L1463" s="6"/>
      <c r="M1463" s="6"/>
      <c r="N1463" s="6"/>
      <c r="O1463" s="3"/>
      <c r="P1463" s="6"/>
      <c r="Q1463" s="6"/>
      <c r="R1463" s="6"/>
      <c r="S1463" s="6"/>
      <c r="T1463" s="6"/>
      <c r="U1463" t="str">
        <f t="shared" si="22"/>
        <v/>
      </c>
    </row>
    <row r="1464" spans="3:21" customFormat="1" hidden="1">
      <c r="C1464" s="6"/>
      <c r="D1464" s="6"/>
      <c r="E1464" s="98"/>
      <c r="F1464" s="3"/>
      <c r="G1464" s="6"/>
      <c r="H1464" s="3"/>
      <c r="I1464" s="6"/>
      <c r="J1464" s="6"/>
      <c r="K1464" s="6"/>
      <c r="L1464" s="6"/>
      <c r="M1464" s="6"/>
      <c r="N1464" s="6"/>
      <c r="O1464" s="3"/>
      <c r="P1464" s="6"/>
      <c r="Q1464" s="6"/>
      <c r="R1464" s="6"/>
      <c r="S1464" s="6"/>
      <c r="T1464" s="6"/>
      <c r="U1464" t="str">
        <f t="shared" si="22"/>
        <v/>
      </c>
    </row>
    <row r="1465" spans="3:21" customFormat="1" hidden="1">
      <c r="C1465" s="6"/>
      <c r="D1465" s="6"/>
      <c r="E1465" s="98"/>
      <c r="F1465" s="3"/>
      <c r="G1465" s="6"/>
      <c r="H1465" s="3"/>
      <c r="I1465" s="6"/>
      <c r="J1465" s="6"/>
      <c r="K1465" s="6"/>
      <c r="L1465" s="6"/>
      <c r="M1465" s="6"/>
      <c r="N1465" s="6"/>
      <c r="O1465" s="3"/>
      <c r="P1465" s="6"/>
      <c r="Q1465" s="6"/>
      <c r="R1465" s="6"/>
      <c r="S1465" s="6"/>
      <c r="T1465" s="6"/>
      <c r="U1465" t="str">
        <f t="shared" si="22"/>
        <v/>
      </c>
    </row>
    <row r="1466" spans="3:21" customFormat="1" hidden="1">
      <c r="C1466" s="6"/>
      <c r="D1466" s="6"/>
      <c r="E1466" s="98"/>
      <c r="F1466" s="3"/>
      <c r="G1466" s="6"/>
      <c r="H1466" s="3"/>
      <c r="I1466" s="6"/>
      <c r="J1466" s="6"/>
      <c r="K1466" s="6"/>
      <c r="L1466" s="6"/>
      <c r="M1466" s="6"/>
      <c r="N1466" s="6"/>
      <c r="O1466" s="3"/>
      <c r="P1466" s="6"/>
      <c r="Q1466" s="6"/>
      <c r="R1466" s="6"/>
      <c r="S1466" s="6"/>
      <c r="T1466" s="6"/>
      <c r="U1466" t="str">
        <f t="shared" si="22"/>
        <v/>
      </c>
    </row>
    <row r="1467" spans="3:21" customFormat="1" hidden="1">
      <c r="C1467" s="6"/>
      <c r="D1467" s="6"/>
      <c r="E1467" s="98"/>
      <c r="F1467" s="3"/>
      <c r="G1467" s="6"/>
      <c r="H1467" s="3"/>
      <c r="I1467" s="6"/>
      <c r="J1467" s="6"/>
      <c r="K1467" s="6"/>
      <c r="L1467" s="6"/>
      <c r="M1467" s="6"/>
      <c r="N1467" s="6"/>
      <c r="O1467" s="3"/>
      <c r="P1467" s="6"/>
      <c r="Q1467" s="6"/>
      <c r="R1467" s="6"/>
      <c r="S1467" s="6"/>
      <c r="T1467" s="6"/>
      <c r="U1467" t="str">
        <f t="shared" si="22"/>
        <v/>
      </c>
    </row>
    <row r="1468" spans="3:21" customFormat="1" hidden="1">
      <c r="C1468" s="6"/>
      <c r="D1468" s="6"/>
      <c r="E1468" s="98"/>
      <c r="F1468" s="3"/>
      <c r="G1468" s="6"/>
      <c r="H1468" s="3"/>
      <c r="I1468" s="6"/>
      <c r="J1468" s="6"/>
      <c r="K1468" s="6"/>
      <c r="L1468" s="6"/>
      <c r="M1468" s="6"/>
      <c r="N1468" s="6"/>
      <c r="O1468" s="3"/>
      <c r="P1468" s="6"/>
      <c r="Q1468" s="6"/>
      <c r="R1468" s="6"/>
      <c r="S1468" s="6"/>
      <c r="T1468" s="6"/>
      <c r="U1468" t="str">
        <f t="shared" si="22"/>
        <v/>
      </c>
    </row>
    <row r="1469" spans="3:21" customFormat="1" hidden="1">
      <c r="C1469" s="6"/>
      <c r="D1469" s="6"/>
      <c r="E1469" s="98"/>
      <c r="F1469" s="3"/>
      <c r="G1469" s="6"/>
      <c r="H1469" s="3"/>
      <c r="I1469" s="6"/>
      <c r="J1469" s="6"/>
      <c r="K1469" s="6"/>
      <c r="L1469" s="6"/>
      <c r="M1469" s="6"/>
      <c r="N1469" s="6"/>
      <c r="O1469" s="3"/>
      <c r="P1469" s="6"/>
      <c r="Q1469" s="6"/>
      <c r="R1469" s="6"/>
      <c r="S1469" s="6"/>
      <c r="T1469" s="6"/>
      <c r="U1469" t="str">
        <f t="shared" si="22"/>
        <v/>
      </c>
    </row>
    <row r="1470" spans="3:21" customFormat="1" hidden="1">
      <c r="C1470" s="6"/>
      <c r="D1470" s="6"/>
      <c r="E1470" s="98"/>
      <c r="F1470" s="3"/>
      <c r="G1470" s="6"/>
      <c r="H1470" s="3"/>
      <c r="I1470" s="6"/>
      <c r="J1470" s="6"/>
      <c r="K1470" s="6"/>
      <c r="L1470" s="6"/>
      <c r="M1470" s="6"/>
      <c r="N1470" s="6"/>
      <c r="O1470" s="3"/>
      <c r="P1470" s="6"/>
      <c r="Q1470" s="6"/>
      <c r="R1470" s="6"/>
      <c r="S1470" s="6"/>
      <c r="T1470" s="6"/>
      <c r="U1470" t="str">
        <f t="shared" si="22"/>
        <v/>
      </c>
    </row>
    <row r="1471" spans="3:21" customFormat="1" hidden="1">
      <c r="C1471" s="6"/>
      <c r="D1471" s="6"/>
      <c r="E1471" s="98"/>
      <c r="F1471" s="3"/>
      <c r="G1471" s="6"/>
      <c r="H1471" s="3"/>
      <c r="I1471" s="6"/>
      <c r="J1471" s="6"/>
      <c r="K1471" s="6"/>
      <c r="L1471" s="6"/>
      <c r="M1471" s="6"/>
      <c r="N1471" s="6"/>
      <c r="O1471" s="3"/>
      <c r="P1471" s="6"/>
      <c r="Q1471" s="6"/>
      <c r="R1471" s="6"/>
      <c r="S1471" s="6"/>
      <c r="T1471" s="6"/>
      <c r="U1471" t="str">
        <f t="shared" si="22"/>
        <v/>
      </c>
    </row>
    <row r="1472" spans="3:21" customFormat="1" hidden="1">
      <c r="C1472" s="6"/>
      <c r="D1472" s="6"/>
      <c r="E1472" s="98"/>
      <c r="F1472" s="3"/>
      <c r="G1472" s="6"/>
      <c r="H1472" s="3"/>
      <c r="I1472" s="6"/>
      <c r="J1472" s="6"/>
      <c r="K1472" s="6"/>
      <c r="L1472" s="6"/>
      <c r="M1472" s="6"/>
      <c r="N1472" s="6"/>
      <c r="O1472" s="3"/>
      <c r="P1472" s="6"/>
      <c r="Q1472" s="6"/>
      <c r="R1472" s="6"/>
      <c r="S1472" s="6"/>
      <c r="T1472" s="6"/>
      <c r="U1472" t="str">
        <f t="shared" si="22"/>
        <v/>
      </c>
    </row>
    <row r="1473" spans="3:21" customFormat="1" hidden="1">
      <c r="C1473" s="6"/>
      <c r="D1473" s="6"/>
      <c r="E1473" s="98"/>
      <c r="F1473" s="3"/>
      <c r="G1473" s="6"/>
      <c r="H1473" s="3"/>
      <c r="I1473" s="6"/>
      <c r="J1473" s="6"/>
      <c r="K1473" s="6"/>
      <c r="L1473" s="6"/>
      <c r="M1473" s="6"/>
      <c r="N1473" s="6"/>
      <c r="O1473" s="3"/>
      <c r="P1473" s="6"/>
      <c r="Q1473" s="6"/>
      <c r="R1473" s="6"/>
      <c r="S1473" s="6"/>
      <c r="T1473" s="6"/>
      <c r="U1473" t="str">
        <f t="shared" si="22"/>
        <v/>
      </c>
    </row>
    <row r="1474" spans="3:21" customFormat="1" hidden="1">
      <c r="C1474" s="6"/>
      <c r="D1474" s="6"/>
      <c r="E1474" s="98"/>
      <c r="F1474" s="3"/>
      <c r="G1474" s="6"/>
      <c r="H1474" s="3"/>
      <c r="I1474" s="6"/>
      <c r="J1474" s="6"/>
      <c r="K1474" s="6"/>
      <c r="L1474" s="6"/>
      <c r="M1474" s="6"/>
      <c r="N1474" s="6"/>
      <c r="O1474" s="3"/>
      <c r="P1474" s="6"/>
      <c r="Q1474" s="6"/>
      <c r="R1474" s="6"/>
      <c r="S1474" s="6"/>
      <c r="T1474" s="6"/>
      <c r="U1474" t="str">
        <f t="shared" si="22"/>
        <v/>
      </c>
    </row>
    <row r="1475" spans="3:21" customFormat="1" hidden="1">
      <c r="C1475" s="6"/>
      <c r="D1475" s="6"/>
      <c r="E1475" s="98"/>
      <c r="F1475" s="3"/>
      <c r="G1475" s="6"/>
      <c r="H1475" s="3"/>
      <c r="I1475" s="6"/>
      <c r="J1475" s="6"/>
      <c r="K1475" s="6"/>
      <c r="L1475" s="6"/>
      <c r="M1475" s="6"/>
      <c r="N1475" s="6"/>
      <c r="O1475" s="3"/>
      <c r="P1475" s="6"/>
      <c r="Q1475" s="6"/>
      <c r="R1475" s="6"/>
      <c r="S1475" s="6"/>
      <c r="T1475" s="6"/>
      <c r="U1475" t="str">
        <f t="shared" si="22"/>
        <v/>
      </c>
    </row>
    <row r="1476" spans="3:21" customFormat="1" hidden="1">
      <c r="C1476" s="6"/>
      <c r="D1476" s="6"/>
      <c r="E1476" s="98"/>
      <c r="F1476" s="3"/>
      <c r="G1476" s="6"/>
      <c r="H1476" s="3"/>
      <c r="I1476" s="6"/>
      <c r="J1476" s="6"/>
      <c r="K1476" s="6"/>
      <c r="L1476" s="6"/>
      <c r="M1476" s="6"/>
      <c r="N1476" s="6"/>
      <c r="O1476" s="3"/>
      <c r="P1476" s="6"/>
      <c r="Q1476" s="6"/>
      <c r="R1476" s="6"/>
      <c r="S1476" s="6"/>
      <c r="T1476" s="6"/>
      <c r="U1476" t="str">
        <f t="shared" si="22"/>
        <v/>
      </c>
    </row>
    <row r="1477" spans="3:21" customFormat="1" hidden="1">
      <c r="C1477" s="6"/>
      <c r="D1477" s="6"/>
      <c r="E1477" s="98"/>
      <c r="F1477" s="3"/>
      <c r="G1477" s="6"/>
      <c r="H1477" s="3"/>
      <c r="I1477" s="6"/>
      <c r="J1477" s="6"/>
      <c r="K1477" s="6"/>
      <c r="L1477" s="6"/>
      <c r="M1477" s="6"/>
      <c r="N1477" s="6"/>
      <c r="O1477" s="3"/>
      <c r="P1477" s="6"/>
      <c r="Q1477" s="6"/>
      <c r="R1477" s="6"/>
      <c r="S1477" s="6"/>
      <c r="T1477" s="6"/>
      <c r="U1477" t="str">
        <f t="shared" si="22"/>
        <v/>
      </c>
    </row>
    <row r="1478" spans="3:21" customFormat="1" hidden="1">
      <c r="C1478" s="6"/>
      <c r="D1478" s="6"/>
      <c r="E1478" s="98"/>
      <c r="F1478" s="3"/>
      <c r="G1478" s="6"/>
      <c r="H1478" s="3"/>
      <c r="I1478" s="6"/>
      <c r="J1478" s="6"/>
      <c r="K1478" s="6"/>
      <c r="L1478" s="6"/>
      <c r="M1478" s="6"/>
      <c r="N1478" s="6"/>
      <c r="O1478" s="3"/>
      <c r="P1478" s="6"/>
      <c r="Q1478" s="6"/>
      <c r="R1478" s="6"/>
      <c r="S1478" s="6"/>
      <c r="T1478" s="6"/>
      <c r="U1478" t="str">
        <f t="shared" si="22"/>
        <v/>
      </c>
    </row>
    <row r="1479" spans="3:21" customFormat="1" hidden="1">
      <c r="C1479" s="6"/>
      <c r="D1479" s="6"/>
      <c r="E1479" s="98"/>
      <c r="F1479" s="3"/>
      <c r="G1479" s="6"/>
      <c r="H1479" s="3"/>
      <c r="I1479" s="6"/>
      <c r="J1479" s="6"/>
      <c r="K1479" s="6"/>
      <c r="L1479" s="6"/>
      <c r="M1479" s="6"/>
      <c r="N1479" s="6"/>
      <c r="O1479" s="3"/>
      <c r="P1479" s="6"/>
      <c r="Q1479" s="6"/>
      <c r="R1479" s="6"/>
      <c r="S1479" s="6"/>
      <c r="T1479" s="6"/>
      <c r="U1479" t="str">
        <f t="shared" ref="U1479:U1542" si="23">IF(D1479="","","x")</f>
        <v/>
      </c>
    </row>
    <row r="1480" spans="3:21" customFormat="1" hidden="1">
      <c r="C1480" s="6"/>
      <c r="D1480" s="6"/>
      <c r="E1480" s="98"/>
      <c r="F1480" s="3"/>
      <c r="G1480" s="6"/>
      <c r="H1480" s="3"/>
      <c r="I1480" s="6"/>
      <c r="J1480" s="6"/>
      <c r="K1480" s="6"/>
      <c r="L1480" s="6"/>
      <c r="M1480" s="6"/>
      <c r="N1480" s="6"/>
      <c r="O1480" s="3"/>
      <c r="P1480" s="6"/>
      <c r="Q1480" s="6"/>
      <c r="R1480" s="6"/>
      <c r="S1480" s="6"/>
      <c r="T1480" s="6"/>
      <c r="U1480" t="str">
        <f t="shared" si="23"/>
        <v/>
      </c>
    </row>
    <row r="1481" spans="3:21" customFormat="1" hidden="1">
      <c r="C1481" s="6"/>
      <c r="D1481" s="6"/>
      <c r="E1481" s="98"/>
      <c r="F1481" s="3"/>
      <c r="G1481" s="6"/>
      <c r="H1481" s="3"/>
      <c r="I1481" s="6"/>
      <c r="J1481" s="6"/>
      <c r="K1481" s="6"/>
      <c r="L1481" s="6"/>
      <c r="M1481" s="6"/>
      <c r="N1481" s="6"/>
      <c r="O1481" s="3"/>
      <c r="P1481" s="6"/>
      <c r="Q1481" s="6"/>
      <c r="R1481" s="6"/>
      <c r="S1481" s="6"/>
      <c r="T1481" s="6"/>
      <c r="U1481" t="str">
        <f t="shared" si="23"/>
        <v/>
      </c>
    </row>
    <row r="1482" spans="3:21" customFormat="1" hidden="1">
      <c r="C1482" s="6"/>
      <c r="D1482" s="6"/>
      <c r="E1482" s="98"/>
      <c r="F1482" s="3"/>
      <c r="G1482" s="6"/>
      <c r="H1482" s="3"/>
      <c r="I1482" s="6"/>
      <c r="J1482" s="6"/>
      <c r="K1482" s="6"/>
      <c r="L1482" s="6"/>
      <c r="M1482" s="6"/>
      <c r="N1482" s="6"/>
      <c r="O1482" s="3"/>
      <c r="P1482" s="6"/>
      <c r="Q1482" s="6"/>
      <c r="R1482" s="6"/>
      <c r="S1482" s="6"/>
      <c r="T1482" s="6"/>
      <c r="U1482" t="str">
        <f t="shared" si="23"/>
        <v/>
      </c>
    </row>
    <row r="1483" spans="3:21" customFormat="1" hidden="1">
      <c r="C1483" s="6"/>
      <c r="D1483" s="6"/>
      <c r="E1483" s="98"/>
      <c r="F1483" s="3"/>
      <c r="G1483" s="6"/>
      <c r="H1483" s="3"/>
      <c r="I1483" s="6"/>
      <c r="J1483" s="6"/>
      <c r="K1483" s="6"/>
      <c r="L1483" s="6"/>
      <c r="M1483" s="6"/>
      <c r="N1483" s="6"/>
      <c r="O1483" s="3"/>
      <c r="P1483" s="6"/>
      <c r="Q1483" s="6"/>
      <c r="R1483" s="6"/>
      <c r="S1483" s="6"/>
      <c r="T1483" s="6"/>
      <c r="U1483" t="str">
        <f t="shared" si="23"/>
        <v/>
      </c>
    </row>
    <row r="1484" spans="3:21" customFormat="1" hidden="1">
      <c r="C1484" s="6"/>
      <c r="D1484" s="6"/>
      <c r="E1484" s="98"/>
      <c r="F1484" s="3"/>
      <c r="G1484" s="6"/>
      <c r="H1484" s="3"/>
      <c r="I1484" s="6"/>
      <c r="J1484" s="6"/>
      <c r="K1484" s="6"/>
      <c r="L1484" s="6"/>
      <c r="M1484" s="6"/>
      <c r="N1484" s="6"/>
      <c r="O1484" s="3"/>
      <c r="P1484" s="6"/>
      <c r="Q1484" s="6"/>
      <c r="R1484" s="6"/>
      <c r="S1484" s="6"/>
      <c r="T1484" s="6"/>
      <c r="U1484" t="str">
        <f t="shared" si="23"/>
        <v/>
      </c>
    </row>
    <row r="1485" spans="3:21" customFormat="1" hidden="1">
      <c r="C1485" s="6"/>
      <c r="D1485" s="6"/>
      <c r="E1485" s="98"/>
      <c r="F1485" s="3"/>
      <c r="G1485" s="6"/>
      <c r="H1485" s="3"/>
      <c r="I1485" s="6"/>
      <c r="J1485" s="6"/>
      <c r="K1485" s="6"/>
      <c r="L1485" s="6"/>
      <c r="M1485" s="6"/>
      <c r="N1485" s="6"/>
      <c r="O1485" s="3"/>
      <c r="P1485" s="6"/>
      <c r="Q1485" s="6"/>
      <c r="R1485" s="6"/>
      <c r="S1485" s="6"/>
      <c r="T1485" s="6"/>
      <c r="U1485" t="str">
        <f t="shared" si="23"/>
        <v/>
      </c>
    </row>
    <row r="1486" spans="3:21" customFormat="1" hidden="1">
      <c r="C1486" s="6"/>
      <c r="D1486" s="6"/>
      <c r="E1486" s="98"/>
      <c r="F1486" s="3"/>
      <c r="G1486" s="6"/>
      <c r="H1486" s="3"/>
      <c r="I1486" s="6"/>
      <c r="J1486" s="6"/>
      <c r="K1486" s="6"/>
      <c r="L1486" s="6"/>
      <c r="M1486" s="6"/>
      <c r="N1486" s="6"/>
      <c r="O1486" s="3"/>
      <c r="P1486" s="6"/>
      <c r="Q1486" s="6"/>
      <c r="R1486" s="6"/>
      <c r="S1486" s="6"/>
      <c r="T1486" s="6"/>
      <c r="U1486" t="str">
        <f t="shared" si="23"/>
        <v/>
      </c>
    </row>
    <row r="1487" spans="3:21" customFormat="1" hidden="1">
      <c r="C1487" s="6"/>
      <c r="D1487" s="6"/>
      <c r="E1487" s="98"/>
      <c r="F1487" s="3"/>
      <c r="G1487" s="6"/>
      <c r="H1487" s="3"/>
      <c r="I1487" s="6"/>
      <c r="J1487" s="6"/>
      <c r="K1487" s="6"/>
      <c r="L1487" s="6"/>
      <c r="M1487" s="6"/>
      <c r="N1487" s="6"/>
      <c r="O1487" s="3"/>
      <c r="P1487" s="6"/>
      <c r="Q1487" s="6"/>
      <c r="R1487" s="6"/>
      <c r="S1487" s="6"/>
      <c r="T1487" s="6"/>
      <c r="U1487" t="str">
        <f t="shared" si="23"/>
        <v/>
      </c>
    </row>
    <row r="1488" spans="3:21" customFormat="1" hidden="1">
      <c r="C1488" s="6"/>
      <c r="D1488" s="6"/>
      <c r="E1488" s="98"/>
      <c r="F1488" s="3"/>
      <c r="G1488" s="6"/>
      <c r="H1488" s="3"/>
      <c r="I1488" s="6"/>
      <c r="J1488" s="6"/>
      <c r="K1488" s="6"/>
      <c r="L1488" s="6"/>
      <c r="M1488" s="6"/>
      <c r="N1488" s="6"/>
      <c r="O1488" s="3"/>
      <c r="P1488" s="6"/>
      <c r="Q1488" s="6"/>
      <c r="R1488" s="6"/>
      <c r="S1488" s="6"/>
      <c r="T1488" s="6"/>
      <c r="U1488" t="str">
        <f t="shared" si="23"/>
        <v/>
      </c>
    </row>
    <row r="1489" spans="3:21" customFormat="1" hidden="1">
      <c r="C1489" s="6"/>
      <c r="D1489" s="6"/>
      <c r="E1489" s="98"/>
      <c r="F1489" s="3"/>
      <c r="G1489" s="6"/>
      <c r="H1489" s="3"/>
      <c r="I1489" s="6"/>
      <c r="J1489" s="6"/>
      <c r="K1489" s="6"/>
      <c r="L1489" s="6"/>
      <c r="M1489" s="6"/>
      <c r="N1489" s="6"/>
      <c r="O1489" s="3"/>
      <c r="P1489" s="6"/>
      <c r="Q1489" s="6"/>
      <c r="R1489" s="6"/>
      <c r="S1489" s="6"/>
      <c r="T1489" s="6"/>
      <c r="U1489" t="str">
        <f t="shared" si="23"/>
        <v/>
      </c>
    </row>
    <row r="1490" spans="3:21" customFormat="1" hidden="1">
      <c r="C1490" s="6"/>
      <c r="D1490" s="6"/>
      <c r="E1490" s="98"/>
      <c r="F1490" s="3"/>
      <c r="G1490" s="6"/>
      <c r="H1490" s="3"/>
      <c r="I1490" s="6"/>
      <c r="J1490" s="6"/>
      <c r="K1490" s="6"/>
      <c r="L1490" s="6"/>
      <c r="M1490" s="6"/>
      <c r="N1490" s="6"/>
      <c r="O1490" s="3"/>
      <c r="P1490" s="6"/>
      <c r="Q1490" s="6"/>
      <c r="R1490" s="6"/>
      <c r="S1490" s="6"/>
      <c r="T1490" s="6"/>
      <c r="U1490" t="str">
        <f t="shared" si="23"/>
        <v/>
      </c>
    </row>
    <row r="1491" spans="3:21" customFormat="1" hidden="1">
      <c r="C1491" s="6"/>
      <c r="D1491" s="6"/>
      <c r="E1491" s="98"/>
      <c r="F1491" s="3"/>
      <c r="G1491" s="6"/>
      <c r="H1491" s="3"/>
      <c r="I1491" s="6"/>
      <c r="J1491" s="6"/>
      <c r="K1491" s="6"/>
      <c r="L1491" s="6"/>
      <c r="M1491" s="6"/>
      <c r="N1491" s="6"/>
      <c r="O1491" s="3"/>
      <c r="P1491" s="6"/>
      <c r="Q1491" s="6"/>
      <c r="R1491" s="6"/>
      <c r="S1491" s="6"/>
      <c r="T1491" s="6"/>
      <c r="U1491" t="str">
        <f t="shared" si="23"/>
        <v/>
      </c>
    </row>
    <row r="1492" spans="3:21" customFormat="1" hidden="1">
      <c r="C1492" s="6"/>
      <c r="D1492" s="6"/>
      <c r="E1492" s="98"/>
      <c r="F1492" s="3"/>
      <c r="G1492" s="6"/>
      <c r="H1492" s="3"/>
      <c r="I1492" s="6"/>
      <c r="J1492" s="6"/>
      <c r="K1492" s="6"/>
      <c r="L1492" s="6"/>
      <c r="M1492" s="6"/>
      <c r="N1492" s="6"/>
      <c r="O1492" s="3"/>
      <c r="P1492" s="6"/>
      <c r="Q1492" s="6"/>
      <c r="R1492" s="6"/>
      <c r="S1492" s="6"/>
      <c r="T1492" s="6"/>
      <c r="U1492" t="str">
        <f t="shared" si="23"/>
        <v/>
      </c>
    </row>
    <row r="1493" spans="3:21" customFormat="1" hidden="1">
      <c r="C1493" s="6"/>
      <c r="D1493" s="6"/>
      <c r="E1493" s="98"/>
      <c r="F1493" s="3"/>
      <c r="G1493" s="6"/>
      <c r="H1493" s="3"/>
      <c r="I1493" s="6"/>
      <c r="J1493" s="6"/>
      <c r="K1493" s="6"/>
      <c r="L1493" s="6"/>
      <c r="M1493" s="6"/>
      <c r="N1493" s="6"/>
      <c r="O1493" s="3"/>
      <c r="P1493" s="6"/>
      <c r="Q1493" s="6"/>
      <c r="R1493" s="6"/>
      <c r="S1493" s="6"/>
      <c r="T1493" s="6"/>
      <c r="U1493" t="str">
        <f t="shared" si="23"/>
        <v/>
      </c>
    </row>
    <row r="1494" spans="3:21" customFormat="1" hidden="1">
      <c r="C1494" s="6"/>
      <c r="D1494" s="6"/>
      <c r="E1494" s="98"/>
      <c r="F1494" s="3"/>
      <c r="G1494" s="6"/>
      <c r="H1494" s="3"/>
      <c r="I1494" s="6"/>
      <c r="J1494" s="6"/>
      <c r="K1494" s="6"/>
      <c r="L1494" s="6"/>
      <c r="M1494" s="6"/>
      <c r="N1494" s="6"/>
      <c r="O1494" s="3"/>
      <c r="P1494" s="6"/>
      <c r="Q1494" s="6"/>
      <c r="R1494" s="6"/>
      <c r="S1494" s="6"/>
      <c r="T1494" s="6"/>
      <c r="U1494" t="str">
        <f t="shared" si="23"/>
        <v/>
      </c>
    </row>
    <row r="1495" spans="3:21" customFormat="1" hidden="1">
      <c r="C1495" s="6"/>
      <c r="D1495" s="6"/>
      <c r="E1495" s="98"/>
      <c r="F1495" s="3"/>
      <c r="G1495" s="6"/>
      <c r="H1495" s="3"/>
      <c r="I1495" s="6"/>
      <c r="J1495" s="6"/>
      <c r="K1495" s="6"/>
      <c r="L1495" s="6"/>
      <c r="M1495" s="6"/>
      <c r="N1495" s="6"/>
      <c r="O1495" s="3"/>
      <c r="P1495" s="6"/>
      <c r="Q1495" s="6"/>
      <c r="R1495" s="6"/>
      <c r="S1495" s="6"/>
      <c r="T1495" s="6"/>
      <c r="U1495" t="str">
        <f t="shared" si="23"/>
        <v/>
      </c>
    </row>
    <row r="1496" spans="3:21" customFormat="1" hidden="1">
      <c r="C1496" s="6"/>
      <c r="D1496" s="6"/>
      <c r="E1496" s="98"/>
      <c r="F1496" s="3"/>
      <c r="G1496" s="6"/>
      <c r="H1496" s="3"/>
      <c r="I1496" s="6"/>
      <c r="J1496" s="6"/>
      <c r="K1496" s="6"/>
      <c r="L1496" s="6"/>
      <c r="M1496" s="6"/>
      <c r="N1496" s="6"/>
      <c r="O1496" s="3"/>
      <c r="P1496" s="6"/>
      <c r="Q1496" s="6"/>
      <c r="R1496" s="6"/>
      <c r="S1496" s="6"/>
      <c r="T1496" s="6"/>
      <c r="U1496" t="str">
        <f t="shared" si="23"/>
        <v/>
      </c>
    </row>
    <row r="1497" spans="3:21" customFormat="1" hidden="1">
      <c r="C1497" s="6"/>
      <c r="D1497" s="6"/>
      <c r="E1497" s="98"/>
      <c r="F1497" s="3"/>
      <c r="G1497" s="6"/>
      <c r="H1497" s="3"/>
      <c r="I1497" s="6"/>
      <c r="J1497" s="6"/>
      <c r="K1497" s="6"/>
      <c r="L1497" s="6"/>
      <c r="M1497" s="6"/>
      <c r="N1497" s="6"/>
      <c r="O1497" s="3"/>
      <c r="P1497" s="6"/>
      <c r="Q1497" s="6"/>
      <c r="R1497" s="6"/>
      <c r="S1497" s="6"/>
      <c r="T1497" s="6"/>
      <c r="U1497" t="str">
        <f t="shared" si="23"/>
        <v/>
      </c>
    </row>
    <row r="1498" spans="3:21" customFormat="1" hidden="1">
      <c r="C1498" s="6"/>
      <c r="D1498" s="6"/>
      <c r="E1498" s="98"/>
      <c r="F1498" s="3"/>
      <c r="G1498" s="6"/>
      <c r="H1498" s="3"/>
      <c r="I1498" s="6"/>
      <c r="J1498" s="6"/>
      <c r="K1498" s="6"/>
      <c r="L1498" s="6"/>
      <c r="M1498" s="6"/>
      <c r="N1498" s="6"/>
      <c r="O1498" s="3"/>
      <c r="P1498" s="6"/>
      <c r="Q1498" s="6"/>
      <c r="R1498" s="6"/>
      <c r="S1498" s="6"/>
      <c r="T1498" s="6"/>
      <c r="U1498" t="str">
        <f t="shared" si="23"/>
        <v/>
      </c>
    </row>
    <row r="1499" spans="3:21" customFormat="1" hidden="1">
      <c r="C1499" s="6"/>
      <c r="D1499" s="6"/>
      <c r="E1499" s="98"/>
      <c r="F1499" s="3"/>
      <c r="G1499" s="6"/>
      <c r="H1499" s="3"/>
      <c r="I1499" s="6"/>
      <c r="J1499" s="6"/>
      <c r="K1499" s="6"/>
      <c r="L1499" s="6"/>
      <c r="M1499" s="6"/>
      <c r="N1499" s="6"/>
      <c r="O1499" s="3"/>
      <c r="P1499" s="6"/>
      <c r="Q1499" s="6"/>
      <c r="R1499" s="6"/>
      <c r="S1499" s="6"/>
      <c r="T1499" s="6"/>
      <c r="U1499" t="str">
        <f t="shared" si="23"/>
        <v/>
      </c>
    </row>
    <row r="1500" spans="3:21" customFormat="1" hidden="1">
      <c r="C1500" s="6"/>
      <c r="D1500" s="6"/>
      <c r="E1500" s="98"/>
      <c r="F1500" s="3"/>
      <c r="G1500" s="6"/>
      <c r="H1500" s="3"/>
      <c r="I1500" s="6"/>
      <c r="J1500" s="6"/>
      <c r="K1500" s="6"/>
      <c r="L1500" s="6"/>
      <c r="M1500" s="6"/>
      <c r="N1500" s="6"/>
      <c r="O1500" s="3"/>
      <c r="P1500" s="6"/>
      <c r="Q1500" s="6"/>
      <c r="R1500" s="6"/>
      <c r="S1500" s="6"/>
      <c r="T1500" s="6"/>
      <c r="U1500" t="str">
        <f t="shared" si="23"/>
        <v/>
      </c>
    </row>
    <row r="1501" spans="3:21" customFormat="1" hidden="1">
      <c r="C1501" s="6"/>
      <c r="D1501" s="6"/>
      <c r="E1501" s="98"/>
      <c r="F1501" s="3"/>
      <c r="G1501" s="6"/>
      <c r="H1501" s="3"/>
      <c r="I1501" s="6"/>
      <c r="J1501" s="6"/>
      <c r="K1501" s="6"/>
      <c r="L1501" s="6"/>
      <c r="M1501" s="6"/>
      <c r="N1501" s="6"/>
      <c r="O1501" s="3"/>
      <c r="P1501" s="6"/>
      <c r="Q1501" s="6"/>
      <c r="R1501" s="6"/>
      <c r="S1501" s="6"/>
      <c r="T1501" s="6"/>
      <c r="U1501" t="str">
        <f t="shared" si="23"/>
        <v/>
      </c>
    </row>
    <row r="1502" spans="3:21" customFormat="1" hidden="1">
      <c r="C1502" s="6"/>
      <c r="D1502" s="6"/>
      <c r="E1502" s="98"/>
      <c r="F1502" s="3"/>
      <c r="G1502" s="6"/>
      <c r="H1502" s="3"/>
      <c r="I1502" s="6"/>
      <c r="J1502" s="6"/>
      <c r="K1502" s="6"/>
      <c r="L1502" s="6"/>
      <c r="M1502" s="6"/>
      <c r="N1502" s="6"/>
      <c r="O1502" s="3"/>
      <c r="P1502" s="6"/>
      <c r="Q1502" s="6"/>
      <c r="R1502" s="6"/>
      <c r="S1502" s="6"/>
      <c r="T1502" s="6"/>
      <c r="U1502" t="str">
        <f t="shared" si="23"/>
        <v/>
      </c>
    </row>
    <row r="1503" spans="3:21" customFormat="1" hidden="1">
      <c r="C1503" s="6"/>
      <c r="D1503" s="6"/>
      <c r="E1503" s="98"/>
      <c r="F1503" s="3"/>
      <c r="G1503" s="6"/>
      <c r="H1503" s="3"/>
      <c r="I1503" s="6"/>
      <c r="J1503" s="6"/>
      <c r="K1503" s="6"/>
      <c r="L1503" s="6"/>
      <c r="M1503" s="6"/>
      <c r="N1503" s="6"/>
      <c r="O1503" s="3"/>
      <c r="P1503" s="6"/>
      <c r="Q1503" s="6"/>
      <c r="R1503" s="6"/>
      <c r="S1503" s="6"/>
      <c r="T1503" s="6"/>
      <c r="U1503" t="str">
        <f t="shared" si="23"/>
        <v/>
      </c>
    </row>
    <row r="1504" spans="3:21" customFormat="1" hidden="1">
      <c r="C1504" s="6"/>
      <c r="D1504" s="6"/>
      <c r="E1504" s="98"/>
      <c r="F1504" s="3"/>
      <c r="G1504" s="6"/>
      <c r="H1504" s="3"/>
      <c r="I1504" s="6"/>
      <c r="J1504" s="6"/>
      <c r="K1504" s="6"/>
      <c r="L1504" s="6"/>
      <c r="M1504" s="6"/>
      <c r="N1504" s="6"/>
      <c r="O1504" s="3"/>
      <c r="P1504" s="6"/>
      <c r="Q1504" s="6"/>
      <c r="R1504" s="6"/>
      <c r="S1504" s="6"/>
      <c r="T1504" s="6"/>
      <c r="U1504" t="str">
        <f t="shared" si="23"/>
        <v/>
      </c>
    </row>
    <row r="1505" spans="3:21" customFormat="1" hidden="1">
      <c r="C1505" s="6"/>
      <c r="D1505" s="6"/>
      <c r="E1505" s="98"/>
      <c r="F1505" s="3"/>
      <c r="G1505" s="6"/>
      <c r="H1505" s="3"/>
      <c r="I1505" s="6"/>
      <c r="J1505" s="6"/>
      <c r="K1505" s="6"/>
      <c r="L1505" s="6"/>
      <c r="M1505" s="6"/>
      <c r="N1505" s="6"/>
      <c r="O1505" s="3"/>
      <c r="P1505" s="6"/>
      <c r="Q1505" s="6"/>
      <c r="R1505" s="6"/>
      <c r="S1505" s="6"/>
      <c r="T1505" s="6"/>
      <c r="U1505" t="str">
        <f t="shared" si="23"/>
        <v/>
      </c>
    </row>
    <row r="1506" spans="3:21" customFormat="1" hidden="1">
      <c r="C1506" s="6"/>
      <c r="D1506" s="6"/>
      <c r="E1506" s="98"/>
      <c r="F1506" s="3"/>
      <c r="G1506" s="6"/>
      <c r="H1506" s="3"/>
      <c r="I1506" s="6"/>
      <c r="J1506" s="6"/>
      <c r="K1506" s="6"/>
      <c r="L1506" s="6"/>
      <c r="M1506" s="6"/>
      <c r="N1506" s="6"/>
      <c r="O1506" s="3"/>
      <c r="P1506" s="6"/>
      <c r="Q1506" s="6"/>
      <c r="R1506" s="6"/>
      <c r="S1506" s="6"/>
      <c r="T1506" s="6"/>
      <c r="U1506" t="str">
        <f t="shared" si="23"/>
        <v/>
      </c>
    </row>
    <row r="1507" spans="3:21" customFormat="1" hidden="1">
      <c r="C1507" s="6"/>
      <c r="D1507" s="6"/>
      <c r="E1507" s="98"/>
      <c r="F1507" s="3"/>
      <c r="G1507" s="6"/>
      <c r="H1507" s="3"/>
      <c r="I1507" s="6"/>
      <c r="J1507" s="6"/>
      <c r="K1507" s="6"/>
      <c r="L1507" s="6"/>
      <c r="M1507" s="6"/>
      <c r="N1507" s="6"/>
      <c r="O1507" s="3"/>
      <c r="P1507" s="6"/>
      <c r="Q1507" s="6"/>
      <c r="R1507" s="6"/>
      <c r="S1507" s="6"/>
      <c r="T1507" s="6"/>
      <c r="U1507" t="str">
        <f t="shared" si="23"/>
        <v/>
      </c>
    </row>
    <row r="1508" spans="3:21" customFormat="1" hidden="1">
      <c r="C1508" s="6"/>
      <c r="D1508" s="6"/>
      <c r="E1508" s="98"/>
      <c r="F1508" s="3"/>
      <c r="G1508" s="6"/>
      <c r="H1508" s="3"/>
      <c r="I1508" s="6"/>
      <c r="J1508" s="6"/>
      <c r="K1508" s="6"/>
      <c r="L1508" s="6"/>
      <c r="M1508" s="6"/>
      <c r="N1508" s="6"/>
      <c r="O1508" s="3"/>
      <c r="P1508" s="6"/>
      <c r="Q1508" s="6"/>
      <c r="R1508" s="6"/>
      <c r="S1508" s="6"/>
      <c r="T1508" s="6"/>
      <c r="U1508" t="str">
        <f t="shared" si="23"/>
        <v/>
      </c>
    </row>
    <row r="1509" spans="3:21" customFormat="1" hidden="1">
      <c r="C1509" s="6"/>
      <c r="D1509" s="6"/>
      <c r="E1509" s="98"/>
      <c r="F1509" s="3"/>
      <c r="G1509" s="6"/>
      <c r="H1509" s="3"/>
      <c r="I1509" s="6"/>
      <c r="J1509" s="6"/>
      <c r="K1509" s="6"/>
      <c r="L1509" s="6"/>
      <c r="M1509" s="6"/>
      <c r="N1509" s="6"/>
      <c r="O1509" s="3"/>
      <c r="P1509" s="6"/>
      <c r="Q1509" s="6"/>
      <c r="R1509" s="6"/>
      <c r="S1509" s="6"/>
      <c r="T1509" s="6"/>
      <c r="U1509" t="str">
        <f t="shared" si="23"/>
        <v/>
      </c>
    </row>
    <row r="1510" spans="3:21" customFormat="1" hidden="1">
      <c r="C1510" s="6"/>
      <c r="D1510" s="6"/>
      <c r="E1510" s="98"/>
      <c r="F1510" s="3"/>
      <c r="G1510" s="6"/>
      <c r="H1510" s="3"/>
      <c r="I1510" s="6"/>
      <c r="J1510" s="6"/>
      <c r="K1510" s="6"/>
      <c r="L1510" s="6"/>
      <c r="M1510" s="6"/>
      <c r="N1510" s="6"/>
      <c r="O1510" s="3"/>
      <c r="P1510" s="6"/>
      <c r="Q1510" s="6"/>
      <c r="R1510" s="6"/>
      <c r="S1510" s="6"/>
      <c r="T1510" s="6"/>
      <c r="U1510" t="str">
        <f t="shared" si="23"/>
        <v/>
      </c>
    </row>
    <row r="1511" spans="3:21" customFormat="1" hidden="1">
      <c r="C1511" s="6"/>
      <c r="D1511" s="6"/>
      <c r="E1511" s="98"/>
      <c r="F1511" s="3"/>
      <c r="G1511" s="6"/>
      <c r="H1511" s="3"/>
      <c r="I1511" s="6"/>
      <c r="J1511" s="6"/>
      <c r="K1511" s="6"/>
      <c r="L1511" s="6"/>
      <c r="M1511" s="6"/>
      <c r="N1511" s="6"/>
      <c r="O1511" s="3"/>
      <c r="P1511" s="6"/>
      <c r="Q1511" s="6"/>
      <c r="R1511" s="6"/>
      <c r="S1511" s="6"/>
      <c r="T1511" s="6"/>
      <c r="U1511" t="str">
        <f t="shared" si="23"/>
        <v/>
      </c>
    </row>
    <row r="1512" spans="3:21" customFormat="1" hidden="1">
      <c r="C1512" s="6"/>
      <c r="D1512" s="6"/>
      <c r="E1512" s="98"/>
      <c r="F1512" s="3"/>
      <c r="G1512" s="6"/>
      <c r="H1512" s="3"/>
      <c r="I1512" s="6"/>
      <c r="J1512" s="6"/>
      <c r="K1512" s="6"/>
      <c r="L1512" s="6"/>
      <c r="M1512" s="6"/>
      <c r="N1512" s="6"/>
      <c r="O1512" s="3"/>
      <c r="P1512" s="6"/>
      <c r="Q1512" s="6"/>
      <c r="R1512" s="6"/>
      <c r="S1512" s="6"/>
      <c r="T1512" s="6"/>
      <c r="U1512" t="str">
        <f t="shared" si="23"/>
        <v/>
      </c>
    </row>
    <row r="1513" spans="3:21" customFormat="1" hidden="1">
      <c r="C1513" s="6"/>
      <c r="D1513" s="6"/>
      <c r="E1513" s="98"/>
      <c r="F1513" s="3"/>
      <c r="G1513" s="6"/>
      <c r="H1513" s="3"/>
      <c r="I1513" s="6"/>
      <c r="J1513" s="6"/>
      <c r="K1513" s="6"/>
      <c r="L1513" s="6"/>
      <c r="M1513" s="6"/>
      <c r="N1513" s="6"/>
      <c r="O1513" s="3"/>
      <c r="P1513" s="6"/>
      <c r="Q1513" s="6"/>
      <c r="R1513" s="6"/>
      <c r="S1513" s="6"/>
      <c r="T1513" s="6"/>
      <c r="U1513" t="str">
        <f t="shared" si="23"/>
        <v/>
      </c>
    </row>
    <row r="1514" spans="3:21" customFormat="1" hidden="1">
      <c r="C1514" s="6"/>
      <c r="D1514" s="6"/>
      <c r="E1514" s="98"/>
      <c r="F1514" s="3"/>
      <c r="G1514" s="6"/>
      <c r="H1514" s="3"/>
      <c r="I1514" s="6"/>
      <c r="J1514" s="6"/>
      <c r="K1514" s="6"/>
      <c r="L1514" s="6"/>
      <c r="M1514" s="6"/>
      <c r="N1514" s="6"/>
      <c r="O1514" s="3"/>
      <c r="P1514" s="6"/>
      <c r="Q1514" s="6"/>
      <c r="R1514" s="6"/>
      <c r="S1514" s="6"/>
      <c r="T1514" s="6"/>
      <c r="U1514" t="str">
        <f t="shared" si="23"/>
        <v/>
      </c>
    </row>
    <row r="1515" spans="3:21" customFormat="1" hidden="1">
      <c r="C1515" s="6"/>
      <c r="D1515" s="6"/>
      <c r="E1515" s="98"/>
      <c r="F1515" s="3"/>
      <c r="G1515" s="6"/>
      <c r="H1515" s="3"/>
      <c r="I1515" s="6"/>
      <c r="J1515" s="6"/>
      <c r="K1515" s="6"/>
      <c r="L1515" s="6"/>
      <c r="M1515" s="6"/>
      <c r="N1515" s="6"/>
      <c r="O1515" s="3"/>
      <c r="P1515" s="6"/>
      <c r="Q1515" s="6"/>
      <c r="R1515" s="6"/>
      <c r="S1515" s="6"/>
      <c r="T1515" s="6"/>
      <c r="U1515" t="str">
        <f t="shared" si="23"/>
        <v/>
      </c>
    </row>
    <row r="1516" spans="3:21" customFormat="1" hidden="1">
      <c r="C1516" s="6"/>
      <c r="D1516" s="6"/>
      <c r="E1516" s="98"/>
      <c r="F1516" s="3"/>
      <c r="G1516" s="6"/>
      <c r="H1516" s="3"/>
      <c r="I1516" s="6"/>
      <c r="J1516" s="6"/>
      <c r="K1516" s="6"/>
      <c r="L1516" s="6"/>
      <c r="M1516" s="6"/>
      <c r="N1516" s="6"/>
      <c r="O1516" s="3"/>
      <c r="P1516" s="6"/>
      <c r="Q1516" s="6"/>
      <c r="R1516" s="6"/>
      <c r="S1516" s="6"/>
      <c r="T1516" s="6"/>
      <c r="U1516" t="str">
        <f t="shared" si="23"/>
        <v/>
      </c>
    </row>
    <row r="1517" spans="3:21" customFormat="1" hidden="1">
      <c r="C1517" s="6"/>
      <c r="D1517" s="6"/>
      <c r="E1517" s="98"/>
      <c r="F1517" s="3"/>
      <c r="G1517" s="6"/>
      <c r="H1517" s="3"/>
      <c r="I1517" s="6"/>
      <c r="J1517" s="6"/>
      <c r="K1517" s="6"/>
      <c r="L1517" s="6"/>
      <c r="M1517" s="6"/>
      <c r="N1517" s="6"/>
      <c r="O1517" s="3"/>
      <c r="P1517" s="6"/>
      <c r="Q1517" s="6"/>
      <c r="R1517" s="6"/>
      <c r="S1517" s="6"/>
      <c r="T1517" s="6"/>
      <c r="U1517" t="str">
        <f t="shared" si="23"/>
        <v/>
      </c>
    </row>
    <row r="1518" spans="3:21" customFormat="1" hidden="1">
      <c r="C1518" s="6"/>
      <c r="D1518" s="6"/>
      <c r="E1518" s="98"/>
      <c r="F1518" s="3"/>
      <c r="G1518" s="6"/>
      <c r="H1518" s="3"/>
      <c r="I1518" s="6"/>
      <c r="J1518" s="6"/>
      <c r="K1518" s="6"/>
      <c r="L1518" s="6"/>
      <c r="M1518" s="6"/>
      <c r="N1518" s="6"/>
      <c r="O1518" s="3"/>
      <c r="P1518" s="6"/>
      <c r="Q1518" s="6"/>
      <c r="R1518" s="6"/>
      <c r="S1518" s="6"/>
      <c r="T1518" s="6"/>
      <c r="U1518" t="str">
        <f t="shared" si="23"/>
        <v/>
      </c>
    </row>
    <row r="1519" spans="3:21" customFormat="1" hidden="1">
      <c r="C1519" s="6"/>
      <c r="D1519" s="6"/>
      <c r="E1519" s="98"/>
      <c r="F1519" s="3"/>
      <c r="G1519" s="6"/>
      <c r="H1519" s="3"/>
      <c r="I1519" s="6"/>
      <c r="J1519" s="6"/>
      <c r="K1519" s="6"/>
      <c r="L1519" s="6"/>
      <c r="M1519" s="6"/>
      <c r="N1519" s="6"/>
      <c r="O1519" s="3"/>
      <c r="P1519" s="6"/>
      <c r="Q1519" s="6"/>
      <c r="R1519" s="6"/>
      <c r="S1519" s="6"/>
      <c r="T1519" s="6"/>
      <c r="U1519" t="str">
        <f t="shared" si="23"/>
        <v/>
      </c>
    </row>
    <row r="1520" spans="3:21" customFormat="1" hidden="1">
      <c r="C1520" s="6"/>
      <c r="D1520" s="6"/>
      <c r="E1520" s="98"/>
      <c r="F1520" s="3"/>
      <c r="G1520" s="6"/>
      <c r="H1520" s="3"/>
      <c r="I1520" s="6"/>
      <c r="J1520" s="6"/>
      <c r="K1520" s="6"/>
      <c r="L1520" s="6"/>
      <c r="M1520" s="6"/>
      <c r="N1520" s="6"/>
      <c r="O1520" s="3"/>
      <c r="P1520" s="6"/>
      <c r="Q1520" s="6"/>
      <c r="R1520" s="6"/>
      <c r="S1520" s="6"/>
      <c r="T1520" s="6"/>
      <c r="U1520" t="str">
        <f t="shared" si="23"/>
        <v/>
      </c>
    </row>
    <row r="1521" spans="3:21" customFormat="1" hidden="1">
      <c r="C1521" s="6"/>
      <c r="D1521" s="6"/>
      <c r="E1521" s="98"/>
      <c r="F1521" s="3"/>
      <c r="G1521" s="6"/>
      <c r="H1521" s="3"/>
      <c r="I1521" s="6"/>
      <c r="J1521" s="6"/>
      <c r="K1521" s="6"/>
      <c r="L1521" s="6"/>
      <c r="M1521" s="6"/>
      <c r="N1521" s="6"/>
      <c r="O1521" s="3"/>
      <c r="P1521" s="6"/>
      <c r="Q1521" s="6"/>
      <c r="R1521" s="6"/>
      <c r="S1521" s="6"/>
      <c r="T1521" s="6"/>
      <c r="U1521" t="str">
        <f t="shared" si="23"/>
        <v/>
      </c>
    </row>
    <row r="1522" spans="3:21" customFormat="1" hidden="1">
      <c r="C1522" s="6"/>
      <c r="D1522" s="6"/>
      <c r="E1522" s="98"/>
      <c r="F1522" s="3"/>
      <c r="G1522" s="6"/>
      <c r="H1522" s="3"/>
      <c r="I1522" s="6"/>
      <c r="J1522" s="6"/>
      <c r="K1522" s="6"/>
      <c r="L1522" s="6"/>
      <c r="M1522" s="6"/>
      <c r="N1522" s="6"/>
      <c r="O1522" s="3"/>
      <c r="P1522" s="6"/>
      <c r="Q1522" s="6"/>
      <c r="R1522" s="6"/>
      <c r="S1522" s="6"/>
      <c r="T1522" s="6"/>
      <c r="U1522" t="str">
        <f t="shared" si="23"/>
        <v/>
      </c>
    </row>
    <row r="1523" spans="3:21" customFormat="1" hidden="1">
      <c r="C1523" s="6"/>
      <c r="D1523" s="6"/>
      <c r="E1523" s="98"/>
      <c r="F1523" s="3"/>
      <c r="G1523" s="6"/>
      <c r="H1523" s="3"/>
      <c r="I1523" s="6"/>
      <c r="J1523" s="6"/>
      <c r="K1523" s="6"/>
      <c r="L1523" s="6"/>
      <c r="M1523" s="6"/>
      <c r="N1523" s="6"/>
      <c r="O1523" s="3"/>
      <c r="P1523" s="6"/>
      <c r="Q1523" s="6"/>
      <c r="R1523" s="6"/>
      <c r="S1523" s="6"/>
      <c r="T1523" s="6"/>
      <c r="U1523" t="str">
        <f t="shared" si="23"/>
        <v/>
      </c>
    </row>
    <row r="1524" spans="3:21" customFormat="1" hidden="1">
      <c r="C1524" s="6"/>
      <c r="D1524" s="6"/>
      <c r="E1524" s="98"/>
      <c r="F1524" s="3"/>
      <c r="G1524" s="6"/>
      <c r="H1524" s="3"/>
      <c r="I1524" s="6"/>
      <c r="J1524" s="6"/>
      <c r="K1524" s="6"/>
      <c r="L1524" s="6"/>
      <c r="M1524" s="6"/>
      <c r="N1524" s="6"/>
      <c r="O1524" s="3"/>
      <c r="P1524" s="6"/>
      <c r="Q1524" s="6"/>
      <c r="R1524" s="6"/>
      <c r="S1524" s="6"/>
      <c r="T1524" s="6"/>
      <c r="U1524" t="str">
        <f t="shared" si="23"/>
        <v/>
      </c>
    </row>
    <row r="1525" spans="3:21" customFormat="1" hidden="1">
      <c r="C1525" s="6"/>
      <c r="D1525" s="6"/>
      <c r="E1525" s="98"/>
      <c r="F1525" s="3"/>
      <c r="G1525" s="6"/>
      <c r="H1525" s="3"/>
      <c r="I1525" s="6"/>
      <c r="J1525" s="6"/>
      <c r="K1525" s="6"/>
      <c r="L1525" s="6"/>
      <c r="M1525" s="6"/>
      <c r="N1525" s="6"/>
      <c r="O1525" s="3"/>
      <c r="P1525" s="6"/>
      <c r="Q1525" s="6"/>
      <c r="R1525" s="6"/>
      <c r="S1525" s="6"/>
      <c r="T1525" s="6"/>
      <c r="U1525" t="str">
        <f t="shared" si="23"/>
        <v/>
      </c>
    </row>
    <row r="1526" spans="3:21" customFormat="1" hidden="1">
      <c r="C1526" s="6"/>
      <c r="D1526" s="6"/>
      <c r="E1526" s="98"/>
      <c r="F1526" s="3"/>
      <c r="G1526" s="6"/>
      <c r="H1526" s="3"/>
      <c r="I1526" s="6"/>
      <c r="J1526" s="6"/>
      <c r="K1526" s="6"/>
      <c r="L1526" s="6"/>
      <c r="M1526" s="6"/>
      <c r="N1526" s="6"/>
      <c r="O1526" s="3"/>
      <c r="P1526" s="6"/>
      <c r="Q1526" s="6"/>
      <c r="R1526" s="6"/>
      <c r="S1526" s="6"/>
      <c r="T1526" s="6"/>
      <c r="U1526" t="str">
        <f t="shared" si="23"/>
        <v/>
      </c>
    </row>
    <row r="1527" spans="3:21" customFormat="1" hidden="1">
      <c r="C1527" s="6"/>
      <c r="D1527" s="6"/>
      <c r="E1527" s="98"/>
      <c r="F1527" s="3"/>
      <c r="G1527" s="6"/>
      <c r="H1527" s="3"/>
      <c r="I1527" s="6"/>
      <c r="J1527" s="6"/>
      <c r="K1527" s="6"/>
      <c r="L1527" s="6"/>
      <c r="M1527" s="6"/>
      <c r="N1527" s="6"/>
      <c r="O1527" s="3"/>
      <c r="P1527" s="6"/>
      <c r="Q1527" s="6"/>
      <c r="R1527" s="6"/>
      <c r="S1527" s="6"/>
      <c r="T1527" s="6"/>
      <c r="U1527" t="str">
        <f t="shared" si="23"/>
        <v/>
      </c>
    </row>
    <row r="1528" spans="3:21" customFormat="1" hidden="1">
      <c r="C1528" s="6"/>
      <c r="D1528" s="6"/>
      <c r="E1528" s="98"/>
      <c r="F1528" s="3"/>
      <c r="G1528" s="6"/>
      <c r="H1528" s="3"/>
      <c r="I1528" s="6"/>
      <c r="J1528" s="6"/>
      <c r="K1528" s="6"/>
      <c r="L1528" s="6"/>
      <c r="M1528" s="6"/>
      <c r="N1528" s="6"/>
      <c r="O1528" s="3"/>
      <c r="P1528" s="6"/>
      <c r="Q1528" s="6"/>
      <c r="R1528" s="6"/>
      <c r="S1528" s="6"/>
      <c r="T1528" s="6"/>
      <c r="U1528" t="str">
        <f t="shared" si="23"/>
        <v/>
      </c>
    </row>
    <row r="1529" spans="3:21" customFormat="1" hidden="1">
      <c r="C1529" s="6"/>
      <c r="D1529" s="6"/>
      <c r="E1529" s="98"/>
      <c r="F1529" s="3"/>
      <c r="G1529" s="6"/>
      <c r="H1529" s="3"/>
      <c r="I1529" s="6"/>
      <c r="J1529" s="6"/>
      <c r="K1529" s="6"/>
      <c r="L1529" s="6"/>
      <c r="M1529" s="6"/>
      <c r="N1529" s="6"/>
      <c r="O1529" s="3"/>
      <c r="P1529" s="6"/>
      <c r="Q1529" s="6"/>
      <c r="R1529" s="6"/>
      <c r="S1529" s="6"/>
      <c r="T1529" s="6"/>
      <c r="U1529" t="str">
        <f t="shared" si="23"/>
        <v/>
      </c>
    </row>
    <row r="1530" spans="3:21" customFormat="1" hidden="1">
      <c r="C1530" s="6"/>
      <c r="D1530" s="6"/>
      <c r="E1530" s="98"/>
      <c r="F1530" s="3"/>
      <c r="G1530" s="6"/>
      <c r="H1530" s="3"/>
      <c r="I1530" s="6"/>
      <c r="J1530" s="6"/>
      <c r="K1530" s="6"/>
      <c r="L1530" s="6"/>
      <c r="M1530" s="6"/>
      <c r="N1530" s="6"/>
      <c r="O1530" s="3"/>
      <c r="P1530" s="6"/>
      <c r="Q1530" s="6"/>
      <c r="R1530" s="6"/>
      <c r="S1530" s="6"/>
      <c r="T1530" s="6"/>
      <c r="U1530" t="str">
        <f t="shared" si="23"/>
        <v/>
      </c>
    </row>
    <row r="1531" spans="3:21" customFormat="1" hidden="1">
      <c r="C1531" s="6"/>
      <c r="D1531" s="6"/>
      <c r="E1531" s="98"/>
      <c r="F1531" s="3"/>
      <c r="G1531" s="6"/>
      <c r="H1531" s="3"/>
      <c r="I1531" s="6"/>
      <c r="J1531" s="6"/>
      <c r="K1531" s="6"/>
      <c r="L1531" s="6"/>
      <c r="M1531" s="6"/>
      <c r="N1531" s="6"/>
      <c r="O1531" s="3"/>
      <c r="P1531" s="6"/>
      <c r="Q1531" s="6"/>
      <c r="R1531" s="6"/>
      <c r="S1531" s="6"/>
      <c r="T1531" s="6"/>
      <c r="U1531" t="str">
        <f t="shared" si="23"/>
        <v/>
      </c>
    </row>
    <row r="1532" spans="3:21" customFormat="1" hidden="1">
      <c r="C1532" s="6"/>
      <c r="D1532" s="6"/>
      <c r="E1532" s="98"/>
      <c r="F1532" s="3"/>
      <c r="G1532" s="6"/>
      <c r="H1532" s="3"/>
      <c r="I1532" s="6"/>
      <c r="J1532" s="6"/>
      <c r="K1532" s="6"/>
      <c r="L1532" s="6"/>
      <c r="M1532" s="6"/>
      <c r="N1532" s="6"/>
      <c r="O1532" s="3"/>
      <c r="P1532" s="6"/>
      <c r="Q1532" s="6"/>
      <c r="R1532" s="6"/>
      <c r="S1532" s="6"/>
      <c r="T1532" s="6"/>
      <c r="U1532" t="str">
        <f t="shared" si="23"/>
        <v/>
      </c>
    </row>
    <row r="1533" spans="3:21" customFormat="1" hidden="1">
      <c r="C1533" s="6"/>
      <c r="D1533" s="6"/>
      <c r="E1533" s="98"/>
      <c r="F1533" s="3"/>
      <c r="G1533" s="6"/>
      <c r="H1533" s="3"/>
      <c r="I1533" s="6"/>
      <c r="J1533" s="6"/>
      <c r="K1533" s="6"/>
      <c r="L1533" s="6"/>
      <c r="M1533" s="6"/>
      <c r="N1533" s="6"/>
      <c r="O1533" s="3"/>
      <c r="P1533" s="6"/>
      <c r="Q1533" s="6"/>
      <c r="R1533" s="6"/>
      <c r="S1533" s="6"/>
      <c r="T1533" s="6"/>
      <c r="U1533" t="str">
        <f t="shared" si="23"/>
        <v/>
      </c>
    </row>
    <row r="1534" spans="3:21" customFormat="1" hidden="1">
      <c r="C1534" s="6"/>
      <c r="D1534" s="6"/>
      <c r="E1534" s="98"/>
      <c r="F1534" s="3"/>
      <c r="G1534" s="6"/>
      <c r="H1534" s="3"/>
      <c r="I1534" s="6"/>
      <c r="J1534" s="6"/>
      <c r="K1534" s="6"/>
      <c r="L1534" s="6"/>
      <c r="M1534" s="6"/>
      <c r="N1534" s="6"/>
      <c r="O1534" s="3"/>
      <c r="P1534" s="6"/>
      <c r="Q1534" s="6"/>
      <c r="R1534" s="6"/>
      <c r="S1534" s="6"/>
      <c r="T1534" s="6"/>
      <c r="U1534" t="str">
        <f t="shared" si="23"/>
        <v/>
      </c>
    </row>
    <row r="1535" spans="3:21" customFormat="1" hidden="1">
      <c r="C1535" s="6"/>
      <c r="D1535" s="6"/>
      <c r="E1535" s="98"/>
      <c r="F1535" s="3"/>
      <c r="G1535" s="6"/>
      <c r="H1535" s="3"/>
      <c r="I1535" s="6"/>
      <c r="J1535" s="6"/>
      <c r="K1535" s="6"/>
      <c r="L1535" s="6"/>
      <c r="M1535" s="6"/>
      <c r="N1535" s="6"/>
      <c r="O1535" s="3"/>
      <c r="P1535" s="6"/>
      <c r="Q1535" s="6"/>
      <c r="R1535" s="6"/>
      <c r="S1535" s="6"/>
      <c r="T1535" s="6"/>
      <c r="U1535" t="str">
        <f t="shared" si="23"/>
        <v/>
      </c>
    </row>
    <row r="1536" spans="3:21" customFormat="1" hidden="1">
      <c r="C1536" s="6"/>
      <c r="D1536" s="6"/>
      <c r="E1536" s="98"/>
      <c r="F1536" s="3"/>
      <c r="G1536" s="6"/>
      <c r="H1536" s="3"/>
      <c r="I1536" s="6"/>
      <c r="J1536" s="6"/>
      <c r="K1536" s="6"/>
      <c r="L1536" s="6"/>
      <c r="M1536" s="6"/>
      <c r="N1536" s="6"/>
      <c r="O1536" s="3"/>
      <c r="P1536" s="6"/>
      <c r="Q1536" s="6"/>
      <c r="R1536" s="6"/>
      <c r="S1536" s="6"/>
      <c r="T1536" s="6"/>
      <c r="U1536" t="str">
        <f t="shared" si="23"/>
        <v/>
      </c>
    </row>
    <row r="1537" spans="3:21" customFormat="1" hidden="1">
      <c r="C1537" s="6"/>
      <c r="D1537" s="6"/>
      <c r="E1537" s="98"/>
      <c r="F1537" s="3"/>
      <c r="G1537" s="6"/>
      <c r="H1537" s="3"/>
      <c r="I1537" s="6"/>
      <c r="J1537" s="6"/>
      <c r="K1537" s="6"/>
      <c r="L1537" s="6"/>
      <c r="M1537" s="6"/>
      <c r="N1537" s="6"/>
      <c r="O1537" s="3"/>
      <c r="P1537" s="6"/>
      <c r="Q1537" s="6"/>
      <c r="R1537" s="6"/>
      <c r="S1537" s="6"/>
      <c r="T1537" s="6"/>
      <c r="U1537" t="str">
        <f t="shared" si="23"/>
        <v/>
      </c>
    </row>
    <row r="1538" spans="3:21" customFormat="1" hidden="1">
      <c r="C1538" s="6"/>
      <c r="D1538" s="6"/>
      <c r="E1538" s="98"/>
      <c r="F1538" s="3"/>
      <c r="G1538" s="6"/>
      <c r="H1538" s="3"/>
      <c r="I1538" s="6"/>
      <c r="J1538" s="6"/>
      <c r="K1538" s="6"/>
      <c r="L1538" s="6"/>
      <c r="M1538" s="6"/>
      <c r="N1538" s="6"/>
      <c r="O1538" s="3"/>
      <c r="P1538" s="6"/>
      <c r="Q1538" s="6"/>
      <c r="R1538" s="6"/>
      <c r="S1538" s="6"/>
      <c r="T1538" s="6"/>
      <c r="U1538" t="str">
        <f t="shared" si="23"/>
        <v/>
      </c>
    </row>
    <row r="1539" spans="3:21" customFormat="1" hidden="1">
      <c r="C1539" s="6"/>
      <c r="D1539" s="6"/>
      <c r="E1539" s="98"/>
      <c r="F1539" s="3"/>
      <c r="G1539" s="6"/>
      <c r="H1539" s="3"/>
      <c r="I1539" s="6"/>
      <c r="J1539" s="6"/>
      <c r="K1539" s="6"/>
      <c r="L1539" s="6"/>
      <c r="M1539" s="6"/>
      <c r="N1539" s="6"/>
      <c r="O1539" s="3"/>
      <c r="P1539" s="6"/>
      <c r="Q1539" s="6"/>
      <c r="R1539" s="6"/>
      <c r="S1539" s="6"/>
      <c r="T1539" s="6"/>
      <c r="U1539" t="str">
        <f t="shared" si="23"/>
        <v/>
      </c>
    </row>
    <row r="1540" spans="3:21" customFormat="1" hidden="1">
      <c r="C1540" s="6"/>
      <c r="D1540" s="6"/>
      <c r="E1540" s="98"/>
      <c r="F1540" s="3"/>
      <c r="G1540" s="6"/>
      <c r="H1540" s="3"/>
      <c r="I1540" s="6"/>
      <c r="J1540" s="6"/>
      <c r="K1540" s="6"/>
      <c r="L1540" s="6"/>
      <c r="M1540" s="6"/>
      <c r="N1540" s="6"/>
      <c r="O1540" s="3"/>
      <c r="P1540" s="6"/>
      <c r="Q1540" s="6"/>
      <c r="R1540" s="6"/>
      <c r="S1540" s="6"/>
      <c r="T1540" s="6"/>
      <c r="U1540" t="str">
        <f t="shared" si="23"/>
        <v/>
      </c>
    </row>
    <row r="1541" spans="3:21" customFormat="1" hidden="1">
      <c r="C1541" s="6"/>
      <c r="D1541" s="6"/>
      <c r="E1541" s="98"/>
      <c r="F1541" s="3"/>
      <c r="G1541" s="6"/>
      <c r="H1541" s="3"/>
      <c r="I1541" s="6"/>
      <c r="J1541" s="6"/>
      <c r="K1541" s="6"/>
      <c r="L1541" s="6"/>
      <c r="M1541" s="6"/>
      <c r="N1541" s="6"/>
      <c r="O1541" s="3"/>
      <c r="P1541" s="6"/>
      <c r="Q1541" s="6"/>
      <c r="R1541" s="6"/>
      <c r="S1541" s="6"/>
      <c r="T1541" s="6"/>
      <c r="U1541" t="str">
        <f t="shared" si="23"/>
        <v/>
      </c>
    </row>
    <row r="1542" spans="3:21" customFormat="1" hidden="1">
      <c r="C1542" s="6"/>
      <c r="D1542" s="6"/>
      <c r="E1542" s="98"/>
      <c r="F1542" s="3"/>
      <c r="G1542" s="6"/>
      <c r="H1542" s="3"/>
      <c r="I1542" s="6"/>
      <c r="J1542" s="6"/>
      <c r="K1542" s="6"/>
      <c r="L1542" s="6"/>
      <c r="M1542" s="6"/>
      <c r="N1542" s="6"/>
      <c r="O1542" s="3"/>
      <c r="P1542" s="6"/>
      <c r="Q1542" s="6"/>
      <c r="R1542" s="6"/>
      <c r="S1542" s="6"/>
      <c r="T1542" s="6"/>
      <c r="U1542" t="str">
        <f t="shared" si="23"/>
        <v/>
      </c>
    </row>
    <row r="1543" spans="3:21" customFormat="1" hidden="1">
      <c r="C1543" s="6"/>
      <c r="D1543" s="6"/>
      <c r="E1543" s="98"/>
      <c r="F1543" s="3"/>
      <c r="G1543" s="6"/>
      <c r="H1543" s="3"/>
      <c r="I1543" s="6"/>
      <c r="J1543" s="6"/>
      <c r="K1543" s="6"/>
      <c r="L1543" s="6"/>
      <c r="M1543" s="6"/>
      <c r="N1543" s="6"/>
      <c r="O1543" s="3"/>
      <c r="P1543" s="6"/>
      <c r="Q1543" s="6"/>
      <c r="R1543" s="6"/>
      <c r="S1543" s="6"/>
      <c r="T1543" s="6"/>
      <c r="U1543" t="str">
        <f t="shared" ref="U1543:U1606" si="24">IF(D1543="","","x")</f>
        <v/>
      </c>
    </row>
    <row r="1544" spans="3:21" customFormat="1" hidden="1">
      <c r="C1544" s="6"/>
      <c r="D1544" s="6"/>
      <c r="E1544" s="98"/>
      <c r="F1544" s="3"/>
      <c r="G1544" s="6"/>
      <c r="H1544" s="3"/>
      <c r="I1544" s="6"/>
      <c r="J1544" s="6"/>
      <c r="K1544" s="6"/>
      <c r="L1544" s="6"/>
      <c r="M1544" s="6"/>
      <c r="N1544" s="6"/>
      <c r="O1544" s="3"/>
      <c r="P1544" s="6"/>
      <c r="Q1544" s="6"/>
      <c r="R1544" s="6"/>
      <c r="S1544" s="6"/>
      <c r="T1544" s="6"/>
      <c r="U1544" t="str">
        <f t="shared" si="24"/>
        <v/>
      </c>
    </row>
    <row r="1545" spans="3:21" customFormat="1" hidden="1">
      <c r="C1545" s="6"/>
      <c r="D1545" s="6"/>
      <c r="E1545" s="98"/>
      <c r="F1545" s="3"/>
      <c r="G1545" s="6"/>
      <c r="H1545" s="3"/>
      <c r="I1545" s="6"/>
      <c r="J1545" s="6"/>
      <c r="K1545" s="6"/>
      <c r="L1545" s="6"/>
      <c r="M1545" s="6"/>
      <c r="N1545" s="6"/>
      <c r="O1545" s="3"/>
      <c r="P1545" s="6"/>
      <c r="Q1545" s="6"/>
      <c r="R1545" s="6"/>
      <c r="S1545" s="6"/>
      <c r="T1545" s="6"/>
      <c r="U1545" t="str">
        <f t="shared" si="24"/>
        <v/>
      </c>
    </row>
    <row r="1546" spans="3:21" customFormat="1" hidden="1">
      <c r="C1546" s="6"/>
      <c r="D1546" s="6"/>
      <c r="E1546" s="98"/>
      <c r="F1546" s="3"/>
      <c r="G1546" s="6"/>
      <c r="H1546" s="3"/>
      <c r="I1546" s="6"/>
      <c r="J1546" s="6"/>
      <c r="K1546" s="6"/>
      <c r="L1546" s="6"/>
      <c r="M1546" s="6"/>
      <c r="N1546" s="6"/>
      <c r="O1546" s="3"/>
      <c r="P1546" s="6"/>
      <c r="Q1546" s="6"/>
      <c r="R1546" s="6"/>
      <c r="S1546" s="6"/>
      <c r="T1546" s="6"/>
      <c r="U1546" t="str">
        <f t="shared" si="24"/>
        <v/>
      </c>
    </row>
    <row r="1547" spans="3:21" customFormat="1" hidden="1">
      <c r="C1547" s="6"/>
      <c r="D1547" s="6"/>
      <c r="E1547" s="98"/>
      <c r="F1547" s="3"/>
      <c r="G1547" s="6"/>
      <c r="H1547" s="3"/>
      <c r="I1547" s="6"/>
      <c r="J1547" s="6"/>
      <c r="K1547" s="6"/>
      <c r="L1547" s="6"/>
      <c r="M1547" s="6"/>
      <c r="N1547" s="6"/>
      <c r="O1547" s="3"/>
      <c r="P1547" s="6"/>
      <c r="Q1547" s="6"/>
      <c r="R1547" s="6"/>
      <c r="S1547" s="6"/>
      <c r="T1547" s="6"/>
      <c r="U1547" t="str">
        <f t="shared" si="24"/>
        <v/>
      </c>
    </row>
    <row r="1548" spans="3:21" customFormat="1" hidden="1">
      <c r="C1548" s="6"/>
      <c r="D1548" s="6"/>
      <c r="E1548" s="98"/>
      <c r="F1548" s="3"/>
      <c r="G1548" s="6"/>
      <c r="H1548" s="3"/>
      <c r="I1548" s="6"/>
      <c r="J1548" s="6"/>
      <c r="K1548" s="6"/>
      <c r="L1548" s="6"/>
      <c r="M1548" s="6"/>
      <c r="N1548" s="6"/>
      <c r="O1548" s="3"/>
      <c r="P1548" s="6"/>
      <c r="Q1548" s="6"/>
      <c r="R1548" s="6"/>
      <c r="S1548" s="6"/>
      <c r="T1548" s="6"/>
      <c r="U1548" t="str">
        <f t="shared" si="24"/>
        <v/>
      </c>
    </row>
    <row r="1549" spans="3:21" customFormat="1" hidden="1">
      <c r="C1549" s="6"/>
      <c r="D1549" s="6"/>
      <c r="E1549" s="98"/>
      <c r="F1549" s="3"/>
      <c r="G1549" s="6"/>
      <c r="H1549" s="3"/>
      <c r="I1549" s="6"/>
      <c r="J1549" s="6"/>
      <c r="K1549" s="6"/>
      <c r="L1549" s="6"/>
      <c r="M1549" s="6"/>
      <c r="N1549" s="6"/>
      <c r="O1549" s="3"/>
      <c r="P1549" s="6"/>
      <c r="Q1549" s="6"/>
      <c r="R1549" s="6"/>
      <c r="S1549" s="6"/>
      <c r="T1549" s="6"/>
      <c r="U1549" t="str">
        <f t="shared" si="24"/>
        <v/>
      </c>
    </row>
    <row r="1550" spans="3:21" customFormat="1" hidden="1">
      <c r="C1550" s="6"/>
      <c r="D1550" s="6"/>
      <c r="E1550" s="98"/>
      <c r="F1550" s="3"/>
      <c r="G1550" s="6"/>
      <c r="H1550" s="3"/>
      <c r="I1550" s="6"/>
      <c r="J1550" s="6"/>
      <c r="K1550" s="6"/>
      <c r="L1550" s="6"/>
      <c r="M1550" s="6"/>
      <c r="N1550" s="6"/>
      <c r="O1550" s="3"/>
      <c r="P1550" s="6"/>
      <c r="Q1550" s="6"/>
      <c r="R1550" s="6"/>
      <c r="S1550" s="6"/>
      <c r="T1550" s="6"/>
      <c r="U1550" t="str">
        <f t="shared" si="24"/>
        <v/>
      </c>
    </row>
    <row r="1551" spans="3:21" customFormat="1" hidden="1">
      <c r="C1551" s="6"/>
      <c r="D1551" s="6"/>
      <c r="E1551" s="98"/>
      <c r="F1551" s="3"/>
      <c r="G1551" s="6"/>
      <c r="H1551" s="3"/>
      <c r="I1551" s="6"/>
      <c r="J1551" s="6"/>
      <c r="K1551" s="6"/>
      <c r="L1551" s="6"/>
      <c r="M1551" s="6"/>
      <c r="N1551" s="6"/>
      <c r="O1551" s="3"/>
      <c r="P1551" s="6"/>
      <c r="Q1551" s="6"/>
      <c r="R1551" s="6"/>
      <c r="S1551" s="6"/>
      <c r="T1551" s="6"/>
      <c r="U1551" t="str">
        <f t="shared" si="24"/>
        <v/>
      </c>
    </row>
    <row r="1552" spans="3:21" customFormat="1" hidden="1">
      <c r="C1552" s="6"/>
      <c r="D1552" s="6"/>
      <c r="E1552" s="98"/>
      <c r="F1552" s="3"/>
      <c r="G1552" s="6"/>
      <c r="H1552" s="3"/>
      <c r="I1552" s="6"/>
      <c r="J1552" s="6"/>
      <c r="K1552" s="6"/>
      <c r="L1552" s="6"/>
      <c r="M1552" s="6"/>
      <c r="N1552" s="6"/>
      <c r="O1552" s="3"/>
      <c r="P1552" s="6"/>
      <c r="Q1552" s="6"/>
      <c r="R1552" s="6"/>
      <c r="S1552" s="6"/>
      <c r="T1552" s="6"/>
      <c r="U1552" t="str">
        <f t="shared" si="24"/>
        <v/>
      </c>
    </row>
    <row r="1553" spans="3:21" customFormat="1" hidden="1">
      <c r="C1553" s="6"/>
      <c r="D1553" s="6"/>
      <c r="E1553" s="98"/>
      <c r="F1553" s="3"/>
      <c r="G1553" s="6"/>
      <c r="H1553" s="3"/>
      <c r="I1553" s="6"/>
      <c r="J1553" s="6"/>
      <c r="K1553" s="6"/>
      <c r="L1553" s="6"/>
      <c r="M1553" s="6"/>
      <c r="N1553" s="6"/>
      <c r="O1553" s="3"/>
      <c r="P1553" s="6"/>
      <c r="Q1553" s="6"/>
      <c r="R1553" s="6"/>
      <c r="S1553" s="6"/>
      <c r="T1553" s="6"/>
      <c r="U1553" t="str">
        <f t="shared" si="24"/>
        <v/>
      </c>
    </row>
    <row r="1554" spans="3:21" customFormat="1" hidden="1">
      <c r="C1554" s="6"/>
      <c r="D1554" s="6"/>
      <c r="E1554" s="98"/>
      <c r="F1554" s="3"/>
      <c r="G1554" s="6"/>
      <c r="H1554" s="3"/>
      <c r="I1554" s="6"/>
      <c r="J1554" s="6"/>
      <c r="K1554" s="6"/>
      <c r="L1554" s="6"/>
      <c r="M1554" s="6"/>
      <c r="N1554" s="6"/>
      <c r="O1554" s="3"/>
      <c r="P1554" s="6"/>
      <c r="Q1554" s="6"/>
      <c r="R1554" s="6"/>
      <c r="S1554" s="6"/>
      <c r="T1554" s="6"/>
      <c r="U1554" t="str">
        <f t="shared" si="24"/>
        <v/>
      </c>
    </row>
    <row r="1555" spans="3:21" customFormat="1" hidden="1">
      <c r="C1555" s="6"/>
      <c r="D1555" s="6"/>
      <c r="E1555" s="98"/>
      <c r="F1555" s="3"/>
      <c r="G1555" s="6"/>
      <c r="H1555" s="3"/>
      <c r="I1555" s="6"/>
      <c r="J1555" s="6"/>
      <c r="K1555" s="6"/>
      <c r="L1555" s="6"/>
      <c r="M1555" s="6"/>
      <c r="N1555" s="6"/>
      <c r="O1555" s="3"/>
      <c r="P1555" s="6"/>
      <c r="Q1555" s="6"/>
      <c r="R1555" s="6"/>
      <c r="S1555" s="6"/>
      <c r="T1555" s="6"/>
      <c r="U1555" t="str">
        <f t="shared" si="24"/>
        <v/>
      </c>
    </row>
    <row r="1556" spans="3:21" customFormat="1" hidden="1">
      <c r="C1556" s="6"/>
      <c r="D1556" s="6"/>
      <c r="E1556" s="98"/>
      <c r="F1556" s="3"/>
      <c r="G1556" s="6"/>
      <c r="H1556" s="3"/>
      <c r="I1556" s="6"/>
      <c r="J1556" s="6"/>
      <c r="K1556" s="6"/>
      <c r="L1556" s="6"/>
      <c r="M1556" s="6"/>
      <c r="N1556" s="6"/>
      <c r="O1556" s="3"/>
      <c r="P1556" s="6"/>
      <c r="Q1556" s="6"/>
      <c r="R1556" s="6"/>
      <c r="S1556" s="6"/>
      <c r="T1556" s="6"/>
      <c r="U1556" t="str">
        <f t="shared" si="24"/>
        <v/>
      </c>
    </row>
    <row r="1557" spans="3:21" customFormat="1" hidden="1">
      <c r="C1557" s="6"/>
      <c r="D1557" s="6"/>
      <c r="E1557" s="98"/>
      <c r="F1557" s="3"/>
      <c r="G1557" s="6"/>
      <c r="H1557" s="3"/>
      <c r="I1557" s="6"/>
      <c r="J1557" s="6"/>
      <c r="K1557" s="6"/>
      <c r="L1557" s="6"/>
      <c r="M1557" s="6"/>
      <c r="N1557" s="6"/>
      <c r="O1557" s="3"/>
      <c r="P1557" s="6"/>
      <c r="Q1557" s="6"/>
      <c r="R1557" s="6"/>
      <c r="S1557" s="6"/>
      <c r="T1557" s="6"/>
      <c r="U1557" t="str">
        <f t="shared" si="24"/>
        <v/>
      </c>
    </row>
    <row r="1558" spans="3:21" customFormat="1" hidden="1">
      <c r="C1558" s="6"/>
      <c r="D1558" s="6"/>
      <c r="E1558" s="98"/>
      <c r="F1558" s="3"/>
      <c r="G1558" s="6"/>
      <c r="H1558" s="3"/>
      <c r="I1558" s="6"/>
      <c r="J1558" s="6"/>
      <c r="K1558" s="6"/>
      <c r="L1558" s="6"/>
      <c r="M1558" s="6"/>
      <c r="N1558" s="6"/>
      <c r="O1558" s="3"/>
      <c r="P1558" s="6"/>
      <c r="Q1558" s="6"/>
      <c r="R1558" s="6"/>
      <c r="S1558" s="6"/>
      <c r="T1558" s="6"/>
      <c r="U1558" t="str">
        <f t="shared" si="24"/>
        <v/>
      </c>
    </row>
    <row r="1559" spans="3:21" customFormat="1" hidden="1">
      <c r="C1559" s="6"/>
      <c r="D1559" s="6"/>
      <c r="E1559" s="98"/>
      <c r="F1559" s="3"/>
      <c r="G1559" s="6"/>
      <c r="H1559" s="3"/>
      <c r="I1559" s="6"/>
      <c r="J1559" s="6"/>
      <c r="K1559" s="6"/>
      <c r="L1559" s="6"/>
      <c r="M1559" s="6"/>
      <c r="N1559" s="6"/>
      <c r="O1559" s="3"/>
      <c r="P1559" s="6"/>
      <c r="Q1559" s="6"/>
      <c r="R1559" s="6"/>
      <c r="S1559" s="6"/>
      <c r="T1559" s="6"/>
      <c r="U1559" t="str">
        <f t="shared" si="24"/>
        <v/>
      </c>
    </row>
    <row r="1560" spans="3:21" customFormat="1" hidden="1">
      <c r="C1560" s="6"/>
      <c r="D1560" s="6"/>
      <c r="E1560" s="98"/>
      <c r="F1560" s="3"/>
      <c r="G1560" s="6"/>
      <c r="H1560" s="3"/>
      <c r="I1560" s="6"/>
      <c r="J1560" s="6"/>
      <c r="K1560" s="6"/>
      <c r="L1560" s="6"/>
      <c r="M1560" s="6"/>
      <c r="N1560" s="6"/>
      <c r="O1560" s="3"/>
      <c r="P1560" s="6"/>
      <c r="Q1560" s="6"/>
      <c r="R1560" s="6"/>
      <c r="S1560" s="6"/>
      <c r="T1560" s="6"/>
      <c r="U1560" t="str">
        <f t="shared" si="24"/>
        <v/>
      </c>
    </row>
    <row r="1561" spans="3:21" customFormat="1" hidden="1">
      <c r="C1561" s="6"/>
      <c r="D1561" s="6"/>
      <c r="E1561" s="98"/>
      <c r="F1561" s="3"/>
      <c r="G1561" s="6"/>
      <c r="H1561" s="3"/>
      <c r="I1561" s="6"/>
      <c r="J1561" s="6"/>
      <c r="K1561" s="6"/>
      <c r="L1561" s="6"/>
      <c r="M1561" s="6"/>
      <c r="N1561" s="6"/>
      <c r="O1561" s="3"/>
      <c r="P1561" s="6"/>
      <c r="Q1561" s="6"/>
      <c r="R1561" s="6"/>
      <c r="S1561" s="6"/>
      <c r="T1561" s="6"/>
      <c r="U1561" t="str">
        <f t="shared" si="24"/>
        <v/>
      </c>
    </row>
    <row r="1562" spans="3:21" customFormat="1" hidden="1">
      <c r="C1562" s="6"/>
      <c r="D1562" s="6"/>
      <c r="E1562" s="98"/>
      <c r="F1562" s="3"/>
      <c r="G1562" s="6"/>
      <c r="H1562" s="3"/>
      <c r="I1562" s="6"/>
      <c r="J1562" s="6"/>
      <c r="K1562" s="6"/>
      <c r="L1562" s="6"/>
      <c r="M1562" s="6"/>
      <c r="N1562" s="6"/>
      <c r="O1562" s="3"/>
      <c r="P1562" s="6"/>
      <c r="Q1562" s="6"/>
      <c r="R1562" s="6"/>
      <c r="S1562" s="6"/>
      <c r="T1562" s="6"/>
      <c r="U1562" t="str">
        <f t="shared" si="24"/>
        <v/>
      </c>
    </row>
    <row r="1563" spans="3:21" customFormat="1" hidden="1">
      <c r="C1563" s="6"/>
      <c r="D1563" s="6"/>
      <c r="E1563" s="98"/>
      <c r="F1563" s="3"/>
      <c r="G1563" s="6"/>
      <c r="H1563" s="3"/>
      <c r="I1563" s="6"/>
      <c r="J1563" s="6"/>
      <c r="K1563" s="6"/>
      <c r="L1563" s="6"/>
      <c r="M1563" s="6"/>
      <c r="N1563" s="6"/>
      <c r="O1563" s="3"/>
      <c r="P1563" s="6"/>
      <c r="Q1563" s="6"/>
      <c r="R1563" s="6"/>
      <c r="S1563" s="6"/>
      <c r="T1563" s="6"/>
      <c r="U1563" t="str">
        <f t="shared" si="24"/>
        <v/>
      </c>
    </row>
    <row r="1564" spans="3:21" customFormat="1" hidden="1">
      <c r="C1564" s="6"/>
      <c r="D1564" s="6"/>
      <c r="E1564" s="98"/>
      <c r="F1564" s="3"/>
      <c r="G1564" s="6"/>
      <c r="H1564" s="3"/>
      <c r="I1564" s="6"/>
      <c r="J1564" s="6"/>
      <c r="K1564" s="6"/>
      <c r="L1564" s="6"/>
      <c r="M1564" s="6"/>
      <c r="N1564" s="6"/>
      <c r="O1564" s="3"/>
      <c r="P1564" s="6"/>
      <c r="Q1564" s="6"/>
      <c r="R1564" s="6"/>
      <c r="S1564" s="6"/>
      <c r="T1564" s="6"/>
      <c r="U1564" t="str">
        <f t="shared" si="24"/>
        <v/>
      </c>
    </row>
    <row r="1565" spans="3:21" customFormat="1" hidden="1">
      <c r="C1565" s="6"/>
      <c r="D1565" s="6"/>
      <c r="E1565" s="98"/>
      <c r="F1565" s="3"/>
      <c r="G1565" s="6"/>
      <c r="H1565" s="3"/>
      <c r="I1565" s="6"/>
      <c r="J1565" s="6"/>
      <c r="K1565" s="6"/>
      <c r="L1565" s="6"/>
      <c r="M1565" s="6"/>
      <c r="N1565" s="6"/>
      <c r="O1565" s="3"/>
      <c r="P1565" s="6"/>
      <c r="Q1565" s="6"/>
      <c r="R1565" s="6"/>
      <c r="S1565" s="6"/>
      <c r="T1565" s="6"/>
      <c r="U1565" t="str">
        <f t="shared" si="24"/>
        <v/>
      </c>
    </row>
    <row r="1566" spans="3:21" customFormat="1" hidden="1">
      <c r="C1566" s="6"/>
      <c r="D1566" s="6"/>
      <c r="E1566" s="98"/>
      <c r="F1566" s="3"/>
      <c r="G1566" s="6"/>
      <c r="H1566" s="3"/>
      <c r="I1566" s="6"/>
      <c r="J1566" s="6"/>
      <c r="K1566" s="6"/>
      <c r="L1566" s="6"/>
      <c r="M1566" s="6"/>
      <c r="N1566" s="6"/>
      <c r="O1566" s="3"/>
      <c r="P1566" s="6"/>
      <c r="Q1566" s="6"/>
      <c r="R1566" s="6"/>
      <c r="S1566" s="6"/>
      <c r="T1566" s="6"/>
      <c r="U1566" t="str">
        <f t="shared" si="24"/>
        <v/>
      </c>
    </row>
    <row r="1567" spans="3:21" customFormat="1" hidden="1">
      <c r="C1567" s="6"/>
      <c r="D1567" s="6"/>
      <c r="E1567" s="98"/>
      <c r="F1567" s="3"/>
      <c r="G1567" s="6"/>
      <c r="H1567" s="3"/>
      <c r="I1567" s="6"/>
      <c r="J1567" s="6"/>
      <c r="K1567" s="6"/>
      <c r="L1567" s="6"/>
      <c r="M1567" s="6"/>
      <c r="N1567" s="6"/>
      <c r="O1567" s="3"/>
      <c r="P1567" s="6"/>
      <c r="Q1567" s="6"/>
      <c r="R1567" s="6"/>
      <c r="S1567" s="6"/>
      <c r="T1567" s="6"/>
      <c r="U1567" t="str">
        <f t="shared" si="24"/>
        <v/>
      </c>
    </row>
    <row r="1568" spans="3:21" customFormat="1" hidden="1">
      <c r="C1568" s="6"/>
      <c r="D1568" s="6"/>
      <c r="E1568" s="98"/>
      <c r="F1568" s="3"/>
      <c r="G1568" s="6"/>
      <c r="H1568" s="3"/>
      <c r="I1568" s="6"/>
      <c r="J1568" s="6"/>
      <c r="K1568" s="6"/>
      <c r="L1568" s="6"/>
      <c r="M1568" s="6"/>
      <c r="N1568" s="6"/>
      <c r="O1568" s="3"/>
      <c r="P1568" s="6"/>
      <c r="Q1568" s="6"/>
      <c r="R1568" s="6"/>
      <c r="S1568" s="6"/>
      <c r="T1568" s="6"/>
      <c r="U1568" t="str">
        <f t="shared" si="24"/>
        <v/>
      </c>
    </row>
    <row r="1569" spans="3:21" customFormat="1" hidden="1">
      <c r="C1569" s="6"/>
      <c r="D1569" s="6"/>
      <c r="E1569" s="98"/>
      <c r="F1569" s="3"/>
      <c r="G1569" s="6"/>
      <c r="H1569" s="3"/>
      <c r="I1569" s="6"/>
      <c r="J1569" s="6"/>
      <c r="K1569" s="6"/>
      <c r="L1569" s="6"/>
      <c r="M1569" s="6"/>
      <c r="N1569" s="6"/>
      <c r="O1569" s="3"/>
      <c r="P1569" s="6"/>
      <c r="Q1569" s="6"/>
      <c r="R1569" s="6"/>
      <c r="S1569" s="6"/>
      <c r="T1569" s="6"/>
      <c r="U1569" t="str">
        <f t="shared" si="24"/>
        <v/>
      </c>
    </row>
    <row r="1570" spans="3:21" customFormat="1" hidden="1">
      <c r="C1570" s="6"/>
      <c r="D1570" s="6"/>
      <c r="E1570" s="98"/>
      <c r="F1570" s="3"/>
      <c r="G1570" s="6"/>
      <c r="H1570" s="3"/>
      <c r="I1570" s="6"/>
      <c r="J1570" s="6"/>
      <c r="K1570" s="6"/>
      <c r="L1570" s="6"/>
      <c r="M1570" s="6"/>
      <c r="N1570" s="6"/>
      <c r="O1570" s="3"/>
      <c r="P1570" s="6"/>
      <c r="Q1570" s="6"/>
      <c r="R1570" s="6"/>
      <c r="S1570" s="6"/>
      <c r="T1570" s="6"/>
      <c r="U1570" t="str">
        <f t="shared" si="24"/>
        <v/>
      </c>
    </row>
    <row r="1571" spans="3:21" customFormat="1" hidden="1">
      <c r="C1571" s="6"/>
      <c r="D1571" s="6"/>
      <c r="E1571" s="98"/>
      <c r="F1571" s="3"/>
      <c r="G1571" s="6"/>
      <c r="H1571" s="3"/>
      <c r="I1571" s="6"/>
      <c r="J1571" s="6"/>
      <c r="K1571" s="6"/>
      <c r="L1571" s="6"/>
      <c r="M1571" s="6"/>
      <c r="N1571" s="6"/>
      <c r="O1571" s="3"/>
      <c r="P1571" s="6"/>
      <c r="Q1571" s="6"/>
      <c r="R1571" s="6"/>
      <c r="S1571" s="6"/>
      <c r="T1571" s="6"/>
      <c r="U1571" t="str">
        <f t="shared" si="24"/>
        <v/>
      </c>
    </row>
    <row r="1572" spans="3:21" customFormat="1" hidden="1">
      <c r="C1572" s="6"/>
      <c r="D1572" s="6"/>
      <c r="E1572" s="98"/>
      <c r="F1572" s="3"/>
      <c r="G1572" s="6"/>
      <c r="H1572" s="3"/>
      <c r="I1572" s="6"/>
      <c r="J1572" s="6"/>
      <c r="K1572" s="6"/>
      <c r="L1572" s="6"/>
      <c r="M1572" s="6"/>
      <c r="N1572" s="6"/>
      <c r="O1572" s="3"/>
      <c r="P1572" s="6"/>
      <c r="Q1572" s="6"/>
      <c r="R1572" s="6"/>
      <c r="S1572" s="6"/>
      <c r="T1572" s="6"/>
      <c r="U1572" t="str">
        <f t="shared" si="24"/>
        <v/>
      </c>
    </row>
    <row r="1573" spans="3:21" customFormat="1" hidden="1">
      <c r="C1573" s="6"/>
      <c r="D1573" s="6"/>
      <c r="E1573" s="98"/>
      <c r="F1573" s="3"/>
      <c r="G1573" s="6"/>
      <c r="H1573" s="3"/>
      <c r="I1573" s="6"/>
      <c r="J1573" s="6"/>
      <c r="K1573" s="6"/>
      <c r="L1573" s="6"/>
      <c r="M1573" s="6"/>
      <c r="N1573" s="6"/>
      <c r="O1573" s="3"/>
      <c r="P1573" s="6"/>
      <c r="Q1573" s="6"/>
      <c r="R1573" s="6"/>
      <c r="S1573" s="6"/>
      <c r="T1573" s="6"/>
      <c r="U1573" t="str">
        <f t="shared" si="24"/>
        <v/>
      </c>
    </row>
    <row r="1574" spans="3:21" customFormat="1" hidden="1">
      <c r="C1574" s="6"/>
      <c r="D1574" s="6"/>
      <c r="E1574" s="98"/>
      <c r="F1574" s="3"/>
      <c r="G1574" s="6"/>
      <c r="H1574" s="3"/>
      <c r="I1574" s="6"/>
      <c r="J1574" s="6"/>
      <c r="K1574" s="6"/>
      <c r="L1574" s="6"/>
      <c r="M1574" s="6"/>
      <c r="N1574" s="6"/>
      <c r="O1574" s="3"/>
      <c r="P1574" s="6"/>
      <c r="Q1574" s="6"/>
      <c r="R1574" s="6"/>
      <c r="S1574" s="6"/>
      <c r="T1574" s="6"/>
      <c r="U1574" t="str">
        <f t="shared" si="24"/>
        <v/>
      </c>
    </row>
    <row r="1575" spans="3:21" customFormat="1" hidden="1">
      <c r="C1575" s="6"/>
      <c r="D1575" s="6"/>
      <c r="E1575" s="98"/>
      <c r="F1575" s="3"/>
      <c r="G1575" s="6"/>
      <c r="H1575" s="3"/>
      <c r="I1575" s="6"/>
      <c r="J1575" s="6"/>
      <c r="K1575" s="6"/>
      <c r="L1575" s="6"/>
      <c r="M1575" s="6"/>
      <c r="N1575" s="6"/>
      <c r="O1575" s="3"/>
      <c r="P1575" s="6"/>
      <c r="Q1575" s="6"/>
      <c r="R1575" s="6"/>
      <c r="S1575" s="6"/>
      <c r="T1575" s="6"/>
      <c r="U1575" t="str">
        <f t="shared" si="24"/>
        <v/>
      </c>
    </row>
    <row r="1576" spans="3:21" customFormat="1" hidden="1">
      <c r="C1576" s="6"/>
      <c r="D1576" s="6"/>
      <c r="E1576" s="98"/>
      <c r="F1576" s="3"/>
      <c r="G1576" s="6"/>
      <c r="H1576" s="3"/>
      <c r="I1576" s="6"/>
      <c r="J1576" s="6"/>
      <c r="K1576" s="6"/>
      <c r="L1576" s="6"/>
      <c r="M1576" s="6"/>
      <c r="N1576" s="6"/>
      <c r="O1576" s="3"/>
      <c r="P1576" s="6"/>
      <c r="Q1576" s="6"/>
      <c r="R1576" s="6"/>
      <c r="S1576" s="6"/>
      <c r="T1576" s="6"/>
      <c r="U1576" t="str">
        <f t="shared" si="24"/>
        <v/>
      </c>
    </row>
    <row r="1577" spans="3:21" customFormat="1" hidden="1">
      <c r="C1577" s="6"/>
      <c r="D1577" s="6"/>
      <c r="E1577" s="98"/>
      <c r="F1577" s="3"/>
      <c r="G1577" s="6"/>
      <c r="H1577" s="3"/>
      <c r="I1577" s="6"/>
      <c r="J1577" s="6"/>
      <c r="K1577" s="6"/>
      <c r="L1577" s="6"/>
      <c r="M1577" s="6"/>
      <c r="N1577" s="6"/>
      <c r="O1577" s="3"/>
      <c r="P1577" s="6"/>
      <c r="Q1577" s="6"/>
      <c r="R1577" s="6"/>
      <c r="S1577" s="6"/>
      <c r="T1577" s="6"/>
      <c r="U1577" t="str">
        <f t="shared" si="24"/>
        <v/>
      </c>
    </row>
    <row r="1578" spans="3:21" customFormat="1" hidden="1">
      <c r="C1578" s="6"/>
      <c r="D1578" s="6"/>
      <c r="E1578" s="98"/>
      <c r="F1578" s="3"/>
      <c r="G1578" s="6"/>
      <c r="H1578" s="3"/>
      <c r="I1578" s="6"/>
      <c r="J1578" s="6"/>
      <c r="K1578" s="6"/>
      <c r="L1578" s="6"/>
      <c r="M1578" s="6"/>
      <c r="N1578" s="6"/>
      <c r="O1578" s="3"/>
      <c r="P1578" s="6"/>
      <c r="Q1578" s="6"/>
      <c r="R1578" s="6"/>
      <c r="S1578" s="6"/>
      <c r="T1578" s="6"/>
      <c r="U1578" t="str">
        <f t="shared" si="24"/>
        <v/>
      </c>
    </row>
    <row r="1579" spans="3:21" customFormat="1" hidden="1">
      <c r="C1579" s="6"/>
      <c r="D1579" s="6"/>
      <c r="E1579" s="98"/>
      <c r="F1579" s="3"/>
      <c r="G1579" s="6"/>
      <c r="H1579" s="3"/>
      <c r="I1579" s="6"/>
      <c r="J1579" s="6"/>
      <c r="K1579" s="6"/>
      <c r="L1579" s="6"/>
      <c r="M1579" s="6"/>
      <c r="N1579" s="6"/>
      <c r="O1579" s="3"/>
      <c r="P1579" s="6"/>
      <c r="Q1579" s="6"/>
      <c r="R1579" s="6"/>
      <c r="S1579" s="6"/>
      <c r="T1579" s="6"/>
      <c r="U1579" t="str">
        <f t="shared" si="24"/>
        <v/>
      </c>
    </row>
    <row r="1580" spans="3:21" customFormat="1" hidden="1">
      <c r="C1580" s="6"/>
      <c r="D1580" s="6"/>
      <c r="E1580" s="98"/>
      <c r="F1580" s="3"/>
      <c r="G1580" s="6"/>
      <c r="H1580" s="3"/>
      <c r="I1580" s="6"/>
      <c r="J1580" s="6"/>
      <c r="K1580" s="6"/>
      <c r="L1580" s="6"/>
      <c r="M1580" s="6"/>
      <c r="N1580" s="6"/>
      <c r="O1580" s="3"/>
      <c r="P1580" s="6"/>
      <c r="Q1580" s="6"/>
      <c r="R1580" s="6"/>
      <c r="S1580" s="6"/>
      <c r="T1580" s="6"/>
      <c r="U1580" t="str">
        <f t="shared" si="24"/>
        <v/>
      </c>
    </row>
    <row r="1581" spans="3:21" customFormat="1" hidden="1">
      <c r="C1581" s="6"/>
      <c r="D1581" s="6"/>
      <c r="E1581" s="98"/>
      <c r="F1581" s="3"/>
      <c r="G1581" s="6"/>
      <c r="H1581" s="3"/>
      <c r="I1581" s="6"/>
      <c r="J1581" s="6"/>
      <c r="K1581" s="6"/>
      <c r="L1581" s="6"/>
      <c r="M1581" s="6"/>
      <c r="N1581" s="6"/>
      <c r="O1581" s="3"/>
      <c r="P1581" s="6"/>
      <c r="Q1581" s="6"/>
      <c r="R1581" s="6"/>
      <c r="S1581" s="6"/>
      <c r="T1581" s="6"/>
      <c r="U1581" t="str">
        <f t="shared" si="24"/>
        <v/>
      </c>
    </row>
    <row r="1582" spans="3:21" customFormat="1" hidden="1">
      <c r="C1582" s="6"/>
      <c r="D1582" s="6"/>
      <c r="E1582" s="98"/>
      <c r="F1582" s="3"/>
      <c r="G1582" s="6"/>
      <c r="H1582" s="3"/>
      <c r="I1582" s="6"/>
      <c r="J1582" s="6"/>
      <c r="K1582" s="6"/>
      <c r="L1582" s="6"/>
      <c r="M1582" s="6"/>
      <c r="N1582" s="6"/>
      <c r="O1582" s="3"/>
      <c r="P1582" s="6"/>
      <c r="Q1582" s="6"/>
      <c r="R1582" s="6"/>
      <c r="S1582" s="6"/>
      <c r="T1582" s="6"/>
      <c r="U1582" t="str">
        <f t="shared" si="24"/>
        <v/>
      </c>
    </row>
    <row r="1583" spans="3:21" customFormat="1" hidden="1">
      <c r="C1583" s="6"/>
      <c r="D1583" s="6"/>
      <c r="E1583" s="98"/>
      <c r="F1583" s="3"/>
      <c r="G1583" s="6"/>
      <c r="H1583" s="3"/>
      <c r="I1583" s="6"/>
      <c r="J1583" s="6"/>
      <c r="K1583" s="6"/>
      <c r="L1583" s="6"/>
      <c r="M1583" s="6"/>
      <c r="N1583" s="6"/>
      <c r="O1583" s="3"/>
      <c r="P1583" s="6"/>
      <c r="Q1583" s="6"/>
      <c r="R1583" s="6"/>
      <c r="S1583" s="6"/>
      <c r="T1583" s="6"/>
      <c r="U1583" t="str">
        <f t="shared" si="24"/>
        <v/>
      </c>
    </row>
    <row r="1584" spans="3:21" customFormat="1" hidden="1">
      <c r="C1584" s="6"/>
      <c r="D1584" s="6"/>
      <c r="E1584" s="98"/>
      <c r="F1584" s="3"/>
      <c r="G1584" s="6"/>
      <c r="H1584" s="3"/>
      <c r="I1584" s="6"/>
      <c r="J1584" s="6"/>
      <c r="K1584" s="6"/>
      <c r="L1584" s="6"/>
      <c r="M1584" s="6"/>
      <c r="N1584" s="6"/>
      <c r="O1584" s="3"/>
      <c r="P1584" s="6"/>
      <c r="Q1584" s="6"/>
      <c r="R1584" s="6"/>
      <c r="S1584" s="6"/>
      <c r="T1584" s="6"/>
      <c r="U1584" t="str">
        <f t="shared" si="24"/>
        <v/>
      </c>
    </row>
    <row r="1585" spans="3:21" customFormat="1" hidden="1">
      <c r="C1585" s="6"/>
      <c r="D1585" s="6"/>
      <c r="E1585" s="98"/>
      <c r="F1585" s="3"/>
      <c r="G1585" s="6"/>
      <c r="H1585" s="3"/>
      <c r="I1585" s="6"/>
      <c r="J1585" s="6"/>
      <c r="K1585" s="6"/>
      <c r="L1585" s="6"/>
      <c r="M1585" s="6"/>
      <c r="N1585" s="6"/>
      <c r="O1585" s="3"/>
      <c r="P1585" s="6"/>
      <c r="Q1585" s="6"/>
      <c r="R1585" s="6"/>
      <c r="S1585" s="6"/>
      <c r="T1585" s="6"/>
      <c r="U1585" t="str">
        <f t="shared" si="24"/>
        <v/>
      </c>
    </row>
    <row r="1586" spans="3:21" customFormat="1" hidden="1">
      <c r="C1586" s="6"/>
      <c r="D1586" s="6"/>
      <c r="E1586" s="98"/>
      <c r="F1586" s="3"/>
      <c r="G1586" s="6"/>
      <c r="H1586" s="3"/>
      <c r="I1586" s="6"/>
      <c r="J1586" s="6"/>
      <c r="K1586" s="6"/>
      <c r="L1586" s="6"/>
      <c r="M1586" s="6"/>
      <c r="N1586" s="6"/>
      <c r="O1586" s="3"/>
      <c r="P1586" s="6"/>
      <c r="Q1586" s="6"/>
      <c r="R1586" s="6"/>
      <c r="S1586" s="6"/>
      <c r="T1586" s="6"/>
      <c r="U1586" t="str">
        <f t="shared" si="24"/>
        <v/>
      </c>
    </row>
    <row r="1587" spans="3:21" customFormat="1" hidden="1">
      <c r="C1587" s="6"/>
      <c r="D1587" s="6"/>
      <c r="E1587" s="98"/>
      <c r="F1587" s="3"/>
      <c r="G1587" s="6"/>
      <c r="H1587" s="3"/>
      <c r="I1587" s="6"/>
      <c r="J1587" s="6"/>
      <c r="K1587" s="6"/>
      <c r="L1587" s="6"/>
      <c r="M1587" s="6"/>
      <c r="N1587" s="6"/>
      <c r="O1587" s="3"/>
      <c r="P1587" s="6"/>
      <c r="Q1587" s="6"/>
      <c r="R1587" s="6"/>
      <c r="S1587" s="6"/>
      <c r="T1587" s="6"/>
      <c r="U1587" t="str">
        <f t="shared" si="24"/>
        <v/>
      </c>
    </row>
    <row r="1588" spans="3:21" customFormat="1" hidden="1">
      <c r="C1588" s="6"/>
      <c r="D1588" s="6"/>
      <c r="E1588" s="98"/>
      <c r="F1588" s="3"/>
      <c r="G1588" s="6"/>
      <c r="H1588" s="3"/>
      <c r="I1588" s="6"/>
      <c r="J1588" s="6"/>
      <c r="K1588" s="6"/>
      <c r="L1588" s="6"/>
      <c r="M1588" s="6"/>
      <c r="N1588" s="6"/>
      <c r="O1588" s="3"/>
      <c r="P1588" s="6"/>
      <c r="Q1588" s="6"/>
      <c r="R1588" s="6"/>
      <c r="S1588" s="6"/>
      <c r="T1588" s="6"/>
      <c r="U1588" t="str">
        <f t="shared" si="24"/>
        <v/>
      </c>
    </row>
    <row r="1589" spans="3:21" customFormat="1" hidden="1">
      <c r="C1589" s="6"/>
      <c r="D1589" s="6"/>
      <c r="E1589" s="98"/>
      <c r="F1589" s="3"/>
      <c r="G1589" s="6"/>
      <c r="H1589" s="3"/>
      <c r="I1589" s="6"/>
      <c r="J1589" s="6"/>
      <c r="K1589" s="6"/>
      <c r="L1589" s="6"/>
      <c r="M1589" s="6"/>
      <c r="N1589" s="6"/>
      <c r="O1589" s="3"/>
      <c r="P1589" s="6"/>
      <c r="Q1589" s="6"/>
      <c r="R1589" s="6"/>
      <c r="S1589" s="6"/>
      <c r="T1589" s="6"/>
      <c r="U1589" t="str">
        <f t="shared" si="24"/>
        <v/>
      </c>
    </row>
    <row r="1590" spans="3:21" customFormat="1" hidden="1">
      <c r="C1590" s="6"/>
      <c r="D1590" s="6"/>
      <c r="E1590" s="98"/>
      <c r="F1590" s="3"/>
      <c r="G1590" s="6"/>
      <c r="H1590" s="3"/>
      <c r="I1590" s="6"/>
      <c r="J1590" s="6"/>
      <c r="K1590" s="6"/>
      <c r="L1590" s="6"/>
      <c r="M1590" s="6"/>
      <c r="N1590" s="6"/>
      <c r="O1590" s="3"/>
      <c r="P1590" s="6"/>
      <c r="Q1590" s="6"/>
      <c r="R1590" s="6"/>
      <c r="S1590" s="6"/>
      <c r="T1590" s="6"/>
      <c r="U1590" t="str">
        <f t="shared" si="24"/>
        <v/>
      </c>
    </row>
    <row r="1591" spans="3:21" customFormat="1" hidden="1">
      <c r="C1591" s="6"/>
      <c r="D1591" s="6"/>
      <c r="E1591" s="98"/>
      <c r="F1591" s="3"/>
      <c r="G1591" s="6"/>
      <c r="H1591" s="3"/>
      <c r="I1591" s="6"/>
      <c r="J1591" s="6"/>
      <c r="K1591" s="6"/>
      <c r="L1591" s="6"/>
      <c r="M1591" s="6"/>
      <c r="N1591" s="6"/>
      <c r="O1591" s="3"/>
      <c r="P1591" s="6"/>
      <c r="Q1591" s="6"/>
      <c r="R1591" s="6"/>
      <c r="S1591" s="6"/>
      <c r="T1591" s="6"/>
      <c r="U1591" t="str">
        <f t="shared" si="24"/>
        <v/>
      </c>
    </row>
    <row r="1592" spans="3:21" customFormat="1" hidden="1">
      <c r="C1592" s="6"/>
      <c r="D1592" s="6"/>
      <c r="E1592" s="98"/>
      <c r="F1592" s="3"/>
      <c r="G1592" s="6"/>
      <c r="H1592" s="3"/>
      <c r="I1592" s="6"/>
      <c r="J1592" s="6"/>
      <c r="K1592" s="6"/>
      <c r="L1592" s="6"/>
      <c r="M1592" s="6"/>
      <c r="N1592" s="6"/>
      <c r="O1592" s="3"/>
      <c r="P1592" s="6"/>
      <c r="Q1592" s="6"/>
      <c r="R1592" s="6"/>
      <c r="S1592" s="6"/>
      <c r="T1592" s="6"/>
      <c r="U1592" t="str">
        <f t="shared" si="24"/>
        <v/>
      </c>
    </row>
    <row r="1593" spans="3:21" customFormat="1" hidden="1">
      <c r="C1593" s="6"/>
      <c r="D1593" s="6"/>
      <c r="E1593" s="98"/>
      <c r="F1593" s="3"/>
      <c r="G1593" s="6"/>
      <c r="H1593" s="3"/>
      <c r="I1593" s="6"/>
      <c r="J1593" s="6"/>
      <c r="K1593" s="6"/>
      <c r="L1593" s="6"/>
      <c r="M1593" s="6"/>
      <c r="N1593" s="6"/>
      <c r="O1593" s="3"/>
      <c r="P1593" s="6"/>
      <c r="Q1593" s="6"/>
      <c r="R1593" s="6"/>
      <c r="S1593" s="6"/>
      <c r="T1593" s="6"/>
      <c r="U1593" t="str">
        <f t="shared" si="24"/>
        <v/>
      </c>
    </row>
    <row r="1594" spans="3:21" customFormat="1" hidden="1">
      <c r="C1594" s="6"/>
      <c r="D1594" s="6"/>
      <c r="E1594" s="98"/>
      <c r="F1594" s="3"/>
      <c r="G1594" s="6"/>
      <c r="H1594" s="3"/>
      <c r="I1594" s="6"/>
      <c r="J1594" s="6"/>
      <c r="K1594" s="6"/>
      <c r="L1594" s="6"/>
      <c r="M1594" s="6"/>
      <c r="N1594" s="6"/>
      <c r="O1594" s="3"/>
      <c r="P1594" s="6"/>
      <c r="Q1594" s="6"/>
      <c r="R1594" s="6"/>
      <c r="S1594" s="6"/>
      <c r="T1594" s="6"/>
      <c r="U1594" t="str">
        <f t="shared" si="24"/>
        <v/>
      </c>
    </row>
    <row r="1595" spans="3:21" customFormat="1" hidden="1">
      <c r="C1595" s="6"/>
      <c r="D1595" s="6"/>
      <c r="E1595" s="98"/>
      <c r="F1595" s="3"/>
      <c r="G1595" s="6"/>
      <c r="H1595" s="3"/>
      <c r="I1595" s="6"/>
      <c r="J1595" s="6"/>
      <c r="K1595" s="6"/>
      <c r="L1595" s="6"/>
      <c r="M1595" s="6"/>
      <c r="N1595" s="6"/>
      <c r="O1595" s="3"/>
      <c r="P1595" s="6"/>
      <c r="Q1595" s="6"/>
      <c r="R1595" s="6"/>
      <c r="S1595" s="6"/>
      <c r="T1595" s="6"/>
      <c r="U1595" t="str">
        <f t="shared" si="24"/>
        <v/>
      </c>
    </row>
    <row r="1596" spans="3:21" customFormat="1" hidden="1">
      <c r="C1596" s="6"/>
      <c r="D1596" s="6"/>
      <c r="E1596" s="98"/>
      <c r="F1596" s="3"/>
      <c r="G1596" s="6"/>
      <c r="H1596" s="3"/>
      <c r="I1596" s="6"/>
      <c r="J1596" s="6"/>
      <c r="K1596" s="6"/>
      <c r="L1596" s="6"/>
      <c r="M1596" s="6"/>
      <c r="N1596" s="6"/>
      <c r="O1596" s="3"/>
      <c r="P1596" s="6"/>
      <c r="Q1596" s="6"/>
      <c r="R1596" s="6"/>
      <c r="S1596" s="6"/>
      <c r="T1596" s="6"/>
      <c r="U1596" t="str">
        <f t="shared" si="24"/>
        <v/>
      </c>
    </row>
    <row r="1597" spans="3:21" customFormat="1" hidden="1">
      <c r="C1597" s="6"/>
      <c r="D1597" s="6"/>
      <c r="E1597" s="98"/>
      <c r="F1597" s="3"/>
      <c r="G1597" s="6"/>
      <c r="H1597" s="3"/>
      <c r="I1597" s="6"/>
      <c r="J1597" s="6"/>
      <c r="K1597" s="6"/>
      <c r="L1597" s="6"/>
      <c r="M1597" s="6"/>
      <c r="N1597" s="6"/>
      <c r="O1597" s="3"/>
      <c r="P1597" s="6"/>
      <c r="Q1597" s="6"/>
      <c r="R1597" s="6"/>
      <c r="S1597" s="6"/>
      <c r="T1597" s="6"/>
      <c r="U1597" t="str">
        <f t="shared" si="24"/>
        <v/>
      </c>
    </row>
    <row r="1598" spans="3:21" customFormat="1" hidden="1">
      <c r="C1598" s="6"/>
      <c r="D1598" s="6"/>
      <c r="E1598" s="98"/>
      <c r="F1598" s="3"/>
      <c r="G1598" s="6"/>
      <c r="H1598" s="3"/>
      <c r="I1598" s="6"/>
      <c r="J1598" s="6"/>
      <c r="K1598" s="6"/>
      <c r="L1598" s="6"/>
      <c r="M1598" s="6"/>
      <c r="N1598" s="6"/>
      <c r="O1598" s="3"/>
      <c r="P1598" s="6"/>
      <c r="Q1598" s="6"/>
      <c r="R1598" s="6"/>
      <c r="S1598" s="6"/>
      <c r="T1598" s="6"/>
      <c r="U1598" t="str">
        <f t="shared" si="24"/>
        <v/>
      </c>
    </row>
    <row r="1599" spans="3:21" customFormat="1" hidden="1">
      <c r="C1599" s="6"/>
      <c r="D1599" s="6"/>
      <c r="E1599" s="98"/>
      <c r="F1599" s="3"/>
      <c r="G1599" s="6"/>
      <c r="H1599" s="3"/>
      <c r="I1599" s="6"/>
      <c r="J1599" s="6"/>
      <c r="K1599" s="6"/>
      <c r="L1599" s="6"/>
      <c r="M1599" s="6"/>
      <c r="N1599" s="6"/>
      <c r="O1599" s="3"/>
      <c r="P1599" s="6"/>
      <c r="Q1599" s="6"/>
      <c r="R1599" s="6"/>
      <c r="S1599" s="6"/>
      <c r="T1599" s="6"/>
      <c r="U1599" t="str">
        <f t="shared" si="24"/>
        <v/>
      </c>
    </row>
    <row r="1600" spans="3:21" customFormat="1" hidden="1">
      <c r="C1600" s="6"/>
      <c r="D1600" s="6"/>
      <c r="E1600" s="98"/>
      <c r="F1600" s="3"/>
      <c r="G1600" s="6"/>
      <c r="H1600" s="3"/>
      <c r="I1600" s="6"/>
      <c r="J1600" s="6"/>
      <c r="K1600" s="6"/>
      <c r="L1600" s="6"/>
      <c r="M1600" s="6"/>
      <c r="N1600" s="6"/>
      <c r="O1600" s="3"/>
      <c r="P1600" s="6"/>
      <c r="Q1600" s="6"/>
      <c r="R1600" s="6"/>
      <c r="S1600" s="6"/>
      <c r="T1600" s="6"/>
      <c r="U1600" t="str">
        <f t="shared" si="24"/>
        <v/>
      </c>
    </row>
    <row r="1601" spans="3:21" customFormat="1" hidden="1">
      <c r="C1601" s="6"/>
      <c r="D1601" s="6"/>
      <c r="E1601" s="98"/>
      <c r="F1601" s="3"/>
      <c r="G1601" s="6"/>
      <c r="H1601" s="3"/>
      <c r="I1601" s="6"/>
      <c r="J1601" s="6"/>
      <c r="K1601" s="6"/>
      <c r="L1601" s="6"/>
      <c r="M1601" s="6"/>
      <c r="N1601" s="6"/>
      <c r="O1601" s="3"/>
      <c r="P1601" s="6"/>
      <c r="Q1601" s="6"/>
      <c r="R1601" s="6"/>
      <c r="S1601" s="6"/>
      <c r="T1601" s="6"/>
      <c r="U1601" t="str">
        <f t="shared" si="24"/>
        <v/>
      </c>
    </row>
    <row r="1602" spans="3:21" customFormat="1" hidden="1">
      <c r="C1602" s="6"/>
      <c r="D1602" s="6"/>
      <c r="E1602" s="98"/>
      <c r="F1602" s="3"/>
      <c r="G1602" s="6"/>
      <c r="H1602" s="3"/>
      <c r="I1602" s="6"/>
      <c r="J1602" s="6"/>
      <c r="K1602" s="6"/>
      <c r="L1602" s="6"/>
      <c r="M1602" s="6"/>
      <c r="N1602" s="6"/>
      <c r="O1602" s="3"/>
      <c r="P1602" s="6"/>
      <c r="Q1602" s="6"/>
      <c r="R1602" s="6"/>
      <c r="S1602" s="6"/>
      <c r="T1602" s="6"/>
      <c r="U1602" t="str">
        <f t="shared" si="24"/>
        <v/>
      </c>
    </row>
    <row r="1603" spans="3:21" customFormat="1" hidden="1">
      <c r="C1603" s="6"/>
      <c r="D1603" s="6"/>
      <c r="E1603" s="98"/>
      <c r="F1603" s="3"/>
      <c r="G1603" s="6"/>
      <c r="H1603" s="3"/>
      <c r="I1603" s="6"/>
      <c r="J1603" s="6"/>
      <c r="K1603" s="6"/>
      <c r="L1603" s="6"/>
      <c r="M1603" s="6"/>
      <c r="N1603" s="6"/>
      <c r="O1603" s="3"/>
      <c r="P1603" s="6"/>
      <c r="Q1603" s="6"/>
      <c r="R1603" s="6"/>
      <c r="S1603" s="6"/>
      <c r="T1603" s="6"/>
      <c r="U1603" t="str">
        <f t="shared" si="24"/>
        <v/>
      </c>
    </row>
    <row r="1604" spans="3:21" customFormat="1" hidden="1">
      <c r="C1604" s="6"/>
      <c r="D1604" s="6"/>
      <c r="E1604" s="98"/>
      <c r="F1604" s="3"/>
      <c r="G1604" s="6"/>
      <c r="H1604" s="3"/>
      <c r="I1604" s="6"/>
      <c r="J1604" s="6"/>
      <c r="K1604" s="6"/>
      <c r="L1604" s="6"/>
      <c r="M1604" s="6"/>
      <c r="N1604" s="6"/>
      <c r="O1604" s="3"/>
      <c r="P1604" s="6"/>
      <c r="Q1604" s="6"/>
      <c r="R1604" s="6"/>
      <c r="S1604" s="6"/>
      <c r="T1604" s="6"/>
      <c r="U1604" t="str">
        <f t="shared" si="24"/>
        <v/>
      </c>
    </row>
    <row r="1605" spans="3:21" customFormat="1" hidden="1">
      <c r="C1605" s="6"/>
      <c r="D1605" s="6"/>
      <c r="E1605" s="98"/>
      <c r="F1605" s="3"/>
      <c r="G1605" s="6"/>
      <c r="H1605" s="3"/>
      <c r="I1605" s="6"/>
      <c r="J1605" s="6"/>
      <c r="K1605" s="6"/>
      <c r="L1605" s="6"/>
      <c r="M1605" s="6"/>
      <c r="N1605" s="6"/>
      <c r="O1605" s="3"/>
      <c r="P1605" s="6"/>
      <c r="Q1605" s="6"/>
      <c r="R1605" s="6"/>
      <c r="S1605" s="6"/>
      <c r="T1605" s="6"/>
      <c r="U1605" t="str">
        <f t="shared" si="24"/>
        <v/>
      </c>
    </row>
    <row r="1606" spans="3:21" customFormat="1" hidden="1">
      <c r="C1606" s="6"/>
      <c r="D1606" s="6"/>
      <c r="E1606" s="98"/>
      <c r="F1606" s="3"/>
      <c r="G1606" s="6"/>
      <c r="H1606" s="3"/>
      <c r="I1606" s="6"/>
      <c r="J1606" s="6"/>
      <c r="K1606" s="6"/>
      <c r="L1606" s="6"/>
      <c r="M1606" s="6"/>
      <c r="N1606" s="6"/>
      <c r="O1606" s="3"/>
      <c r="P1606" s="6"/>
      <c r="Q1606" s="6"/>
      <c r="R1606" s="6"/>
      <c r="S1606" s="6"/>
      <c r="T1606" s="6"/>
      <c r="U1606" t="str">
        <f t="shared" si="24"/>
        <v/>
      </c>
    </row>
    <row r="1607" spans="3:21" customFormat="1" hidden="1">
      <c r="C1607" s="6"/>
      <c r="D1607" s="6"/>
      <c r="E1607" s="98"/>
      <c r="F1607" s="3"/>
      <c r="G1607" s="6"/>
      <c r="H1607" s="3"/>
      <c r="I1607" s="6"/>
      <c r="J1607" s="6"/>
      <c r="K1607" s="6"/>
      <c r="L1607" s="6"/>
      <c r="M1607" s="6"/>
      <c r="N1607" s="6"/>
      <c r="O1607" s="3"/>
      <c r="P1607" s="6"/>
      <c r="Q1607" s="6"/>
      <c r="R1607" s="6"/>
      <c r="S1607" s="6"/>
      <c r="T1607" s="6"/>
      <c r="U1607" t="str">
        <f t="shared" ref="U1607:U1670" si="25">IF(D1607="","","x")</f>
        <v/>
      </c>
    </row>
    <row r="1608" spans="3:21" customFormat="1" hidden="1">
      <c r="C1608" s="6"/>
      <c r="D1608" s="6"/>
      <c r="E1608" s="98"/>
      <c r="F1608" s="3"/>
      <c r="G1608" s="6"/>
      <c r="H1608" s="3"/>
      <c r="I1608" s="6"/>
      <c r="J1608" s="6"/>
      <c r="K1608" s="6"/>
      <c r="L1608" s="6"/>
      <c r="M1608" s="6"/>
      <c r="N1608" s="6"/>
      <c r="O1608" s="3"/>
      <c r="P1608" s="6"/>
      <c r="Q1608" s="6"/>
      <c r="R1608" s="6"/>
      <c r="S1608" s="6"/>
      <c r="T1608" s="6"/>
      <c r="U1608" t="str">
        <f t="shared" si="25"/>
        <v/>
      </c>
    </row>
    <row r="1609" spans="3:21" customFormat="1" hidden="1">
      <c r="C1609" s="6"/>
      <c r="D1609" s="6"/>
      <c r="E1609" s="98"/>
      <c r="F1609" s="3"/>
      <c r="G1609" s="6"/>
      <c r="H1609" s="3"/>
      <c r="I1609" s="6"/>
      <c r="J1609" s="6"/>
      <c r="K1609" s="6"/>
      <c r="L1609" s="6"/>
      <c r="M1609" s="6"/>
      <c r="N1609" s="6"/>
      <c r="O1609" s="3"/>
      <c r="P1609" s="6"/>
      <c r="Q1609" s="6"/>
      <c r="R1609" s="6"/>
      <c r="S1609" s="6"/>
      <c r="T1609" s="6"/>
      <c r="U1609" t="str">
        <f t="shared" si="25"/>
        <v/>
      </c>
    </row>
    <row r="1610" spans="3:21" customFormat="1" hidden="1">
      <c r="C1610" s="6"/>
      <c r="D1610" s="6"/>
      <c r="E1610" s="98"/>
      <c r="F1610" s="3"/>
      <c r="G1610" s="6"/>
      <c r="H1610" s="3"/>
      <c r="I1610" s="6"/>
      <c r="J1610" s="6"/>
      <c r="K1610" s="6"/>
      <c r="L1610" s="6"/>
      <c r="M1610" s="6"/>
      <c r="N1610" s="6"/>
      <c r="O1610" s="3"/>
      <c r="P1610" s="6"/>
      <c r="Q1610" s="6"/>
      <c r="R1610" s="6"/>
      <c r="S1610" s="6"/>
      <c r="T1610" s="6"/>
      <c r="U1610" t="str">
        <f t="shared" si="25"/>
        <v/>
      </c>
    </row>
    <row r="1611" spans="3:21" customFormat="1" hidden="1">
      <c r="C1611" s="6"/>
      <c r="D1611" s="6"/>
      <c r="E1611" s="98"/>
      <c r="F1611" s="3"/>
      <c r="G1611" s="6"/>
      <c r="H1611" s="3"/>
      <c r="I1611" s="6"/>
      <c r="J1611" s="6"/>
      <c r="K1611" s="6"/>
      <c r="L1611" s="6"/>
      <c r="M1611" s="6"/>
      <c r="N1611" s="6"/>
      <c r="O1611" s="3"/>
      <c r="P1611" s="6"/>
      <c r="Q1611" s="6"/>
      <c r="R1611" s="6"/>
      <c r="S1611" s="6"/>
      <c r="T1611" s="6"/>
      <c r="U1611" t="str">
        <f t="shared" si="25"/>
        <v/>
      </c>
    </row>
    <row r="1612" spans="3:21" customFormat="1" hidden="1">
      <c r="C1612" s="6"/>
      <c r="D1612" s="6"/>
      <c r="E1612" s="98"/>
      <c r="F1612" s="3"/>
      <c r="G1612" s="6"/>
      <c r="H1612" s="3"/>
      <c r="I1612" s="6"/>
      <c r="J1612" s="6"/>
      <c r="K1612" s="6"/>
      <c r="L1612" s="6"/>
      <c r="M1612" s="6"/>
      <c r="N1612" s="6"/>
      <c r="O1612" s="3"/>
      <c r="P1612" s="6"/>
      <c r="Q1612" s="6"/>
      <c r="R1612" s="6"/>
      <c r="S1612" s="6"/>
      <c r="T1612" s="6"/>
      <c r="U1612" t="str">
        <f t="shared" si="25"/>
        <v/>
      </c>
    </row>
    <row r="1613" spans="3:21" customFormat="1" hidden="1">
      <c r="C1613" s="6"/>
      <c r="D1613" s="6"/>
      <c r="E1613" s="98"/>
      <c r="F1613" s="3"/>
      <c r="G1613" s="6"/>
      <c r="H1613" s="3"/>
      <c r="I1613" s="6"/>
      <c r="J1613" s="6"/>
      <c r="K1613" s="6"/>
      <c r="L1613" s="6"/>
      <c r="M1613" s="6"/>
      <c r="N1613" s="6"/>
      <c r="O1613" s="3"/>
      <c r="P1613" s="6"/>
      <c r="Q1613" s="6"/>
      <c r="R1613" s="6"/>
      <c r="S1613" s="6"/>
      <c r="T1613" s="6"/>
      <c r="U1613" t="str">
        <f t="shared" si="25"/>
        <v/>
      </c>
    </row>
    <row r="1614" spans="3:21" customFormat="1" hidden="1">
      <c r="C1614" s="6"/>
      <c r="D1614" s="6"/>
      <c r="E1614" s="98"/>
      <c r="F1614" s="3"/>
      <c r="G1614" s="6"/>
      <c r="H1614" s="3"/>
      <c r="I1614" s="6"/>
      <c r="J1614" s="6"/>
      <c r="K1614" s="6"/>
      <c r="L1614" s="6"/>
      <c r="M1614" s="6"/>
      <c r="N1614" s="6"/>
      <c r="O1614" s="3"/>
      <c r="P1614" s="6"/>
      <c r="Q1614" s="6"/>
      <c r="R1614" s="6"/>
      <c r="S1614" s="6"/>
      <c r="T1614" s="6"/>
      <c r="U1614" t="str">
        <f t="shared" si="25"/>
        <v/>
      </c>
    </row>
    <row r="1615" spans="3:21" customFormat="1" hidden="1">
      <c r="C1615" s="6"/>
      <c r="D1615" s="6"/>
      <c r="E1615" s="98"/>
      <c r="F1615" s="3"/>
      <c r="G1615" s="6"/>
      <c r="H1615" s="3"/>
      <c r="I1615" s="6"/>
      <c r="J1615" s="6"/>
      <c r="K1615" s="6"/>
      <c r="L1615" s="6"/>
      <c r="M1615" s="6"/>
      <c r="N1615" s="6"/>
      <c r="O1615" s="3"/>
      <c r="P1615" s="6"/>
      <c r="Q1615" s="6"/>
      <c r="R1615" s="6"/>
      <c r="S1615" s="6"/>
      <c r="T1615" s="6"/>
      <c r="U1615" t="str">
        <f t="shared" si="25"/>
        <v/>
      </c>
    </row>
    <row r="1616" spans="3:21" customFormat="1" hidden="1">
      <c r="C1616" s="6"/>
      <c r="D1616" s="6"/>
      <c r="E1616" s="98"/>
      <c r="F1616" s="3"/>
      <c r="G1616" s="6"/>
      <c r="H1616" s="3"/>
      <c r="I1616" s="6"/>
      <c r="J1616" s="6"/>
      <c r="K1616" s="6"/>
      <c r="L1616" s="6"/>
      <c r="M1616" s="6"/>
      <c r="N1616" s="6"/>
      <c r="O1616" s="3"/>
      <c r="P1616" s="6"/>
      <c r="Q1616" s="6"/>
      <c r="R1616" s="6"/>
      <c r="S1616" s="6"/>
      <c r="T1616" s="6"/>
      <c r="U1616" t="str">
        <f t="shared" si="25"/>
        <v/>
      </c>
    </row>
    <row r="1617" spans="3:21" customFormat="1" hidden="1">
      <c r="C1617" s="6"/>
      <c r="D1617" s="6"/>
      <c r="E1617" s="98"/>
      <c r="F1617" s="3"/>
      <c r="G1617" s="6"/>
      <c r="H1617" s="3"/>
      <c r="I1617" s="6"/>
      <c r="J1617" s="6"/>
      <c r="K1617" s="6"/>
      <c r="L1617" s="6"/>
      <c r="M1617" s="6"/>
      <c r="N1617" s="6"/>
      <c r="O1617" s="3"/>
      <c r="P1617" s="6"/>
      <c r="Q1617" s="6"/>
      <c r="R1617" s="6"/>
      <c r="S1617" s="6"/>
      <c r="T1617" s="6"/>
      <c r="U1617" t="str">
        <f t="shared" si="25"/>
        <v/>
      </c>
    </row>
    <row r="1618" spans="3:21" customFormat="1" hidden="1">
      <c r="C1618" s="6"/>
      <c r="D1618" s="6"/>
      <c r="E1618" s="98"/>
      <c r="F1618" s="3"/>
      <c r="G1618" s="6"/>
      <c r="H1618" s="3"/>
      <c r="I1618" s="6"/>
      <c r="J1618" s="6"/>
      <c r="K1618" s="6"/>
      <c r="L1618" s="6"/>
      <c r="M1618" s="6"/>
      <c r="N1618" s="6"/>
      <c r="O1618" s="3"/>
      <c r="P1618" s="6"/>
      <c r="Q1618" s="6"/>
      <c r="R1618" s="6"/>
      <c r="S1618" s="6"/>
      <c r="T1618" s="6"/>
      <c r="U1618" t="str">
        <f t="shared" si="25"/>
        <v/>
      </c>
    </row>
    <row r="1619" spans="3:21" customFormat="1" hidden="1">
      <c r="C1619" s="6"/>
      <c r="D1619" s="6"/>
      <c r="E1619" s="98"/>
      <c r="F1619" s="3"/>
      <c r="G1619" s="6"/>
      <c r="H1619" s="3"/>
      <c r="I1619" s="6"/>
      <c r="J1619" s="6"/>
      <c r="K1619" s="6"/>
      <c r="L1619" s="6"/>
      <c r="M1619" s="6"/>
      <c r="N1619" s="6"/>
      <c r="O1619" s="3"/>
      <c r="P1619" s="6"/>
      <c r="Q1619" s="6"/>
      <c r="R1619" s="6"/>
      <c r="S1619" s="6"/>
      <c r="T1619" s="6"/>
      <c r="U1619" t="str">
        <f t="shared" si="25"/>
        <v/>
      </c>
    </row>
    <row r="1620" spans="3:21" customFormat="1" hidden="1">
      <c r="C1620" s="6"/>
      <c r="D1620" s="6"/>
      <c r="E1620" s="98"/>
      <c r="F1620" s="3"/>
      <c r="G1620" s="6"/>
      <c r="H1620" s="3"/>
      <c r="I1620" s="6"/>
      <c r="J1620" s="6"/>
      <c r="K1620" s="6"/>
      <c r="L1620" s="6"/>
      <c r="M1620" s="6"/>
      <c r="N1620" s="6"/>
      <c r="O1620" s="3"/>
      <c r="P1620" s="6"/>
      <c r="Q1620" s="6"/>
      <c r="R1620" s="6"/>
      <c r="S1620" s="6"/>
      <c r="T1620" s="6"/>
      <c r="U1620" t="str">
        <f t="shared" si="25"/>
        <v/>
      </c>
    </row>
    <row r="1621" spans="3:21" customFormat="1" hidden="1">
      <c r="C1621" s="6"/>
      <c r="D1621" s="6"/>
      <c r="E1621" s="98"/>
      <c r="F1621" s="3"/>
      <c r="G1621" s="6"/>
      <c r="H1621" s="3"/>
      <c r="I1621" s="6"/>
      <c r="J1621" s="6"/>
      <c r="K1621" s="6"/>
      <c r="L1621" s="6"/>
      <c r="M1621" s="6"/>
      <c r="N1621" s="6"/>
      <c r="O1621" s="3"/>
      <c r="P1621" s="6"/>
      <c r="Q1621" s="6"/>
      <c r="R1621" s="6"/>
      <c r="S1621" s="6"/>
      <c r="T1621" s="6"/>
      <c r="U1621" t="str">
        <f t="shared" si="25"/>
        <v/>
      </c>
    </row>
    <row r="1622" spans="3:21" customFormat="1" hidden="1">
      <c r="C1622" s="6"/>
      <c r="D1622" s="6"/>
      <c r="E1622" s="98"/>
      <c r="F1622" s="3"/>
      <c r="G1622" s="6"/>
      <c r="H1622" s="3"/>
      <c r="I1622" s="6"/>
      <c r="J1622" s="6"/>
      <c r="K1622" s="6"/>
      <c r="L1622" s="6"/>
      <c r="M1622" s="6"/>
      <c r="N1622" s="6"/>
      <c r="O1622" s="3"/>
      <c r="P1622" s="6"/>
      <c r="Q1622" s="6"/>
      <c r="R1622" s="6"/>
      <c r="S1622" s="6"/>
      <c r="T1622" s="6"/>
      <c r="U1622" t="str">
        <f t="shared" si="25"/>
        <v/>
      </c>
    </row>
    <row r="1623" spans="3:21" customFormat="1" hidden="1">
      <c r="C1623" s="6"/>
      <c r="D1623" s="6"/>
      <c r="E1623" s="98"/>
      <c r="F1623" s="3"/>
      <c r="G1623" s="6"/>
      <c r="H1623" s="3"/>
      <c r="I1623" s="6"/>
      <c r="J1623" s="6"/>
      <c r="K1623" s="6"/>
      <c r="L1623" s="6"/>
      <c r="M1623" s="6"/>
      <c r="N1623" s="6"/>
      <c r="O1623" s="3"/>
      <c r="P1623" s="6"/>
      <c r="Q1623" s="6"/>
      <c r="R1623" s="6"/>
      <c r="S1623" s="6"/>
      <c r="T1623" s="6"/>
      <c r="U1623" t="str">
        <f t="shared" si="25"/>
        <v/>
      </c>
    </row>
    <row r="1624" spans="3:21" customFormat="1" hidden="1">
      <c r="C1624" s="6"/>
      <c r="D1624" s="6"/>
      <c r="E1624" s="98"/>
      <c r="F1624" s="3"/>
      <c r="G1624" s="6"/>
      <c r="H1624" s="3"/>
      <c r="I1624" s="6"/>
      <c r="J1624" s="6"/>
      <c r="K1624" s="6"/>
      <c r="L1624" s="6"/>
      <c r="M1624" s="6"/>
      <c r="N1624" s="6"/>
      <c r="O1624" s="3"/>
      <c r="P1624" s="6"/>
      <c r="Q1624" s="6"/>
      <c r="R1624" s="6"/>
      <c r="S1624" s="6"/>
      <c r="T1624" s="6"/>
      <c r="U1624" t="str">
        <f t="shared" si="25"/>
        <v/>
      </c>
    </row>
    <row r="1625" spans="3:21" customFormat="1" hidden="1">
      <c r="C1625" s="6"/>
      <c r="D1625" s="6"/>
      <c r="E1625" s="98"/>
      <c r="F1625" s="3"/>
      <c r="G1625" s="6"/>
      <c r="H1625" s="3"/>
      <c r="I1625" s="6"/>
      <c r="J1625" s="6"/>
      <c r="K1625" s="6"/>
      <c r="L1625" s="6"/>
      <c r="M1625" s="6"/>
      <c r="N1625" s="6"/>
      <c r="O1625" s="3"/>
      <c r="P1625" s="6"/>
      <c r="Q1625" s="6"/>
      <c r="R1625" s="6"/>
      <c r="S1625" s="6"/>
      <c r="T1625" s="6"/>
      <c r="U1625" t="str">
        <f t="shared" si="25"/>
        <v/>
      </c>
    </row>
    <row r="1626" spans="3:21" customFormat="1" hidden="1">
      <c r="C1626" s="6"/>
      <c r="D1626" s="6"/>
      <c r="E1626" s="98"/>
      <c r="F1626" s="3"/>
      <c r="G1626" s="6"/>
      <c r="H1626" s="3"/>
      <c r="I1626" s="6"/>
      <c r="J1626" s="6"/>
      <c r="K1626" s="6"/>
      <c r="L1626" s="6"/>
      <c r="M1626" s="6"/>
      <c r="N1626" s="6"/>
      <c r="O1626" s="3"/>
      <c r="P1626" s="6"/>
      <c r="Q1626" s="6"/>
      <c r="R1626" s="6"/>
      <c r="S1626" s="6"/>
      <c r="T1626" s="6"/>
      <c r="U1626" t="str">
        <f t="shared" si="25"/>
        <v/>
      </c>
    </row>
    <row r="1627" spans="3:21" customFormat="1" hidden="1">
      <c r="C1627" s="6"/>
      <c r="D1627" s="6"/>
      <c r="E1627" s="98"/>
      <c r="F1627" s="3"/>
      <c r="G1627" s="6"/>
      <c r="H1627" s="3"/>
      <c r="I1627" s="6"/>
      <c r="J1627" s="6"/>
      <c r="K1627" s="6"/>
      <c r="L1627" s="6"/>
      <c r="M1627" s="6"/>
      <c r="N1627" s="6"/>
      <c r="O1627" s="3"/>
      <c r="P1627" s="6"/>
      <c r="Q1627" s="6"/>
      <c r="R1627" s="6"/>
      <c r="S1627" s="6"/>
      <c r="T1627" s="6"/>
      <c r="U1627" t="str">
        <f t="shared" si="25"/>
        <v/>
      </c>
    </row>
    <row r="1628" spans="3:21" customFormat="1" hidden="1">
      <c r="C1628" s="6"/>
      <c r="D1628" s="6"/>
      <c r="E1628" s="98"/>
      <c r="F1628" s="3"/>
      <c r="G1628" s="6"/>
      <c r="H1628" s="3"/>
      <c r="I1628" s="6"/>
      <c r="J1628" s="6"/>
      <c r="K1628" s="6"/>
      <c r="L1628" s="6"/>
      <c r="M1628" s="6"/>
      <c r="N1628" s="6"/>
      <c r="O1628" s="3"/>
      <c r="P1628" s="6"/>
      <c r="Q1628" s="6"/>
      <c r="R1628" s="6"/>
      <c r="S1628" s="6"/>
      <c r="T1628" s="6"/>
      <c r="U1628" t="str">
        <f t="shared" si="25"/>
        <v/>
      </c>
    </row>
    <row r="1629" spans="3:21" customFormat="1" hidden="1">
      <c r="C1629" s="6"/>
      <c r="D1629" s="6"/>
      <c r="E1629" s="98"/>
      <c r="F1629" s="3"/>
      <c r="G1629" s="6"/>
      <c r="H1629" s="3"/>
      <c r="I1629" s="6"/>
      <c r="J1629" s="6"/>
      <c r="K1629" s="6"/>
      <c r="L1629" s="6"/>
      <c r="M1629" s="6"/>
      <c r="N1629" s="6"/>
      <c r="O1629" s="3"/>
      <c r="P1629" s="6"/>
      <c r="Q1629" s="6"/>
      <c r="R1629" s="6"/>
      <c r="S1629" s="6"/>
      <c r="T1629" s="6"/>
      <c r="U1629" t="str">
        <f t="shared" si="25"/>
        <v/>
      </c>
    </row>
    <row r="1630" spans="3:21" customFormat="1" hidden="1">
      <c r="C1630" s="6"/>
      <c r="D1630" s="6"/>
      <c r="E1630" s="98"/>
      <c r="F1630" s="3"/>
      <c r="G1630" s="6"/>
      <c r="H1630" s="3"/>
      <c r="I1630" s="6"/>
      <c r="J1630" s="6"/>
      <c r="K1630" s="6"/>
      <c r="L1630" s="6"/>
      <c r="M1630" s="6"/>
      <c r="N1630" s="6"/>
      <c r="O1630" s="3"/>
      <c r="P1630" s="6"/>
      <c r="Q1630" s="6"/>
      <c r="R1630" s="6"/>
      <c r="S1630" s="6"/>
      <c r="T1630" s="6"/>
      <c r="U1630" t="str">
        <f t="shared" si="25"/>
        <v/>
      </c>
    </row>
    <row r="1631" spans="3:21" customFormat="1" hidden="1">
      <c r="C1631" s="6"/>
      <c r="D1631" s="6"/>
      <c r="E1631" s="98"/>
      <c r="F1631" s="3"/>
      <c r="G1631" s="6"/>
      <c r="H1631" s="3"/>
      <c r="I1631" s="6"/>
      <c r="J1631" s="6"/>
      <c r="K1631" s="6"/>
      <c r="L1631" s="6"/>
      <c r="M1631" s="6"/>
      <c r="N1631" s="6"/>
      <c r="O1631" s="3"/>
      <c r="P1631" s="6"/>
      <c r="Q1631" s="6"/>
      <c r="R1631" s="6"/>
      <c r="S1631" s="6"/>
      <c r="T1631" s="6"/>
      <c r="U1631" t="str">
        <f t="shared" si="25"/>
        <v/>
      </c>
    </row>
    <row r="1632" spans="3:21" customFormat="1" hidden="1">
      <c r="C1632" s="6"/>
      <c r="D1632" s="6"/>
      <c r="E1632" s="98"/>
      <c r="F1632" s="3"/>
      <c r="G1632" s="6"/>
      <c r="H1632" s="3"/>
      <c r="I1632" s="6"/>
      <c r="J1632" s="6"/>
      <c r="K1632" s="6"/>
      <c r="L1632" s="6"/>
      <c r="M1632" s="6"/>
      <c r="N1632" s="6"/>
      <c r="O1632" s="3"/>
      <c r="P1632" s="6"/>
      <c r="Q1632" s="6"/>
      <c r="R1632" s="6"/>
      <c r="S1632" s="6"/>
      <c r="T1632" s="6"/>
      <c r="U1632" t="str">
        <f t="shared" si="25"/>
        <v/>
      </c>
    </row>
    <row r="1633" spans="3:21" customFormat="1" hidden="1">
      <c r="C1633" s="6"/>
      <c r="D1633" s="6"/>
      <c r="E1633" s="98"/>
      <c r="F1633" s="3"/>
      <c r="G1633" s="6"/>
      <c r="H1633" s="3"/>
      <c r="I1633" s="6"/>
      <c r="J1633" s="6"/>
      <c r="K1633" s="6"/>
      <c r="L1633" s="6"/>
      <c r="M1633" s="6"/>
      <c r="N1633" s="6"/>
      <c r="O1633" s="3"/>
      <c r="P1633" s="6"/>
      <c r="Q1633" s="6"/>
      <c r="R1633" s="6"/>
      <c r="S1633" s="6"/>
      <c r="T1633" s="6"/>
      <c r="U1633" t="str">
        <f t="shared" si="25"/>
        <v/>
      </c>
    </row>
    <row r="1634" spans="3:21" customFormat="1" hidden="1">
      <c r="C1634" s="6"/>
      <c r="D1634" s="6"/>
      <c r="E1634" s="98"/>
      <c r="F1634" s="3"/>
      <c r="G1634" s="6"/>
      <c r="H1634" s="3"/>
      <c r="I1634" s="6"/>
      <c r="J1634" s="6"/>
      <c r="K1634" s="6"/>
      <c r="L1634" s="6"/>
      <c r="M1634" s="6"/>
      <c r="N1634" s="6"/>
      <c r="O1634" s="3"/>
      <c r="P1634" s="6"/>
      <c r="Q1634" s="6"/>
      <c r="R1634" s="6"/>
      <c r="S1634" s="6"/>
      <c r="T1634" s="6"/>
      <c r="U1634" t="str">
        <f t="shared" si="25"/>
        <v/>
      </c>
    </row>
    <row r="1635" spans="3:21" customFormat="1" hidden="1">
      <c r="C1635" s="6"/>
      <c r="D1635" s="6"/>
      <c r="E1635" s="98"/>
      <c r="F1635" s="3"/>
      <c r="G1635" s="6"/>
      <c r="H1635" s="3"/>
      <c r="I1635" s="6"/>
      <c r="J1635" s="6"/>
      <c r="K1635" s="6"/>
      <c r="L1635" s="6"/>
      <c r="M1635" s="6"/>
      <c r="N1635" s="6"/>
      <c r="O1635" s="3"/>
      <c r="P1635" s="6"/>
      <c r="Q1635" s="6"/>
      <c r="R1635" s="6"/>
      <c r="S1635" s="6"/>
      <c r="T1635" s="6"/>
      <c r="U1635" t="str">
        <f t="shared" si="25"/>
        <v/>
      </c>
    </row>
    <row r="1636" spans="3:21" customFormat="1" hidden="1">
      <c r="C1636" s="6"/>
      <c r="D1636" s="6"/>
      <c r="E1636" s="98"/>
      <c r="F1636" s="3"/>
      <c r="G1636" s="6"/>
      <c r="H1636" s="3"/>
      <c r="I1636" s="6"/>
      <c r="J1636" s="6"/>
      <c r="K1636" s="6"/>
      <c r="L1636" s="6"/>
      <c r="M1636" s="6"/>
      <c r="N1636" s="6"/>
      <c r="O1636" s="3"/>
      <c r="P1636" s="6"/>
      <c r="Q1636" s="6"/>
      <c r="R1636" s="6"/>
      <c r="S1636" s="6"/>
      <c r="T1636" s="6"/>
      <c r="U1636" t="str">
        <f t="shared" si="25"/>
        <v/>
      </c>
    </row>
    <row r="1637" spans="3:21" customFormat="1" hidden="1">
      <c r="C1637" s="6"/>
      <c r="D1637" s="6"/>
      <c r="E1637" s="98"/>
      <c r="F1637" s="3"/>
      <c r="G1637" s="6"/>
      <c r="H1637" s="3"/>
      <c r="I1637" s="6"/>
      <c r="J1637" s="6"/>
      <c r="K1637" s="6"/>
      <c r="L1637" s="6"/>
      <c r="M1637" s="6"/>
      <c r="N1637" s="6"/>
      <c r="O1637" s="3"/>
      <c r="P1637" s="6"/>
      <c r="Q1637" s="6"/>
      <c r="R1637" s="6"/>
      <c r="S1637" s="6"/>
      <c r="T1637" s="6"/>
      <c r="U1637" t="str">
        <f t="shared" si="25"/>
        <v/>
      </c>
    </row>
    <row r="1638" spans="3:21" customFormat="1" hidden="1">
      <c r="C1638" s="6"/>
      <c r="D1638" s="6"/>
      <c r="E1638" s="98"/>
      <c r="F1638" s="3"/>
      <c r="G1638" s="6"/>
      <c r="H1638" s="3"/>
      <c r="I1638" s="6"/>
      <c r="J1638" s="6"/>
      <c r="K1638" s="6"/>
      <c r="L1638" s="6"/>
      <c r="M1638" s="6"/>
      <c r="N1638" s="6"/>
      <c r="O1638" s="3"/>
      <c r="P1638" s="6"/>
      <c r="Q1638" s="6"/>
      <c r="R1638" s="6"/>
      <c r="S1638" s="6"/>
      <c r="T1638" s="6"/>
      <c r="U1638" t="str">
        <f t="shared" si="25"/>
        <v/>
      </c>
    </row>
    <row r="1639" spans="3:21" customFormat="1" hidden="1">
      <c r="C1639" s="6"/>
      <c r="D1639" s="6"/>
      <c r="E1639" s="98"/>
      <c r="F1639" s="3"/>
      <c r="G1639" s="6"/>
      <c r="H1639" s="3"/>
      <c r="I1639" s="6"/>
      <c r="J1639" s="6"/>
      <c r="K1639" s="6"/>
      <c r="L1639" s="6"/>
      <c r="M1639" s="6"/>
      <c r="N1639" s="6"/>
      <c r="O1639" s="3"/>
      <c r="P1639" s="6"/>
      <c r="Q1639" s="6"/>
      <c r="R1639" s="6"/>
      <c r="S1639" s="6"/>
      <c r="T1639" s="6"/>
      <c r="U1639" t="str">
        <f t="shared" si="25"/>
        <v/>
      </c>
    </row>
    <row r="1640" spans="3:21" customFormat="1" hidden="1">
      <c r="C1640" s="6"/>
      <c r="D1640" s="6"/>
      <c r="E1640" s="98"/>
      <c r="F1640" s="3"/>
      <c r="G1640" s="6"/>
      <c r="H1640" s="3"/>
      <c r="I1640" s="6"/>
      <c r="J1640" s="6"/>
      <c r="K1640" s="6"/>
      <c r="L1640" s="6"/>
      <c r="M1640" s="6"/>
      <c r="N1640" s="6"/>
      <c r="O1640" s="3"/>
      <c r="P1640" s="6"/>
      <c r="Q1640" s="6"/>
      <c r="R1640" s="6"/>
      <c r="S1640" s="6"/>
      <c r="T1640" s="6"/>
      <c r="U1640" t="str">
        <f t="shared" si="25"/>
        <v/>
      </c>
    </row>
    <row r="1641" spans="3:21" customFormat="1" hidden="1">
      <c r="C1641" s="6"/>
      <c r="D1641" s="6"/>
      <c r="E1641" s="98"/>
      <c r="F1641" s="3"/>
      <c r="G1641" s="6"/>
      <c r="H1641" s="3"/>
      <c r="I1641" s="6"/>
      <c r="J1641" s="6"/>
      <c r="K1641" s="6"/>
      <c r="L1641" s="6"/>
      <c r="M1641" s="6"/>
      <c r="N1641" s="6"/>
      <c r="O1641" s="3"/>
      <c r="P1641" s="6"/>
      <c r="Q1641" s="6"/>
      <c r="R1641" s="6"/>
      <c r="S1641" s="6"/>
      <c r="T1641" s="6"/>
      <c r="U1641" t="str">
        <f t="shared" si="25"/>
        <v/>
      </c>
    </row>
    <row r="1642" spans="3:21" customFormat="1" hidden="1">
      <c r="C1642" s="6"/>
      <c r="D1642" s="6"/>
      <c r="E1642" s="98"/>
      <c r="F1642" s="3"/>
      <c r="G1642" s="6"/>
      <c r="H1642" s="3"/>
      <c r="I1642" s="6"/>
      <c r="J1642" s="6"/>
      <c r="K1642" s="6"/>
      <c r="L1642" s="6"/>
      <c r="M1642" s="6"/>
      <c r="N1642" s="6"/>
      <c r="O1642" s="3"/>
      <c r="P1642" s="6"/>
      <c r="Q1642" s="6"/>
      <c r="R1642" s="6"/>
      <c r="S1642" s="6"/>
      <c r="T1642" s="6"/>
      <c r="U1642" t="str">
        <f t="shared" si="25"/>
        <v/>
      </c>
    </row>
    <row r="1643" spans="3:21" customFormat="1" hidden="1">
      <c r="C1643" s="6"/>
      <c r="D1643" s="6"/>
      <c r="E1643" s="98"/>
      <c r="F1643" s="3"/>
      <c r="G1643" s="6"/>
      <c r="H1643" s="3"/>
      <c r="I1643" s="6"/>
      <c r="J1643" s="6"/>
      <c r="K1643" s="6"/>
      <c r="L1643" s="6"/>
      <c r="M1643" s="6"/>
      <c r="N1643" s="6"/>
      <c r="O1643" s="3"/>
      <c r="P1643" s="6"/>
      <c r="Q1643" s="6"/>
      <c r="R1643" s="6"/>
      <c r="S1643" s="6"/>
      <c r="T1643" s="6"/>
      <c r="U1643" t="str">
        <f t="shared" si="25"/>
        <v/>
      </c>
    </row>
    <row r="1644" spans="3:21" customFormat="1" hidden="1">
      <c r="C1644" s="6"/>
      <c r="D1644" s="6"/>
      <c r="E1644" s="98"/>
      <c r="F1644" s="3"/>
      <c r="G1644" s="6"/>
      <c r="H1644" s="3"/>
      <c r="I1644" s="6"/>
      <c r="J1644" s="6"/>
      <c r="K1644" s="6"/>
      <c r="L1644" s="6"/>
      <c r="M1644" s="6"/>
      <c r="N1644" s="6"/>
      <c r="O1644" s="3"/>
      <c r="P1644" s="6"/>
      <c r="Q1644" s="6"/>
      <c r="R1644" s="6"/>
      <c r="S1644" s="6"/>
      <c r="T1644" s="6"/>
      <c r="U1644" t="str">
        <f t="shared" si="25"/>
        <v/>
      </c>
    </row>
    <row r="1645" spans="3:21" customFormat="1" hidden="1">
      <c r="C1645" s="6"/>
      <c r="D1645" s="6"/>
      <c r="E1645" s="98"/>
      <c r="F1645" s="3"/>
      <c r="G1645" s="6"/>
      <c r="H1645" s="3"/>
      <c r="I1645" s="6"/>
      <c r="J1645" s="6"/>
      <c r="K1645" s="6"/>
      <c r="L1645" s="6"/>
      <c r="M1645" s="6"/>
      <c r="N1645" s="6"/>
      <c r="O1645" s="3"/>
      <c r="P1645" s="6"/>
      <c r="Q1645" s="6"/>
      <c r="R1645" s="6"/>
      <c r="S1645" s="6"/>
      <c r="T1645" s="6"/>
      <c r="U1645" t="str">
        <f t="shared" si="25"/>
        <v/>
      </c>
    </row>
    <row r="1646" spans="3:21" customFormat="1" hidden="1">
      <c r="C1646" s="6"/>
      <c r="D1646" s="6"/>
      <c r="E1646" s="98"/>
      <c r="F1646" s="3"/>
      <c r="G1646" s="6"/>
      <c r="H1646" s="3"/>
      <c r="I1646" s="6"/>
      <c r="J1646" s="6"/>
      <c r="K1646" s="6"/>
      <c r="L1646" s="6"/>
      <c r="M1646" s="6"/>
      <c r="N1646" s="6"/>
      <c r="O1646" s="3"/>
      <c r="P1646" s="6"/>
      <c r="Q1646" s="6"/>
      <c r="R1646" s="6"/>
      <c r="S1646" s="6"/>
      <c r="T1646" s="6"/>
      <c r="U1646" t="str">
        <f t="shared" si="25"/>
        <v/>
      </c>
    </row>
    <row r="1647" spans="3:21" customFormat="1" hidden="1">
      <c r="C1647" s="6"/>
      <c r="D1647" s="6"/>
      <c r="E1647" s="98"/>
      <c r="F1647" s="3"/>
      <c r="G1647" s="6"/>
      <c r="H1647" s="3"/>
      <c r="I1647" s="6"/>
      <c r="J1647" s="6"/>
      <c r="K1647" s="6"/>
      <c r="L1647" s="6"/>
      <c r="M1647" s="6"/>
      <c r="N1647" s="6"/>
      <c r="O1647" s="3"/>
      <c r="P1647" s="6"/>
      <c r="Q1647" s="6"/>
      <c r="R1647" s="6"/>
      <c r="S1647" s="6"/>
      <c r="T1647" s="6"/>
      <c r="U1647" t="str">
        <f t="shared" si="25"/>
        <v/>
      </c>
    </row>
    <row r="1648" spans="3:21" customFormat="1" hidden="1">
      <c r="C1648" s="6"/>
      <c r="D1648" s="6"/>
      <c r="E1648" s="98"/>
      <c r="F1648" s="3"/>
      <c r="G1648" s="6"/>
      <c r="H1648" s="3"/>
      <c r="I1648" s="6"/>
      <c r="J1648" s="6"/>
      <c r="K1648" s="6"/>
      <c r="L1648" s="6"/>
      <c r="M1648" s="6"/>
      <c r="N1648" s="6"/>
      <c r="O1648" s="3"/>
      <c r="P1648" s="6"/>
      <c r="Q1648" s="6"/>
      <c r="R1648" s="6"/>
      <c r="S1648" s="6"/>
      <c r="T1648" s="6"/>
      <c r="U1648" t="str">
        <f t="shared" si="25"/>
        <v/>
      </c>
    </row>
    <row r="1649" spans="3:21" customFormat="1" hidden="1">
      <c r="C1649" s="6"/>
      <c r="D1649" s="6"/>
      <c r="E1649" s="98"/>
      <c r="F1649" s="3"/>
      <c r="G1649" s="6"/>
      <c r="H1649" s="3"/>
      <c r="I1649" s="6"/>
      <c r="J1649" s="6"/>
      <c r="K1649" s="6"/>
      <c r="L1649" s="6"/>
      <c r="M1649" s="6"/>
      <c r="N1649" s="6"/>
      <c r="O1649" s="3"/>
      <c r="P1649" s="6"/>
      <c r="Q1649" s="6"/>
      <c r="R1649" s="6"/>
      <c r="S1649" s="6"/>
      <c r="T1649" s="6"/>
      <c r="U1649" t="str">
        <f t="shared" si="25"/>
        <v/>
      </c>
    </row>
    <row r="1650" spans="3:21" customFormat="1" hidden="1">
      <c r="C1650" s="6"/>
      <c r="D1650" s="6"/>
      <c r="E1650" s="98"/>
      <c r="F1650" s="3"/>
      <c r="G1650" s="6"/>
      <c r="H1650" s="3"/>
      <c r="I1650" s="6"/>
      <c r="J1650" s="6"/>
      <c r="K1650" s="6"/>
      <c r="L1650" s="6"/>
      <c r="M1650" s="6"/>
      <c r="N1650" s="6"/>
      <c r="O1650" s="3"/>
      <c r="P1650" s="6"/>
      <c r="Q1650" s="6"/>
      <c r="R1650" s="6"/>
      <c r="S1650" s="6"/>
      <c r="T1650" s="6"/>
      <c r="U1650" t="str">
        <f t="shared" si="25"/>
        <v/>
      </c>
    </row>
    <row r="1651" spans="3:21" customFormat="1" hidden="1">
      <c r="C1651" s="6"/>
      <c r="D1651" s="6"/>
      <c r="E1651" s="98"/>
      <c r="F1651" s="3"/>
      <c r="G1651" s="6"/>
      <c r="H1651" s="3"/>
      <c r="I1651" s="6"/>
      <c r="J1651" s="6"/>
      <c r="K1651" s="6"/>
      <c r="L1651" s="6"/>
      <c r="M1651" s="6"/>
      <c r="N1651" s="6"/>
      <c r="O1651" s="3"/>
      <c r="P1651" s="6"/>
      <c r="Q1651" s="6"/>
      <c r="R1651" s="6"/>
      <c r="S1651" s="6"/>
      <c r="T1651" s="6"/>
      <c r="U1651" t="str">
        <f t="shared" si="25"/>
        <v/>
      </c>
    </row>
    <row r="1652" spans="3:21" customFormat="1" hidden="1">
      <c r="C1652" s="6"/>
      <c r="D1652" s="6"/>
      <c r="E1652" s="98"/>
      <c r="F1652" s="3"/>
      <c r="G1652" s="6"/>
      <c r="H1652" s="3"/>
      <c r="I1652" s="6"/>
      <c r="J1652" s="6"/>
      <c r="K1652" s="6"/>
      <c r="L1652" s="6"/>
      <c r="M1652" s="6"/>
      <c r="N1652" s="6"/>
      <c r="O1652" s="3"/>
      <c r="P1652" s="6"/>
      <c r="Q1652" s="6"/>
      <c r="R1652" s="6"/>
      <c r="S1652" s="6"/>
      <c r="T1652" s="6"/>
      <c r="U1652" t="str">
        <f t="shared" si="25"/>
        <v/>
      </c>
    </row>
    <row r="1653" spans="3:21" customFormat="1" hidden="1">
      <c r="C1653" s="6"/>
      <c r="D1653" s="6"/>
      <c r="E1653" s="98"/>
      <c r="F1653" s="3"/>
      <c r="G1653" s="6"/>
      <c r="H1653" s="3"/>
      <c r="I1653" s="6"/>
      <c r="J1653" s="6"/>
      <c r="K1653" s="6"/>
      <c r="L1653" s="6"/>
      <c r="M1653" s="6"/>
      <c r="N1653" s="6"/>
      <c r="O1653" s="3"/>
      <c r="P1653" s="6"/>
      <c r="Q1653" s="6"/>
      <c r="R1653" s="6"/>
      <c r="S1653" s="6"/>
      <c r="T1653" s="6"/>
      <c r="U1653" t="str">
        <f t="shared" si="25"/>
        <v/>
      </c>
    </row>
    <row r="1654" spans="3:21" customFormat="1" hidden="1">
      <c r="C1654" s="6"/>
      <c r="D1654" s="6"/>
      <c r="E1654" s="98"/>
      <c r="F1654" s="3"/>
      <c r="G1654" s="6"/>
      <c r="H1654" s="3"/>
      <c r="I1654" s="6"/>
      <c r="J1654" s="6"/>
      <c r="K1654" s="6"/>
      <c r="L1654" s="6"/>
      <c r="M1654" s="6"/>
      <c r="N1654" s="6"/>
      <c r="O1654" s="3"/>
      <c r="P1654" s="6"/>
      <c r="Q1654" s="6"/>
      <c r="R1654" s="6"/>
      <c r="S1654" s="6"/>
      <c r="T1654" s="6"/>
      <c r="U1654" t="str">
        <f t="shared" si="25"/>
        <v/>
      </c>
    </row>
    <row r="1655" spans="3:21" customFormat="1" hidden="1">
      <c r="C1655" s="6"/>
      <c r="D1655" s="6"/>
      <c r="E1655" s="98"/>
      <c r="F1655" s="3"/>
      <c r="G1655" s="6"/>
      <c r="H1655" s="3"/>
      <c r="I1655" s="6"/>
      <c r="J1655" s="6"/>
      <c r="K1655" s="6"/>
      <c r="L1655" s="6"/>
      <c r="M1655" s="6"/>
      <c r="N1655" s="6"/>
      <c r="O1655" s="3"/>
      <c r="P1655" s="6"/>
      <c r="Q1655" s="6"/>
      <c r="R1655" s="6"/>
      <c r="S1655" s="6"/>
      <c r="T1655" s="6"/>
      <c r="U1655" t="str">
        <f t="shared" si="25"/>
        <v/>
      </c>
    </row>
    <row r="1656" spans="3:21" customFormat="1" hidden="1">
      <c r="C1656" s="6"/>
      <c r="D1656" s="6"/>
      <c r="E1656" s="98"/>
      <c r="F1656" s="3"/>
      <c r="G1656" s="6"/>
      <c r="H1656" s="3"/>
      <c r="I1656" s="6"/>
      <c r="J1656" s="6"/>
      <c r="K1656" s="6"/>
      <c r="L1656" s="6"/>
      <c r="M1656" s="6"/>
      <c r="N1656" s="6"/>
      <c r="O1656" s="3"/>
      <c r="P1656" s="6"/>
      <c r="Q1656" s="6"/>
      <c r="R1656" s="6"/>
      <c r="S1656" s="6"/>
      <c r="T1656" s="6"/>
      <c r="U1656" t="str">
        <f t="shared" si="25"/>
        <v/>
      </c>
    </row>
    <row r="1657" spans="3:21" customFormat="1" hidden="1">
      <c r="C1657" s="6"/>
      <c r="D1657" s="6"/>
      <c r="E1657" s="98"/>
      <c r="F1657" s="3"/>
      <c r="G1657" s="6"/>
      <c r="H1657" s="3"/>
      <c r="I1657" s="6"/>
      <c r="J1657" s="6"/>
      <c r="K1657" s="6"/>
      <c r="L1657" s="6"/>
      <c r="M1657" s="6"/>
      <c r="N1657" s="6"/>
      <c r="O1657" s="3"/>
      <c r="P1657" s="6"/>
      <c r="Q1657" s="6"/>
      <c r="R1657" s="6"/>
      <c r="S1657" s="6"/>
      <c r="T1657" s="6"/>
      <c r="U1657" t="str">
        <f t="shared" si="25"/>
        <v/>
      </c>
    </row>
    <row r="1658" spans="3:21" customFormat="1" hidden="1">
      <c r="C1658" s="6"/>
      <c r="D1658" s="6"/>
      <c r="E1658" s="98"/>
      <c r="F1658" s="3"/>
      <c r="G1658" s="6"/>
      <c r="H1658" s="3"/>
      <c r="I1658" s="6"/>
      <c r="J1658" s="6"/>
      <c r="K1658" s="6"/>
      <c r="L1658" s="6"/>
      <c r="M1658" s="6"/>
      <c r="N1658" s="6"/>
      <c r="O1658" s="3"/>
      <c r="P1658" s="6"/>
      <c r="Q1658" s="6"/>
      <c r="R1658" s="6"/>
      <c r="S1658" s="6"/>
      <c r="T1658" s="6"/>
      <c r="U1658" t="str">
        <f t="shared" si="25"/>
        <v/>
      </c>
    </row>
    <row r="1659" spans="3:21" customFormat="1" hidden="1">
      <c r="C1659" s="6"/>
      <c r="D1659" s="6"/>
      <c r="E1659" s="98"/>
      <c r="F1659" s="3"/>
      <c r="G1659" s="6"/>
      <c r="H1659" s="3"/>
      <c r="I1659" s="6"/>
      <c r="J1659" s="6"/>
      <c r="K1659" s="6"/>
      <c r="L1659" s="6"/>
      <c r="M1659" s="6"/>
      <c r="N1659" s="6"/>
      <c r="O1659" s="3"/>
      <c r="P1659" s="6"/>
      <c r="Q1659" s="6"/>
      <c r="R1659" s="6"/>
      <c r="S1659" s="6"/>
      <c r="T1659" s="6"/>
      <c r="U1659" t="str">
        <f t="shared" si="25"/>
        <v/>
      </c>
    </row>
    <row r="1660" spans="3:21" customFormat="1" hidden="1">
      <c r="C1660" s="6"/>
      <c r="D1660" s="6"/>
      <c r="E1660" s="98"/>
      <c r="F1660" s="3"/>
      <c r="G1660" s="6"/>
      <c r="H1660" s="3"/>
      <c r="I1660" s="6"/>
      <c r="J1660" s="6"/>
      <c r="K1660" s="6"/>
      <c r="L1660" s="6"/>
      <c r="M1660" s="6"/>
      <c r="N1660" s="6"/>
      <c r="O1660" s="3"/>
      <c r="P1660" s="6"/>
      <c r="Q1660" s="6"/>
      <c r="R1660" s="6"/>
      <c r="S1660" s="6"/>
      <c r="T1660" s="6"/>
      <c r="U1660" t="str">
        <f t="shared" si="25"/>
        <v/>
      </c>
    </row>
    <row r="1661" spans="3:21" customFormat="1" hidden="1">
      <c r="C1661" s="6"/>
      <c r="D1661" s="6"/>
      <c r="E1661" s="98"/>
      <c r="F1661" s="3"/>
      <c r="G1661" s="6"/>
      <c r="H1661" s="3"/>
      <c r="I1661" s="6"/>
      <c r="J1661" s="6"/>
      <c r="K1661" s="6"/>
      <c r="L1661" s="6"/>
      <c r="M1661" s="6"/>
      <c r="N1661" s="6"/>
      <c r="O1661" s="3"/>
      <c r="P1661" s="6"/>
      <c r="Q1661" s="6"/>
      <c r="R1661" s="6"/>
      <c r="S1661" s="6"/>
      <c r="T1661" s="6"/>
      <c r="U1661" t="str">
        <f t="shared" si="25"/>
        <v/>
      </c>
    </row>
    <row r="1662" spans="3:21" customFormat="1" hidden="1">
      <c r="C1662" s="6"/>
      <c r="D1662" s="6"/>
      <c r="E1662" s="98"/>
      <c r="F1662" s="3"/>
      <c r="G1662" s="6"/>
      <c r="H1662" s="3"/>
      <c r="I1662" s="6"/>
      <c r="J1662" s="6"/>
      <c r="K1662" s="6"/>
      <c r="L1662" s="6"/>
      <c r="M1662" s="6"/>
      <c r="N1662" s="6"/>
      <c r="O1662" s="3"/>
      <c r="P1662" s="6"/>
      <c r="Q1662" s="6"/>
      <c r="R1662" s="6"/>
      <c r="S1662" s="6"/>
      <c r="T1662" s="6"/>
      <c r="U1662" t="str">
        <f t="shared" si="25"/>
        <v/>
      </c>
    </row>
    <row r="1663" spans="3:21" customFormat="1" hidden="1">
      <c r="C1663" s="6"/>
      <c r="D1663" s="6"/>
      <c r="E1663" s="98"/>
      <c r="F1663" s="3"/>
      <c r="G1663" s="6"/>
      <c r="H1663" s="3"/>
      <c r="I1663" s="6"/>
      <c r="J1663" s="6"/>
      <c r="K1663" s="6"/>
      <c r="L1663" s="6"/>
      <c r="M1663" s="6"/>
      <c r="N1663" s="6"/>
      <c r="O1663" s="3"/>
      <c r="P1663" s="6"/>
      <c r="Q1663" s="6"/>
      <c r="R1663" s="6"/>
      <c r="S1663" s="6"/>
      <c r="T1663" s="6"/>
      <c r="U1663" t="str">
        <f t="shared" si="25"/>
        <v/>
      </c>
    </row>
    <row r="1664" spans="3:21" customFormat="1" hidden="1">
      <c r="C1664" s="6"/>
      <c r="D1664" s="6"/>
      <c r="E1664" s="98"/>
      <c r="F1664" s="3"/>
      <c r="G1664" s="6"/>
      <c r="H1664" s="3"/>
      <c r="I1664" s="6"/>
      <c r="J1664" s="6"/>
      <c r="K1664" s="6"/>
      <c r="L1664" s="6"/>
      <c r="M1664" s="6"/>
      <c r="N1664" s="6"/>
      <c r="O1664" s="3"/>
      <c r="P1664" s="6"/>
      <c r="Q1664" s="6"/>
      <c r="R1664" s="6"/>
      <c r="S1664" s="6"/>
      <c r="T1664" s="6"/>
      <c r="U1664" t="str">
        <f t="shared" si="25"/>
        <v/>
      </c>
    </row>
    <row r="1665" spans="3:21" customFormat="1" hidden="1">
      <c r="C1665" s="6"/>
      <c r="D1665" s="6"/>
      <c r="E1665" s="98"/>
      <c r="F1665" s="3"/>
      <c r="G1665" s="6"/>
      <c r="H1665" s="3"/>
      <c r="I1665" s="6"/>
      <c r="J1665" s="6"/>
      <c r="K1665" s="6"/>
      <c r="L1665" s="6"/>
      <c r="M1665" s="6"/>
      <c r="N1665" s="6"/>
      <c r="O1665" s="3"/>
      <c r="P1665" s="6"/>
      <c r="Q1665" s="6"/>
      <c r="R1665" s="6"/>
      <c r="S1665" s="6"/>
      <c r="T1665" s="6"/>
      <c r="U1665" t="str">
        <f t="shared" si="25"/>
        <v/>
      </c>
    </row>
    <row r="1666" spans="3:21" customFormat="1" hidden="1">
      <c r="C1666" s="6"/>
      <c r="D1666" s="6"/>
      <c r="E1666" s="98"/>
      <c r="F1666" s="3"/>
      <c r="G1666" s="6"/>
      <c r="H1666" s="3"/>
      <c r="I1666" s="6"/>
      <c r="J1666" s="6"/>
      <c r="K1666" s="6"/>
      <c r="L1666" s="6"/>
      <c r="M1666" s="6"/>
      <c r="N1666" s="6"/>
      <c r="O1666" s="3"/>
      <c r="P1666" s="6"/>
      <c r="Q1666" s="6"/>
      <c r="R1666" s="6"/>
      <c r="S1666" s="6"/>
      <c r="T1666" s="6"/>
      <c r="U1666" t="str">
        <f t="shared" si="25"/>
        <v/>
      </c>
    </row>
    <row r="1667" spans="3:21" customFormat="1" hidden="1">
      <c r="C1667" s="6"/>
      <c r="D1667" s="6"/>
      <c r="E1667" s="98"/>
      <c r="F1667" s="3"/>
      <c r="G1667" s="6"/>
      <c r="H1667" s="3"/>
      <c r="I1667" s="6"/>
      <c r="J1667" s="6"/>
      <c r="K1667" s="6"/>
      <c r="L1667" s="6"/>
      <c r="M1667" s="6"/>
      <c r="N1667" s="6"/>
      <c r="O1667" s="3"/>
      <c r="P1667" s="6"/>
      <c r="Q1667" s="6"/>
      <c r="R1667" s="6"/>
      <c r="S1667" s="6"/>
      <c r="T1667" s="6"/>
      <c r="U1667" t="str">
        <f t="shared" si="25"/>
        <v/>
      </c>
    </row>
    <row r="1668" spans="3:21" customFormat="1" hidden="1">
      <c r="C1668" s="6"/>
      <c r="D1668" s="6"/>
      <c r="E1668" s="98"/>
      <c r="F1668" s="3"/>
      <c r="G1668" s="6"/>
      <c r="H1668" s="3"/>
      <c r="I1668" s="6"/>
      <c r="J1668" s="6"/>
      <c r="K1668" s="6"/>
      <c r="L1668" s="6"/>
      <c r="M1668" s="6"/>
      <c r="N1668" s="6"/>
      <c r="O1668" s="3"/>
      <c r="P1668" s="6"/>
      <c r="Q1668" s="6"/>
      <c r="R1668" s="6"/>
      <c r="S1668" s="6"/>
      <c r="T1668" s="6"/>
      <c r="U1668" t="str">
        <f t="shared" si="25"/>
        <v/>
      </c>
    </row>
    <row r="1669" spans="3:21" customFormat="1" hidden="1">
      <c r="C1669" s="6"/>
      <c r="D1669" s="6"/>
      <c r="E1669" s="98"/>
      <c r="F1669" s="3"/>
      <c r="G1669" s="6"/>
      <c r="H1669" s="3"/>
      <c r="I1669" s="6"/>
      <c r="J1669" s="6"/>
      <c r="K1669" s="6"/>
      <c r="L1669" s="6"/>
      <c r="M1669" s="6"/>
      <c r="N1669" s="6"/>
      <c r="O1669" s="3"/>
      <c r="P1669" s="6"/>
      <c r="Q1669" s="6"/>
      <c r="R1669" s="6"/>
      <c r="S1669" s="6"/>
      <c r="T1669" s="6"/>
      <c r="U1669" t="str">
        <f t="shared" si="25"/>
        <v/>
      </c>
    </row>
    <row r="1670" spans="3:21" customFormat="1" hidden="1">
      <c r="C1670" s="6"/>
      <c r="D1670" s="6"/>
      <c r="E1670" s="98"/>
      <c r="F1670" s="3"/>
      <c r="G1670" s="6"/>
      <c r="H1670" s="3"/>
      <c r="I1670" s="6"/>
      <c r="J1670" s="6"/>
      <c r="K1670" s="6"/>
      <c r="L1670" s="6"/>
      <c r="M1670" s="6"/>
      <c r="N1670" s="6"/>
      <c r="O1670" s="3"/>
      <c r="P1670" s="6"/>
      <c r="Q1670" s="6"/>
      <c r="R1670" s="6"/>
      <c r="S1670" s="6"/>
      <c r="T1670" s="6"/>
      <c r="U1670" t="str">
        <f t="shared" si="25"/>
        <v/>
      </c>
    </row>
    <row r="1671" spans="3:21" customFormat="1" hidden="1">
      <c r="C1671" s="6"/>
      <c r="D1671" s="6"/>
      <c r="E1671" s="98"/>
      <c r="F1671" s="3"/>
      <c r="G1671" s="6"/>
      <c r="H1671" s="3"/>
      <c r="I1671" s="6"/>
      <c r="J1671" s="6"/>
      <c r="K1671" s="6"/>
      <c r="L1671" s="6"/>
      <c r="M1671" s="6"/>
      <c r="N1671" s="6"/>
      <c r="O1671" s="3"/>
      <c r="P1671" s="6"/>
      <c r="Q1671" s="6"/>
      <c r="R1671" s="6"/>
      <c r="S1671" s="6"/>
      <c r="T1671" s="6"/>
      <c r="U1671" t="str">
        <f t="shared" ref="U1671:U1734" si="26">IF(D1671="","","x")</f>
        <v/>
      </c>
    </row>
    <row r="1672" spans="3:21" customFormat="1" hidden="1">
      <c r="C1672" s="6"/>
      <c r="D1672" s="6"/>
      <c r="E1672" s="98"/>
      <c r="F1672" s="3"/>
      <c r="G1672" s="6"/>
      <c r="H1672" s="3"/>
      <c r="I1672" s="6"/>
      <c r="J1672" s="6"/>
      <c r="K1672" s="6"/>
      <c r="L1672" s="6"/>
      <c r="M1672" s="6"/>
      <c r="N1672" s="6"/>
      <c r="O1672" s="3"/>
      <c r="P1672" s="6"/>
      <c r="Q1672" s="6"/>
      <c r="R1672" s="6"/>
      <c r="S1672" s="6"/>
      <c r="T1672" s="6"/>
      <c r="U1672" t="str">
        <f t="shared" si="26"/>
        <v/>
      </c>
    </row>
    <row r="1673" spans="3:21" customFormat="1" hidden="1">
      <c r="C1673" s="6"/>
      <c r="D1673" s="6"/>
      <c r="E1673" s="98"/>
      <c r="F1673" s="3"/>
      <c r="G1673" s="6"/>
      <c r="H1673" s="3"/>
      <c r="I1673" s="6"/>
      <c r="J1673" s="6"/>
      <c r="K1673" s="6"/>
      <c r="L1673" s="6"/>
      <c r="M1673" s="6"/>
      <c r="N1673" s="6"/>
      <c r="O1673" s="3"/>
      <c r="P1673" s="6"/>
      <c r="Q1673" s="6"/>
      <c r="R1673" s="6"/>
      <c r="S1673" s="6"/>
      <c r="T1673" s="6"/>
      <c r="U1673" t="str">
        <f t="shared" si="26"/>
        <v/>
      </c>
    </row>
    <row r="1674" spans="3:21" customFormat="1" hidden="1">
      <c r="C1674" s="6"/>
      <c r="D1674" s="6"/>
      <c r="E1674" s="98"/>
      <c r="F1674" s="3"/>
      <c r="G1674" s="6"/>
      <c r="H1674" s="3"/>
      <c r="I1674" s="6"/>
      <c r="J1674" s="6"/>
      <c r="K1674" s="6"/>
      <c r="L1674" s="6"/>
      <c r="M1674" s="6"/>
      <c r="N1674" s="6"/>
      <c r="O1674" s="3"/>
      <c r="P1674" s="6"/>
      <c r="Q1674" s="6"/>
      <c r="R1674" s="6"/>
      <c r="S1674" s="6"/>
      <c r="T1674" s="6"/>
      <c r="U1674" t="str">
        <f t="shared" si="26"/>
        <v/>
      </c>
    </row>
    <row r="1675" spans="3:21" customFormat="1" hidden="1">
      <c r="C1675" s="6"/>
      <c r="D1675" s="6"/>
      <c r="E1675" s="98"/>
      <c r="F1675" s="3"/>
      <c r="G1675" s="6"/>
      <c r="H1675" s="3"/>
      <c r="I1675" s="6"/>
      <c r="J1675" s="6"/>
      <c r="K1675" s="6"/>
      <c r="L1675" s="6"/>
      <c r="M1675" s="6"/>
      <c r="N1675" s="6"/>
      <c r="O1675" s="3"/>
      <c r="P1675" s="6"/>
      <c r="Q1675" s="6"/>
      <c r="R1675" s="6"/>
      <c r="S1675" s="6"/>
      <c r="T1675" s="6"/>
      <c r="U1675" t="str">
        <f t="shared" si="26"/>
        <v/>
      </c>
    </row>
    <row r="1676" spans="3:21" customFormat="1" hidden="1">
      <c r="C1676" s="6"/>
      <c r="D1676" s="6"/>
      <c r="E1676" s="98"/>
      <c r="F1676" s="3"/>
      <c r="G1676" s="6"/>
      <c r="H1676" s="3"/>
      <c r="I1676" s="6"/>
      <c r="J1676" s="6"/>
      <c r="K1676" s="6"/>
      <c r="L1676" s="6"/>
      <c r="M1676" s="6"/>
      <c r="N1676" s="6"/>
      <c r="O1676" s="3"/>
      <c r="P1676" s="6"/>
      <c r="Q1676" s="6"/>
      <c r="R1676" s="6"/>
      <c r="S1676" s="6"/>
      <c r="T1676" s="6"/>
      <c r="U1676" t="str">
        <f t="shared" si="26"/>
        <v/>
      </c>
    </row>
    <row r="1677" spans="3:21" customFormat="1" hidden="1">
      <c r="C1677" s="6"/>
      <c r="D1677" s="6"/>
      <c r="E1677" s="98"/>
      <c r="F1677" s="3"/>
      <c r="G1677" s="6"/>
      <c r="H1677" s="3"/>
      <c r="I1677" s="6"/>
      <c r="J1677" s="6"/>
      <c r="K1677" s="6"/>
      <c r="L1677" s="6"/>
      <c r="M1677" s="6"/>
      <c r="N1677" s="6"/>
      <c r="O1677" s="3"/>
      <c r="P1677" s="6"/>
      <c r="Q1677" s="6"/>
      <c r="R1677" s="6"/>
      <c r="S1677" s="6"/>
      <c r="T1677" s="6"/>
      <c r="U1677" t="str">
        <f t="shared" si="26"/>
        <v/>
      </c>
    </row>
    <row r="1678" spans="3:21" customFormat="1" hidden="1">
      <c r="C1678" s="6"/>
      <c r="D1678" s="6"/>
      <c r="E1678" s="98"/>
      <c r="F1678" s="3"/>
      <c r="G1678" s="6"/>
      <c r="H1678" s="3"/>
      <c r="I1678" s="6"/>
      <c r="J1678" s="6"/>
      <c r="K1678" s="6"/>
      <c r="L1678" s="6"/>
      <c r="M1678" s="6"/>
      <c r="N1678" s="6"/>
      <c r="O1678" s="3"/>
      <c r="P1678" s="6"/>
      <c r="Q1678" s="6"/>
      <c r="R1678" s="6"/>
      <c r="S1678" s="6"/>
      <c r="T1678" s="6"/>
      <c r="U1678" t="str">
        <f t="shared" si="26"/>
        <v/>
      </c>
    </row>
    <row r="1679" spans="3:21" customFormat="1" hidden="1">
      <c r="C1679" s="6"/>
      <c r="D1679" s="6"/>
      <c r="E1679" s="98"/>
      <c r="F1679" s="3"/>
      <c r="G1679" s="6"/>
      <c r="H1679" s="3"/>
      <c r="I1679" s="6"/>
      <c r="J1679" s="6"/>
      <c r="K1679" s="6"/>
      <c r="L1679" s="6"/>
      <c r="M1679" s="6"/>
      <c r="N1679" s="6"/>
      <c r="O1679" s="3"/>
      <c r="P1679" s="6"/>
      <c r="Q1679" s="6"/>
      <c r="R1679" s="6"/>
      <c r="S1679" s="6"/>
      <c r="T1679" s="6"/>
      <c r="U1679" t="str">
        <f t="shared" si="26"/>
        <v/>
      </c>
    </row>
    <row r="1680" spans="3:21" customFormat="1" hidden="1">
      <c r="C1680" s="6"/>
      <c r="D1680" s="6"/>
      <c r="E1680" s="98"/>
      <c r="F1680" s="3"/>
      <c r="G1680" s="6"/>
      <c r="H1680" s="3"/>
      <c r="I1680" s="6"/>
      <c r="J1680" s="6"/>
      <c r="K1680" s="6"/>
      <c r="L1680" s="6"/>
      <c r="M1680" s="6"/>
      <c r="N1680" s="6"/>
      <c r="O1680" s="3"/>
      <c r="P1680" s="6"/>
      <c r="Q1680" s="6"/>
      <c r="R1680" s="6"/>
      <c r="S1680" s="6"/>
      <c r="T1680" s="6"/>
      <c r="U1680" t="str">
        <f t="shared" si="26"/>
        <v/>
      </c>
    </row>
    <row r="1681" spans="3:21" customFormat="1" hidden="1">
      <c r="C1681" s="6"/>
      <c r="D1681" s="6"/>
      <c r="E1681" s="98"/>
      <c r="F1681" s="3"/>
      <c r="G1681" s="6"/>
      <c r="H1681" s="3"/>
      <c r="I1681" s="6"/>
      <c r="J1681" s="6"/>
      <c r="K1681" s="6"/>
      <c r="L1681" s="6"/>
      <c r="M1681" s="6"/>
      <c r="N1681" s="6"/>
      <c r="O1681" s="3"/>
      <c r="P1681" s="6"/>
      <c r="Q1681" s="6"/>
      <c r="R1681" s="6"/>
      <c r="S1681" s="6"/>
      <c r="T1681" s="6"/>
      <c r="U1681" t="str">
        <f t="shared" si="26"/>
        <v/>
      </c>
    </row>
    <row r="1682" spans="3:21" customFormat="1" hidden="1">
      <c r="C1682" s="6"/>
      <c r="D1682" s="6"/>
      <c r="E1682" s="98"/>
      <c r="F1682" s="3"/>
      <c r="G1682" s="6"/>
      <c r="H1682" s="3"/>
      <c r="I1682" s="6"/>
      <c r="J1682" s="6"/>
      <c r="K1682" s="6"/>
      <c r="L1682" s="6"/>
      <c r="M1682" s="6"/>
      <c r="N1682" s="6"/>
      <c r="O1682" s="3"/>
      <c r="P1682" s="6"/>
      <c r="Q1682" s="6"/>
      <c r="R1682" s="6"/>
      <c r="S1682" s="6"/>
      <c r="T1682" s="6"/>
      <c r="U1682" t="str">
        <f t="shared" si="26"/>
        <v/>
      </c>
    </row>
    <row r="1683" spans="3:21" customFormat="1" hidden="1">
      <c r="C1683" s="6"/>
      <c r="D1683" s="6"/>
      <c r="E1683" s="98"/>
      <c r="F1683" s="3"/>
      <c r="G1683" s="6"/>
      <c r="H1683" s="3"/>
      <c r="I1683" s="6"/>
      <c r="J1683" s="6"/>
      <c r="K1683" s="6"/>
      <c r="L1683" s="6"/>
      <c r="M1683" s="6"/>
      <c r="N1683" s="6"/>
      <c r="O1683" s="3"/>
      <c r="P1683" s="6"/>
      <c r="Q1683" s="6"/>
      <c r="R1683" s="6"/>
      <c r="S1683" s="6"/>
      <c r="T1683" s="6"/>
      <c r="U1683" t="str">
        <f t="shared" si="26"/>
        <v/>
      </c>
    </row>
    <row r="1684" spans="3:21" customFormat="1" hidden="1">
      <c r="C1684" s="6"/>
      <c r="D1684" s="6"/>
      <c r="E1684" s="98"/>
      <c r="F1684" s="3"/>
      <c r="G1684" s="6"/>
      <c r="H1684" s="3"/>
      <c r="I1684" s="6"/>
      <c r="J1684" s="6"/>
      <c r="K1684" s="6"/>
      <c r="L1684" s="6"/>
      <c r="M1684" s="6"/>
      <c r="N1684" s="6"/>
      <c r="O1684" s="3"/>
      <c r="P1684" s="6"/>
      <c r="Q1684" s="6"/>
      <c r="R1684" s="6"/>
      <c r="S1684" s="6"/>
      <c r="T1684" s="6"/>
      <c r="U1684" t="str">
        <f t="shared" si="26"/>
        <v/>
      </c>
    </row>
    <row r="1685" spans="3:21" customFormat="1" hidden="1">
      <c r="C1685" s="6"/>
      <c r="D1685" s="6"/>
      <c r="E1685" s="98"/>
      <c r="F1685" s="3"/>
      <c r="G1685" s="6"/>
      <c r="H1685" s="3"/>
      <c r="I1685" s="6"/>
      <c r="J1685" s="6"/>
      <c r="K1685" s="6"/>
      <c r="L1685" s="6"/>
      <c r="M1685" s="6"/>
      <c r="N1685" s="6"/>
      <c r="O1685" s="3"/>
      <c r="P1685" s="6"/>
      <c r="Q1685" s="6"/>
      <c r="R1685" s="6"/>
      <c r="S1685" s="6"/>
      <c r="T1685" s="6"/>
      <c r="U1685" t="str">
        <f t="shared" si="26"/>
        <v/>
      </c>
    </row>
    <row r="1686" spans="3:21" customFormat="1" hidden="1">
      <c r="C1686" s="6"/>
      <c r="D1686" s="6"/>
      <c r="E1686" s="98"/>
      <c r="F1686" s="3"/>
      <c r="G1686" s="6"/>
      <c r="H1686" s="3"/>
      <c r="I1686" s="6"/>
      <c r="J1686" s="6"/>
      <c r="K1686" s="6"/>
      <c r="L1686" s="6"/>
      <c r="M1686" s="6"/>
      <c r="N1686" s="6"/>
      <c r="O1686" s="3"/>
      <c r="P1686" s="6"/>
      <c r="Q1686" s="6"/>
      <c r="R1686" s="6"/>
      <c r="S1686" s="6"/>
      <c r="T1686" s="6"/>
      <c r="U1686" t="str">
        <f t="shared" si="26"/>
        <v/>
      </c>
    </row>
    <row r="1687" spans="3:21" customFormat="1" hidden="1">
      <c r="C1687" s="6"/>
      <c r="D1687" s="6"/>
      <c r="E1687" s="98"/>
      <c r="F1687" s="3"/>
      <c r="G1687" s="6"/>
      <c r="H1687" s="3"/>
      <c r="I1687" s="6"/>
      <c r="J1687" s="6"/>
      <c r="K1687" s="6"/>
      <c r="L1687" s="6"/>
      <c r="M1687" s="6"/>
      <c r="N1687" s="6"/>
      <c r="O1687" s="3"/>
      <c r="P1687" s="6"/>
      <c r="Q1687" s="6"/>
      <c r="R1687" s="6"/>
      <c r="S1687" s="6"/>
      <c r="T1687" s="6"/>
      <c r="U1687" t="str">
        <f t="shared" si="26"/>
        <v/>
      </c>
    </row>
    <row r="1688" spans="3:21" customFormat="1" hidden="1">
      <c r="C1688" s="6"/>
      <c r="D1688" s="6"/>
      <c r="E1688" s="98"/>
      <c r="F1688" s="3"/>
      <c r="G1688" s="6"/>
      <c r="H1688" s="3"/>
      <c r="I1688" s="6"/>
      <c r="J1688" s="6"/>
      <c r="K1688" s="6"/>
      <c r="L1688" s="6"/>
      <c r="M1688" s="6"/>
      <c r="N1688" s="6"/>
      <c r="O1688" s="3"/>
      <c r="P1688" s="6"/>
      <c r="Q1688" s="6"/>
      <c r="R1688" s="6"/>
      <c r="S1688" s="6"/>
      <c r="T1688" s="6"/>
      <c r="U1688" t="str">
        <f t="shared" si="26"/>
        <v/>
      </c>
    </row>
    <row r="1689" spans="3:21" customFormat="1" hidden="1">
      <c r="C1689" s="6"/>
      <c r="D1689" s="6"/>
      <c r="E1689" s="98"/>
      <c r="F1689" s="3"/>
      <c r="G1689" s="6"/>
      <c r="H1689" s="3"/>
      <c r="I1689" s="6"/>
      <c r="J1689" s="6"/>
      <c r="K1689" s="6"/>
      <c r="L1689" s="6"/>
      <c r="M1689" s="6"/>
      <c r="N1689" s="6"/>
      <c r="O1689" s="3"/>
      <c r="P1689" s="6"/>
      <c r="Q1689" s="6"/>
      <c r="R1689" s="6"/>
      <c r="S1689" s="6"/>
      <c r="T1689" s="6"/>
      <c r="U1689" t="str">
        <f t="shared" si="26"/>
        <v/>
      </c>
    </row>
    <row r="1690" spans="3:21" customFormat="1" hidden="1">
      <c r="C1690" s="6"/>
      <c r="D1690" s="6"/>
      <c r="E1690" s="98"/>
      <c r="F1690" s="3"/>
      <c r="G1690" s="6"/>
      <c r="H1690" s="3"/>
      <c r="I1690" s="6"/>
      <c r="J1690" s="6"/>
      <c r="K1690" s="6"/>
      <c r="L1690" s="6"/>
      <c r="M1690" s="6"/>
      <c r="N1690" s="6"/>
      <c r="O1690" s="3"/>
      <c r="P1690" s="6"/>
      <c r="Q1690" s="6"/>
      <c r="R1690" s="6"/>
      <c r="S1690" s="6"/>
      <c r="T1690" s="6"/>
      <c r="U1690" t="str">
        <f t="shared" si="26"/>
        <v/>
      </c>
    </row>
    <row r="1691" spans="3:21" customFormat="1" hidden="1">
      <c r="C1691" s="6"/>
      <c r="D1691" s="6"/>
      <c r="E1691" s="98"/>
      <c r="F1691" s="3"/>
      <c r="G1691" s="6"/>
      <c r="H1691" s="3"/>
      <c r="I1691" s="6"/>
      <c r="J1691" s="6"/>
      <c r="K1691" s="6"/>
      <c r="L1691" s="6"/>
      <c r="M1691" s="6"/>
      <c r="N1691" s="6"/>
      <c r="O1691" s="3"/>
      <c r="P1691" s="6"/>
      <c r="Q1691" s="6"/>
      <c r="R1691" s="6"/>
      <c r="S1691" s="6"/>
      <c r="T1691" s="6"/>
      <c r="U1691" t="str">
        <f t="shared" si="26"/>
        <v/>
      </c>
    </row>
    <row r="1692" spans="3:21" customFormat="1" hidden="1">
      <c r="C1692" s="6"/>
      <c r="D1692" s="6"/>
      <c r="E1692" s="98"/>
      <c r="F1692" s="3"/>
      <c r="G1692" s="6"/>
      <c r="H1692" s="3"/>
      <c r="I1692" s="6"/>
      <c r="J1692" s="6"/>
      <c r="K1692" s="6"/>
      <c r="L1692" s="6"/>
      <c r="M1692" s="6"/>
      <c r="N1692" s="6"/>
      <c r="O1692" s="3"/>
      <c r="P1692" s="6"/>
      <c r="Q1692" s="6"/>
      <c r="R1692" s="6"/>
      <c r="S1692" s="6"/>
      <c r="T1692" s="6"/>
      <c r="U1692" t="str">
        <f t="shared" si="26"/>
        <v/>
      </c>
    </row>
    <row r="1693" spans="3:21" customFormat="1" hidden="1">
      <c r="C1693" s="6"/>
      <c r="D1693" s="6"/>
      <c r="E1693" s="98"/>
      <c r="F1693" s="3"/>
      <c r="G1693" s="6"/>
      <c r="H1693" s="3"/>
      <c r="I1693" s="6"/>
      <c r="J1693" s="6"/>
      <c r="K1693" s="6"/>
      <c r="L1693" s="6"/>
      <c r="M1693" s="6"/>
      <c r="N1693" s="6"/>
      <c r="O1693" s="3"/>
      <c r="P1693" s="6"/>
      <c r="Q1693" s="6"/>
      <c r="R1693" s="6"/>
      <c r="S1693" s="6"/>
      <c r="T1693" s="6"/>
      <c r="U1693" t="str">
        <f t="shared" si="26"/>
        <v/>
      </c>
    </row>
    <row r="1694" spans="3:21" customFormat="1" hidden="1">
      <c r="C1694" s="6"/>
      <c r="D1694" s="6"/>
      <c r="E1694" s="98"/>
      <c r="F1694" s="3"/>
      <c r="G1694" s="6"/>
      <c r="H1694" s="3"/>
      <c r="I1694" s="6"/>
      <c r="J1694" s="6"/>
      <c r="K1694" s="6"/>
      <c r="L1694" s="6"/>
      <c r="M1694" s="6"/>
      <c r="N1694" s="6"/>
      <c r="O1694" s="3"/>
      <c r="P1694" s="6"/>
      <c r="Q1694" s="6"/>
      <c r="R1694" s="6"/>
      <c r="S1694" s="6"/>
      <c r="T1694" s="6"/>
      <c r="U1694" t="str">
        <f t="shared" si="26"/>
        <v/>
      </c>
    </row>
    <row r="1695" spans="3:21" customFormat="1" hidden="1">
      <c r="C1695" s="6"/>
      <c r="D1695" s="6"/>
      <c r="E1695" s="98"/>
      <c r="F1695" s="3"/>
      <c r="G1695" s="6"/>
      <c r="H1695" s="3"/>
      <c r="I1695" s="6"/>
      <c r="J1695" s="6"/>
      <c r="K1695" s="6"/>
      <c r="L1695" s="6"/>
      <c r="M1695" s="6"/>
      <c r="N1695" s="6"/>
      <c r="O1695" s="3"/>
      <c r="P1695" s="6"/>
      <c r="Q1695" s="6"/>
      <c r="R1695" s="6"/>
      <c r="S1695" s="6"/>
      <c r="T1695" s="6"/>
      <c r="U1695" t="str">
        <f t="shared" si="26"/>
        <v/>
      </c>
    </row>
    <row r="1696" spans="3:21" customFormat="1" hidden="1">
      <c r="C1696" s="6"/>
      <c r="D1696" s="6"/>
      <c r="E1696" s="98"/>
      <c r="F1696" s="3"/>
      <c r="G1696" s="6"/>
      <c r="H1696" s="3"/>
      <c r="I1696" s="6"/>
      <c r="J1696" s="6"/>
      <c r="K1696" s="6"/>
      <c r="L1696" s="6"/>
      <c r="M1696" s="6"/>
      <c r="N1696" s="6"/>
      <c r="O1696" s="3"/>
      <c r="P1696" s="6"/>
      <c r="Q1696" s="6"/>
      <c r="R1696" s="6"/>
      <c r="S1696" s="6"/>
      <c r="T1696" s="6"/>
      <c r="U1696" t="str">
        <f t="shared" si="26"/>
        <v/>
      </c>
    </row>
    <row r="1697" spans="3:21" customFormat="1" hidden="1">
      <c r="C1697" s="6"/>
      <c r="D1697" s="6"/>
      <c r="E1697" s="98"/>
      <c r="F1697" s="3"/>
      <c r="G1697" s="6"/>
      <c r="H1697" s="3"/>
      <c r="I1697" s="6"/>
      <c r="J1697" s="6"/>
      <c r="K1697" s="6"/>
      <c r="L1697" s="6"/>
      <c r="M1697" s="6"/>
      <c r="N1697" s="6"/>
      <c r="O1697" s="3"/>
      <c r="P1697" s="6"/>
      <c r="Q1697" s="6"/>
      <c r="R1697" s="6"/>
      <c r="S1697" s="6"/>
      <c r="T1697" s="6"/>
      <c r="U1697" t="str">
        <f t="shared" si="26"/>
        <v/>
      </c>
    </row>
    <row r="1698" spans="3:21" customFormat="1" hidden="1">
      <c r="C1698" s="6"/>
      <c r="D1698" s="6"/>
      <c r="E1698" s="98"/>
      <c r="F1698" s="3"/>
      <c r="G1698" s="6"/>
      <c r="H1698" s="3"/>
      <c r="I1698" s="6"/>
      <c r="J1698" s="6"/>
      <c r="K1698" s="6"/>
      <c r="L1698" s="6"/>
      <c r="M1698" s="6"/>
      <c r="N1698" s="6"/>
      <c r="O1698" s="3"/>
      <c r="P1698" s="6"/>
      <c r="Q1698" s="6"/>
      <c r="R1698" s="6"/>
      <c r="S1698" s="6"/>
      <c r="T1698" s="6"/>
      <c r="U1698" t="str">
        <f t="shared" si="26"/>
        <v/>
      </c>
    </row>
    <row r="1699" spans="3:21" customFormat="1" hidden="1">
      <c r="C1699" s="6"/>
      <c r="D1699" s="6"/>
      <c r="E1699" s="98"/>
      <c r="F1699" s="3"/>
      <c r="G1699" s="6"/>
      <c r="H1699" s="3"/>
      <c r="I1699" s="6"/>
      <c r="J1699" s="6"/>
      <c r="K1699" s="6"/>
      <c r="L1699" s="6"/>
      <c r="M1699" s="6"/>
      <c r="N1699" s="6"/>
      <c r="O1699" s="3"/>
      <c r="P1699" s="6"/>
      <c r="Q1699" s="6"/>
      <c r="R1699" s="6"/>
      <c r="S1699" s="6"/>
      <c r="T1699" s="6"/>
      <c r="U1699" t="str">
        <f t="shared" si="26"/>
        <v/>
      </c>
    </row>
    <row r="1700" spans="3:21" customFormat="1" hidden="1">
      <c r="C1700" s="6"/>
      <c r="D1700" s="6"/>
      <c r="E1700" s="98"/>
      <c r="F1700" s="3"/>
      <c r="G1700" s="6"/>
      <c r="H1700" s="3"/>
      <c r="I1700" s="6"/>
      <c r="J1700" s="6"/>
      <c r="K1700" s="6"/>
      <c r="L1700" s="6"/>
      <c r="M1700" s="6"/>
      <c r="N1700" s="6"/>
      <c r="O1700" s="3"/>
      <c r="P1700" s="6"/>
      <c r="Q1700" s="6"/>
      <c r="R1700" s="6"/>
      <c r="S1700" s="6"/>
      <c r="T1700" s="6"/>
      <c r="U1700" t="str">
        <f t="shared" si="26"/>
        <v/>
      </c>
    </row>
    <row r="1701" spans="3:21" customFormat="1" hidden="1">
      <c r="C1701" s="6"/>
      <c r="D1701" s="6"/>
      <c r="E1701" s="98"/>
      <c r="F1701" s="3"/>
      <c r="G1701" s="6"/>
      <c r="H1701" s="3"/>
      <c r="I1701" s="6"/>
      <c r="J1701" s="6"/>
      <c r="K1701" s="6"/>
      <c r="L1701" s="6"/>
      <c r="M1701" s="6"/>
      <c r="N1701" s="6"/>
      <c r="O1701" s="3"/>
      <c r="P1701" s="6"/>
      <c r="Q1701" s="6"/>
      <c r="R1701" s="6"/>
      <c r="S1701" s="6"/>
      <c r="T1701" s="6"/>
      <c r="U1701" t="str">
        <f t="shared" si="26"/>
        <v/>
      </c>
    </row>
    <row r="1702" spans="3:21" customFormat="1" hidden="1">
      <c r="C1702" s="6"/>
      <c r="D1702" s="6"/>
      <c r="E1702" s="98"/>
      <c r="F1702" s="3"/>
      <c r="G1702" s="6"/>
      <c r="H1702" s="3"/>
      <c r="I1702" s="6"/>
      <c r="J1702" s="6"/>
      <c r="K1702" s="6"/>
      <c r="L1702" s="6"/>
      <c r="M1702" s="6"/>
      <c r="N1702" s="6"/>
      <c r="O1702" s="3"/>
      <c r="P1702" s="6"/>
      <c r="Q1702" s="6"/>
      <c r="R1702" s="6"/>
      <c r="S1702" s="6"/>
      <c r="T1702" s="6"/>
      <c r="U1702" t="str">
        <f t="shared" si="26"/>
        <v/>
      </c>
    </row>
    <row r="1703" spans="3:21" customFormat="1" hidden="1">
      <c r="C1703" s="6"/>
      <c r="D1703" s="6"/>
      <c r="E1703" s="98"/>
      <c r="F1703" s="3"/>
      <c r="G1703" s="6"/>
      <c r="H1703" s="3"/>
      <c r="I1703" s="6"/>
      <c r="J1703" s="6"/>
      <c r="K1703" s="6"/>
      <c r="L1703" s="6"/>
      <c r="M1703" s="6"/>
      <c r="N1703" s="6"/>
      <c r="O1703" s="3"/>
      <c r="P1703" s="6"/>
      <c r="Q1703" s="6"/>
      <c r="R1703" s="6"/>
      <c r="S1703" s="6"/>
      <c r="T1703" s="6"/>
      <c r="U1703" t="str">
        <f t="shared" si="26"/>
        <v/>
      </c>
    </row>
    <row r="1704" spans="3:21" customFormat="1" hidden="1">
      <c r="C1704" s="6"/>
      <c r="D1704" s="6"/>
      <c r="E1704" s="98"/>
      <c r="F1704" s="3"/>
      <c r="G1704" s="6"/>
      <c r="H1704" s="3"/>
      <c r="I1704" s="6"/>
      <c r="J1704" s="6"/>
      <c r="K1704" s="6"/>
      <c r="L1704" s="6"/>
      <c r="M1704" s="6"/>
      <c r="N1704" s="6"/>
      <c r="O1704" s="3"/>
      <c r="P1704" s="6"/>
      <c r="Q1704" s="6"/>
      <c r="R1704" s="6"/>
      <c r="S1704" s="6"/>
      <c r="T1704" s="6"/>
      <c r="U1704" t="str">
        <f t="shared" si="26"/>
        <v/>
      </c>
    </row>
    <row r="1705" spans="3:21" customFormat="1" hidden="1">
      <c r="C1705" s="6"/>
      <c r="D1705" s="6"/>
      <c r="E1705" s="98"/>
      <c r="F1705" s="3"/>
      <c r="G1705" s="6"/>
      <c r="H1705" s="3"/>
      <c r="I1705" s="6"/>
      <c r="J1705" s="6"/>
      <c r="K1705" s="6"/>
      <c r="L1705" s="6"/>
      <c r="M1705" s="6"/>
      <c r="N1705" s="6"/>
      <c r="O1705" s="3"/>
      <c r="P1705" s="6"/>
      <c r="Q1705" s="6"/>
      <c r="R1705" s="6"/>
      <c r="S1705" s="6"/>
      <c r="T1705" s="6"/>
      <c r="U1705" t="str">
        <f t="shared" si="26"/>
        <v/>
      </c>
    </row>
    <row r="1706" spans="3:21" customFormat="1" hidden="1">
      <c r="C1706" s="6"/>
      <c r="D1706" s="6"/>
      <c r="E1706" s="98"/>
      <c r="F1706" s="3"/>
      <c r="G1706" s="6"/>
      <c r="H1706" s="3"/>
      <c r="I1706" s="6"/>
      <c r="J1706" s="6"/>
      <c r="K1706" s="6"/>
      <c r="L1706" s="6"/>
      <c r="M1706" s="6"/>
      <c r="N1706" s="6"/>
      <c r="O1706" s="3"/>
      <c r="P1706" s="6"/>
      <c r="Q1706" s="6"/>
      <c r="R1706" s="6"/>
      <c r="S1706" s="6"/>
      <c r="T1706" s="6"/>
      <c r="U1706" t="str">
        <f t="shared" si="26"/>
        <v/>
      </c>
    </row>
    <row r="1707" spans="3:21" customFormat="1" hidden="1">
      <c r="C1707" s="6"/>
      <c r="D1707" s="6"/>
      <c r="E1707" s="98"/>
      <c r="F1707" s="3"/>
      <c r="G1707" s="6"/>
      <c r="H1707" s="3"/>
      <c r="I1707" s="6"/>
      <c r="J1707" s="6"/>
      <c r="K1707" s="6"/>
      <c r="L1707" s="6"/>
      <c r="M1707" s="6"/>
      <c r="N1707" s="6"/>
      <c r="O1707" s="3"/>
      <c r="P1707" s="6"/>
      <c r="Q1707" s="6"/>
      <c r="R1707" s="6"/>
      <c r="S1707" s="6"/>
      <c r="T1707" s="6"/>
      <c r="U1707" t="str">
        <f t="shared" si="26"/>
        <v/>
      </c>
    </row>
    <row r="1708" spans="3:21" customFormat="1" hidden="1">
      <c r="C1708" s="6"/>
      <c r="D1708" s="6"/>
      <c r="E1708" s="98"/>
      <c r="F1708" s="3"/>
      <c r="G1708" s="6"/>
      <c r="H1708" s="3"/>
      <c r="I1708" s="6"/>
      <c r="J1708" s="6"/>
      <c r="K1708" s="6"/>
      <c r="L1708" s="6"/>
      <c r="M1708" s="6"/>
      <c r="N1708" s="6"/>
      <c r="O1708" s="3"/>
      <c r="P1708" s="6"/>
      <c r="Q1708" s="6"/>
      <c r="R1708" s="6"/>
      <c r="S1708" s="6"/>
      <c r="T1708" s="6"/>
      <c r="U1708" t="str">
        <f t="shared" si="26"/>
        <v/>
      </c>
    </row>
    <row r="1709" spans="3:21" customFormat="1" hidden="1">
      <c r="C1709" s="6"/>
      <c r="D1709" s="6"/>
      <c r="E1709" s="98"/>
      <c r="F1709" s="3"/>
      <c r="G1709" s="6"/>
      <c r="H1709" s="3"/>
      <c r="I1709" s="6"/>
      <c r="J1709" s="6"/>
      <c r="K1709" s="6"/>
      <c r="L1709" s="6"/>
      <c r="M1709" s="6"/>
      <c r="N1709" s="6"/>
      <c r="O1709" s="3"/>
      <c r="P1709" s="6"/>
      <c r="Q1709" s="6"/>
      <c r="R1709" s="6"/>
      <c r="S1709" s="6"/>
      <c r="T1709" s="6"/>
      <c r="U1709" t="str">
        <f t="shared" si="26"/>
        <v/>
      </c>
    </row>
    <row r="1710" spans="3:21" customFormat="1" hidden="1">
      <c r="C1710" s="6"/>
      <c r="D1710" s="6"/>
      <c r="E1710" s="98"/>
      <c r="F1710" s="3"/>
      <c r="G1710" s="6"/>
      <c r="H1710" s="3"/>
      <c r="I1710" s="6"/>
      <c r="J1710" s="6"/>
      <c r="K1710" s="6"/>
      <c r="L1710" s="6"/>
      <c r="M1710" s="6"/>
      <c r="N1710" s="6"/>
      <c r="O1710" s="3"/>
      <c r="P1710" s="6"/>
      <c r="Q1710" s="6"/>
      <c r="R1710" s="6"/>
      <c r="S1710" s="6"/>
      <c r="T1710" s="6"/>
      <c r="U1710" t="str">
        <f t="shared" si="26"/>
        <v/>
      </c>
    </row>
    <row r="1711" spans="3:21" customFormat="1" hidden="1">
      <c r="C1711" s="6"/>
      <c r="D1711" s="6"/>
      <c r="E1711" s="98"/>
      <c r="F1711" s="3"/>
      <c r="G1711" s="6"/>
      <c r="H1711" s="3"/>
      <c r="I1711" s="6"/>
      <c r="J1711" s="6"/>
      <c r="K1711" s="6"/>
      <c r="L1711" s="6"/>
      <c r="M1711" s="6"/>
      <c r="N1711" s="6"/>
      <c r="O1711" s="3"/>
      <c r="P1711" s="6"/>
      <c r="Q1711" s="6"/>
      <c r="R1711" s="6"/>
      <c r="S1711" s="6"/>
      <c r="T1711" s="6"/>
      <c r="U1711" t="str">
        <f t="shared" si="26"/>
        <v/>
      </c>
    </row>
    <row r="1712" spans="3:21" customFormat="1" hidden="1">
      <c r="C1712" s="6"/>
      <c r="D1712" s="6"/>
      <c r="E1712" s="98"/>
      <c r="F1712" s="3"/>
      <c r="G1712" s="6"/>
      <c r="H1712" s="3"/>
      <c r="I1712" s="6"/>
      <c r="J1712" s="6"/>
      <c r="K1712" s="6"/>
      <c r="L1712" s="6"/>
      <c r="M1712" s="6"/>
      <c r="N1712" s="6"/>
      <c r="O1712" s="3"/>
      <c r="P1712" s="6"/>
      <c r="Q1712" s="6"/>
      <c r="R1712" s="6"/>
      <c r="S1712" s="6"/>
      <c r="T1712" s="6"/>
      <c r="U1712" t="str">
        <f t="shared" si="26"/>
        <v/>
      </c>
    </row>
    <row r="1713" spans="3:21" customFormat="1" hidden="1">
      <c r="C1713" s="6"/>
      <c r="D1713" s="6"/>
      <c r="E1713" s="98"/>
      <c r="F1713" s="3"/>
      <c r="G1713" s="6"/>
      <c r="H1713" s="3"/>
      <c r="I1713" s="6"/>
      <c r="J1713" s="6"/>
      <c r="K1713" s="6"/>
      <c r="L1713" s="6"/>
      <c r="M1713" s="6"/>
      <c r="N1713" s="6"/>
      <c r="O1713" s="3"/>
      <c r="P1713" s="6"/>
      <c r="Q1713" s="6"/>
      <c r="R1713" s="6"/>
      <c r="S1713" s="6"/>
      <c r="T1713" s="6"/>
      <c r="U1713" t="str">
        <f t="shared" si="26"/>
        <v/>
      </c>
    </row>
    <row r="1714" spans="3:21" customFormat="1" hidden="1">
      <c r="C1714" s="6"/>
      <c r="D1714" s="6"/>
      <c r="E1714" s="98"/>
      <c r="F1714" s="3"/>
      <c r="G1714" s="6"/>
      <c r="H1714" s="3"/>
      <c r="I1714" s="6"/>
      <c r="J1714" s="6"/>
      <c r="K1714" s="6"/>
      <c r="L1714" s="6"/>
      <c r="M1714" s="6"/>
      <c r="N1714" s="6"/>
      <c r="O1714" s="3"/>
      <c r="P1714" s="6"/>
      <c r="Q1714" s="6"/>
      <c r="R1714" s="6"/>
      <c r="S1714" s="6"/>
      <c r="T1714" s="6"/>
      <c r="U1714" t="str">
        <f t="shared" si="26"/>
        <v/>
      </c>
    </row>
    <row r="1715" spans="3:21" customFormat="1" hidden="1">
      <c r="C1715" s="6"/>
      <c r="D1715" s="6"/>
      <c r="E1715" s="98"/>
      <c r="F1715" s="3"/>
      <c r="G1715" s="6"/>
      <c r="H1715" s="3"/>
      <c r="I1715" s="6"/>
      <c r="J1715" s="6"/>
      <c r="K1715" s="6"/>
      <c r="L1715" s="6"/>
      <c r="M1715" s="6"/>
      <c r="N1715" s="6"/>
      <c r="O1715" s="3"/>
      <c r="P1715" s="6"/>
      <c r="Q1715" s="6"/>
      <c r="R1715" s="6"/>
      <c r="S1715" s="6"/>
      <c r="T1715" s="6"/>
      <c r="U1715" t="str">
        <f t="shared" si="26"/>
        <v/>
      </c>
    </row>
    <row r="1716" spans="3:21" customFormat="1" hidden="1">
      <c r="C1716" s="6"/>
      <c r="D1716" s="6"/>
      <c r="E1716" s="98"/>
      <c r="F1716" s="3"/>
      <c r="G1716" s="6"/>
      <c r="H1716" s="3"/>
      <c r="I1716" s="6"/>
      <c r="J1716" s="6"/>
      <c r="K1716" s="6"/>
      <c r="L1716" s="6"/>
      <c r="M1716" s="6"/>
      <c r="N1716" s="6"/>
      <c r="O1716" s="3"/>
      <c r="P1716" s="6"/>
      <c r="Q1716" s="6"/>
      <c r="R1716" s="6"/>
      <c r="S1716" s="6"/>
      <c r="T1716" s="6"/>
      <c r="U1716" t="str">
        <f t="shared" si="26"/>
        <v/>
      </c>
    </row>
    <row r="1717" spans="3:21" customFormat="1" hidden="1">
      <c r="C1717" s="6"/>
      <c r="D1717" s="6"/>
      <c r="E1717" s="98"/>
      <c r="F1717" s="3"/>
      <c r="G1717" s="6"/>
      <c r="H1717" s="3"/>
      <c r="I1717" s="6"/>
      <c r="J1717" s="6"/>
      <c r="K1717" s="6"/>
      <c r="L1717" s="6"/>
      <c r="M1717" s="6"/>
      <c r="N1717" s="6"/>
      <c r="O1717" s="3"/>
      <c r="P1717" s="6"/>
      <c r="Q1717" s="6"/>
      <c r="R1717" s="6"/>
      <c r="S1717" s="6"/>
      <c r="T1717" s="6"/>
      <c r="U1717" t="str">
        <f t="shared" si="26"/>
        <v/>
      </c>
    </row>
    <row r="1718" spans="3:21" customFormat="1" hidden="1">
      <c r="C1718" s="6"/>
      <c r="D1718" s="6"/>
      <c r="E1718" s="98"/>
      <c r="F1718" s="3"/>
      <c r="G1718" s="6"/>
      <c r="H1718" s="3"/>
      <c r="I1718" s="6"/>
      <c r="J1718" s="6"/>
      <c r="K1718" s="6"/>
      <c r="L1718" s="6"/>
      <c r="M1718" s="6"/>
      <c r="N1718" s="6"/>
      <c r="O1718" s="3"/>
      <c r="P1718" s="6"/>
      <c r="Q1718" s="6"/>
      <c r="R1718" s="6"/>
      <c r="S1718" s="6"/>
      <c r="T1718" s="6"/>
      <c r="U1718" t="str">
        <f t="shared" si="26"/>
        <v/>
      </c>
    </row>
    <row r="1719" spans="3:21" customFormat="1" hidden="1">
      <c r="C1719" s="6"/>
      <c r="D1719" s="6"/>
      <c r="E1719" s="98"/>
      <c r="F1719" s="3"/>
      <c r="G1719" s="6"/>
      <c r="H1719" s="3"/>
      <c r="I1719" s="6"/>
      <c r="J1719" s="6"/>
      <c r="K1719" s="6"/>
      <c r="L1719" s="6"/>
      <c r="M1719" s="6"/>
      <c r="N1719" s="6"/>
      <c r="O1719" s="3"/>
      <c r="P1719" s="6"/>
      <c r="Q1719" s="6"/>
      <c r="R1719" s="6"/>
      <c r="S1719" s="6"/>
      <c r="T1719" s="6"/>
      <c r="U1719" t="str">
        <f t="shared" si="26"/>
        <v/>
      </c>
    </row>
    <row r="1720" spans="3:21" customFormat="1" hidden="1">
      <c r="C1720" s="6"/>
      <c r="D1720" s="6"/>
      <c r="E1720" s="98"/>
      <c r="F1720" s="3"/>
      <c r="G1720" s="6"/>
      <c r="H1720" s="3"/>
      <c r="I1720" s="6"/>
      <c r="J1720" s="6"/>
      <c r="K1720" s="6"/>
      <c r="L1720" s="6"/>
      <c r="M1720" s="6"/>
      <c r="N1720" s="6"/>
      <c r="O1720" s="3"/>
      <c r="P1720" s="6"/>
      <c r="Q1720" s="6"/>
      <c r="R1720" s="6"/>
      <c r="S1720" s="6"/>
      <c r="T1720" s="6"/>
      <c r="U1720" t="str">
        <f t="shared" si="26"/>
        <v/>
      </c>
    </row>
    <row r="1721" spans="3:21" customFormat="1" hidden="1">
      <c r="C1721" s="6"/>
      <c r="D1721" s="6"/>
      <c r="E1721" s="98"/>
      <c r="F1721" s="3"/>
      <c r="G1721" s="6"/>
      <c r="H1721" s="3"/>
      <c r="I1721" s="6"/>
      <c r="J1721" s="6"/>
      <c r="K1721" s="6"/>
      <c r="L1721" s="6"/>
      <c r="M1721" s="6"/>
      <c r="N1721" s="6"/>
      <c r="O1721" s="3"/>
      <c r="P1721" s="6"/>
      <c r="Q1721" s="6"/>
      <c r="R1721" s="6"/>
      <c r="S1721" s="6"/>
      <c r="T1721" s="6"/>
      <c r="U1721" t="str">
        <f t="shared" si="26"/>
        <v/>
      </c>
    </row>
    <row r="1722" spans="3:21" customFormat="1" hidden="1">
      <c r="C1722" s="6"/>
      <c r="D1722" s="6"/>
      <c r="E1722" s="98"/>
      <c r="F1722" s="3"/>
      <c r="G1722" s="6"/>
      <c r="H1722" s="3"/>
      <c r="I1722" s="6"/>
      <c r="J1722" s="6"/>
      <c r="K1722" s="6"/>
      <c r="L1722" s="6"/>
      <c r="M1722" s="6"/>
      <c r="N1722" s="6"/>
      <c r="O1722" s="3"/>
      <c r="P1722" s="6"/>
      <c r="Q1722" s="6"/>
      <c r="R1722" s="6"/>
      <c r="S1722" s="6"/>
      <c r="T1722" s="6"/>
      <c r="U1722" t="str">
        <f t="shared" si="26"/>
        <v/>
      </c>
    </row>
    <row r="1723" spans="3:21" customFormat="1" hidden="1">
      <c r="C1723" s="6"/>
      <c r="D1723" s="6"/>
      <c r="E1723" s="98"/>
      <c r="F1723" s="3"/>
      <c r="G1723" s="6"/>
      <c r="H1723" s="3"/>
      <c r="I1723" s="6"/>
      <c r="J1723" s="6"/>
      <c r="K1723" s="6"/>
      <c r="L1723" s="6"/>
      <c r="M1723" s="6"/>
      <c r="N1723" s="6"/>
      <c r="O1723" s="3"/>
      <c r="P1723" s="6"/>
      <c r="Q1723" s="6"/>
      <c r="R1723" s="6"/>
      <c r="S1723" s="6"/>
      <c r="T1723" s="6"/>
      <c r="U1723" t="str">
        <f t="shared" si="26"/>
        <v/>
      </c>
    </row>
    <row r="1724" spans="3:21" customFormat="1" hidden="1">
      <c r="C1724" s="6"/>
      <c r="D1724" s="6"/>
      <c r="E1724" s="98"/>
      <c r="F1724" s="3"/>
      <c r="G1724" s="6"/>
      <c r="H1724" s="3"/>
      <c r="I1724" s="6"/>
      <c r="J1724" s="6"/>
      <c r="K1724" s="6"/>
      <c r="L1724" s="6"/>
      <c r="M1724" s="6"/>
      <c r="N1724" s="6"/>
      <c r="O1724" s="3"/>
      <c r="P1724" s="6"/>
      <c r="Q1724" s="6"/>
      <c r="R1724" s="6"/>
      <c r="S1724" s="6"/>
      <c r="T1724" s="6"/>
      <c r="U1724" t="str">
        <f t="shared" si="26"/>
        <v/>
      </c>
    </row>
    <row r="1725" spans="3:21" customFormat="1" hidden="1">
      <c r="C1725" s="6"/>
      <c r="D1725" s="6"/>
      <c r="E1725" s="98"/>
      <c r="F1725" s="3"/>
      <c r="G1725" s="6"/>
      <c r="H1725" s="3"/>
      <c r="I1725" s="6"/>
      <c r="J1725" s="6"/>
      <c r="K1725" s="6"/>
      <c r="L1725" s="6"/>
      <c r="M1725" s="6"/>
      <c r="N1725" s="6"/>
      <c r="O1725" s="3"/>
      <c r="P1725" s="6"/>
      <c r="Q1725" s="6"/>
      <c r="R1725" s="6"/>
      <c r="S1725" s="6"/>
      <c r="T1725" s="6"/>
      <c r="U1725" t="str">
        <f t="shared" si="26"/>
        <v/>
      </c>
    </row>
    <row r="1726" spans="3:21" customFormat="1" hidden="1">
      <c r="C1726" s="6"/>
      <c r="D1726" s="6"/>
      <c r="E1726" s="98"/>
      <c r="F1726" s="3"/>
      <c r="G1726" s="6"/>
      <c r="H1726" s="3"/>
      <c r="I1726" s="6"/>
      <c r="J1726" s="6"/>
      <c r="K1726" s="6"/>
      <c r="L1726" s="6"/>
      <c r="M1726" s="6"/>
      <c r="N1726" s="6"/>
      <c r="O1726" s="3"/>
      <c r="P1726" s="6"/>
      <c r="Q1726" s="6"/>
      <c r="R1726" s="6"/>
      <c r="S1726" s="6"/>
      <c r="T1726" s="6"/>
      <c r="U1726" t="str">
        <f t="shared" si="26"/>
        <v/>
      </c>
    </row>
    <row r="1727" spans="3:21" customFormat="1" hidden="1">
      <c r="C1727" s="6"/>
      <c r="D1727" s="6"/>
      <c r="E1727" s="98"/>
      <c r="F1727" s="3"/>
      <c r="G1727" s="6"/>
      <c r="H1727" s="3"/>
      <c r="I1727" s="6"/>
      <c r="J1727" s="6"/>
      <c r="K1727" s="6"/>
      <c r="L1727" s="6"/>
      <c r="M1727" s="6"/>
      <c r="N1727" s="6"/>
      <c r="O1727" s="3"/>
      <c r="P1727" s="6"/>
      <c r="Q1727" s="6"/>
      <c r="R1727" s="6"/>
      <c r="S1727" s="6"/>
      <c r="T1727" s="6"/>
      <c r="U1727" t="str">
        <f t="shared" si="26"/>
        <v/>
      </c>
    </row>
    <row r="1728" spans="3:21" customFormat="1" hidden="1">
      <c r="C1728" s="6"/>
      <c r="D1728" s="6"/>
      <c r="E1728" s="98"/>
      <c r="F1728" s="3"/>
      <c r="G1728" s="6"/>
      <c r="H1728" s="3"/>
      <c r="I1728" s="6"/>
      <c r="J1728" s="6"/>
      <c r="K1728" s="6"/>
      <c r="L1728" s="6"/>
      <c r="M1728" s="6"/>
      <c r="N1728" s="6"/>
      <c r="O1728" s="3"/>
      <c r="P1728" s="6"/>
      <c r="Q1728" s="6"/>
      <c r="R1728" s="6"/>
      <c r="S1728" s="6"/>
      <c r="T1728" s="6"/>
      <c r="U1728" t="str">
        <f t="shared" si="26"/>
        <v/>
      </c>
    </row>
    <row r="1729" spans="3:21" customFormat="1" hidden="1">
      <c r="C1729" s="6"/>
      <c r="D1729" s="6"/>
      <c r="E1729" s="98"/>
      <c r="F1729" s="3"/>
      <c r="G1729" s="6"/>
      <c r="H1729" s="3"/>
      <c r="I1729" s="6"/>
      <c r="J1729" s="6"/>
      <c r="K1729" s="6"/>
      <c r="L1729" s="6"/>
      <c r="M1729" s="6"/>
      <c r="N1729" s="6"/>
      <c r="O1729" s="3"/>
      <c r="P1729" s="6"/>
      <c r="Q1729" s="6"/>
      <c r="R1729" s="6"/>
      <c r="S1729" s="6"/>
      <c r="T1729" s="6"/>
      <c r="U1729" t="str">
        <f t="shared" si="26"/>
        <v/>
      </c>
    </row>
    <row r="1730" spans="3:21" customFormat="1" hidden="1">
      <c r="C1730" s="6"/>
      <c r="D1730" s="6"/>
      <c r="E1730" s="98"/>
      <c r="F1730" s="3"/>
      <c r="G1730" s="6"/>
      <c r="H1730" s="3"/>
      <c r="I1730" s="6"/>
      <c r="J1730" s="6"/>
      <c r="K1730" s="6"/>
      <c r="L1730" s="6"/>
      <c r="M1730" s="6"/>
      <c r="N1730" s="6"/>
      <c r="O1730" s="3"/>
      <c r="P1730" s="6"/>
      <c r="Q1730" s="6"/>
      <c r="R1730" s="6"/>
      <c r="S1730" s="6"/>
      <c r="T1730" s="6"/>
      <c r="U1730" t="str">
        <f t="shared" si="26"/>
        <v/>
      </c>
    </row>
    <row r="1731" spans="3:21" customFormat="1" hidden="1">
      <c r="C1731" s="6"/>
      <c r="D1731" s="6"/>
      <c r="E1731" s="98"/>
      <c r="F1731" s="3"/>
      <c r="G1731" s="6"/>
      <c r="H1731" s="3"/>
      <c r="I1731" s="6"/>
      <c r="J1731" s="6"/>
      <c r="K1731" s="6"/>
      <c r="L1731" s="6"/>
      <c r="M1731" s="6"/>
      <c r="N1731" s="6"/>
      <c r="O1731" s="3"/>
      <c r="P1731" s="6"/>
      <c r="Q1731" s="6"/>
      <c r="R1731" s="6"/>
      <c r="S1731" s="6"/>
      <c r="T1731" s="6"/>
      <c r="U1731" t="str">
        <f t="shared" si="26"/>
        <v/>
      </c>
    </row>
    <row r="1732" spans="3:21" customFormat="1" hidden="1">
      <c r="C1732" s="6"/>
      <c r="D1732" s="6"/>
      <c r="E1732" s="98"/>
      <c r="F1732" s="3"/>
      <c r="G1732" s="6"/>
      <c r="H1732" s="3"/>
      <c r="I1732" s="6"/>
      <c r="J1732" s="6"/>
      <c r="K1732" s="6"/>
      <c r="L1732" s="6"/>
      <c r="M1732" s="6"/>
      <c r="N1732" s="6"/>
      <c r="O1732" s="3"/>
      <c r="P1732" s="6"/>
      <c r="Q1732" s="6"/>
      <c r="R1732" s="6"/>
      <c r="S1732" s="6"/>
      <c r="T1732" s="6"/>
      <c r="U1732" t="str">
        <f t="shared" si="26"/>
        <v/>
      </c>
    </row>
    <row r="1733" spans="3:21" customFormat="1" hidden="1">
      <c r="C1733" s="6"/>
      <c r="D1733" s="6"/>
      <c r="E1733" s="98"/>
      <c r="F1733" s="3"/>
      <c r="G1733" s="6"/>
      <c r="H1733" s="3"/>
      <c r="I1733" s="6"/>
      <c r="J1733" s="6"/>
      <c r="K1733" s="6"/>
      <c r="L1733" s="6"/>
      <c r="M1733" s="6"/>
      <c r="N1733" s="6"/>
      <c r="O1733" s="3"/>
      <c r="P1733" s="6"/>
      <c r="Q1733" s="6"/>
      <c r="R1733" s="6"/>
      <c r="S1733" s="6"/>
      <c r="T1733" s="6"/>
      <c r="U1733" t="str">
        <f t="shared" si="26"/>
        <v/>
      </c>
    </row>
    <row r="1734" spans="3:21" customFormat="1" hidden="1">
      <c r="C1734" s="6"/>
      <c r="D1734" s="6"/>
      <c r="E1734" s="98"/>
      <c r="F1734" s="3"/>
      <c r="G1734" s="6"/>
      <c r="H1734" s="3"/>
      <c r="I1734" s="6"/>
      <c r="J1734" s="6"/>
      <c r="K1734" s="6"/>
      <c r="L1734" s="6"/>
      <c r="M1734" s="6"/>
      <c r="N1734" s="6"/>
      <c r="O1734" s="3"/>
      <c r="P1734" s="6"/>
      <c r="Q1734" s="6"/>
      <c r="R1734" s="6"/>
      <c r="S1734" s="6"/>
      <c r="T1734" s="6"/>
      <c r="U1734" t="str">
        <f t="shared" si="26"/>
        <v/>
      </c>
    </row>
    <row r="1735" spans="3:21" customFormat="1" hidden="1">
      <c r="C1735" s="6"/>
      <c r="D1735" s="6"/>
      <c r="E1735" s="98"/>
      <c r="F1735" s="3"/>
      <c r="G1735" s="6"/>
      <c r="H1735" s="3"/>
      <c r="I1735" s="6"/>
      <c r="J1735" s="6"/>
      <c r="K1735" s="6"/>
      <c r="L1735" s="6"/>
      <c r="M1735" s="6"/>
      <c r="N1735" s="6"/>
      <c r="O1735" s="3"/>
      <c r="P1735" s="6"/>
      <c r="Q1735" s="6"/>
      <c r="R1735" s="6"/>
      <c r="S1735" s="6"/>
      <c r="T1735" s="6"/>
      <c r="U1735" t="str">
        <f t="shared" ref="U1735:U1798" si="27">IF(D1735="","","x")</f>
        <v/>
      </c>
    </row>
    <row r="1736" spans="3:21" customFormat="1" hidden="1">
      <c r="C1736" s="6"/>
      <c r="D1736" s="6"/>
      <c r="E1736" s="98"/>
      <c r="F1736" s="3"/>
      <c r="G1736" s="6"/>
      <c r="H1736" s="3"/>
      <c r="I1736" s="6"/>
      <c r="J1736" s="6"/>
      <c r="K1736" s="6"/>
      <c r="L1736" s="6"/>
      <c r="M1736" s="6"/>
      <c r="N1736" s="6"/>
      <c r="O1736" s="3"/>
      <c r="P1736" s="6"/>
      <c r="Q1736" s="6"/>
      <c r="R1736" s="6"/>
      <c r="S1736" s="6"/>
      <c r="T1736" s="6"/>
      <c r="U1736" t="str">
        <f t="shared" si="27"/>
        <v/>
      </c>
    </row>
    <row r="1737" spans="3:21" customFormat="1" hidden="1">
      <c r="C1737" s="6"/>
      <c r="D1737" s="6"/>
      <c r="E1737" s="98"/>
      <c r="F1737" s="3"/>
      <c r="G1737" s="6"/>
      <c r="H1737" s="3"/>
      <c r="I1737" s="6"/>
      <c r="J1737" s="6"/>
      <c r="K1737" s="6"/>
      <c r="L1737" s="6"/>
      <c r="M1737" s="6"/>
      <c r="N1737" s="6"/>
      <c r="O1737" s="3"/>
      <c r="P1737" s="6"/>
      <c r="Q1737" s="6"/>
      <c r="R1737" s="6"/>
      <c r="S1737" s="6"/>
      <c r="T1737" s="6"/>
      <c r="U1737" t="str">
        <f t="shared" si="27"/>
        <v/>
      </c>
    </row>
    <row r="1738" spans="3:21" customFormat="1" hidden="1">
      <c r="C1738" s="6"/>
      <c r="D1738" s="6"/>
      <c r="E1738" s="98"/>
      <c r="F1738" s="3"/>
      <c r="G1738" s="6"/>
      <c r="H1738" s="3"/>
      <c r="I1738" s="6"/>
      <c r="J1738" s="6"/>
      <c r="K1738" s="6"/>
      <c r="L1738" s="6"/>
      <c r="M1738" s="6"/>
      <c r="N1738" s="6"/>
      <c r="O1738" s="3"/>
      <c r="P1738" s="6"/>
      <c r="Q1738" s="6"/>
      <c r="R1738" s="6"/>
      <c r="S1738" s="6"/>
      <c r="T1738" s="6"/>
      <c r="U1738" t="str">
        <f t="shared" si="27"/>
        <v/>
      </c>
    </row>
    <row r="1739" spans="3:21" customFormat="1" hidden="1">
      <c r="C1739" s="6"/>
      <c r="D1739" s="6"/>
      <c r="E1739" s="98"/>
      <c r="F1739" s="3"/>
      <c r="G1739" s="6"/>
      <c r="H1739" s="3"/>
      <c r="I1739" s="6"/>
      <c r="J1739" s="6"/>
      <c r="K1739" s="6"/>
      <c r="L1739" s="6"/>
      <c r="M1739" s="6"/>
      <c r="N1739" s="6"/>
      <c r="O1739" s="3"/>
      <c r="P1739" s="6"/>
      <c r="Q1739" s="6"/>
      <c r="R1739" s="6"/>
      <c r="S1739" s="6"/>
      <c r="T1739" s="6"/>
      <c r="U1739" t="str">
        <f t="shared" si="27"/>
        <v/>
      </c>
    </row>
    <row r="1740" spans="3:21" customFormat="1" hidden="1">
      <c r="C1740" s="6"/>
      <c r="D1740" s="6"/>
      <c r="E1740" s="98"/>
      <c r="F1740" s="3"/>
      <c r="G1740" s="6"/>
      <c r="H1740" s="3"/>
      <c r="I1740" s="6"/>
      <c r="J1740" s="6"/>
      <c r="K1740" s="6"/>
      <c r="L1740" s="6"/>
      <c r="M1740" s="6"/>
      <c r="N1740" s="6"/>
      <c r="O1740" s="3"/>
      <c r="P1740" s="6"/>
      <c r="Q1740" s="6"/>
      <c r="R1740" s="6"/>
      <c r="S1740" s="6"/>
      <c r="T1740" s="6"/>
      <c r="U1740" t="str">
        <f t="shared" si="27"/>
        <v/>
      </c>
    </row>
    <row r="1741" spans="3:21" customFormat="1" hidden="1">
      <c r="C1741" s="6"/>
      <c r="D1741" s="6"/>
      <c r="E1741" s="98"/>
      <c r="F1741" s="3"/>
      <c r="G1741" s="6"/>
      <c r="H1741" s="3"/>
      <c r="I1741" s="6"/>
      <c r="J1741" s="6"/>
      <c r="K1741" s="6"/>
      <c r="L1741" s="6"/>
      <c r="M1741" s="6"/>
      <c r="N1741" s="6"/>
      <c r="O1741" s="3"/>
      <c r="P1741" s="6"/>
      <c r="Q1741" s="6"/>
      <c r="R1741" s="6"/>
      <c r="S1741" s="6"/>
      <c r="T1741" s="6"/>
      <c r="U1741" t="str">
        <f t="shared" si="27"/>
        <v/>
      </c>
    </row>
    <row r="1742" spans="3:21" customFormat="1" hidden="1">
      <c r="C1742" s="6"/>
      <c r="D1742" s="6"/>
      <c r="E1742" s="98"/>
      <c r="F1742" s="3"/>
      <c r="G1742" s="6"/>
      <c r="H1742" s="3"/>
      <c r="I1742" s="6"/>
      <c r="J1742" s="6"/>
      <c r="K1742" s="6"/>
      <c r="L1742" s="6"/>
      <c r="M1742" s="6"/>
      <c r="N1742" s="6"/>
      <c r="O1742" s="3"/>
      <c r="P1742" s="6"/>
      <c r="Q1742" s="6"/>
      <c r="R1742" s="6"/>
      <c r="S1742" s="6"/>
      <c r="T1742" s="6"/>
      <c r="U1742" t="str">
        <f t="shared" si="27"/>
        <v/>
      </c>
    </row>
    <row r="1743" spans="3:21" customFormat="1" hidden="1">
      <c r="C1743" s="6"/>
      <c r="D1743" s="6"/>
      <c r="E1743" s="98"/>
      <c r="F1743" s="3"/>
      <c r="G1743" s="6"/>
      <c r="H1743" s="3"/>
      <c r="I1743" s="6"/>
      <c r="J1743" s="6"/>
      <c r="K1743" s="6"/>
      <c r="L1743" s="6"/>
      <c r="M1743" s="6"/>
      <c r="N1743" s="6"/>
      <c r="O1743" s="3"/>
      <c r="P1743" s="6"/>
      <c r="Q1743" s="6"/>
      <c r="R1743" s="6"/>
      <c r="S1743" s="6"/>
      <c r="T1743" s="6"/>
      <c r="U1743" t="str">
        <f t="shared" si="27"/>
        <v/>
      </c>
    </row>
    <row r="1744" spans="3:21" customFormat="1" hidden="1">
      <c r="C1744" s="6"/>
      <c r="D1744" s="6"/>
      <c r="E1744" s="98"/>
      <c r="F1744" s="3"/>
      <c r="G1744" s="6"/>
      <c r="H1744" s="3"/>
      <c r="I1744" s="6"/>
      <c r="J1744" s="6"/>
      <c r="K1744" s="6"/>
      <c r="L1744" s="6"/>
      <c r="M1744" s="6"/>
      <c r="N1744" s="6"/>
      <c r="O1744" s="3"/>
      <c r="P1744" s="6"/>
      <c r="Q1744" s="6"/>
      <c r="R1744" s="6"/>
      <c r="S1744" s="6"/>
      <c r="T1744" s="6"/>
      <c r="U1744" t="str">
        <f t="shared" si="27"/>
        <v/>
      </c>
    </row>
    <row r="1745" spans="3:21" customFormat="1" hidden="1">
      <c r="C1745" s="6"/>
      <c r="D1745" s="6"/>
      <c r="E1745" s="98"/>
      <c r="F1745" s="3"/>
      <c r="G1745" s="6"/>
      <c r="H1745" s="3"/>
      <c r="I1745" s="6"/>
      <c r="J1745" s="6"/>
      <c r="K1745" s="6"/>
      <c r="L1745" s="6"/>
      <c r="M1745" s="6"/>
      <c r="N1745" s="6"/>
      <c r="O1745" s="3"/>
      <c r="P1745" s="6"/>
      <c r="Q1745" s="6"/>
      <c r="R1745" s="6"/>
      <c r="S1745" s="6"/>
      <c r="T1745" s="6"/>
      <c r="U1745" t="str">
        <f t="shared" si="27"/>
        <v/>
      </c>
    </row>
    <row r="1746" spans="3:21" customFormat="1" hidden="1">
      <c r="C1746" s="6"/>
      <c r="D1746" s="6"/>
      <c r="E1746" s="98"/>
      <c r="F1746" s="3"/>
      <c r="G1746" s="6"/>
      <c r="H1746" s="3"/>
      <c r="I1746" s="6"/>
      <c r="J1746" s="6"/>
      <c r="K1746" s="6"/>
      <c r="L1746" s="6"/>
      <c r="M1746" s="6"/>
      <c r="N1746" s="6"/>
      <c r="O1746" s="3"/>
      <c r="P1746" s="6"/>
      <c r="Q1746" s="6"/>
      <c r="R1746" s="6"/>
      <c r="S1746" s="6"/>
      <c r="T1746" s="6"/>
      <c r="U1746" t="str">
        <f t="shared" si="27"/>
        <v/>
      </c>
    </row>
    <row r="1747" spans="3:21" customFormat="1" hidden="1">
      <c r="C1747" s="6"/>
      <c r="D1747" s="6"/>
      <c r="E1747" s="98"/>
      <c r="F1747" s="3"/>
      <c r="G1747" s="6"/>
      <c r="H1747" s="3"/>
      <c r="I1747" s="6"/>
      <c r="J1747" s="6"/>
      <c r="K1747" s="6"/>
      <c r="L1747" s="6"/>
      <c r="M1747" s="6"/>
      <c r="N1747" s="6"/>
      <c r="O1747" s="3"/>
      <c r="P1747" s="6"/>
      <c r="Q1747" s="6"/>
      <c r="R1747" s="6"/>
      <c r="S1747" s="6"/>
      <c r="T1747" s="6"/>
      <c r="U1747" t="str">
        <f t="shared" si="27"/>
        <v/>
      </c>
    </row>
    <row r="1748" spans="3:21" customFormat="1" hidden="1">
      <c r="C1748" s="6"/>
      <c r="D1748" s="6"/>
      <c r="E1748" s="98"/>
      <c r="F1748" s="3"/>
      <c r="G1748" s="6"/>
      <c r="H1748" s="3"/>
      <c r="I1748" s="6"/>
      <c r="J1748" s="6"/>
      <c r="K1748" s="6"/>
      <c r="L1748" s="6"/>
      <c r="M1748" s="6"/>
      <c r="N1748" s="6"/>
      <c r="O1748" s="3"/>
      <c r="P1748" s="6"/>
      <c r="Q1748" s="6"/>
      <c r="R1748" s="6"/>
      <c r="S1748" s="6"/>
      <c r="T1748" s="6"/>
      <c r="U1748" t="str">
        <f t="shared" si="27"/>
        <v/>
      </c>
    </row>
    <row r="1749" spans="3:21" customFormat="1" hidden="1">
      <c r="C1749" s="6"/>
      <c r="D1749" s="6"/>
      <c r="E1749" s="98"/>
      <c r="F1749" s="3"/>
      <c r="G1749" s="6"/>
      <c r="H1749" s="3"/>
      <c r="I1749" s="6"/>
      <c r="J1749" s="6"/>
      <c r="K1749" s="6"/>
      <c r="L1749" s="6"/>
      <c r="M1749" s="6"/>
      <c r="N1749" s="6"/>
      <c r="O1749" s="3"/>
      <c r="P1749" s="6"/>
      <c r="Q1749" s="6"/>
      <c r="R1749" s="6"/>
      <c r="S1749" s="6"/>
      <c r="T1749" s="6"/>
      <c r="U1749" t="str">
        <f t="shared" si="27"/>
        <v/>
      </c>
    </row>
    <row r="1750" spans="3:21" customFormat="1" hidden="1">
      <c r="C1750" s="6"/>
      <c r="D1750" s="6"/>
      <c r="E1750" s="98"/>
      <c r="F1750" s="3"/>
      <c r="G1750" s="6"/>
      <c r="H1750" s="3"/>
      <c r="I1750" s="6"/>
      <c r="J1750" s="6"/>
      <c r="K1750" s="6"/>
      <c r="L1750" s="6"/>
      <c r="M1750" s="6"/>
      <c r="N1750" s="6"/>
      <c r="O1750" s="3"/>
      <c r="P1750" s="6"/>
      <c r="Q1750" s="6"/>
      <c r="R1750" s="6"/>
      <c r="S1750" s="6"/>
      <c r="T1750" s="6"/>
      <c r="U1750" t="str">
        <f t="shared" si="27"/>
        <v/>
      </c>
    </row>
    <row r="1751" spans="3:21" customFormat="1" hidden="1">
      <c r="C1751" s="6"/>
      <c r="D1751" s="6"/>
      <c r="E1751" s="98"/>
      <c r="F1751" s="3"/>
      <c r="G1751" s="6"/>
      <c r="H1751" s="3"/>
      <c r="I1751" s="6"/>
      <c r="J1751" s="6"/>
      <c r="K1751" s="6"/>
      <c r="L1751" s="6"/>
      <c r="M1751" s="6"/>
      <c r="N1751" s="6"/>
      <c r="O1751" s="3"/>
      <c r="P1751" s="6"/>
      <c r="Q1751" s="6"/>
      <c r="R1751" s="6"/>
      <c r="S1751" s="6"/>
      <c r="T1751" s="6"/>
      <c r="U1751" t="str">
        <f t="shared" si="27"/>
        <v/>
      </c>
    </row>
    <row r="1752" spans="3:21" customFormat="1" hidden="1">
      <c r="C1752" s="6"/>
      <c r="D1752" s="6"/>
      <c r="E1752" s="98"/>
      <c r="F1752" s="3"/>
      <c r="G1752" s="6"/>
      <c r="H1752" s="3"/>
      <c r="I1752" s="6"/>
      <c r="J1752" s="6"/>
      <c r="K1752" s="6"/>
      <c r="L1752" s="6"/>
      <c r="M1752" s="6"/>
      <c r="N1752" s="6"/>
      <c r="O1752" s="3"/>
      <c r="P1752" s="6"/>
      <c r="Q1752" s="6"/>
      <c r="R1752" s="6"/>
      <c r="S1752" s="6"/>
      <c r="T1752" s="6"/>
      <c r="U1752" t="str">
        <f t="shared" si="27"/>
        <v/>
      </c>
    </row>
    <row r="1753" spans="3:21" customFormat="1" hidden="1">
      <c r="C1753" s="6"/>
      <c r="D1753" s="6"/>
      <c r="E1753" s="98"/>
      <c r="F1753" s="3"/>
      <c r="G1753" s="6"/>
      <c r="H1753" s="3"/>
      <c r="I1753" s="6"/>
      <c r="J1753" s="6"/>
      <c r="K1753" s="6"/>
      <c r="L1753" s="6"/>
      <c r="M1753" s="6"/>
      <c r="N1753" s="6"/>
      <c r="O1753" s="3"/>
      <c r="P1753" s="6"/>
      <c r="Q1753" s="6"/>
      <c r="R1753" s="6"/>
      <c r="S1753" s="6"/>
      <c r="T1753" s="6"/>
      <c r="U1753" t="str">
        <f t="shared" si="27"/>
        <v/>
      </c>
    </row>
    <row r="1754" spans="3:21" customFormat="1" hidden="1">
      <c r="C1754" s="6"/>
      <c r="D1754" s="6"/>
      <c r="E1754" s="98"/>
      <c r="F1754" s="3"/>
      <c r="G1754" s="6"/>
      <c r="H1754" s="3"/>
      <c r="I1754" s="6"/>
      <c r="J1754" s="6"/>
      <c r="K1754" s="6"/>
      <c r="L1754" s="6"/>
      <c r="M1754" s="6"/>
      <c r="N1754" s="6"/>
      <c r="O1754" s="3"/>
      <c r="P1754" s="6"/>
      <c r="Q1754" s="6"/>
      <c r="R1754" s="6"/>
      <c r="S1754" s="6"/>
      <c r="T1754" s="6"/>
      <c r="U1754" t="str">
        <f t="shared" si="27"/>
        <v/>
      </c>
    </row>
    <row r="1755" spans="3:21" customFormat="1" hidden="1">
      <c r="C1755" s="6"/>
      <c r="D1755" s="6"/>
      <c r="E1755" s="98"/>
      <c r="F1755" s="3"/>
      <c r="G1755" s="6"/>
      <c r="H1755" s="3"/>
      <c r="I1755" s="6"/>
      <c r="J1755" s="6"/>
      <c r="K1755" s="6"/>
      <c r="L1755" s="6"/>
      <c r="M1755" s="6"/>
      <c r="N1755" s="6"/>
      <c r="O1755" s="3"/>
      <c r="P1755" s="6"/>
      <c r="Q1755" s="6"/>
      <c r="R1755" s="6"/>
      <c r="S1755" s="6"/>
      <c r="T1755" s="6"/>
      <c r="U1755" t="str">
        <f t="shared" si="27"/>
        <v/>
      </c>
    </row>
    <row r="1756" spans="3:21" customFormat="1" hidden="1">
      <c r="C1756" s="6"/>
      <c r="D1756" s="6"/>
      <c r="E1756" s="98"/>
      <c r="F1756" s="3"/>
      <c r="G1756" s="6"/>
      <c r="H1756" s="3"/>
      <c r="I1756" s="6"/>
      <c r="J1756" s="6"/>
      <c r="K1756" s="6"/>
      <c r="L1756" s="6"/>
      <c r="M1756" s="6"/>
      <c r="N1756" s="6"/>
      <c r="O1756" s="3"/>
      <c r="P1756" s="6"/>
      <c r="Q1756" s="6"/>
      <c r="R1756" s="6"/>
      <c r="S1756" s="6"/>
      <c r="T1756" s="6"/>
      <c r="U1756" t="str">
        <f t="shared" si="27"/>
        <v/>
      </c>
    </row>
    <row r="1757" spans="3:21" customFormat="1" hidden="1">
      <c r="C1757" s="6"/>
      <c r="D1757" s="6"/>
      <c r="E1757" s="98"/>
      <c r="F1757" s="3"/>
      <c r="G1757" s="6"/>
      <c r="H1757" s="3"/>
      <c r="I1757" s="6"/>
      <c r="J1757" s="6"/>
      <c r="K1757" s="6"/>
      <c r="L1757" s="6"/>
      <c r="M1757" s="6"/>
      <c r="N1757" s="6"/>
      <c r="O1757" s="3"/>
      <c r="P1757" s="6"/>
      <c r="Q1757" s="6"/>
      <c r="R1757" s="6"/>
      <c r="S1757" s="6"/>
      <c r="T1757" s="6"/>
      <c r="U1757" t="str">
        <f t="shared" si="27"/>
        <v/>
      </c>
    </row>
    <row r="1758" spans="3:21" customFormat="1" hidden="1">
      <c r="C1758" s="6"/>
      <c r="D1758" s="6"/>
      <c r="E1758" s="98"/>
      <c r="F1758" s="3"/>
      <c r="G1758" s="6"/>
      <c r="H1758" s="3"/>
      <c r="I1758" s="6"/>
      <c r="J1758" s="6"/>
      <c r="K1758" s="6"/>
      <c r="L1758" s="6"/>
      <c r="M1758" s="6"/>
      <c r="N1758" s="6"/>
      <c r="O1758" s="3"/>
      <c r="P1758" s="6"/>
      <c r="Q1758" s="6"/>
      <c r="R1758" s="6"/>
      <c r="S1758" s="6"/>
      <c r="T1758" s="6"/>
      <c r="U1758" t="str">
        <f t="shared" si="27"/>
        <v/>
      </c>
    </row>
    <row r="1759" spans="3:21" customFormat="1" hidden="1">
      <c r="C1759" s="6"/>
      <c r="D1759" s="6"/>
      <c r="E1759" s="98"/>
      <c r="F1759" s="3"/>
      <c r="G1759" s="6"/>
      <c r="H1759" s="3"/>
      <c r="I1759" s="6"/>
      <c r="J1759" s="6"/>
      <c r="K1759" s="6"/>
      <c r="L1759" s="6"/>
      <c r="M1759" s="6"/>
      <c r="N1759" s="6"/>
      <c r="O1759" s="3"/>
      <c r="P1759" s="6"/>
      <c r="Q1759" s="6"/>
      <c r="R1759" s="6"/>
      <c r="S1759" s="6"/>
      <c r="T1759" s="6"/>
      <c r="U1759" t="str">
        <f t="shared" si="27"/>
        <v/>
      </c>
    </row>
    <row r="1760" spans="3:21" customFormat="1" hidden="1">
      <c r="C1760" s="6"/>
      <c r="D1760" s="6"/>
      <c r="E1760" s="98"/>
      <c r="F1760" s="3"/>
      <c r="G1760" s="6"/>
      <c r="H1760" s="3"/>
      <c r="I1760" s="6"/>
      <c r="J1760" s="6"/>
      <c r="K1760" s="6"/>
      <c r="L1760" s="6"/>
      <c r="M1760" s="6"/>
      <c r="N1760" s="6"/>
      <c r="O1760" s="3"/>
      <c r="P1760" s="6"/>
      <c r="Q1760" s="6"/>
      <c r="R1760" s="6"/>
      <c r="S1760" s="6"/>
      <c r="T1760" s="6"/>
      <c r="U1760" t="str">
        <f t="shared" si="27"/>
        <v/>
      </c>
    </row>
    <row r="1761" spans="3:21" customFormat="1" hidden="1">
      <c r="C1761" s="6"/>
      <c r="D1761" s="6"/>
      <c r="E1761" s="98"/>
      <c r="F1761" s="3"/>
      <c r="G1761" s="6"/>
      <c r="H1761" s="3"/>
      <c r="I1761" s="6"/>
      <c r="J1761" s="6"/>
      <c r="K1761" s="6"/>
      <c r="L1761" s="6"/>
      <c r="M1761" s="6"/>
      <c r="N1761" s="6"/>
      <c r="O1761" s="3"/>
      <c r="P1761" s="6"/>
      <c r="Q1761" s="6"/>
      <c r="R1761" s="6"/>
      <c r="S1761" s="6"/>
      <c r="T1761" s="6"/>
      <c r="U1761" t="str">
        <f t="shared" si="27"/>
        <v/>
      </c>
    </row>
    <row r="1762" spans="3:21" customFormat="1" hidden="1">
      <c r="C1762" s="6"/>
      <c r="D1762" s="6"/>
      <c r="E1762" s="98"/>
      <c r="F1762" s="3"/>
      <c r="G1762" s="6"/>
      <c r="H1762" s="3"/>
      <c r="I1762" s="6"/>
      <c r="J1762" s="6"/>
      <c r="K1762" s="6"/>
      <c r="L1762" s="6"/>
      <c r="M1762" s="6"/>
      <c r="N1762" s="6"/>
      <c r="O1762" s="3"/>
      <c r="P1762" s="6"/>
      <c r="Q1762" s="6"/>
      <c r="R1762" s="6"/>
      <c r="S1762" s="6"/>
      <c r="T1762" s="6"/>
      <c r="U1762" t="str">
        <f t="shared" si="27"/>
        <v/>
      </c>
    </row>
    <row r="1763" spans="3:21" customFormat="1" hidden="1">
      <c r="C1763" s="6"/>
      <c r="D1763" s="6"/>
      <c r="E1763" s="98"/>
      <c r="F1763" s="3"/>
      <c r="G1763" s="6"/>
      <c r="H1763" s="3"/>
      <c r="I1763" s="6"/>
      <c r="J1763" s="6"/>
      <c r="K1763" s="6"/>
      <c r="L1763" s="6"/>
      <c r="M1763" s="6"/>
      <c r="N1763" s="6"/>
      <c r="O1763" s="3"/>
      <c r="P1763" s="6"/>
      <c r="Q1763" s="6"/>
      <c r="R1763" s="6"/>
      <c r="S1763" s="6"/>
      <c r="T1763" s="6"/>
      <c r="U1763" t="str">
        <f t="shared" si="27"/>
        <v/>
      </c>
    </row>
    <row r="1764" spans="3:21" customFormat="1" hidden="1">
      <c r="C1764" s="6"/>
      <c r="D1764" s="6"/>
      <c r="E1764" s="98"/>
      <c r="F1764" s="3"/>
      <c r="G1764" s="6"/>
      <c r="H1764" s="3"/>
      <c r="I1764" s="6"/>
      <c r="J1764" s="6"/>
      <c r="K1764" s="6"/>
      <c r="L1764" s="6"/>
      <c r="M1764" s="6"/>
      <c r="N1764" s="6"/>
      <c r="O1764" s="3"/>
      <c r="P1764" s="6"/>
      <c r="Q1764" s="6"/>
      <c r="R1764" s="6"/>
      <c r="S1764" s="6"/>
      <c r="T1764" s="6"/>
      <c r="U1764" t="str">
        <f t="shared" si="27"/>
        <v/>
      </c>
    </row>
    <row r="1765" spans="3:21" customFormat="1" hidden="1">
      <c r="C1765" s="6"/>
      <c r="D1765" s="6"/>
      <c r="E1765" s="98"/>
      <c r="F1765" s="3"/>
      <c r="G1765" s="6"/>
      <c r="H1765" s="3"/>
      <c r="I1765" s="6"/>
      <c r="J1765" s="6"/>
      <c r="K1765" s="6"/>
      <c r="L1765" s="6"/>
      <c r="M1765" s="6"/>
      <c r="N1765" s="6"/>
      <c r="O1765" s="3"/>
      <c r="P1765" s="6"/>
      <c r="Q1765" s="6"/>
      <c r="R1765" s="6"/>
      <c r="S1765" s="6"/>
      <c r="T1765" s="6"/>
      <c r="U1765" t="str">
        <f t="shared" si="27"/>
        <v/>
      </c>
    </row>
    <row r="1766" spans="3:21" customFormat="1" hidden="1">
      <c r="C1766" s="6"/>
      <c r="D1766" s="6"/>
      <c r="E1766" s="98"/>
      <c r="F1766" s="3"/>
      <c r="G1766" s="6"/>
      <c r="H1766" s="3"/>
      <c r="I1766" s="6"/>
      <c r="J1766" s="6"/>
      <c r="K1766" s="6"/>
      <c r="L1766" s="6"/>
      <c r="M1766" s="6"/>
      <c r="N1766" s="6"/>
      <c r="O1766" s="3"/>
      <c r="P1766" s="6"/>
      <c r="Q1766" s="6"/>
      <c r="R1766" s="6"/>
      <c r="S1766" s="6"/>
      <c r="T1766" s="6"/>
      <c r="U1766" t="str">
        <f t="shared" si="27"/>
        <v/>
      </c>
    </row>
    <row r="1767" spans="3:21" customFormat="1" hidden="1">
      <c r="C1767" s="6"/>
      <c r="D1767" s="6"/>
      <c r="E1767" s="98"/>
      <c r="F1767" s="3"/>
      <c r="G1767" s="6"/>
      <c r="H1767" s="3"/>
      <c r="I1767" s="6"/>
      <c r="J1767" s="6"/>
      <c r="K1767" s="6"/>
      <c r="L1767" s="6"/>
      <c r="M1767" s="6"/>
      <c r="N1767" s="6"/>
      <c r="O1767" s="3"/>
      <c r="P1767" s="6"/>
      <c r="Q1767" s="6"/>
      <c r="R1767" s="6"/>
      <c r="S1767" s="6"/>
      <c r="T1767" s="6"/>
      <c r="U1767" t="str">
        <f t="shared" si="27"/>
        <v/>
      </c>
    </row>
    <row r="1768" spans="3:21" customFormat="1" hidden="1">
      <c r="C1768" s="6"/>
      <c r="D1768" s="6"/>
      <c r="E1768" s="98"/>
      <c r="F1768" s="3"/>
      <c r="G1768" s="6"/>
      <c r="H1768" s="3"/>
      <c r="I1768" s="6"/>
      <c r="J1768" s="6"/>
      <c r="K1768" s="6"/>
      <c r="L1768" s="6"/>
      <c r="M1768" s="6"/>
      <c r="N1768" s="6"/>
      <c r="O1768" s="3"/>
      <c r="P1768" s="6"/>
      <c r="Q1768" s="6"/>
      <c r="R1768" s="6"/>
      <c r="S1768" s="6"/>
      <c r="T1768" s="6"/>
      <c r="U1768" t="str">
        <f t="shared" si="27"/>
        <v/>
      </c>
    </row>
    <row r="1769" spans="3:21" customFormat="1" hidden="1">
      <c r="C1769" s="6"/>
      <c r="D1769" s="6"/>
      <c r="E1769" s="98"/>
      <c r="F1769" s="3"/>
      <c r="G1769" s="6"/>
      <c r="H1769" s="3"/>
      <c r="I1769" s="6"/>
      <c r="J1769" s="6"/>
      <c r="K1769" s="6"/>
      <c r="L1769" s="6"/>
      <c r="M1769" s="6"/>
      <c r="N1769" s="6"/>
      <c r="O1769" s="3"/>
      <c r="P1769" s="6"/>
      <c r="Q1769" s="6"/>
      <c r="R1769" s="6"/>
      <c r="S1769" s="6"/>
      <c r="T1769" s="6"/>
      <c r="U1769" t="str">
        <f t="shared" si="27"/>
        <v/>
      </c>
    </row>
    <row r="1770" spans="3:21" customFormat="1" hidden="1">
      <c r="C1770" s="6"/>
      <c r="D1770" s="6"/>
      <c r="E1770" s="98"/>
      <c r="F1770" s="3"/>
      <c r="G1770" s="6"/>
      <c r="H1770" s="3"/>
      <c r="I1770" s="6"/>
      <c r="J1770" s="6"/>
      <c r="K1770" s="6"/>
      <c r="L1770" s="6"/>
      <c r="M1770" s="6"/>
      <c r="N1770" s="6"/>
      <c r="O1770" s="3"/>
      <c r="P1770" s="6"/>
      <c r="Q1770" s="6"/>
      <c r="R1770" s="6"/>
      <c r="S1770" s="6"/>
      <c r="T1770" s="6"/>
      <c r="U1770" t="str">
        <f t="shared" si="27"/>
        <v/>
      </c>
    </row>
    <row r="1771" spans="3:21" customFormat="1" hidden="1">
      <c r="C1771" s="6"/>
      <c r="D1771" s="6"/>
      <c r="E1771" s="98"/>
      <c r="F1771" s="3"/>
      <c r="G1771" s="6"/>
      <c r="H1771" s="3"/>
      <c r="I1771" s="6"/>
      <c r="J1771" s="6"/>
      <c r="K1771" s="6"/>
      <c r="L1771" s="6"/>
      <c r="M1771" s="6"/>
      <c r="N1771" s="6"/>
      <c r="O1771" s="3"/>
      <c r="P1771" s="6"/>
      <c r="Q1771" s="6"/>
      <c r="R1771" s="6"/>
      <c r="S1771" s="6"/>
      <c r="T1771" s="6"/>
      <c r="U1771" t="str">
        <f t="shared" si="27"/>
        <v/>
      </c>
    </row>
    <row r="1772" spans="3:21" customFormat="1" hidden="1">
      <c r="C1772" s="6"/>
      <c r="D1772" s="6"/>
      <c r="E1772" s="98"/>
      <c r="F1772" s="3"/>
      <c r="G1772" s="6"/>
      <c r="H1772" s="3"/>
      <c r="I1772" s="6"/>
      <c r="J1772" s="6"/>
      <c r="K1772" s="6"/>
      <c r="L1772" s="6"/>
      <c r="M1772" s="6"/>
      <c r="N1772" s="6"/>
      <c r="O1772" s="3"/>
      <c r="P1772" s="6"/>
      <c r="Q1772" s="6"/>
      <c r="R1772" s="6"/>
      <c r="S1772" s="6"/>
      <c r="T1772" s="6"/>
      <c r="U1772" t="str">
        <f t="shared" si="27"/>
        <v/>
      </c>
    </row>
    <row r="1773" spans="3:21" customFormat="1" hidden="1">
      <c r="C1773" s="6"/>
      <c r="D1773" s="6"/>
      <c r="E1773" s="98"/>
      <c r="F1773" s="3"/>
      <c r="G1773" s="6"/>
      <c r="H1773" s="3"/>
      <c r="I1773" s="6"/>
      <c r="J1773" s="6"/>
      <c r="K1773" s="6"/>
      <c r="L1773" s="6"/>
      <c r="M1773" s="6"/>
      <c r="N1773" s="6"/>
      <c r="O1773" s="3"/>
      <c r="P1773" s="6"/>
      <c r="Q1773" s="6"/>
      <c r="R1773" s="6"/>
      <c r="S1773" s="6"/>
      <c r="T1773" s="6"/>
      <c r="U1773" t="str">
        <f t="shared" si="27"/>
        <v/>
      </c>
    </row>
    <row r="1774" spans="3:21" customFormat="1" hidden="1">
      <c r="C1774" s="6"/>
      <c r="D1774" s="6"/>
      <c r="E1774" s="98"/>
      <c r="F1774" s="3"/>
      <c r="G1774" s="6"/>
      <c r="H1774" s="3"/>
      <c r="I1774" s="6"/>
      <c r="J1774" s="6"/>
      <c r="K1774" s="6"/>
      <c r="L1774" s="6"/>
      <c r="M1774" s="6"/>
      <c r="N1774" s="6"/>
      <c r="O1774" s="3"/>
      <c r="P1774" s="6"/>
      <c r="Q1774" s="6"/>
      <c r="R1774" s="6"/>
      <c r="S1774" s="6"/>
      <c r="T1774" s="6"/>
      <c r="U1774" t="str">
        <f t="shared" si="27"/>
        <v/>
      </c>
    </row>
    <row r="1775" spans="3:21" customFormat="1" hidden="1">
      <c r="C1775" s="6"/>
      <c r="D1775" s="6"/>
      <c r="E1775" s="98"/>
      <c r="F1775" s="3"/>
      <c r="G1775" s="6"/>
      <c r="H1775" s="3"/>
      <c r="I1775" s="6"/>
      <c r="J1775" s="6"/>
      <c r="K1775" s="6"/>
      <c r="L1775" s="6"/>
      <c r="M1775" s="6"/>
      <c r="N1775" s="6"/>
      <c r="O1775" s="3"/>
      <c r="P1775" s="6"/>
      <c r="Q1775" s="6"/>
      <c r="R1775" s="6"/>
      <c r="S1775" s="6"/>
      <c r="T1775" s="6"/>
      <c r="U1775" t="str">
        <f t="shared" si="27"/>
        <v/>
      </c>
    </row>
    <row r="1776" spans="3:21" customFormat="1" hidden="1">
      <c r="C1776" s="6"/>
      <c r="D1776" s="6"/>
      <c r="E1776" s="98"/>
      <c r="F1776" s="3"/>
      <c r="G1776" s="6"/>
      <c r="H1776" s="3"/>
      <c r="I1776" s="6"/>
      <c r="J1776" s="6"/>
      <c r="K1776" s="6"/>
      <c r="L1776" s="6"/>
      <c r="M1776" s="6"/>
      <c r="N1776" s="6"/>
      <c r="O1776" s="3"/>
      <c r="P1776" s="6"/>
      <c r="Q1776" s="6"/>
      <c r="R1776" s="6"/>
      <c r="S1776" s="6"/>
      <c r="T1776" s="6"/>
      <c r="U1776" t="str">
        <f t="shared" si="27"/>
        <v/>
      </c>
    </row>
    <row r="1777" spans="3:21" customFormat="1" hidden="1">
      <c r="C1777" s="6"/>
      <c r="D1777" s="6"/>
      <c r="E1777" s="98"/>
      <c r="F1777" s="3"/>
      <c r="G1777" s="6"/>
      <c r="H1777" s="3"/>
      <c r="I1777" s="6"/>
      <c r="J1777" s="6"/>
      <c r="K1777" s="6"/>
      <c r="L1777" s="6"/>
      <c r="M1777" s="6"/>
      <c r="N1777" s="6"/>
      <c r="O1777" s="3"/>
      <c r="P1777" s="6"/>
      <c r="Q1777" s="6"/>
      <c r="R1777" s="6"/>
      <c r="S1777" s="6"/>
      <c r="T1777" s="6"/>
      <c r="U1777" t="str">
        <f t="shared" si="27"/>
        <v/>
      </c>
    </row>
    <row r="1778" spans="3:21" customFormat="1" hidden="1">
      <c r="C1778" s="6"/>
      <c r="D1778" s="6"/>
      <c r="E1778" s="98"/>
      <c r="F1778" s="3"/>
      <c r="G1778" s="6"/>
      <c r="H1778" s="3"/>
      <c r="I1778" s="6"/>
      <c r="J1778" s="6"/>
      <c r="K1778" s="6"/>
      <c r="L1778" s="6"/>
      <c r="M1778" s="6"/>
      <c r="N1778" s="6"/>
      <c r="O1778" s="3"/>
      <c r="P1778" s="6"/>
      <c r="Q1778" s="6"/>
      <c r="R1778" s="6"/>
      <c r="S1778" s="6"/>
      <c r="T1778" s="6"/>
      <c r="U1778" t="str">
        <f t="shared" si="27"/>
        <v/>
      </c>
    </row>
    <row r="1779" spans="3:21" customFormat="1" hidden="1">
      <c r="C1779" s="6"/>
      <c r="D1779" s="6"/>
      <c r="E1779" s="98"/>
      <c r="F1779" s="3"/>
      <c r="G1779" s="6"/>
      <c r="H1779" s="3"/>
      <c r="I1779" s="6"/>
      <c r="J1779" s="6"/>
      <c r="K1779" s="6"/>
      <c r="L1779" s="6"/>
      <c r="M1779" s="6"/>
      <c r="N1779" s="6"/>
      <c r="O1779" s="3"/>
      <c r="P1779" s="6"/>
      <c r="Q1779" s="6"/>
      <c r="R1779" s="6"/>
      <c r="S1779" s="6"/>
      <c r="T1779" s="6"/>
      <c r="U1779" t="str">
        <f t="shared" si="27"/>
        <v/>
      </c>
    </row>
    <row r="1780" spans="3:21" customFormat="1" hidden="1">
      <c r="C1780" s="6"/>
      <c r="D1780" s="6"/>
      <c r="E1780" s="98"/>
      <c r="F1780" s="3"/>
      <c r="G1780" s="6"/>
      <c r="H1780" s="3"/>
      <c r="I1780" s="6"/>
      <c r="J1780" s="6"/>
      <c r="K1780" s="6"/>
      <c r="L1780" s="6"/>
      <c r="M1780" s="6"/>
      <c r="N1780" s="6"/>
      <c r="O1780" s="3"/>
      <c r="P1780" s="6"/>
      <c r="Q1780" s="6"/>
      <c r="R1780" s="6"/>
      <c r="S1780" s="6"/>
      <c r="T1780" s="6"/>
      <c r="U1780" t="str">
        <f t="shared" si="27"/>
        <v/>
      </c>
    </row>
    <row r="1781" spans="3:21" customFormat="1" hidden="1">
      <c r="C1781" s="6"/>
      <c r="D1781" s="6"/>
      <c r="E1781" s="98"/>
      <c r="F1781" s="3"/>
      <c r="G1781" s="6"/>
      <c r="H1781" s="3"/>
      <c r="I1781" s="6"/>
      <c r="J1781" s="6"/>
      <c r="K1781" s="6"/>
      <c r="L1781" s="6"/>
      <c r="M1781" s="6"/>
      <c r="N1781" s="6"/>
      <c r="O1781" s="3"/>
      <c r="P1781" s="6"/>
      <c r="Q1781" s="6"/>
      <c r="R1781" s="6"/>
      <c r="S1781" s="6"/>
      <c r="T1781" s="6"/>
      <c r="U1781" t="str">
        <f t="shared" si="27"/>
        <v/>
      </c>
    </row>
    <row r="1782" spans="3:21" customFormat="1" hidden="1">
      <c r="C1782" s="6"/>
      <c r="D1782" s="6"/>
      <c r="E1782" s="98"/>
      <c r="F1782" s="3"/>
      <c r="G1782" s="6"/>
      <c r="H1782" s="3"/>
      <c r="I1782" s="6"/>
      <c r="J1782" s="6"/>
      <c r="K1782" s="6"/>
      <c r="L1782" s="6"/>
      <c r="M1782" s="6"/>
      <c r="N1782" s="6"/>
      <c r="O1782" s="3"/>
      <c r="P1782" s="6"/>
      <c r="Q1782" s="6"/>
      <c r="R1782" s="6"/>
      <c r="S1782" s="6"/>
      <c r="T1782" s="6"/>
      <c r="U1782" t="str">
        <f t="shared" si="27"/>
        <v/>
      </c>
    </row>
    <row r="1783" spans="3:21" customFormat="1" hidden="1">
      <c r="C1783" s="6"/>
      <c r="D1783" s="6"/>
      <c r="E1783" s="98"/>
      <c r="F1783" s="3"/>
      <c r="G1783" s="6"/>
      <c r="H1783" s="3"/>
      <c r="I1783" s="6"/>
      <c r="J1783" s="6"/>
      <c r="K1783" s="6"/>
      <c r="L1783" s="6"/>
      <c r="M1783" s="6"/>
      <c r="N1783" s="6"/>
      <c r="O1783" s="3"/>
      <c r="P1783" s="6"/>
      <c r="Q1783" s="6"/>
      <c r="R1783" s="6"/>
      <c r="S1783" s="6"/>
      <c r="T1783" s="6"/>
      <c r="U1783" t="str">
        <f t="shared" si="27"/>
        <v/>
      </c>
    </row>
    <row r="1784" spans="3:21" customFormat="1" hidden="1">
      <c r="C1784" s="6"/>
      <c r="D1784" s="6"/>
      <c r="E1784" s="98"/>
      <c r="F1784" s="3"/>
      <c r="G1784" s="6"/>
      <c r="H1784" s="3"/>
      <c r="I1784" s="6"/>
      <c r="J1784" s="6"/>
      <c r="K1784" s="6"/>
      <c r="L1784" s="6"/>
      <c r="M1784" s="6"/>
      <c r="N1784" s="6"/>
      <c r="O1784" s="3"/>
      <c r="P1784" s="6"/>
      <c r="Q1784" s="6"/>
      <c r="R1784" s="6"/>
      <c r="S1784" s="6"/>
      <c r="T1784" s="6"/>
      <c r="U1784" t="str">
        <f t="shared" si="27"/>
        <v/>
      </c>
    </row>
    <row r="1785" spans="3:21" customFormat="1" hidden="1">
      <c r="C1785" s="6"/>
      <c r="D1785" s="6"/>
      <c r="E1785" s="98"/>
      <c r="F1785" s="3"/>
      <c r="G1785" s="6"/>
      <c r="H1785" s="3"/>
      <c r="I1785" s="6"/>
      <c r="J1785" s="6"/>
      <c r="K1785" s="6"/>
      <c r="L1785" s="6"/>
      <c r="M1785" s="6"/>
      <c r="N1785" s="6"/>
      <c r="O1785" s="3"/>
      <c r="P1785" s="6"/>
      <c r="Q1785" s="6"/>
      <c r="R1785" s="6"/>
      <c r="S1785" s="6"/>
      <c r="T1785" s="6"/>
      <c r="U1785" t="str">
        <f t="shared" si="27"/>
        <v/>
      </c>
    </row>
    <row r="1786" spans="3:21" customFormat="1" hidden="1">
      <c r="C1786" s="6"/>
      <c r="D1786" s="6"/>
      <c r="E1786" s="98"/>
      <c r="F1786" s="3"/>
      <c r="G1786" s="6"/>
      <c r="H1786" s="3"/>
      <c r="I1786" s="6"/>
      <c r="J1786" s="6"/>
      <c r="K1786" s="6"/>
      <c r="L1786" s="6"/>
      <c r="M1786" s="6"/>
      <c r="N1786" s="6"/>
      <c r="O1786" s="3"/>
      <c r="P1786" s="6"/>
      <c r="Q1786" s="6"/>
      <c r="R1786" s="6"/>
      <c r="S1786" s="6"/>
      <c r="T1786" s="6"/>
      <c r="U1786" t="str">
        <f t="shared" si="27"/>
        <v/>
      </c>
    </row>
    <row r="1787" spans="3:21" customFormat="1" hidden="1">
      <c r="C1787" s="6"/>
      <c r="D1787" s="6"/>
      <c r="E1787" s="98"/>
      <c r="F1787" s="3"/>
      <c r="G1787" s="6"/>
      <c r="H1787" s="3"/>
      <c r="I1787" s="6"/>
      <c r="J1787" s="6"/>
      <c r="K1787" s="6"/>
      <c r="L1787" s="6"/>
      <c r="M1787" s="6"/>
      <c r="N1787" s="6"/>
      <c r="O1787" s="3"/>
      <c r="P1787" s="6"/>
      <c r="Q1787" s="6"/>
      <c r="R1787" s="6"/>
      <c r="S1787" s="6"/>
      <c r="T1787" s="6"/>
      <c r="U1787" t="str">
        <f t="shared" si="27"/>
        <v/>
      </c>
    </row>
    <row r="1788" spans="3:21" customFormat="1" hidden="1">
      <c r="C1788" s="6"/>
      <c r="D1788" s="6"/>
      <c r="E1788" s="98"/>
      <c r="F1788" s="3"/>
      <c r="G1788" s="6"/>
      <c r="H1788" s="3"/>
      <c r="I1788" s="6"/>
      <c r="J1788" s="6"/>
      <c r="K1788" s="6"/>
      <c r="L1788" s="6"/>
      <c r="M1788" s="6"/>
      <c r="N1788" s="6"/>
      <c r="O1788" s="3"/>
      <c r="P1788" s="6"/>
      <c r="Q1788" s="6"/>
      <c r="R1788" s="6"/>
      <c r="S1788" s="6"/>
      <c r="T1788" s="6"/>
      <c r="U1788" t="str">
        <f t="shared" si="27"/>
        <v/>
      </c>
    </row>
    <row r="1789" spans="3:21" customFormat="1" hidden="1">
      <c r="C1789" s="6"/>
      <c r="D1789" s="6"/>
      <c r="E1789" s="98"/>
      <c r="F1789" s="3"/>
      <c r="G1789" s="6"/>
      <c r="H1789" s="3"/>
      <c r="I1789" s="6"/>
      <c r="J1789" s="6"/>
      <c r="K1789" s="6"/>
      <c r="L1789" s="6"/>
      <c r="M1789" s="6"/>
      <c r="N1789" s="6"/>
      <c r="O1789" s="3"/>
      <c r="P1789" s="6"/>
      <c r="Q1789" s="6"/>
      <c r="R1789" s="6"/>
      <c r="S1789" s="6"/>
      <c r="T1789" s="6"/>
      <c r="U1789" t="str">
        <f t="shared" si="27"/>
        <v/>
      </c>
    </row>
    <row r="1790" spans="3:21" customFormat="1" hidden="1">
      <c r="C1790" s="6"/>
      <c r="D1790" s="6"/>
      <c r="E1790" s="98"/>
      <c r="F1790" s="3"/>
      <c r="G1790" s="6"/>
      <c r="H1790" s="3"/>
      <c r="I1790" s="6"/>
      <c r="J1790" s="6"/>
      <c r="K1790" s="6"/>
      <c r="L1790" s="6"/>
      <c r="M1790" s="6"/>
      <c r="N1790" s="6"/>
      <c r="O1790" s="3"/>
      <c r="P1790" s="6"/>
      <c r="Q1790" s="6"/>
      <c r="R1790" s="6"/>
      <c r="S1790" s="6"/>
      <c r="T1790" s="6"/>
      <c r="U1790" t="str">
        <f t="shared" si="27"/>
        <v/>
      </c>
    </row>
    <row r="1791" spans="3:21" customFormat="1" hidden="1">
      <c r="C1791" s="6"/>
      <c r="D1791" s="6"/>
      <c r="E1791" s="98"/>
      <c r="F1791" s="3"/>
      <c r="G1791" s="6"/>
      <c r="H1791" s="3"/>
      <c r="I1791" s="6"/>
      <c r="J1791" s="6"/>
      <c r="K1791" s="6"/>
      <c r="L1791" s="6"/>
      <c r="M1791" s="6"/>
      <c r="N1791" s="6"/>
      <c r="O1791" s="3"/>
      <c r="P1791" s="6"/>
      <c r="Q1791" s="6"/>
      <c r="R1791" s="6"/>
      <c r="S1791" s="6"/>
      <c r="T1791" s="6"/>
      <c r="U1791" t="str">
        <f t="shared" si="27"/>
        <v/>
      </c>
    </row>
    <row r="1792" spans="3:21" customFormat="1" hidden="1">
      <c r="C1792" s="6"/>
      <c r="D1792" s="6"/>
      <c r="E1792" s="98"/>
      <c r="F1792" s="3"/>
      <c r="G1792" s="6"/>
      <c r="H1792" s="3"/>
      <c r="I1792" s="6"/>
      <c r="J1792" s="6"/>
      <c r="K1792" s="6"/>
      <c r="L1792" s="6"/>
      <c r="M1792" s="6"/>
      <c r="N1792" s="6"/>
      <c r="O1792" s="3"/>
      <c r="P1792" s="6"/>
      <c r="Q1792" s="6"/>
      <c r="R1792" s="6"/>
      <c r="S1792" s="6"/>
      <c r="T1792" s="6"/>
      <c r="U1792" t="str">
        <f t="shared" si="27"/>
        <v/>
      </c>
    </row>
    <row r="1793" spans="3:21" customFormat="1" hidden="1">
      <c r="C1793" s="6"/>
      <c r="D1793" s="6"/>
      <c r="E1793" s="98"/>
      <c r="F1793" s="3"/>
      <c r="G1793" s="6"/>
      <c r="H1793" s="3"/>
      <c r="I1793" s="6"/>
      <c r="J1793" s="6"/>
      <c r="K1793" s="6"/>
      <c r="L1793" s="6"/>
      <c r="M1793" s="6"/>
      <c r="N1793" s="6"/>
      <c r="O1793" s="3"/>
      <c r="P1793" s="6"/>
      <c r="Q1793" s="6"/>
      <c r="R1793" s="6"/>
      <c r="S1793" s="6"/>
      <c r="T1793" s="6"/>
      <c r="U1793" t="str">
        <f t="shared" si="27"/>
        <v/>
      </c>
    </row>
    <row r="1794" spans="3:21" customFormat="1" hidden="1">
      <c r="C1794" s="6"/>
      <c r="D1794" s="6"/>
      <c r="E1794" s="98"/>
      <c r="F1794" s="3"/>
      <c r="G1794" s="6"/>
      <c r="H1794" s="3"/>
      <c r="I1794" s="6"/>
      <c r="J1794" s="6"/>
      <c r="K1794" s="6"/>
      <c r="L1794" s="6"/>
      <c r="M1794" s="6"/>
      <c r="N1794" s="6"/>
      <c r="O1794" s="3"/>
      <c r="P1794" s="6"/>
      <c r="Q1794" s="6"/>
      <c r="R1794" s="6"/>
      <c r="S1794" s="6"/>
      <c r="T1794" s="6"/>
      <c r="U1794" t="str">
        <f t="shared" si="27"/>
        <v/>
      </c>
    </row>
    <row r="1795" spans="3:21" customFormat="1" hidden="1">
      <c r="C1795" s="6"/>
      <c r="D1795" s="6"/>
      <c r="E1795" s="98"/>
      <c r="F1795" s="3"/>
      <c r="G1795" s="6"/>
      <c r="H1795" s="3"/>
      <c r="I1795" s="6"/>
      <c r="J1795" s="6"/>
      <c r="K1795" s="6"/>
      <c r="L1795" s="6"/>
      <c r="M1795" s="6"/>
      <c r="N1795" s="6"/>
      <c r="O1795" s="3"/>
      <c r="P1795" s="6"/>
      <c r="Q1795" s="6"/>
      <c r="R1795" s="6"/>
      <c r="S1795" s="6"/>
      <c r="T1795" s="6"/>
      <c r="U1795" t="str">
        <f t="shared" si="27"/>
        <v/>
      </c>
    </row>
    <row r="1796" spans="3:21" customFormat="1" hidden="1">
      <c r="C1796" s="6"/>
      <c r="D1796" s="6"/>
      <c r="E1796" s="98"/>
      <c r="F1796" s="3"/>
      <c r="G1796" s="6"/>
      <c r="H1796" s="3"/>
      <c r="I1796" s="6"/>
      <c r="J1796" s="6"/>
      <c r="K1796" s="6"/>
      <c r="L1796" s="6"/>
      <c r="M1796" s="6"/>
      <c r="N1796" s="6"/>
      <c r="O1796" s="3"/>
      <c r="P1796" s="6"/>
      <c r="Q1796" s="6"/>
      <c r="R1796" s="6"/>
      <c r="S1796" s="6"/>
      <c r="T1796" s="6"/>
      <c r="U1796" t="str">
        <f t="shared" si="27"/>
        <v/>
      </c>
    </row>
    <row r="1797" spans="3:21" customFormat="1" hidden="1">
      <c r="C1797" s="6"/>
      <c r="D1797" s="6"/>
      <c r="E1797" s="98"/>
      <c r="F1797" s="3"/>
      <c r="G1797" s="6"/>
      <c r="H1797" s="3"/>
      <c r="I1797" s="6"/>
      <c r="J1797" s="6"/>
      <c r="K1797" s="6"/>
      <c r="L1797" s="6"/>
      <c r="M1797" s="6"/>
      <c r="N1797" s="6"/>
      <c r="O1797" s="3"/>
      <c r="P1797" s="6"/>
      <c r="Q1797" s="6"/>
      <c r="R1797" s="6"/>
      <c r="S1797" s="6"/>
      <c r="T1797" s="6"/>
      <c r="U1797" t="str">
        <f t="shared" si="27"/>
        <v/>
      </c>
    </row>
    <row r="1798" spans="3:21" customFormat="1" hidden="1">
      <c r="C1798" s="6"/>
      <c r="D1798" s="6"/>
      <c r="E1798" s="98"/>
      <c r="F1798" s="3"/>
      <c r="G1798" s="6"/>
      <c r="H1798" s="3"/>
      <c r="I1798" s="6"/>
      <c r="J1798" s="6"/>
      <c r="K1798" s="6"/>
      <c r="L1798" s="6"/>
      <c r="M1798" s="6"/>
      <c r="N1798" s="6"/>
      <c r="O1798" s="3"/>
      <c r="P1798" s="6"/>
      <c r="Q1798" s="6"/>
      <c r="R1798" s="6"/>
      <c r="S1798" s="6"/>
      <c r="T1798" s="6"/>
      <c r="U1798" t="str">
        <f t="shared" si="27"/>
        <v/>
      </c>
    </row>
    <row r="1799" spans="3:21" customFormat="1" hidden="1">
      <c r="C1799" s="6"/>
      <c r="D1799" s="6"/>
      <c r="E1799" s="98"/>
      <c r="F1799" s="3"/>
      <c r="G1799" s="6"/>
      <c r="H1799" s="3"/>
      <c r="I1799" s="6"/>
      <c r="J1799" s="6"/>
      <c r="K1799" s="6"/>
      <c r="L1799" s="6"/>
      <c r="M1799" s="6"/>
      <c r="N1799" s="6"/>
      <c r="O1799" s="3"/>
      <c r="P1799" s="6"/>
      <c r="Q1799" s="6"/>
      <c r="R1799" s="6"/>
      <c r="S1799" s="6"/>
      <c r="T1799" s="6"/>
      <c r="U1799" t="str">
        <f t="shared" ref="U1799:U1862" si="28">IF(D1799="","","x")</f>
        <v/>
      </c>
    </row>
    <row r="1800" spans="3:21" customFormat="1" hidden="1">
      <c r="C1800" s="6"/>
      <c r="D1800" s="6"/>
      <c r="E1800" s="98"/>
      <c r="F1800" s="3"/>
      <c r="G1800" s="6"/>
      <c r="H1800" s="3"/>
      <c r="I1800" s="6"/>
      <c r="J1800" s="6"/>
      <c r="K1800" s="6"/>
      <c r="L1800" s="6"/>
      <c r="M1800" s="6"/>
      <c r="N1800" s="6"/>
      <c r="O1800" s="3"/>
      <c r="P1800" s="6"/>
      <c r="Q1800" s="6"/>
      <c r="R1800" s="6"/>
      <c r="S1800" s="6"/>
      <c r="T1800" s="6"/>
      <c r="U1800" t="str">
        <f t="shared" si="28"/>
        <v/>
      </c>
    </row>
    <row r="1801" spans="3:21" customFormat="1" hidden="1">
      <c r="C1801" s="6"/>
      <c r="D1801" s="6"/>
      <c r="E1801" s="98"/>
      <c r="F1801" s="3"/>
      <c r="G1801" s="6"/>
      <c r="H1801" s="3"/>
      <c r="I1801" s="6"/>
      <c r="J1801" s="6"/>
      <c r="K1801" s="6"/>
      <c r="L1801" s="6"/>
      <c r="M1801" s="6"/>
      <c r="N1801" s="6"/>
      <c r="O1801" s="3"/>
      <c r="P1801" s="6"/>
      <c r="Q1801" s="6"/>
      <c r="R1801" s="6"/>
      <c r="S1801" s="6"/>
      <c r="T1801" s="6"/>
      <c r="U1801" t="str">
        <f t="shared" si="28"/>
        <v/>
      </c>
    </row>
    <row r="1802" spans="3:21" customFormat="1" hidden="1">
      <c r="C1802" s="6"/>
      <c r="D1802" s="6"/>
      <c r="E1802" s="98"/>
      <c r="F1802" s="3"/>
      <c r="G1802" s="6"/>
      <c r="H1802" s="3"/>
      <c r="I1802" s="6"/>
      <c r="J1802" s="6"/>
      <c r="K1802" s="6"/>
      <c r="L1802" s="6"/>
      <c r="M1802" s="6"/>
      <c r="N1802" s="6"/>
      <c r="O1802" s="3"/>
      <c r="P1802" s="6"/>
      <c r="Q1802" s="6"/>
      <c r="R1802" s="6"/>
      <c r="S1802" s="6"/>
      <c r="T1802" s="6"/>
      <c r="U1802" t="str">
        <f t="shared" si="28"/>
        <v/>
      </c>
    </row>
    <row r="1803" spans="3:21" customFormat="1" hidden="1">
      <c r="C1803" s="6"/>
      <c r="D1803" s="6"/>
      <c r="E1803" s="98"/>
      <c r="F1803" s="3"/>
      <c r="G1803" s="6"/>
      <c r="H1803" s="3"/>
      <c r="I1803" s="6"/>
      <c r="J1803" s="6"/>
      <c r="K1803" s="6"/>
      <c r="L1803" s="6"/>
      <c r="M1803" s="6"/>
      <c r="N1803" s="6"/>
      <c r="O1803" s="3"/>
      <c r="P1803" s="6"/>
      <c r="Q1803" s="6"/>
      <c r="R1803" s="6"/>
      <c r="S1803" s="6"/>
      <c r="T1803" s="6"/>
      <c r="U1803" t="str">
        <f t="shared" si="28"/>
        <v/>
      </c>
    </row>
    <row r="1804" spans="3:21" customFormat="1" hidden="1">
      <c r="C1804" s="6"/>
      <c r="D1804" s="6"/>
      <c r="E1804" s="98"/>
      <c r="F1804" s="3"/>
      <c r="G1804" s="6"/>
      <c r="H1804" s="3"/>
      <c r="I1804" s="6"/>
      <c r="J1804" s="6"/>
      <c r="K1804" s="6"/>
      <c r="L1804" s="6"/>
      <c r="M1804" s="6"/>
      <c r="N1804" s="6"/>
      <c r="O1804" s="3"/>
      <c r="P1804" s="6"/>
      <c r="Q1804" s="6"/>
      <c r="R1804" s="6"/>
      <c r="S1804" s="6"/>
      <c r="T1804" s="6"/>
      <c r="U1804" t="str">
        <f t="shared" si="28"/>
        <v/>
      </c>
    </row>
    <row r="1805" spans="3:21" customFormat="1" hidden="1">
      <c r="C1805" s="6"/>
      <c r="D1805" s="6"/>
      <c r="E1805" s="98"/>
      <c r="F1805" s="3"/>
      <c r="G1805" s="6"/>
      <c r="H1805" s="3"/>
      <c r="I1805" s="6"/>
      <c r="J1805" s="6"/>
      <c r="K1805" s="6"/>
      <c r="L1805" s="6"/>
      <c r="M1805" s="6"/>
      <c r="N1805" s="6"/>
      <c r="O1805" s="3"/>
      <c r="P1805" s="6"/>
      <c r="Q1805" s="6"/>
      <c r="R1805" s="6"/>
      <c r="S1805" s="6"/>
      <c r="T1805" s="6"/>
      <c r="U1805" t="str">
        <f t="shared" si="28"/>
        <v/>
      </c>
    </row>
    <row r="1806" spans="3:21" customFormat="1" hidden="1">
      <c r="C1806" s="6"/>
      <c r="D1806" s="6"/>
      <c r="E1806" s="98"/>
      <c r="F1806" s="3"/>
      <c r="G1806" s="6"/>
      <c r="H1806" s="3"/>
      <c r="I1806" s="6"/>
      <c r="J1806" s="6"/>
      <c r="K1806" s="6"/>
      <c r="L1806" s="6"/>
      <c r="M1806" s="6"/>
      <c r="N1806" s="6"/>
      <c r="O1806" s="3"/>
      <c r="P1806" s="6"/>
      <c r="Q1806" s="6"/>
      <c r="R1806" s="6"/>
      <c r="S1806" s="6"/>
      <c r="T1806" s="6"/>
      <c r="U1806" t="str">
        <f t="shared" si="28"/>
        <v/>
      </c>
    </row>
    <row r="1807" spans="3:21" customFormat="1" hidden="1">
      <c r="C1807" s="6"/>
      <c r="D1807" s="6"/>
      <c r="E1807" s="98"/>
      <c r="F1807" s="3"/>
      <c r="G1807" s="6"/>
      <c r="H1807" s="3"/>
      <c r="I1807" s="6"/>
      <c r="J1807" s="6"/>
      <c r="K1807" s="6"/>
      <c r="L1807" s="6"/>
      <c r="M1807" s="6"/>
      <c r="N1807" s="6"/>
      <c r="O1807" s="3"/>
      <c r="P1807" s="6"/>
      <c r="Q1807" s="6"/>
      <c r="R1807" s="6"/>
      <c r="S1807" s="6"/>
      <c r="T1807" s="6"/>
      <c r="U1807" t="str">
        <f t="shared" si="28"/>
        <v/>
      </c>
    </row>
    <row r="1808" spans="3:21" customFormat="1" hidden="1">
      <c r="C1808" s="6"/>
      <c r="D1808" s="6"/>
      <c r="E1808" s="98"/>
      <c r="F1808" s="3"/>
      <c r="G1808" s="6"/>
      <c r="H1808" s="3"/>
      <c r="I1808" s="6"/>
      <c r="J1808" s="6"/>
      <c r="K1808" s="6"/>
      <c r="L1808" s="6"/>
      <c r="M1808" s="6"/>
      <c r="N1808" s="6"/>
      <c r="O1808" s="3"/>
      <c r="P1808" s="6"/>
      <c r="Q1808" s="6"/>
      <c r="R1808" s="6"/>
      <c r="S1808" s="6"/>
      <c r="T1808" s="6"/>
      <c r="U1808" t="str">
        <f t="shared" si="28"/>
        <v/>
      </c>
    </row>
    <row r="1809" spans="3:21" customFormat="1" hidden="1">
      <c r="C1809" s="6"/>
      <c r="D1809" s="6"/>
      <c r="E1809" s="98"/>
      <c r="F1809" s="3"/>
      <c r="G1809" s="6"/>
      <c r="H1809" s="3"/>
      <c r="I1809" s="6"/>
      <c r="J1809" s="6"/>
      <c r="K1809" s="6"/>
      <c r="L1809" s="6"/>
      <c r="M1809" s="6"/>
      <c r="N1809" s="6"/>
      <c r="O1809" s="3"/>
      <c r="P1809" s="6"/>
      <c r="Q1809" s="6"/>
      <c r="R1809" s="6"/>
      <c r="S1809" s="6"/>
      <c r="T1809" s="6"/>
      <c r="U1809" t="str">
        <f t="shared" si="28"/>
        <v/>
      </c>
    </row>
    <row r="1810" spans="3:21" customFormat="1" hidden="1">
      <c r="C1810" s="6"/>
      <c r="D1810" s="6"/>
      <c r="E1810" s="98"/>
      <c r="F1810" s="3"/>
      <c r="G1810" s="6"/>
      <c r="H1810" s="3"/>
      <c r="I1810" s="6"/>
      <c r="J1810" s="6"/>
      <c r="K1810" s="6"/>
      <c r="L1810" s="6"/>
      <c r="M1810" s="6"/>
      <c r="N1810" s="6"/>
      <c r="O1810" s="3"/>
      <c r="P1810" s="6"/>
      <c r="Q1810" s="6"/>
      <c r="R1810" s="6"/>
      <c r="S1810" s="6"/>
      <c r="T1810" s="6"/>
      <c r="U1810" t="str">
        <f t="shared" si="28"/>
        <v/>
      </c>
    </row>
    <row r="1811" spans="3:21" customFormat="1" hidden="1">
      <c r="C1811" s="6"/>
      <c r="D1811" s="6"/>
      <c r="E1811" s="98"/>
      <c r="F1811" s="3"/>
      <c r="G1811" s="6"/>
      <c r="H1811" s="3"/>
      <c r="I1811" s="6"/>
      <c r="J1811" s="6"/>
      <c r="K1811" s="6"/>
      <c r="L1811" s="6"/>
      <c r="M1811" s="6"/>
      <c r="N1811" s="6"/>
      <c r="O1811" s="3"/>
      <c r="P1811" s="6"/>
      <c r="Q1811" s="6"/>
      <c r="R1811" s="6"/>
      <c r="S1811" s="6"/>
      <c r="T1811" s="6"/>
      <c r="U1811" t="str">
        <f t="shared" si="28"/>
        <v/>
      </c>
    </row>
    <row r="1812" spans="3:21" customFormat="1" hidden="1">
      <c r="C1812" s="6"/>
      <c r="D1812" s="6"/>
      <c r="E1812" s="98"/>
      <c r="F1812" s="3"/>
      <c r="G1812" s="6"/>
      <c r="H1812" s="3"/>
      <c r="I1812" s="6"/>
      <c r="J1812" s="6"/>
      <c r="K1812" s="6"/>
      <c r="L1812" s="6"/>
      <c r="M1812" s="6"/>
      <c r="N1812" s="6"/>
      <c r="O1812" s="3"/>
      <c r="P1812" s="6"/>
      <c r="Q1812" s="6"/>
      <c r="R1812" s="6"/>
      <c r="S1812" s="6"/>
      <c r="T1812" s="6"/>
      <c r="U1812" t="str">
        <f t="shared" si="28"/>
        <v/>
      </c>
    </row>
    <row r="1813" spans="3:21" customFormat="1" hidden="1">
      <c r="C1813" s="6"/>
      <c r="D1813" s="6"/>
      <c r="E1813" s="98"/>
      <c r="F1813" s="3"/>
      <c r="G1813" s="6"/>
      <c r="H1813" s="3"/>
      <c r="I1813" s="6"/>
      <c r="J1813" s="6"/>
      <c r="K1813" s="6"/>
      <c r="L1813" s="6"/>
      <c r="M1813" s="6"/>
      <c r="N1813" s="6"/>
      <c r="O1813" s="3"/>
      <c r="P1813" s="6"/>
      <c r="Q1813" s="6"/>
      <c r="R1813" s="6"/>
      <c r="S1813" s="6"/>
      <c r="T1813" s="6"/>
      <c r="U1813" t="str">
        <f t="shared" si="28"/>
        <v/>
      </c>
    </row>
    <row r="1814" spans="3:21" customFormat="1" hidden="1">
      <c r="C1814" s="6"/>
      <c r="D1814" s="6"/>
      <c r="E1814" s="98"/>
      <c r="F1814" s="3"/>
      <c r="G1814" s="6"/>
      <c r="H1814" s="3"/>
      <c r="I1814" s="6"/>
      <c r="J1814" s="6"/>
      <c r="K1814" s="6"/>
      <c r="L1814" s="6"/>
      <c r="M1814" s="6"/>
      <c r="N1814" s="6"/>
      <c r="O1814" s="3"/>
      <c r="P1814" s="6"/>
      <c r="Q1814" s="6"/>
      <c r="R1814" s="6"/>
      <c r="S1814" s="6"/>
      <c r="T1814" s="6"/>
      <c r="U1814" t="str">
        <f t="shared" si="28"/>
        <v/>
      </c>
    </row>
    <row r="1815" spans="3:21" customFormat="1" hidden="1">
      <c r="C1815" s="6"/>
      <c r="D1815" s="6"/>
      <c r="E1815" s="98"/>
      <c r="F1815" s="3"/>
      <c r="G1815" s="6"/>
      <c r="H1815" s="3"/>
      <c r="I1815" s="6"/>
      <c r="J1815" s="6"/>
      <c r="K1815" s="6"/>
      <c r="L1815" s="6"/>
      <c r="M1815" s="6"/>
      <c r="N1815" s="6"/>
      <c r="O1815" s="3"/>
      <c r="P1815" s="6"/>
      <c r="Q1815" s="6"/>
      <c r="R1815" s="6"/>
      <c r="S1815" s="6"/>
      <c r="T1815" s="6"/>
      <c r="U1815" t="str">
        <f t="shared" si="28"/>
        <v/>
      </c>
    </row>
    <row r="1816" spans="3:21" customFormat="1" hidden="1">
      <c r="C1816" s="6"/>
      <c r="D1816" s="6"/>
      <c r="E1816" s="98"/>
      <c r="F1816" s="3"/>
      <c r="G1816" s="6"/>
      <c r="H1816" s="3"/>
      <c r="I1816" s="6"/>
      <c r="J1816" s="6"/>
      <c r="K1816" s="6"/>
      <c r="L1816" s="6"/>
      <c r="M1816" s="6"/>
      <c r="N1816" s="6"/>
      <c r="O1816" s="3"/>
      <c r="P1816" s="6"/>
      <c r="Q1816" s="6"/>
      <c r="R1816" s="6"/>
      <c r="S1816" s="6"/>
      <c r="T1816" s="6"/>
      <c r="U1816" t="str">
        <f t="shared" si="28"/>
        <v/>
      </c>
    </row>
    <row r="1817" spans="3:21" customFormat="1" hidden="1">
      <c r="C1817" s="6"/>
      <c r="D1817" s="6"/>
      <c r="E1817" s="98"/>
      <c r="F1817" s="3"/>
      <c r="G1817" s="6"/>
      <c r="H1817" s="3"/>
      <c r="I1817" s="6"/>
      <c r="J1817" s="6"/>
      <c r="K1817" s="6"/>
      <c r="L1817" s="6"/>
      <c r="M1817" s="6"/>
      <c r="N1817" s="6"/>
      <c r="O1817" s="3"/>
      <c r="P1817" s="6"/>
      <c r="Q1817" s="6"/>
      <c r="R1817" s="6"/>
      <c r="S1817" s="6"/>
      <c r="T1817" s="6"/>
      <c r="U1817" t="str">
        <f t="shared" si="28"/>
        <v/>
      </c>
    </row>
    <row r="1818" spans="3:21" customFormat="1" hidden="1">
      <c r="C1818" s="6"/>
      <c r="D1818" s="6"/>
      <c r="E1818" s="98"/>
      <c r="F1818" s="3"/>
      <c r="G1818" s="6"/>
      <c r="H1818" s="3"/>
      <c r="I1818" s="6"/>
      <c r="J1818" s="6"/>
      <c r="K1818" s="6"/>
      <c r="L1818" s="6"/>
      <c r="M1818" s="6"/>
      <c r="N1818" s="6"/>
      <c r="O1818" s="3"/>
      <c r="P1818" s="6"/>
      <c r="Q1818" s="6"/>
      <c r="R1818" s="6"/>
      <c r="S1818" s="6"/>
      <c r="T1818" s="6"/>
      <c r="U1818" t="str">
        <f t="shared" si="28"/>
        <v/>
      </c>
    </row>
    <row r="1819" spans="3:21" customFormat="1" hidden="1">
      <c r="C1819" s="6"/>
      <c r="D1819" s="6"/>
      <c r="E1819" s="98"/>
      <c r="F1819" s="3"/>
      <c r="G1819" s="6"/>
      <c r="H1819" s="3"/>
      <c r="I1819" s="6"/>
      <c r="J1819" s="6"/>
      <c r="K1819" s="6"/>
      <c r="L1819" s="6"/>
      <c r="M1819" s="6"/>
      <c r="N1819" s="6"/>
      <c r="O1819" s="3"/>
      <c r="P1819" s="6"/>
      <c r="Q1819" s="6"/>
      <c r="R1819" s="6"/>
      <c r="S1819" s="6"/>
      <c r="T1819" s="6"/>
      <c r="U1819" t="str">
        <f t="shared" si="28"/>
        <v/>
      </c>
    </row>
    <row r="1820" spans="3:21" customFormat="1" hidden="1">
      <c r="C1820" s="6"/>
      <c r="D1820" s="6"/>
      <c r="E1820" s="98"/>
      <c r="F1820" s="3"/>
      <c r="G1820" s="6"/>
      <c r="H1820" s="3"/>
      <c r="I1820" s="6"/>
      <c r="J1820" s="6"/>
      <c r="K1820" s="6"/>
      <c r="L1820" s="6"/>
      <c r="M1820" s="6"/>
      <c r="N1820" s="6"/>
      <c r="O1820" s="3"/>
      <c r="P1820" s="6"/>
      <c r="Q1820" s="6"/>
      <c r="R1820" s="6"/>
      <c r="S1820" s="6"/>
      <c r="T1820" s="6"/>
      <c r="U1820" t="str">
        <f t="shared" si="28"/>
        <v/>
      </c>
    </row>
    <row r="1821" spans="3:21" customFormat="1" hidden="1">
      <c r="C1821" s="6"/>
      <c r="D1821" s="6"/>
      <c r="E1821" s="98"/>
      <c r="F1821" s="3"/>
      <c r="G1821" s="6"/>
      <c r="H1821" s="3"/>
      <c r="I1821" s="6"/>
      <c r="J1821" s="6"/>
      <c r="K1821" s="6"/>
      <c r="L1821" s="6"/>
      <c r="M1821" s="6"/>
      <c r="N1821" s="6"/>
      <c r="O1821" s="3"/>
      <c r="P1821" s="6"/>
      <c r="Q1821" s="6"/>
      <c r="R1821" s="6"/>
      <c r="S1821" s="6"/>
      <c r="T1821" s="6"/>
      <c r="U1821" t="str">
        <f t="shared" si="28"/>
        <v/>
      </c>
    </row>
    <row r="1822" spans="3:21" customFormat="1" hidden="1">
      <c r="C1822" s="6"/>
      <c r="D1822" s="6"/>
      <c r="E1822" s="98"/>
      <c r="F1822" s="3"/>
      <c r="G1822" s="6"/>
      <c r="H1822" s="3"/>
      <c r="I1822" s="6"/>
      <c r="J1822" s="6"/>
      <c r="K1822" s="6"/>
      <c r="L1822" s="6"/>
      <c r="M1822" s="6"/>
      <c r="N1822" s="6"/>
      <c r="O1822" s="3"/>
      <c r="P1822" s="6"/>
      <c r="Q1822" s="6"/>
      <c r="R1822" s="6"/>
      <c r="S1822" s="6"/>
      <c r="T1822" s="6"/>
      <c r="U1822" t="str">
        <f t="shared" si="28"/>
        <v/>
      </c>
    </row>
    <row r="1823" spans="3:21" customFormat="1" hidden="1">
      <c r="C1823" s="6"/>
      <c r="D1823" s="6"/>
      <c r="E1823" s="98"/>
      <c r="F1823" s="3"/>
      <c r="G1823" s="6"/>
      <c r="H1823" s="3"/>
      <c r="I1823" s="6"/>
      <c r="J1823" s="6"/>
      <c r="K1823" s="6"/>
      <c r="L1823" s="6"/>
      <c r="M1823" s="6"/>
      <c r="N1823" s="6"/>
      <c r="O1823" s="3"/>
      <c r="P1823" s="6"/>
      <c r="Q1823" s="6"/>
      <c r="R1823" s="6"/>
      <c r="S1823" s="6"/>
      <c r="T1823" s="6"/>
      <c r="U1823" t="str">
        <f t="shared" si="28"/>
        <v/>
      </c>
    </row>
    <row r="1824" spans="3:21" customFormat="1" hidden="1">
      <c r="C1824" s="6"/>
      <c r="D1824" s="6"/>
      <c r="E1824" s="98"/>
      <c r="F1824" s="3"/>
      <c r="G1824" s="6"/>
      <c r="H1824" s="3"/>
      <c r="I1824" s="6"/>
      <c r="J1824" s="6"/>
      <c r="K1824" s="6"/>
      <c r="L1824" s="6"/>
      <c r="M1824" s="6"/>
      <c r="N1824" s="6"/>
      <c r="O1824" s="3"/>
      <c r="P1824" s="6"/>
      <c r="Q1824" s="6"/>
      <c r="R1824" s="6"/>
      <c r="S1824" s="6"/>
      <c r="T1824" s="6"/>
      <c r="U1824" t="str">
        <f t="shared" si="28"/>
        <v/>
      </c>
    </row>
    <row r="1825" spans="3:21" customFormat="1" hidden="1">
      <c r="C1825" s="6"/>
      <c r="D1825" s="6"/>
      <c r="E1825" s="98"/>
      <c r="F1825" s="3"/>
      <c r="G1825" s="6"/>
      <c r="H1825" s="3"/>
      <c r="I1825" s="6"/>
      <c r="J1825" s="6"/>
      <c r="K1825" s="6"/>
      <c r="L1825" s="6"/>
      <c r="M1825" s="6"/>
      <c r="N1825" s="6"/>
      <c r="O1825" s="3"/>
      <c r="P1825" s="6"/>
      <c r="Q1825" s="6"/>
      <c r="R1825" s="6"/>
      <c r="S1825" s="6"/>
      <c r="T1825" s="6"/>
      <c r="U1825" t="str">
        <f t="shared" si="28"/>
        <v/>
      </c>
    </row>
    <row r="1826" spans="3:21" customFormat="1" hidden="1">
      <c r="C1826" s="6"/>
      <c r="D1826" s="6"/>
      <c r="E1826" s="98"/>
      <c r="F1826" s="3"/>
      <c r="G1826" s="6"/>
      <c r="H1826" s="3"/>
      <c r="I1826" s="6"/>
      <c r="J1826" s="6"/>
      <c r="K1826" s="6"/>
      <c r="L1826" s="6"/>
      <c r="M1826" s="6"/>
      <c r="N1826" s="6"/>
      <c r="O1826" s="3"/>
      <c r="P1826" s="6"/>
      <c r="Q1826" s="6"/>
      <c r="R1826" s="6"/>
      <c r="S1826" s="6"/>
      <c r="T1826" s="6"/>
      <c r="U1826" t="str">
        <f t="shared" si="28"/>
        <v/>
      </c>
    </row>
    <row r="1827" spans="3:21" customFormat="1" hidden="1">
      <c r="C1827" s="6"/>
      <c r="D1827" s="6"/>
      <c r="E1827" s="98"/>
      <c r="F1827" s="3"/>
      <c r="G1827" s="6"/>
      <c r="H1827" s="3"/>
      <c r="I1827" s="6"/>
      <c r="J1827" s="6"/>
      <c r="K1827" s="6"/>
      <c r="L1827" s="6"/>
      <c r="M1827" s="6"/>
      <c r="N1827" s="6"/>
      <c r="O1827" s="3"/>
      <c r="P1827" s="6"/>
      <c r="Q1827" s="6"/>
      <c r="R1827" s="6"/>
      <c r="S1827" s="6"/>
      <c r="T1827" s="6"/>
      <c r="U1827" t="str">
        <f t="shared" si="28"/>
        <v/>
      </c>
    </row>
    <row r="1828" spans="3:21" customFormat="1" hidden="1">
      <c r="C1828" s="6"/>
      <c r="D1828" s="6"/>
      <c r="E1828" s="98"/>
      <c r="F1828" s="3"/>
      <c r="G1828" s="6"/>
      <c r="H1828" s="3"/>
      <c r="I1828" s="6"/>
      <c r="J1828" s="6"/>
      <c r="K1828" s="6"/>
      <c r="L1828" s="6"/>
      <c r="M1828" s="6"/>
      <c r="N1828" s="6"/>
      <c r="O1828" s="3"/>
      <c r="P1828" s="6"/>
      <c r="Q1828" s="6"/>
      <c r="R1828" s="6"/>
      <c r="S1828" s="6"/>
      <c r="T1828" s="6"/>
      <c r="U1828" t="str">
        <f t="shared" si="28"/>
        <v/>
      </c>
    </row>
    <row r="1829" spans="3:21" customFormat="1" hidden="1">
      <c r="C1829" s="6"/>
      <c r="D1829" s="6"/>
      <c r="E1829" s="98"/>
      <c r="F1829" s="3"/>
      <c r="G1829" s="6"/>
      <c r="H1829" s="3"/>
      <c r="I1829" s="6"/>
      <c r="J1829" s="6"/>
      <c r="K1829" s="6"/>
      <c r="L1829" s="6"/>
      <c r="M1829" s="6"/>
      <c r="N1829" s="6"/>
      <c r="O1829" s="3"/>
      <c r="P1829" s="6"/>
      <c r="Q1829" s="6"/>
      <c r="R1829" s="6"/>
      <c r="S1829" s="6"/>
      <c r="T1829" s="6"/>
      <c r="U1829" t="str">
        <f t="shared" si="28"/>
        <v/>
      </c>
    </row>
    <row r="1830" spans="3:21" customFormat="1" hidden="1">
      <c r="C1830" s="6"/>
      <c r="D1830" s="6"/>
      <c r="E1830" s="98"/>
      <c r="F1830" s="3"/>
      <c r="G1830" s="6"/>
      <c r="H1830" s="3"/>
      <c r="I1830" s="6"/>
      <c r="J1830" s="6"/>
      <c r="K1830" s="6"/>
      <c r="L1830" s="6"/>
      <c r="M1830" s="6"/>
      <c r="N1830" s="6"/>
      <c r="O1830" s="3"/>
      <c r="P1830" s="6"/>
      <c r="Q1830" s="6"/>
      <c r="R1830" s="6"/>
      <c r="S1830" s="6"/>
      <c r="T1830" s="6"/>
      <c r="U1830" t="str">
        <f t="shared" si="28"/>
        <v/>
      </c>
    </row>
    <row r="1831" spans="3:21" customFormat="1" hidden="1">
      <c r="C1831" s="6"/>
      <c r="D1831" s="6"/>
      <c r="E1831" s="98"/>
      <c r="F1831" s="3"/>
      <c r="G1831" s="6"/>
      <c r="H1831" s="3"/>
      <c r="I1831" s="6"/>
      <c r="J1831" s="6"/>
      <c r="K1831" s="6"/>
      <c r="L1831" s="6"/>
      <c r="M1831" s="6"/>
      <c r="N1831" s="6"/>
      <c r="O1831" s="3"/>
      <c r="P1831" s="6"/>
      <c r="Q1831" s="6"/>
      <c r="R1831" s="6"/>
      <c r="S1831" s="6"/>
      <c r="T1831" s="6"/>
      <c r="U1831" t="str">
        <f t="shared" si="28"/>
        <v/>
      </c>
    </row>
    <row r="1832" spans="3:21" customFormat="1" hidden="1">
      <c r="C1832" s="6"/>
      <c r="D1832" s="6"/>
      <c r="E1832" s="98"/>
      <c r="F1832" s="3"/>
      <c r="G1832" s="6"/>
      <c r="H1832" s="3"/>
      <c r="I1832" s="6"/>
      <c r="J1832" s="6"/>
      <c r="K1832" s="6"/>
      <c r="L1832" s="6"/>
      <c r="M1832" s="6"/>
      <c r="N1832" s="6"/>
      <c r="O1832" s="3"/>
      <c r="P1832" s="6"/>
      <c r="Q1832" s="6"/>
      <c r="R1832" s="6"/>
      <c r="S1832" s="6"/>
      <c r="T1832" s="6"/>
      <c r="U1832" t="str">
        <f t="shared" si="28"/>
        <v/>
      </c>
    </row>
    <row r="1833" spans="3:21" customFormat="1" hidden="1">
      <c r="C1833" s="6"/>
      <c r="D1833" s="6"/>
      <c r="E1833" s="98"/>
      <c r="F1833" s="3"/>
      <c r="G1833" s="6"/>
      <c r="H1833" s="3"/>
      <c r="I1833" s="6"/>
      <c r="J1833" s="6"/>
      <c r="K1833" s="6"/>
      <c r="L1833" s="6"/>
      <c r="M1833" s="6"/>
      <c r="N1833" s="6"/>
      <c r="O1833" s="3"/>
      <c r="P1833" s="6"/>
      <c r="Q1833" s="6"/>
      <c r="R1833" s="6"/>
      <c r="S1833" s="6"/>
      <c r="T1833" s="6"/>
      <c r="U1833" t="str">
        <f t="shared" si="28"/>
        <v/>
      </c>
    </row>
    <row r="1834" spans="3:21" customFormat="1" hidden="1">
      <c r="C1834" s="6"/>
      <c r="D1834" s="6"/>
      <c r="E1834" s="98"/>
      <c r="F1834" s="3"/>
      <c r="G1834" s="6"/>
      <c r="H1834" s="3"/>
      <c r="I1834" s="6"/>
      <c r="J1834" s="6"/>
      <c r="K1834" s="6"/>
      <c r="L1834" s="6"/>
      <c r="M1834" s="6"/>
      <c r="N1834" s="6"/>
      <c r="O1834" s="3"/>
      <c r="P1834" s="6"/>
      <c r="Q1834" s="6"/>
      <c r="R1834" s="6"/>
      <c r="S1834" s="6"/>
      <c r="T1834" s="6"/>
      <c r="U1834" t="str">
        <f t="shared" si="28"/>
        <v/>
      </c>
    </row>
    <row r="1835" spans="3:21" customFormat="1" hidden="1">
      <c r="C1835" s="6"/>
      <c r="D1835" s="6"/>
      <c r="E1835" s="98"/>
      <c r="F1835" s="3"/>
      <c r="G1835" s="6"/>
      <c r="H1835" s="3"/>
      <c r="I1835" s="6"/>
      <c r="J1835" s="6"/>
      <c r="K1835" s="6"/>
      <c r="L1835" s="6"/>
      <c r="M1835" s="6"/>
      <c r="N1835" s="6"/>
      <c r="O1835" s="3"/>
      <c r="P1835" s="6"/>
      <c r="Q1835" s="6"/>
      <c r="R1835" s="6"/>
      <c r="S1835" s="6"/>
      <c r="T1835" s="6"/>
      <c r="U1835" t="str">
        <f t="shared" si="28"/>
        <v/>
      </c>
    </row>
    <row r="1836" spans="3:21" customFormat="1" hidden="1">
      <c r="C1836" s="6"/>
      <c r="D1836" s="6"/>
      <c r="E1836" s="98"/>
      <c r="F1836" s="3"/>
      <c r="G1836" s="6"/>
      <c r="H1836" s="3"/>
      <c r="I1836" s="6"/>
      <c r="J1836" s="6"/>
      <c r="K1836" s="6"/>
      <c r="L1836" s="6"/>
      <c r="M1836" s="6"/>
      <c r="N1836" s="6"/>
      <c r="O1836" s="3"/>
      <c r="P1836" s="6"/>
      <c r="Q1836" s="6"/>
      <c r="R1836" s="6"/>
      <c r="S1836" s="6"/>
      <c r="T1836" s="6"/>
      <c r="U1836" t="str">
        <f t="shared" si="28"/>
        <v/>
      </c>
    </row>
    <row r="1837" spans="3:21" customFormat="1" hidden="1">
      <c r="C1837" s="6"/>
      <c r="D1837" s="6"/>
      <c r="E1837" s="98"/>
      <c r="F1837" s="3"/>
      <c r="G1837" s="6"/>
      <c r="H1837" s="3"/>
      <c r="I1837" s="6"/>
      <c r="J1837" s="6"/>
      <c r="K1837" s="6"/>
      <c r="L1837" s="6"/>
      <c r="M1837" s="6"/>
      <c r="N1837" s="6"/>
      <c r="O1837" s="3"/>
      <c r="P1837" s="6"/>
      <c r="Q1837" s="6"/>
      <c r="R1837" s="6"/>
      <c r="S1837" s="6"/>
      <c r="T1837" s="6"/>
      <c r="U1837" t="str">
        <f t="shared" si="28"/>
        <v/>
      </c>
    </row>
    <row r="1838" spans="3:21" customFormat="1" hidden="1">
      <c r="C1838" s="6"/>
      <c r="D1838" s="6"/>
      <c r="E1838" s="98"/>
      <c r="F1838" s="3"/>
      <c r="G1838" s="6"/>
      <c r="H1838" s="3"/>
      <c r="I1838" s="6"/>
      <c r="J1838" s="6"/>
      <c r="K1838" s="6"/>
      <c r="L1838" s="6"/>
      <c r="M1838" s="6"/>
      <c r="N1838" s="6"/>
      <c r="O1838" s="3"/>
      <c r="P1838" s="6"/>
      <c r="Q1838" s="6"/>
      <c r="R1838" s="6"/>
      <c r="S1838" s="6"/>
      <c r="T1838" s="6"/>
      <c r="U1838" t="str">
        <f t="shared" si="28"/>
        <v/>
      </c>
    </row>
    <row r="1839" spans="3:21" customFormat="1" hidden="1">
      <c r="C1839" s="6"/>
      <c r="D1839" s="6"/>
      <c r="E1839" s="98"/>
      <c r="F1839" s="3"/>
      <c r="G1839" s="6"/>
      <c r="H1839" s="3"/>
      <c r="I1839" s="6"/>
      <c r="J1839" s="6"/>
      <c r="K1839" s="6"/>
      <c r="L1839" s="6"/>
      <c r="M1839" s="6"/>
      <c r="N1839" s="6"/>
      <c r="O1839" s="3"/>
      <c r="P1839" s="6"/>
      <c r="Q1839" s="6"/>
      <c r="R1839" s="6"/>
      <c r="S1839" s="6"/>
      <c r="T1839" s="6"/>
      <c r="U1839" t="str">
        <f t="shared" si="28"/>
        <v/>
      </c>
    </row>
    <row r="1840" spans="3:21" customFormat="1" hidden="1">
      <c r="C1840" s="6"/>
      <c r="D1840" s="6"/>
      <c r="E1840" s="98"/>
      <c r="F1840" s="3"/>
      <c r="G1840" s="6"/>
      <c r="H1840" s="3"/>
      <c r="I1840" s="6"/>
      <c r="J1840" s="6"/>
      <c r="K1840" s="6"/>
      <c r="L1840" s="6"/>
      <c r="M1840" s="6"/>
      <c r="N1840" s="6"/>
      <c r="O1840" s="3"/>
      <c r="P1840" s="6"/>
      <c r="Q1840" s="6"/>
      <c r="R1840" s="6"/>
      <c r="S1840" s="6"/>
      <c r="T1840" s="6"/>
      <c r="U1840" t="str">
        <f t="shared" si="28"/>
        <v/>
      </c>
    </row>
    <row r="1841" spans="3:21" customFormat="1" hidden="1">
      <c r="C1841" s="6"/>
      <c r="D1841" s="6"/>
      <c r="E1841" s="98"/>
      <c r="F1841" s="3"/>
      <c r="G1841" s="6"/>
      <c r="H1841" s="3"/>
      <c r="I1841" s="6"/>
      <c r="J1841" s="6"/>
      <c r="K1841" s="6"/>
      <c r="L1841" s="6"/>
      <c r="M1841" s="6"/>
      <c r="N1841" s="6"/>
      <c r="O1841" s="3"/>
      <c r="P1841" s="6"/>
      <c r="Q1841" s="6"/>
      <c r="R1841" s="6"/>
      <c r="S1841" s="6"/>
      <c r="T1841" s="6"/>
      <c r="U1841" t="str">
        <f t="shared" si="28"/>
        <v/>
      </c>
    </row>
    <row r="1842" spans="3:21" customFormat="1" hidden="1">
      <c r="C1842" s="6"/>
      <c r="D1842" s="6"/>
      <c r="E1842" s="98"/>
      <c r="F1842" s="3"/>
      <c r="G1842" s="6"/>
      <c r="H1842" s="3"/>
      <c r="I1842" s="6"/>
      <c r="J1842" s="6"/>
      <c r="K1842" s="6"/>
      <c r="L1842" s="6"/>
      <c r="M1842" s="6"/>
      <c r="N1842" s="6"/>
      <c r="O1842" s="3"/>
      <c r="P1842" s="6"/>
      <c r="Q1842" s="6"/>
      <c r="R1842" s="6"/>
      <c r="S1842" s="6"/>
      <c r="T1842" s="6"/>
      <c r="U1842" t="str">
        <f t="shared" si="28"/>
        <v/>
      </c>
    </row>
    <row r="1843" spans="3:21" customFormat="1" hidden="1">
      <c r="C1843" s="6"/>
      <c r="D1843" s="6"/>
      <c r="E1843" s="98"/>
      <c r="F1843" s="3"/>
      <c r="G1843" s="6"/>
      <c r="H1843" s="3"/>
      <c r="I1843" s="6"/>
      <c r="J1843" s="6"/>
      <c r="K1843" s="6"/>
      <c r="L1843" s="6"/>
      <c r="M1843" s="6"/>
      <c r="N1843" s="6"/>
      <c r="O1843" s="3"/>
      <c r="P1843" s="6"/>
      <c r="Q1843" s="6"/>
      <c r="R1843" s="6"/>
      <c r="S1843" s="6"/>
      <c r="T1843" s="6"/>
      <c r="U1843" t="str">
        <f t="shared" si="28"/>
        <v/>
      </c>
    </row>
    <row r="1844" spans="3:21" customFormat="1" hidden="1">
      <c r="C1844" s="6"/>
      <c r="D1844" s="6"/>
      <c r="E1844" s="98"/>
      <c r="F1844" s="3"/>
      <c r="G1844" s="6"/>
      <c r="H1844" s="3"/>
      <c r="I1844" s="6"/>
      <c r="J1844" s="6"/>
      <c r="K1844" s="6"/>
      <c r="L1844" s="6"/>
      <c r="M1844" s="6"/>
      <c r="N1844" s="6"/>
      <c r="O1844" s="3"/>
      <c r="P1844" s="6"/>
      <c r="Q1844" s="6"/>
      <c r="R1844" s="6"/>
      <c r="S1844" s="6"/>
      <c r="T1844" s="6"/>
      <c r="U1844" t="str">
        <f t="shared" si="28"/>
        <v/>
      </c>
    </row>
    <row r="1845" spans="3:21" customFormat="1" hidden="1">
      <c r="C1845" s="6"/>
      <c r="D1845" s="6"/>
      <c r="E1845" s="98"/>
      <c r="F1845" s="3"/>
      <c r="G1845" s="6"/>
      <c r="H1845" s="3"/>
      <c r="I1845" s="6"/>
      <c r="J1845" s="6"/>
      <c r="K1845" s="6"/>
      <c r="L1845" s="6"/>
      <c r="M1845" s="6"/>
      <c r="N1845" s="6"/>
      <c r="O1845" s="3"/>
      <c r="P1845" s="6"/>
      <c r="Q1845" s="6"/>
      <c r="R1845" s="6"/>
      <c r="S1845" s="6"/>
      <c r="T1845" s="6"/>
      <c r="U1845" t="str">
        <f t="shared" si="28"/>
        <v/>
      </c>
    </row>
    <row r="1846" spans="3:21" customFormat="1" hidden="1">
      <c r="C1846" s="6"/>
      <c r="D1846" s="6"/>
      <c r="E1846" s="98"/>
      <c r="F1846" s="3"/>
      <c r="G1846" s="6"/>
      <c r="H1846" s="3"/>
      <c r="I1846" s="6"/>
      <c r="J1846" s="6"/>
      <c r="K1846" s="6"/>
      <c r="L1846" s="6"/>
      <c r="M1846" s="6"/>
      <c r="N1846" s="6"/>
      <c r="O1846" s="3"/>
      <c r="P1846" s="6"/>
      <c r="Q1846" s="6"/>
      <c r="R1846" s="6"/>
      <c r="S1846" s="6"/>
      <c r="T1846" s="6"/>
      <c r="U1846" t="str">
        <f t="shared" si="28"/>
        <v/>
      </c>
    </row>
    <row r="1847" spans="3:21" customFormat="1" hidden="1">
      <c r="C1847" s="6"/>
      <c r="D1847" s="6"/>
      <c r="E1847" s="98"/>
      <c r="F1847" s="3"/>
      <c r="G1847" s="6"/>
      <c r="H1847" s="3"/>
      <c r="I1847" s="6"/>
      <c r="J1847" s="6"/>
      <c r="K1847" s="6"/>
      <c r="L1847" s="6"/>
      <c r="M1847" s="6"/>
      <c r="N1847" s="6"/>
      <c r="O1847" s="3"/>
      <c r="P1847" s="6"/>
      <c r="Q1847" s="6"/>
      <c r="R1847" s="6"/>
      <c r="S1847" s="6"/>
      <c r="T1847" s="6"/>
      <c r="U1847" t="str">
        <f t="shared" si="28"/>
        <v/>
      </c>
    </row>
    <row r="1848" spans="3:21" customFormat="1" hidden="1">
      <c r="C1848" s="6"/>
      <c r="D1848" s="6"/>
      <c r="E1848" s="98"/>
      <c r="F1848" s="3"/>
      <c r="G1848" s="6"/>
      <c r="H1848" s="3"/>
      <c r="I1848" s="6"/>
      <c r="J1848" s="6"/>
      <c r="K1848" s="6"/>
      <c r="L1848" s="6"/>
      <c r="M1848" s="6"/>
      <c r="N1848" s="6"/>
      <c r="O1848" s="3"/>
      <c r="P1848" s="6"/>
      <c r="Q1848" s="6"/>
      <c r="R1848" s="6"/>
      <c r="S1848" s="6"/>
      <c r="T1848" s="6"/>
      <c r="U1848" t="str">
        <f t="shared" si="28"/>
        <v/>
      </c>
    </row>
    <row r="1849" spans="3:21" customFormat="1" hidden="1">
      <c r="C1849" s="6"/>
      <c r="D1849" s="6"/>
      <c r="E1849" s="98"/>
      <c r="F1849" s="3"/>
      <c r="G1849" s="6"/>
      <c r="H1849" s="3"/>
      <c r="I1849" s="6"/>
      <c r="J1849" s="6"/>
      <c r="K1849" s="6"/>
      <c r="L1849" s="6"/>
      <c r="M1849" s="6"/>
      <c r="N1849" s="6"/>
      <c r="O1849" s="3"/>
      <c r="P1849" s="6"/>
      <c r="Q1849" s="6"/>
      <c r="R1849" s="6"/>
      <c r="S1849" s="6"/>
      <c r="T1849" s="6"/>
      <c r="U1849" t="str">
        <f t="shared" si="28"/>
        <v/>
      </c>
    </row>
    <row r="1850" spans="3:21" customFormat="1" hidden="1">
      <c r="C1850" s="6"/>
      <c r="D1850" s="6"/>
      <c r="E1850" s="98"/>
      <c r="F1850" s="3"/>
      <c r="G1850" s="6"/>
      <c r="H1850" s="3"/>
      <c r="I1850" s="6"/>
      <c r="J1850" s="6"/>
      <c r="K1850" s="6"/>
      <c r="L1850" s="6"/>
      <c r="M1850" s="6"/>
      <c r="N1850" s="6"/>
      <c r="O1850" s="3"/>
      <c r="P1850" s="6"/>
      <c r="Q1850" s="6"/>
      <c r="R1850" s="6"/>
      <c r="S1850" s="6"/>
      <c r="T1850" s="6"/>
      <c r="U1850" t="str">
        <f t="shared" si="28"/>
        <v/>
      </c>
    </row>
    <row r="1851" spans="3:21" customFormat="1" hidden="1">
      <c r="C1851" s="6"/>
      <c r="D1851" s="6"/>
      <c r="E1851" s="98"/>
      <c r="F1851" s="3"/>
      <c r="G1851" s="6"/>
      <c r="H1851" s="3"/>
      <c r="I1851" s="6"/>
      <c r="J1851" s="6"/>
      <c r="K1851" s="6"/>
      <c r="L1851" s="6"/>
      <c r="M1851" s="6"/>
      <c r="N1851" s="6"/>
      <c r="O1851" s="3"/>
      <c r="P1851" s="6"/>
      <c r="Q1851" s="6"/>
      <c r="R1851" s="6"/>
      <c r="S1851" s="6"/>
      <c r="T1851" s="6"/>
      <c r="U1851" t="str">
        <f t="shared" si="28"/>
        <v/>
      </c>
    </row>
    <row r="1852" spans="3:21" customFormat="1" hidden="1">
      <c r="C1852" s="6"/>
      <c r="D1852" s="6"/>
      <c r="E1852" s="98"/>
      <c r="F1852" s="3"/>
      <c r="G1852" s="6"/>
      <c r="H1852" s="3"/>
      <c r="I1852" s="6"/>
      <c r="J1852" s="6"/>
      <c r="K1852" s="6"/>
      <c r="L1852" s="6"/>
      <c r="M1852" s="6"/>
      <c r="N1852" s="6"/>
      <c r="O1852" s="3"/>
      <c r="P1852" s="6"/>
      <c r="Q1852" s="6"/>
      <c r="R1852" s="6"/>
      <c r="S1852" s="6"/>
      <c r="T1852" s="6"/>
      <c r="U1852" t="str">
        <f t="shared" si="28"/>
        <v/>
      </c>
    </row>
    <row r="1853" spans="3:21" customFormat="1" hidden="1">
      <c r="C1853" s="6"/>
      <c r="D1853" s="6"/>
      <c r="E1853" s="98"/>
      <c r="F1853" s="3"/>
      <c r="G1853" s="6"/>
      <c r="H1853" s="3"/>
      <c r="I1853" s="6"/>
      <c r="J1853" s="6"/>
      <c r="K1853" s="6"/>
      <c r="L1853" s="6"/>
      <c r="M1853" s="6"/>
      <c r="N1853" s="6"/>
      <c r="O1853" s="3"/>
      <c r="P1853" s="6"/>
      <c r="Q1853" s="6"/>
      <c r="R1853" s="6"/>
      <c r="S1853" s="6"/>
      <c r="T1853" s="6"/>
      <c r="U1853" t="str">
        <f t="shared" si="28"/>
        <v/>
      </c>
    </row>
    <row r="1854" spans="3:21" customFormat="1" hidden="1">
      <c r="C1854" s="6"/>
      <c r="D1854" s="6"/>
      <c r="E1854" s="98"/>
      <c r="F1854" s="3"/>
      <c r="G1854" s="6"/>
      <c r="H1854" s="3"/>
      <c r="I1854" s="6"/>
      <c r="J1854" s="6"/>
      <c r="K1854" s="6"/>
      <c r="L1854" s="6"/>
      <c r="M1854" s="6"/>
      <c r="N1854" s="6"/>
      <c r="O1854" s="3"/>
      <c r="P1854" s="6"/>
      <c r="Q1854" s="6"/>
      <c r="R1854" s="6"/>
      <c r="S1854" s="6"/>
      <c r="T1854" s="6"/>
      <c r="U1854" t="str">
        <f t="shared" si="28"/>
        <v/>
      </c>
    </row>
    <row r="1855" spans="3:21" customFormat="1" hidden="1">
      <c r="C1855" s="6"/>
      <c r="D1855" s="6"/>
      <c r="E1855" s="98"/>
      <c r="F1855" s="3"/>
      <c r="G1855" s="6"/>
      <c r="H1855" s="3"/>
      <c r="I1855" s="6"/>
      <c r="J1855" s="6"/>
      <c r="K1855" s="6"/>
      <c r="L1855" s="6"/>
      <c r="M1855" s="6"/>
      <c r="N1855" s="6"/>
      <c r="O1855" s="3"/>
      <c r="P1855" s="6"/>
      <c r="Q1855" s="6"/>
      <c r="R1855" s="6"/>
      <c r="S1855" s="6"/>
      <c r="T1855" s="6"/>
      <c r="U1855" t="str">
        <f t="shared" si="28"/>
        <v/>
      </c>
    </row>
    <row r="1856" spans="3:21" customFormat="1" hidden="1">
      <c r="C1856" s="6"/>
      <c r="D1856" s="6"/>
      <c r="E1856" s="98"/>
      <c r="F1856" s="3"/>
      <c r="G1856" s="6"/>
      <c r="H1856" s="3"/>
      <c r="I1856" s="6"/>
      <c r="J1856" s="6"/>
      <c r="K1856" s="6"/>
      <c r="L1856" s="6"/>
      <c r="M1856" s="6"/>
      <c r="N1856" s="6"/>
      <c r="O1856" s="3"/>
      <c r="P1856" s="6"/>
      <c r="Q1856" s="6"/>
      <c r="R1856" s="6"/>
      <c r="S1856" s="6"/>
      <c r="T1856" s="6"/>
      <c r="U1856" t="str">
        <f t="shared" si="28"/>
        <v/>
      </c>
    </row>
    <row r="1857" spans="3:21" customFormat="1" hidden="1">
      <c r="C1857" s="6"/>
      <c r="D1857" s="6"/>
      <c r="E1857" s="98"/>
      <c r="F1857" s="3"/>
      <c r="G1857" s="6"/>
      <c r="H1857" s="3"/>
      <c r="I1857" s="6"/>
      <c r="J1857" s="6"/>
      <c r="K1857" s="6"/>
      <c r="L1857" s="6"/>
      <c r="M1857" s="6"/>
      <c r="N1857" s="6"/>
      <c r="O1857" s="3"/>
      <c r="P1857" s="6"/>
      <c r="Q1857" s="6"/>
      <c r="R1857" s="6"/>
      <c r="S1857" s="6"/>
      <c r="T1857" s="6"/>
      <c r="U1857" t="str">
        <f t="shared" si="28"/>
        <v/>
      </c>
    </row>
    <row r="1858" spans="3:21" customFormat="1" hidden="1">
      <c r="C1858" s="6"/>
      <c r="D1858" s="6"/>
      <c r="E1858" s="98"/>
      <c r="F1858" s="3"/>
      <c r="G1858" s="6"/>
      <c r="H1858" s="3"/>
      <c r="I1858" s="6"/>
      <c r="J1858" s="6"/>
      <c r="K1858" s="6"/>
      <c r="L1858" s="6"/>
      <c r="M1858" s="6"/>
      <c r="N1858" s="6"/>
      <c r="O1858" s="3"/>
      <c r="P1858" s="6"/>
      <c r="Q1858" s="6"/>
      <c r="R1858" s="6"/>
      <c r="S1858" s="6"/>
      <c r="T1858" s="6"/>
      <c r="U1858" t="str">
        <f t="shared" si="28"/>
        <v/>
      </c>
    </row>
    <row r="1859" spans="3:21" customFormat="1" hidden="1">
      <c r="C1859" s="6"/>
      <c r="D1859" s="6"/>
      <c r="E1859" s="98"/>
      <c r="F1859" s="3"/>
      <c r="G1859" s="6"/>
      <c r="H1859" s="3"/>
      <c r="I1859" s="6"/>
      <c r="J1859" s="6"/>
      <c r="K1859" s="6"/>
      <c r="L1859" s="6"/>
      <c r="M1859" s="6"/>
      <c r="N1859" s="6"/>
      <c r="O1859" s="3"/>
      <c r="P1859" s="6"/>
      <c r="Q1859" s="6"/>
      <c r="R1859" s="6"/>
      <c r="S1859" s="6"/>
      <c r="T1859" s="6"/>
      <c r="U1859" t="str">
        <f t="shared" si="28"/>
        <v/>
      </c>
    </row>
    <row r="1860" spans="3:21" customFormat="1" hidden="1">
      <c r="C1860" s="6"/>
      <c r="D1860" s="6"/>
      <c r="E1860" s="98"/>
      <c r="F1860" s="3"/>
      <c r="G1860" s="6"/>
      <c r="H1860" s="3"/>
      <c r="I1860" s="6"/>
      <c r="J1860" s="6"/>
      <c r="K1860" s="6"/>
      <c r="L1860" s="6"/>
      <c r="M1860" s="6"/>
      <c r="N1860" s="6"/>
      <c r="O1860" s="3"/>
      <c r="P1860" s="6"/>
      <c r="Q1860" s="6"/>
      <c r="R1860" s="6"/>
      <c r="S1860" s="6"/>
      <c r="T1860" s="6"/>
      <c r="U1860" t="str">
        <f t="shared" si="28"/>
        <v/>
      </c>
    </row>
    <row r="1861" spans="3:21" customFormat="1" hidden="1">
      <c r="C1861" s="6"/>
      <c r="D1861" s="6"/>
      <c r="E1861" s="98"/>
      <c r="F1861" s="3"/>
      <c r="G1861" s="6"/>
      <c r="H1861" s="3"/>
      <c r="I1861" s="6"/>
      <c r="J1861" s="6"/>
      <c r="K1861" s="6"/>
      <c r="L1861" s="6"/>
      <c r="M1861" s="6"/>
      <c r="N1861" s="6"/>
      <c r="O1861" s="3"/>
      <c r="P1861" s="6"/>
      <c r="Q1861" s="6"/>
      <c r="R1861" s="6"/>
      <c r="S1861" s="6"/>
      <c r="T1861" s="6"/>
      <c r="U1861" t="str">
        <f t="shared" si="28"/>
        <v/>
      </c>
    </row>
    <row r="1862" spans="3:21" customFormat="1" hidden="1">
      <c r="C1862" s="6"/>
      <c r="D1862" s="6"/>
      <c r="E1862" s="98"/>
      <c r="F1862" s="3"/>
      <c r="G1862" s="6"/>
      <c r="H1862" s="3"/>
      <c r="I1862" s="6"/>
      <c r="J1862" s="6"/>
      <c r="K1862" s="6"/>
      <c r="L1862" s="6"/>
      <c r="M1862" s="6"/>
      <c r="N1862" s="6"/>
      <c r="O1862" s="3"/>
      <c r="P1862" s="6"/>
      <c r="Q1862" s="6"/>
      <c r="R1862" s="6"/>
      <c r="S1862" s="6"/>
      <c r="T1862" s="6"/>
      <c r="U1862" t="str">
        <f t="shared" si="28"/>
        <v/>
      </c>
    </row>
    <row r="1863" spans="3:21" customFormat="1" hidden="1">
      <c r="C1863" s="6"/>
      <c r="D1863" s="6"/>
      <c r="E1863" s="98"/>
      <c r="F1863" s="3"/>
      <c r="G1863" s="6"/>
      <c r="H1863" s="3"/>
      <c r="I1863" s="6"/>
      <c r="J1863" s="6"/>
      <c r="K1863" s="6"/>
      <c r="L1863" s="6"/>
      <c r="M1863" s="6"/>
      <c r="N1863" s="6"/>
      <c r="O1863" s="3"/>
      <c r="P1863" s="6"/>
      <c r="Q1863" s="6"/>
      <c r="R1863" s="6"/>
      <c r="S1863" s="6"/>
      <c r="T1863" s="6"/>
      <c r="U1863" t="str">
        <f t="shared" ref="U1863:U1926" si="29">IF(D1863="","","x")</f>
        <v/>
      </c>
    </row>
    <row r="1864" spans="3:21" customFormat="1" hidden="1">
      <c r="C1864" s="6"/>
      <c r="D1864" s="6"/>
      <c r="E1864" s="98"/>
      <c r="F1864" s="3"/>
      <c r="G1864" s="6"/>
      <c r="H1864" s="3"/>
      <c r="I1864" s="6"/>
      <c r="J1864" s="6"/>
      <c r="K1864" s="6"/>
      <c r="L1864" s="6"/>
      <c r="M1864" s="6"/>
      <c r="N1864" s="6"/>
      <c r="O1864" s="3"/>
      <c r="P1864" s="6"/>
      <c r="Q1864" s="6"/>
      <c r="R1864" s="6"/>
      <c r="S1864" s="6"/>
      <c r="T1864" s="6"/>
      <c r="U1864" t="str">
        <f t="shared" si="29"/>
        <v/>
      </c>
    </row>
    <row r="1865" spans="3:21" customFormat="1" hidden="1">
      <c r="C1865" s="6"/>
      <c r="D1865" s="6"/>
      <c r="E1865" s="98"/>
      <c r="F1865" s="3"/>
      <c r="G1865" s="6"/>
      <c r="H1865" s="3"/>
      <c r="I1865" s="6"/>
      <c r="J1865" s="6"/>
      <c r="K1865" s="6"/>
      <c r="L1865" s="6"/>
      <c r="M1865" s="6"/>
      <c r="N1865" s="6"/>
      <c r="O1865" s="3"/>
      <c r="P1865" s="6"/>
      <c r="Q1865" s="6"/>
      <c r="R1865" s="6"/>
      <c r="S1865" s="6"/>
      <c r="T1865" s="6"/>
      <c r="U1865" t="str">
        <f t="shared" si="29"/>
        <v/>
      </c>
    </row>
    <row r="1866" spans="3:21" customFormat="1" hidden="1">
      <c r="C1866" s="6"/>
      <c r="D1866" s="6"/>
      <c r="E1866" s="98"/>
      <c r="F1866" s="3"/>
      <c r="G1866" s="6"/>
      <c r="H1866" s="3"/>
      <c r="I1866" s="6"/>
      <c r="J1866" s="6"/>
      <c r="K1866" s="6"/>
      <c r="L1866" s="6"/>
      <c r="M1866" s="6"/>
      <c r="N1866" s="6"/>
      <c r="O1866" s="3"/>
      <c r="P1866" s="6"/>
      <c r="Q1866" s="6"/>
      <c r="R1866" s="6"/>
      <c r="S1866" s="6"/>
      <c r="T1866" s="6"/>
      <c r="U1866" t="str">
        <f t="shared" si="29"/>
        <v/>
      </c>
    </row>
    <row r="1867" spans="3:21" customFormat="1" hidden="1">
      <c r="C1867" s="6"/>
      <c r="D1867" s="6"/>
      <c r="E1867" s="98"/>
      <c r="F1867" s="3"/>
      <c r="G1867" s="6"/>
      <c r="H1867" s="3"/>
      <c r="I1867" s="6"/>
      <c r="J1867" s="6"/>
      <c r="K1867" s="6"/>
      <c r="L1867" s="6"/>
      <c r="M1867" s="6"/>
      <c r="N1867" s="6"/>
      <c r="O1867" s="3"/>
      <c r="P1867" s="6"/>
      <c r="Q1867" s="6"/>
      <c r="R1867" s="6"/>
      <c r="S1867" s="6"/>
      <c r="T1867" s="6"/>
      <c r="U1867" t="str">
        <f t="shared" si="29"/>
        <v/>
      </c>
    </row>
    <row r="1868" spans="3:21" customFormat="1" hidden="1">
      <c r="C1868" s="6"/>
      <c r="D1868" s="6"/>
      <c r="E1868" s="98"/>
      <c r="F1868" s="3"/>
      <c r="G1868" s="6"/>
      <c r="H1868" s="3"/>
      <c r="I1868" s="6"/>
      <c r="J1868" s="6"/>
      <c r="K1868" s="6"/>
      <c r="L1868" s="6"/>
      <c r="M1868" s="6"/>
      <c r="N1868" s="6"/>
      <c r="O1868" s="3"/>
      <c r="P1868" s="6"/>
      <c r="Q1868" s="6"/>
      <c r="R1868" s="6"/>
      <c r="S1868" s="6"/>
      <c r="T1868" s="6"/>
      <c r="U1868" t="str">
        <f t="shared" si="29"/>
        <v/>
      </c>
    </row>
    <row r="1869" spans="3:21" customFormat="1" hidden="1">
      <c r="C1869" s="6"/>
      <c r="D1869" s="6"/>
      <c r="E1869" s="98"/>
      <c r="F1869" s="3"/>
      <c r="G1869" s="6"/>
      <c r="H1869" s="3"/>
      <c r="I1869" s="6"/>
      <c r="J1869" s="6"/>
      <c r="K1869" s="6"/>
      <c r="L1869" s="6"/>
      <c r="M1869" s="6"/>
      <c r="N1869" s="6"/>
      <c r="O1869" s="3"/>
      <c r="P1869" s="6"/>
      <c r="Q1869" s="6"/>
      <c r="R1869" s="6"/>
      <c r="S1869" s="6"/>
      <c r="T1869" s="6"/>
      <c r="U1869" t="str">
        <f t="shared" si="29"/>
        <v/>
      </c>
    </row>
    <row r="1870" spans="3:21" customFormat="1" hidden="1">
      <c r="C1870" s="6"/>
      <c r="D1870" s="6"/>
      <c r="E1870" s="98"/>
      <c r="F1870" s="3"/>
      <c r="G1870" s="6"/>
      <c r="H1870" s="3"/>
      <c r="I1870" s="6"/>
      <c r="J1870" s="6"/>
      <c r="K1870" s="6"/>
      <c r="L1870" s="6"/>
      <c r="M1870" s="6"/>
      <c r="N1870" s="6"/>
      <c r="O1870" s="3"/>
      <c r="P1870" s="6"/>
      <c r="Q1870" s="6"/>
      <c r="R1870" s="6"/>
      <c r="S1870" s="6"/>
      <c r="T1870" s="6"/>
      <c r="U1870" t="str">
        <f t="shared" si="29"/>
        <v/>
      </c>
    </row>
    <row r="1871" spans="3:21" customFormat="1" hidden="1">
      <c r="C1871" s="6"/>
      <c r="D1871" s="6"/>
      <c r="E1871" s="98"/>
      <c r="F1871" s="3"/>
      <c r="G1871" s="6"/>
      <c r="H1871" s="3"/>
      <c r="I1871" s="6"/>
      <c r="J1871" s="6"/>
      <c r="K1871" s="6"/>
      <c r="L1871" s="6"/>
      <c r="M1871" s="6"/>
      <c r="N1871" s="6"/>
      <c r="O1871" s="3"/>
      <c r="P1871" s="6"/>
      <c r="Q1871" s="6"/>
      <c r="R1871" s="6"/>
      <c r="S1871" s="6"/>
      <c r="T1871" s="6"/>
      <c r="U1871" t="str">
        <f t="shared" si="29"/>
        <v/>
      </c>
    </row>
    <row r="1872" spans="3:21" customFormat="1" hidden="1">
      <c r="C1872" s="6"/>
      <c r="D1872" s="6"/>
      <c r="E1872" s="98"/>
      <c r="F1872" s="3"/>
      <c r="G1872" s="6"/>
      <c r="H1872" s="3"/>
      <c r="I1872" s="6"/>
      <c r="J1872" s="6"/>
      <c r="K1872" s="6"/>
      <c r="L1872" s="6"/>
      <c r="M1872" s="6"/>
      <c r="N1872" s="6"/>
      <c r="O1872" s="3"/>
      <c r="P1872" s="6"/>
      <c r="Q1872" s="6"/>
      <c r="R1872" s="6"/>
      <c r="S1872" s="6"/>
      <c r="T1872" s="6"/>
      <c r="U1872" t="str">
        <f t="shared" si="29"/>
        <v/>
      </c>
    </row>
    <row r="1873" spans="3:21" customFormat="1" hidden="1">
      <c r="C1873" s="6"/>
      <c r="D1873" s="6"/>
      <c r="E1873" s="98"/>
      <c r="F1873" s="3"/>
      <c r="G1873" s="6"/>
      <c r="H1873" s="3"/>
      <c r="I1873" s="6"/>
      <c r="J1873" s="6"/>
      <c r="K1873" s="6"/>
      <c r="L1873" s="6"/>
      <c r="M1873" s="6"/>
      <c r="N1873" s="6"/>
      <c r="O1873" s="3"/>
      <c r="P1873" s="6"/>
      <c r="Q1873" s="6"/>
      <c r="R1873" s="6"/>
      <c r="S1873" s="6"/>
      <c r="T1873" s="6"/>
      <c r="U1873" t="str">
        <f t="shared" si="29"/>
        <v/>
      </c>
    </row>
    <row r="1874" spans="3:21" customFormat="1" hidden="1">
      <c r="C1874" s="6"/>
      <c r="D1874" s="6"/>
      <c r="E1874" s="98"/>
      <c r="F1874" s="3"/>
      <c r="G1874" s="6"/>
      <c r="H1874" s="3"/>
      <c r="I1874" s="6"/>
      <c r="J1874" s="6"/>
      <c r="K1874" s="6"/>
      <c r="L1874" s="6"/>
      <c r="M1874" s="6"/>
      <c r="N1874" s="6"/>
      <c r="O1874" s="3"/>
      <c r="P1874" s="6"/>
      <c r="Q1874" s="6"/>
      <c r="R1874" s="6"/>
      <c r="S1874" s="6"/>
      <c r="T1874" s="6"/>
      <c r="U1874" t="str">
        <f t="shared" si="29"/>
        <v/>
      </c>
    </row>
    <row r="1875" spans="3:21" customFormat="1" hidden="1">
      <c r="C1875" s="6"/>
      <c r="D1875" s="6"/>
      <c r="E1875" s="98"/>
      <c r="F1875" s="3"/>
      <c r="G1875" s="6"/>
      <c r="H1875" s="3"/>
      <c r="I1875" s="6"/>
      <c r="J1875" s="6"/>
      <c r="K1875" s="6"/>
      <c r="L1875" s="6"/>
      <c r="M1875" s="6"/>
      <c r="N1875" s="6"/>
      <c r="O1875" s="3"/>
      <c r="P1875" s="6"/>
      <c r="Q1875" s="6"/>
      <c r="R1875" s="6"/>
      <c r="S1875" s="6"/>
      <c r="T1875" s="6"/>
      <c r="U1875" t="str">
        <f t="shared" si="29"/>
        <v/>
      </c>
    </row>
    <row r="1876" spans="3:21" customFormat="1" hidden="1">
      <c r="C1876" s="6"/>
      <c r="D1876" s="6"/>
      <c r="E1876" s="98"/>
      <c r="F1876" s="3"/>
      <c r="G1876" s="6"/>
      <c r="H1876" s="3"/>
      <c r="I1876" s="6"/>
      <c r="J1876" s="6"/>
      <c r="K1876" s="6"/>
      <c r="L1876" s="6"/>
      <c r="M1876" s="6"/>
      <c r="N1876" s="6"/>
      <c r="O1876" s="3"/>
      <c r="P1876" s="6"/>
      <c r="Q1876" s="6"/>
      <c r="R1876" s="6"/>
      <c r="S1876" s="6"/>
      <c r="T1876" s="6"/>
      <c r="U1876" t="str">
        <f t="shared" si="29"/>
        <v/>
      </c>
    </row>
    <row r="1877" spans="3:21" customFormat="1" hidden="1">
      <c r="C1877" s="6"/>
      <c r="D1877" s="6"/>
      <c r="E1877" s="98"/>
      <c r="F1877" s="3"/>
      <c r="G1877" s="6"/>
      <c r="H1877" s="3"/>
      <c r="I1877" s="6"/>
      <c r="J1877" s="6"/>
      <c r="K1877" s="6"/>
      <c r="L1877" s="6"/>
      <c r="M1877" s="6"/>
      <c r="N1877" s="6"/>
      <c r="O1877" s="3"/>
      <c r="P1877" s="6"/>
      <c r="Q1877" s="6"/>
      <c r="R1877" s="6"/>
      <c r="S1877" s="6"/>
      <c r="T1877" s="6"/>
      <c r="U1877" t="str">
        <f t="shared" si="29"/>
        <v/>
      </c>
    </row>
    <row r="1878" spans="3:21" customFormat="1" hidden="1">
      <c r="C1878" s="6"/>
      <c r="D1878" s="6"/>
      <c r="E1878" s="98"/>
      <c r="F1878" s="3"/>
      <c r="G1878" s="6"/>
      <c r="H1878" s="3"/>
      <c r="I1878" s="6"/>
      <c r="J1878" s="6"/>
      <c r="K1878" s="6"/>
      <c r="L1878" s="6"/>
      <c r="M1878" s="6"/>
      <c r="N1878" s="6"/>
      <c r="O1878" s="3"/>
      <c r="P1878" s="6"/>
      <c r="Q1878" s="6"/>
      <c r="R1878" s="6"/>
      <c r="S1878" s="6"/>
      <c r="T1878" s="6"/>
      <c r="U1878" t="str">
        <f t="shared" si="29"/>
        <v/>
      </c>
    </row>
    <row r="1879" spans="3:21" customFormat="1" hidden="1">
      <c r="C1879" s="6"/>
      <c r="D1879" s="6"/>
      <c r="E1879" s="98"/>
      <c r="F1879" s="3"/>
      <c r="G1879" s="6"/>
      <c r="H1879" s="3"/>
      <c r="I1879" s="6"/>
      <c r="J1879" s="6"/>
      <c r="K1879" s="6"/>
      <c r="L1879" s="6"/>
      <c r="M1879" s="6"/>
      <c r="N1879" s="6"/>
      <c r="O1879" s="3"/>
      <c r="P1879" s="6"/>
      <c r="Q1879" s="6"/>
      <c r="R1879" s="6"/>
      <c r="S1879" s="6"/>
      <c r="T1879" s="6"/>
      <c r="U1879" t="str">
        <f t="shared" si="29"/>
        <v/>
      </c>
    </row>
    <row r="1880" spans="3:21" customFormat="1" hidden="1">
      <c r="C1880" s="6"/>
      <c r="D1880" s="6"/>
      <c r="E1880" s="98"/>
      <c r="F1880" s="3"/>
      <c r="G1880" s="6"/>
      <c r="H1880" s="3"/>
      <c r="I1880" s="6"/>
      <c r="J1880" s="6"/>
      <c r="K1880" s="6"/>
      <c r="L1880" s="6"/>
      <c r="M1880" s="6"/>
      <c r="N1880" s="6"/>
      <c r="O1880" s="3"/>
      <c r="P1880" s="6"/>
      <c r="Q1880" s="6"/>
      <c r="R1880" s="6"/>
      <c r="S1880" s="6"/>
      <c r="T1880" s="6"/>
      <c r="U1880" t="str">
        <f t="shared" si="29"/>
        <v/>
      </c>
    </row>
    <row r="1881" spans="3:21" customFormat="1" hidden="1">
      <c r="C1881" s="6"/>
      <c r="D1881" s="6"/>
      <c r="E1881" s="98"/>
      <c r="F1881" s="3"/>
      <c r="G1881" s="6"/>
      <c r="H1881" s="3"/>
      <c r="I1881" s="6"/>
      <c r="J1881" s="6"/>
      <c r="K1881" s="6"/>
      <c r="L1881" s="6"/>
      <c r="M1881" s="6"/>
      <c r="N1881" s="6"/>
      <c r="O1881" s="3"/>
      <c r="P1881" s="6"/>
      <c r="Q1881" s="6"/>
      <c r="R1881" s="6"/>
      <c r="S1881" s="6"/>
      <c r="T1881" s="6"/>
      <c r="U1881" t="str">
        <f t="shared" si="29"/>
        <v/>
      </c>
    </row>
    <row r="1882" spans="3:21" customFormat="1" hidden="1">
      <c r="C1882" s="6"/>
      <c r="D1882" s="6"/>
      <c r="E1882" s="98"/>
      <c r="F1882" s="3"/>
      <c r="G1882" s="6"/>
      <c r="H1882" s="3"/>
      <c r="I1882" s="6"/>
      <c r="J1882" s="6"/>
      <c r="K1882" s="6"/>
      <c r="L1882" s="6"/>
      <c r="M1882" s="6"/>
      <c r="N1882" s="6"/>
      <c r="O1882" s="3"/>
      <c r="P1882" s="6"/>
      <c r="Q1882" s="6"/>
      <c r="R1882" s="6"/>
      <c r="S1882" s="6"/>
      <c r="T1882" s="6"/>
      <c r="U1882" t="str">
        <f t="shared" si="29"/>
        <v/>
      </c>
    </row>
    <row r="1883" spans="3:21" customFormat="1" hidden="1">
      <c r="C1883" s="6"/>
      <c r="D1883" s="6"/>
      <c r="E1883" s="98"/>
      <c r="F1883" s="3"/>
      <c r="G1883" s="6"/>
      <c r="H1883" s="3"/>
      <c r="I1883" s="6"/>
      <c r="J1883" s="6"/>
      <c r="K1883" s="6"/>
      <c r="L1883" s="6"/>
      <c r="M1883" s="6"/>
      <c r="N1883" s="6"/>
      <c r="O1883" s="3"/>
      <c r="P1883" s="6"/>
      <c r="Q1883" s="6"/>
      <c r="R1883" s="6"/>
      <c r="S1883" s="6"/>
      <c r="T1883" s="6"/>
      <c r="U1883" t="str">
        <f t="shared" si="29"/>
        <v/>
      </c>
    </row>
    <row r="1884" spans="3:21" customFormat="1" hidden="1">
      <c r="C1884" s="6"/>
      <c r="D1884" s="6"/>
      <c r="E1884" s="98"/>
      <c r="F1884" s="3"/>
      <c r="G1884" s="6"/>
      <c r="H1884" s="3"/>
      <c r="I1884" s="6"/>
      <c r="J1884" s="6"/>
      <c r="K1884" s="6"/>
      <c r="L1884" s="6"/>
      <c r="M1884" s="6"/>
      <c r="N1884" s="6"/>
      <c r="O1884" s="3"/>
      <c r="P1884" s="6"/>
      <c r="Q1884" s="6"/>
      <c r="R1884" s="6"/>
      <c r="S1884" s="6"/>
      <c r="T1884" s="6"/>
      <c r="U1884" t="str">
        <f t="shared" si="29"/>
        <v/>
      </c>
    </row>
    <row r="1885" spans="3:21" customFormat="1" hidden="1">
      <c r="C1885" s="6"/>
      <c r="D1885" s="6"/>
      <c r="E1885" s="98"/>
      <c r="F1885" s="3"/>
      <c r="G1885" s="6"/>
      <c r="H1885" s="3"/>
      <c r="I1885" s="6"/>
      <c r="J1885" s="6"/>
      <c r="K1885" s="6"/>
      <c r="L1885" s="6"/>
      <c r="M1885" s="6"/>
      <c r="N1885" s="6"/>
      <c r="O1885" s="3"/>
      <c r="P1885" s="6"/>
      <c r="Q1885" s="6"/>
      <c r="R1885" s="6"/>
      <c r="S1885" s="6"/>
      <c r="T1885" s="6"/>
      <c r="U1885" t="str">
        <f t="shared" si="29"/>
        <v/>
      </c>
    </row>
    <row r="1886" spans="3:21" customFormat="1" hidden="1">
      <c r="C1886" s="6"/>
      <c r="D1886" s="6"/>
      <c r="E1886" s="98"/>
      <c r="F1886" s="3"/>
      <c r="G1886" s="6"/>
      <c r="H1886" s="3"/>
      <c r="I1886" s="6"/>
      <c r="J1886" s="6"/>
      <c r="K1886" s="6"/>
      <c r="L1886" s="6"/>
      <c r="M1886" s="6"/>
      <c r="N1886" s="6"/>
      <c r="O1886" s="3"/>
      <c r="P1886" s="6"/>
      <c r="Q1886" s="6"/>
      <c r="R1886" s="6"/>
      <c r="S1886" s="6"/>
      <c r="T1886" s="6"/>
      <c r="U1886" t="str">
        <f t="shared" si="29"/>
        <v/>
      </c>
    </row>
    <row r="1887" spans="3:21" customFormat="1" hidden="1">
      <c r="C1887" s="6"/>
      <c r="D1887" s="6"/>
      <c r="E1887" s="98"/>
      <c r="F1887" s="3"/>
      <c r="G1887" s="6"/>
      <c r="H1887" s="3"/>
      <c r="I1887" s="6"/>
      <c r="J1887" s="6"/>
      <c r="K1887" s="6"/>
      <c r="L1887" s="6"/>
      <c r="M1887" s="6"/>
      <c r="N1887" s="6"/>
      <c r="O1887" s="3"/>
      <c r="P1887" s="6"/>
      <c r="Q1887" s="6"/>
      <c r="R1887" s="6"/>
      <c r="S1887" s="6"/>
      <c r="T1887" s="6"/>
      <c r="U1887" t="str">
        <f t="shared" si="29"/>
        <v/>
      </c>
    </row>
    <row r="1888" spans="3:21" customFormat="1" hidden="1">
      <c r="C1888" s="6"/>
      <c r="D1888" s="6"/>
      <c r="E1888" s="98"/>
      <c r="F1888" s="3"/>
      <c r="G1888" s="6"/>
      <c r="H1888" s="3"/>
      <c r="I1888" s="6"/>
      <c r="J1888" s="6"/>
      <c r="K1888" s="6"/>
      <c r="L1888" s="6"/>
      <c r="M1888" s="6"/>
      <c r="N1888" s="6"/>
      <c r="O1888" s="3"/>
      <c r="P1888" s="6"/>
      <c r="Q1888" s="6"/>
      <c r="R1888" s="6"/>
      <c r="S1888" s="6"/>
      <c r="T1888" s="6"/>
      <c r="U1888" t="str">
        <f t="shared" si="29"/>
        <v/>
      </c>
    </row>
    <row r="1889" spans="3:21" customFormat="1" hidden="1">
      <c r="C1889" s="6"/>
      <c r="D1889" s="6"/>
      <c r="E1889" s="98"/>
      <c r="F1889" s="3"/>
      <c r="G1889" s="6"/>
      <c r="H1889" s="3"/>
      <c r="I1889" s="6"/>
      <c r="J1889" s="6"/>
      <c r="K1889" s="6"/>
      <c r="L1889" s="6"/>
      <c r="M1889" s="6"/>
      <c r="N1889" s="6"/>
      <c r="O1889" s="3"/>
      <c r="P1889" s="6"/>
      <c r="Q1889" s="6"/>
      <c r="R1889" s="6"/>
      <c r="S1889" s="6"/>
      <c r="T1889" s="6"/>
      <c r="U1889" t="str">
        <f t="shared" si="29"/>
        <v/>
      </c>
    </row>
    <row r="1890" spans="3:21" customFormat="1" hidden="1">
      <c r="C1890" s="6"/>
      <c r="D1890" s="6"/>
      <c r="E1890" s="98"/>
      <c r="F1890" s="3"/>
      <c r="G1890" s="6"/>
      <c r="H1890" s="3"/>
      <c r="I1890" s="6"/>
      <c r="J1890" s="6"/>
      <c r="K1890" s="6"/>
      <c r="L1890" s="6"/>
      <c r="M1890" s="6"/>
      <c r="N1890" s="6"/>
      <c r="O1890" s="3"/>
      <c r="P1890" s="6"/>
      <c r="Q1890" s="6"/>
      <c r="R1890" s="6"/>
      <c r="S1890" s="6"/>
      <c r="T1890" s="6"/>
      <c r="U1890" t="str">
        <f t="shared" si="29"/>
        <v/>
      </c>
    </row>
    <row r="1891" spans="3:21" customFormat="1" hidden="1">
      <c r="C1891" s="6"/>
      <c r="D1891" s="6"/>
      <c r="E1891" s="98"/>
      <c r="F1891" s="3"/>
      <c r="G1891" s="6"/>
      <c r="H1891" s="3"/>
      <c r="I1891" s="6"/>
      <c r="J1891" s="6"/>
      <c r="K1891" s="6"/>
      <c r="L1891" s="6"/>
      <c r="M1891" s="6"/>
      <c r="N1891" s="6"/>
      <c r="O1891" s="3"/>
      <c r="P1891" s="6"/>
      <c r="Q1891" s="6"/>
      <c r="R1891" s="6"/>
      <c r="S1891" s="6"/>
      <c r="T1891" s="6"/>
      <c r="U1891" t="str">
        <f t="shared" si="29"/>
        <v/>
      </c>
    </row>
    <row r="1892" spans="3:21" customFormat="1" hidden="1">
      <c r="C1892" s="6"/>
      <c r="D1892" s="6"/>
      <c r="E1892" s="98"/>
      <c r="F1892" s="3"/>
      <c r="G1892" s="6"/>
      <c r="H1892" s="3"/>
      <c r="I1892" s="6"/>
      <c r="J1892" s="6"/>
      <c r="K1892" s="6"/>
      <c r="L1892" s="6"/>
      <c r="M1892" s="6"/>
      <c r="N1892" s="6"/>
      <c r="O1892" s="3"/>
      <c r="P1892" s="6"/>
      <c r="Q1892" s="6"/>
      <c r="R1892" s="6"/>
      <c r="S1892" s="6"/>
      <c r="T1892" s="6"/>
      <c r="U1892" t="str">
        <f t="shared" si="29"/>
        <v/>
      </c>
    </row>
    <row r="1893" spans="3:21" customFormat="1" hidden="1">
      <c r="C1893" s="6"/>
      <c r="D1893" s="6"/>
      <c r="E1893" s="98"/>
      <c r="F1893" s="3"/>
      <c r="G1893" s="6"/>
      <c r="H1893" s="3"/>
      <c r="I1893" s="6"/>
      <c r="J1893" s="6"/>
      <c r="K1893" s="6"/>
      <c r="L1893" s="6"/>
      <c r="M1893" s="6"/>
      <c r="N1893" s="6"/>
      <c r="O1893" s="3"/>
      <c r="P1893" s="6"/>
      <c r="Q1893" s="6"/>
      <c r="R1893" s="6"/>
      <c r="S1893" s="6"/>
      <c r="T1893" s="6"/>
      <c r="U1893" t="str">
        <f t="shared" si="29"/>
        <v/>
      </c>
    </row>
    <row r="1894" spans="3:21" customFormat="1" hidden="1">
      <c r="C1894" s="6"/>
      <c r="D1894" s="6"/>
      <c r="E1894" s="98"/>
      <c r="F1894" s="3"/>
      <c r="G1894" s="6"/>
      <c r="H1894" s="3"/>
      <c r="I1894" s="6"/>
      <c r="J1894" s="6"/>
      <c r="K1894" s="6"/>
      <c r="L1894" s="6"/>
      <c r="M1894" s="6"/>
      <c r="N1894" s="6"/>
      <c r="O1894" s="3"/>
      <c r="P1894" s="6"/>
      <c r="Q1894" s="6"/>
      <c r="R1894" s="6"/>
      <c r="S1894" s="6"/>
      <c r="T1894" s="6"/>
      <c r="U1894" t="str">
        <f t="shared" si="29"/>
        <v/>
      </c>
    </row>
    <row r="1895" spans="3:21" customFormat="1" hidden="1">
      <c r="C1895" s="6"/>
      <c r="D1895" s="6"/>
      <c r="E1895" s="98"/>
      <c r="F1895" s="3"/>
      <c r="G1895" s="6"/>
      <c r="H1895" s="3"/>
      <c r="I1895" s="6"/>
      <c r="J1895" s="6"/>
      <c r="K1895" s="6"/>
      <c r="L1895" s="6"/>
      <c r="M1895" s="6"/>
      <c r="N1895" s="6"/>
      <c r="O1895" s="3"/>
      <c r="P1895" s="6"/>
      <c r="Q1895" s="6"/>
      <c r="R1895" s="6"/>
      <c r="S1895" s="6"/>
      <c r="T1895" s="6"/>
      <c r="U1895" t="str">
        <f t="shared" si="29"/>
        <v/>
      </c>
    </row>
    <row r="1896" spans="3:21" customFormat="1" hidden="1">
      <c r="C1896" s="6"/>
      <c r="D1896" s="6"/>
      <c r="E1896" s="98"/>
      <c r="F1896" s="3"/>
      <c r="G1896" s="6"/>
      <c r="H1896" s="3"/>
      <c r="I1896" s="6"/>
      <c r="J1896" s="6"/>
      <c r="K1896" s="6"/>
      <c r="L1896" s="6"/>
      <c r="M1896" s="6"/>
      <c r="N1896" s="6"/>
      <c r="O1896" s="3"/>
      <c r="P1896" s="6"/>
      <c r="Q1896" s="6"/>
      <c r="R1896" s="6"/>
      <c r="S1896" s="6"/>
      <c r="T1896" s="6"/>
      <c r="U1896" t="str">
        <f t="shared" si="29"/>
        <v/>
      </c>
    </row>
    <row r="1897" spans="3:21" customFormat="1" hidden="1">
      <c r="C1897" s="6"/>
      <c r="D1897" s="6"/>
      <c r="E1897" s="98"/>
      <c r="F1897" s="3"/>
      <c r="G1897" s="6"/>
      <c r="H1897" s="3"/>
      <c r="I1897" s="6"/>
      <c r="J1897" s="6"/>
      <c r="K1897" s="6"/>
      <c r="L1897" s="6"/>
      <c r="M1897" s="6"/>
      <c r="N1897" s="6"/>
      <c r="O1897" s="3"/>
      <c r="P1897" s="6"/>
      <c r="Q1897" s="6"/>
      <c r="R1897" s="6"/>
      <c r="S1897" s="6"/>
      <c r="T1897" s="6"/>
      <c r="U1897" t="str">
        <f t="shared" si="29"/>
        <v/>
      </c>
    </row>
    <row r="1898" spans="3:21" customFormat="1" hidden="1">
      <c r="C1898" s="6"/>
      <c r="D1898" s="6"/>
      <c r="E1898" s="98"/>
      <c r="F1898" s="3"/>
      <c r="G1898" s="6"/>
      <c r="H1898" s="3"/>
      <c r="I1898" s="6"/>
      <c r="J1898" s="6"/>
      <c r="K1898" s="6"/>
      <c r="L1898" s="6"/>
      <c r="M1898" s="6"/>
      <c r="N1898" s="6"/>
      <c r="O1898" s="3"/>
      <c r="P1898" s="6"/>
      <c r="Q1898" s="6"/>
      <c r="R1898" s="6"/>
      <c r="S1898" s="6"/>
      <c r="T1898" s="6"/>
      <c r="U1898" t="str">
        <f t="shared" si="29"/>
        <v/>
      </c>
    </row>
    <row r="1899" spans="3:21" customFormat="1" hidden="1">
      <c r="C1899" s="6"/>
      <c r="D1899" s="6"/>
      <c r="E1899" s="98"/>
      <c r="F1899" s="3"/>
      <c r="G1899" s="6"/>
      <c r="H1899" s="3"/>
      <c r="I1899" s="6"/>
      <c r="J1899" s="6"/>
      <c r="K1899" s="6"/>
      <c r="L1899" s="6"/>
      <c r="M1899" s="6"/>
      <c r="N1899" s="6"/>
      <c r="O1899" s="3"/>
      <c r="P1899" s="6"/>
      <c r="Q1899" s="6"/>
      <c r="R1899" s="6"/>
      <c r="S1899" s="6"/>
      <c r="T1899" s="6"/>
      <c r="U1899" t="str">
        <f t="shared" si="29"/>
        <v/>
      </c>
    </row>
    <row r="1900" spans="3:21" customFormat="1" hidden="1">
      <c r="C1900" s="6"/>
      <c r="D1900" s="6"/>
      <c r="E1900" s="98"/>
      <c r="F1900" s="3"/>
      <c r="G1900" s="6"/>
      <c r="H1900" s="3"/>
      <c r="I1900" s="6"/>
      <c r="J1900" s="6"/>
      <c r="K1900" s="6"/>
      <c r="L1900" s="6"/>
      <c r="M1900" s="6"/>
      <c r="N1900" s="6"/>
      <c r="O1900" s="3"/>
      <c r="P1900" s="6"/>
      <c r="Q1900" s="6"/>
      <c r="R1900" s="6"/>
      <c r="S1900" s="6"/>
      <c r="T1900" s="6"/>
      <c r="U1900" t="str">
        <f t="shared" si="29"/>
        <v/>
      </c>
    </row>
    <row r="1901" spans="3:21" customFormat="1" hidden="1">
      <c r="C1901" s="6"/>
      <c r="D1901" s="6"/>
      <c r="E1901" s="98"/>
      <c r="F1901" s="3"/>
      <c r="G1901" s="6"/>
      <c r="H1901" s="3"/>
      <c r="I1901" s="6"/>
      <c r="J1901" s="6"/>
      <c r="K1901" s="6"/>
      <c r="L1901" s="6"/>
      <c r="M1901" s="6"/>
      <c r="N1901" s="6"/>
      <c r="O1901" s="3"/>
      <c r="P1901" s="6"/>
      <c r="Q1901" s="6"/>
      <c r="R1901" s="6"/>
      <c r="S1901" s="6"/>
      <c r="T1901" s="6"/>
      <c r="U1901" t="str">
        <f t="shared" si="29"/>
        <v/>
      </c>
    </row>
    <row r="1902" spans="3:21" customFormat="1" hidden="1">
      <c r="C1902" s="6"/>
      <c r="D1902" s="6"/>
      <c r="E1902" s="98"/>
      <c r="F1902" s="3"/>
      <c r="G1902" s="6"/>
      <c r="H1902" s="3"/>
      <c r="I1902" s="6"/>
      <c r="J1902" s="6"/>
      <c r="K1902" s="6"/>
      <c r="L1902" s="6"/>
      <c r="M1902" s="6"/>
      <c r="N1902" s="6"/>
      <c r="O1902" s="3"/>
      <c r="P1902" s="6"/>
      <c r="Q1902" s="6"/>
      <c r="R1902" s="6"/>
      <c r="S1902" s="6"/>
      <c r="T1902" s="6"/>
      <c r="U1902" t="str">
        <f t="shared" si="29"/>
        <v/>
      </c>
    </row>
    <row r="1903" spans="3:21" customFormat="1" hidden="1">
      <c r="C1903" s="6"/>
      <c r="D1903" s="6"/>
      <c r="E1903" s="98"/>
      <c r="F1903" s="3"/>
      <c r="G1903" s="6"/>
      <c r="H1903" s="3"/>
      <c r="I1903" s="6"/>
      <c r="J1903" s="6"/>
      <c r="K1903" s="6"/>
      <c r="L1903" s="6"/>
      <c r="M1903" s="6"/>
      <c r="N1903" s="6"/>
      <c r="O1903" s="3"/>
      <c r="P1903" s="6"/>
      <c r="Q1903" s="6"/>
      <c r="R1903" s="6"/>
      <c r="S1903" s="6"/>
      <c r="T1903" s="6"/>
      <c r="U1903" t="str">
        <f t="shared" si="29"/>
        <v/>
      </c>
    </row>
    <row r="1904" spans="3:21" customFormat="1" hidden="1">
      <c r="C1904" s="6"/>
      <c r="D1904" s="6"/>
      <c r="E1904" s="98"/>
      <c r="F1904" s="3"/>
      <c r="G1904" s="6"/>
      <c r="H1904" s="3"/>
      <c r="I1904" s="6"/>
      <c r="J1904" s="6"/>
      <c r="K1904" s="6"/>
      <c r="L1904" s="6"/>
      <c r="M1904" s="6"/>
      <c r="N1904" s="6"/>
      <c r="O1904" s="3"/>
      <c r="P1904" s="6"/>
      <c r="Q1904" s="6"/>
      <c r="R1904" s="6"/>
      <c r="S1904" s="6"/>
      <c r="T1904" s="6"/>
      <c r="U1904" t="str">
        <f t="shared" si="29"/>
        <v/>
      </c>
    </row>
    <row r="1905" spans="3:21" customFormat="1" hidden="1">
      <c r="C1905" s="6"/>
      <c r="D1905" s="6"/>
      <c r="E1905" s="98"/>
      <c r="F1905" s="3"/>
      <c r="G1905" s="6"/>
      <c r="H1905" s="3"/>
      <c r="I1905" s="6"/>
      <c r="J1905" s="6"/>
      <c r="K1905" s="6"/>
      <c r="L1905" s="6"/>
      <c r="M1905" s="6"/>
      <c r="N1905" s="6"/>
      <c r="O1905" s="3"/>
      <c r="P1905" s="6"/>
      <c r="Q1905" s="6"/>
      <c r="R1905" s="6"/>
      <c r="S1905" s="6"/>
      <c r="T1905" s="6"/>
      <c r="U1905" t="str">
        <f t="shared" si="29"/>
        <v/>
      </c>
    </row>
    <row r="1906" spans="3:21" customFormat="1" hidden="1">
      <c r="C1906" s="6"/>
      <c r="D1906" s="6"/>
      <c r="E1906" s="98"/>
      <c r="F1906" s="3"/>
      <c r="G1906" s="6"/>
      <c r="H1906" s="3"/>
      <c r="I1906" s="6"/>
      <c r="J1906" s="6"/>
      <c r="K1906" s="6"/>
      <c r="L1906" s="6"/>
      <c r="M1906" s="6"/>
      <c r="N1906" s="6"/>
      <c r="O1906" s="3"/>
      <c r="P1906" s="6"/>
      <c r="Q1906" s="6"/>
      <c r="R1906" s="6"/>
      <c r="S1906" s="6"/>
      <c r="T1906" s="6"/>
      <c r="U1906" t="str">
        <f t="shared" si="29"/>
        <v/>
      </c>
    </row>
    <row r="1907" spans="3:21" customFormat="1" hidden="1">
      <c r="C1907" s="6"/>
      <c r="D1907" s="6"/>
      <c r="E1907" s="98"/>
      <c r="F1907" s="3"/>
      <c r="G1907" s="6"/>
      <c r="H1907" s="3"/>
      <c r="I1907" s="6"/>
      <c r="J1907" s="6"/>
      <c r="K1907" s="6"/>
      <c r="L1907" s="6"/>
      <c r="M1907" s="6"/>
      <c r="N1907" s="6"/>
      <c r="O1907" s="3"/>
      <c r="P1907" s="6"/>
      <c r="Q1907" s="6"/>
      <c r="R1907" s="6"/>
      <c r="S1907" s="6"/>
      <c r="T1907" s="6"/>
      <c r="U1907" t="str">
        <f t="shared" si="29"/>
        <v/>
      </c>
    </row>
    <row r="1908" spans="3:21" customFormat="1" hidden="1">
      <c r="C1908" s="6"/>
      <c r="D1908" s="6"/>
      <c r="E1908" s="98"/>
      <c r="F1908" s="3"/>
      <c r="G1908" s="6"/>
      <c r="H1908" s="3"/>
      <c r="I1908" s="6"/>
      <c r="J1908" s="6"/>
      <c r="K1908" s="6"/>
      <c r="L1908" s="6"/>
      <c r="M1908" s="6"/>
      <c r="N1908" s="6"/>
      <c r="O1908" s="3"/>
      <c r="P1908" s="6"/>
      <c r="Q1908" s="6"/>
      <c r="R1908" s="6"/>
      <c r="S1908" s="6"/>
      <c r="T1908" s="6"/>
      <c r="U1908" t="str">
        <f t="shared" si="29"/>
        <v/>
      </c>
    </row>
    <row r="1909" spans="3:21" customFormat="1" hidden="1">
      <c r="C1909" s="6"/>
      <c r="D1909" s="6"/>
      <c r="E1909" s="98"/>
      <c r="F1909" s="3"/>
      <c r="G1909" s="6"/>
      <c r="H1909" s="3"/>
      <c r="I1909" s="6"/>
      <c r="J1909" s="6"/>
      <c r="K1909" s="6"/>
      <c r="L1909" s="6"/>
      <c r="M1909" s="6"/>
      <c r="N1909" s="6"/>
      <c r="O1909" s="3"/>
      <c r="P1909" s="6"/>
      <c r="Q1909" s="6"/>
      <c r="R1909" s="6"/>
      <c r="S1909" s="6"/>
      <c r="T1909" s="6"/>
      <c r="U1909" t="str">
        <f t="shared" si="29"/>
        <v/>
      </c>
    </row>
    <row r="1910" spans="3:21" customFormat="1" hidden="1">
      <c r="C1910" s="6"/>
      <c r="D1910" s="6"/>
      <c r="E1910" s="98"/>
      <c r="F1910" s="3"/>
      <c r="G1910" s="6"/>
      <c r="H1910" s="3"/>
      <c r="I1910" s="6"/>
      <c r="J1910" s="6"/>
      <c r="K1910" s="6"/>
      <c r="L1910" s="6"/>
      <c r="M1910" s="6"/>
      <c r="N1910" s="6"/>
      <c r="O1910" s="3"/>
      <c r="P1910" s="6"/>
      <c r="Q1910" s="6"/>
      <c r="R1910" s="6"/>
      <c r="S1910" s="6"/>
      <c r="T1910" s="6"/>
      <c r="U1910" t="str">
        <f t="shared" si="29"/>
        <v/>
      </c>
    </row>
    <row r="1911" spans="3:21" customFormat="1" hidden="1">
      <c r="C1911" s="6"/>
      <c r="D1911" s="6"/>
      <c r="E1911" s="98"/>
      <c r="F1911" s="3"/>
      <c r="G1911" s="6"/>
      <c r="H1911" s="3"/>
      <c r="I1911" s="6"/>
      <c r="J1911" s="6"/>
      <c r="K1911" s="6"/>
      <c r="L1911" s="6"/>
      <c r="M1911" s="6"/>
      <c r="N1911" s="6"/>
      <c r="O1911" s="3"/>
      <c r="P1911" s="6"/>
      <c r="Q1911" s="6"/>
      <c r="R1911" s="6"/>
      <c r="S1911" s="6"/>
      <c r="T1911" s="6"/>
      <c r="U1911" t="str">
        <f t="shared" si="29"/>
        <v/>
      </c>
    </row>
    <row r="1912" spans="3:21" customFormat="1" hidden="1">
      <c r="C1912" s="6"/>
      <c r="D1912" s="6"/>
      <c r="E1912" s="98"/>
      <c r="F1912" s="3"/>
      <c r="G1912" s="6"/>
      <c r="H1912" s="3"/>
      <c r="I1912" s="6"/>
      <c r="J1912" s="6"/>
      <c r="K1912" s="6"/>
      <c r="L1912" s="6"/>
      <c r="M1912" s="6"/>
      <c r="N1912" s="6"/>
      <c r="O1912" s="3"/>
      <c r="P1912" s="6"/>
      <c r="Q1912" s="6"/>
      <c r="R1912" s="6"/>
      <c r="S1912" s="6"/>
      <c r="T1912" s="6"/>
      <c r="U1912" t="str">
        <f t="shared" si="29"/>
        <v/>
      </c>
    </row>
    <row r="1913" spans="3:21" customFormat="1" hidden="1">
      <c r="C1913" s="6"/>
      <c r="D1913" s="6"/>
      <c r="E1913" s="98"/>
      <c r="F1913" s="3"/>
      <c r="G1913" s="6"/>
      <c r="H1913" s="3"/>
      <c r="I1913" s="6"/>
      <c r="J1913" s="6"/>
      <c r="K1913" s="6"/>
      <c r="L1913" s="6"/>
      <c r="M1913" s="6"/>
      <c r="N1913" s="6"/>
      <c r="O1913" s="3"/>
      <c r="P1913" s="6"/>
      <c r="Q1913" s="6"/>
      <c r="R1913" s="6"/>
      <c r="S1913" s="6"/>
      <c r="T1913" s="6"/>
      <c r="U1913" t="str">
        <f t="shared" si="29"/>
        <v/>
      </c>
    </row>
    <row r="1914" spans="3:21" customFormat="1" hidden="1">
      <c r="C1914" s="6"/>
      <c r="D1914" s="6"/>
      <c r="E1914" s="98"/>
      <c r="F1914" s="3"/>
      <c r="G1914" s="6"/>
      <c r="H1914" s="3"/>
      <c r="I1914" s="6"/>
      <c r="J1914" s="6"/>
      <c r="K1914" s="6"/>
      <c r="L1914" s="6"/>
      <c r="M1914" s="6"/>
      <c r="N1914" s="6"/>
      <c r="O1914" s="3"/>
      <c r="P1914" s="6"/>
      <c r="Q1914" s="6"/>
      <c r="R1914" s="6"/>
      <c r="S1914" s="6"/>
      <c r="T1914" s="6"/>
      <c r="U1914" t="str">
        <f t="shared" si="29"/>
        <v/>
      </c>
    </row>
    <row r="1915" spans="3:21" customFormat="1" hidden="1">
      <c r="C1915" s="6"/>
      <c r="D1915" s="6"/>
      <c r="E1915" s="98"/>
      <c r="F1915" s="3"/>
      <c r="G1915" s="6"/>
      <c r="H1915" s="3"/>
      <c r="I1915" s="6"/>
      <c r="J1915" s="6"/>
      <c r="K1915" s="6"/>
      <c r="L1915" s="6"/>
      <c r="M1915" s="6"/>
      <c r="N1915" s="6"/>
      <c r="O1915" s="3"/>
      <c r="P1915" s="6"/>
      <c r="Q1915" s="6"/>
      <c r="R1915" s="6"/>
      <c r="S1915" s="6"/>
      <c r="T1915" s="6"/>
      <c r="U1915" t="str">
        <f t="shared" si="29"/>
        <v/>
      </c>
    </row>
    <row r="1916" spans="3:21" customFormat="1" hidden="1">
      <c r="C1916" s="6"/>
      <c r="D1916" s="6"/>
      <c r="E1916" s="98"/>
      <c r="F1916" s="3"/>
      <c r="G1916" s="6"/>
      <c r="H1916" s="3"/>
      <c r="I1916" s="6"/>
      <c r="J1916" s="6"/>
      <c r="K1916" s="6"/>
      <c r="L1916" s="6"/>
      <c r="M1916" s="6"/>
      <c r="N1916" s="6"/>
      <c r="O1916" s="3"/>
      <c r="P1916" s="6"/>
      <c r="Q1916" s="6"/>
      <c r="R1916" s="6"/>
      <c r="S1916" s="6"/>
      <c r="T1916" s="6"/>
      <c r="U1916" t="str">
        <f t="shared" si="29"/>
        <v/>
      </c>
    </row>
    <row r="1917" spans="3:21" customFormat="1" hidden="1">
      <c r="C1917" s="6"/>
      <c r="D1917" s="6"/>
      <c r="E1917" s="98"/>
      <c r="F1917" s="3"/>
      <c r="G1917" s="6"/>
      <c r="H1917" s="3"/>
      <c r="I1917" s="6"/>
      <c r="J1917" s="6"/>
      <c r="K1917" s="6"/>
      <c r="L1917" s="6"/>
      <c r="M1917" s="6"/>
      <c r="N1917" s="6"/>
      <c r="O1917" s="3"/>
      <c r="P1917" s="6"/>
      <c r="Q1917" s="6"/>
      <c r="R1917" s="6"/>
      <c r="S1917" s="6"/>
      <c r="T1917" s="6"/>
      <c r="U1917" t="str">
        <f t="shared" si="29"/>
        <v/>
      </c>
    </row>
    <row r="1918" spans="3:21" customFormat="1" hidden="1">
      <c r="C1918" s="6"/>
      <c r="D1918" s="6"/>
      <c r="E1918" s="98"/>
      <c r="F1918" s="3"/>
      <c r="G1918" s="6"/>
      <c r="H1918" s="3"/>
      <c r="I1918" s="6"/>
      <c r="J1918" s="6"/>
      <c r="K1918" s="6"/>
      <c r="L1918" s="6"/>
      <c r="M1918" s="6"/>
      <c r="N1918" s="6"/>
      <c r="O1918" s="3"/>
      <c r="P1918" s="6"/>
      <c r="Q1918" s="6"/>
      <c r="R1918" s="6"/>
      <c r="S1918" s="6"/>
      <c r="T1918" s="6"/>
      <c r="U1918" t="str">
        <f t="shared" si="29"/>
        <v/>
      </c>
    </row>
    <row r="1919" spans="3:21" customFormat="1" hidden="1">
      <c r="C1919" s="6"/>
      <c r="D1919" s="6"/>
      <c r="E1919" s="98"/>
      <c r="F1919" s="3"/>
      <c r="G1919" s="6"/>
      <c r="H1919" s="3"/>
      <c r="I1919" s="6"/>
      <c r="J1919" s="6"/>
      <c r="K1919" s="6"/>
      <c r="L1919" s="6"/>
      <c r="M1919" s="6"/>
      <c r="N1919" s="6"/>
      <c r="O1919" s="3"/>
      <c r="P1919" s="6"/>
      <c r="Q1919" s="6"/>
      <c r="R1919" s="6"/>
      <c r="S1919" s="6"/>
      <c r="T1919" s="6"/>
      <c r="U1919" t="str">
        <f t="shared" si="29"/>
        <v/>
      </c>
    </row>
    <row r="1920" spans="3:21" customFormat="1" hidden="1">
      <c r="C1920" s="6"/>
      <c r="D1920" s="6"/>
      <c r="E1920" s="98"/>
      <c r="F1920" s="3"/>
      <c r="G1920" s="6"/>
      <c r="H1920" s="3"/>
      <c r="I1920" s="6"/>
      <c r="J1920" s="6"/>
      <c r="K1920" s="6"/>
      <c r="L1920" s="6"/>
      <c r="M1920" s="6"/>
      <c r="N1920" s="6"/>
      <c r="O1920" s="3"/>
      <c r="P1920" s="6"/>
      <c r="Q1920" s="6"/>
      <c r="R1920" s="6"/>
      <c r="S1920" s="6"/>
      <c r="T1920" s="6"/>
      <c r="U1920" t="str">
        <f t="shared" si="29"/>
        <v/>
      </c>
    </row>
    <row r="1921" spans="3:21" customFormat="1" hidden="1">
      <c r="C1921" s="6"/>
      <c r="D1921" s="6"/>
      <c r="E1921" s="98"/>
      <c r="F1921" s="3"/>
      <c r="G1921" s="6"/>
      <c r="H1921" s="3"/>
      <c r="I1921" s="6"/>
      <c r="J1921" s="6"/>
      <c r="K1921" s="6"/>
      <c r="L1921" s="6"/>
      <c r="M1921" s="6"/>
      <c r="N1921" s="6"/>
      <c r="O1921" s="3"/>
      <c r="P1921" s="6"/>
      <c r="Q1921" s="6"/>
      <c r="R1921" s="6"/>
      <c r="S1921" s="6"/>
      <c r="T1921" s="6"/>
      <c r="U1921" t="str">
        <f t="shared" si="29"/>
        <v/>
      </c>
    </row>
    <row r="1922" spans="3:21" customFormat="1" hidden="1">
      <c r="C1922" s="6"/>
      <c r="D1922" s="6"/>
      <c r="E1922" s="98"/>
      <c r="F1922" s="3"/>
      <c r="G1922" s="6"/>
      <c r="H1922" s="3"/>
      <c r="I1922" s="6"/>
      <c r="J1922" s="6"/>
      <c r="K1922" s="6"/>
      <c r="L1922" s="6"/>
      <c r="M1922" s="6"/>
      <c r="N1922" s="6"/>
      <c r="O1922" s="3"/>
      <c r="P1922" s="6"/>
      <c r="Q1922" s="6"/>
      <c r="R1922" s="6"/>
      <c r="S1922" s="6"/>
      <c r="T1922" s="6"/>
      <c r="U1922" t="str">
        <f t="shared" si="29"/>
        <v/>
      </c>
    </row>
    <row r="1923" spans="3:21" customFormat="1" hidden="1">
      <c r="C1923" s="6"/>
      <c r="D1923" s="6"/>
      <c r="E1923" s="98"/>
      <c r="F1923" s="3"/>
      <c r="G1923" s="6"/>
      <c r="H1923" s="3"/>
      <c r="I1923" s="6"/>
      <c r="J1923" s="6"/>
      <c r="K1923" s="6"/>
      <c r="L1923" s="6"/>
      <c r="M1923" s="6"/>
      <c r="N1923" s="6"/>
      <c r="O1923" s="3"/>
      <c r="P1923" s="6"/>
      <c r="Q1923" s="6"/>
      <c r="R1923" s="6"/>
      <c r="S1923" s="6"/>
      <c r="T1923" s="6"/>
      <c r="U1923" t="str">
        <f t="shared" si="29"/>
        <v/>
      </c>
    </row>
    <row r="1924" spans="3:21" customFormat="1" hidden="1">
      <c r="C1924" s="6"/>
      <c r="D1924" s="6"/>
      <c r="E1924" s="98"/>
      <c r="F1924" s="3"/>
      <c r="G1924" s="6"/>
      <c r="H1924" s="3"/>
      <c r="I1924" s="6"/>
      <c r="J1924" s="6"/>
      <c r="K1924" s="6"/>
      <c r="L1924" s="6"/>
      <c r="M1924" s="6"/>
      <c r="N1924" s="6"/>
      <c r="O1924" s="3"/>
      <c r="P1924" s="6"/>
      <c r="Q1924" s="6"/>
      <c r="R1924" s="6"/>
      <c r="S1924" s="6"/>
      <c r="T1924" s="6"/>
      <c r="U1924" t="str">
        <f t="shared" si="29"/>
        <v/>
      </c>
    </row>
    <row r="1925" spans="3:21" customFormat="1" hidden="1">
      <c r="C1925" s="6"/>
      <c r="D1925" s="6"/>
      <c r="E1925" s="98"/>
      <c r="F1925" s="3"/>
      <c r="G1925" s="6"/>
      <c r="H1925" s="3"/>
      <c r="I1925" s="6"/>
      <c r="J1925" s="6"/>
      <c r="K1925" s="6"/>
      <c r="L1925" s="6"/>
      <c r="M1925" s="6"/>
      <c r="N1925" s="6"/>
      <c r="O1925" s="3"/>
      <c r="P1925" s="6"/>
      <c r="Q1925" s="6"/>
      <c r="R1925" s="6"/>
      <c r="S1925" s="6"/>
      <c r="T1925" s="6"/>
      <c r="U1925" t="str">
        <f t="shared" si="29"/>
        <v/>
      </c>
    </row>
    <row r="1926" spans="3:21" customFormat="1" hidden="1">
      <c r="C1926" s="6"/>
      <c r="D1926" s="6"/>
      <c r="E1926" s="98"/>
      <c r="F1926" s="3"/>
      <c r="G1926" s="6"/>
      <c r="H1926" s="3"/>
      <c r="I1926" s="6"/>
      <c r="J1926" s="6"/>
      <c r="K1926" s="6"/>
      <c r="L1926" s="6"/>
      <c r="M1926" s="6"/>
      <c r="N1926" s="6"/>
      <c r="O1926" s="3"/>
      <c r="P1926" s="6"/>
      <c r="Q1926" s="6"/>
      <c r="R1926" s="6"/>
      <c r="S1926" s="6"/>
      <c r="T1926" s="6"/>
      <c r="U1926" t="str">
        <f t="shared" si="29"/>
        <v/>
      </c>
    </row>
    <row r="1927" spans="3:21" customFormat="1" hidden="1">
      <c r="C1927" s="6"/>
      <c r="D1927" s="6"/>
      <c r="E1927" s="98"/>
      <c r="F1927" s="3"/>
      <c r="G1927" s="6"/>
      <c r="H1927" s="3"/>
      <c r="I1927" s="6"/>
      <c r="J1927" s="6"/>
      <c r="K1927" s="6"/>
      <c r="L1927" s="6"/>
      <c r="M1927" s="6"/>
      <c r="N1927" s="6"/>
      <c r="O1927" s="3"/>
      <c r="P1927" s="6"/>
      <c r="Q1927" s="6"/>
      <c r="R1927" s="6"/>
      <c r="S1927" s="6"/>
      <c r="T1927" s="6"/>
      <c r="U1927" t="str">
        <f t="shared" ref="U1927:U1990" si="30">IF(D1927="","","x")</f>
        <v/>
      </c>
    </row>
    <row r="1928" spans="3:21" customFormat="1" hidden="1">
      <c r="C1928" s="6"/>
      <c r="D1928" s="6"/>
      <c r="E1928" s="98"/>
      <c r="F1928" s="3"/>
      <c r="G1928" s="6"/>
      <c r="H1928" s="3"/>
      <c r="I1928" s="6"/>
      <c r="J1928" s="6"/>
      <c r="K1928" s="6"/>
      <c r="L1928" s="6"/>
      <c r="M1928" s="6"/>
      <c r="N1928" s="6"/>
      <c r="O1928" s="3"/>
      <c r="P1928" s="6"/>
      <c r="Q1928" s="6"/>
      <c r="R1928" s="6"/>
      <c r="S1928" s="6"/>
      <c r="T1928" s="6"/>
      <c r="U1928" t="str">
        <f t="shared" si="30"/>
        <v/>
      </c>
    </row>
    <row r="1929" spans="3:21" customFormat="1" hidden="1">
      <c r="C1929" s="6"/>
      <c r="D1929" s="6"/>
      <c r="E1929" s="98"/>
      <c r="F1929" s="3"/>
      <c r="G1929" s="6"/>
      <c r="H1929" s="3"/>
      <c r="I1929" s="6"/>
      <c r="J1929" s="6"/>
      <c r="K1929" s="6"/>
      <c r="L1929" s="6"/>
      <c r="M1929" s="6"/>
      <c r="N1929" s="6"/>
      <c r="O1929" s="3"/>
      <c r="P1929" s="6"/>
      <c r="Q1929" s="6"/>
      <c r="R1929" s="6"/>
      <c r="S1929" s="6"/>
      <c r="T1929" s="6"/>
      <c r="U1929" t="str">
        <f t="shared" si="30"/>
        <v/>
      </c>
    </row>
    <row r="1930" spans="3:21" customFormat="1" hidden="1">
      <c r="C1930" s="6"/>
      <c r="D1930" s="6"/>
      <c r="E1930" s="98"/>
      <c r="F1930" s="3"/>
      <c r="G1930" s="6"/>
      <c r="H1930" s="3"/>
      <c r="I1930" s="6"/>
      <c r="J1930" s="6"/>
      <c r="K1930" s="6"/>
      <c r="L1930" s="6"/>
      <c r="M1930" s="6"/>
      <c r="N1930" s="6"/>
      <c r="O1930" s="3"/>
      <c r="P1930" s="6"/>
      <c r="Q1930" s="6"/>
      <c r="R1930" s="6"/>
      <c r="S1930" s="6"/>
      <c r="T1930" s="6"/>
      <c r="U1930" t="str">
        <f t="shared" si="30"/>
        <v/>
      </c>
    </row>
    <row r="1931" spans="3:21" customFormat="1" hidden="1">
      <c r="C1931" s="6"/>
      <c r="D1931" s="6"/>
      <c r="E1931" s="98"/>
      <c r="F1931" s="3"/>
      <c r="G1931" s="6"/>
      <c r="H1931" s="3"/>
      <c r="I1931" s="6"/>
      <c r="J1931" s="6"/>
      <c r="K1931" s="6"/>
      <c r="L1931" s="6"/>
      <c r="M1931" s="6"/>
      <c r="N1931" s="6"/>
      <c r="O1931" s="3"/>
      <c r="P1931" s="6"/>
      <c r="Q1931" s="6"/>
      <c r="R1931" s="6"/>
      <c r="S1931" s="6"/>
      <c r="T1931" s="6"/>
      <c r="U1931" t="str">
        <f t="shared" si="30"/>
        <v/>
      </c>
    </row>
    <row r="1932" spans="3:21" customFormat="1" hidden="1">
      <c r="C1932" s="6"/>
      <c r="D1932" s="6"/>
      <c r="E1932" s="98"/>
      <c r="F1932" s="3"/>
      <c r="G1932" s="6"/>
      <c r="H1932" s="3"/>
      <c r="I1932" s="6"/>
      <c r="J1932" s="6"/>
      <c r="K1932" s="6"/>
      <c r="L1932" s="6"/>
      <c r="M1932" s="6"/>
      <c r="N1932" s="6"/>
      <c r="O1932" s="3"/>
      <c r="P1932" s="6"/>
      <c r="Q1932" s="6"/>
      <c r="R1932" s="6"/>
      <c r="S1932" s="6"/>
      <c r="T1932" s="6"/>
      <c r="U1932" t="str">
        <f t="shared" si="30"/>
        <v/>
      </c>
    </row>
    <row r="1933" spans="3:21" customFormat="1" hidden="1">
      <c r="C1933" s="6"/>
      <c r="D1933" s="6"/>
      <c r="E1933" s="98"/>
      <c r="F1933" s="3"/>
      <c r="G1933" s="6"/>
      <c r="H1933" s="3"/>
      <c r="I1933" s="6"/>
      <c r="J1933" s="6"/>
      <c r="K1933" s="6"/>
      <c r="L1933" s="6"/>
      <c r="M1933" s="6"/>
      <c r="N1933" s="6"/>
      <c r="O1933" s="3"/>
      <c r="P1933" s="6"/>
      <c r="Q1933" s="6"/>
      <c r="R1933" s="6"/>
      <c r="S1933" s="6"/>
      <c r="T1933" s="6"/>
      <c r="U1933" t="str">
        <f t="shared" si="30"/>
        <v/>
      </c>
    </row>
    <row r="1934" spans="3:21" customFormat="1" hidden="1">
      <c r="C1934" s="6"/>
      <c r="D1934" s="6"/>
      <c r="E1934" s="98"/>
      <c r="F1934" s="3"/>
      <c r="G1934" s="6"/>
      <c r="H1934" s="3"/>
      <c r="I1934" s="6"/>
      <c r="J1934" s="6"/>
      <c r="K1934" s="6"/>
      <c r="L1934" s="6"/>
      <c r="M1934" s="6"/>
      <c r="N1934" s="6"/>
      <c r="O1934" s="3"/>
      <c r="P1934" s="6"/>
      <c r="Q1934" s="6"/>
      <c r="R1934" s="6"/>
      <c r="S1934" s="6"/>
      <c r="T1934" s="6"/>
      <c r="U1934" t="str">
        <f t="shared" si="30"/>
        <v/>
      </c>
    </row>
    <row r="1935" spans="3:21" customFormat="1" hidden="1">
      <c r="C1935" s="6"/>
      <c r="D1935" s="6"/>
      <c r="E1935" s="98"/>
      <c r="F1935" s="3"/>
      <c r="G1935" s="6"/>
      <c r="H1935" s="3"/>
      <c r="I1935" s="6"/>
      <c r="J1935" s="6"/>
      <c r="K1935" s="6"/>
      <c r="L1935" s="6"/>
      <c r="M1935" s="6"/>
      <c r="N1935" s="6"/>
      <c r="O1935" s="3"/>
      <c r="P1935" s="6"/>
      <c r="Q1935" s="6"/>
      <c r="R1935" s="6"/>
      <c r="S1935" s="6"/>
      <c r="T1935" s="6"/>
      <c r="U1935" t="str">
        <f t="shared" si="30"/>
        <v/>
      </c>
    </row>
    <row r="1936" spans="3:21" customFormat="1" hidden="1">
      <c r="C1936" s="6"/>
      <c r="D1936" s="6"/>
      <c r="E1936" s="98"/>
      <c r="F1936" s="3"/>
      <c r="G1936" s="6"/>
      <c r="H1936" s="3"/>
      <c r="I1936" s="6"/>
      <c r="J1936" s="6"/>
      <c r="K1936" s="6"/>
      <c r="L1936" s="6"/>
      <c r="M1936" s="6"/>
      <c r="N1936" s="6"/>
      <c r="O1936" s="3"/>
      <c r="P1936" s="6"/>
      <c r="Q1936" s="6"/>
      <c r="R1936" s="6"/>
      <c r="S1936" s="6"/>
      <c r="T1936" s="6"/>
      <c r="U1936" t="str">
        <f t="shared" si="30"/>
        <v/>
      </c>
    </row>
    <row r="1937" spans="3:21" customFormat="1" hidden="1">
      <c r="C1937" s="6"/>
      <c r="D1937" s="6"/>
      <c r="E1937" s="98"/>
      <c r="F1937" s="3"/>
      <c r="G1937" s="6"/>
      <c r="H1937" s="3"/>
      <c r="I1937" s="6"/>
      <c r="J1937" s="6"/>
      <c r="K1937" s="6"/>
      <c r="L1937" s="6"/>
      <c r="M1937" s="6"/>
      <c r="N1937" s="6"/>
      <c r="O1937" s="3"/>
      <c r="P1937" s="6"/>
      <c r="Q1937" s="6"/>
      <c r="R1937" s="6"/>
      <c r="S1937" s="6"/>
      <c r="T1937" s="6"/>
      <c r="U1937" t="str">
        <f t="shared" si="30"/>
        <v/>
      </c>
    </row>
    <row r="1938" spans="3:21" customFormat="1" hidden="1">
      <c r="C1938" s="6"/>
      <c r="D1938" s="6"/>
      <c r="E1938" s="98"/>
      <c r="F1938" s="3"/>
      <c r="G1938" s="6"/>
      <c r="H1938" s="3"/>
      <c r="I1938" s="6"/>
      <c r="J1938" s="6"/>
      <c r="K1938" s="6"/>
      <c r="L1938" s="6"/>
      <c r="M1938" s="6"/>
      <c r="N1938" s="6"/>
      <c r="O1938" s="3"/>
      <c r="P1938" s="6"/>
      <c r="Q1938" s="6"/>
      <c r="R1938" s="6"/>
      <c r="S1938" s="6"/>
      <c r="T1938" s="6"/>
      <c r="U1938" t="str">
        <f t="shared" si="30"/>
        <v/>
      </c>
    </row>
    <row r="1939" spans="3:21" customFormat="1" hidden="1">
      <c r="C1939" s="6"/>
      <c r="D1939" s="6"/>
      <c r="E1939" s="98"/>
      <c r="F1939" s="3"/>
      <c r="G1939" s="6"/>
      <c r="H1939" s="3"/>
      <c r="I1939" s="6"/>
      <c r="J1939" s="6"/>
      <c r="K1939" s="6"/>
      <c r="L1939" s="6"/>
      <c r="M1939" s="6"/>
      <c r="N1939" s="6"/>
      <c r="O1939" s="3"/>
      <c r="P1939" s="6"/>
      <c r="Q1939" s="6"/>
      <c r="R1939" s="6"/>
      <c r="S1939" s="6"/>
      <c r="T1939" s="6"/>
      <c r="U1939" t="str">
        <f t="shared" si="30"/>
        <v/>
      </c>
    </row>
    <row r="1940" spans="3:21" customFormat="1" hidden="1">
      <c r="C1940" s="6"/>
      <c r="D1940" s="6"/>
      <c r="E1940" s="98"/>
      <c r="F1940" s="3"/>
      <c r="G1940" s="6"/>
      <c r="H1940" s="3"/>
      <c r="I1940" s="6"/>
      <c r="J1940" s="6"/>
      <c r="K1940" s="6"/>
      <c r="L1940" s="6"/>
      <c r="M1940" s="6"/>
      <c r="N1940" s="6"/>
      <c r="O1940" s="3"/>
      <c r="P1940" s="6"/>
      <c r="Q1940" s="6"/>
      <c r="R1940" s="6"/>
      <c r="S1940" s="6"/>
      <c r="T1940" s="6"/>
      <c r="U1940" t="str">
        <f t="shared" si="30"/>
        <v/>
      </c>
    </row>
    <row r="1941" spans="3:21" customFormat="1" hidden="1">
      <c r="C1941" s="6"/>
      <c r="D1941" s="6"/>
      <c r="E1941" s="98"/>
      <c r="F1941" s="3"/>
      <c r="G1941" s="6"/>
      <c r="H1941" s="3"/>
      <c r="I1941" s="6"/>
      <c r="J1941" s="6"/>
      <c r="K1941" s="6"/>
      <c r="L1941" s="6"/>
      <c r="M1941" s="6"/>
      <c r="N1941" s="6"/>
      <c r="O1941" s="3"/>
      <c r="P1941" s="6"/>
      <c r="Q1941" s="6"/>
      <c r="R1941" s="6"/>
      <c r="S1941" s="6"/>
      <c r="T1941" s="6"/>
      <c r="U1941" t="str">
        <f t="shared" si="30"/>
        <v/>
      </c>
    </row>
    <row r="1942" spans="3:21" customFormat="1" hidden="1">
      <c r="C1942" s="6"/>
      <c r="D1942" s="6"/>
      <c r="E1942" s="98"/>
      <c r="F1942" s="3"/>
      <c r="G1942" s="6"/>
      <c r="H1942" s="3"/>
      <c r="I1942" s="6"/>
      <c r="J1942" s="6"/>
      <c r="K1942" s="6"/>
      <c r="L1942" s="6"/>
      <c r="M1942" s="6"/>
      <c r="N1942" s="6"/>
      <c r="O1942" s="3"/>
      <c r="P1942" s="6"/>
      <c r="Q1942" s="6"/>
      <c r="R1942" s="6"/>
      <c r="S1942" s="6"/>
      <c r="T1942" s="6"/>
      <c r="U1942" t="str">
        <f t="shared" si="30"/>
        <v/>
      </c>
    </row>
    <row r="1943" spans="3:21" customFormat="1" hidden="1">
      <c r="C1943" s="6"/>
      <c r="D1943" s="6"/>
      <c r="E1943" s="98"/>
      <c r="F1943" s="3"/>
      <c r="G1943" s="6"/>
      <c r="H1943" s="3"/>
      <c r="I1943" s="6"/>
      <c r="J1943" s="6"/>
      <c r="K1943" s="6"/>
      <c r="L1943" s="6"/>
      <c r="M1943" s="6"/>
      <c r="N1943" s="6"/>
      <c r="O1943" s="3"/>
      <c r="P1943" s="6"/>
      <c r="Q1943" s="6"/>
      <c r="R1943" s="6"/>
      <c r="S1943" s="6"/>
      <c r="T1943" s="6"/>
      <c r="U1943" t="str">
        <f t="shared" si="30"/>
        <v/>
      </c>
    </row>
    <row r="1944" spans="3:21" customFormat="1" hidden="1">
      <c r="C1944" s="6"/>
      <c r="D1944" s="6"/>
      <c r="E1944" s="98"/>
      <c r="F1944" s="3"/>
      <c r="G1944" s="6"/>
      <c r="H1944" s="3"/>
      <c r="I1944" s="6"/>
      <c r="J1944" s="6"/>
      <c r="K1944" s="6"/>
      <c r="L1944" s="6"/>
      <c r="M1944" s="6"/>
      <c r="N1944" s="6"/>
      <c r="O1944" s="3"/>
      <c r="P1944" s="6"/>
      <c r="Q1944" s="6"/>
      <c r="R1944" s="6"/>
      <c r="S1944" s="6"/>
      <c r="T1944" s="6"/>
      <c r="U1944" t="str">
        <f t="shared" si="30"/>
        <v/>
      </c>
    </row>
    <row r="1945" spans="3:21" customFormat="1" hidden="1">
      <c r="C1945" s="6"/>
      <c r="D1945" s="6"/>
      <c r="E1945" s="98"/>
      <c r="F1945" s="3"/>
      <c r="G1945" s="6"/>
      <c r="H1945" s="3"/>
      <c r="I1945" s="6"/>
      <c r="J1945" s="6"/>
      <c r="K1945" s="6"/>
      <c r="L1945" s="6"/>
      <c r="M1945" s="6"/>
      <c r="N1945" s="6"/>
      <c r="O1945" s="3"/>
      <c r="P1945" s="6"/>
      <c r="Q1945" s="6"/>
      <c r="R1945" s="6"/>
      <c r="S1945" s="6"/>
      <c r="T1945" s="6"/>
      <c r="U1945" t="str">
        <f t="shared" si="30"/>
        <v/>
      </c>
    </row>
    <row r="1946" spans="3:21" customFormat="1" hidden="1">
      <c r="C1946" s="6"/>
      <c r="D1946" s="6"/>
      <c r="E1946" s="98"/>
      <c r="F1946" s="3"/>
      <c r="G1946" s="6"/>
      <c r="H1946" s="3"/>
      <c r="I1946" s="6"/>
      <c r="J1946" s="6"/>
      <c r="K1946" s="6"/>
      <c r="L1946" s="6"/>
      <c r="M1946" s="6"/>
      <c r="N1946" s="6"/>
      <c r="O1946" s="3"/>
      <c r="P1946" s="6"/>
      <c r="Q1946" s="6"/>
      <c r="R1946" s="6"/>
      <c r="S1946" s="6"/>
      <c r="T1946" s="6"/>
      <c r="U1946" t="str">
        <f t="shared" si="30"/>
        <v/>
      </c>
    </row>
    <row r="1947" spans="3:21" customFormat="1" hidden="1">
      <c r="C1947" s="6"/>
      <c r="D1947" s="6"/>
      <c r="E1947" s="98"/>
      <c r="F1947" s="3"/>
      <c r="G1947" s="6"/>
      <c r="H1947" s="3"/>
      <c r="I1947" s="6"/>
      <c r="J1947" s="6"/>
      <c r="K1947" s="6"/>
      <c r="L1947" s="6"/>
      <c r="M1947" s="6"/>
      <c r="N1947" s="6"/>
      <c r="O1947" s="3"/>
      <c r="P1947" s="6"/>
      <c r="Q1947" s="6"/>
      <c r="R1947" s="6"/>
      <c r="S1947" s="6"/>
      <c r="T1947" s="6"/>
      <c r="U1947" t="str">
        <f t="shared" si="30"/>
        <v/>
      </c>
    </row>
    <row r="1948" spans="3:21" customFormat="1" hidden="1">
      <c r="C1948" s="6"/>
      <c r="D1948" s="6"/>
      <c r="E1948" s="98"/>
      <c r="F1948" s="3"/>
      <c r="G1948" s="6"/>
      <c r="H1948" s="3"/>
      <c r="I1948" s="6"/>
      <c r="J1948" s="6"/>
      <c r="K1948" s="6"/>
      <c r="L1948" s="6"/>
      <c r="M1948" s="6"/>
      <c r="N1948" s="6"/>
      <c r="O1948" s="3"/>
      <c r="P1948" s="6"/>
      <c r="Q1948" s="6"/>
      <c r="R1948" s="6"/>
      <c r="S1948" s="6"/>
      <c r="T1948" s="6"/>
      <c r="U1948" t="str">
        <f t="shared" si="30"/>
        <v/>
      </c>
    </row>
    <row r="1949" spans="3:21" customFormat="1" hidden="1">
      <c r="C1949" s="6"/>
      <c r="D1949" s="6"/>
      <c r="E1949" s="98"/>
      <c r="F1949" s="3"/>
      <c r="G1949" s="6"/>
      <c r="H1949" s="3"/>
      <c r="I1949" s="6"/>
      <c r="J1949" s="6"/>
      <c r="K1949" s="6"/>
      <c r="L1949" s="6"/>
      <c r="M1949" s="6"/>
      <c r="N1949" s="6"/>
      <c r="O1949" s="3"/>
      <c r="P1949" s="6"/>
      <c r="Q1949" s="6"/>
      <c r="R1949" s="6"/>
      <c r="S1949" s="6"/>
      <c r="T1949" s="6"/>
      <c r="U1949" t="str">
        <f t="shared" si="30"/>
        <v/>
      </c>
    </row>
    <row r="1950" spans="3:21" customFormat="1" hidden="1">
      <c r="C1950" s="6"/>
      <c r="D1950" s="6"/>
      <c r="E1950" s="98"/>
      <c r="F1950" s="3"/>
      <c r="G1950" s="6"/>
      <c r="H1950" s="3"/>
      <c r="I1950" s="6"/>
      <c r="J1950" s="6"/>
      <c r="K1950" s="6"/>
      <c r="L1950" s="6"/>
      <c r="M1950" s="6"/>
      <c r="N1950" s="6"/>
      <c r="O1950" s="3"/>
      <c r="P1950" s="6"/>
      <c r="Q1950" s="6"/>
      <c r="R1950" s="6"/>
      <c r="S1950" s="6"/>
      <c r="T1950" s="6"/>
      <c r="U1950" t="str">
        <f t="shared" si="30"/>
        <v/>
      </c>
    </row>
    <row r="1951" spans="3:21" customFormat="1" hidden="1">
      <c r="C1951" s="6"/>
      <c r="D1951" s="6"/>
      <c r="E1951" s="98"/>
      <c r="F1951" s="3"/>
      <c r="G1951" s="6"/>
      <c r="H1951" s="3"/>
      <c r="I1951" s="6"/>
      <c r="J1951" s="6"/>
      <c r="K1951" s="6"/>
      <c r="L1951" s="6"/>
      <c r="M1951" s="6"/>
      <c r="N1951" s="6"/>
      <c r="O1951" s="3"/>
      <c r="P1951" s="6"/>
      <c r="Q1951" s="6"/>
      <c r="R1951" s="6"/>
      <c r="S1951" s="6"/>
      <c r="T1951" s="6"/>
      <c r="U1951" t="str">
        <f t="shared" si="30"/>
        <v/>
      </c>
    </row>
    <row r="1952" spans="3:21" customFormat="1" hidden="1">
      <c r="C1952" s="6"/>
      <c r="D1952" s="6"/>
      <c r="E1952" s="98"/>
      <c r="F1952" s="3"/>
      <c r="G1952" s="6"/>
      <c r="H1952" s="3"/>
      <c r="I1952" s="6"/>
      <c r="J1952" s="6"/>
      <c r="K1952" s="6"/>
      <c r="L1952" s="6"/>
      <c r="M1952" s="6"/>
      <c r="N1952" s="6"/>
      <c r="O1952" s="3"/>
      <c r="P1952" s="6"/>
      <c r="Q1952" s="6"/>
      <c r="R1952" s="6"/>
      <c r="S1952" s="6"/>
      <c r="T1952" s="6"/>
      <c r="U1952" t="str">
        <f t="shared" si="30"/>
        <v/>
      </c>
    </row>
    <row r="1953" spans="3:21" customFormat="1" hidden="1">
      <c r="C1953" s="6"/>
      <c r="D1953" s="6"/>
      <c r="E1953" s="98"/>
      <c r="F1953" s="3"/>
      <c r="G1953" s="6"/>
      <c r="H1953" s="3"/>
      <c r="I1953" s="6"/>
      <c r="J1953" s="6"/>
      <c r="K1953" s="6"/>
      <c r="L1953" s="6"/>
      <c r="M1953" s="6"/>
      <c r="N1953" s="6"/>
      <c r="O1953" s="3"/>
      <c r="P1953" s="6"/>
      <c r="Q1953" s="6"/>
      <c r="R1953" s="6"/>
      <c r="S1953" s="6"/>
      <c r="T1953" s="6"/>
      <c r="U1953" t="str">
        <f t="shared" si="30"/>
        <v/>
      </c>
    </row>
    <row r="1954" spans="3:21" customFormat="1" hidden="1">
      <c r="C1954" s="6"/>
      <c r="D1954" s="6"/>
      <c r="E1954" s="98"/>
      <c r="F1954" s="3"/>
      <c r="G1954" s="6"/>
      <c r="H1954" s="3"/>
      <c r="I1954" s="6"/>
      <c r="J1954" s="6"/>
      <c r="K1954" s="6"/>
      <c r="L1954" s="6"/>
      <c r="M1954" s="6"/>
      <c r="N1954" s="6"/>
      <c r="O1954" s="3"/>
      <c r="P1954" s="6"/>
      <c r="Q1954" s="6"/>
      <c r="R1954" s="6"/>
      <c r="S1954" s="6"/>
      <c r="T1954" s="6"/>
      <c r="U1954" t="str">
        <f t="shared" si="30"/>
        <v/>
      </c>
    </row>
    <row r="1955" spans="3:21" customFormat="1" hidden="1">
      <c r="C1955" s="6"/>
      <c r="D1955" s="6"/>
      <c r="E1955" s="98"/>
      <c r="F1955" s="3"/>
      <c r="G1955" s="6"/>
      <c r="H1955" s="3"/>
      <c r="I1955" s="6"/>
      <c r="J1955" s="6"/>
      <c r="K1955" s="6"/>
      <c r="L1955" s="6"/>
      <c r="M1955" s="6"/>
      <c r="N1955" s="6"/>
      <c r="O1955" s="3"/>
      <c r="P1955" s="6"/>
      <c r="Q1955" s="6"/>
      <c r="R1955" s="6"/>
      <c r="S1955" s="6"/>
      <c r="T1955" s="6"/>
      <c r="U1955" t="str">
        <f t="shared" si="30"/>
        <v/>
      </c>
    </row>
    <row r="1956" spans="3:21" customFormat="1" hidden="1">
      <c r="C1956" s="6"/>
      <c r="D1956" s="6"/>
      <c r="E1956" s="98"/>
      <c r="F1956" s="3"/>
      <c r="G1956" s="6"/>
      <c r="H1956" s="3"/>
      <c r="I1956" s="6"/>
      <c r="J1956" s="6"/>
      <c r="K1956" s="6"/>
      <c r="L1956" s="6"/>
      <c r="M1956" s="6"/>
      <c r="N1956" s="6"/>
      <c r="O1956" s="3"/>
      <c r="P1956" s="6"/>
      <c r="Q1956" s="6"/>
      <c r="R1956" s="6"/>
      <c r="S1956" s="6"/>
      <c r="T1956" s="6"/>
      <c r="U1956" t="str">
        <f t="shared" si="30"/>
        <v/>
      </c>
    </row>
    <row r="1957" spans="3:21" customFormat="1" hidden="1">
      <c r="C1957" s="6"/>
      <c r="D1957" s="6"/>
      <c r="E1957" s="98"/>
      <c r="F1957" s="3"/>
      <c r="G1957" s="6"/>
      <c r="H1957" s="3"/>
      <c r="I1957" s="6"/>
      <c r="J1957" s="6"/>
      <c r="K1957" s="6"/>
      <c r="L1957" s="6"/>
      <c r="M1957" s="6"/>
      <c r="N1957" s="6"/>
      <c r="O1957" s="3"/>
      <c r="P1957" s="6"/>
      <c r="Q1957" s="6"/>
      <c r="R1957" s="6"/>
      <c r="S1957" s="6"/>
      <c r="T1957" s="6"/>
      <c r="U1957" t="str">
        <f t="shared" si="30"/>
        <v/>
      </c>
    </row>
    <row r="1958" spans="3:21" customFormat="1" hidden="1">
      <c r="C1958" s="6"/>
      <c r="D1958" s="6"/>
      <c r="E1958" s="98"/>
      <c r="F1958" s="3"/>
      <c r="G1958" s="6"/>
      <c r="H1958" s="3"/>
      <c r="I1958" s="6"/>
      <c r="J1958" s="6"/>
      <c r="K1958" s="6"/>
      <c r="L1958" s="6"/>
      <c r="M1958" s="6"/>
      <c r="N1958" s="6"/>
      <c r="O1958" s="3"/>
      <c r="P1958" s="6"/>
      <c r="Q1958" s="6"/>
      <c r="R1958" s="6"/>
      <c r="S1958" s="6"/>
      <c r="T1958" s="6"/>
      <c r="U1958" t="str">
        <f t="shared" si="30"/>
        <v/>
      </c>
    </row>
    <row r="1959" spans="3:21" customFormat="1" hidden="1">
      <c r="C1959" s="6"/>
      <c r="D1959" s="6"/>
      <c r="E1959" s="98"/>
      <c r="F1959" s="3"/>
      <c r="G1959" s="6"/>
      <c r="H1959" s="3"/>
      <c r="I1959" s="6"/>
      <c r="J1959" s="6"/>
      <c r="K1959" s="6"/>
      <c r="L1959" s="6"/>
      <c r="M1959" s="6"/>
      <c r="N1959" s="6"/>
      <c r="O1959" s="3"/>
      <c r="P1959" s="6"/>
      <c r="Q1959" s="6"/>
      <c r="R1959" s="6"/>
      <c r="S1959" s="6"/>
      <c r="T1959" s="6"/>
      <c r="U1959" t="str">
        <f t="shared" si="30"/>
        <v/>
      </c>
    </row>
    <row r="1960" spans="3:21" customFormat="1" hidden="1">
      <c r="C1960" s="6"/>
      <c r="D1960" s="6"/>
      <c r="E1960" s="98"/>
      <c r="F1960" s="3"/>
      <c r="G1960" s="6"/>
      <c r="H1960" s="3"/>
      <c r="I1960" s="6"/>
      <c r="J1960" s="6"/>
      <c r="K1960" s="6"/>
      <c r="L1960" s="6"/>
      <c r="M1960" s="6"/>
      <c r="N1960" s="6"/>
      <c r="O1960" s="3"/>
      <c r="P1960" s="6"/>
      <c r="Q1960" s="6"/>
      <c r="R1960" s="6"/>
      <c r="S1960" s="6"/>
      <c r="T1960" s="6"/>
      <c r="U1960" t="str">
        <f t="shared" si="30"/>
        <v/>
      </c>
    </row>
    <row r="1961" spans="3:21" customFormat="1" hidden="1">
      <c r="C1961" s="6"/>
      <c r="D1961" s="6"/>
      <c r="E1961" s="98"/>
      <c r="F1961" s="3"/>
      <c r="G1961" s="6"/>
      <c r="H1961" s="3"/>
      <c r="I1961" s="6"/>
      <c r="J1961" s="6"/>
      <c r="K1961" s="6"/>
      <c r="L1961" s="6"/>
      <c r="M1961" s="6"/>
      <c r="N1961" s="6"/>
      <c r="O1961" s="3"/>
      <c r="P1961" s="6"/>
      <c r="Q1961" s="6"/>
      <c r="R1961" s="6"/>
      <c r="S1961" s="6"/>
      <c r="T1961" s="6"/>
      <c r="U1961" t="str">
        <f t="shared" si="30"/>
        <v/>
      </c>
    </row>
    <row r="1962" spans="3:21" customFormat="1" hidden="1">
      <c r="C1962" s="6"/>
      <c r="D1962" s="6"/>
      <c r="E1962" s="98"/>
      <c r="F1962" s="3"/>
      <c r="G1962" s="6"/>
      <c r="H1962" s="3"/>
      <c r="I1962" s="6"/>
      <c r="J1962" s="6"/>
      <c r="K1962" s="6"/>
      <c r="L1962" s="6"/>
      <c r="M1962" s="6"/>
      <c r="N1962" s="6"/>
      <c r="O1962" s="3"/>
      <c r="P1962" s="6"/>
      <c r="Q1962" s="6"/>
      <c r="R1962" s="6"/>
      <c r="S1962" s="6"/>
      <c r="T1962" s="6"/>
      <c r="U1962" t="str">
        <f t="shared" si="30"/>
        <v/>
      </c>
    </row>
    <row r="1963" spans="3:21" customFormat="1" hidden="1">
      <c r="C1963" s="6"/>
      <c r="D1963" s="6"/>
      <c r="E1963" s="98"/>
      <c r="F1963" s="3"/>
      <c r="G1963" s="6"/>
      <c r="H1963" s="3"/>
      <c r="I1963" s="6"/>
      <c r="J1963" s="6"/>
      <c r="K1963" s="6"/>
      <c r="L1963" s="6"/>
      <c r="M1963" s="6"/>
      <c r="N1963" s="6"/>
      <c r="O1963" s="3"/>
      <c r="P1963" s="6"/>
      <c r="Q1963" s="6"/>
      <c r="R1963" s="6"/>
      <c r="S1963" s="6"/>
      <c r="T1963" s="6"/>
      <c r="U1963" t="str">
        <f t="shared" si="30"/>
        <v/>
      </c>
    </row>
    <row r="1964" spans="3:21" customFormat="1" hidden="1">
      <c r="C1964" s="6"/>
      <c r="D1964" s="6"/>
      <c r="E1964" s="98"/>
      <c r="F1964" s="3"/>
      <c r="G1964" s="6"/>
      <c r="H1964" s="3"/>
      <c r="I1964" s="6"/>
      <c r="J1964" s="6"/>
      <c r="K1964" s="6"/>
      <c r="L1964" s="6"/>
      <c r="M1964" s="6"/>
      <c r="N1964" s="6"/>
      <c r="O1964" s="3"/>
      <c r="P1964" s="6"/>
      <c r="Q1964" s="6"/>
      <c r="R1964" s="6"/>
      <c r="S1964" s="6"/>
      <c r="T1964" s="6"/>
      <c r="U1964" t="str">
        <f t="shared" si="30"/>
        <v/>
      </c>
    </row>
    <row r="1965" spans="3:21" customFormat="1" hidden="1">
      <c r="C1965" s="6"/>
      <c r="D1965" s="6"/>
      <c r="E1965" s="98"/>
      <c r="F1965" s="3"/>
      <c r="G1965" s="6"/>
      <c r="H1965" s="3"/>
      <c r="I1965" s="6"/>
      <c r="J1965" s="6"/>
      <c r="K1965" s="6"/>
      <c r="L1965" s="6"/>
      <c r="M1965" s="6"/>
      <c r="N1965" s="6"/>
      <c r="O1965" s="3"/>
      <c r="P1965" s="6"/>
      <c r="Q1965" s="6"/>
      <c r="R1965" s="6"/>
      <c r="S1965" s="6"/>
      <c r="T1965" s="6"/>
      <c r="U1965" t="str">
        <f t="shared" si="30"/>
        <v/>
      </c>
    </row>
    <row r="1966" spans="3:21" customFormat="1" hidden="1">
      <c r="C1966" s="6"/>
      <c r="D1966" s="6"/>
      <c r="E1966" s="98"/>
      <c r="F1966" s="3"/>
      <c r="G1966" s="6"/>
      <c r="H1966" s="3"/>
      <c r="I1966" s="6"/>
      <c r="J1966" s="6"/>
      <c r="K1966" s="6"/>
      <c r="L1966" s="6"/>
      <c r="M1966" s="6"/>
      <c r="N1966" s="6"/>
      <c r="O1966" s="3"/>
      <c r="P1966" s="6"/>
      <c r="Q1966" s="6"/>
      <c r="R1966" s="6"/>
      <c r="S1966" s="6"/>
      <c r="T1966" s="6"/>
      <c r="U1966" t="str">
        <f t="shared" si="30"/>
        <v/>
      </c>
    </row>
    <row r="1967" spans="3:21" customFormat="1" hidden="1">
      <c r="C1967" s="6"/>
      <c r="D1967" s="6"/>
      <c r="E1967" s="98"/>
      <c r="F1967" s="3"/>
      <c r="G1967" s="6"/>
      <c r="H1967" s="3"/>
      <c r="I1967" s="6"/>
      <c r="J1967" s="6"/>
      <c r="K1967" s="6"/>
      <c r="L1967" s="6"/>
      <c r="M1967" s="6"/>
      <c r="N1967" s="6"/>
      <c r="O1967" s="3"/>
      <c r="P1967" s="6"/>
      <c r="Q1967" s="6"/>
      <c r="R1967" s="6"/>
      <c r="S1967" s="6"/>
      <c r="T1967" s="6"/>
      <c r="U1967" t="str">
        <f t="shared" si="30"/>
        <v/>
      </c>
    </row>
    <row r="1968" spans="3:21" customFormat="1" hidden="1">
      <c r="C1968" s="6"/>
      <c r="D1968" s="6"/>
      <c r="E1968" s="98"/>
      <c r="F1968" s="3"/>
      <c r="G1968" s="6"/>
      <c r="H1968" s="3"/>
      <c r="I1968" s="6"/>
      <c r="J1968" s="6"/>
      <c r="K1968" s="6"/>
      <c r="L1968" s="6"/>
      <c r="M1968" s="6"/>
      <c r="N1968" s="6"/>
      <c r="O1968" s="3"/>
      <c r="P1968" s="6"/>
      <c r="Q1968" s="6"/>
      <c r="R1968" s="6"/>
      <c r="S1968" s="6"/>
      <c r="T1968" s="6"/>
      <c r="U1968" t="str">
        <f t="shared" si="30"/>
        <v/>
      </c>
    </row>
    <row r="1969" spans="2:21" customFormat="1" hidden="1">
      <c r="C1969" s="6"/>
      <c r="D1969" s="6"/>
      <c r="E1969" s="98"/>
      <c r="F1969" s="3"/>
      <c r="G1969" s="6"/>
      <c r="H1969" s="3"/>
      <c r="I1969" s="6"/>
      <c r="J1969" s="6"/>
      <c r="K1969" s="6"/>
      <c r="L1969" s="6"/>
      <c r="M1969" s="6"/>
      <c r="N1969" s="6"/>
      <c r="O1969" s="3"/>
      <c r="P1969" s="6"/>
      <c r="Q1969" s="6"/>
      <c r="R1969" s="6"/>
      <c r="S1969" s="6"/>
      <c r="T1969" s="6"/>
      <c r="U1969" t="str">
        <f t="shared" si="30"/>
        <v/>
      </c>
    </row>
    <row r="1970" spans="2:21" customFormat="1" hidden="1">
      <c r="C1970" s="6"/>
      <c r="D1970" s="6"/>
      <c r="E1970" s="98"/>
      <c r="F1970" s="3"/>
      <c r="G1970" s="6"/>
      <c r="H1970" s="3"/>
      <c r="I1970" s="6"/>
      <c r="J1970" s="6"/>
      <c r="K1970" s="6"/>
      <c r="L1970" s="6"/>
      <c r="M1970" s="6"/>
      <c r="N1970" s="6"/>
      <c r="O1970" s="3"/>
      <c r="P1970" s="6"/>
      <c r="Q1970" s="6"/>
      <c r="R1970" s="6"/>
      <c r="S1970" s="6"/>
      <c r="T1970" s="6"/>
      <c r="U1970" t="str">
        <f t="shared" si="30"/>
        <v/>
      </c>
    </row>
    <row r="1971" spans="2:21" customFormat="1" hidden="1">
      <c r="C1971" s="6"/>
      <c r="D1971" s="6"/>
      <c r="E1971" s="98"/>
      <c r="F1971" s="3"/>
      <c r="G1971" s="6"/>
      <c r="H1971" s="3"/>
      <c r="I1971" s="6"/>
      <c r="J1971" s="6"/>
      <c r="K1971" s="6"/>
      <c r="L1971" s="6"/>
      <c r="M1971" s="6"/>
      <c r="N1971" s="6"/>
      <c r="O1971" s="3"/>
      <c r="P1971" s="6"/>
      <c r="Q1971" s="6"/>
      <c r="R1971" s="6"/>
      <c r="S1971" s="6"/>
      <c r="T1971" s="6"/>
      <c r="U1971" t="str">
        <f t="shared" si="30"/>
        <v/>
      </c>
    </row>
    <row r="1972" spans="2:21" customFormat="1" hidden="1">
      <c r="C1972" s="6"/>
      <c r="D1972" s="6"/>
      <c r="E1972" s="98"/>
      <c r="F1972" s="3"/>
      <c r="G1972" s="6"/>
      <c r="H1972" s="3"/>
      <c r="I1972" s="6"/>
      <c r="J1972" s="6"/>
      <c r="K1972" s="6"/>
      <c r="L1972" s="6"/>
      <c r="M1972" s="6"/>
      <c r="N1972" s="6"/>
      <c r="O1972" s="3"/>
      <c r="P1972" s="6"/>
      <c r="Q1972" s="6"/>
      <c r="R1972" s="6"/>
      <c r="S1972" s="6"/>
      <c r="T1972" s="6"/>
      <c r="U1972" t="str">
        <f t="shared" si="30"/>
        <v/>
      </c>
    </row>
    <row r="1973" spans="2:21" customFormat="1" hidden="1">
      <c r="C1973" s="6"/>
      <c r="D1973" s="6"/>
      <c r="E1973" s="98"/>
      <c r="F1973" s="3"/>
      <c r="G1973" s="6"/>
      <c r="H1973" s="3"/>
      <c r="I1973" s="6"/>
      <c r="J1973" s="6"/>
      <c r="K1973" s="6"/>
      <c r="L1973" s="6"/>
      <c r="M1973" s="6"/>
      <c r="N1973" s="6"/>
      <c r="O1973" s="3"/>
      <c r="P1973" s="6"/>
      <c r="Q1973" s="6"/>
      <c r="R1973" s="6"/>
      <c r="S1973" s="6"/>
      <c r="T1973" s="6"/>
      <c r="U1973" t="str">
        <f t="shared" si="30"/>
        <v/>
      </c>
    </row>
    <row r="1974" spans="2:21" customFormat="1" hidden="1">
      <c r="C1974" s="6"/>
      <c r="D1974" s="6"/>
      <c r="E1974" s="98"/>
      <c r="F1974" s="3"/>
      <c r="G1974" s="6"/>
      <c r="H1974" s="3"/>
      <c r="I1974" s="6"/>
      <c r="J1974" s="6"/>
      <c r="K1974" s="6"/>
      <c r="L1974" s="6"/>
      <c r="M1974" s="6"/>
      <c r="N1974" s="6"/>
      <c r="O1974" s="3"/>
      <c r="P1974" s="6"/>
      <c r="Q1974" s="6"/>
      <c r="R1974" s="6"/>
      <c r="S1974" s="6"/>
      <c r="T1974" s="6"/>
      <c r="U1974" t="str">
        <f t="shared" si="30"/>
        <v/>
      </c>
    </row>
    <row r="1975" spans="2:21" customFormat="1" hidden="1">
      <c r="C1975" s="6"/>
      <c r="D1975" s="6"/>
      <c r="E1975" s="98"/>
      <c r="F1975" s="3"/>
      <c r="G1975" s="6"/>
      <c r="H1975" s="3"/>
      <c r="I1975" s="6"/>
      <c r="J1975" s="6"/>
      <c r="K1975" s="6"/>
      <c r="L1975" s="6"/>
      <c r="M1975" s="6"/>
      <c r="N1975" s="6"/>
      <c r="O1975" s="3"/>
      <c r="P1975" s="6"/>
      <c r="Q1975" s="6"/>
      <c r="R1975" s="6"/>
      <c r="S1975" s="6"/>
      <c r="T1975" s="6"/>
      <c r="U1975" t="str">
        <f t="shared" si="30"/>
        <v/>
      </c>
    </row>
    <row r="1976" spans="2:21" customFormat="1" hidden="1">
      <c r="C1976" s="6"/>
      <c r="D1976" s="6"/>
      <c r="E1976" s="98"/>
      <c r="F1976" s="3"/>
      <c r="G1976" s="6"/>
      <c r="H1976" s="3"/>
      <c r="I1976" s="6"/>
      <c r="J1976" s="6"/>
      <c r="K1976" s="6"/>
      <c r="L1976" s="6"/>
      <c r="M1976" s="6"/>
      <c r="N1976" s="6"/>
      <c r="O1976" s="3"/>
      <c r="P1976" s="6"/>
      <c r="Q1976" s="6"/>
      <c r="R1976" s="6"/>
      <c r="S1976" s="6"/>
      <c r="T1976" s="6"/>
      <c r="U1976" t="str">
        <f t="shared" si="30"/>
        <v/>
      </c>
    </row>
    <row r="1977" spans="2:21" customFormat="1" hidden="1">
      <c r="C1977" s="6"/>
      <c r="D1977" s="6"/>
      <c r="E1977" s="98"/>
      <c r="F1977" s="3"/>
      <c r="G1977" s="6"/>
      <c r="H1977" s="3"/>
      <c r="I1977" s="6"/>
      <c r="J1977" s="6"/>
      <c r="K1977" s="6"/>
      <c r="L1977" s="6"/>
      <c r="M1977" s="6"/>
      <c r="N1977" s="6"/>
      <c r="O1977" s="3"/>
      <c r="P1977" s="6"/>
      <c r="Q1977" s="6"/>
      <c r="R1977" s="6"/>
      <c r="S1977" s="6"/>
      <c r="T1977" s="6"/>
      <c r="U1977" t="str">
        <f t="shared" si="30"/>
        <v/>
      </c>
    </row>
    <row r="1978" spans="2:21" customFormat="1" hidden="1">
      <c r="C1978" s="6"/>
      <c r="D1978" s="6"/>
      <c r="E1978" s="98"/>
      <c r="F1978" s="3"/>
      <c r="G1978" s="6"/>
      <c r="H1978" s="3"/>
      <c r="I1978" s="6"/>
      <c r="J1978" s="6"/>
      <c r="K1978" s="6"/>
      <c r="L1978" s="6"/>
      <c r="M1978" s="6"/>
      <c r="N1978" s="6"/>
      <c r="O1978" s="3"/>
      <c r="P1978" s="6"/>
      <c r="Q1978" s="6"/>
      <c r="R1978" s="6"/>
      <c r="S1978" s="6"/>
      <c r="T1978" s="6"/>
      <c r="U1978" t="str">
        <f t="shared" si="30"/>
        <v/>
      </c>
    </row>
    <row r="1979" spans="2:21" customFormat="1" hidden="1">
      <c r="C1979" s="6"/>
      <c r="D1979" s="6"/>
      <c r="E1979" s="98"/>
      <c r="F1979" s="3"/>
      <c r="G1979" s="6"/>
      <c r="H1979" s="3"/>
      <c r="I1979" s="6"/>
      <c r="J1979" s="6"/>
      <c r="K1979" s="6"/>
      <c r="L1979" s="6"/>
      <c r="M1979" s="6"/>
      <c r="N1979" s="6"/>
      <c r="O1979" s="3"/>
      <c r="P1979" s="6"/>
      <c r="Q1979" s="6"/>
      <c r="R1979" s="6"/>
      <c r="S1979" s="6"/>
      <c r="T1979" s="6"/>
      <c r="U1979" t="str">
        <f t="shared" si="30"/>
        <v/>
      </c>
    </row>
    <row r="1980" spans="2:21" customFormat="1" hidden="1">
      <c r="C1980" s="6"/>
      <c r="D1980" s="6"/>
      <c r="E1980" s="98"/>
      <c r="F1980" s="3"/>
      <c r="G1980" s="6"/>
      <c r="H1980" s="3"/>
      <c r="I1980" s="6"/>
      <c r="J1980" s="6"/>
      <c r="K1980" s="6"/>
      <c r="L1980" s="6"/>
      <c r="M1980" s="6"/>
      <c r="N1980" s="6"/>
      <c r="O1980" s="3"/>
      <c r="P1980" s="6"/>
      <c r="Q1980" s="6"/>
      <c r="R1980" s="6"/>
      <c r="S1980" s="6"/>
      <c r="T1980" s="6"/>
      <c r="U1980" t="str">
        <f t="shared" si="30"/>
        <v/>
      </c>
    </row>
    <row r="1981" spans="2:21" customFormat="1" hidden="1">
      <c r="C1981" s="6"/>
      <c r="D1981" s="6"/>
      <c r="E1981" s="98"/>
      <c r="F1981" s="3"/>
      <c r="G1981" s="6"/>
      <c r="H1981" s="3"/>
      <c r="I1981" s="6"/>
      <c r="J1981" s="6"/>
      <c r="K1981" s="6"/>
      <c r="L1981" s="6"/>
      <c r="M1981" s="6"/>
      <c r="N1981" s="6"/>
      <c r="O1981" s="3"/>
      <c r="P1981" s="6"/>
      <c r="Q1981" s="6"/>
      <c r="R1981" s="6"/>
      <c r="S1981" s="6"/>
      <c r="T1981" s="6"/>
      <c r="U1981" t="str">
        <f t="shared" si="30"/>
        <v/>
      </c>
    </row>
    <row r="1982" spans="2:21" customFormat="1" hidden="1">
      <c r="C1982" s="6"/>
      <c r="D1982" s="6"/>
      <c r="E1982" s="98"/>
      <c r="F1982" s="3"/>
      <c r="G1982" s="6"/>
      <c r="H1982" s="3"/>
      <c r="I1982" s="6"/>
      <c r="J1982" s="6"/>
      <c r="K1982" s="6"/>
      <c r="L1982" s="6"/>
      <c r="M1982" s="6"/>
      <c r="N1982" s="6"/>
      <c r="O1982" s="3"/>
      <c r="P1982" s="6"/>
      <c r="Q1982" s="6"/>
      <c r="R1982" s="6"/>
      <c r="S1982" s="6"/>
      <c r="T1982" s="6"/>
      <c r="U1982" t="str">
        <f t="shared" si="30"/>
        <v/>
      </c>
    </row>
    <row r="1983" spans="2:21" customFormat="1" hidden="1">
      <c r="C1983" s="6"/>
      <c r="D1983" s="6"/>
      <c r="E1983" s="98"/>
      <c r="F1983" s="3"/>
      <c r="G1983" s="6"/>
      <c r="H1983" s="3"/>
      <c r="I1983" s="6"/>
      <c r="J1983" s="6"/>
      <c r="K1983" s="6"/>
      <c r="L1983" s="6"/>
      <c r="M1983" s="6"/>
      <c r="N1983" s="6"/>
      <c r="O1983" s="3"/>
      <c r="P1983" s="6"/>
      <c r="Q1983" s="6"/>
      <c r="R1983" s="6"/>
      <c r="S1983" s="6"/>
      <c r="T1983" s="6"/>
      <c r="U1983" t="str">
        <f t="shared" si="30"/>
        <v/>
      </c>
    </row>
    <row r="1984" spans="2:21" customFormat="1" ht="37.5" hidden="1" customHeight="1">
      <c r="B1984" s="250"/>
      <c r="C1984" s="6"/>
      <c r="D1984" s="6"/>
      <c r="E1984" s="98"/>
      <c r="F1984" s="3"/>
      <c r="G1984" s="6"/>
      <c r="H1984" s="232"/>
      <c r="I1984" s="6"/>
      <c r="J1984" s="6"/>
      <c r="K1984" s="236"/>
      <c r="L1984" s="6"/>
      <c r="M1984" s="6"/>
      <c r="N1984" s="6"/>
      <c r="O1984" s="3"/>
      <c r="P1984" s="6"/>
      <c r="Q1984" s="6"/>
      <c r="R1984" s="6"/>
      <c r="S1984" s="6"/>
      <c r="T1984" s="6"/>
      <c r="U1984" t="str">
        <f t="shared" si="30"/>
        <v/>
      </c>
    </row>
    <row r="1985" spans="2:21" customFormat="1" ht="34.5" hidden="1" customHeight="1">
      <c r="B1985" s="250"/>
      <c r="C1985" s="6"/>
      <c r="D1985" s="6"/>
      <c r="E1985" s="98"/>
      <c r="F1985" s="3"/>
      <c r="G1985" s="6"/>
      <c r="H1985" s="232"/>
      <c r="I1985" s="6"/>
      <c r="J1985" s="6"/>
      <c r="K1985" s="236"/>
      <c r="L1985" s="6"/>
      <c r="M1985" s="6"/>
      <c r="N1985" s="6"/>
      <c r="O1985" s="3"/>
      <c r="P1985" s="6"/>
      <c r="Q1985" s="6"/>
      <c r="R1985" s="6"/>
      <c r="S1985" s="6"/>
      <c r="T1985" s="6"/>
      <c r="U1985" t="str">
        <f t="shared" si="30"/>
        <v/>
      </c>
    </row>
    <row r="1986" spans="2:21" customFormat="1" ht="43.5" hidden="1" customHeight="1">
      <c r="B1986" s="250"/>
      <c r="C1986" s="6"/>
      <c r="D1986" s="6"/>
      <c r="E1986" s="98"/>
      <c r="F1986" s="3"/>
      <c r="G1986" s="6"/>
      <c r="H1986" s="232"/>
      <c r="I1986" s="6"/>
      <c r="J1986" s="6"/>
      <c r="K1986" s="236"/>
      <c r="L1986" s="6"/>
      <c r="M1986" s="6"/>
      <c r="N1986" s="6"/>
      <c r="O1986" s="3"/>
      <c r="P1986" s="6"/>
      <c r="Q1986" s="6"/>
      <c r="R1986" s="6"/>
      <c r="S1986" s="6"/>
      <c r="T1986" s="6"/>
      <c r="U1986" t="str">
        <f t="shared" si="30"/>
        <v/>
      </c>
    </row>
    <row r="1987" spans="2:21" customFormat="1" ht="27" hidden="1" customHeight="1">
      <c r="B1987" s="250"/>
      <c r="C1987" s="6"/>
      <c r="D1987" s="6"/>
      <c r="E1987" s="98"/>
      <c r="F1987" s="3"/>
      <c r="G1987" s="6"/>
      <c r="H1987" s="232"/>
      <c r="I1987" s="6"/>
      <c r="J1987" s="6"/>
      <c r="K1987" s="236"/>
      <c r="L1987" s="6"/>
      <c r="M1987" s="6"/>
      <c r="N1987" s="6"/>
      <c r="O1987" s="3"/>
      <c r="P1987" s="6"/>
      <c r="Q1987" s="6"/>
      <c r="R1987" s="6"/>
      <c r="S1987" s="6"/>
      <c r="T1987" s="6"/>
      <c r="U1987" t="str">
        <f t="shared" si="30"/>
        <v/>
      </c>
    </row>
    <row r="1988" spans="2:21" customFormat="1" ht="29.25" hidden="1" customHeight="1">
      <c r="B1988" s="250"/>
      <c r="C1988" s="6"/>
      <c r="D1988" s="6"/>
      <c r="E1988" s="98"/>
      <c r="F1988" s="3"/>
      <c r="G1988" s="6"/>
      <c r="H1988" s="232"/>
      <c r="I1988" s="6"/>
      <c r="J1988" s="6"/>
      <c r="K1988" s="236"/>
      <c r="L1988" s="6"/>
      <c r="M1988" s="6"/>
      <c r="N1988" s="6"/>
      <c r="O1988" s="3"/>
      <c r="P1988" s="6"/>
      <c r="Q1988" s="6"/>
      <c r="R1988" s="6"/>
      <c r="S1988" s="6"/>
      <c r="T1988" s="6"/>
      <c r="U1988" t="str">
        <f t="shared" si="30"/>
        <v/>
      </c>
    </row>
    <row r="1989" spans="2:21" customFormat="1" ht="36.75" hidden="1" customHeight="1">
      <c r="B1989" s="250"/>
      <c r="C1989" s="6"/>
      <c r="D1989" s="6"/>
      <c r="E1989" s="98"/>
      <c r="F1989" s="3"/>
      <c r="G1989" s="6"/>
      <c r="H1989" s="232"/>
      <c r="I1989" s="6"/>
      <c r="J1989" s="6"/>
      <c r="K1989" s="236"/>
      <c r="L1989" s="6"/>
      <c r="M1989" s="6"/>
      <c r="N1989" s="6"/>
      <c r="O1989" s="3"/>
      <c r="P1989" s="6"/>
      <c r="Q1989" s="6"/>
      <c r="R1989" s="6"/>
      <c r="S1989" s="6"/>
      <c r="T1989" s="6"/>
      <c r="U1989" t="str">
        <f t="shared" si="30"/>
        <v/>
      </c>
    </row>
    <row r="1990" spans="2:21" customFormat="1" ht="39" hidden="1" customHeight="1">
      <c r="B1990" s="250"/>
      <c r="C1990" s="6"/>
      <c r="D1990" s="6"/>
      <c r="E1990" s="98"/>
      <c r="F1990" s="3"/>
      <c r="G1990" s="6"/>
      <c r="H1990" s="232"/>
      <c r="I1990" s="6"/>
      <c r="J1990" s="6"/>
      <c r="K1990" s="236"/>
      <c r="L1990" s="6"/>
      <c r="M1990" s="6"/>
      <c r="N1990" s="6"/>
      <c r="O1990" s="3"/>
      <c r="P1990" s="6"/>
      <c r="Q1990" s="6"/>
      <c r="R1990" s="6"/>
      <c r="S1990" s="6"/>
      <c r="T1990" s="6"/>
      <c r="U1990" t="str">
        <f t="shared" si="30"/>
        <v/>
      </c>
    </row>
    <row r="1991" spans="2:21" customFormat="1" ht="34.5" hidden="1" customHeight="1">
      <c r="B1991" s="250"/>
      <c r="C1991" s="6"/>
      <c r="D1991" s="6"/>
      <c r="E1991" s="98"/>
      <c r="F1991" s="3"/>
      <c r="G1991" s="6"/>
      <c r="H1991" s="232"/>
      <c r="I1991" s="6"/>
      <c r="J1991" s="6"/>
      <c r="K1991" s="236"/>
      <c r="L1991" s="6"/>
      <c r="M1991" s="6"/>
      <c r="N1991" s="6"/>
      <c r="O1991" s="3"/>
      <c r="P1991" s="6"/>
      <c r="Q1991" s="6"/>
      <c r="R1991" s="6"/>
      <c r="S1991" s="6"/>
      <c r="T1991" s="6"/>
      <c r="U1991" t="str">
        <f t="shared" ref="U1991:U2006" si="31">IF(D1991="","","x")</f>
        <v/>
      </c>
    </row>
    <row r="1992" spans="2:21" customFormat="1" ht="37.5" hidden="1" customHeight="1">
      <c r="B1992" s="250"/>
      <c r="C1992" s="6"/>
      <c r="D1992" s="6"/>
      <c r="E1992" s="98"/>
      <c r="F1992" s="3"/>
      <c r="G1992" s="6"/>
      <c r="H1992" s="232"/>
      <c r="I1992" s="6"/>
      <c r="J1992" s="6"/>
      <c r="K1992" s="236"/>
      <c r="L1992" s="6"/>
      <c r="M1992" s="6"/>
      <c r="N1992" s="6"/>
      <c r="O1992" s="3"/>
      <c r="P1992" s="6"/>
      <c r="Q1992" s="6"/>
      <c r="R1992" s="6"/>
      <c r="S1992" s="6"/>
      <c r="T1992" s="6"/>
      <c r="U1992" t="str">
        <f t="shared" si="31"/>
        <v/>
      </c>
    </row>
    <row r="1993" spans="2:21" customFormat="1" ht="22.5" hidden="1" customHeight="1">
      <c r="B1993" s="250"/>
      <c r="C1993" s="6"/>
      <c r="D1993" s="6"/>
      <c r="E1993" s="98"/>
      <c r="F1993" s="3"/>
      <c r="G1993" s="6"/>
      <c r="H1993" s="232"/>
      <c r="I1993" s="6"/>
      <c r="J1993" s="6"/>
      <c r="K1993" s="236"/>
      <c r="L1993" s="6"/>
      <c r="M1993" s="6"/>
      <c r="N1993" s="6"/>
      <c r="O1993" s="3"/>
      <c r="P1993" s="6"/>
      <c r="Q1993" s="6"/>
      <c r="R1993" s="6"/>
      <c r="S1993" s="6"/>
      <c r="T1993" s="6"/>
      <c r="U1993" t="str">
        <f t="shared" si="31"/>
        <v/>
      </c>
    </row>
    <row r="1994" spans="2:21" customFormat="1" ht="36.75" customHeight="1">
      <c r="B1994" s="250"/>
      <c r="C1994" s="6"/>
      <c r="D1994" s="6"/>
      <c r="E1994" s="98"/>
      <c r="F1994" s="3"/>
      <c r="G1994" s="6"/>
      <c r="H1994" s="232"/>
      <c r="I1994" s="6"/>
      <c r="J1994" s="6"/>
      <c r="K1994" s="236"/>
      <c r="L1994" s="6"/>
      <c r="M1994" s="6"/>
      <c r="N1994" s="6"/>
      <c r="O1994" s="3"/>
      <c r="P1994" s="6"/>
      <c r="Q1994" s="6"/>
      <c r="R1994" s="6"/>
      <c r="S1994" s="6"/>
      <c r="T1994" s="6"/>
      <c r="U1994" t="str">
        <f t="shared" si="31"/>
        <v/>
      </c>
    </row>
    <row r="1995" spans="2:21" customFormat="1" ht="38.25" customHeight="1">
      <c r="B1995" s="250"/>
      <c r="C1995" s="6"/>
      <c r="D1995" s="6"/>
      <c r="E1995" s="98"/>
      <c r="F1995" s="3"/>
      <c r="G1995" s="6"/>
      <c r="H1995" s="232"/>
      <c r="I1995" s="6"/>
      <c r="J1995" s="6"/>
      <c r="K1995" s="236"/>
      <c r="L1995" s="6"/>
      <c r="M1995" s="6"/>
      <c r="N1995" s="6"/>
      <c r="O1995" s="3"/>
      <c r="P1995" s="6"/>
      <c r="Q1995" s="6"/>
      <c r="R1995" s="6"/>
      <c r="S1995" s="6"/>
      <c r="T1995" s="6"/>
      <c r="U1995" t="str">
        <f t="shared" si="31"/>
        <v/>
      </c>
    </row>
    <row r="1996" spans="2:21" customFormat="1" ht="34.5" customHeight="1">
      <c r="B1996" s="250"/>
      <c r="C1996" s="6"/>
      <c r="D1996" s="6"/>
      <c r="E1996" s="98"/>
      <c r="F1996" s="3"/>
      <c r="G1996" s="6"/>
      <c r="H1996" s="232"/>
      <c r="I1996" s="6"/>
      <c r="J1996" s="6"/>
      <c r="K1996" s="236"/>
      <c r="L1996" s="6"/>
      <c r="M1996" s="6"/>
      <c r="N1996" s="6"/>
      <c r="O1996" s="3"/>
      <c r="P1996" s="6"/>
      <c r="Q1996" s="6"/>
      <c r="R1996" s="6"/>
      <c r="S1996" s="6"/>
      <c r="T1996" s="6"/>
      <c r="U1996" t="str">
        <f t="shared" si="31"/>
        <v/>
      </c>
    </row>
    <row r="1997" spans="2:21" customFormat="1" ht="27" customHeight="1">
      <c r="B1997" s="250"/>
      <c r="C1997" s="6"/>
      <c r="D1997" s="6"/>
      <c r="E1997" s="98"/>
      <c r="F1997" s="3"/>
      <c r="G1997" s="6"/>
      <c r="H1997" s="232"/>
      <c r="I1997" s="6"/>
      <c r="J1997" s="6"/>
      <c r="K1997" s="236"/>
      <c r="L1997" s="6"/>
      <c r="M1997" s="6"/>
      <c r="N1997" s="6"/>
      <c r="O1997" s="3"/>
      <c r="P1997" s="6"/>
      <c r="Q1997" s="6"/>
      <c r="R1997" s="6"/>
      <c r="S1997" s="6"/>
      <c r="T1997" s="6"/>
      <c r="U1997" t="str">
        <f t="shared" si="31"/>
        <v/>
      </c>
    </row>
    <row r="1998" spans="2:21" customFormat="1" ht="30.75" customHeight="1">
      <c r="B1998" s="250"/>
      <c r="C1998" s="6"/>
      <c r="D1998" s="6"/>
      <c r="E1998" s="98"/>
      <c r="F1998" s="3"/>
      <c r="G1998" s="6"/>
      <c r="H1998" s="232"/>
      <c r="I1998" s="6"/>
      <c r="J1998" s="6"/>
      <c r="K1998" s="236"/>
      <c r="L1998" s="6"/>
      <c r="M1998" s="6"/>
      <c r="N1998" s="6"/>
      <c r="O1998" s="3"/>
      <c r="P1998" s="6"/>
      <c r="Q1998" s="6"/>
      <c r="R1998" s="6"/>
      <c r="S1998" s="6"/>
      <c r="T1998" s="6"/>
      <c r="U1998" t="str">
        <f t="shared" si="31"/>
        <v/>
      </c>
    </row>
    <row r="1999" spans="2:21" customFormat="1" ht="32.25" customHeight="1">
      <c r="B1999" s="250"/>
      <c r="C1999" s="6"/>
      <c r="D1999" s="6"/>
      <c r="E1999" s="98"/>
      <c r="F1999" s="3"/>
      <c r="G1999" s="6"/>
      <c r="H1999" s="232"/>
      <c r="I1999" s="6"/>
      <c r="J1999" s="6"/>
      <c r="K1999" s="236"/>
      <c r="L1999" s="6"/>
      <c r="M1999" s="6"/>
      <c r="N1999" s="6"/>
      <c r="O1999" s="3"/>
      <c r="P1999" s="6"/>
      <c r="Q1999" s="6"/>
      <c r="R1999" s="6"/>
      <c r="S1999" s="6"/>
      <c r="T1999" s="6"/>
      <c r="U1999" t="str">
        <f t="shared" si="31"/>
        <v/>
      </c>
    </row>
    <row r="2000" spans="2:21" customFormat="1" ht="36.75" customHeight="1">
      <c r="B2000" s="250"/>
      <c r="C2000" s="6"/>
      <c r="D2000" s="6"/>
      <c r="E2000" s="98"/>
      <c r="F2000" s="3"/>
      <c r="G2000" s="6"/>
      <c r="H2000" s="232"/>
      <c r="I2000" s="6"/>
      <c r="J2000" s="6"/>
      <c r="K2000" s="236"/>
      <c r="L2000" s="6"/>
      <c r="M2000" s="6"/>
      <c r="N2000" s="6"/>
      <c r="O2000" s="3"/>
      <c r="P2000" s="6"/>
      <c r="Q2000" s="6"/>
      <c r="R2000" s="6"/>
      <c r="S2000" s="6"/>
      <c r="T2000" s="6"/>
      <c r="U2000" t="str">
        <f t="shared" si="31"/>
        <v/>
      </c>
    </row>
    <row r="2001" spans="2:21" customFormat="1" ht="23.25" customHeight="1">
      <c r="B2001" s="250"/>
      <c r="C2001" s="6"/>
      <c r="D2001" s="6"/>
      <c r="E2001" s="98"/>
      <c r="F2001" s="3"/>
      <c r="G2001" s="6"/>
      <c r="H2001" s="232"/>
      <c r="I2001" s="6"/>
      <c r="J2001" s="6"/>
      <c r="K2001" s="236"/>
      <c r="L2001" s="6"/>
      <c r="M2001" s="6"/>
      <c r="N2001" s="6"/>
      <c r="O2001" s="3"/>
      <c r="P2001" s="6"/>
      <c r="Q2001" s="6"/>
      <c r="R2001" s="6"/>
      <c r="S2001" s="6"/>
      <c r="T2001" s="6"/>
      <c r="U2001" t="str">
        <f t="shared" si="31"/>
        <v/>
      </c>
    </row>
    <row r="2002" spans="2:21" customFormat="1" ht="24.75" customHeight="1">
      <c r="B2002" s="250"/>
      <c r="C2002" s="6"/>
      <c r="D2002" s="6"/>
      <c r="E2002" s="98"/>
      <c r="F2002" s="3"/>
      <c r="G2002" s="6"/>
      <c r="H2002" s="232"/>
      <c r="I2002" s="6"/>
      <c r="J2002" s="6"/>
      <c r="K2002" s="236"/>
      <c r="L2002" s="6"/>
      <c r="M2002" s="6"/>
      <c r="N2002" s="6"/>
      <c r="O2002" s="3"/>
      <c r="P2002" s="6"/>
      <c r="Q2002" s="6"/>
      <c r="R2002" s="6"/>
      <c r="S2002" s="6"/>
      <c r="T2002" s="6"/>
      <c r="U2002" t="str">
        <f t="shared" si="31"/>
        <v/>
      </c>
    </row>
    <row r="2003" spans="2:21" customFormat="1" ht="30.75" customHeight="1">
      <c r="B2003" s="250"/>
      <c r="C2003" s="6"/>
      <c r="D2003" s="6"/>
      <c r="E2003" s="98"/>
      <c r="F2003" s="3"/>
      <c r="G2003" s="6"/>
      <c r="H2003" s="232"/>
      <c r="I2003" s="6"/>
      <c r="J2003" s="6"/>
      <c r="K2003" s="236"/>
      <c r="L2003" s="6"/>
      <c r="M2003" s="6"/>
      <c r="N2003" s="6"/>
      <c r="O2003" s="3"/>
      <c r="P2003" s="6"/>
      <c r="Q2003" s="6"/>
      <c r="R2003" s="6"/>
      <c r="S2003" s="6"/>
      <c r="T2003" s="6"/>
      <c r="U2003" t="str">
        <f t="shared" si="31"/>
        <v/>
      </c>
    </row>
    <row r="2004" spans="2:21" customFormat="1" ht="27" customHeight="1">
      <c r="B2004" s="250"/>
      <c r="C2004" s="6"/>
      <c r="D2004" s="6"/>
      <c r="E2004" s="98"/>
      <c r="F2004" s="3"/>
      <c r="G2004" s="6"/>
      <c r="H2004" s="232"/>
      <c r="I2004" s="6"/>
      <c r="J2004" s="6"/>
      <c r="K2004" s="236"/>
      <c r="L2004" s="6"/>
      <c r="M2004" s="6"/>
      <c r="N2004" s="6"/>
      <c r="O2004" s="3"/>
      <c r="P2004" s="6"/>
      <c r="Q2004" s="6"/>
      <c r="R2004" s="6"/>
      <c r="S2004" s="6"/>
      <c r="T2004" s="6"/>
      <c r="U2004" t="str">
        <f t="shared" si="31"/>
        <v/>
      </c>
    </row>
    <row r="2005" spans="2:21" customFormat="1" ht="32.25" customHeight="1">
      <c r="B2005" s="250"/>
      <c r="C2005" s="6"/>
      <c r="D2005" s="6"/>
      <c r="E2005" s="98"/>
      <c r="F2005" s="3"/>
      <c r="G2005" s="6"/>
      <c r="H2005" s="232"/>
      <c r="I2005" s="6"/>
      <c r="J2005" s="6"/>
      <c r="K2005" s="236"/>
      <c r="L2005" s="6"/>
      <c r="M2005" s="6"/>
      <c r="N2005" s="6"/>
      <c r="O2005" s="3"/>
      <c r="P2005" s="6"/>
      <c r="Q2005" s="6"/>
      <c r="R2005" s="6"/>
      <c r="S2005" s="6"/>
      <c r="T2005" s="6"/>
      <c r="U2005" t="str">
        <f t="shared" si="31"/>
        <v/>
      </c>
    </row>
    <row r="2006" spans="2:21" customFormat="1" ht="29.25" customHeight="1">
      <c r="B2006" s="250"/>
      <c r="C2006" s="7"/>
      <c r="D2006" s="7"/>
      <c r="E2006" s="4"/>
      <c r="F2006" s="4"/>
      <c r="G2006" s="7"/>
      <c r="H2006" s="233"/>
      <c r="I2006" s="7"/>
      <c r="J2006" s="7"/>
      <c r="K2006" s="237"/>
      <c r="L2006" s="7"/>
      <c r="M2006" s="7"/>
      <c r="N2006" s="7"/>
      <c r="O2006" s="4"/>
      <c r="P2006" s="7"/>
      <c r="Q2006" s="7"/>
      <c r="R2006" s="7"/>
      <c r="S2006" s="7"/>
      <c r="T2006" s="7"/>
      <c r="U2006" t="str">
        <f t="shared" si="31"/>
        <v/>
      </c>
    </row>
    <row r="2007" spans="2:21" ht="23.25" customHeight="1">
      <c r="C2007" s="14"/>
      <c r="D2007" s="14"/>
      <c r="E2007" s="214"/>
      <c r="F2007" s="207"/>
      <c r="G2007" s="208"/>
      <c r="H2007" s="234"/>
      <c r="I2007" s="209"/>
      <c r="J2007" s="260"/>
      <c r="K2007" s="260"/>
      <c r="L2007" s="14"/>
      <c r="M2007" s="209"/>
      <c r="N2007" s="226"/>
      <c r="O2007" s="207"/>
      <c r="P2007" s="189"/>
      <c r="Q2007" s="189"/>
      <c r="R2007" s="189"/>
      <c r="S2007" s="189"/>
      <c r="T2007" s="189"/>
    </row>
  </sheetData>
  <autoFilter ref="C6:U2006">
    <filterColumn colId="18">
      <customFilters>
        <customFilter operator="notEqual" val=" "/>
      </customFilters>
    </filterColumn>
  </autoFilter>
  <mergeCells count="15">
    <mergeCell ref="H3:I3"/>
    <mergeCell ref="H2:I2"/>
    <mergeCell ref="C1:K1"/>
    <mergeCell ref="Q4:R4"/>
    <mergeCell ref="S4:T4"/>
    <mergeCell ref="D4:D5"/>
    <mergeCell ref="E4:E5"/>
    <mergeCell ref="F4:K4"/>
    <mergeCell ref="L4:L5"/>
    <mergeCell ref="M4:P4"/>
    <mergeCell ref="C4:C5"/>
    <mergeCell ref="C2:D2"/>
    <mergeCell ref="C3:D3"/>
    <mergeCell ref="E2:F2"/>
    <mergeCell ref="E3:F3"/>
  </mergeCells>
  <dataValidations count="2">
    <dataValidation type="list" allowBlank="1" showInputMessage="1" showErrorMessage="1" sqref="H3:I3">
      <formula1>List_loai_XuLy</formula1>
    </dataValidation>
    <dataValidation type="list" allowBlank="1" showInputMessage="1" showErrorMessage="1" sqref="E3:F3">
      <formula1>OFFSET($G$7,0,0,COUNTA($G$7:$G$2006))</formula1>
    </dataValidation>
  </dataValidations>
  <pageMargins left="0.23622047244094491" right="0.19685039370078741" top="0.51181102362204722" bottom="0.51181102362204722" header="0.31496062992125984" footer="0.31496062992125984"/>
  <pageSetup paperSize="8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Setting!$B$3:$B$16</xm:f>
          </x14:formula1>
          <xm:sqref>E2:F2</xm:sqref>
        </x14:dataValidation>
        <x14:dataValidation type="list" allowBlank="1" showInputMessage="1" showErrorMessage="1">
          <x14:formula1>
            <xm:f>OFFSET(Setting!$H$3,0,0,COUNTA(Setting!$H$3:$H$317))</xm:f>
          </x14:formula1>
          <xm:sqref>H2:I2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FF00"/>
  </sheetPr>
  <dimension ref="A1:V317"/>
  <sheetViews>
    <sheetView showGridLines="0" workbookViewId="0">
      <pane ySplit="1" topLeftCell="A2" activePane="bottomLeft" state="frozen"/>
      <selection pane="bottomLeft" activeCell="D17" sqref="D17"/>
    </sheetView>
  </sheetViews>
  <sheetFormatPr defaultRowHeight="15.75"/>
  <cols>
    <col min="1" max="1" width="13.25" customWidth="1"/>
    <col min="2" max="2" width="13.75" customWidth="1"/>
    <col min="4" max="5" width="16.875" customWidth="1"/>
    <col min="6" max="6" width="18.625" customWidth="1"/>
    <col min="7" max="7" width="41" customWidth="1"/>
    <col min="8" max="8" width="20.375" customWidth="1"/>
    <col min="9" max="9" width="16.875" customWidth="1"/>
  </cols>
  <sheetData>
    <row r="1" spans="1:22" ht="30" customHeight="1">
      <c r="A1" s="291" t="s">
        <v>122</v>
      </c>
      <c r="B1" s="291"/>
      <c r="C1" s="291"/>
      <c r="D1" s="291"/>
      <c r="E1" s="291"/>
      <c r="F1" s="291"/>
      <c r="G1" s="291"/>
      <c r="H1" s="291"/>
      <c r="I1" s="29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s="123" customFormat="1" ht="18.75">
      <c r="A2" s="144" t="s">
        <v>2</v>
      </c>
      <c r="B2" s="10" t="s">
        <v>17</v>
      </c>
      <c r="C2" s="10"/>
      <c r="D2" s="144" t="s">
        <v>25</v>
      </c>
      <c r="E2" s="144" t="s">
        <v>94</v>
      </c>
      <c r="F2" s="144" t="s">
        <v>95</v>
      </c>
      <c r="G2" s="144" t="s">
        <v>105</v>
      </c>
      <c r="H2" s="144" t="s">
        <v>96</v>
      </c>
      <c r="I2" s="144" t="s">
        <v>82</v>
      </c>
      <c r="L2" s="146"/>
      <c r="M2" s="146"/>
      <c r="N2" s="146"/>
      <c r="O2" s="146"/>
      <c r="P2" s="146"/>
      <c r="Q2" s="146"/>
      <c r="R2" s="146"/>
    </row>
    <row r="3" spans="1:22" s="123" customFormat="1">
      <c r="A3" s="123" t="s">
        <v>1</v>
      </c>
      <c r="B3" s="123" t="s">
        <v>5</v>
      </c>
      <c r="C3" s="123" t="s">
        <v>48</v>
      </c>
      <c r="D3" s="123" t="s">
        <v>128</v>
      </c>
      <c r="E3" s="123" t="s">
        <v>132</v>
      </c>
      <c r="F3" s="123" t="s">
        <v>137</v>
      </c>
      <c r="G3" s="123" t="s">
        <v>138</v>
      </c>
      <c r="H3" s="123" t="s">
        <v>141</v>
      </c>
      <c r="I3" s="123" t="s">
        <v>127</v>
      </c>
    </row>
    <row r="4" spans="1:22" s="123" customFormat="1">
      <c r="A4" s="123" t="s">
        <v>30</v>
      </c>
      <c r="B4" s="123" t="s">
        <v>6</v>
      </c>
      <c r="C4" s="123" t="s">
        <v>124</v>
      </c>
      <c r="D4" s="123" t="s">
        <v>129</v>
      </c>
      <c r="E4" s="123" t="s">
        <v>133</v>
      </c>
      <c r="F4" s="123" t="s">
        <v>136</v>
      </c>
      <c r="G4" s="123" t="s">
        <v>139</v>
      </c>
      <c r="H4" s="123" t="s">
        <v>142</v>
      </c>
      <c r="I4" s="123" t="s">
        <v>90</v>
      </c>
    </row>
    <row r="5" spans="1:22" s="123" customFormat="1">
      <c r="A5" s="123" t="s">
        <v>3</v>
      </c>
      <c r="B5" s="123" t="s">
        <v>7</v>
      </c>
      <c r="C5" s="123" t="s">
        <v>125</v>
      </c>
      <c r="D5" s="123" t="s">
        <v>130</v>
      </c>
      <c r="E5" s="123" t="s">
        <v>134</v>
      </c>
      <c r="F5" s="123" t="s">
        <v>127</v>
      </c>
      <c r="G5" s="123" t="s">
        <v>140</v>
      </c>
      <c r="H5" s="123" t="s">
        <v>143</v>
      </c>
      <c r="I5" s="123" t="s">
        <v>148</v>
      </c>
    </row>
    <row r="6" spans="1:22" s="123" customFormat="1">
      <c r="A6" s="123" t="s">
        <v>4</v>
      </c>
      <c r="B6" s="123" t="s">
        <v>8</v>
      </c>
      <c r="C6" s="123" t="s">
        <v>49</v>
      </c>
      <c r="D6" s="123" t="s">
        <v>131</v>
      </c>
      <c r="E6" s="123" t="s">
        <v>135</v>
      </c>
      <c r="F6" s="123" t="s">
        <v>163</v>
      </c>
      <c r="G6" s="123" t="s">
        <v>167</v>
      </c>
      <c r="H6" s="123" t="s">
        <v>144</v>
      </c>
      <c r="I6" s="123" t="s">
        <v>157</v>
      </c>
    </row>
    <row r="7" spans="1:22" s="123" customFormat="1">
      <c r="B7" s="123" t="s">
        <v>9</v>
      </c>
      <c r="C7" s="123" t="s">
        <v>50</v>
      </c>
      <c r="D7" s="123" t="s">
        <v>154</v>
      </c>
      <c r="E7" s="123" t="s">
        <v>132</v>
      </c>
      <c r="H7" s="123" t="s">
        <v>145</v>
      </c>
    </row>
    <row r="8" spans="1:22" s="123" customFormat="1">
      <c r="B8" s="123" t="s">
        <v>10</v>
      </c>
      <c r="C8" s="123" t="s">
        <v>51</v>
      </c>
      <c r="D8" s="123" t="s">
        <v>157</v>
      </c>
      <c r="E8" s="123" t="s">
        <v>161</v>
      </c>
      <c r="H8" s="123" t="s">
        <v>146</v>
      </c>
    </row>
    <row r="9" spans="1:22" s="123" customFormat="1">
      <c r="B9" s="123" t="s">
        <v>158</v>
      </c>
      <c r="C9" s="123" t="s">
        <v>159</v>
      </c>
      <c r="E9" s="123" t="s">
        <v>162</v>
      </c>
      <c r="H9" s="123" t="s">
        <v>136</v>
      </c>
    </row>
    <row r="10" spans="1:22" s="123" customFormat="1">
      <c r="B10" s="123" t="s">
        <v>11</v>
      </c>
      <c r="C10" s="123" t="s">
        <v>52</v>
      </c>
      <c r="H10" s="123" t="s">
        <v>147</v>
      </c>
    </row>
    <row r="11" spans="1:22" s="123" customFormat="1">
      <c r="B11" s="123" t="s">
        <v>12</v>
      </c>
      <c r="C11" s="123" t="s">
        <v>53</v>
      </c>
      <c r="H11" s="123" t="s">
        <v>153</v>
      </c>
    </row>
    <row r="12" spans="1:22" s="123" customFormat="1">
      <c r="B12" s="123" t="s">
        <v>151</v>
      </c>
      <c r="C12" s="123" t="s">
        <v>152</v>
      </c>
      <c r="H12" s="123" t="s">
        <v>164</v>
      </c>
    </row>
    <row r="13" spans="1:22" s="123" customFormat="1">
      <c r="B13" s="123" t="s">
        <v>13</v>
      </c>
      <c r="C13" s="123" t="s">
        <v>126</v>
      </c>
    </row>
    <row r="14" spans="1:22" s="123" customFormat="1">
      <c r="B14" s="123" t="s">
        <v>14</v>
      </c>
      <c r="C14" s="123" t="s">
        <v>54</v>
      </c>
    </row>
    <row r="15" spans="1:22" s="123" customFormat="1">
      <c r="B15" s="123" t="s">
        <v>15</v>
      </c>
      <c r="C15" s="123" t="s">
        <v>55</v>
      </c>
    </row>
    <row r="16" spans="1:22" s="123" customFormat="1">
      <c r="B16" s="123" t="s">
        <v>16</v>
      </c>
      <c r="C16" s="123" t="s">
        <v>56</v>
      </c>
    </row>
    <row r="17" spans="2:3" s="123" customFormat="1">
      <c r="B17" s="123" t="s">
        <v>155</v>
      </c>
      <c r="C17" s="123" t="s">
        <v>156</v>
      </c>
    </row>
    <row r="18" spans="2:3" s="123" customFormat="1"/>
    <row r="19" spans="2:3" s="123" customFormat="1"/>
    <row r="20" spans="2:3" s="123" customFormat="1"/>
    <row r="21" spans="2:3" s="123" customFormat="1"/>
    <row r="22" spans="2:3" s="123" customFormat="1"/>
    <row r="23" spans="2:3" s="123" customFormat="1"/>
    <row r="24" spans="2:3" s="123" customFormat="1"/>
    <row r="25" spans="2:3" s="123" customFormat="1"/>
    <row r="26" spans="2:3" s="123" customFormat="1"/>
    <row r="27" spans="2:3" s="123" customFormat="1"/>
    <row r="28" spans="2:3" s="123" customFormat="1"/>
    <row r="29" spans="2:3" s="123" customFormat="1"/>
    <row r="30" spans="2:3" s="123" customFormat="1"/>
    <row r="31" spans="2:3" s="123" customFormat="1"/>
    <row r="32" spans="2:3" s="123" customFormat="1"/>
    <row r="33" spans="2:9" s="123" customFormat="1"/>
    <row r="34" spans="2:9" s="123" customFormat="1"/>
    <row r="35" spans="2:9">
      <c r="B35" s="26"/>
      <c r="C35" s="22"/>
      <c r="D35" s="38"/>
      <c r="E35" s="38"/>
      <c r="F35" s="38"/>
      <c r="G35" s="38"/>
      <c r="H35" s="38"/>
      <c r="I35" s="38"/>
    </row>
    <row r="36" spans="2:9">
      <c r="B36" s="26"/>
      <c r="C36" s="22"/>
      <c r="D36" s="38"/>
      <c r="E36" s="38"/>
      <c r="F36" s="38"/>
      <c r="G36" s="38"/>
      <c r="H36" s="38"/>
      <c r="I36" s="38"/>
    </row>
    <row r="37" spans="2:9">
      <c r="B37" s="26"/>
      <c r="C37" s="22"/>
      <c r="D37" s="38"/>
      <c r="E37" s="38"/>
      <c r="F37" s="38"/>
      <c r="G37" s="38"/>
      <c r="H37" s="38"/>
      <c r="I37" s="38"/>
    </row>
    <row r="38" spans="2:9">
      <c r="B38" s="26"/>
      <c r="C38" s="22"/>
      <c r="D38" s="38"/>
      <c r="E38" s="38"/>
      <c r="F38" s="38"/>
      <c r="G38" s="38"/>
      <c r="H38" s="38"/>
      <c r="I38" s="38"/>
    </row>
    <row r="39" spans="2:9">
      <c r="B39" s="26"/>
      <c r="C39" s="22"/>
      <c r="D39" s="38"/>
      <c r="E39" s="38"/>
      <c r="F39" s="38"/>
      <c r="G39" s="38"/>
      <c r="H39" s="38"/>
      <c r="I39" s="38"/>
    </row>
    <row r="40" spans="2:9">
      <c r="B40" s="26"/>
      <c r="C40" s="22"/>
      <c r="D40" s="38"/>
      <c r="E40" s="38"/>
      <c r="F40" s="38"/>
      <c r="G40" s="38"/>
      <c r="H40" s="38"/>
      <c r="I40" s="38"/>
    </row>
    <row r="41" spans="2:9">
      <c r="B41" s="26"/>
      <c r="C41" s="22"/>
      <c r="D41" s="38"/>
      <c r="E41" s="38"/>
      <c r="F41" s="38"/>
      <c r="G41" s="38"/>
      <c r="H41" s="38"/>
      <c r="I41" s="38"/>
    </row>
    <row r="42" spans="2:9">
      <c r="B42" s="26"/>
      <c r="C42" s="22"/>
      <c r="D42" s="38"/>
      <c r="E42" s="38"/>
      <c r="F42" s="38"/>
      <c r="G42" s="38"/>
      <c r="H42" s="38"/>
      <c r="I42" s="38"/>
    </row>
    <row r="43" spans="2:9">
      <c r="B43" s="26"/>
      <c r="C43" s="22"/>
      <c r="D43" s="38"/>
      <c r="E43" s="38"/>
      <c r="F43" s="38"/>
      <c r="G43" s="38"/>
      <c r="H43" s="38"/>
      <c r="I43" s="38"/>
    </row>
    <row r="44" spans="2:9">
      <c r="B44" s="26"/>
      <c r="C44" s="22"/>
      <c r="D44" s="38"/>
      <c r="E44" s="38"/>
      <c r="F44" s="38"/>
      <c r="G44" s="38"/>
      <c r="H44" s="38"/>
      <c r="I44" s="38"/>
    </row>
    <row r="45" spans="2:9">
      <c r="B45" s="26"/>
      <c r="C45" s="22"/>
      <c r="D45" s="38"/>
      <c r="E45" s="38"/>
      <c r="F45" s="38"/>
      <c r="G45" s="38"/>
      <c r="H45" s="38"/>
      <c r="I45" s="38"/>
    </row>
    <row r="46" spans="2:9">
      <c r="B46" s="26"/>
      <c r="C46" s="22"/>
      <c r="D46" s="38"/>
      <c r="E46" s="38"/>
      <c r="F46" s="38"/>
      <c r="G46" s="38"/>
      <c r="H46" s="38"/>
      <c r="I46" s="38"/>
    </row>
    <row r="47" spans="2:9">
      <c r="B47" s="37"/>
      <c r="C47" s="97"/>
      <c r="D47" s="39"/>
      <c r="E47" s="39"/>
      <c r="F47" s="39"/>
      <c r="G47" s="38"/>
      <c r="H47" s="38"/>
      <c r="I47" s="39"/>
    </row>
    <row r="48" spans="2:9">
      <c r="G48" s="38"/>
      <c r="H48" s="38"/>
    </row>
    <row r="49" spans="7:8">
      <c r="G49" s="38"/>
      <c r="H49" s="38"/>
    </row>
    <row r="50" spans="7:8">
      <c r="G50" s="38"/>
      <c r="H50" s="38"/>
    </row>
    <row r="51" spans="7:8">
      <c r="G51" s="38"/>
      <c r="H51" s="38"/>
    </row>
    <row r="52" spans="7:8">
      <c r="G52" s="38"/>
      <c r="H52" s="38"/>
    </row>
    <row r="53" spans="7:8">
      <c r="G53" s="38"/>
      <c r="H53" s="38"/>
    </row>
    <row r="54" spans="7:8">
      <c r="G54" s="38"/>
      <c r="H54" s="38"/>
    </row>
    <row r="55" spans="7:8">
      <c r="G55" s="38"/>
      <c r="H55" s="38"/>
    </row>
    <row r="56" spans="7:8">
      <c r="G56" s="38"/>
      <c r="H56" s="38"/>
    </row>
    <row r="57" spans="7:8">
      <c r="G57" s="38"/>
      <c r="H57" s="38"/>
    </row>
    <row r="58" spans="7:8">
      <c r="G58" s="38"/>
      <c r="H58" s="38"/>
    </row>
    <row r="59" spans="7:8">
      <c r="G59" s="38"/>
      <c r="H59" s="38"/>
    </row>
    <row r="60" spans="7:8">
      <c r="G60" s="38"/>
      <c r="H60" s="38"/>
    </row>
    <row r="61" spans="7:8">
      <c r="G61" s="38"/>
      <c r="H61" s="38"/>
    </row>
    <row r="62" spans="7:8">
      <c r="G62" s="38"/>
      <c r="H62" s="38"/>
    </row>
    <row r="63" spans="7:8">
      <c r="G63" s="38"/>
      <c r="H63" s="38"/>
    </row>
    <row r="64" spans="7:8">
      <c r="G64" s="38"/>
      <c r="H64" s="38"/>
    </row>
    <row r="65" spans="7:8">
      <c r="G65" s="38"/>
      <c r="H65" s="38"/>
    </row>
    <row r="66" spans="7:8">
      <c r="G66" s="38"/>
      <c r="H66" s="38"/>
    </row>
    <row r="67" spans="7:8">
      <c r="G67" s="38"/>
      <c r="H67" s="38"/>
    </row>
    <row r="68" spans="7:8">
      <c r="G68" s="38"/>
      <c r="H68" s="38"/>
    </row>
    <row r="69" spans="7:8">
      <c r="G69" s="38"/>
      <c r="H69" s="38"/>
    </row>
    <row r="70" spans="7:8">
      <c r="G70" s="38"/>
      <c r="H70" s="38"/>
    </row>
    <row r="71" spans="7:8">
      <c r="G71" s="38"/>
      <c r="H71" s="38"/>
    </row>
    <row r="72" spans="7:8">
      <c r="G72" s="38"/>
      <c r="H72" s="38"/>
    </row>
    <row r="73" spans="7:8">
      <c r="G73" s="38"/>
      <c r="H73" s="38"/>
    </row>
    <row r="74" spans="7:8">
      <c r="G74" s="38"/>
      <c r="H74" s="38"/>
    </row>
    <row r="75" spans="7:8">
      <c r="G75" s="38"/>
      <c r="H75" s="38"/>
    </row>
    <row r="76" spans="7:8">
      <c r="G76" s="38"/>
      <c r="H76" s="38"/>
    </row>
    <row r="77" spans="7:8">
      <c r="G77" s="38"/>
      <c r="H77" s="38"/>
    </row>
    <row r="78" spans="7:8">
      <c r="G78" s="38"/>
      <c r="H78" s="38"/>
    </row>
    <row r="79" spans="7:8">
      <c r="G79" s="38"/>
      <c r="H79" s="38"/>
    </row>
    <row r="80" spans="7:8">
      <c r="G80" s="38"/>
      <c r="H80" s="38"/>
    </row>
    <row r="81" spans="7:8">
      <c r="G81" s="38"/>
      <c r="H81" s="38"/>
    </row>
    <row r="82" spans="7:8">
      <c r="G82" s="38"/>
      <c r="H82" s="38"/>
    </row>
    <row r="83" spans="7:8">
      <c r="G83" s="38"/>
      <c r="H83" s="38"/>
    </row>
    <row r="84" spans="7:8">
      <c r="G84" s="38"/>
      <c r="H84" s="38"/>
    </row>
    <row r="85" spans="7:8">
      <c r="G85" s="38"/>
      <c r="H85" s="38"/>
    </row>
    <row r="86" spans="7:8">
      <c r="G86" s="38"/>
      <c r="H86" s="38"/>
    </row>
    <row r="87" spans="7:8">
      <c r="G87" s="38"/>
      <c r="H87" s="38"/>
    </row>
    <row r="88" spans="7:8">
      <c r="G88" s="38"/>
      <c r="H88" s="38"/>
    </row>
    <row r="89" spans="7:8">
      <c r="G89" s="38"/>
      <c r="H89" s="38"/>
    </row>
    <row r="90" spans="7:8">
      <c r="G90" s="38"/>
      <c r="H90" s="38"/>
    </row>
    <row r="91" spans="7:8">
      <c r="G91" s="38"/>
      <c r="H91" s="38"/>
    </row>
    <row r="92" spans="7:8">
      <c r="G92" s="38"/>
      <c r="H92" s="38"/>
    </row>
    <row r="93" spans="7:8">
      <c r="G93" s="38"/>
      <c r="H93" s="38"/>
    </row>
    <row r="94" spans="7:8">
      <c r="G94" s="38"/>
      <c r="H94" s="38"/>
    </row>
    <row r="95" spans="7:8">
      <c r="G95" s="38"/>
      <c r="H95" s="38"/>
    </row>
    <row r="96" spans="7:8">
      <c r="G96" s="38"/>
      <c r="H96" s="38"/>
    </row>
    <row r="97" spans="7:8">
      <c r="G97" s="38"/>
      <c r="H97" s="38"/>
    </row>
    <row r="98" spans="7:8">
      <c r="G98" s="38"/>
      <c r="H98" s="38"/>
    </row>
    <row r="99" spans="7:8">
      <c r="G99" s="38"/>
      <c r="H99" s="38"/>
    </row>
    <row r="100" spans="7:8">
      <c r="G100" s="38"/>
      <c r="H100" s="38"/>
    </row>
    <row r="101" spans="7:8">
      <c r="G101" s="38"/>
      <c r="H101" s="38"/>
    </row>
    <row r="102" spans="7:8">
      <c r="G102" s="38"/>
      <c r="H102" s="38"/>
    </row>
    <row r="103" spans="7:8">
      <c r="G103" s="38"/>
      <c r="H103" s="38"/>
    </row>
    <row r="104" spans="7:8">
      <c r="G104" s="38"/>
      <c r="H104" s="38"/>
    </row>
    <row r="105" spans="7:8">
      <c r="G105" s="38"/>
      <c r="H105" s="38"/>
    </row>
    <row r="106" spans="7:8">
      <c r="G106" s="38"/>
      <c r="H106" s="38"/>
    </row>
    <row r="107" spans="7:8">
      <c r="G107" s="38"/>
      <c r="H107" s="38"/>
    </row>
    <row r="108" spans="7:8">
      <c r="G108" s="38"/>
      <c r="H108" s="38"/>
    </row>
    <row r="109" spans="7:8">
      <c r="G109" s="38"/>
      <c r="H109" s="38"/>
    </row>
    <row r="110" spans="7:8">
      <c r="G110" s="38"/>
      <c r="H110" s="38"/>
    </row>
    <row r="111" spans="7:8">
      <c r="G111" s="38"/>
      <c r="H111" s="38"/>
    </row>
    <row r="112" spans="7:8">
      <c r="G112" s="38"/>
      <c r="H112" s="38"/>
    </row>
    <row r="113" spans="7:8">
      <c r="G113" s="38"/>
      <c r="H113" s="38"/>
    </row>
    <row r="114" spans="7:8">
      <c r="G114" s="38"/>
      <c r="H114" s="38"/>
    </row>
    <row r="115" spans="7:8">
      <c r="G115" s="38"/>
      <c r="H115" s="38"/>
    </row>
    <row r="116" spans="7:8">
      <c r="G116" s="38"/>
      <c r="H116" s="38"/>
    </row>
    <row r="117" spans="7:8">
      <c r="G117" s="38"/>
      <c r="H117" s="38"/>
    </row>
    <row r="118" spans="7:8">
      <c r="G118" s="38"/>
      <c r="H118" s="38"/>
    </row>
    <row r="119" spans="7:8">
      <c r="G119" s="38"/>
      <c r="H119" s="38"/>
    </row>
    <row r="120" spans="7:8">
      <c r="G120" s="38"/>
      <c r="H120" s="38"/>
    </row>
    <row r="121" spans="7:8">
      <c r="G121" s="38"/>
      <c r="H121" s="38"/>
    </row>
    <row r="122" spans="7:8">
      <c r="G122" s="38"/>
      <c r="H122" s="38"/>
    </row>
    <row r="123" spans="7:8">
      <c r="G123" s="38"/>
      <c r="H123" s="38"/>
    </row>
    <row r="124" spans="7:8">
      <c r="G124" s="38"/>
      <c r="H124" s="38"/>
    </row>
    <row r="125" spans="7:8">
      <c r="G125" s="38"/>
      <c r="H125" s="38"/>
    </row>
    <row r="126" spans="7:8">
      <c r="G126" s="38"/>
      <c r="H126" s="38"/>
    </row>
    <row r="127" spans="7:8">
      <c r="G127" s="38"/>
      <c r="H127" s="38"/>
    </row>
    <row r="128" spans="7:8">
      <c r="G128" s="38"/>
      <c r="H128" s="38"/>
    </row>
    <row r="129" spans="7:8">
      <c r="G129" s="38"/>
      <c r="H129" s="38"/>
    </row>
    <row r="130" spans="7:8">
      <c r="G130" s="38"/>
      <c r="H130" s="38"/>
    </row>
    <row r="131" spans="7:8">
      <c r="G131" s="38"/>
      <c r="H131" s="38"/>
    </row>
    <row r="132" spans="7:8">
      <c r="G132" s="38"/>
      <c r="H132" s="38"/>
    </row>
    <row r="133" spans="7:8">
      <c r="G133" s="38"/>
      <c r="H133" s="38"/>
    </row>
    <row r="134" spans="7:8">
      <c r="G134" s="38"/>
      <c r="H134" s="38"/>
    </row>
    <row r="135" spans="7:8">
      <c r="G135" s="38"/>
      <c r="H135" s="38"/>
    </row>
    <row r="136" spans="7:8">
      <c r="G136" s="38"/>
      <c r="H136" s="38"/>
    </row>
    <row r="137" spans="7:8">
      <c r="G137" s="38"/>
      <c r="H137" s="38"/>
    </row>
    <row r="138" spans="7:8">
      <c r="G138" s="38"/>
      <c r="H138" s="38"/>
    </row>
    <row r="139" spans="7:8">
      <c r="G139" s="38"/>
      <c r="H139" s="38"/>
    </row>
    <row r="140" spans="7:8">
      <c r="G140" s="38"/>
      <c r="H140" s="38"/>
    </row>
    <row r="141" spans="7:8">
      <c r="G141" s="38"/>
      <c r="H141" s="38"/>
    </row>
    <row r="142" spans="7:8">
      <c r="G142" s="38"/>
      <c r="H142" s="38"/>
    </row>
    <row r="143" spans="7:8">
      <c r="G143" s="38"/>
      <c r="H143" s="38"/>
    </row>
    <row r="144" spans="7:8">
      <c r="G144" s="38"/>
      <c r="H144" s="38"/>
    </row>
    <row r="145" spans="7:8">
      <c r="G145" s="38"/>
      <c r="H145" s="38"/>
    </row>
    <row r="146" spans="7:8">
      <c r="G146" s="38"/>
      <c r="H146" s="38"/>
    </row>
    <row r="147" spans="7:8">
      <c r="G147" s="38"/>
      <c r="H147" s="38"/>
    </row>
    <row r="148" spans="7:8">
      <c r="G148" s="38"/>
      <c r="H148" s="38"/>
    </row>
    <row r="149" spans="7:8">
      <c r="G149" s="38"/>
      <c r="H149" s="38"/>
    </row>
    <row r="150" spans="7:8">
      <c r="G150" s="38"/>
      <c r="H150" s="38"/>
    </row>
    <row r="151" spans="7:8">
      <c r="G151" s="38"/>
      <c r="H151" s="38"/>
    </row>
    <row r="152" spans="7:8">
      <c r="G152" s="38"/>
      <c r="H152" s="38"/>
    </row>
    <row r="153" spans="7:8">
      <c r="G153" s="38"/>
      <c r="H153" s="38"/>
    </row>
    <row r="154" spans="7:8">
      <c r="G154" s="38"/>
      <c r="H154" s="38"/>
    </row>
    <row r="155" spans="7:8">
      <c r="G155" s="38"/>
      <c r="H155" s="38"/>
    </row>
    <row r="156" spans="7:8">
      <c r="G156" s="38"/>
      <c r="H156" s="38"/>
    </row>
    <row r="157" spans="7:8">
      <c r="G157" s="38"/>
      <c r="H157" s="38"/>
    </row>
    <row r="158" spans="7:8">
      <c r="G158" s="38"/>
      <c r="H158" s="38"/>
    </row>
    <row r="159" spans="7:8">
      <c r="G159" s="38"/>
      <c r="H159" s="38"/>
    </row>
    <row r="160" spans="7:8">
      <c r="G160" s="38"/>
      <c r="H160" s="38"/>
    </row>
    <row r="161" spans="7:8">
      <c r="G161" s="38"/>
      <c r="H161" s="38"/>
    </row>
    <row r="162" spans="7:8">
      <c r="G162" s="38"/>
      <c r="H162" s="38"/>
    </row>
    <row r="163" spans="7:8">
      <c r="G163" s="38"/>
      <c r="H163" s="38"/>
    </row>
    <row r="164" spans="7:8">
      <c r="G164" s="38"/>
      <c r="H164" s="38"/>
    </row>
    <row r="165" spans="7:8">
      <c r="G165" s="38"/>
      <c r="H165" s="38"/>
    </row>
    <row r="166" spans="7:8">
      <c r="G166" s="38"/>
      <c r="H166" s="38"/>
    </row>
    <row r="167" spans="7:8">
      <c r="G167" s="38"/>
      <c r="H167" s="38"/>
    </row>
    <row r="168" spans="7:8">
      <c r="G168" s="38"/>
      <c r="H168" s="38"/>
    </row>
    <row r="169" spans="7:8">
      <c r="G169" s="38"/>
      <c r="H169" s="38"/>
    </row>
    <row r="170" spans="7:8">
      <c r="G170" s="38"/>
      <c r="H170" s="38"/>
    </row>
    <row r="171" spans="7:8">
      <c r="G171" s="38"/>
      <c r="H171" s="38"/>
    </row>
    <row r="172" spans="7:8">
      <c r="G172" s="38"/>
      <c r="H172" s="38"/>
    </row>
    <row r="173" spans="7:8">
      <c r="G173" s="38"/>
      <c r="H173" s="38"/>
    </row>
    <row r="174" spans="7:8">
      <c r="G174" s="38"/>
      <c r="H174" s="38"/>
    </row>
    <row r="175" spans="7:8">
      <c r="G175" s="38"/>
      <c r="H175" s="38"/>
    </row>
    <row r="176" spans="7:8">
      <c r="G176" s="38"/>
      <c r="H176" s="38"/>
    </row>
    <row r="177" spans="7:8">
      <c r="G177" s="38"/>
      <c r="H177" s="38"/>
    </row>
    <row r="178" spans="7:8">
      <c r="G178" s="38"/>
      <c r="H178" s="38"/>
    </row>
    <row r="179" spans="7:8">
      <c r="G179" s="38"/>
      <c r="H179" s="38"/>
    </row>
    <row r="180" spans="7:8">
      <c r="G180" s="38"/>
      <c r="H180" s="38"/>
    </row>
    <row r="181" spans="7:8">
      <c r="G181" s="38"/>
      <c r="H181" s="38"/>
    </row>
    <row r="182" spans="7:8">
      <c r="G182" s="38"/>
      <c r="H182" s="38"/>
    </row>
    <row r="183" spans="7:8">
      <c r="G183" s="38"/>
      <c r="H183" s="38"/>
    </row>
    <row r="184" spans="7:8">
      <c r="G184" s="38"/>
      <c r="H184" s="38"/>
    </row>
    <row r="185" spans="7:8">
      <c r="G185" s="38"/>
      <c r="H185" s="38"/>
    </row>
    <row r="186" spans="7:8">
      <c r="G186" s="38"/>
      <c r="H186" s="38"/>
    </row>
    <row r="187" spans="7:8">
      <c r="G187" s="38"/>
      <c r="H187" s="38"/>
    </row>
    <row r="188" spans="7:8">
      <c r="G188" s="38"/>
      <c r="H188" s="38"/>
    </row>
    <row r="189" spans="7:8">
      <c r="G189" s="38"/>
      <c r="H189" s="38"/>
    </row>
    <row r="190" spans="7:8">
      <c r="G190" s="38"/>
      <c r="H190" s="38"/>
    </row>
    <row r="191" spans="7:8">
      <c r="G191" s="38"/>
      <c r="H191" s="38"/>
    </row>
    <row r="192" spans="7:8">
      <c r="G192" s="38"/>
      <c r="H192" s="38"/>
    </row>
    <row r="193" spans="7:8">
      <c r="G193" s="38"/>
      <c r="H193" s="38"/>
    </row>
    <row r="194" spans="7:8">
      <c r="G194" s="38"/>
      <c r="H194" s="38"/>
    </row>
    <row r="195" spans="7:8">
      <c r="G195" s="38"/>
      <c r="H195" s="38"/>
    </row>
    <row r="196" spans="7:8">
      <c r="G196" s="38"/>
      <c r="H196" s="38"/>
    </row>
    <row r="197" spans="7:8">
      <c r="G197" s="38"/>
      <c r="H197" s="38"/>
    </row>
    <row r="198" spans="7:8">
      <c r="G198" s="38"/>
      <c r="H198" s="38"/>
    </row>
    <row r="199" spans="7:8">
      <c r="G199" s="38"/>
      <c r="H199" s="38"/>
    </row>
    <row r="200" spans="7:8">
      <c r="G200" s="38"/>
      <c r="H200" s="38"/>
    </row>
    <row r="201" spans="7:8">
      <c r="G201" s="38"/>
      <c r="H201" s="38"/>
    </row>
    <row r="202" spans="7:8">
      <c r="G202" s="38"/>
      <c r="H202" s="38"/>
    </row>
    <row r="203" spans="7:8">
      <c r="G203" s="38"/>
      <c r="H203" s="38"/>
    </row>
    <row r="204" spans="7:8">
      <c r="G204" s="38"/>
      <c r="H204" s="38"/>
    </row>
    <row r="205" spans="7:8">
      <c r="G205" s="38"/>
      <c r="H205" s="38"/>
    </row>
    <row r="206" spans="7:8">
      <c r="G206" s="38"/>
      <c r="H206" s="38"/>
    </row>
    <row r="207" spans="7:8">
      <c r="G207" s="38"/>
      <c r="H207" s="38"/>
    </row>
    <row r="208" spans="7:8">
      <c r="G208" s="38"/>
      <c r="H208" s="38"/>
    </row>
    <row r="209" spans="7:8">
      <c r="G209" s="38"/>
      <c r="H209" s="38"/>
    </row>
    <row r="210" spans="7:8">
      <c r="G210" s="38"/>
      <c r="H210" s="38"/>
    </row>
    <row r="211" spans="7:8">
      <c r="G211" s="38"/>
      <c r="H211" s="38"/>
    </row>
    <row r="212" spans="7:8">
      <c r="G212" s="38"/>
      <c r="H212" s="38"/>
    </row>
    <row r="213" spans="7:8">
      <c r="G213" s="38"/>
      <c r="H213" s="38"/>
    </row>
    <row r="214" spans="7:8">
      <c r="G214" s="38"/>
      <c r="H214" s="38"/>
    </row>
    <row r="215" spans="7:8">
      <c r="G215" s="38"/>
      <c r="H215" s="38"/>
    </row>
    <row r="216" spans="7:8">
      <c r="G216" s="38"/>
      <c r="H216" s="38"/>
    </row>
    <row r="217" spans="7:8">
      <c r="G217" s="38"/>
      <c r="H217" s="38"/>
    </row>
    <row r="218" spans="7:8">
      <c r="G218" s="38"/>
      <c r="H218" s="38"/>
    </row>
    <row r="219" spans="7:8">
      <c r="G219" s="38"/>
      <c r="H219" s="38"/>
    </row>
    <row r="220" spans="7:8">
      <c r="G220" s="38"/>
      <c r="H220" s="38"/>
    </row>
    <row r="221" spans="7:8">
      <c r="G221" s="38"/>
      <c r="H221" s="38"/>
    </row>
    <row r="222" spans="7:8">
      <c r="G222" s="38"/>
      <c r="H222" s="38"/>
    </row>
    <row r="223" spans="7:8">
      <c r="G223" s="38"/>
      <c r="H223" s="38"/>
    </row>
    <row r="224" spans="7:8">
      <c r="G224" s="38"/>
      <c r="H224" s="38"/>
    </row>
    <row r="225" spans="7:8">
      <c r="G225" s="38"/>
      <c r="H225" s="38"/>
    </row>
    <row r="226" spans="7:8">
      <c r="G226" s="38"/>
      <c r="H226" s="38"/>
    </row>
    <row r="227" spans="7:8">
      <c r="G227" s="38"/>
      <c r="H227" s="38"/>
    </row>
    <row r="228" spans="7:8">
      <c r="G228" s="38"/>
      <c r="H228" s="38"/>
    </row>
    <row r="229" spans="7:8">
      <c r="G229" s="38"/>
      <c r="H229" s="38"/>
    </row>
    <row r="230" spans="7:8">
      <c r="G230" s="38"/>
      <c r="H230" s="38"/>
    </row>
    <row r="231" spans="7:8">
      <c r="G231" s="38"/>
      <c r="H231" s="38"/>
    </row>
    <row r="232" spans="7:8">
      <c r="G232" s="38"/>
      <c r="H232" s="38"/>
    </row>
    <row r="233" spans="7:8">
      <c r="G233" s="38"/>
      <c r="H233" s="38"/>
    </row>
    <row r="234" spans="7:8">
      <c r="G234" s="38"/>
      <c r="H234" s="38"/>
    </row>
    <row r="235" spans="7:8">
      <c r="G235" s="38"/>
      <c r="H235" s="38"/>
    </row>
    <row r="236" spans="7:8">
      <c r="G236" s="38"/>
      <c r="H236" s="38"/>
    </row>
    <row r="237" spans="7:8">
      <c r="G237" s="38"/>
      <c r="H237" s="38"/>
    </row>
    <row r="238" spans="7:8">
      <c r="G238" s="38"/>
      <c r="H238" s="38"/>
    </row>
    <row r="239" spans="7:8">
      <c r="G239" s="38"/>
      <c r="H239" s="38"/>
    </row>
    <row r="240" spans="7:8">
      <c r="G240" s="38"/>
      <c r="H240" s="38"/>
    </row>
    <row r="241" spans="7:8">
      <c r="G241" s="38"/>
      <c r="H241" s="38"/>
    </row>
    <row r="242" spans="7:8">
      <c r="G242" s="38"/>
      <c r="H242" s="38"/>
    </row>
    <row r="243" spans="7:8">
      <c r="G243" s="38"/>
      <c r="H243" s="38"/>
    </row>
    <row r="244" spans="7:8">
      <c r="G244" s="38"/>
      <c r="H244" s="38"/>
    </row>
    <row r="245" spans="7:8">
      <c r="G245" s="38"/>
      <c r="H245" s="38"/>
    </row>
    <row r="246" spans="7:8">
      <c r="G246" s="38"/>
      <c r="H246" s="38"/>
    </row>
    <row r="247" spans="7:8">
      <c r="G247" s="38"/>
      <c r="H247" s="38"/>
    </row>
    <row r="248" spans="7:8">
      <c r="G248" s="38"/>
      <c r="H248" s="38"/>
    </row>
    <row r="249" spans="7:8">
      <c r="G249" s="38"/>
      <c r="H249" s="38"/>
    </row>
    <row r="250" spans="7:8">
      <c r="G250" s="38"/>
      <c r="H250" s="38"/>
    </row>
    <row r="251" spans="7:8">
      <c r="G251" s="38"/>
      <c r="H251" s="38"/>
    </row>
    <row r="252" spans="7:8">
      <c r="G252" s="38"/>
      <c r="H252" s="38"/>
    </row>
    <row r="253" spans="7:8">
      <c r="G253" s="38"/>
      <c r="H253" s="38"/>
    </row>
    <row r="254" spans="7:8">
      <c r="G254" s="38"/>
      <c r="H254" s="38"/>
    </row>
    <row r="255" spans="7:8">
      <c r="G255" s="38"/>
      <c r="H255" s="38"/>
    </row>
    <row r="256" spans="7:8">
      <c r="G256" s="38"/>
      <c r="H256" s="38"/>
    </row>
    <row r="257" spans="7:8">
      <c r="G257" s="38"/>
      <c r="H257" s="38"/>
    </row>
    <row r="258" spans="7:8">
      <c r="G258" s="38"/>
      <c r="H258" s="38"/>
    </row>
    <row r="259" spans="7:8">
      <c r="G259" s="38"/>
      <c r="H259" s="38"/>
    </row>
    <row r="260" spans="7:8">
      <c r="G260" s="38"/>
      <c r="H260" s="38"/>
    </row>
    <row r="261" spans="7:8">
      <c r="G261" s="38"/>
      <c r="H261" s="38"/>
    </row>
    <row r="262" spans="7:8">
      <c r="G262" s="38"/>
      <c r="H262" s="38"/>
    </row>
    <row r="263" spans="7:8">
      <c r="G263" s="38"/>
      <c r="H263" s="38"/>
    </row>
    <row r="264" spans="7:8">
      <c r="G264" s="38"/>
      <c r="H264" s="38"/>
    </row>
    <row r="265" spans="7:8">
      <c r="G265" s="38"/>
      <c r="H265" s="38"/>
    </row>
    <row r="266" spans="7:8">
      <c r="G266" s="38"/>
      <c r="H266" s="38"/>
    </row>
    <row r="267" spans="7:8">
      <c r="G267" s="38"/>
      <c r="H267" s="38"/>
    </row>
    <row r="268" spans="7:8">
      <c r="G268" s="38"/>
      <c r="H268" s="38"/>
    </row>
    <row r="269" spans="7:8">
      <c r="G269" s="38"/>
      <c r="H269" s="38"/>
    </row>
    <row r="270" spans="7:8">
      <c r="G270" s="38"/>
      <c r="H270" s="38"/>
    </row>
    <row r="271" spans="7:8">
      <c r="G271" s="38"/>
      <c r="H271" s="38"/>
    </row>
    <row r="272" spans="7:8">
      <c r="G272" s="38"/>
      <c r="H272" s="38"/>
    </row>
    <row r="273" spans="7:8">
      <c r="G273" s="38"/>
      <c r="H273" s="38"/>
    </row>
    <row r="274" spans="7:8">
      <c r="G274" s="38"/>
      <c r="H274" s="38"/>
    </row>
    <row r="275" spans="7:8">
      <c r="G275" s="38"/>
      <c r="H275" s="38"/>
    </row>
    <row r="276" spans="7:8">
      <c r="G276" s="38"/>
      <c r="H276" s="38"/>
    </row>
    <row r="277" spans="7:8">
      <c r="G277" s="38"/>
      <c r="H277" s="38"/>
    </row>
    <row r="278" spans="7:8">
      <c r="G278" s="38"/>
      <c r="H278" s="38"/>
    </row>
    <row r="279" spans="7:8">
      <c r="G279" s="38"/>
      <c r="H279" s="38"/>
    </row>
    <row r="280" spans="7:8">
      <c r="G280" s="38"/>
      <c r="H280" s="38"/>
    </row>
    <row r="281" spans="7:8">
      <c r="G281" s="38"/>
      <c r="H281" s="38"/>
    </row>
    <row r="282" spans="7:8">
      <c r="G282" s="38"/>
      <c r="H282" s="38"/>
    </row>
    <row r="283" spans="7:8">
      <c r="G283" s="38"/>
      <c r="H283" s="38"/>
    </row>
    <row r="284" spans="7:8">
      <c r="G284" s="38"/>
      <c r="H284" s="38"/>
    </row>
    <row r="285" spans="7:8">
      <c r="G285" s="38"/>
      <c r="H285" s="38"/>
    </row>
    <row r="286" spans="7:8">
      <c r="G286" s="38"/>
      <c r="H286" s="38"/>
    </row>
    <row r="287" spans="7:8">
      <c r="G287" s="38"/>
      <c r="H287" s="38"/>
    </row>
    <row r="288" spans="7:8">
      <c r="G288" s="38"/>
      <c r="H288" s="38"/>
    </row>
    <row r="289" spans="7:8">
      <c r="G289" s="38"/>
      <c r="H289" s="38"/>
    </row>
    <row r="290" spans="7:8">
      <c r="G290" s="38"/>
      <c r="H290" s="38"/>
    </row>
    <row r="291" spans="7:8">
      <c r="G291" s="38"/>
      <c r="H291" s="38"/>
    </row>
    <row r="292" spans="7:8">
      <c r="G292" s="38"/>
      <c r="H292" s="38"/>
    </row>
    <row r="293" spans="7:8">
      <c r="G293" s="38"/>
      <c r="H293" s="38"/>
    </row>
    <row r="294" spans="7:8">
      <c r="G294" s="38"/>
      <c r="H294" s="38"/>
    </row>
    <row r="295" spans="7:8">
      <c r="G295" s="38"/>
      <c r="H295" s="38"/>
    </row>
    <row r="296" spans="7:8">
      <c r="G296" s="38"/>
      <c r="H296" s="38"/>
    </row>
    <row r="297" spans="7:8">
      <c r="G297" s="38"/>
      <c r="H297" s="38"/>
    </row>
    <row r="298" spans="7:8">
      <c r="G298" s="38"/>
      <c r="H298" s="38"/>
    </row>
    <row r="299" spans="7:8">
      <c r="G299" s="38"/>
      <c r="H299" s="38"/>
    </row>
    <row r="300" spans="7:8">
      <c r="G300" s="38"/>
      <c r="H300" s="38"/>
    </row>
    <row r="301" spans="7:8">
      <c r="G301" s="38"/>
      <c r="H301" s="38"/>
    </row>
    <row r="302" spans="7:8">
      <c r="G302" s="38"/>
      <c r="H302" s="38"/>
    </row>
    <row r="303" spans="7:8">
      <c r="G303" s="38"/>
      <c r="H303" s="38"/>
    </row>
    <row r="304" spans="7:8">
      <c r="G304" s="38"/>
      <c r="H304" s="38"/>
    </row>
    <row r="305" spans="7:8">
      <c r="G305" s="38"/>
      <c r="H305" s="38"/>
    </row>
    <row r="306" spans="7:8">
      <c r="G306" s="38"/>
      <c r="H306" s="38"/>
    </row>
    <row r="307" spans="7:8">
      <c r="G307" s="38"/>
      <c r="H307" s="38"/>
    </row>
    <row r="308" spans="7:8">
      <c r="G308" s="38"/>
      <c r="H308" s="38"/>
    </row>
    <row r="309" spans="7:8">
      <c r="G309" s="38"/>
      <c r="H309" s="38"/>
    </row>
    <row r="310" spans="7:8">
      <c r="G310" s="38"/>
      <c r="H310" s="38"/>
    </row>
    <row r="311" spans="7:8">
      <c r="G311" s="38"/>
      <c r="H311" s="38"/>
    </row>
    <row r="312" spans="7:8">
      <c r="G312" s="38"/>
      <c r="H312" s="38"/>
    </row>
    <row r="313" spans="7:8">
      <c r="G313" s="38"/>
      <c r="H313" s="38"/>
    </row>
    <row r="314" spans="7:8">
      <c r="G314" s="38"/>
      <c r="H314" s="38"/>
    </row>
    <row r="315" spans="7:8">
      <c r="G315" s="38"/>
      <c r="H315" s="38"/>
    </row>
    <row r="316" spans="7:8">
      <c r="G316" s="38"/>
      <c r="H316" s="38"/>
    </row>
    <row r="317" spans="7:8">
      <c r="G317" s="39"/>
      <c r="H317" s="39"/>
    </row>
  </sheetData>
  <mergeCells count="1">
    <mergeCell ref="A1:I1"/>
  </mergeCells>
  <conditionalFormatting sqref="B3:C47">
    <cfRule type="expression" dxfId="0" priority="5">
      <formula>COUNTIF($C$3:$C$47,$C3)&gt;1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MENU</vt:lpstr>
      <vt:lpstr>DK</vt:lpstr>
      <vt:lpstr>Quy_Trinh</vt:lpstr>
      <vt:lpstr>BK_CV_Di</vt:lpstr>
      <vt:lpstr>CVDi_New</vt:lpstr>
      <vt:lpstr>CVDi_Edit</vt:lpstr>
      <vt:lpstr>BCTH_CVDi</vt:lpstr>
      <vt:lpstr>BCCT_CVDi</vt:lpstr>
      <vt:lpstr>BK_CV_Den</vt:lpstr>
      <vt:lpstr>CVDen_New</vt:lpstr>
      <vt:lpstr>CVDen_XuLy</vt:lpstr>
      <vt:lpstr>BCTH_CVDen</vt:lpstr>
      <vt:lpstr>BCCT_CVDen</vt:lpstr>
      <vt:lpstr>Setting</vt:lpstr>
      <vt:lpstr>List_loai_XuLy</vt:lpstr>
      <vt:lpstr>BK_CV_Den!Print_Area</vt:lpstr>
      <vt:lpstr>BK_CV_Di!Print_Area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Ghi chú</dc:creator>
  <cp:lastModifiedBy>khanhn128</cp:lastModifiedBy>
  <cp:lastPrinted>2021-06-04T05:19:18Z</cp:lastPrinted>
  <dcterms:created xsi:type="dcterms:W3CDTF">2017-08-24T04:01:17Z</dcterms:created>
  <dcterms:modified xsi:type="dcterms:W3CDTF">2021-06-04T05:19:59Z</dcterms:modified>
</cp:coreProperties>
</file>