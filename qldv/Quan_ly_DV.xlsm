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Q11" i="5"/>
  <c r="P11" i="5"/>
  <c r="O11" i="5"/>
  <c r="N11" i="5"/>
  <c r="M11" i="5"/>
  <c r="L11" i="5"/>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D1636" i="16"/>
  <c r="C1636" i="16"/>
  <c r="B1636" i="16"/>
  <c r="D1635" i="16"/>
  <c r="C1635" i="16"/>
  <c r="B1635" i="16"/>
  <c r="D1634" i="16"/>
  <c r="C1634" i="16"/>
  <c r="B1634" i="16"/>
  <c r="D1633" i="16"/>
  <c r="C1633" i="16"/>
  <c r="B1633" i="16"/>
  <c r="D1632" i="16"/>
  <c r="C1632" i="16"/>
  <c r="B1632" i="16"/>
  <c r="D1631" i="16"/>
  <c r="C1631" i="16"/>
  <c r="B1631" i="16"/>
  <c r="D1630" i="16"/>
  <c r="C1630" i="16"/>
  <c r="B1630" i="16"/>
  <c r="D1629" i="16"/>
  <c r="C1629" i="16"/>
  <c r="B1629" i="16"/>
  <c r="D1628" i="16"/>
  <c r="C1628" i="16"/>
  <c r="B1628" i="16"/>
  <c r="D1627" i="16"/>
  <c r="C1627" i="16"/>
  <c r="B1627" i="16"/>
  <c r="D1626" i="16"/>
  <c r="C1626" i="16"/>
  <c r="B1626" i="16"/>
  <c r="D1625" i="16"/>
  <c r="C1625" i="16"/>
  <c r="B1625" i="16"/>
  <c r="D1624" i="16"/>
  <c r="C1624" i="16"/>
  <c r="B1624" i="16"/>
  <c r="D1623" i="16"/>
  <c r="C1623" i="16"/>
  <c r="B1623" i="16"/>
  <c r="D1622" i="16"/>
  <c r="C1622" i="16"/>
  <c r="B1622" i="16"/>
  <c r="D1621" i="16"/>
  <c r="C1621" i="16"/>
  <c r="B1621" i="16"/>
  <c r="D1620" i="16"/>
  <c r="C1620" i="16"/>
  <c r="B1620" i="16"/>
  <c r="D1619" i="16"/>
  <c r="C1619" i="16"/>
  <c r="B1619" i="16"/>
  <c r="D1618" i="16"/>
  <c r="C1618" i="16"/>
  <c r="B1618" i="16"/>
  <c r="D1617" i="16"/>
  <c r="C1617" i="16"/>
  <c r="B1617" i="16"/>
  <c r="D1616" i="16"/>
  <c r="C1616" i="16"/>
  <c r="B1616" i="16"/>
  <c r="D1615" i="16"/>
  <c r="C1615" i="16"/>
  <c r="B1615" i="16"/>
  <c r="D1614" i="16"/>
  <c r="C1614" i="16"/>
  <c r="B1614" i="16"/>
  <c r="D1613" i="16"/>
  <c r="C1613" i="16"/>
  <c r="B1613" i="16"/>
  <c r="D1612" i="16"/>
  <c r="C1612" i="16"/>
  <c r="B1612" i="16"/>
  <c r="D1611" i="16"/>
  <c r="C1611" i="16"/>
  <c r="B1611" i="16"/>
  <c r="D1610" i="16"/>
  <c r="C1610" i="16"/>
  <c r="B1610" i="16"/>
  <c r="A1610" i="16"/>
  <c r="D1609" i="16"/>
  <c r="C1609" i="16"/>
  <c r="B1609" i="16"/>
  <c r="A1609" i="16"/>
  <c r="D1608" i="16"/>
  <c r="C1608" i="16"/>
  <c r="B1608" i="16"/>
  <c r="A1608" i="16"/>
  <c r="D1607" i="16"/>
  <c r="C1607" i="16"/>
  <c r="B1607" i="16"/>
  <c r="A1607" i="16"/>
  <c r="D1606" i="16"/>
  <c r="C1606" i="16"/>
  <c r="B1606" i="16"/>
  <c r="A1606" i="16"/>
  <c r="D1605" i="16"/>
  <c r="C1605" i="16"/>
  <c r="B1605" i="16"/>
  <c r="A1605" i="16"/>
  <c r="D1604" i="16"/>
  <c r="C1604" i="16"/>
  <c r="B1604" i="16"/>
  <c r="A1604" i="16"/>
  <c r="D1603" i="16"/>
  <c r="C1603" i="16"/>
  <c r="B1603" i="16"/>
  <c r="A1603" i="16"/>
  <c r="D1602" i="16"/>
  <c r="C1602" i="16"/>
  <c r="B1602" i="16"/>
  <c r="A1602" i="16"/>
  <c r="D1601" i="16"/>
  <c r="C1601" i="16"/>
  <c r="B1601" i="16"/>
  <c r="A1601" i="16"/>
  <c r="D1600" i="16"/>
  <c r="C1600" i="16"/>
  <c r="B1600" i="16"/>
  <c r="A1600" i="16"/>
  <c r="D1599" i="16"/>
  <c r="C1599" i="16"/>
  <c r="B1599" i="16"/>
  <c r="A1599" i="16"/>
  <c r="D1598" i="16"/>
  <c r="C1598" i="16"/>
  <c r="B1598" i="16"/>
  <c r="A1598" i="16"/>
  <c r="D1597" i="16"/>
  <c r="C1597" i="16"/>
  <c r="B1597" i="16"/>
  <c r="A1597" i="16"/>
  <c r="D1596" i="16"/>
  <c r="C1596" i="16"/>
  <c r="B1596" i="16"/>
  <c r="A1596" i="16"/>
  <c r="D1595" i="16"/>
  <c r="C1595" i="16"/>
  <c r="B1595" i="16"/>
  <c r="A1595" i="16"/>
  <c r="D1594" i="16"/>
  <c r="C1594" i="16"/>
  <c r="B1594" i="16"/>
  <c r="A1594" i="16"/>
  <c r="D1593" i="16"/>
  <c r="C1593" i="16"/>
  <c r="B1593" i="16"/>
  <c r="A1593" i="16"/>
  <c r="D1592" i="16"/>
  <c r="C1592" i="16"/>
  <c r="B1592" i="16"/>
  <c r="A1592" i="16"/>
  <c r="D1591" i="16"/>
  <c r="C1591" i="16"/>
  <c r="B1591" i="16"/>
  <c r="A1591" i="16"/>
  <c r="D1590" i="16"/>
  <c r="C1590" i="16"/>
  <c r="B1590" i="16"/>
  <c r="A1590" i="16"/>
  <c r="D1589" i="16"/>
  <c r="C1589" i="16"/>
  <c r="B1589" i="16"/>
  <c r="A1589" i="16"/>
  <c r="D1588" i="16"/>
  <c r="C1588" i="16"/>
  <c r="B1588" i="16"/>
  <c r="A1588" i="16"/>
  <c r="D1587" i="16"/>
  <c r="C1587" i="16"/>
  <c r="B1587" i="16"/>
  <c r="A1587" i="16"/>
  <c r="D1586" i="16"/>
  <c r="C1586" i="16"/>
  <c r="B1586" i="16"/>
  <c r="A1586" i="16"/>
  <c r="D1585" i="16"/>
  <c r="C1585" i="16"/>
  <c r="B1585" i="16"/>
  <c r="A1585" i="16"/>
  <c r="D1584" i="16"/>
  <c r="C1584" i="16"/>
  <c r="B1584" i="16"/>
  <c r="A1584" i="16"/>
  <c r="D1583" i="16"/>
  <c r="C1583" i="16"/>
  <c r="B1583" i="16"/>
  <c r="A1583" i="16"/>
  <c r="D1582" i="16"/>
  <c r="C1582" i="16"/>
  <c r="B1582" i="16"/>
  <c r="A1582" i="16"/>
  <c r="D1581" i="16"/>
  <c r="C1581" i="16"/>
  <c r="B1581" i="16"/>
  <c r="A1581" i="16"/>
  <c r="D1580" i="16"/>
  <c r="C1580" i="16"/>
  <c r="B1580" i="16"/>
  <c r="A1580" i="16"/>
  <c r="D1579" i="16"/>
  <c r="C1579" i="16"/>
  <c r="B1579" i="16"/>
  <c r="A1579" i="16"/>
  <c r="D1578" i="16"/>
  <c r="C1578" i="16"/>
  <c r="B1578" i="16"/>
  <c r="A1578" i="16"/>
  <c r="D1577" i="16"/>
  <c r="C1577" i="16"/>
  <c r="B1577" i="16"/>
  <c r="A1577" i="16"/>
  <c r="D1576" i="16"/>
  <c r="C1576" i="16"/>
  <c r="B1576" i="16"/>
  <c r="A1576" i="16"/>
  <c r="D1575" i="16"/>
  <c r="C1575" i="16"/>
  <c r="B1575" i="16"/>
  <c r="A1575" i="16"/>
  <c r="D1574" i="16"/>
  <c r="C1574" i="16"/>
  <c r="B1574" i="16"/>
  <c r="A1574" i="16"/>
  <c r="D1573" i="16"/>
  <c r="C1573" i="16"/>
  <c r="B1573" i="16"/>
  <c r="A1573" i="16"/>
  <c r="D1572" i="16"/>
  <c r="C1572" i="16"/>
  <c r="B1572" i="16"/>
  <c r="A1572" i="16"/>
  <c r="D1571" i="16"/>
  <c r="C1571" i="16"/>
  <c r="B1571" i="16"/>
  <c r="A1571" i="16"/>
  <c r="D1570" i="16"/>
  <c r="C1570" i="16"/>
  <c r="B1570" i="16"/>
  <c r="A1570" i="16"/>
  <c r="D1569" i="16"/>
  <c r="C1569" i="16"/>
  <c r="B1569" i="16"/>
  <c r="A1569" i="16"/>
  <c r="D1568" i="16"/>
  <c r="C1568" i="16"/>
  <c r="B1568" i="16"/>
  <c r="A1568" i="16"/>
  <c r="D1567" i="16"/>
  <c r="C1567" i="16"/>
  <c r="B1567" i="16"/>
  <c r="A1567" i="16"/>
  <c r="D1566" i="16"/>
  <c r="C1566" i="16"/>
  <c r="B1566" i="16"/>
  <c r="A1566" i="16"/>
  <c r="D1565" i="16"/>
  <c r="C1565" i="16"/>
  <c r="B1565" i="16"/>
  <c r="A1565" i="16"/>
  <c r="D1564" i="16"/>
  <c r="C1564" i="16"/>
  <c r="B1564" i="16"/>
  <c r="A1564" i="16"/>
  <c r="D1563" i="16"/>
  <c r="C1563" i="16"/>
  <c r="B1563" i="16"/>
  <c r="A1563" i="16"/>
  <c r="D1562" i="16"/>
  <c r="C1562" i="16"/>
  <c r="B1562" i="16"/>
  <c r="A1562" i="16"/>
  <c r="D1561" i="16"/>
  <c r="C1561" i="16"/>
  <c r="B1561" i="16"/>
  <c r="A1561" i="16"/>
  <c r="D1560" i="16"/>
  <c r="C1560" i="16"/>
  <c r="B1560" i="16"/>
  <c r="A1560" i="16"/>
  <c r="D1559" i="16"/>
  <c r="C1559" i="16"/>
  <c r="B1559" i="16"/>
  <c r="A1559" i="16"/>
  <c r="D1558" i="16"/>
  <c r="C1558" i="16"/>
  <c r="B1558" i="16"/>
  <c r="A1558" i="16"/>
  <c r="D1557" i="16"/>
  <c r="C1557" i="16"/>
  <c r="B1557" i="16"/>
  <c r="A1557" i="16"/>
  <c r="D1556" i="16"/>
  <c r="C1556" i="16"/>
  <c r="B1556" i="16"/>
  <c r="A1556" i="16"/>
  <c r="D1555" i="16"/>
  <c r="C1555" i="16"/>
  <c r="B1555" i="16"/>
  <c r="A1555" i="16"/>
  <c r="D1554" i="16"/>
  <c r="C1554" i="16"/>
  <c r="B1554" i="16"/>
  <c r="A1554" i="16"/>
  <c r="D1553" i="16"/>
  <c r="C1553" i="16"/>
  <c r="B1553" i="16"/>
  <c r="A1553" i="16"/>
  <c r="D1552" i="16"/>
  <c r="C1552" i="16"/>
  <c r="B1552" i="16"/>
  <c r="A1552" i="16"/>
  <c r="D1551" i="16"/>
  <c r="C1551" i="16"/>
  <c r="B1551" i="16"/>
  <c r="A1551" i="16"/>
  <c r="D1550" i="16"/>
  <c r="C1550" i="16"/>
  <c r="B1550" i="16"/>
  <c r="A1550" i="16"/>
  <c r="D1549" i="16"/>
  <c r="C1549" i="16"/>
  <c r="B1549" i="16"/>
  <c r="A1549" i="16"/>
  <c r="D1548" i="16"/>
  <c r="C1548" i="16"/>
  <c r="B1548" i="16"/>
  <c r="A1548" i="16"/>
  <c r="D1547" i="16"/>
  <c r="C1547" i="16"/>
  <c r="B1547" i="16"/>
  <c r="A1547" i="16"/>
  <c r="D1546" i="16"/>
  <c r="C1546" i="16"/>
  <c r="B1546" i="16"/>
  <c r="A1546" i="16"/>
  <c r="D1545" i="16"/>
  <c r="C1545" i="16"/>
  <c r="B1545" i="16"/>
  <c r="A1545" i="16"/>
  <c r="D1544" i="16"/>
  <c r="C1544" i="16"/>
  <c r="B1544" i="16"/>
  <c r="A1544" i="16"/>
  <c r="D1543" i="16"/>
  <c r="C1543" i="16"/>
  <c r="B1543" i="16"/>
  <c r="A1543" i="16"/>
  <c r="D1542" i="16"/>
  <c r="C1542" i="16"/>
  <c r="B1542" i="16"/>
  <c r="A1542" i="16"/>
  <c r="D1541" i="16"/>
  <c r="C1541" i="16"/>
  <c r="B1541" i="16"/>
  <c r="A1541" i="16"/>
  <c r="D1540" i="16"/>
  <c r="C1540" i="16"/>
  <c r="B1540" i="16"/>
  <c r="A1540" i="16"/>
  <c r="D1539" i="16"/>
  <c r="C1539" i="16"/>
  <c r="B1539" i="16"/>
  <c r="A1539" i="16"/>
  <c r="D1538" i="16"/>
  <c r="C1538" i="16"/>
  <c r="B1538" i="16"/>
  <c r="A1538" i="16"/>
  <c r="D1537" i="16"/>
  <c r="C1537" i="16"/>
  <c r="B1537" i="16"/>
  <c r="A1537" i="16"/>
  <c r="D1536" i="16"/>
  <c r="C1536" i="16"/>
  <c r="B1536" i="16"/>
  <c r="A1536" i="16"/>
  <c r="D1535" i="16"/>
  <c r="C1535" i="16"/>
  <c r="B1535" i="16"/>
  <c r="A1535" i="16"/>
  <c r="D1534" i="16"/>
  <c r="C1534" i="16"/>
  <c r="B1534" i="16"/>
  <c r="A1534" i="16"/>
  <c r="D1533" i="16"/>
  <c r="C1533" i="16"/>
  <c r="B1533" i="16"/>
  <c r="A1533" i="16"/>
  <c r="D1532" i="16"/>
  <c r="C1532" i="16"/>
  <c r="B1532" i="16"/>
  <c r="A1532" i="16"/>
  <c r="D1531" i="16"/>
  <c r="C1531" i="16"/>
  <c r="B1531" i="16"/>
  <c r="A1531" i="16"/>
  <c r="D1530" i="16"/>
  <c r="C1530" i="16"/>
  <c r="B1530" i="16"/>
  <c r="A1530" i="16"/>
  <c r="D1529" i="16"/>
  <c r="C1529" i="16"/>
  <c r="B1529" i="16"/>
  <c r="A1529" i="16"/>
  <c r="D1528" i="16"/>
  <c r="C1528" i="16"/>
  <c r="B1528" i="16"/>
  <c r="A1528" i="16"/>
  <c r="D1527" i="16"/>
  <c r="C1527" i="16"/>
  <c r="B1527" i="16"/>
  <c r="A1527" i="16"/>
  <c r="D1526" i="16"/>
  <c r="C1526" i="16"/>
  <c r="B1526" i="16"/>
  <c r="A1526" i="16"/>
  <c r="D1525" i="16"/>
  <c r="C1525" i="16"/>
  <c r="B1525" i="16"/>
  <c r="A1525" i="16"/>
  <c r="D1524" i="16"/>
  <c r="C1524" i="16"/>
  <c r="B1524" i="16"/>
  <c r="A1524" i="16"/>
  <c r="D1523" i="16"/>
  <c r="C1523" i="16"/>
  <c r="B1523" i="16"/>
  <c r="A1523" i="16"/>
  <c r="D1522" i="16"/>
  <c r="C1522" i="16"/>
  <c r="B1522" i="16"/>
  <c r="A1522" i="16"/>
  <c r="D1521" i="16"/>
  <c r="C1521" i="16"/>
  <c r="B1521" i="16"/>
  <c r="A1521" i="16"/>
  <c r="D1520" i="16"/>
  <c r="C1520" i="16"/>
  <c r="B1520" i="16"/>
  <c r="A1520" i="16"/>
  <c r="D1519" i="16"/>
  <c r="C1519" i="16"/>
  <c r="B1519" i="16"/>
  <c r="A1519" i="16"/>
  <c r="D1518" i="16"/>
  <c r="C1518" i="16"/>
  <c r="B1518" i="16"/>
  <c r="A1518" i="16"/>
  <c r="D1517" i="16"/>
  <c r="C1517" i="16"/>
  <c r="B1517" i="16"/>
  <c r="A1517" i="16"/>
  <c r="D1516" i="16"/>
  <c r="C1516" i="16"/>
  <c r="B1516" i="16"/>
  <c r="A1516" i="16"/>
  <c r="D1515" i="16"/>
  <c r="C1515" i="16"/>
  <c r="B1515" i="16"/>
  <c r="A1515" i="16"/>
  <c r="D1514" i="16"/>
  <c r="C1514" i="16"/>
  <c r="B1514" i="16"/>
  <c r="A1514" i="16"/>
  <c r="D1513" i="16"/>
  <c r="C1513" i="16"/>
  <c r="B1513" i="16"/>
  <c r="A1513" i="16"/>
  <c r="D1512" i="16"/>
  <c r="C1512" i="16"/>
  <c r="B1512" i="16"/>
  <c r="A1512" i="16"/>
  <c r="D1511" i="16"/>
  <c r="C1511" i="16"/>
  <c r="B1511" i="16"/>
  <c r="A1511" i="16"/>
  <c r="D1510" i="16"/>
  <c r="C1510" i="16"/>
  <c r="B1510" i="16"/>
  <c r="A1510" i="16"/>
  <c r="D1509" i="16"/>
  <c r="C1509" i="16"/>
  <c r="B1509" i="16"/>
  <c r="A1509" i="16"/>
  <c r="D1508" i="16"/>
  <c r="C1508" i="16"/>
  <c r="B1508" i="16"/>
  <c r="A1508" i="16"/>
  <c r="D1507" i="16"/>
  <c r="C1507" i="16"/>
  <c r="B1507" i="16"/>
  <c r="A1507" i="16"/>
  <c r="D1506" i="16"/>
  <c r="C1506" i="16"/>
  <c r="B1506" i="16"/>
  <c r="A1506" i="16"/>
  <c r="D1505" i="16"/>
  <c r="C1505" i="16"/>
  <c r="B1505" i="16"/>
  <c r="A1505" i="16"/>
  <c r="D1504" i="16"/>
  <c r="C1504" i="16"/>
  <c r="B1504" i="16"/>
  <c r="A1504" i="16"/>
  <c r="D1503" i="16"/>
  <c r="C1503" i="16"/>
  <c r="B1503" i="16"/>
  <c r="A1503" i="16"/>
  <c r="D1502" i="16"/>
  <c r="C1502" i="16"/>
  <c r="B1502" i="16"/>
  <c r="A1502" i="16"/>
  <c r="D1501" i="16"/>
  <c r="C1501" i="16"/>
  <c r="B1501" i="16"/>
  <c r="A1501" i="16"/>
  <c r="D1500" i="16"/>
  <c r="C1500" i="16"/>
  <c r="B1500" i="16"/>
  <c r="A1500" i="16"/>
  <c r="D1499" i="16"/>
  <c r="C1499" i="16"/>
  <c r="B1499" i="16"/>
  <c r="A1499" i="16"/>
  <c r="D1498" i="16"/>
  <c r="C1498" i="16"/>
  <c r="B1498" i="16"/>
  <c r="A1498" i="16"/>
  <c r="D1497" i="16"/>
  <c r="C1497" i="16"/>
  <c r="B1497" i="16"/>
  <c r="A1497" i="16"/>
  <c r="D1496" i="16"/>
  <c r="C1496" i="16"/>
  <c r="B1496" i="16"/>
  <c r="A1496" i="16"/>
  <c r="D1495" i="16"/>
  <c r="C1495" i="16"/>
  <c r="B1495" i="16"/>
  <c r="A1495" i="16"/>
  <c r="D1494" i="16"/>
  <c r="C1494" i="16"/>
  <c r="B1494" i="16"/>
  <c r="A1494" i="16"/>
  <c r="D1493" i="16"/>
  <c r="C1493" i="16"/>
  <c r="B1493" i="16"/>
  <c r="A1493" i="16"/>
  <c r="D1492" i="16"/>
  <c r="C1492" i="16"/>
  <c r="B1492" i="16"/>
  <c r="A1492" i="16"/>
  <c r="D1491" i="16"/>
  <c r="C1491" i="16"/>
  <c r="B1491" i="16"/>
  <c r="A1491" i="16"/>
  <c r="D1490" i="16"/>
  <c r="C1490" i="16"/>
  <c r="B1490" i="16"/>
  <c r="A1490" i="16"/>
  <c r="D1489" i="16"/>
  <c r="C1489" i="16"/>
  <c r="B1489" i="16"/>
  <c r="A1489" i="16"/>
  <c r="D1488" i="16"/>
  <c r="C1488" i="16"/>
  <c r="B1488" i="16"/>
  <c r="A1488" i="16"/>
  <c r="D1487" i="16"/>
  <c r="C1487" i="16"/>
  <c r="B1487" i="16"/>
  <c r="A1487" i="16"/>
  <c r="D1486" i="16"/>
  <c r="C1486" i="16"/>
  <c r="B1486" i="16"/>
  <c r="A1486" i="16"/>
  <c r="D1485" i="16"/>
  <c r="C1485" i="16"/>
  <c r="B1485" i="16"/>
  <c r="A1485" i="16"/>
  <c r="D1484" i="16"/>
  <c r="C1484" i="16"/>
  <c r="B1484" i="16"/>
  <c r="A1484" i="16"/>
  <c r="D1483" i="16"/>
  <c r="C1483" i="16"/>
  <c r="B1483" i="16"/>
  <c r="A1483" i="16"/>
  <c r="D1482" i="16"/>
  <c r="C1482" i="16"/>
  <c r="B1482" i="16"/>
  <c r="A1482" i="16"/>
  <c r="D1481" i="16"/>
  <c r="C1481" i="16"/>
  <c r="B1481" i="16"/>
  <c r="A1481" i="16"/>
  <c r="D1480" i="16"/>
  <c r="C1480" i="16"/>
  <c r="B1480" i="16"/>
  <c r="A1480" i="16"/>
  <c r="D1479" i="16"/>
  <c r="C1479" i="16"/>
  <c r="B1479" i="16"/>
  <c r="A1479" i="16"/>
  <c r="D1478" i="16"/>
  <c r="C1478" i="16"/>
  <c r="B1478" i="16"/>
  <c r="A1478" i="16"/>
  <c r="D1477" i="16"/>
  <c r="C1477" i="16"/>
  <c r="B1477" i="16"/>
  <c r="A1477" i="16"/>
  <c r="D1476" i="16"/>
  <c r="C1476" i="16"/>
  <c r="B1476" i="16"/>
  <c r="A1476" i="16"/>
  <c r="D1475" i="16"/>
  <c r="C1475" i="16"/>
  <c r="B1475" i="16"/>
  <c r="A1475" i="16"/>
  <c r="D1474" i="16"/>
  <c r="C1474" i="16"/>
  <c r="B1474" i="16"/>
  <c r="A1474" i="16"/>
  <c r="D1473" i="16"/>
  <c r="C1473" i="16"/>
  <c r="B1473" i="16"/>
  <c r="A1473" i="16"/>
  <c r="D1472" i="16"/>
  <c r="C1472" i="16"/>
  <c r="B1472" i="16"/>
  <c r="A1472" i="16"/>
  <c r="D1471" i="16"/>
  <c r="C1471" i="16"/>
  <c r="B1471" i="16"/>
  <c r="A1471" i="16"/>
  <c r="D1470" i="16"/>
  <c r="C1470" i="16"/>
  <c r="B1470" i="16"/>
  <c r="A1470" i="16"/>
  <c r="D1469" i="16"/>
  <c r="C1469" i="16"/>
  <c r="B1469" i="16"/>
  <c r="A1469" i="16"/>
  <c r="D1468" i="16"/>
  <c r="C1468" i="16"/>
  <c r="B1468" i="16"/>
  <c r="A1468" i="16"/>
  <c r="D1467" i="16"/>
  <c r="C1467" i="16"/>
  <c r="B1467" i="16"/>
  <c r="A1467" i="16"/>
  <c r="D1466" i="16"/>
  <c r="C1466" i="16"/>
  <c r="B1466" i="16"/>
  <c r="A1466" i="16"/>
  <c r="D1465" i="16"/>
  <c r="C1465" i="16"/>
  <c r="B1465" i="16"/>
  <c r="A1465" i="16"/>
  <c r="D1464" i="16"/>
  <c r="C1464" i="16"/>
  <c r="B1464" i="16"/>
  <c r="A1464" i="16"/>
  <c r="D1463" i="16"/>
  <c r="C1463" i="16"/>
  <c r="B1463" i="16"/>
  <c r="A1463" i="16"/>
  <c r="D1462" i="16"/>
  <c r="C1462" i="16"/>
  <c r="B1462" i="16"/>
  <c r="A1462" i="16"/>
  <c r="D1461" i="16"/>
  <c r="C1461" i="16"/>
  <c r="B1461" i="16"/>
  <c r="A1461" i="16"/>
  <c r="D1460" i="16"/>
  <c r="C1460" i="16"/>
  <c r="B1460" i="16"/>
  <c r="A1460" i="16"/>
  <c r="D1459" i="16"/>
  <c r="C1459" i="16"/>
  <c r="B1459" i="16"/>
  <c r="A1459" i="16"/>
  <c r="D1458" i="16"/>
  <c r="C1458" i="16"/>
  <c r="B1458" i="16"/>
  <c r="A1458" i="16"/>
  <c r="D1457" i="16"/>
  <c r="C1457" i="16"/>
  <c r="B1457" i="16"/>
  <c r="A1457" i="16"/>
  <c r="D1456" i="16"/>
  <c r="C1456" i="16"/>
  <c r="B1456" i="16"/>
  <c r="A1456" i="16"/>
  <c r="D1455" i="16"/>
  <c r="C1455" i="16"/>
  <c r="B1455" i="16"/>
  <c r="A1455" i="16"/>
  <c r="D1454" i="16"/>
  <c r="C1454" i="16"/>
  <c r="B1454" i="16"/>
  <c r="A1454" i="16"/>
  <c r="D1453" i="16"/>
  <c r="C1453" i="16"/>
  <c r="B1453" i="16"/>
  <c r="A1453" i="16"/>
  <c r="D1452" i="16"/>
  <c r="C1452" i="16"/>
  <c r="B1452" i="16"/>
  <c r="A1452" i="16"/>
  <c r="D1451" i="16"/>
  <c r="C1451" i="16"/>
  <c r="B1451" i="16"/>
  <c r="A1451" i="16"/>
  <c r="D1450" i="16"/>
  <c r="C1450" i="16"/>
  <c r="B1450" i="16"/>
  <c r="A1450" i="16"/>
  <c r="D1449" i="16"/>
  <c r="C1449" i="16"/>
  <c r="B1449" i="16"/>
  <c r="A1449" i="16"/>
  <c r="D1448" i="16"/>
  <c r="C1448" i="16"/>
  <c r="B1448" i="16"/>
  <c r="A1448" i="16"/>
  <c r="D1447" i="16"/>
  <c r="C1447" i="16"/>
  <c r="B1447" i="16"/>
  <c r="A1447" i="16"/>
  <c r="D1446" i="16"/>
  <c r="C1446" i="16"/>
  <c r="B1446" i="16"/>
  <c r="A1446" i="16"/>
  <c r="D1445" i="16"/>
  <c r="C1445" i="16"/>
  <c r="B1445" i="16"/>
  <c r="A1445" i="16"/>
  <c r="D1444" i="16"/>
  <c r="C1444" i="16"/>
  <c r="B1444" i="16"/>
  <c r="A1444" i="16"/>
  <c r="D1443" i="16"/>
  <c r="C1443" i="16"/>
  <c r="B1443" i="16"/>
  <c r="A1443" i="16"/>
  <c r="D1442" i="16"/>
  <c r="C1442" i="16"/>
  <c r="B1442" i="16"/>
  <c r="A1442" i="16"/>
  <c r="D1441" i="16"/>
  <c r="C1441" i="16"/>
  <c r="B1441" i="16"/>
  <c r="A1441" i="16"/>
  <c r="D1440" i="16"/>
  <c r="C1440" i="16"/>
  <c r="B1440" i="16"/>
  <c r="A1440" i="16"/>
  <c r="D1439" i="16"/>
  <c r="C1439" i="16"/>
  <c r="B1439" i="16"/>
  <c r="A1439" i="16"/>
  <c r="D1438" i="16"/>
  <c r="C1438" i="16"/>
  <c r="B1438" i="16"/>
  <c r="A1438" i="16"/>
  <c r="D1437" i="16"/>
  <c r="C1437" i="16"/>
  <c r="B1437" i="16"/>
  <c r="A1437" i="16"/>
  <c r="D1436" i="16"/>
  <c r="C1436" i="16"/>
  <c r="B1436" i="16"/>
  <c r="A1436" i="16"/>
  <c r="D1435" i="16"/>
  <c r="C1435" i="16"/>
  <c r="B1435" i="16"/>
  <c r="A1435" i="16"/>
  <c r="D1434" i="16"/>
  <c r="C1434" i="16"/>
  <c r="B1434" i="16"/>
  <c r="A1434" i="16"/>
  <c r="D1433" i="16"/>
  <c r="C1433" i="16"/>
  <c r="B1433" i="16"/>
  <c r="A1433" i="16"/>
  <c r="D1432" i="16"/>
  <c r="C1432" i="16"/>
  <c r="B1432" i="16"/>
  <c r="A1432" i="16"/>
  <c r="D1431" i="16"/>
  <c r="C1431" i="16"/>
  <c r="B1431" i="16"/>
  <c r="A1431" i="16"/>
  <c r="D1430" i="16"/>
  <c r="C1430" i="16"/>
  <c r="B1430" i="16"/>
  <c r="A1430" i="16"/>
  <c r="D1429" i="16"/>
  <c r="C1429" i="16"/>
  <c r="B1429" i="16"/>
  <c r="A1429" i="16"/>
  <c r="D1428" i="16"/>
  <c r="C1428" i="16"/>
  <c r="B1428" i="16"/>
  <c r="A1428" i="16"/>
  <c r="D1427" i="16"/>
  <c r="C1427" i="16"/>
  <c r="B1427" i="16"/>
  <c r="A1427" i="16"/>
  <c r="D1426" i="16"/>
  <c r="C1426" i="16"/>
  <c r="B1426" i="16"/>
  <c r="A1426" i="16"/>
  <c r="D1425" i="16"/>
  <c r="C1425" i="16"/>
  <c r="B1425" i="16"/>
  <c r="A1425" i="16"/>
  <c r="D1424" i="16"/>
  <c r="C1424" i="16"/>
  <c r="B1424" i="16"/>
  <c r="A1424" i="16"/>
  <c r="D1423" i="16"/>
  <c r="C1423" i="16"/>
  <c r="B1423" i="16"/>
  <c r="A1423" i="16"/>
  <c r="D1422" i="16"/>
  <c r="C1422" i="16"/>
  <c r="B1422" i="16"/>
  <c r="A1422" i="16"/>
  <c r="D1421" i="16"/>
  <c r="C1421" i="16"/>
  <c r="B1421" i="16"/>
  <c r="A1421" i="16"/>
  <c r="D1420" i="16"/>
  <c r="C1420" i="16"/>
  <c r="B1420" i="16"/>
  <c r="A1420" i="16"/>
  <c r="D1419" i="16"/>
  <c r="C1419" i="16"/>
  <c r="B1419" i="16"/>
  <c r="A1419" i="16"/>
  <c r="D1418" i="16"/>
  <c r="C1418" i="16"/>
  <c r="B1418" i="16"/>
  <c r="A1418" i="16"/>
  <c r="D1417" i="16"/>
  <c r="C1417" i="16"/>
  <c r="B1417" i="16"/>
  <c r="A1417" i="16"/>
  <c r="D1416" i="16"/>
  <c r="C1416" i="16"/>
  <c r="B1416" i="16"/>
  <c r="A1416" i="16"/>
  <c r="D1415" i="16"/>
  <c r="C1415" i="16"/>
  <c r="B1415" i="16"/>
  <c r="A1415" i="16"/>
  <c r="D1414" i="16"/>
  <c r="C1414" i="16"/>
  <c r="B1414" i="16"/>
  <c r="A1414" i="16"/>
  <c r="D1413" i="16"/>
  <c r="C1413" i="16"/>
  <c r="B1413" i="16"/>
  <c r="A1413" i="16"/>
  <c r="D1412" i="16"/>
  <c r="C1412" i="16"/>
  <c r="B1412" i="16"/>
  <c r="A1412" i="16"/>
  <c r="D1411" i="16"/>
  <c r="C1411" i="16"/>
  <c r="B1411" i="16"/>
  <c r="A1411" i="16"/>
  <c r="D1410" i="16"/>
  <c r="C1410" i="16"/>
  <c r="B1410" i="16"/>
  <c r="A1410" i="16"/>
  <c r="D1409" i="16"/>
  <c r="C1409" i="16"/>
  <c r="B1409" i="16"/>
  <c r="A1409" i="16"/>
  <c r="D1408" i="16"/>
  <c r="C1408" i="16"/>
  <c r="B1408" i="16"/>
  <c r="A1408" i="16"/>
  <c r="D1407" i="16"/>
  <c r="C1407" i="16"/>
  <c r="B1407" i="16"/>
  <c r="A1407" i="16"/>
  <c r="D1406" i="16"/>
  <c r="C1406" i="16"/>
  <c r="B1406" i="16"/>
  <c r="A1406" i="16"/>
  <c r="D1405" i="16"/>
  <c r="C1405" i="16"/>
  <c r="B1405" i="16"/>
  <c r="A1405" i="16"/>
  <c r="D1404" i="16"/>
  <c r="C1404" i="16"/>
  <c r="B1404" i="16"/>
  <c r="A1404" i="16"/>
  <c r="D1403" i="16"/>
  <c r="C1403" i="16"/>
  <c r="B1403" i="16"/>
  <c r="A1403" i="16"/>
  <c r="D1402" i="16"/>
  <c r="C1402" i="16"/>
  <c r="B1402" i="16"/>
  <c r="A1402" i="16"/>
  <c r="D1401" i="16"/>
  <c r="C1401" i="16"/>
  <c r="B1401" i="16"/>
  <c r="A1401" i="16"/>
  <c r="D1400" i="16"/>
  <c r="C1400" i="16"/>
  <c r="B1400" i="16"/>
  <c r="A1400" i="16"/>
  <c r="D1399" i="16"/>
  <c r="C1399" i="16"/>
  <c r="B1399" i="16"/>
  <c r="A1399" i="16"/>
  <c r="D1398" i="16"/>
  <c r="C1398" i="16"/>
  <c r="B1398" i="16"/>
  <c r="A1398" i="16"/>
  <c r="D1397" i="16"/>
  <c r="C1397" i="16"/>
  <c r="B1397" i="16"/>
  <c r="A1397" i="16"/>
  <c r="D1396" i="16"/>
  <c r="C1396" i="16"/>
  <c r="B1396" i="16"/>
  <c r="A1396" i="16"/>
  <c r="D1395" i="16"/>
  <c r="C1395" i="16"/>
  <c r="B1395" i="16"/>
  <c r="A1395" i="16"/>
  <c r="D1394" i="16"/>
  <c r="C1394" i="16"/>
  <c r="B1394" i="16"/>
  <c r="A1394" i="16"/>
  <c r="D1393" i="16"/>
  <c r="C1393" i="16"/>
  <c r="B1393" i="16"/>
  <c r="A1393" i="16"/>
  <c r="D1392" i="16"/>
  <c r="C1392" i="16"/>
  <c r="B1392" i="16"/>
  <c r="A1392" i="16"/>
  <c r="D1391" i="16"/>
  <c r="C1391" i="16"/>
  <c r="B1391" i="16"/>
  <c r="A1391" i="16"/>
  <c r="D1390" i="16"/>
  <c r="C1390" i="16"/>
  <c r="B1390" i="16"/>
  <c r="A1390" i="16"/>
  <c r="D1389" i="16"/>
  <c r="C1389" i="16"/>
  <c r="B1389" i="16"/>
  <c r="A1389" i="16"/>
  <c r="D1388" i="16"/>
  <c r="C1388" i="16"/>
  <c r="B1388" i="16"/>
  <c r="A1388" i="16"/>
  <c r="D1387" i="16"/>
  <c r="C1387" i="16"/>
  <c r="B1387" i="16"/>
  <c r="A1387" i="16"/>
  <c r="D1386" i="16"/>
  <c r="C1386" i="16"/>
  <c r="B1386" i="16"/>
  <c r="A1386" i="16"/>
  <c r="D1385" i="16"/>
  <c r="C1385" i="16"/>
  <c r="B1385" i="16"/>
  <c r="A1385" i="16"/>
  <c r="D1384" i="16"/>
  <c r="C1384" i="16"/>
  <c r="B1384" i="16"/>
  <c r="A1384" i="16"/>
  <c r="D1383" i="16"/>
  <c r="C1383" i="16"/>
  <c r="B1383" i="16"/>
  <c r="A1383" i="16"/>
  <c r="D1382" i="16"/>
  <c r="C1382" i="16"/>
  <c r="B1382" i="16"/>
  <c r="A1382" i="16"/>
  <c r="D1381" i="16"/>
  <c r="C1381" i="16"/>
  <c r="B1381" i="16"/>
  <c r="A1381" i="16"/>
  <c r="D1380" i="16"/>
  <c r="C1380" i="16"/>
  <c r="B1380" i="16"/>
  <c r="A1380" i="16"/>
  <c r="D1379" i="16"/>
  <c r="C1379" i="16"/>
  <c r="B1379" i="16"/>
  <c r="A1379" i="16"/>
  <c r="D1378" i="16"/>
  <c r="C1378" i="16"/>
  <c r="B1378" i="16"/>
  <c r="A1378" i="16"/>
  <c r="D1377" i="16"/>
  <c r="C1377" i="16"/>
  <c r="B1377" i="16"/>
  <c r="A1377" i="16"/>
  <c r="D1376" i="16"/>
  <c r="C1376" i="16"/>
  <c r="B1376" i="16"/>
  <c r="A1376" i="16"/>
  <c r="D1375" i="16"/>
  <c r="C1375" i="16"/>
  <c r="B1375" i="16"/>
  <c r="A1375" i="16"/>
  <c r="D1374" i="16"/>
  <c r="C1374" i="16"/>
  <c r="B1374" i="16"/>
  <c r="A1374" i="16"/>
  <c r="D1373" i="16"/>
  <c r="C1373" i="16"/>
  <c r="B1373" i="16"/>
  <c r="A1373" i="16"/>
  <c r="D1372" i="16"/>
  <c r="C1372" i="16"/>
  <c r="B1372" i="16"/>
  <c r="A1372" i="16"/>
  <c r="D1371" i="16"/>
  <c r="C1371" i="16"/>
  <c r="B1371" i="16"/>
  <c r="A1371" i="16"/>
  <c r="D1370" i="16"/>
  <c r="C1370" i="16"/>
  <c r="B1370" i="16"/>
  <c r="A1370" i="16"/>
  <c r="D1369" i="16"/>
  <c r="C1369" i="16"/>
  <c r="B1369" i="16"/>
  <c r="A1369" i="16"/>
  <c r="D1368" i="16"/>
  <c r="C1368" i="16"/>
  <c r="B1368" i="16"/>
  <c r="A1368" i="16"/>
  <c r="D1367" i="16"/>
  <c r="C1367" i="16"/>
  <c r="B1367" i="16"/>
  <c r="A1367" i="16"/>
  <c r="D1366" i="16"/>
  <c r="C1366" i="16"/>
  <c r="B1366" i="16"/>
  <c r="A1366" i="16"/>
  <c r="D1365" i="16"/>
  <c r="C1365" i="16"/>
  <c r="B1365" i="16"/>
  <c r="A1365" i="16"/>
  <c r="D1364" i="16"/>
  <c r="C1364" i="16"/>
  <c r="B1364" i="16"/>
  <c r="A1364" i="16"/>
  <c r="D1363" i="16"/>
  <c r="C1363" i="16"/>
  <c r="B1363" i="16"/>
  <c r="A1363" i="16"/>
  <c r="D1362" i="16"/>
  <c r="C1362" i="16"/>
  <c r="B1362" i="16"/>
  <c r="A1362" i="16"/>
  <c r="D1361" i="16"/>
  <c r="C1361" i="16"/>
  <c r="B1361" i="16"/>
  <c r="A1361" i="16"/>
  <c r="D1360" i="16"/>
  <c r="C1360" i="16"/>
  <c r="B1360" i="16"/>
  <c r="A1360" i="16"/>
  <c r="D1359" i="16"/>
  <c r="C1359" i="16"/>
  <c r="B1359" i="16"/>
  <c r="A1359" i="16"/>
  <c r="D1358" i="16"/>
  <c r="C1358" i="16"/>
  <c r="B1358" i="16"/>
  <c r="A1358" i="16"/>
  <c r="D1357" i="16"/>
  <c r="C1357" i="16"/>
  <c r="B1357" i="16"/>
  <c r="A1357" i="16"/>
  <c r="D1356" i="16"/>
  <c r="C1356" i="16"/>
  <c r="B1356" i="16"/>
  <c r="A1356" i="16"/>
  <c r="D1355" i="16"/>
  <c r="C1355" i="16"/>
  <c r="B1355" i="16"/>
  <c r="A1355" i="16"/>
  <c r="D1354" i="16"/>
  <c r="C1354" i="16"/>
  <c r="B1354" i="16"/>
  <c r="A1354" i="16"/>
  <c r="D1353" i="16"/>
  <c r="C1353" i="16"/>
  <c r="B1353" i="16"/>
  <c r="A1353" i="16"/>
  <c r="D1352" i="16"/>
  <c r="C1352" i="16"/>
  <c r="B1352" i="16"/>
  <c r="A1352" i="16"/>
  <c r="D1351" i="16"/>
  <c r="C1351" i="16"/>
  <c r="B1351" i="16"/>
  <c r="A1351" i="16"/>
  <c r="D1350" i="16"/>
  <c r="C1350" i="16"/>
  <c r="B1350" i="16"/>
  <c r="A1350" i="16"/>
  <c r="D1349" i="16"/>
  <c r="C1349" i="16"/>
  <c r="B1349" i="16"/>
  <c r="A1349" i="16"/>
  <c r="D1348" i="16"/>
  <c r="C1348" i="16"/>
  <c r="B1348" i="16"/>
  <c r="A1348" i="16"/>
  <c r="D1347" i="16"/>
  <c r="C1347" i="16"/>
  <c r="B1347" i="16"/>
  <c r="A1347" i="16"/>
  <c r="D1346" i="16"/>
  <c r="C1346" i="16"/>
  <c r="B1346" i="16"/>
  <c r="A1346" i="16"/>
  <c r="D1345" i="16"/>
  <c r="C1345" i="16"/>
  <c r="B1345" i="16"/>
  <c r="A1345" i="16"/>
  <c r="D1344" i="16"/>
  <c r="C1344" i="16"/>
  <c r="B1344" i="16"/>
  <c r="A1344" i="16"/>
  <c r="D1343" i="16"/>
  <c r="C1343" i="16"/>
  <c r="B1343" i="16"/>
  <c r="A1343" i="16"/>
  <c r="D1342" i="16"/>
  <c r="C1342" i="16"/>
  <c r="B1342" i="16"/>
  <c r="A1342" i="16"/>
  <c r="D1341" i="16"/>
  <c r="C1341" i="16"/>
  <c r="B1341" i="16"/>
  <c r="A1341" i="16"/>
  <c r="D1340" i="16"/>
  <c r="C1340" i="16"/>
  <c r="B1340" i="16"/>
  <c r="A1340" i="16"/>
  <c r="D1339" i="16"/>
  <c r="C1339" i="16"/>
  <c r="B1339" i="16"/>
  <c r="A1339" i="16"/>
  <c r="D1338" i="16"/>
  <c r="C1338" i="16"/>
  <c r="B1338" i="16"/>
  <c r="A1338" i="16"/>
  <c r="D1337" i="16"/>
  <c r="C1337" i="16"/>
  <c r="B1337" i="16"/>
  <c r="A1337" i="16"/>
  <c r="D1336" i="16"/>
  <c r="C1336" i="16"/>
  <c r="B1336" i="16"/>
  <c r="A1336" i="16"/>
  <c r="D1335" i="16"/>
  <c r="C1335" i="16"/>
  <c r="B1335" i="16"/>
  <c r="A1335" i="16"/>
  <c r="D1334" i="16"/>
  <c r="C1334" i="16"/>
  <c r="B1334" i="16"/>
  <c r="A1334" i="16"/>
  <c r="D1333" i="16"/>
  <c r="C1333" i="16"/>
  <c r="B1333" i="16"/>
  <c r="A1333" i="16"/>
  <c r="D1332" i="16"/>
  <c r="C1332" i="16"/>
  <c r="B1332" i="16"/>
  <c r="A1332" i="16"/>
  <c r="D1331" i="16"/>
  <c r="C1331" i="16"/>
  <c r="B1331" i="16"/>
  <c r="A1331" i="16"/>
  <c r="D1330" i="16"/>
  <c r="C1330" i="16"/>
  <c r="B1330" i="16"/>
  <c r="A1330" i="16"/>
  <c r="D1329" i="16"/>
  <c r="C1329" i="16"/>
  <c r="B1329" i="16"/>
  <c r="A1329" i="16"/>
  <c r="D1328" i="16"/>
  <c r="C1328" i="16"/>
  <c r="B1328" i="16"/>
  <c r="A1328" i="16"/>
  <c r="D1327" i="16"/>
  <c r="C1327" i="16"/>
  <c r="B1327" i="16"/>
  <c r="A1327" i="16"/>
  <c r="D1326" i="16"/>
  <c r="C1326" i="16"/>
  <c r="B1326" i="16"/>
  <c r="A1326" i="16"/>
  <c r="D1325" i="16"/>
  <c r="C1325" i="16"/>
  <c r="B1325" i="16"/>
  <c r="A1325" i="16"/>
  <c r="D1324" i="16"/>
  <c r="C1324" i="16"/>
  <c r="B1324" i="16"/>
  <c r="A1324" i="16"/>
  <c r="D1323" i="16"/>
  <c r="C1323" i="16"/>
  <c r="B1323" i="16"/>
  <c r="A1323" i="16"/>
  <c r="D1322" i="16"/>
  <c r="C1322" i="16"/>
  <c r="B1322" i="16"/>
  <c r="A1322" i="16"/>
  <c r="D1321" i="16"/>
  <c r="C1321" i="16"/>
  <c r="B1321" i="16"/>
  <c r="A1321" i="16"/>
  <c r="D1320" i="16"/>
  <c r="C1320" i="16"/>
  <c r="B1320" i="16"/>
  <c r="A1320" i="16"/>
  <c r="D1319" i="16"/>
  <c r="C1319" i="16"/>
  <c r="B1319" i="16"/>
  <c r="A1319" i="16"/>
  <c r="D1318" i="16"/>
  <c r="C1318" i="16"/>
  <c r="B1318" i="16"/>
  <c r="A1318" i="16"/>
  <c r="D1317" i="16"/>
  <c r="C1317" i="16"/>
  <c r="B1317" i="16"/>
  <c r="A1317" i="16"/>
  <c r="D1316" i="16"/>
  <c r="C1316" i="16"/>
  <c r="B1316" i="16"/>
  <c r="A1316" i="16"/>
  <c r="D1315" i="16"/>
  <c r="C1315" i="16"/>
  <c r="B1315" i="16"/>
  <c r="A1315" i="16"/>
  <c r="D1314" i="16"/>
  <c r="C1314" i="16"/>
  <c r="B1314" i="16"/>
  <c r="A1314" i="16"/>
  <c r="D1313" i="16"/>
  <c r="C1313" i="16"/>
  <c r="B1313" i="16"/>
  <c r="A1313" i="16"/>
  <c r="D1312" i="16"/>
  <c r="C1312" i="16"/>
  <c r="B1312" i="16"/>
  <c r="A1312" i="16"/>
  <c r="D1311" i="16"/>
  <c r="C1311" i="16"/>
  <c r="B1311" i="16"/>
  <c r="A1311" i="16"/>
  <c r="D1310" i="16"/>
  <c r="C1310" i="16"/>
  <c r="B1310" i="16"/>
  <c r="A1310" i="16"/>
  <c r="D1309" i="16"/>
  <c r="C1309" i="16"/>
  <c r="B1309" i="16"/>
  <c r="A1309" i="16"/>
  <c r="D1308" i="16"/>
  <c r="C1308" i="16"/>
  <c r="B1308" i="16"/>
  <c r="A1308" i="16"/>
  <c r="D1307" i="16"/>
  <c r="C1307" i="16"/>
  <c r="B1307" i="16"/>
  <c r="A1307" i="16"/>
  <c r="D1306" i="16"/>
  <c r="C1306" i="16"/>
  <c r="B1306" i="16"/>
  <c r="A1306" i="16"/>
  <c r="D1305" i="16"/>
  <c r="C1305" i="16"/>
  <c r="B1305" i="16"/>
  <c r="A1305" i="16"/>
  <c r="D1304" i="16"/>
  <c r="C1304" i="16"/>
  <c r="B1304" i="16"/>
  <c r="A1304" i="16"/>
  <c r="D1303" i="16"/>
  <c r="C1303" i="16"/>
  <c r="B1303" i="16"/>
  <c r="A1303" i="16"/>
  <c r="D1302" i="16"/>
  <c r="C1302" i="16"/>
  <c r="B1302" i="16"/>
  <c r="A1302" i="16"/>
  <c r="D1301" i="16"/>
  <c r="C1301" i="16"/>
  <c r="B1301" i="16"/>
  <c r="A1301" i="16"/>
  <c r="D1300" i="16"/>
  <c r="C1300" i="16"/>
  <c r="B1300" i="16"/>
  <c r="A1300" i="16"/>
  <c r="D1299" i="16"/>
  <c r="C1299" i="16"/>
  <c r="B1299" i="16"/>
  <c r="A1299" i="16"/>
  <c r="D1298" i="16"/>
  <c r="C1298" i="16"/>
  <c r="B1298" i="16"/>
  <c r="A1298" i="16"/>
  <c r="D1297" i="16"/>
  <c r="C1297" i="16"/>
  <c r="B1297" i="16"/>
  <c r="A1297" i="16"/>
  <c r="D1296" i="16"/>
  <c r="C1296" i="16"/>
  <c r="B1296" i="16"/>
  <c r="A1296" i="16"/>
  <c r="D1295" i="16"/>
  <c r="C1295" i="16"/>
  <c r="B1295" i="16"/>
  <c r="A1295" i="16"/>
  <c r="D1294" i="16"/>
  <c r="C1294" i="16"/>
  <c r="B1294" i="16"/>
  <c r="A1294" i="16"/>
  <c r="D1293" i="16"/>
  <c r="C1293" i="16"/>
  <c r="B1293" i="16"/>
  <c r="A1293" i="16"/>
  <c r="D1292" i="16"/>
  <c r="C1292" i="16"/>
  <c r="B1292" i="16"/>
  <c r="A1292" i="16"/>
  <c r="D1291" i="16"/>
  <c r="C1291" i="16"/>
  <c r="B1291" i="16"/>
  <c r="A1291" i="16"/>
  <c r="D1290" i="16"/>
  <c r="C1290" i="16"/>
  <c r="B1290" i="16"/>
  <c r="A1290" i="16"/>
  <c r="D1289" i="16"/>
  <c r="C1289" i="16"/>
  <c r="B1289" i="16"/>
  <c r="A1289" i="16"/>
  <c r="D1288" i="16"/>
  <c r="C1288" i="16"/>
  <c r="B1288" i="16"/>
  <c r="A1288" i="16"/>
  <c r="D1287" i="16"/>
  <c r="C1287" i="16"/>
  <c r="B1287" i="16"/>
  <c r="A1287" i="16"/>
  <c r="D1286" i="16"/>
  <c r="C1286" i="16"/>
  <c r="B1286" i="16"/>
  <c r="A1286" i="16"/>
  <c r="D1285" i="16"/>
  <c r="C1285" i="16"/>
  <c r="B1285" i="16"/>
  <c r="A1285" i="16"/>
  <c r="D1284" i="16"/>
  <c r="C1284" i="16"/>
  <c r="B1284" i="16"/>
  <c r="A1284" i="16"/>
  <c r="D1283" i="16"/>
  <c r="C1283" i="16"/>
  <c r="B1283" i="16"/>
  <c r="A1283" i="16"/>
  <c r="D1282" i="16"/>
  <c r="C1282" i="16"/>
  <c r="B1282" i="16"/>
  <c r="A1282" i="16"/>
  <c r="D1281" i="16"/>
  <c r="C1281" i="16"/>
  <c r="B1281" i="16"/>
  <c r="A1281" i="16"/>
  <c r="D1280" i="16"/>
  <c r="C1280" i="16"/>
  <c r="B1280" i="16"/>
  <c r="A1280" i="16"/>
  <c r="D1279" i="16"/>
  <c r="C1279" i="16"/>
  <c r="B1279" i="16"/>
  <c r="A1279" i="16"/>
  <c r="D1278" i="16"/>
  <c r="C1278" i="16"/>
  <c r="B1278" i="16"/>
  <c r="A1278" i="16"/>
  <c r="D1277" i="16"/>
  <c r="C1277" i="16"/>
  <c r="B1277" i="16"/>
  <c r="A1277" i="16"/>
  <c r="D1276" i="16"/>
  <c r="C1276" i="16"/>
  <c r="B1276" i="16"/>
  <c r="A1276" i="16"/>
  <c r="D1275" i="16"/>
  <c r="C1275" i="16"/>
  <c r="B1275" i="16"/>
  <c r="A1275" i="16"/>
  <c r="D1274" i="16"/>
  <c r="C1274" i="16"/>
  <c r="B1274" i="16"/>
  <c r="A1274" i="16"/>
  <c r="D1273" i="16"/>
  <c r="C1273" i="16"/>
  <c r="B1273" i="16"/>
  <c r="A1273" i="16"/>
  <c r="D1272" i="16"/>
  <c r="C1272" i="16"/>
  <c r="B1272" i="16"/>
  <c r="A1272" i="16"/>
  <c r="D1271" i="16"/>
  <c r="C1271" i="16"/>
  <c r="B1271" i="16"/>
  <c r="A1271" i="16"/>
  <c r="D1270" i="16"/>
  <c r="C1270" i="16"/>
  <c r="B1270" i="16"/>
  <c r="A1270" i="16"/>
  <c r="D1269" i="16"/>
  <c r="C1269" i="16"/>
  <c r="B1269" i="16"/>
  <c r="A1269" i="16"/>
  <c r="D1268" i="16"/>
  <c r="C1268" i="16"/>
  <c r="B1268" i="16"/>
  <c r="A1268" i="16"/>
  <c r="D1267" i="16"/>
  <c r="C1267" i="16"/>
  <c r="B1267" i="16"/>
  <c r="A1267" i="16"/>
  <c r="D1266" i="16"/>
  <c r="C1266" i="16"/>
  <c r="B1266" i="16"/>
  <c r="A1266" i="16"/>
  <c r="D1265" i="16"/>
  <c r="C1265" i="16"/>
  <c r="B1265" i="16"/>
  <c r="A1265" i="16"/>
  <c r="D1264" i="16"/>
  <c r="C1264" i="16"/>
  <c r="B1264" i="16"/>
  <c r="A1264" i="16"/>
  <c r="D1263" i="16"/>
  <c r="C1263" i="16"/>
  <c r="B1263" i="16"/>
  <c r="A1263" i="16"/>
  <c r="D1262" i="16"/>
  <c r="C1262" i="16"/>
  <c r="B1262" i="16"/>
  <c r="A1262" i="16"/>
  <c r="D1261" i="16"/>
  <c r="C1261" i="16"/>
  <c r="B1261" i="16"/>
  <c r="A1261" i="16"/>
  <c r="D1260" i="16"/>
  <c r="C1260" i="16"/>
  <c r="B1260" i="16"/>
  <c r="A1260" i="16"/>
  <c r="D1259" i="16"/>
  <c r="C1259" i="16"/>
  <c r="B1259" i="16"/>
  <c r="A1259" i="16"/>
  <c r="D1258" i="16"/>
  <c r="C1258" i="16"/>
  <c r="B1258" i="16"/>
  <c r="A1258" i="16"/>
  <c r="D1257" i="16"/>
  <c r="C1257" i="16"/>
  <c r="B1257" i="16"/>
  <c r="A1257" i="16"/>
  <c r="D1256" i="16"/>
  <c r="C1256" i="16"/>
  <c r="B1256" i="16"/>
  <c r="A1256" i="16"/>
  <c r="D1255" i="16"/>
  <c r="C1255" i="16"/>
  <c r="B1255" i="16"/>
  <c r="A1255" i="16"/>
  <c r="D1254" i="16"/>
  <c r="C1254" i="16"/>
  <c r="B1254" i="16"/>
  <c r="A1254" i="16"/>
  <c r="D1253" i="16"/>
  <c r="C1253" i="16"/>
  <c r="B1253" i="16"/>
  <c r="A1253" i="16"/>
  <c r="D1252" i="16"/>
  <c r="C1252" i="16"/>
  <c r="B1252" i="16"/>
  <c r="A1252" i="16"/>
  <c r="D1251" i="16"/>
  <c r="C1251" i="16"/>
  <c r="B1251" i="16"/>
  <c r="A1251" i="16"/>
  <c r="D1250" i="16"/>
  <c r="C1250" i="16"/>
  <c r="B1250" i="16"/>
  <c r="A1250" i="16"/>
  <c r="D1249" i="16"/>
  <c r="C1249" i="16"/>
  <c r="B1249" i="16"/>
  <c r="A1249" i="16"/>
  <c r="D1248" i="16"/>
  <c r="C1248" i="16"/>
  <c r="B1248" i="16"/>
  <c r="A1248" i="16"/>
  <c r="D1247" i="16"/>
  <c r="C1247" i="16"/>
  <c r="B1247" i="16"/>
  <c r="A1247" i="16"/>
  <c r="D1246" i="16"/>
  <c r="C1246" i="16"/>
  <c r="B1246" i="16"/>
  <c r="A1246" i="16"/>
  <c r="D1245" i="16"/>
  <c r="C1245" i="16"/>
  <c r="B1245" i="16"/>
  <c r="A1245" i="16"/>
  <c r="D1244" i="16"/>
  <c r="C1244" i="16"/>
  <c r="B1244" i="16"/>
  <c r="A1244" i="16"/>
  <c r="D1243" i="16"/>
  <c r="C1243" i="16"/>
  <c r="B1243" i="16"/>
  <c r="A1243" i="16"/>
  <c r="D1242" i="16"/>
  <c r="C1242" i="16"/>
  <c r="B1242" i="16"/>
  <c r="A1242" i="16"/>
  <c r="D1241" i="16"/>
  <c r="C1241" i="16"/>
  <c r="B1241" i="16"/>
  <c r="A1241" i="16"/>
  <c r="D1240" i="16"/>
  <c r="C1240" i="16"/>
  <c r="B1240" i="16"/>
  <c r="A1240" i="16"/>
  <c r="D1239" i="16"/>
  <c r="C1239" i="16"/>
  <c r="B1239" i="16"/>
  <c r="A1239" i="16"/>
  <c r="D1238" i="16"/>
  <c r="C1238" i="16"/>
  <c r="B1238" i="16"/>
  <c r="A1238" i="16"/>
  <c r="D1237" i="16"/>
  <c r="C1237" i="16"/>
  <c r="B1237" i="16"/>
  <c r="A1237" i="16"/>
  <c r="D1236" i="16"/>
  <c r="C1236" i="16"/>
  <c r="B1236" i="16"/>
  <c r="A1236" i="16"/>
  <c r="D1235" i="16"/>
  <c r="C1235" i="16"/>
  <c r="B1235" i="16"/>
  <c r="A1235" i="16"/>
  <c r="D1234" i="16"/>
  <c r="C1234" i="16"/>
  <c r="B1234" i="16"/>
  <c r="A1234" i="16"/>
  <c r="D1233" i="16"/>
  <c r="C1233" i="16"/>
  <c r="B1233" i="16"/>
  <c r="A1233" i="16"/>
  <c r="D1232" i="16"/>
  <c r="C1232" i="16"/>
  <c r="B1232" i="16"/>
  <c r="A1232" i="16"/>
  <c r="D1231" i="16"/>
  <c r="C1231" i="16"/>
  <c r="B1231" i="16"/>
  <c r="A1231" i="16"/>
  <c r="D1230" i="16"/>
  <c r="C1230" i="16"/>
  <c r="B1230" i="16"/>
  <c r="A1230" i="16"/>
  <c r="D1229" i="16"/>
  <c r="C1229" i="16"/>
  <c r="B1229" i="16"/>
  <c r="A1229" i="16"/>
  <c r="D1228" i="16"/>
  <c r="C1228" i="16"/>
  <c r="B1228" i="16"/>
  <c r="A1228" i="16"/>
  <c r="D1227" i="16"/>
  <c r="C1227" i="16"/>
  <c r="B1227" i="16"/>
  <c r="A1227" i="16"/>
  <c r="D1226" i="16"/>
  <c r="C1226" i="16"/>
  <c r="B1226" i="16"/>
  <c r="A1226" i="16"/>
  <c r="D1225" i="16"/>
  <c r="C1225" i="16"/>
  <c r="B1225" i="16"/>
  <c r="A1225" i="16"/>
  <c r="D1224" i="16"/>
  <c r="C1224" i="16"/>
  <c r="B1224" i="16"/>
  <c r="A1224" i="16"/>
  <c r="D1223" i="16"/>
  <c r="C1223" i="16"/>
  <c r="B1223" i="16"/>
  <c r="A1223" i="16"/>
  <c r="D1222" i="16"/>
  <c r="C1222" i="16"/>
  <c r="B1222" i="16"/>
  <c r="A1222" i="16"/>
  <c r="D1221" i="16"/>
  <c r="C1221" i="16"/>
  <c r="B1221" i="16"/>
  <c r="A1221" i="16"/>
  <c r="D1220" i="16"/>
  <c r="C1220" i="16"/>
  <c r="B1220" i="16"/>
  <c r="A1220" i="16"/>
  <c r="D1219" i="16"/>
  <c r="C1219" i="16"/>
  <c r="B1219" i="16"/>
  <c r="A1219" i="16"/>
  <c r="D1218" i="16"/>
  <c r="C1218" i="16"/>
  <c r="B1218" i="16"/>
  <c r="A1218" i="16"/>
  <c r="D1217" i="16"/>
  <c r="C1217" i="16"/>
  <c r="B1217" i="16"/>
  <c r="A1217" i="16"/>
  <c r="D1216" i="16"/>
  <c r="C1216" i="16"/>
  <c r="B1216" i="16"/>
  <c r="A1216" i="16"/>
  <c r="D1215" i="16"/>
  <c r="C1215" i="16"/>
  <c r="B1215" i="16"/>
  <c r="A1215" i="16"/>
  <c r="D1214" i="16"/>
  <c r="C1214" i="16"/>
  <c r="B1214" i="16"/>
  <c r="A1214" i="16"/>
  <c r="D1213" i="16"/>
  <c r="C1213" i="16"/>
  <c r="B1213" i="16"/>
  <c r="A1213" i="16"/>
  <c r="D1212" i="16"/>
  <c r="C1212" i="16"/>
  <c r="B1212" i="16"/>
  <c r="A1212" i="16"/>
  <c r="D1211" i="16"/>
  <c r="C1211" i="16"/>
  <c r="B1211" i="16"/>
  <c r="A1211" i="16"/>
  <c r="D1210" i="16"/>
  <c r="C1210" i="16"/>
  <c r="B1210" i="16"/>
  <c r="A1210" i="16"/>
  <c r="D1209" i="16"/>
  <c r="C1209" i="16"/>
  <c r="B1209" i="16"/>
  <c r="A1209" i="16"/>
  <c r="D1208" i="16"/>
  <c r="C1208" i="16"/>
  <c r="B1208" i="16"/>
  <c r="A1208" i="16"/>
  <c r="D1207" i="16"/>
  <c r="C1207" i="16"/>
  <c r="B1207" i="16"/>
  <c r="A1207" i="16"/>
  <c r="D1206" i="16"/>
  <c r="C1206" i="16"/>
  <c r="B1206" i="16"/>
  <c r="A1206" i="16"/>
  <c r="D1205" i="16"/>
  <c r="C1205" i="16"/>
  <c r="B1205" i="16"/>
  <c r="A1205" i="16"/>
  <c r="D1204" i="16"/>
  <c r="C1204" i="16"/>
  <c r="B1204" i="16"/>
  <c r="A1204" i="16"/>
  <c r="D1203" i="16"/>
  <c r="C1203" i="16"/>
  <c r="B1203" i="16"/>
  <c r="A1203" i="16"/>
  <c r="D1202" i="16"/>
  <c r="C1202" i="16"/>
  <c r="B1202" i="16"/>
  <c r="A1202" i="16"/>
  <c r="D1201" i="16"/>
  <c r="C1201" i="16"/>
  <c r="B1201" i="16"/>
  <c r="A1201" i="16"/>
  <c r="D1200" i="16"/>
  <c r="C1200" i="16"/>
  <c r="B1200" i="16"/>
  <c r="A1200" i="16"/>
  <c r="D1199" i="16"/>
  <c r="C1199" i="16"/>
  <c r="B1199" i="16"/>
  <c r="A1199" i="16"/>
  <c r="D1198" i="16"/>
  <c r="C1198" i="16"/>
  <c r="B1198" i="16"/>
  <c r="A1198" i="16"/>
  <c r="D1197" i="16"/>
  <c r="C1197" i="16"/>
  <c r="B1197" i="16"/>
  <c r="A1197" i="16"/>
  <c r="D1196" i="16"/>
  <c r="C1196" i="16"/>
  <c r="B1196" i="16"/>
  <c r="A1196" i="16"/>
  <c r="D1195" i="16"/>
  <c r="C1195" i="16"/>
  <c r="B1195" i="16"/>
  <c r="A1195" i="16"/>
  <c r="D1194" i="16"/>
  <c r="C1194" i="16"/>
  <c r="B1194" i="16"/>
  <c r="A1194" i="16"/>
  <c r="D1193" i="16"/>
  <c r="C1193" i="16"/>
  <c r="B1193" i="16"/>
  <c r="A1193" i="16"/>
  <c r="D1192" i="16"/>
  <c r="C1192" i="16"/>
  <c r="B1192" i="16"/>
  <c r="A1192" i="16"/>
  <c r="D1191" i="16"/>
  <c r="C1191" i="16"/>
  <c r="B1191" i="16"/>
  <c r="A1191" i="16"/>
  <c r="D1190" i="16"/>
  <c r="C1190" i="16"/>
  <c r="B1190" i="16"/>
  <c r="A1190" i="16"/>
  <c r="D1189" i="16"/>
  <c r="C1189" i="16"/>
  <c r="B1189" i="16"/>
  <c r="A1189" i="16"/>
  <c r="D1188" i="16"/>
  <c r="C1188" i="16"/>
  <c r="B1188" i="16"/>
  <c r="A1188" i="16"/>
  <c r="D1187" i="16"/>
  <c r="C1187" i="16"/>
  <c r="B1187" i="16"/>
  <c r="A1187" i="16"/>
  <c r="D1186" i="16"/>
  <c r="C1186" i="16"/>
  <c r="B1186" i="16"/>
  <c r="A1186" i="16"/>
  <c r="D1185" i="16"/>
  <c r="C1185" i="16"/>
  <c r="B1185" i="16"/>
  <c r="A1185" i="16"/>
  <c r="D1184" i="16"/>
  <c r="C1184" i="16"/>
  <c r="B1184" i="16"/>
  <c r="A1184" i="16"/>
  <c r="D1183" i="16"/>
  <c r="C1183" i="16"/>
  <c r="B1183" i="16"/>
  <c r="A1183" i="16"/>
  <c r="D1182" i="16"/>
  <c r="C1182" i="16"/>
  <c r="B1182" i="16"/>
  <c r="A1182" i="16"/>
  <c r="D1181" i="16"/>
  <c r="C1181" i="16"/>
  <c r="B1181" i="16"/>
  <c r="A1181" i="16"/>
  <c r="D1180" i="16"/>
  <c r="C1180" i="16"/>
  <c r="B1180" i="16"/>
  <c r="A1180" i="16"/>
  <c r="D1179" i="16"/>
  <c r="C1179" i="16"/>
  <c r="B1179" i="16"/>
  <c r="A1179" i="16"/>
  <c r="D1178" i="16"/>
  <c r="C1178" i="16"/>
  <c r="B1178" i="16"/>
  <c r="A1178" i="16"/>
  <c r="D1177" i="16"/>
  <c r="C1177" i="16"/>
  <c r="B1177" i="16"/>
  <c r="A1177" i="16"/>
  <c r="D1176" i="16"/>
  <c r="C1176" i="16"/>
  <c r="B1176" i="16"/>
  <c r="A1176" i="16"/>
  <c r="D1175" i="16"/>
  <c r="C1175" i="16"/>
  <c r="B1175" i="16"/>
  <c r="A1175" i="16"/>
  <c r="D1174" i="16"/>
  <c r="C1174" i="16"/>
  <c r="B1174" i="16"/>
  <c r="A1174" i="16"/>
  <c r="D1173" i="16"/>
  <c r="C1173" i="16"/>
  <c r="B1173" i="16"/>
  <c r="A1173" i="16"/>
  <c r="D1172" i="16"/>
  <c r="C1172" i="16"/>
  <c r="B1172" i="16"/>
  <c r="A1172" i="16"/>
  <c r="D1171" i="16"/>
  <c r="C1171" i="16"/>
  <c r="B1171" i="16"/>
  <c r="A1171" i="16"/>
  <c r="D1170" i="16"/>
  <c r="C1170" i="16"/>
  <c r="B1170" i="16"/>
  <c r="A1170" i="16"/>
  <c r="D1169" i="16"/>
  <c r="C1169" i="16"/>
  <c r="B1169" i="16"/>
  <c r="A1169" i="16"/>
  <c r="D1168" i="16"/>
  <c r="C1168" i="16"/>
  <c r="B1168" i="16"/>
  <c r="A1168" i="16"/>
  <c r="D1167" i="16"/>
  <c r="C1167" i="16"/>
  <c r="B1167" i="16"/>
  <c r="A1167" i="16"/>
  <c r="D1166" i="16"/>
  <c r="C1166" i="16"/>
  <c r="B1166" i="16"/>
  <c r="A1166" i="16"/>
  <c r="D1165" i="16"/>
  <c r="C1165" i="16"/>
  <c r="B1165" i="16"/>
  <c r="A1165" i="16"/>
  <c r="D1164" i="16"/>
  <c r="C1164" i="16"/>
  <c r="B1164" i="16"/>
  <c r="A1164" i="16"/>
  <c r="D1163" i="16"/>
  <c r="C1163" i="16"/>
  <c r="B1163" i="16"/>
  <c r="A1163" i="16"/>
  <c r="D1162" i="16"/>
  <c r="C1162" i="16"/>
  <c r="B1162" i="16"/>
  <c r="A1162" i="16"/>
  <c r="D1161" i="16"/>
  <c r="C1161" i="16"/>
  <c r="B1161" i="16"/>
  <c r="A1161" i="16"/>
  <c r="D1160" i="16"/>
  <c r="C1160" i="16"/>
  <c r="B1160" i="16"/>
  <c r="A1160" i="16"/>
  <c r="D1159" i="16"/>
  <c r="C1159" i="16"/>
  <c r="B1159" i="16"/>
  <c r="A1159" i="16"/>
  <c r="D1158" i="16"/>
  <c r="C1158" i="16"/>
  <c r="B1158" i="16"/>
  <c r="A1158" i="16"/>
  <c r="D1157" i="16"/>
  <c r="C1157" i="16"/>
  <c r="B1157" i="16"/>
  <c r="A1157" i="16"/>
  <c r="D1156" i="16"/>
  <c r="C1156" i="16"/>
  <c r="B1156" i="16"/>
  <c r="A1156" i="16"/>
  <c r="D1155" i="16"/>
  <c r="C1155" i="16"/>
  <c r="B1155" i="16"/>
  <c r="A1155" i="16"/>
  <c r="D1154" i="16"/>
  <c r="C1154" i="16"/>
  <c r="B1154" i="16"/>
  <c r="A1154" i="16"/>
  <c r="D1153" i="16"/>
  <c r="C1153" i="16"/>
  <c r="B1153" i="16"/>
  <c r="A1153" i="16"/>
  <c r="D1152" i="16"/>
  <c r="C1152" i="16"/>
  <c r="B1152" i="16"/>
  <c r="A1152" i="16"/>
  <c r="D1151" i="16"/>
  <c r="C1151" i="16"/>
  <c r="B1151" i="16"/>
  <c r="A1151" i="16"/>
  <c r="D1150" i="16"/>
  <c r="C1150" i="16"/>
  <c r="B1150" i="16"/>
  <c r="A1150" i="16"/>
  <c r="D1149" i="16"/>
  <c r="C1149" i="16"/>
  <c r="B1149" i="16"/>
  <c r="A1149" i="16"/>
  <c r="D1148" i="16"/>
  <c r="C1148" i="16"/>
  <c r="B1148" i="16"/>
  <c r="A1148" i="16"/>
  <c r="D1147" i="16"/>
  <c r="C1147" i="16"/>
  <c r="B1147" i="16"/>
  <c r="A1147" i="16"/>
  <c r="D1146" i="16"/>
  <c r="C1146" i="16"/>
  <c r="B1146" i="16"/>
  <c r="A1146" i="16"/>
  <c r="D1145" i="16"/>
  <c r="C1145" i="16"/>
  <c r="B1145" i="16"/>
  <c r="A1145" i="16"/>
  <c r="D1144" i="16"/>
  <c r="C1144" i="16"/>
  <c r="B1144" i="16"/>
  <c r="A1144" i="16"/>
  <c r="D1143" i="16"/>
  <c r="C1143" i="16"/>
  <c r="B1143" i="16"/>
  <c r="A1143" i="16"/>
  <c r="D1142" i="16"/>
  <c r="C1142" i="16"/>
  <c r="B1142" i="16"/>
  <c r="A1142" i="16"/>
  <c r="D1141" i="16"/>
  <c r="C1141" i="16"/>
  <c r="B1141" i="16"/>
  <c r="A1141" i="16"/>
  <c r="D1140" i="16"/>
  <c r="C1140" i="16"/>
  <c r="B1140" i="16"/>
  <c r="A1140" i="16"/>
  <c r="D1139" i="16"/>
  <c r="C1139" i="16"/>
  <c r="B1139" i="16"/>
  <c r="A1139" i="16"/>
  <c r="D1138" i="16"/>
  <c r="C1138" i="16"/>
  <c r="B1138" i="16"/>
  <c r="A1138" i="16"/>
  <c r="D1137" i="16"/>
  <c r="C1137" i="16"/>
  <c r="B1137" i="16"/>
  <c r="A1137" i="16"/>
  <c r="D1136" i="16"/>
  <c r="C1136" i="16"/>
  <c r="B1136" i="16"/>
  <c r="A1136" i="16"/>
  <c r="D1135" i="16"/>
  <c r="C1135" i="16"/>
  <c r="B1135" i="16"/>
  <c r="A1135" i="16"/>
  <c r="D1134" i="16"/>
  <c r="C1134" i="16"/>
  <c r="B1134" i="16"/>
  <c r="A1134" i="16"/>
  <c r="D1133" i="16"/>
  <c r="C1133" i="16"/>
  <c r="B1133" i="16"/>
  <c r="A1133" i="16"/>
  <c r="D1132" i="16"/>
  <c r="C1132" i="16"/>
  <c r="B1132" i="16"/>
  <c r="A1132" i="16"/>
  <c r="D1131" i="16"/>
  <c r="C1131" i="16"/>
  <c r="B1131" i="16"/>
  <c r="A1131" i="16"/>
  <c r="D1130" i="16"/>
  <c r="C1130" i="16"/>
  <c r="B1130" i="16"/>
  <c r="A1130" i="16"/>
  <c r="D1129" i="16"/>
  <c r="C1129" i="16"/>
  <c r="B1129" i="16"/>
  <c r="A1129" i="16"/>
  <c r="D1128" i="16"/>
  <c r="C1128" i="16"/>
  <c r="B1128" i="16"/>
  <c r="A1128" i="16"/>
  <c r="D1127" i="16"/>
  <c r="C1127" i="16"/>
  <c r="B1127" i="16"/>
  <c r="A1127" i="16"/>
  <c r="D1126" i="16"/>
  <c r="C1126" i="16"/>
  <c r="B1126" i="16"/>
  <c r="A1126" i="16"/>
  <c r="D1125" i="16"/>
  <c r="C1125" i="16"/>
  <c r="B1125" i="16"/>
  <c r="A1125" i="16"/>
  <c r="D1124" i="16"/>
  <c r="C1124" i="16"/>
  <c r="B1124" i="16"/>
  <c r="A1124" i="16"/>
  <c r="D1123" i="16"/>
  <c r="C1123" i="16"/>
  <c r="B1123" i="16"/>
  <c r="A1123" i="16"/>
  <c r="D1122" i="16"/>
  <c r="C1122" i="16"/>
  <c r="B1122" i="16"/>
  <c r="A1122" i="16"/>
  <c r="D1121" i="16"/>
  <c r="C1121" i="16"/>
  <c r="B1121" i="16"/>
  <c r="A1121" i="16"/>
  <c r="D1120" i="16"/>
  <c r="C1120" i="16"/>
  <c r="B1120" i="16"/>
  <c r="A1120" i="16"/>
  <c r="D1119" i="16"/>
  <c r="C1119" i="16"/>
  <c r="B1119" i="16"/>
  <c r="A1119" i="16"/>
  <c r="D1118" i="16"/>
  <c r="C1118" i="16"/>
  <c r="B1118" i="16"/>
  <c r="A1118" i="16"/>
  <c r="D1117" i="16"/>
  <c r="C1117" i="16"/>
  <c r="B1117" i="16"/>
  <c r="A1117" i="16"/>
  <c r="D1116" i="16"/>
  <c r="C1116" i="16"/>
  <c r="B1116" i="16"/>
  <c r="A1116" i="16"/>
  <c r="D1115" i="16"/>
  <c r="C1115" i="16"/>
  <c r="B1115" i="16"/>
  <c r="A1115" i="16"/>
  <c r="D1114" i="16"/>
  <c r="C1114" i="16"/>
  <c r="B1114" i="16"/>
  <c r="A1114" i="16"/>
  <c r="D1113" i="16"/>
  <c r="C1113" i="16"/>
  <c r="B1113" i="16"/>
  <c r="A1113" i="16"/>
  <c r="D1112" i="16"/>
  <c r="C1112" i="16"/>
  <c r="B1112" i="16"/>
  <c r="A1112" i="16"/>
  <c r="D1111" i="16"/>
  <c r="C1111" i="16"/>
  <c r="B1111" i="16"/>
  <c r="A1111" i="16"/>
  <c r="D1110" i="16"/>
  <c r="C1110" i="16"/>
  <c r="B1110" i="16"/>
  <c r="A1110" i="16"/>
  <c r="D1109" i="16"/>
  <c r="C1109" i="16"/>
  <c r="B1109" i="16"/>
  <c r="A1109" i="16"/>
  <c r="D1108" i="16"/>
  <c r="C1108" i="16"/>
  <c r="B1108" i="16"/>
  <c r="A1108" i="16"/>
  <c r="D1107" i="16"/>
  <c r="C1107" i="16"/>
  <c r="B1107" i="16"/>
  <c r="A1107" i="16"/>
  <c r="D1106" i="16"/>
  <c r="C1106" i="16"/>
  <c r="B1106" i="16"/>
  <c r="A1106" i="16"/>
  <c r="D1105" i="16"/>
  <c r="C1105" i="16"/>
  <c r="B1105" i="16"/>
  <c r="A1105" i="16"/>
  <c r="D1104" i="16"/>
  <c r="C1104" i="16"/>
  <c r="B1104" i="16"/>
  <c r="A1104" i="16"/>
  <c r="D1103" i="16"/>
  <c r="C1103" i="16"/>
  <c r="B1103" i="16"/>
  <c r="A1103" i="16"/>
  <c r="D1102" i="16"/>
  <c r="C1102" i="16"/>
  <c r="B1102" i="16"/>
  <c r="A1102" i="16"/>
  <c r="D1101" i="16"/>
  <c r="C1101" i="16"/>
  <c r="B1101" i="16"/>
  <c r="A1101" i="16"/>
  <c r="D1100" i="16"/>
  <c r="C1100" i="16"/>
  <c r="B1100" i="16"/>
  <c r="A1100" i="16"/>
  <c r="D1099" i="16"/>
  <c r="C1099" i="16"/>
  <c r="B1099" i="16"/>
  <c r="A1099" i="16"/>
  <c r="D1098" i="16"/>
  <c r="C1098" i="16"/>
  <c r="B1098" i="16"/>
  <c r="A1098" i="16"/>
  <c r="D1097" i="16"/>
  <c r="C1097" i="16"/>
  <c r="B1097" i="16"/>
  <c r="A1097" i="16"/>
  <c r="D1096" i="16"/>
  <c r="C1096" i="16"/>
  <c r="B1096" i="16"/>
  <c r="A1096" i="16"/>
  <c r="D1095" i="16"/>
  <c r="C1095" i="16"/>
  <c r="B1095" i="16"/>
  <c r="A1095" i="16"/>
  <c r="D1094" i="16"/>
  <c r="C1094" i="16"/>
  <c r="B1094" i="16"/>
  <c r="A1094" i="16"/>
  <c r="D1093" i="16"/>
  <c r="C1093" i="16"/>
  <c r="B1093" i="16"/>
  <c r="A1093" i="16"/>
  <c r="D1092" i="16"/>
  <c r="C1092" i="16"/>
  <c r="B1092" i="16"/>
  <c r="A1092" i="16"/>
  <c r="D1091" i="16"/>
  <c r="C1091" i="16"/>
  <c r="B1091" i="16"/>
  <c r="A1091" i="16"/>
  <c r="D1090" i="16"/>
  <c r="C1090" i="16"/>
  <c r="B1090" i="16"/>
  <c r="A1090" i="16"/>
  <c r="D1089" i="16"/>
  <c r="C1089" i="16"/>
  <c r="B1089" i="16"/>
  <c r="A1089" i="16"/>
  <c r="D1088" i="16"/>
  <c r="C1088" i="16"/>
  <c r="B1088" i="16"/>
  <c r="A1088" i="16"/>
  <c r="D1087" i="16"/>
  <c r="C1087" i="16"/>
  <c r="B1087" i="16"/>
  <c r="A1087" i="16"/>
  <c r="D1086" i="16"/>
  <c r="C1086" i="16"/>
  <c r="B1086" i="16"/>
  <c r="A1086" i="16"/>
  <c r="D1085" i="16"/>
  <c r="C1085" i="16"/>
  <c r="B1085" i="16"/>
  <c r="A1085" i="16"/>
  <c r="D1084" i="16"/>
  <c r="C1084" i="16"/>
  <c r="B1084" i="16"/>
  <c r="A1084" i="16"/>
  <c r="D1083" i="16"/>
  <c r="C1083" i="16"/>
  <c r="B1083" i="16"/>
  <c r="A1083" i="16"/>
  <c r="D1082" i="16"/>
  <c r="C1082" i="16"/>
  <c r="B1082" i="16"/>
  <c r="A1082" i="16"/>
  <c r="D1081" i="16"/>
  <c r="C1081" i="16"/>
  <c r="B1081" i="16"/>
  <c r="A1081" i="16"/>
  <c r="D1080" i="16"/>
  <c r="C1080" i="16"/>
  <c r="B1080" i="16"/>
  <c r="A1080" i="16"/>
  <c r="D1079" i="16"/>
  <c r="C1079" i="16"/>
  <c r="B1079" i="16"/>
  <c r="A1079" i="16"/>
  <c r="D1078" i="16"/>
  <c r="C1078" i="16"/>
  <c r="B1078" i="16"/>
  <c r="A1078" i="16"/>
  <c r="D1077" i="16"/>
  <c r="C1077" i="16"/>
  <c r="B1077" i="16"/>
  <c r="A1077" i="16"/>
  <c r="D1076" i="16"/>
  <c r="C1076" i="16"/>
  <c r="B1076" i="16"/>
  <c r="A1076" i="16"/>
  <c r="D1075" i="16"/>
  <c r="C1075" i="16"/>
  <c r="B1075" i="16"/>
  <c r="A1075" i="16"/>
  <c r="D1074" i="16"/>
  <c r="C1074" i="16"/>
  <c r="B1074" i="16"/>
  <c r="A1074" i="16"/>
  <c r="D1073" i="16"/>
  <c r="C1073" i="16"/>
  <c r="B1073" i="16"/>
  <c r="A1073" i="16"/>
  <c r="D1072" i="16"/>
  <c r="C1072" i="16"/>
  <c r="B1072" i="16"/>
  <c r="A1072" i="16"/>
  <c r="D1071" i="16"/>
  <c r="C1071" i="16"/>
  <c r="B1071" i="16"/>
  <c r="A1071" i="16"/>
  <c r="D1070" i="16"/>
  <c r="C1070" i="16"/>
  <c r="B1070" i="16"/>
  <c r="A1070" i="16"/>
  <c r="D1069" i="16"/>
  <c r="C1069" i="16"/>
  <c r="B1069" i="16"/>
  <c r="A1069" i="16"/>
  <c r="D1068" i="16"/>
  <c r="C1068" i="16"/>
  <c r="B1068" i="16"/>
  <c r="A1068" i="16"/>
  <c r="D1067" i="16"/>
  <c r="C1067" i="16"/>
  <c r="B1067" i="16"/>
  <c r="A1067" i="16"/>
  <c r="D1066" i="16"/>
  <c r="C1066" i="16"/>
  <c r="B1066" i="16"/>
  <c r="A1066" i="16"/>
  <c r="D1065" i="16"/>
  <c r="C1065" i="16"/>
  <c r="B1065" i="16"/>
  <c r="A1065" i="16"/>
  <c r="D1064" i="16"/>
  <c r="C1064" i="16"/>
  <c r="B1064" i="16"/>
  <c r="A1064" i="16"/>
  <c r="D1063" i="16"/>
  <c r="C1063" i="16"/>
  <c r="B1063" i="16"/>
  <c r="A1063" i="16"/>
  <c r="D1062" i="16"/>
  <c r="C1062" i="16"/>
  <c r="B1062" i="16"/>
  <c r="A1062" i="16"/>
  <c r="D1061" i="16"/>
  <c r="C1061" i="16"/>
  <c r="B1061" i="16"/>
  <c r="A1061" i="16"/>
  <c r="D1060" i="16"/>
  <c r="C1060" i="16"/>
  <c r="B1060" i="16"/>
  <c r="A1060" i="16"/>
  <c r="D1059" i="16"/>
  <c r="C1059" i="16"/>
  <c r="B1059" i="16"/>
  <c r="A1059" i="16"/>
  <c r="D1058" i="16"/>
  <c r="C1058" i="16"/>
  <c r="B1058" i="16"/>
  <c r="A1058" i="16"/>
  <c r="D1057" i="16"/>
  <c r="C1057" i="16"/>
  <c r="B1057" i="16"/>
  <c r="A1057" i="16"/>
  <c r="D1056" i="16"/>
  <c r="C1056" i="16"/>
  <c r="B1056" i="16"/>
  <c r="A1056" i="16"/>
  <c r="D1055" i="16"/>
  <c r="C1055" i="16"/>
  <c r="B1055" i="16"/>
  <c r="A1055" i="16"/>
  <c r="D1054" i="16"/>
  <c r="C1054" i="16"/>
  <c r="B1054" i="16"/>
  <c r="A1054" i="16"/>
  <c r="D1053" i="16"/>
  <c r="C1053" i="16"/>
  <c r="B1053" i="16"/>
  <c r="A1053" i="16"/>
  <c r="D1052" i="16"/>
  <c r="C1052" i="16"/>
  <c r="B1052" i="16"/>
  <c r="A1052" i="16"/>
  <c r="D1051" i="16"/>
  <c r="C1051" i="16"/>
  <c r="B1051" i="16"/>
  <c r="A1051" i="16"/>
  <c r="D1050" i="16"/>
  <c r="C1050" i="16"/>
  <c r="B1050" i="16"/>
  <c r="A1050" i="16"/>
  <c r="D1049" i="16"/>
  <c r="C1049" i="16"/>
  <c r="B1049" i="16"/>
  <c r="A1049" i="16"/>
  <c r="D1048" i="16"/>
  <c r="C1048" i="16"/>
  <c r="B1048" i="16"/>
  <c r="A1048" i="16"/>
  <c r="D1047" i="16"/>
  <c r="C1047" i="16"/>
  <c r="B1047" i="16"/>
  <c r="A1047" i="16"/>
  <c r="D1046" i="16"/>
  <c r="C1046" i="16"/>
  <c r="B1046" i="16"/>
  <c r="A1046" i="16"/>
  <c r="D1045" i="16"/>
  <c r="C1045" i="16"/>
  <c r="B1045" i="16"/>
  <c r="A1045" i="16"/>
  <c r="D1044" i="16"/>
  <c r="C1044" i="16"/>
  <c r="B1044" i="16"/>
  <c r="A1044" i="16"/>
  <c r="D1043" i="16"/>
  <c r="C1043" i="16"/>
  <c r="B1043" i="16"/>
  <c r="A1043" i="16"/>
  <c r="D1042" i="16"/>
  <c r="C1042" i="16"/>
  <c r="B1042" i="16"/>
  <c r="A1042" i="16"/>
  <c r="D1041" i="16"/>
  <c r="C1041" i="16"/>
  <c r="B1041" i="16"/>
  <c r="A1041" i="16"/>
  <c r="D1040" i="16"/>
  <c r="C1040" i="16"/>
  <c r="B1040" i="16"/>
  <c r="A1040" i="16"/>
  <c r="D1039" i="16"/>
  <c r="C1039" i="16"/>
  <c r="B1039" i="16"/>
  <c r="A1039" i="16"/>
  <c r="D1038" i="16"/>
  <c r="C1038" i="16"/>
  <c r="B1038" i="16"/>
  <c r="A1038" i="16"/>
  <c r="D1037" i="16"/>
  <c r="C1037" i="16"/>
  <c r="B1037" i="16"/>
  <c r="A1037" i="16"/>
  <c r="D1036" i="16"/>
  <c r="C1036" i="16"/>
  <c r="B1036" i="16"/>
  <c r="A1036" i="16"/>
  <c r="D1035" i="16"/>
  <c r="C1035" i="16"/>
  <c r="B1035" i="16"/>
  <c r="A1035" i="16"/>
  <c r="D1034" i="16"/>
  <c r="C1034" i="16"/>
  <c r="B1034" i="16"/>
  <c r="A1034" i="16"/>
  <c r="D1033" i="16"/>
  <c r="C1033" i="16"/>
  <c r="B1033" i="16"/>
  <c r="A1033" i="16"/>
  <c r="D1032" i="16"/>
  <c r="C1032" i="16"/>
  <c r="B1032" i="16"/>
  <c r="A1032" i="16"/>
  <c r="D1031" i="16"/>
  <c r="C1031" i="16"/>
  <c r="B1031" i="16"/>
  <c r="A1031" i="16"/>
  <c r="D1030" i="16"/>
  <c r="C1030" i="16"/>
  <c r="B1030" i="16"/>
  <c r="A1030" i="16"/>
  <c r="D1029" i="16"/>
  <c r="C1029" i="16"/>
  <c r="B1029" i="16"/>
  <c r="A1029" i="16"/>
  <c r="D1028" i="16"/>
  <c r="C1028" i="16"/>
  <c r="B1028" i="16"/>
  <c r="A1028" i="16"/>
  <c r="D1027" i="16"/>
  <c r="C1027" i="16"/>
  <c r="B1027" i="16"/>
  <c r="A1027" i="16"/>
  <c r="D1026" i="16"/>
  <c r="C1026" i="16"/>
  <c r="B1026" i="16"/>
  <c r="A1026" i="16"/>
  <c r="D1025" i="16"/>
  <c r="C1025" i="16"/>
  <c r="B1025" i="16"/>
  <c r="A1025" i="16"/>
  <c r="D1024" i="16"/>
  <c r="C1024" i="16"/>
  <c r="B1024" i="16"/>
  <c r="A1024" i="16"/>
  <c r="D1023" i="16"/>
  <c r="C1023" i="16"/>
  <c r="B1023" i="16"/>
  <c r="A1023" i="16"/>
  <c r="D1022" i="16"/>
  <c r="C1022" i="16"/>
  <c r="B1022" i="16"/>
  <c r="A1022" i="16"/>
  <c r="D1021" i="16"/>
  <c r="C1021" i="16"/>
  <c r="B1021" i="16"/>
  <c r="A1021" i="16"/>
  <c r="D1020" i="16"/>
  <c r="C1020" i="16"/>
  <c r="B1020" i="16"/>
  <c r="A1020" i="16"/>
  <c r="D1019" i="16"/>
  <c r="C1019" i="16"/>
  <c r="B1019" i="16"/>
  <c r="A1019" i="16"/>
  <c r="D1018" i="16"/>
  <c r="C1018" i="16"/>
  <c r="B1018" i="16"/>
  <c r="A1018" i="16"/>
  <c r="D1017" i="16"/>
  <c r="C1017" i="16"/>
  <c r="B1017" i="16"/>
  <c r="A1017" i="16"/>
  <c r="D1016" i="16"/>
  <c r="C1016" i="16"/>
  <c r="B1016" i="16"/>
  <c r="A1016" i="16"/>
  <c r="D1015" i="16"/>
  <c r="C1015" i="16"/>
  <c r="B1015" i="16"/>
  <c r="A1015" i="16"/>
  <c r="D1014" i="16"/>
  <c r="C1014" i="16"/>
  <c r="B1014" i="16"/>
  <c r="A1014" i="16"/>
  <c r="D1013" i="16"/>
  <c r="C1013" i="16"/>
  <c r="B1013" i="16"/>
  <c r="A1013" i="16"/>
  <c r="D1012" i="16"/>
  <c r="C1012" i="16"/>
  <c r="B1012" i="16"/>
  <c r="A1012" i="16"/>
  <c r="D1011" i="16"/>
  <c r="C1011" i="16"/>
  <c r="B1011" i="16"/>
  <c r="A1011" i="16"/>
  <c r="D1010" i="16"/>
  <c r="C1010" i="16"/>
  <c r="B1010" i="16"/>
  <c r="A1010" i="16"/>
  <c r="D1009" i="16"/>
  <c r="C1009" i="16"/>
  <c r="B1009" i="16"/>
  <c r="A1009" i="16"/>
  <c r="D1008" i="16"/>
  <c r="C1008" i="16"/>
  <c r="B1008" i="16"/>
  <c r="A1008" i="16"/>
  <c r="D1007" i="16"/>
  <c r="C1007" i="16"/>
  <c r="B1007" i="16"/>
  <c r="A1007" i="16"/>
  <c r="D1006" i="16"/>
  <c r="C1006" i="16"/>
  <c r="B1006" i="16"/>
  <c r="A1006" i="16"/>
  <c r="D1005" i="16"/>
  <c r="C1005" i="16"/>
  <c r="B1005" i="16"/>
  <c r="A1005" i="16"/>
  <c r="D1004" i="16"/>
  <c r="C1004" i="16"/>
  <c r="B1004" i="16"/>
  <c r="A1004" i="16"/>
  <c r="D1003" i="16"/>
  <c r="C1003" i="16"/>
  <c r="B1003" i="16"/>
  <c r="A1003" i="16"/>
  <c r="D1002" i="16"/>
  <c r="C1002" i="16"/>
  <c r="B1002" i="16"/>
  <c r="A1002" i="16"/>
  <c r="D1001" i="16"/>
  <c r="C1001" i="16"/>
  <c r="B1001" i="16"/>
  <c r="A1001" i="16"/>
  <c r="D1000" i="16"/>
  <c r="C1000" i="16"/>
  <c r="B1000" i="16"/>
  <c r="A1000" i="16"/>
  <c r="D999" i="16"/>
  <c r="C999" i="16"/>
  <c r="B999" i="16"/>
  <c r="A999" i="16"/>
  <c r="D998" i="16"/>
  <c r="C998" i="16"/>
  <c r="B998" i="16"/>
  <c r="A998" i="16"/>
  <c r="D997" i="16"/>
  <c r="C997" i="16"/>
  <c r="B997" i="16"/>
  <c r="A997" i="16"/>
  <c r="D996" i="16"/>
  <c r="C996" i="16"/>
  <c r="B996" i="16"/>
  <c r="A996" i="16"/>
  <c r="D995" i="16"/>
  <c r="C995" i="16"/>
  <c r="B995" i="16"/>
  <c r="A995" i="16"/>
  <c r="D994" i="16"/>
  <c r="C994" i="16"/>
  <c r="B994" i="16"/>
  <c r="A994" i="16"/>
  <c r="D993" i="16"/>
  <c r="C993" i="16"/>
  <c r="B993" i="16"/>
  <c r="A993" i="16"/>
  <c r="D992" i="16"/>
  <c r="C992" i="16"/>
  <c r="B992" i="16"/>
  <c r="A992" i="16"/>
  <c r="D991" i="16"/>
  <c r="C991" i="16"/>
  <c r="B991" i="16"/>
  <c r="A991" i="16"/>
  <c r="D990" i="16"/>
  <c r="C990" i="16"/>
  <c r="B990" i="16"/>
  <c r="A990" i="16"/>
  <c r="D989" i="16"/>
  <c r="C989" i="16"/>
  <c r="B989" i="16"/>
  <c r="A989" i="16"/>
  <c r="D988" i="16"/>
  <c r="C988" i="16"/>
  <c r="B988" i="16"/>
  <c r="A988" i="16"/>
  <c r="D987" i="16"/>
  <c r="C987" i="16"/>
  <c r="B987" i="16"/>
  <c r="A987" i="16"/>
  <c r="D986" i="16"/>
  <c r="C986" i="16"/>
  <c r="B986" i="16"/>
  <c r="A986" i="16"/>
  <c r="D985" i="16"/>
  <c r="C985" i="16"/>
  <c r="B985" i="16"/>
  <c r="A985" i="16"/>
  <c r="D984" i="16"/>
  <c r="C984" i="16"/>
  <c r="B984" i="16"/>
  <c r="A984" i="16"/>
  <c r="D983" i="16"/>
  <c r="C983" i="16"/>
  <c r="B983" i="16"/>
  <c r="A983" i="16"/>
  <c r="D982" i="16"/>
  <c r="C982" i="16"/>
  <c r="B982" i="16"/>
  <c r="A982" i="16"/>
  <c r="D981" i="16"/>
  <c r="C981" i="16"/>
  <c r="B981" i="16"/>
  <c r="A981" i="16"/>
  <c r="D980" i="16"/>
  <c r="C980" i="16"/>
  <c r="B980" i="16"/>
  <c r="A980" i="16"/>
  <c r="D979" i="16"/>
  <c r="C979" i="16"/>
  <c r="B979" i="16"/>
  <c r="A979" i="16"/>
  <c r="D978" i="16"/>
  <c r="C978" i="16"/>
  <c r="B978" i="16"/>
  <c r="A978" i="16"/>
  <c r="D977" i="16"/>
  <c r="C977" i="16"/>
  <c r="B977" i="16"/>
  <c r="A977" i="16"/>
  <c r="D976" i="16"/>
  <c r="C976" i="16"/>
  <c r="B976" i="16"/>
  <c r="A976" i="16"/>
  <c r="D975" i="16"/>
  <c r="C975" i="16"/>
  <c r="B975" i="16"/>
  <c r="A975" i="16"/>
  <c r="D974" i="16"/>
  <c r="C974" i="16"/>
  <c r="B974" i="16"/>
  <c r="A974" i="16"/>
  <c r="D973" i="16"/>
  <c r="C973" i="16"/>
  <c r="B973" i="16"/>
  <c r="A973" i="16"/>
  <c r="D972" i="16"/>
  <c r="C972" i="16"/>
  <c r="B972" i="16"/>
  <c r="A972" i="16"/>
  <c r="D971" i="16"/>
  <c r="C971" i="16"/>
  <c r="B971" i="16"/>
  <c r="A971" i="16"/>
  <c r="D970" i="16"/>
  <c r="C970" i="16"/>
  <c r="B970" i="16"/>
  <c r="A970" i="16"/>
  <c r="D969" i="16"/>
  <c r="C969" i="16"/>
  <c r="B969" i="16"/>
  <c r="A969" i="16"/>
  <c r="D968" i="16"/>
  <c r="C968" i="16"/>
  <c r="B968" i="16"/>
  <c r="A968" i="16"/>
  <c r="D967" i="16"/>
  <c r="C967" i="16"/>
  <c r="B967" i="16"/>
  <c r="A967" i="16"/>
  <c r="D966" i="16"/>
  <c r="C966" i="16"/>
  <c r="B966" i="16"/>
  <c r="A966" i="16"/>
  <c r="D965" i="16"/>
  <c r="C965" i="16"/>
  <c r="B965" i="16"/>
  <c r="A965" i="16"/>
  <c r="D964" i="16"/>
  <c r="C964" i="16"/>
  <c r="B964" i="16"/>
  <c r="A964" i="16"/>
  <c r="D963" i="16"/>
  <c r="C963" i="16"/>
  <c r="B963" i="16"/>
  <c r="A963" i="16"/>
  <c r="D962" i="16"/>
  <c r="C962" i="16"/>
  <c r="B962" i="16"/>
  <c r="A962" i="16"/>
  <c r="D961" i="16"/>
  <c r="C961" i="16"/>
  <c r="B961" i="16"/>
  <c r="A961" i="16"/>
  <c r="D960" i="16"/>
  <c r="C960" i="16"/>
  <c r="B960" i="16"/>
  <c r="A960" i="16"/>
  <c r="D959" i="16"/>
  <c r="C959" i="16"/>
  <c r="B959" i="16"/>
  <c r="A959" i="16"/>
  <c r="D958" i="16"/>
  <c r="C958" i="16"/>
  <c r="B958" i="16"/>
  <c r="A958" i="16"/>
  <c r="D957" i="16"/>
  <c r="C957" i="16"/>
  <c r="B957" i="16"/>
  <c r="A957" i="16"/>
  <c r="D956" i="16"/>
  <c r="C956" i="16"/>
  <c r="B956" i="16"/>
  <c r="A956" i="16"/>
  <c r="D955" i="16"/>
  <c r="C955" i="16"/>
  <c r="B955" i="16"/>
  <c r="A955" i="16"/>
  <c r="D954" i="16"/>
  <c r="C954" i="16"/>
  <c r="B954" i="16"/>
  <c r="A954" i="16"/>
  <c r="D953" i="16"/>
  <c r="C953" i="16"/>
  <c r="B953" i="16"/>
  <c r="A953" i="16"/>
  <c r="D952" i="16"/>
  <c r="C952" i="16"/>
  <c r="B952" i="16"/>
  <c r="A952" i="16"/>
  <c r="D951" i="16"/>
  <c r="C951" i="16"/>
  <c r="B951" i="16"/>
  <c r="A951" i="16"/>
  <c r="D950" i="16"/>
  <c r="C950" i="16"/>
  <c r="B950" i="16"/>
  <c r="A950" i="16"/>
  <c r="D949" i="16"/>
  <c r="C949" i="16"/>
  <c r="B949" i="16"/>
  <c r="A949" i="16"/>
  <c r="D948" i="16"/>
  <c r="C948" i="16"/>
  <c r="B948" i="16"/>
  <c r="A948" i="16"/>
  <c r="D947" i="16"/>
  <c r="C947" i="16"/>
  <c r="B947" i="16"/>
  <c r="A947" i="16"/>
  <c r="D946" i="16"/>
  <c r="C946" i="16"/>
  <c r="B946" i="16"/>
  <c r="A946" i="16"/>
  <c r="D945" i="16"/>
  <c r="C945" i="16"/>
  <c r="B945" i="16"/>
  <c r="A945" i="16"/>
  <c r="D944" i="16"/>
  <c r="C944" i="16"/>
  <c r="B944" i="16"/>
  <c r="A944" i="16"/>
  <c r="D943" i="16"/>
  <c r="C943" i="16"/>
  <c r="B943" i="16"/>
  <c r="A943" i="16"/>
  <c r="D942" i="16"/>
  <c r="C942" i="16"/>
  <c r="B942" i="16"/>
  <c r="A942" i="16"/>
  <c r="D941" i="16"/>
  <c r="C941" i="16"/>
  <c r="B941" i="16"/>
  <c r="A941" i="16"/>
  <c r="D940" i="16"/>
  <c r="C940" i="16"/>
  <c r="B940" i="16"/>
  <c r="A940" i="16"/>
  <c r="D939" i="16"/>
  <c r="C939" i="16"/>
  <c r="B939" i="16"/>
  <c r="A939" i="16"/>
  <c r="D938" i="16"/>
  <c r="C938" i="16"/>
  <c r="B938" i="16"/>
  <c r="A938" i="16"/>
  <c r="D937" i="16"/>
  <c r="C937" i="16"/>
  <c r="B937" i="16"/>
  <c r="A937" i="16"/>
  <c r="D936" i="16"/>
  <c r="C936" i="16"/>
  <c r="B936" i="16"/>
  <c r="A936" i="16"/>
  <c r="D935" i="16"/>
  <c r="C935" i="16"/>
  <c r="B935" i="16"/>
  <c r="A935" i="16"/>
  <c r="D934" i="16"/>
  <c r="C934" i="16"/>
  <c r="B934" i="16"/>
  <c r="A934" i="16"/>
  <c r="D933" i="16"/>
  <c r="C933" i="16"/>
  <c r="B933" i="16"/>
  <c r="A933" i="16"/>
  <c r="D932" i="16"/>
  <c r="C932" i="16"/>
  <c r="B932" i="16"/>
  <c r="A932" i="16"/>
  <c r="D931" i="16"/>
  <c r="C931" i="16"/>
  <c r="B931" i="16"/>
  <c r="A931" i="16"/>
  <c r="D930" i="16"/>
  <c r="C930" i="16"/>
  <c r="B930" i="16"/>
  <c r="A930" i="16"/>
  <c r="D929" i="16"/>
  <c r="C929" i="16"/>
  <c r="B929" i="16"/>
  <c r="A929" i="16"/>
  <c r="D928" i="16"/>
  <c r="C928" i="16"/>
  <c r="B928" i="16"/>
  <c r="A928" i="16"/>
  <c r="D927" i="16"/>
  <c r="C927" i="16"/>
  <c r="B927" i="16"/>
  <c r="A927" i="16"/>
  <c r="D926" i="16"/>
  <c r="C926" i="16"/>
  <c r="B926" i="16"/>
  <c r="A926" i="16"/>
  <c r="D925" i="16"/>
  <c r="C925" i="16"/>
  <c r="B925" i="16"/>
  <c r="A925" i="16"/>
  <c r="D924" i="16"/>
  <c r="C924" i="16"/>
  <c r="B924" i="16"/>
  <c r="A924" i="16"/>
  <c r="D923" i="16"/>
  <c r="C923" i="16"/>
  <c r="B923" i="16"/>
  <c r="A923" i="16"/>
  <c r="D922" i="16"/>
  <c r="C922" i="16"/>
  <c r="B922" i="16"/>
  <c r="A922" i="16"/>
  <c r="D921" i="16"/>
  <c r="C921" i="16"/>
  <c r="B921" i="16"/>
  <c r="A921" i="16"/>
  <c r="D920" i="16"/>
  <c r="C920" i="16"/>
  <c r="B920" i="16"/>
  <c r="A920" i="16"/>
  <c r="D919" i="16"/>
  <c r="C919" i="16"/>
  <c r="B919" i="16"/>
  <c r="A919" i="16"/>
  <c r="D918" i="16"/>
  <c r="C918" i="16"/>
  <c r="B918" i="16"/>
  <c r="A918" i="16"/>
  <c r="D917" i="16"/>
  <c r="C917" i="16"/>
  <c r="B917" i="16"/>
  <c r="A917" i="16"/>
  <c r="D916" i="16"/>
  <c r="C916" i="16"/>
  <c r="B916" i="16"/>
  <c r="A916" i="16"/>
  <c r="D915" i="16"/>
  <c r="C915" i="16"/>
  <c r="B915" i="16"/>
  <c r="A915" i="16"/>
  <c r="D914" i="16"/>
  <c r="C914" i="16"/>
  <c r="B914" i="16"/>
  <c r="A914" i="16"/>
  <c r="D913" i="16"/>
  <c r="C913" i="16"/>
  <c r="B913" i="16"/>
  <c r="A913" i="16"/>
  <c r="D912" i="16"/>
  <c r="C912" i="16"/>
  <c r="B912" i="16"/>
  <c r="A912" i="16"/>
  <c r="D911" i="16"/>
  <c r="C911" i="16"/>
  <c r="B911" i="16"/>
  <c r="A911" i="16"/>
  <c r="D910" i="16"/>
  <c r="C910" i="16"/>
  <c r="B910" i="16"/>
  <c r="A910" i="16"/>
  <c r="D909" i="16"/>
  <c r="C909" i="16"/>
  <c r="B909" i="16"/>
  <c r="A909" i="16"/>
  <c r="D908" i="16"/>
  <c r="C908" i="16"/>
  <c r="B908" i="16"/>
  <c r="A908" i="16"/>
  <c r="D907" i="16"/>
  <c r="C907" i="16"/>
  <c r="B907" i="16"/>
  <c r="A907" i="16"/>
  <c r="D906" i="16"/>
  <c r="C906" i="16"/>
  <c r="B906" i="16"/>
  <c r="A906" i="16"/>
  <c r="D905" i="16"/>
  <c r="C905" i="16"/>
  <c r="B905" i="16"/>
  <c r="A905" i="16"/>
  <c r="D904" i="16"/>
  <c r="C904" i="16"/>
  <c r="B904" i="16"/>
  <c r="A904" i="16"/>
  <c r="D903" i="16"/>
  <c r="C903" i="16"/>
  <c r="B903" i="16"/>
  <c r="A903" i="16"/>
  <c r="D902" i="16"/>
  <c r="C902" i="16"/>
  <c r="B902" i="16"/>
  <c r="A902" i="16"/>
  <c r="D901" i="16"/>
  <c r="C901" i="16"/>
  <c r="B901" i="16"/>
  <c r="A901" i="16"/>
  <c r="D900" i="16"/>
  <c r="C900" i="16"/>
  <c r="B900" i="16"/>
  <c r="A900" i="16"/>
  <c r="D899" i="16"/>
  <c r="C899" i="16"/>
  <c r="B899" i="16"/>
  <c r="A899" i="16"/>
  <c r="D898" i="16"/>
  <c r="C898" i="16"/>
  <c r="B898" i="16"/>
  <c r="A898" i="16"/>
  <c r="D897" i="16"/>
  <c r="C897" i="16"/>
  <c r="B897" i="16"/>
  <c r="A897" i="16"/>
  <c r="D896" i="16"/>
  <c r="C896" i="16"/>
  <c r="B896" i="16"/>
  <c r="A896" i="16"/>
  <c r="D895" i="16"/>
  <c r="C895" i="16"/>
  <c r="B895" i="16"/>
  <c r="A895" i="16"/>
  <c r="D894" i="16"/>
  <c r="C894" i="16"/>
  <c r="B894" i="16"/>
  <c r="A894" i="16"/>
  <c r="D893" i="16"/>
  <c r="C893" i="16"/>
  <c r="B893" i="16"/>
  <c r="A893" i="16"/>
  <c r="D892" i="16"/>
  <c r="C892" i="16"/>
  <c r="B892" i="16"/>
  <c r="A892" i="16"/>
  <c r="D891" i="16"/>
  <c r="C891" i="16"/>
  <c r="B891" i="16"/>
  <c r="A891" i="16"/>
  <c r="D890" i="16"/>
  <c r="C890" i="16"/>
  <c r="B890" i="16"/>
  <c r="A890" i="16"/>
  <c r="D889" i="16"/>
  <c r="C889" i="16"/>
  <c r="B889" i="16"/>
  <c r="A889" i="16"/>
  <c r="D888" i="16"/>
  <c r="C888" i="16"/>
  <c r="B888" i="16"/>
  <c r="A888" i="16"/>
  <c r="D887" i="16"/>
  <c r="C887" i="16"/>
  <c r="B887" i="16"/>
  <c r="A887" i="16"/>
  <c r="D886" i="16"/>
  <c r="C886" i="16"/>
  <c r="B886" i="16"/>
  <c r="A886" i="16"/>
  <c r="D885" i="16"/>
  <c r="C885" i="16"/>
  <c r="B885" i="16"/>
  <c r="A885" i="16"/>
  <c r="D884" i="16"/>
  <c r="C884" i="16"/>
  <c r="B884" i="16"/>
  <c r="A884" i="16"/>
  <c r="D883" i="16"/>
  <c r="C883" i="16"/>
  <c r="B883" i="16"/>
  <c r="A883" i="16"/>
  <c r="D882" i="16"/>
  <c r="C882" i="16"/>
  <c r="B882" i="16"/>
  <c r="A882" i="16"/>
  <c r="D881" i="16"/>
  <c r="C881" i="16"/>
  <c r="B881" i="16"/>
  <c r="A881" i="16"/>
  <c r="D880" i="16"/>
  <c r="C880" i="16"/>
  <c r="B880" i="16"/>
  <c r="A880" i="16"/>
  <c r="D879" i="16"/>
  <c r="C879" i="16"/>
  <c r="B879" i="16"/>
  <c r="A879" i="16"/>
  <c r="D878" i="16"/>
  <c r="C878" i="16"/>
  <c r="B878" i="16"/>
  <c r="A878" i="16"/>
  <c r="D877" i="16"/>
  <c r="C877" i="16"/>
  <c r="B877" i="16"/>
  <c r="A877" i="16"/>
  <c r="D876" i="16"/>
  <c r="C876" i="16"/>
  <c r="B876" i="16"/>
  <c r="A876" i="16"/>
  <c r="D875" i="16"/>
  <c r="C875" i="16"/>
  <c r="B875" i="16"/>
  <c r="A875" i="16"/>
  <c r="D874" i="16"/>
  <c r="C874" i="16"/>
  <c r="B874" i="16"/>
  <c r="A874" i="16"/>
  <c r="D873" i="16"/>
  <c r="C873" i="16"/>
  <c r="B873" i="16"/>
  <c r="A873" i="16"/>
  <c r="D872" i="16"/>
  <c r="C872" i="16"/>
  <c r="B872" i="16"/>
  <c r="A872" i="16"/>
  <c r="D871" i="16"/>
  <c r="C871" i="16"/>
  <c r="B871" i="16"/>
  <c r="A871" i="16"/>
  <c r="D870" i="16"/>
  <c r="C870" i="16"/>
  <c r="B870" i="16"/>
  <c r="A870" i="16"/>
  <c r="D869" i="16"/>
  <c r="C869" i="16"/>
  <c r="B869" i="16"/>
  <c r="A869" i="16"/>
  <c r="D868" i="16"/>
  <c r="C868" i="16"/>
  <c r="B868" i="16"/>
  <c r="A868" i="16"/>
  <c r="D867" i="16"/>
  <c r="C867" i="16"/>
  <c r="B867" i="16"/>
  <c r="A867" i="16"/>
  <c r="D866" i="16"/>
  <c r="C866" i="16"/>
  <c r="B866" i="16"/>
  <c r="A866" i="16"/>
  <c r="D865" i="16"/>
  <c r="C865" i="16"/>
  <c r="B865" i="16"/>
  <c r="A865" i="16"/>
  <c r="D864" i="16"/>
  <c r="C864" i="16"/>
  <c r="B864" i="16"/>
  <c r="A864" i="16"/>
  <c r="D863" i="16"/>
  <c r="C863" i="16"/>
  <c r="B863" i="16"/>
  <c r="A863" i="16"/>
  <c r="D862" i="16"/>
  <c r="C862" i="16"/>
  <c r="B862" i="16"/>
  <c r="A862" i="16"/>
  <c r="D861" i="16"/>
  <c r="C861" i="16"/>
  <c r="B861" i="16"/>
  <c r="A861" i="16"/>
  <c r="D860" i="16"/>
  <c r="C860" i="16"/>
  <c r="B860" i="16"/>
  <c r="A860" i="16"/>
  <c r="D859" i="16"/>
  <c r="C859" i="16"/>
  <c r="B859" i="16"/>
  <c r="A859" i="16"/>
  <c r="D858" i="16"/>
  <c r="C858" i="16"/>
  <c r="B858" i="16"/>
  <c r="A858" i="16"/>
  <c r="D857" i="16"/>
  <c r="C857" i="16"/>
  <c r="B857" i="16"/>
  <c r="A857" i="16"/>
  <c r="D856" i="16"/>
  <c r="C856" i="16"/>
  <c r="B856" i="16"/>
  <c r="A856" i="16"/>
  <c r="D855" i="16"/>
  <c r="C855" i="16"/>
  <c r="B855" i="16"/>
  <c r="A855" i="16"/>
  <c r="D854" i="16"/>
  <c r="C854" i="16"/>
  <c r="B854" i="16"/>
  <c r="A854" i="16"/>
  <c r="D853" i="16"/>
  <c r="C853" i="16"/>
  <c r="B853" i="16"/>
  <c r="A853" i="16"/>
  <c r="D852" i="16"/>
  <c r="C852" i="16"/>
  <c r="B852" i="16"/>
  <c r="A852" i="16"/>
  <c r="D851" i="16"/>
  <c r="C851" i="16"/>
  <c r="B851" i="16"/>
  <c r="A851" i="16"/>
  <c r="D850" i="16"/>
  <c r="C850" i="16"/>
  <c r="B850" i="16"/>
  <c r="A850" i="16"/>
  <c r="D849" i="16"/>
  <c r="C849" i="16"/>
  <c r="B849" i="16"/>
  <c r="A849" i="16"/>
  <c r="D848" i="16"/>
  <c r="C848" i="16"/>
  <c r="B848" i="16"/>
  <c r="A848" i="16"/>
  <c r="D847" i="16"/>
  <c r="C847" i="16"/>
  <c r="B847" i="16"/>
  <c r="A847" i="16"/>
  <c r="D846" i="16"/>
  <c r="C846" i="16"/>
  <c r="B846" i="16"/>
  <c r="A846" i="16"/>
  <c r="D845" i="16"/>
  <c r="C845" i="16"/>
  <c r="B845" i="16"/>
  <c r="A845" i="16"/>
  <c r="D844" i="16"/>
  <c r="C844" i="16"/>
  <c r="B844" i="16"/>
  <c r="A844" i="16"/>
  <c r="D843" i="16"/>
  <c r="C843" i="16"/>
  <c r="B843" i="16"/>
  <c r="A843" i="16"/>
  <c r="D842" i="16"/>
  <c r="C842" i="16"/>
  <c r="B842" i="16"/>
  <c r="A842" i="16"/>
  <c r="D841" i="16"/>
  <c r="C841" i="16"/>
  <c r="B841" i="16"/>
  <c r="A841" i="16"/>
  <c r="D840" i="16"/>
  <c r="C840" i="16"/>
  <c r="B840" i="16"/>
  <c r="A840" i="16"/>
  <c r="D839" i="16"/>
  <c r="C839" i="16"/>
  <c r="B839" i="16"/>
  <c r="A839" i="16"/>
  <c r="D838" i="16"/>
  <c r="C838" i="16"/>
  <c r="B838" i="16"/>
  <c r="A838" i="16"/>
  <c r="D837" i="16"/>
  <c r="C837" i="16"/>
  <c r="B837" i="16"/>
  <c r="A837" i="16"/>
  <c r="D836" i="16"/>
  <c r="C836" i="16"/>
  <c r="B836" i="16"/>
  <c r="A836" i="16"/>
  <c r="D835" i="16"/>
  <c r="C835" i="16"/>
  <c r="B835" i="16"/>
  <c r="A835" i="16"/>
  <c r="D834" i="16"/>
  <c r="C834" i="16"/>
  <c r="B834" i="16"/>
  <c r="A834" i="16"/>
  <c r="D833" i="16"/>
  <c r="C833" i="16"/>
  <c r="B833" i="16"/>
  <c r="A833" i="16"/>
  <c r="D832" i="16"/>
  <c r="C832" i="16"/>
  <c r="B832" i="16"/>
  <c r="A832" i="16"/>
  <c r="D831" i="16"/>
  <c r="C831" i="16"/>
  <c r="B831" i="16"/>
  <c r="A831" i="16"/>
  <c r="D830" i="16"/>
  <c r="C830" i="16"/>
  <c r="B830" i="16"/>
  <c r="A830" i="16"/>
  <c r="D829" i="16"/>
  <c r="C829" i="16"/>
  <c r="B829" i="16"/>
  <c r="A829" i="16"/>
  <c r="D828" i="16"/>
  <c r="C828" i="16"/>
  <c r="B828" i="16"/>
  <c r="A828" i="16"/>
  <c r="D827" i="16"/>
  <c r="C827" i="16"/>
  <c r="B827" i="16"/>
  <c r="A827" i="16"/>
  <c r="D826" i="16"/>
  <c r="C826" i="16"/>
  <c r="B826" i="16"/>
  <c r="A826" i="16"/>
  <c r="D825" i="16"/>
  <c r="C825" i="16"/>
  <c r="B825" i="16"/>
  <c r="A825" i="16"/>
  <c r="D824" i="16"/>
  <c r="C824" i="16"/>
  <c r="B824" i="16"/>
  <c r="A824" i="16"/>
  <c r="D823" i="16"/>
  <c r="C823" i="16"/>
  <c r="B823" i="16"/>
  <c r="A823" i="16"/>
  <c r="D822" i="16"/>
  <c r="C822" i="16"/>
  <c r="B822" i="16"/>
  <c r="A822" i="16"/>
  <c r="D821" i="16"/>
  <c r="C821" i="16"/>
  <c r="B821" i="16"/>
  <c r="A821" i="16"/>
  <c r="D820" i="16"/>
  <c r="C820" i="16"/>
  <c r="B820" i="16"/>
  <c r="A820" i="16"/>
  <c r="D819" i="16"/>
  <c r="C819" i="16"/>
  <c r="B819" i="16"/>
  <c r="A819" i="16"/>
  <c r="D818" i="16"/>
  <c r="C818" i="16"/>
  <c r="B818" i="16"/>
  <c r="A818" i="16"/>
  <c r="D817" i="16"/>
  <c r="C817" i="16"/>
  <c r="B817" i="16"/>
  <c r="A817" i="16"/>
  <c r="D816" i="16"/>
  <c r="C816" i="16"/>
  <c r="B816" i="16"/>
  <c r="A816" i="16"/>
  <c r="D815" i="16"/>
  <c r="C815" i="16"/>
  <c r="B815" i="16"/>
  <c r="A815" i="16"/>
  <c r="D814" i="16"/>
  <c r="C814" i="16"/>
  <c r="B814" i="16"/>
  <c r="A814" i="16"/>
  <c r="D813" i="16"/>
  <c r="C813" i="16"/>
  <c r="B813" i="16"/>
  <c r="A813" i="16"/>
  <c r="D812" i="16"/>
  <c r="C812" i="16"/>
  <c r="B812" i="16"/>
  <c r="A812" i="16"/>
  <c r="D811" i="16"/>
  <c r="C811" i="16"/>
  <c r="B811" i="16"/>
  <c r="A811" i="16"/>
  <c r="D810" i="16"/>
  <c r="C810" i="16"/>
  <c r="B810" i="16"/>
  <c r="A810" i="16"/>
  <c r="D809" i="16"/>
  <c r="C809" i="16"/>
  <c r="B809" i="16"/>
  <c r="A809" i="16"/>
  <c r="D808" i="16"/>
  <c r="C808" i="16"/>
  <c r="B808" i="16"/>
  <c r="A808" i="16"/>
  <c r="D807" i="16"/>
  <c r="C807" i="16"/>
  <c r="B807" i="16"/>
  <c r="A807" i="16"/>
  <c r="D806" i="16"/>
  <c r="C806" i="16"/>
  <c r="B806" i="16"/>
  <c r="A806" i="16"/>
  <c r="D805" i="16"/>
  <c r="C805" i="16"/>
  <c r="B805" i="16"/>
  <c r="A805" i="16"/>
  <c r="D804" i="16"/>
  <c r="C804" i="16"/>
  <c r="B804" i="16"/>
  <c r="A804" i="16"/>
  <c r="D803" i="16"/>
  <c r="C803" i="16"/>
  <c r="B803" i="16"/>
  <c r="A803" i="16"/>
  <c r="D802" i="16"/>
  <c r="C802" i="16"/>
  <c r="B802" i="16"/>
  <c r="A802" i="16"/>
  <c r="D801" i="16"/>
  <c r="C801" i="16"/>
  <c r="B801" i="16"/>
  <c r="A801" i="16"/>
  <c r="D800" i="16"/>
  <c r="C800" i="16"/>
  <c r="B800" i="16"/>
  <c r="A800" i="16"/>
  <c r="D799" i="16"/>
  <c r="C799" i="16"/>
  <c r="B799" i="16"/>
  <c r="A799" i="16"/>
  <c r="D798" i="16"/>
  <c r="C798" i="16"/>
  <c r="B798" i="16"/>
  <c r="A798" i="16"/>
  <c r="D797" i="16"/>
  <c r="C797" i="16"/>
  <c r="B797" i="16"/>
  <c r="A797" i="16"/>
  <c r="D796" i="16"/>
  <c r="C796" i="16"/>
  <c r="B796" i="16"/>
  <c r="A796" i="16"/>
  <c r="D795" i="16"/>
  <c r="C795" i="16"/>
  <c r="B795" i="16"/>
  <c r="A795" i="16"/>
  <c r="D794" i="16"/>
  <c r="C794" i="16"/>
  <c r="B794" i="16"/>
  <c r="A794" i="16"/>
  <c r="D793" i="16"/>
  <c r="C793" i="16"/>
  <c r="B793" i="16"/>
  <c r="A793" i="16"/>
  <c r="D792" i="16"/>
  <c r="C792" i="16"/>
  <c r="B792" i="16"/>
  <c r="A792" i="16"/>
  <c r="D791" i="16"/>
  <c r="C791" i="16"/>
  <c r="B791" i="16"/>
  <c r="A791" i="16"/>
  <c r="D790" i="16"/>
  <c r="C790" i="16"/>
  <c r="B790" i="16"/>
  <c r="A790" i="16"/>
  <c r="D789" i="16"/>
  <c r="C789" i="16"/>
  <c r="B789" i="16"/>
  <c r="A789" i="16"/>
  <c r="D788" i="16"/>
  <c r="C788" i="16"/>
  <c r="B788" i="16"/>
  <c r="A788" i="16"/>
  <c r="D787" i="16"/>
  <c r="C787" i="16"/>
  <c r="B787" i="16"/>
  <c r="A787" i="16"/>
  <c r="D786" i="16"/>
  <c r="C786" i="16"/>
  <c r="B786" i="16"/>
  <c r="A786" i="16"/>
  <c r="D785" i="16"/>
  <c r="C785" i="16"/>
  <c r="B785" i="16"/>
  <c r="A785" i="16"/>
  <c r="D784" i="16"/>
  <c r="C784" i="16"/>
  <c r="B784" i="16"/>
  <c r="A784" i="16"/>
  <c r="D783" i="16"/>
  <c r="C783" i="16"/>
  <c r="B783" i="16"/>
  <c r="A783" i="16"/>
  <c r="D782" i="16"/>
  <c r="C782" i="16"/>
  <c r="B782" i="16"/>
  <c r="A782" i="16"/>
  <c r="D781" i="16"/>
  <c r="C781" i="16"/>
  <c r="B781" i="16"/>
  <c r="A781" i="16"/>
  <c r="D780" i="16"/>
  <c r="C780" i="16"/>
  <c r="B780" i="16"/>
  <c r="A780" i="16"/>
  <c r="D779" i="16"/>
  <c r="C779" i="16"/>
  <c r="B779" i="16"/>
  <c r="A779" i="16"/>
  <c r="D778" i="16"/>
  <c r="C778" i="16"/>
  <c r="B778" i="16"/>
  <c r="A778" i="16"/>
  <c r="D777" i="16"/>
  <c r="C777" i="16"/>
  <c r="B777" i="16"/>
  <c r="A777" i="16"/>
  <c r="D776" i="16"/>
  <c r="C776" i="16"/>
  <c r="B776" i="16"/>
  <c r="A776" i="16"/>
  <c r="D775" i="16"/>
  <c r="C775" i="16"/>
  <c r="B775" i="16"/>
  <c r="A775" i="16"/>
  <c r="D774" i="16"/>
  <c r="C774" i="16"/>
  <c r="B774" i="16"/>
  <c r="A774" i="16"/>
  <c r="D773" i="16"/>
  <c r="C773" i="16"/>
  <c r="B773" i="16"/>
  <c r="A773" i="16"/>
  <c r="D772" i="16"/>
  <c r="C772" i="16"/>
  <c r="B772" i="16"/>
  <c r="A772" i="16"/>
  <c r="D771" i="16"/>
  <c r="C771" i="16"/>
  <c r="B771" i="16"/>
  <c r="A771" i="16"/>
  <c r="D770" i="16"/>
  <c r="C770" i="16"/>
  <c r="B770" i="16"/>
  <c r="A770" i="16"/>
  <c r="D769" i="16"/>
  <c r="C769" i="16"/>
  <c r="B769" i="16"/>
  <c r="A769" i="16"/>
  <c r="D768" i="16"/>
  <c r="C768" i="16"/>
  <c r="B768" i="16"/>
  <c r="A768" i="16"/>
  <c r="D767" i="16"/>
  <c r="C767" i="16"/>
  <c r="B767" i="16"/>
  <c r="A767" i="16"/>
  <c r="D766" i="16"/>
  <c r="C766" i="16"/>
  <c r="B766" i="16"/>
  <c r="A766" i="16"/>
  <c r="D765" i="16"/>
  <c r="C765" i="16"/>
  <c r="B765" i="16"/>
  <c r="A765" i="16"/>
  <c r="D764" i="16"/>
  <c r="C764" i="16"/>
  <c r="B764" i="16"/>
  <c r="A764" i="16"/>
  <c r="D763" i="16"/>
  <c r="C763" i="16"/>
  <c r="B763" i="16"/>
  <c r="A763" i="16"/>
  <c r="D762" i="16"/>
  <c r="C762" i="16"/>
  <c r="B762" i="16"/>
  <c r="A762" i="16"/>
  <c r="D761" i="16"/>
  <c r="C761" i="16"/>
  <c r="B761" i="16"/>
  <c r="A761" i="16"/>
  <c r="D760" i="16"/>
  <c r="C760" i="16"/>
  <c r="B760" i="16"/>
  <c r="A760" i="16"/>
  <c r="D759" i="16"/>
  <c r="C759" i="16"/>
  <c r="B759" i="16"/>
  <c r="A759" i="16"/>
  <c r="D758" i="16"/>
  <c r="C758" i="16"/>
  <c r="B758" i="16"/>
  <c r="A758" i="16"/>
  <c r="D757" i="16"/>
  <c r="C757" i="16"/>
  <c r="B757" i="16"/>
  <c r="A757" i="16"/>
  <c r="D756" i="16"/>
  <c r="C756" i="16"/>
  <c r="B756" i="16"/>
  <c r="A756" i="16"/>
  <c r="D755" i="16"/>
  <c r="C755" i="16"/>
  <c r="B755" i="16"/>
  <c r="A755" i="16"/>
  <c r="D754" i="16"/>
  <c r="C754" i="16"/>
  <c r="B754" i="16"/>
  <c r="A754" i="16"/>
  <c r="D753" i="16"/>
  <c r="C753" i="16"/>
  <c r="B753" i="16"/>
  <c r="A753" i="16"/>
  <c r="D752" i="16"/>
  <c r="C752" i="16"/>
  <c r="B752" i="16"/>
  <c r="A752" i="16"/>
  <c r="D751" i="16"/>
  <c r="C751" i="16"/>
  <c r="B751" i="16"/>
  <c r="A751" i="16"/>
  <c r="D750" i="16"/>
  <c r="C750" i="16"/>
  <c r="B750" i="16"/>
  <c r="A750" i="16"/>
  <c r="D749" i="16"/>
  <c r="C749" i="16"/>
  <c r="B749" i="16"/>
  <c r="A749" i="16"/>
  <c r="D748" i="16"/>
  <c r="C748" i="16"/>
  <c r="B748" i="16"/>
  <c r="A748" i="16"/>
  <c r="D747" i="16"/>
  <c r="C747" i="16"/>
  <c r="B747" i="16"/>
  <c r="A747" i="16"/>
  <c r="D746" i="16"/>
  <c r="C746" i="16"/>
  <c r="B746" i="16"/>
  <c r="A746" i="16"/>
  <c r="D745" i="16"/>
  <c r="C745" i="16"/>
  <c r="B745" i="16"/>
  <c r="A745" i="16"/>
  <c r="D744" i="16"/>
  <c r="C744" i="16"/>
  <c r="B744" i="16"/>
  <c r="A744" i="16"/>
  <c r="D743" i="16"/>
  <c r="C743" i="16"/>
  <c r="B743" i="16"/>
  <c r="A743" i="16"/>
  <c r="D742" i="16"/>
  <c r="C742" i="16"/>
  <c r="B742" i="16"/>
  <c r="A742" i="16"/>
  <c r="D741" i="16"/>
  <c r="C741" i="16"/>
  <c r="B741" i="16"/>
  <c r="A741" i="16"/>
  <c r="D740" i="16"/>
  <c r="C740" i="16"/>
  <c r="B740" i="16"/>
  <c r="A740" i="16"/>
  <c r="D739" i="16"/>
  <c r="C739" i="16"/>
  <c r="B739" i="16"/>
  <c r="A739" i="16"/>
  <c r="D738" i="16"/>
  <c r="C738" i="16"/>
  <c r="B738" i="16"/>
  <c r="A738" i="16"/>
  <c r="D737" i="16"/>
  <c r="C737" i="16"/>
  <c r="B737" i="16"/>
  <c r="A737" i="16"/>
  <c r="D736" i="16"/>
  <c r="C736" i="16"/>
  <c r="B736" i="16"/>
  <c r="A736" i="16"/>
  <c r="D735" i="16"/>
  <c r="C735" i="16"/>
  <c r="B735" i="16"/>
  <c r="A735" i="16"/>
  <c r="D734" i="16"/>
  <c r="C734" i="16"/>
  <c r="B734" i="16"/>
  <c r="A734" i="16"/>
  <c r="D733" i="16"/>
  <c r="C733" i="16"/>
  <c r="B733" i="16"/>
  <c r="A733" i="16"/>
  <c r="D732" i="16"/>
  <c r="C732" i="16"/>
  <c r="B732" i="16"/>
  <c r="A732" i="16"/>
  <c r="D731" i="16"/>
  <c r="C731" i="16"/>
  <c r="B731" i="16"/>
  <c r="A731" i="16"/>
  <c r="D730" i="16"/>
  <c r="C730" i="16"/>
  <c r="B730" i="16"/>
  <c r="A730" i="16"/>
  <c r="D729" i="16"/>
  <c r="C729" i="16"/>
  <c r="B729" i="16"/>
  <c r="A729" i="16"/>
  <c r="D728" i="16"/>
  <c r="C728" i="16"/>
  <c r="B728" i="16"/>
  <c r="A728" i="16"/>
  <c r="D727" i="16"/>
  <c r="C727" i="16"/>
  <c r="B727" i="16"/>
  <c r="A727" i="16"/>
  <c r="D726" i="16"/>
  <c r="C726" i="16"/>
  <c r="B726" i="16"/>
  <c r="A726" i="16"/>
  <c r="D725" i="16"/>
  <c r="C725" i="16"/>
  <c r="B725" i="16"/>
  <c r="A725" i="16"/>
  <c r="D724" i="16"/>
  <c r="C724" i="16"/>
  <c r="B724" i="16"/>
  <c r="A724" i="16"/>
  <c r="D723" i="16"/>
  <c r="C723" i="16"/>
  <c r="B723" i="16"/>
  <c r="A723" i="16"/>
  <c r="D722" i="16"/>
  <c r="C722" i="16"/>
  <c r="B722" i="16"/>
  <c r="A722" i="16"/>
  <c r="D721" i="16"/>
  <c r="C721" i="16"/>
  <c r="B721" i="16"/>
  <c r="A721" i="16"/>
  <c r="D720" i="16"/>
  <c r="C720" i="16"/>
  <c r="B720" i="16"/>
  <c r="A720" i="16"/>
  <c r="D719" i="16"/>
  <c r="C719" i="16"/>
  <c r="B719" i="16"/>
  <c r="A719" i="16"/>
  <c r="D718" i="16"/>
  <c r="C718" i="16"/>
  <c r="B718" i="16"/>
  <c r="A718" i="16"/>
  <c r="D717" i="16"/>
  <c r="C717" i="16"/>
  <c r="B717" i="16"/>
  <c r="A717" i="16"/>
  <c r="D716" i="16"/>
  <c r="C716" i="16"/>
  <c r="B716" i="16"/>
  <c r="A716" i="16"/>
  <c r="D715" i="16"/>
  <c r="C715" i="16"/>
  <c r="B715" i="16"/>
  <c r="A715" i="16"/>
  <c r="D714" i="16"/>
  <c r="C714" i="16"/>
  <c r="B714" i="16"/>
  <c r="A714" i="16"/>
  <c r="D713" i="16"/>
  <c r="C713" i="16"/>
  <c r="B713" i="16"/>
  <c r="A713" i="16"/>
  <c r="D712" i="16"/>
  <c r="C712" i="16"/>
  <c r="B712" i="16"/>
  <c r="A712" i="16"/>
  <c r="D711" i="16"/>
  <c r="C711" i="16"/>
  <c r="B711" i="16"/>
  <c r="A711" i="16"/>
  <c r="D710" i="16"/>
  <c r="C710" i="16"/>
  <c r="B710" i="16"/>
  <c r="A710" i="16"/>
  <c r="D709" i="16"/>
  <c r="C709" i="16"/>
  <c r="B709" i="16"/>
  <c r="A709" i="16"/>
  <c r="D708" i="16"/>
  <c r="C708" i="16"/>
  <c r="B708" i="16"/>
  <c r="A708" i="16"/>
  <c r="D707" i="16"/>
  <c r="C707" i="16"/>
  <c r="B707" i="16"/>
  <c r="A707" i="16"/>
  <c r="D706" i="16"/>
  <c r="C706" i="16"/>
  <c r="B706" i="16"/>
  <c r="A706" i="16"/>
  <c r="D705" i="16"/>
  <c r="C705" i="16"/>
  <c r="B705" i="16"/>
  <c r="A705" i="16"/>
  <c r="D704" i="16"/>
  <c r="C704" i="16"/>
  <c r="B704" i="16"/>
  <c r="A704" i="16"/>
  <c r="D703" i="16"/>
  <c r="C703" i="16"/>
  <c r="B703" i="16"/>
  <c r="A703" i="16"/>
  <c r="D702" i="16"/>
  <c r="C702" i="16"/>
  <c r="B702" i="16"/>
  <c r="A702" i="16"/>
  <c r="D701" i="16"/>
  <c r="C701" i="16"/>
  <c r="B701" i="16"/>
  <c r="A701" i="16"/>
  <c r="D700" i="16"/>
  <c r="C700" i="16"/>
  <c r="B700" i="16"/>
  <c r="A700" i="16"/>
  <c r="D699" i="16"/>
  <c r="C699" i="16"/>
  <c r="B699" i="16"/>
  <c r="A699" i="16"/>
  <c r="D698" i="16"/>
  <c r="C698" i="16"/>
  <c r="B698" i="16"/>
  <c r="A698" i="16"/>
  <c r="D697" i="16"/>
  <c r="C697" i="16"/>
  <c r="B697" i="16"/>
  <c r="A697" i="16"/>
  <c r="D696" i="16"/>
  <c r="C696" i="16"/>
  <c r="B696" i="16"/>
  <c r="A696" i="16"/>
  <c r="D695" i="16"/>
  <c r="C695" i="16"/>
  <c r="B695" i="16"/>
  <c r="A695" i="16"/>
  <c r="D694" i="16"/>
  <c r="C694" i="16"/>
  <c r="B694" i="16"/>
  <c r="A694" i="16"/>
  <c r="D693" i="16"/>
  <c r="C693" i="16"/>
  <c r="B693" i="16"/>
  <c r="A693" i="16"/>
  <c r="D692" i="16"/>
  <c r="C692" i="16"/>
  <c r="B692" i="16"/>
  <c r="A692" i="16"/>
  <c r="D691" i="16"/>
  <c r="C691" i="16"/>
  <c r="B691" i="16"/>
  <c r="A691" i="16"/>
  <c r="D690" i="16"/>
  <c r="C690" i="16"/>
  <c r="B690" i="16"/>
  <c r="A690" i="16"/>
  <c r="D689" i="16"/>
  <c r="C689" i="16"/>
  <c r="B689" i="16"/>
  <c r="A689" i="16"/>
  <c r="D688" i="16"/>
  <c r="C688" i="16"/>
  <c r="B688" i="16"/>
  <c r="A688" i="16"/>
  <c r="D687" i="16"/>
  <c r="C687" i="16"/>
  <c r="B687" i="16"/>
  <c r="A687" i="16"/>
  <c r="D686" i="16"/>
  <c r="C686" i="16"/>
  <c r="B686" i="16"/>
  <c r="A686" i="16"/>
  <c r="D685" i="16"/>
  <c r="C685" i="16"/>
  <c r="B685" i="16"/>
  <c r="A685" i="16"/>
  <c r="D684" i="16"/>
  <c r="C684" i="16"/>
  <c r="B684" i="16"/>
  <c r="A684" i="16"/>
  <c r="D683" i="16"/>
  <c r="C683" i="16"/>
  <c r="B683" i="16"/>
  <c r="A683" i="16"/>
  <c r="D682" i="16"/>
  <c r="C682" i="16"/>
  <c r="B682" i="16"/>
  <c r="A682" i="16"/>
  <c r="D681" i="16"/>
  <c r="C681" i="16"/>
  <c r="B681" i="16"/>
  <c r="A681" i="16"/>
  <c r="D680" i="16"/>
  <c r="C680" i="16"/>
  <c r="B680" i="16"/>
  <c r="A680" i="16"/>
  <c r="D679" i="16"/>
  <c r="C679" i="16"/>
  <c r="B679" i="16"/>
  <c r="A679" i="16"/>
  <c r="D678" i="16"/>
  <c r="C678" i="16"/>
  <c r="B678" i="16"/>
  <c r="A678" i="16"/>
  <c r="D677" i="16"/>
  <c r="C677" i="16"/>
  <c r="B677" i="16"/>
  <c r="A677" i="16"/>
  <c r="D676" i="16"/>
  <c r="C676" i="16"/>
  <c r="B676" i="16"/>
  <c r="A676" i="16"/>
  <c r="D675" i="16"/>
  <c r="C675" i="16"/>
  <c r="B675" i="16"/>
  <c r="A675" i="16"/>
  <c r="D674" i="16"/>
  <c r="C674" i="16"/>
  <c r="B674" i="16"/>
  <c r="A674" i="16"/>
  <c r="D673" i="16"/>
  <c r="C673" i="16"/>
  <c r="B673" i="16"/>
  <c r="A673" i="16"/>
  <c r="D672" i="16"/>
  <c r="C672" i="16"/>
  <c r="B672" i="16"/>
  <c r="A672" i="16"/>
  <c r="D671" i="16"/>
  <c r="C671" i="16"/>
  <c r="B671" i="16"/>
  <c r="A671" i="16"/>
  <c r="D670" i="16"/>
  <c r="C670" i="16"/>
  <c r="B670" i="16"/>
  <c r="A670" i="16"/>
  <c r="D669" i="16"/>
  <c r="C669" i="16"/>
  <c r="B669" i="16"/>
  <c r="A669" i="16"/>
  <c r="D668" i="16"/>
  <c r="C668" i="16"/>
  <c r="B668" i="16"/>
  <c r="A668" i="16"/>
  <c r="D667" i="16"/>
  <c r="C667" i="16"/>
  <c r="B667" i="16"/>
  <c r="A667" i="16"/>
  <c r="D666" i="16"/>
  <c r="C666" i="16"/>
  <c r="B666" i="16"/>
  <c r="A666" i="16"/>
  <c r="D665" i="16"/>
  <c r="C665" i="16"/>
  <c r="B665" i="16"/>
  <c r="A665" i="16"/>
  <c r="D664" i="16"/>
  <c r="C664" i="16"/>
  <c r="B664" i="16"/>
  <c r="A664" i="16"/>
  <c r="D663" i="16"/>
  <c r="C663" i="16"/>
  <c r="B663" i="16"/>
  <c r="A663" i="16"/>
  <c r="D662" i="16"/>
  <c r="C662" i="16"/>
  <c r="B662" i="16"/>
  <c r="A662" i="16"/>
  <c r="D661" i="16"/>
  <c r="C661" i="16"/>
  <c r="B661" i="16"/>
  <c r="A661" i="16"/>
  <c r="D660" i="16"/>
  <c r="C660" i="16"/>
  <c r="B660" i="16"/>
  <c r="A660" i="16"/>
  <c r="D659" i="16"/>
  <c r="C659" i="16"/>
  <c r="B659" i="16"/>
  <c r="A659" i="16"/>
  <c r="D658" i="16"/>
  <c r="C658" i="16"/>
  <c r="B658" i="16"/>
  <c r="A658" i="16"/>
  <c r="D657" i="16"/>
  <c r="C657" i="16"/>
  <c r="B657" i="16"/>
  <c r="A657" i="16"/>
  <c r="D656" i="16"/>
  <c r="C656" i="16"/>
  <c r="B656" i="16"/>
  <c r="A656" i="16"/>
  <c r="D655" i="16"/>
  <c r="C655" i="16"/>
  <c r="B655" i="16"/>
  <c r="A655" i="16"/>
  <c r="D654" i="16"/>
  <c r="C654" i="16"/>
  <c r="B654" i="16"/>
  <c r="A654" i="16"/>
  <c r="D653" i="16"/>
  <c r="C653" i="16"/>
  <c r="B653" i="16"/>
  <c r="A653" i="16"/>
  <c r="D652" i="16"/>
  <c r="C652" i="16"/>
  <c r="B652" i="16"/>
  <c r="A652" i="16"/>
  <c r="D651" i="16"/>
  <c r="C651" i="16"/>
  <c r="B651" i="16"/>
  <c r="A651" i="16"/>
  <c r="D650" i="16"/>
  <c r="C650" i="16"/>
  <c r="B650" i="16"/>
  <c r="A650" i="16"/>
  <c r="D649" i="16"/>
  <c r="C649" i="16"/>
  <c r="B649" i="16"/>
  <c r="A649" i="16"/>
  <c r="D648" i="16"/>
  <c r="C648" i="16"/>
  <c r="B648" i="16"/>
  <c r="A648" i="16"/>
  <c r="D647" i="16"/>
  <c r="C647" i="16"/>
  <c r="B647" i="16"/>
  <c r="A647" i="16"/>
  <c r="D646" i="16"/>
  <c r="C646" i="16"/>
  <c r="B646" i="16"/>
  <c r="A646" i="16"/>
  <c r="D645" i="16"/>
  <c r="C645" i="16"/>
  <c r="B645" i="16"/>
  <c r="A645" i="16"/>
  <c r="D644" i="16"/>
  <c r="C644" i="16"/>
  <c r="B644" i="16"/>
  <c r="A644" i="16"/>
  <c r="D643" i="16"/>
  <c r="C643" i="16"/>
  <c r="B643" i="16"/>
  <c r="A643" i="16"/>
  <c r="D642" i="16"/>
  <c r="C642" i="16"/>
  <c r="B642" i="16"/>
  <c r="A642" i="16"/>
  <c r="D641" i="16"/>
  <c r="C641" i="16"/>
  <c r="B641" i="16"/>
  <c r="A641" i="16"/>
  <c r="D640" i="16"/>
  <c r="C640" i="16"/>
  <c r="B640" i="16"/>
  <c r="A640" i="16"/>
  <c r="D639" i="16"/>
  <c r="C639" i="16"/>
  <c r="B639" i="16"/>
  <c r="A639" i="16"/>
  <c r="D638" i="16"/>
  <c r="C638" i="16"/>
  <c r="B638" i="16"/>
  <c r="A638" i="16"/>
  <c r="D637" i="16"/>
  <c r="C637" i="16"/>
  <c r="B637" i="16"/>
  <c r="A637" i="16"/>
  <c r="D636" i="16"/>
  <c r="C636" i="16"/>
  <c r="B636" i="16"/>
  <c r="A636" i="16"/>
  <c r="D635" i="16"/>
  <c r="C635" i="16"/>
  <c r="B635" i="16"/>
  <c r="A635" i="16"/>
  <c r="D634" i="16"/>
  <c r="C634" i="16"/>
  <c r="B634" i="16"/>
  <c r="A634" i="16"/>
  <c r="D633" i="16"/>
  <c r="C633" i="16"/>
  <c r="B633" i="16"/>
  <c r="A633" i="16"/>
  <c r="D632" i="16"/>
  <c r="C632" i="16"/>
  <c r="B632" i="16"/>
  <c r="A632" i="16"/>
  <c r="D631" i="16"/>
  <c r="C631" i="16"/>
  <c r="B631" i="16"/>
  <c r="A631" i="16"/>
  <c r="D630" i="16"/>
  <c r="C630" i="16"/>
  <c r="B630" i="16"/>
  <c r="A630" i="16"/>
  <c r="D629" i="16"/>
  <c r="C629" i="16"/>
  <c r="B629" i="16"/>
  <c r="A629" i="16"/>
  <c r="D628" i="16"/>
  <c r="C628" i="16"/>
  <c r="B628" i="16"/>
  <c r="A628" i="16"/>
  <c r="D627" i="16"/>
  <c r="C627" i="16"/>
  <c r="B627" i="16"/>
  <c r="A627" i="16"/>
  <c r="D626" i="16"/>
  <c r="C626" i="16"/>
  <c r="B626" i="16"/>
  <c r="A626" i="16"/>
  <c r="D625" i="16"/>
  <c r="C625" i="16"/>
  <c r="B625" i="16"/>
  <c r="A625" i="16"/>
  <c r="D624" i="16"/>
  <c r="C624" i="16"/>
  <c r="B624" i="16"/>
  <c r="A624" i="16"/>
  <c r="D623" i="16"/>
  <c r="C623" i="16"/>
  <c r="B623" i="16"/>
  <c r="A623" i="16"/>
  <c r="D622" i="16"/>
  <c r="C622" i="16"/>
  <c r="B622" i="16"/>
  <c r="A622" i="16"/>
  <c r="D621" i="16"/>
  <c r="C621" i="16"/>
  <c r="B621" i="16"/>
  <c r="A621" i="16"/>
  <c r="D620" i="16"/>
  <c r="C620" i="16"/>
  <c r="B620" i="16"/>
  <c r="A620" i="16"/>
  <c r="D619" i="16"/>
  <c r="C619" i="16"/>
  <c r="B619" i="16"/>
  <c r="A619" i="16"/>
  <c r="D618" i="16"/>
  <c r="C618" i="16"/>
  <c r="B618" i="16"/>
  <c r="A618" i="16"/>
  <c r="D617" i="16"/>
  <c r="C617" i="16"/>
  <c r="B617" i="16"/>
  <c r="A617" i="16"/>
  <c r="D616" i="16"/>
  <c r="C616" i="16"/>
  <c r="B616" i="16"/>
  <c r="A616" i="16"/>
  <c r="D615" i="16"/>
  <c r="C615" i="16"/>
  <c r="B615" i="16"/>
  <c r="A615" i="16"/>
  <c r="D614" i="16"/>
  <c r="C614" i="16"/>
  <c r="B614" i="16"/>
  <c r="A614" i="16"/>
  <c r="D613" i="16"/>
  <c r="C613" i="16"/>
  <c r="B613" i="16"/>
  <c r="A613" i="16"/>
  <c r="D612" i="16"/>
  <c r="C612" i="16"/>
  <c r="B612" i="16"/>
  <c r="A612" i="16"/>
  <c r="D611" i="16"/>
  <c r="C611" i="16"/>
  <c r="B611" i="16"/>
  <c r="A611" i="16"/>
  <c r="D610" i="16"/>
  <c r="C610" i="16"/>
  <c r="B610" i="16"/>
  <c r="A610" i="16"/>
  <c r="D609" i="16"/>
  <c r="C609" i="16"/>
  <c r="B609" i="16"/>
  <c r="A609" i="16"/>
  <c r="D608" i="16"/>
  <c r="C608" i="16"/>
  <c r="B608" i="16"/>
  <c r="A608" i="16"/>
  <c r="D607" i="16"/>
  <c r="C607" i="16"/>
  <c r="B607" i="16"/>
  <c r="A607" i="16"/>
  <c r="D606" i="16"/>
  <c r="C606" i="16"/>
  <c r="B606" i="16"/>
  <c r="A606" i="16"/>
  <c r="D605" i="16"/>
  <c r="C605" i="16"/>
  <c r="B605" i="16"/>
  <c r="A605" i="16"/>
  <c r="D604" i="16"/>
  <c r="C604" i="16"/>
  <c r="B604" i="16"/>
  <c r="A604" i="16"/>
  <c r="D603" i="16"/>
  <c r="C603" i="16"/>
  <c r="B603" i="16"/>
  <c r="A603" i="16"/>
  <c r="D602" i="16"/>
  <c r="C602" i="16"/>
  <c r="B602" i="16"/>
  <c r="A602" i="16"/>
  <c r="D601" i="16"/>
  <c r="C601" i="16"/>
  <c r="B601" i="16"/>
  <c r="A601" i="16"/>
  <c r="D600" i="16"/>
  <c r="C600" i="16"/>
  <c r="B600" i="16"/>
  <c r="A600" i="16"/>
  <c r="D599" i="16"/>
  <c r="C599" i="16"/>
  <c r="B599" i="16"/>
  <c r="A599" i="16"/>
  <c r="D598" i="16"/>
  <c r="C598" i="16"/>
  <c r="B598" i="16"/>
  <c r="A598" i="16"/>
  <c r="D597" i="16"/>
  <c r="C597" i="16"/>
  <c r="B597" i="16"/>
  <c r="A597" i="16"/>
  <c r="D596" i="16"/>
  <c r="C596" i="16"/>
  <c r="B596" i="16"/>
  <c r="A596" i="16"/>
  <c r="D595" i="16"/>
  <c r="C595" i="16"/>
  <c r="B595" i="16"/>
  <c r="A595" i="16"/>
  <c r="D594" i="16"/>
  <c r="C594" i="16"/>
  <c r="B594" i="16"/>
  <c r="A594" i="16"/>
  <c r="D593" i="16"/>
  <c r="C593" i="16"/>
  <c r="B593" i="16"/>
  <c r="A593" i="16"/>
  <c r="D592" i="16"/>
  <c r="C592" i="16"/>
  <c r="B592" i="16"/>
  <c r="A592" i="16"/>
  <c r="D591" i="16"/>
  <c r="C591" i="16"/>
  <c r="B591" i="16"/>
  <c r="A591" i="16"/>
  <c r="D590" i="16"/>
  <c r="C590" i="16"/>
  <c r="B590" i="16"/>
  <c r="A590" i="16"/>
  <c r="D589" i="16"/>
  <c r="C589" i="16"/>
  <c r="B589" i="16"/>
  <c r="A589" i="16"/>
  <c r="D588" i="16"/>
  <c r="C588" i="16"/>
  <c r="B588" i="16"/>
  <c r="A588" i="16"/>
  <c r="D587" i="16"/>
  <c r="C587" i="16"/>
  <c r="B587" i="16"/>
  <c r="A587" i="16"/>
  <c r="D586" i="16"/>
  <c r="C586" i="16"/>
  <c r="B586" i="16"/>
  <c r="A586" i="16"/>
  <c r="D585" i="16"/>
  <c r="C585" i="16"/>
  <c r="B585" i="16"/>
  <c r="A585" i="16"/>
  <c r="D584" i="16"/>
  <c r="C584" i="16"/>
  <c r="B584" i="16"/>
  <c r="A584" i="16"/>
  <c r="D583" i="16"/>
  <c r="C583" i="16"/>
  <c r="B583" i="16"/>
  <c r="A583" i="16"/>
  <c r="D582" i="16"/>
  <c r="C582" i="16"/>
  <c r="B582" i="16"/>
  <c r="A582" i="16"/>
  <c r="D581" i="16"/>
  <c r="C581" i="16"/>
  <c r="B581" i="16"/>
  <c r="A581" i="16"/>
  <c r="D580" i="16"/>
  <c r="C580" i="16"/>
  <c r="B580" i="16"/>
  <c r="A580" i="16"/>
  <c r="D579" i="16"/>
  <c r="C579" i="16"/>
  <c r="B579" i="16"/>
  <c r="A579" i="16"/>
  <c r="D578" i="16"/>
  <c r="C578" i="16"/>
  <c r="B578" i="16"/>
  <c r="A578" i="16"/>
  <c r="D577" i="16"/>
  <c r="C577" i="16"/>
  <c r="B577" i="16"/>
  <c r="A577" i="16"/>
  <c r="D576" i="16"/>
  <c r="C576" i="16"/>
  <c r="B576" i="16"/>
  <c r="A576" i="16"/>
  <c r="D575" i="16"/>
  <c r="C575" i="16"/>
  <c r="B575" i="16"/>
  <c r="A575" i="16"/>
  <c r="D574" i="16"/>
  <c r="C574" i="16"/>
  <c r="B574" i="16"/>
  <c r="A574" i="16"/>
  <c r="D573" i="16"/>
  <c r="C573" i="16"/>
  <c r="B573" i="16"/>
  <c r="A573" i="16"/>
  <c r="D572" i="16"/>
  <c r="C572" i="16"/>
  <c r="B572" i="16"/>
  <c r="A572" i="16"/>
  <c r="D571" i="16"/>
  <c r="C571" i="16"/>
  <c r="B571" i="16"/>
  <c r="A571" i="16"/>
  <c r="D570" i="16"/>
  <c r="C570" i="16"/>
  <c r="B570" i="16"/>
  <c r="A570" i="16"/>
  <c r="D569" i="16"/>
  <c r="C569" i="16"/>
  <c r="B569" i="16"/>
  <c r="A569" i="16"/>
  <c r="D568" i="16"/>
  <c r="C568" i="16"/>
  <c r="B568" i="16"/>
  <c r="A568" i="16"/>
  <c r="D567" i="16"/>
  <c r="C567" i="16"/>
  <c r="B567" i="16"/>
  <c r="A567" i="16"/>
  <c r="D566" i="16"/>
  <c r="C566" i="16"/>
  <c r="B566" i="16"/>
  <c r="A566" i="16"/>
  <c r="D565" i="16"/>
  <c r="C565" i="16"/>
  <c r="B565" i="16"/>
  <c r="A565" i="16"/>
  <c r="D564" i="16"/>
  <c r="C564" i="16"/>
  <c r="B564" i="16"/>
  <c r="A564" i="16"/>
  <c r="D563" i="16"/>
  <c r="C563" i="16"/>
  <c r="B563" i="16"/>
  <c r="A563" i="16"/>
  <c r="D562" i="16"/>
  <c r="C562" i="16"/>
  <c r="B562" i="16"/>
  <c r="A562" i="16"/>
  <c r="D561" i="16"/>
  <c r="C561" i="16"/>
  <c r="B561" i="16"/>
  <c r="A561" i="16"/>
  <c r="D560" i="16"/>
  <c r="C560" i="16"/>
  <c r="B560" i="16"/>
  <c r="A560" i="16"/>
  <c r="D559" i="16"/>
  <c r="C559" i="16"/>
  <c r="B559" i="16"/>
  <c r="A559" i="16"/>
  <c r="D558" i="16"/>
  <c r="C558" i="16"/>
  <c r="B558" i="16"/>
  <c r="A558" i="16"/>
  <c r="D557" i="16"/>
  <c r="C557" i="16"/>
  <c r="B557" i="16"/>
  <c r="A557" i="16"/>
  <c r="D556" i="16"/>
  <c r="C556" i="16"/>
  <c r="B556" i="16"/>
  <c r="A556" i="16"/>
  <c r="D555" i="16"/>
  <c r="C555" i="16"/>
  <c r="B555" i="16"/>
  <c r="A555" i="16"/>
  <c r="D554" i="16"/>
  <c r="C554" i="16"/>
  <c r="B554" i="16"/>
  <c r="A554" i="16"/>
  <c r="D553" i="16"/>
  <c r="C553" i="16"/>
  <c r="B553" i="16"/>
  <c r="A553" i="16"/>
  <c r="D552" i="16"/>
  <c r="C552" i="16"/>
  <c r="B552" i="16"/>
  <c r="A552" i="16"/>
  <c r="D551" i="16"/>
  <c r="C551" i="16"/>
  <c r="B551" i="16"/>
  <c r="A551" i="16"/>
  <c r="D550" i="16"/>
  <c r="C550" i="16"/>
  <c r="B550" i="16"/>
  <c r="A550" i="16"/>
  <c r="D549" i="16"/>
  <c r="C549" i="16"/>
  <c r="B549" i="16"/>
  <c r="A549" i="16"/>
  <c r="D548" i="16"/>
  <c r="C548" i="16"/>
  <c r="B548" i="16"/>
  <c r="A548" i="16"/>
  <c r="D547" i="16"/>
  <c r="C547" i="16"/>
  <c r="B547" i="16"/>
  <c r="A547" i="16"/>
  <c r="D546" i="16"/>
  <c r="C546" i="16"/>
  <c r="B546" i="16"/>
  <c r="A546" i="16"/>
  <c r="D545" i="16"/>
  <c r="C545" i="16"/>
  <c r="B545" i="16"/>
  <c r="A545" i="16"/>
  <c r="D544" i="16"/>
  <c r="C544" i="16"/>
  <c r="B544" i="16"/>
  <c r="A544" i="16"/>
  <c r="D543" i="16"/>
  <c r="C543" i="16"/>
  <c r="B543" i="16"/>
  <c r="A543" i="16"/>
  <c r="D542" i="16"/>
  <c r="C542" i="16"/>
  <c r="B542" i="16"/>
  <c r="A542" i="16"/>
  <c r="D541" i="16"/>
  <c r="C541" i="16"/>
  <c r="B541" i="16"/>
  <c r="A541" i="16"/>
  <c r="D540" i="16"/>
  <c r="C540" i="16"/>
  <c r="B540" i="16"/>
  <c r="A540" i="16"/>
  <c r="D539" i="16"/>
  <c r="C539" i="16"/>
  <c r="B539" i="16"/>
  <c r="A539" i="16"/>
  <c r="D538" i="16"/>
  <c r="C538" i="16"/>
  <c r="B538" i="16"/>
  <c r="A538" i="16"/>
  <c r="D537" i="16"/>
  <c r="C537" i="16"/>
  <c r="B537" i="16"/>
  <c r="A537" i="16"/>
  <c r="D536" i="16"/>
  <c r="C536" i="16"/>
  <c r="B536" i="16"/>
  <c r="A536" i="16"/>
  <c r="D535" i="16"/>
  <c r="C535" i="16"/>
  <c r="B535" i="16"/>
  <c r="A535" i="16"/>
  <c r="D534" i="16"/>
  <c r="C534" i="16"/>
  <c r="B534" i="16"/>
  <c r="A534" i="16"/>
  <c r="D533" i="16"/>
  <c r="C533" i="16"/>
  <c r="B533" i="16"/>
  <c r="A533" i="16"/>
  <c r="D532" i="16"/>
  <c r="C532" i="16"/>
  <c r="B532" i="16"/>
  <c r="A532" i="16"/>
  <c r="D531" i="16"/>
  <c r="C531" i="16"/>
  <c r="B531" i="16"/>
  <c r="A531" i="16"/>
  <c r="D530" i="16"/>
  <c r="C530" i="16"/>
  <c r="B530" i="16"/>
  <c r="A530" i="16"/>
  <c r="D529" i="16"/>
  <c r="C529" i="16"/>
  <c r="B529" i="16"/>
  <c r="A529" i="16"/>
  <c r="D528" i="16"/>
  <c r="C528" i="16"/>
  <c r="B528" i="16"/>
  <c r="A528" i="16"/>
  <c r="D527" i="16"/>
  <c r="C527" i="16"/>
  <c r="B527" i="16"/>
  <c r="A527" i="16"/>
  <c r="D526" i="16"/>
  <c r="C526" i="16"/>
  <c r="B526" i="16"/>
  <c r="A526" i="16"/>
  <c r="D525" i="16"/>
  <c r="C525" i="16"/>
  <c r="B525" i="16"/>
  <c r="A525" i="16"/>
  <c r="D524" i="16"/>
  <c r="C524" i="16"/>
  <c r="B524" i="16"/>
  <c r="A524" i="16"/>
  <c r="D523" i="16"/>
  <c r="C523" i="16"/>
  <c r="B523" i="16"/>
  <c r="A523" i="16"/>
  <c r="D522" i="16"/>
  <c r="C522" i="16"/>
  <c r="B522" i="16"/>
  <c r="A522" i="16"/>
  <c r="D521" i="16"/>
  <c r="C521" i="16"/>
  <c r="B521" i="16"/>
  <c r="A521" i="16"/>
  <c r="D520" i="16"/>
  <c r="C520" i="16"/>
  <c r="B520" i="16"/>
  <c r="A520" i="16"/>
  <c r="D519" i="16"/>
  <c r="C519" i="16"/>
  <c r="B519" i="16"/>
  <c r="A519" i="16"/>
  <c r="D518" i="16"/>
  <c r="C518" i="16"/>
  <c r="B518" i="16"/>
  <c r="A518" i="16"/>
  <c r="D517" i="16"/>
  <c r="C517" i="16"/>
  <c r="B517" i="16"/>
  <c r="A517" i="16"/>
  <c r="D516" i="16"/>
  <c r="C516" i="16"/>
  <c r="B516" i="16"/>
  <c r="A516" i="16"/>
  <c r="D515" i="16"/>
  <c r="C515" i="16"/>
  <c r="B515" i="16"/>
  <c r="A515" i="16"/>
  <c r="D514" i="16"/>
  <c r="C514" i="16"/>
  <c r="B514" i="16"/>
  <c r="A514" i="16"/>
  <c r="D513" i="16"/>
  <c r="C513" i="16"/>
  <c r="B513" i="16"/>
  <c r="A513" i="16"/>
  <c r="D512" i="16"/>
  <c r="C512" i="16"/>
  <c r="B512" i="16"/>
  <c r="A512" i="16"/>
  <c r="D511" i="16"/>
  <c r="C511" i="16"/>
  <c r="B511" i="16"/>
  <c r="A511" i="16"/>
  <c r="D510" i="16"/>
  <c r="C510" i="16"/>
  <c r="B510" i="16"/>
  <c r="A510" i="16"/>
  <c r="D509" i="16"/>
  <c r="C509" i="16"/>
  <c r="B509" i="16"/>
  <c r="A509" i="16"/>
  <c r="D508" i="16"/>
  <c r="C508" i="16"/>
  <c r="B508" i="16"/>
  <c r="A508" i="16"/>
  <c r="D507" i="16"/>
  <c r="C507" i="16"/>
  <c r="B507" i="16"/>
  <c r="A507" i="16"/>
  <c r="D506" i="16"/>
  <c r="C506" i="16"/>
  <c r="B506" i="16"/>
  <c r="A506" i="16"/>
  <c r="D505" i="16"/>
  <c r="C505" i="16"/>
  <c r="B505" i="16"/>
  <c r="A505" i="16"/>
  <c r="D504" i="16"/>
  <c r="C504" i="16"/>
  <c r="B504" i="16"/>
  <c r="A504" i="16"/>
  <c r="D503" i="16"/>
  <c r="C503" i="16"/>
  <c r="B503" i="16"/>
  <c r="A503" i="16"/>
  <c r="D502" i="16"/>
  <c r="C502" i="16"/>
  <c r="B502" i="16"/>
  <c r="A502" i="16"/>
  <c r="D501" i="16"/>
  <c r="C501" i="16"/>
  <c r="B501" i="16"/>
  <c r="A501" i="16"/>
  <c r="D500" i="16"/>
  <c r="C500" i="16"/>
  <c r="B500" i="16"/>
  <c r="A500" i="16"/>
  <c r="D499" i="16"/>
  <c r="C499" i="16"/>
  <c r="B499" i="16"/>
  <c r="A499" i="16"/>
  <c r="D498" i="16"/>
  <c r="C498" i="16"/>
  <c r="B498" i="16"/>
  <c r="A498" i="16"/>
  <c r="D497" i="16"/>
  <c r="C497" i="16"/>
  <c r="B497" i="16"/>
  <c r="A497" i="16"/>
  <c r="D496" i="16"/>
  <c r="C496" i="16"/>
  <c r="B496" i="16"/>
  <c r="A496" i="16"/>
  <c r="D495" i="16"/>
  <c r="C495" i="16"/>
  <c r="B495" i="16"/>
  <c r="A495" i="16"/>
  <c r="D494" i="16"/>
  <c r="C494" i="16"/>
  <c r="B494" i="16"/>
  <c r="A494" i="16"/>
  <c r="D493" i="16"/>
  <c r="C493" i="16"/>
  <c r="B493" i="16"/>
  <c r="A493" i="16"/>
  <c r="D492" i="16"/>
  <c r="C492" i="16"/>
  <c r="B492" i="16"/>
  <c r="A492" i="16"/>
  <c r="D491" i="16"/>
  <c r="C491" i="16"/>
  <c r="B491" i="16"/>
  <c r="A491" i="16"/>
  <c r="D490" i="16"/>
  <c r="C490" i="16"/>
  <c r="B490" i="16"/>
  <c r="A490" i="16"/>
  <c r="D489" i="16"/>
  <c r="C489" i="16"/>
  <c r="B489" i="16"/>
  <c r="A489" i="16"/>
  <c r="D488" i="16"/>
  <c r="C488" i="16"/>
  <c r="B488" i="16"/>
  <c r="A488" i="16"/>
  <c r="D487" i="16"/>
  <c r="C487" i="16"/>
  <c r="B487" i="16"/>
  <c r="A487" i="16"/>
  <c r="D486" i="16"/>
  <c r="C486" i="16"/>
  <c r="B486" i="16"/>
  <c r="A486" i="16"/>
  <c r="D485" i="16"/>
  <c r="C485" i="16"/>
  <c r="B485" i="16"/>
  <c r="A485" i="16"/>
  <c r="D484" i="16"/>
  <c r="C484" i="16"/>
  <c r="B484" i="16"/>
  <c r="A484" i="16"/>
  <c r="D483" i="16"/>
  <c r="C483" i="16"/>
  <c r="B483" i="16"/>
  <c r="A483" i="16"/>
  <c r="D482" i="16"/>
  <c r="C482" i="16"/>
  <c r="B482" i="16"/>
  <c r="A482" i="16"/>
  <c r="D481" i="16"/>
  <c r="C481" i="16"/>
  <c r="B481" i="16"/>
  <c r="A481" i="16"/>
  <c r="D480" i="16"/>
  <c r="C480" i="16"/>
  <c r="B480" i="16"/>
  <c r="A480" i="16"/>
  <c r="D479" i="16"/>
  <c r="C479" i="16"/>
  <c r="B479" i="16"/>
  <c r="A479" i="16"/>
  <c r="D478" i="16"/>
  <c r="C478" i="16"/>
  <c r="B478" i="16"/>
  <c r="A478" i="16"/>
  <c r="D477" i="16"/>
  <c r="C477" i="16"/>
  <c r="B477" i="16"/>
  <c r="A477" i="16"/>
  <c r="D476" i="16"/>
  <c r="C476" i="16"/>
  <c r="B476" i="16"/>
  <c r="A476" i="16"/>
  <c r="D475" i="16"/>
  <c r="C475" i="16"/>
  <c r="B475" i="16"/>
  <c r="A475" i="16"/>
  <c r="D474" i="16"/>
  <c r="C474" i="16"/>
  <c r="B474" i="16"/>
  <c r="A474" i="16"/>
  <c r="D473" i="16"/>
  <c r="C473" i="16"/>
  <c r="B473" i="16"/>
  <c r="A473" i="16"/>
  <c r="D472" i="16"/>
  <c r="C472" i="16"/>
  <c r="B472" i="16"/>
  <c r="A472" i="16"/>
  <c r="D471" i="16"/>
  <c r="C471" i="16"/>
  <c r="B471" i="16"/>
  <c r="A471" i="16"/>
  <c r="D470" i="16"/>
  <c r="C470" i="16"/>
  <c r="B470" i="16"/>
  <c r="A470" i="16"/>
  <c r="D469" i="16"/>
  <c r="C469" i="16"/>
  <c r="B469" i="16"/>
  <c r="A469" i="16"/>
  <c r="D468" i="16"/>
  <c r="C468" i="16"/>
  <c r="B468" i="16"/>
  <c r="A468" i="16"/>
  <c r="D467" i="16"/>
  <c r="C467" i="16"/>
  <c r="B467" i="16"/>
  <c r="A467" i="16"/>
  <c r="D466" i="16"/>
  <c r="C466" i="16"/>
  <c r="B466" i="16"/>
  <c r="A466" i="16"/>
  <c r="D465" i="16"/>
  <c r="C465" i="16"/>
  <c r="B465" i="16"/>
  <c r="A465" i="16"/>
  <c r="D464" i="16"/>
  <c r="C464" i="16"/>
  <c r="B464" i="16"/>
  <c r="A464" i="16"/>
  <c r="D463" i="16"/>
  <c r="C463" i="16"/>
  <c r="B463" i="16"/>
  <c r="A463" i="16"/>
  <c r="D462" i="16"/>
  <c r="C462" i="16"/>
  <c r="B462" i="16"/>
  <c r="A462" i="16"/>
  <c r="D461" i="16"/>
  <c r="C461" i="16"/>
  <c r="B461" i="16"/>
  <c r="A461" i="16"/>
  <c r="D460" i="16"/>
  <c r="C460" i="16"/>
  <c r="B460" i="16"/>
  <c r="A460" i="16"/>
  <c r="D459" i="16"/>
  <c r="C459" i="16"/>
  <c r="B459" i="16"/>
  <c r="A459" i="16"/>
  <c r="D458" i="16"/>
  <c r="C458" i="16"/>
  <c r="B458" i="16"/>
  <c r="A458" i="16"/>
  <c r="D457" i="16"/>
  <c r="C457" i="16"/>
  <c r="B457" i="16"/>
  <c r="A457" i="16"/>
  <c r="D456" i="16"/>
  <c r="C456" i="16"/>
  <c r="B456" i="16"/>
  <c r="A456" i="16"/>
  <c r="D455" i="16"/>
  <c r="C455" i="16"/>
  <c r="B455" i="16"/>
  <c r="A455" i="16"/>
  <c r="D454" i="16"/>
  <c r="C454" i="16"/>
  <c r="B454" i="16"/>
  <c r="A454" i="16"/>
  <c r="D453" i="16"/>
  <c r="C453" i="16"/>
  <c r="B453" i="16"/>
  <c r="A453" i="16"/>
  <c r="D452" i="16"/>
  <c r="C452" i="16"/>
  <c r="B452" i="16"/>
  <c r="A452" i="16"/>
  <c r="D451" i="16"/>
  <c r="C451" i="16"/>
  <c r="B451" i="16"/>
  <c r="A451" i="16"/>
  <c r="D450" i="16"/>
  <c r="C450" i="16"/>
  <c r="B450" i="16"/>
  <c r="A450" i="16"/>
  <c r="D449" i="16"/>
  <c r="C449" i="16"/>
  <c r="B449" i="16"/>
  <c r="A449" i="16"/>
  <c r="D448" i="16"/>
  <c r="C448" i="16"/>
  <c r="B448" i="16"/>
  <c r="A448" i="16"/>
  <c r="D447" i="16"/>
  <c r="C447" i="16"/>
  <c r="B447" i="16"/>
  <c r="A447" i="16"/>
  <c r="D446" i="16"/>
  <c r="C446" i="16"/>
  <c r="B446" i="16"/>
  <c r="A446" i="16"/>
  <c r="D445" i="16"/>
  <c r="C445" i="16"/>
  <c r="B445" i="16"/>
  <c r="A445" i="16"/>
  <c r="D444" i="16"/>
  <c r="C444" i="16"/>
  <c r="B444" i="16"/>
  <c r="A444" i="16"/>
  <c r="D443" i="16"/>
  <c r="C443" i="16"/>
  <c r="B443" i="16"/>
  <c r="A443" i="16"/>
  <c r="D442" i="16"/>
  <c r="C442" i="16"/>
  <c r="B442" i="16"/>
  <c r="A442" i="16"/>
  <c r="D441" i="16"/>
  <c r="C441" i="16"/>
  <c r="B441" i="16"/>
  <c r="A441" i="16"/>
  <c r="D440" i="16"/>
  <c r="C440" i="16"/>
  <c r="B440" i="16"/>
  <c r="A440" i="16"/>
  <c r="D439" i="16"/>
  <c r="C439" i="16"/>
  <c r="B439" i="16"/>
  <c r="A439" i="16"/>
  <c r="D438" i="16"/>
  <c r="C438" i="16"/>
  <c r="B438" i="16"/>
  <c r="A438" i="16"/>
  <c r="D437" i="16"/>
  <c r="C437" i="16"/>
  <c r="B437" i="16"/>
  <c r="A437" i="16"/>
  <c r="D436" i="16"/>
  <c r="C436" i="16"/>
  <c r="B436" i="16"/>
  <c r="A436" i="16"/>
  <c r="D435" i="16"/>
  <c r="C435" i="16"/>
  <c r="B435" i="16"/>
  <c r="A435" i="16"/>
  <c r="D434" i="16"/>
  <c r="C434" i="16"/>
  <c r="B434" i="16"/>
  <c r="A434" i="16"/>
  <c r="D433" i="16"/>
  <c r="C433" i="16"/>
  <c r="B433" i="16"/>
  <c r="A433" i="16"/>
  <c r="D432" i="16"/>
  <c r="C432" i="16"/>
  <c r="B432" i="16"/>
  <c r="A432" i="16"/>
  <c r="D431" i="16"/>
  <c r="C431" i="16"/>
  <c r="B431" i="16"/>
  <c r="A431" i="16"/>
  <c r="D430" i="16"/>
  <c r="C430" i="16"/>
  <c r="B430" i="16"/>
  <c r="A430" i="16"/>
  <c r="D429" i="16"/>
  <c r="C429" i="16"/>
  <c r="B429" i="16"/>
  <c r="A429" i="16"/>
  <c r="D428" i="16"/>
  <c r="C428" i="16"/>
  <c r="B428" i="16"/>
  <c r="A428" i="16"/>
  <c r="D427" i="16"/>
  <c r="C427" i="16"/>
  <c r="B427" i="16"/>
  <c r="A427" i="16"/>
  <c r="D426" i="16"/>
  <c r="C426" i="16"/>
  <c r="B426" i="16"/>
  <c r="A426" i="16"/>
  <c r="D425" i="16"/>
  <c r="C425" i="16"/>
  <c r="B425" i="16"/>
  <c r="A425" i="16"/>
  <c r="D424" i="16"/>
  <c r="C424" i="16"/>
  <c r="B424" i="16"/>
  <c r="A424" i="16"/>
  <c r="D423" i="16"/>
  <c r="C423" i="16"/>
  <c r="B423" i="16"/>
  <c r="A423" i="16"/>
  <c r="D422" i="16"/>
  <c r="C422" i="16"/>
  <c r="B422" i="16"/>
  <c r="A422" i="16"/>
  <c r="D421" i="16"/>
  <c r="C421" i="16"/>
  <c r="B421" i="16"/>
  <c r="A421" i="16"/>
  <c r="D420" i="16"/>
  <c r="C420" i="16"/>
  <c r="B420" i="16"/>
  <c r="A420" i="16"/>
  <c r="D419" i="16"/>
  <c r="C419" i="16"/>
  <c r="B419" i="16"/>
  <c r="A419" i="16"/>
  <c r="D418" i="16"/>
  <c r="C418" i="16"/>
  <c r="B418" i="16"/>
  <c r="A418" i="16"/>
  <c r="D417" i="16"/>
  <c r="C417" i="16"/>
  <c r="B417" i="16"/>
  <c r="A417" i="16"/>
  <c r="D416" i="16"/>
  <c r="C416" i="16"/>
  <c r="B416" i="16"/>
  <c r="A416" i="16"/>
  <c r="D415" i="16"/>
  <c r="C415" i="16"/>
  <c r="B415" i="16"/>
  <c r="A415" i="16"/>
  <c r="D414" i="16"/>
  <c r="C414" i="16"/>
  <c r="B414" i="16"/>
  <c r="A414" i="16"/>
  <c r="D413" i="16"/>
  <c r="C413" i="16"/>
  <c r="B413" i="16"/>
  <c r="A413" i="16"/>
  <c r="D412" i="16"/>
  <c r="C412" i="16"/>
  <c r="B412" i="16"/>
  <c r="A412" i="16"/>
  <c r="D411" i="16"/>
  <c r="C411" i="16"/>
  <c r="B411" i="16"/>
  <c r="A411" i="16"/>
  <c r="D410" i="16"/>
  <c r="C410" i="16"/>
  <c r="B410" i="16"/>
  <c r="A410" i="16"/>
  <c r="D409" i="16"/>
  <c r="C409" i="16"/>
  <c r="B409" i="16"/>
  <c r="A409" i="16"/>
  <c r="D408" i="16"/>
  <c r="C408" i="16"/>
  <c r="B408" i="16"/>
  <c r="A408" i="16"/>
  <c r="D407" i="16"/>
  <c r="C407" i="16"/>
  <c r="B407" i="16"/>
  <c r="A407" i="16"/>
  <c r="D406" i="16"/>
  <c r="C406" i="16"/>
  <c r="B406" i="16"/>
  <c r="A406" i="16"/>
  <c r="D405" i="16"/>
  <c r="C405" i="16"/>
  <c r="B405" i="16"/>
  <c r="A405" i="16"/>
  <c r="D404" i="16"/>
  <c r="C404" i="16"/>
  <c r="B404" i="16"/>
  <c r="A404" i="16"/>
  <c r="D403" i="16"/>
  <c r="C403" i="16"/>
  <c r="B403" i="16"/>
  <c r="A403" i="16"/>
  <c r="D402" i="16"/>
  <c r="C402" i="16"/>
  <c r="B402" i="16"/>
  <c r="A402" i="16"/>
  <c r="D401" i="16"/>
  <c r="C401" i="16"/>
  <c r="B401" i="16"/>
  <c r="A401" i="16"/>
  <c r="D400" i="16"/>
  <c r="C400" i="16"/>
  <c r="B400" i="16"/>
  <c r="A400" i="16"/>
  <c r="D399" i="16"/>
  <c r="C399" i="16"/>
  <c r="B399" i="16"/>
  <c r="A399" i="16"/>
  <c r="D398" i="16"/>
  <c r="C398" i="16"/>
  <c r="B398" i="16"/>
  <c r="A398" i="16"/>
  <c r="D397" i="16"/>
  <c r="C397" i="16"/>
  <c r="B397" i="16"/>
  <c r="A397" i="16"/>
  <c r="D396" i="16"/>
  <c r="C396" i="16"/>
  <c r="B396" i="16"/>
  <c r="A396" i="16"/>
  <c r="D395" i="16"/>
  <c r="C395" i="16"/>
  <c r="B395" i="16"/>
  <c r="A395" i="16"/>
  <c r="D394" i="16"/>
  <c r="C394" i="16"/>
  <c r="B394" i="16"/>
  <c r="A394" i="16"/>
  <c r="D393" i="16"/>
  <c r="C393" i="16"/>
  <c r="B393" i="16"/>
  <c r="A393" i="16"/>
  <c r="D392" i="16"/>
  <c r="C392" i="16"/>
  <c r="B392" i="16"/>
  <c r="A392" i="16"/>
  <c r="D391" i="16"/>
  <c r="C391" i="16"/>
  <c r="B391" i="16"/>
  <c r="A391" i="16"/>
  <c r="D390" i="16"/>
  <c r="C390" i="16"/>
  <c r="B390" i="16"/>
  <c r="A390" i="16"/>
  <c r="D389" i="16"/>
  <c r="C389" i="16"/>
  <c r="B389" i="16"/>
  <c r="A389" i="16"/>
  <c r="D388" i="16"/>
  <c r="C388" i="16"/>
  <c r="B388" i="16"/>
  <c r="A388" i="16"/>
  <c r="D387" i="16"/>
  <c r="C387" i="16"/>
  <c r="B387" i="16"/>
  <c r="A387" i="16"/>
  <c r="D386" i="16"/>
  <c r="C386" i="16"/>
  <c r="B386" i="16"/>
  <c r="A386" i="16"/>
  <c r="D385" i="16"/>
  <c r="C385" i="16"/>
  <c r="B385" i="16"/>
  <c r="A385" i="16"/>
  <c r="D384" i="16"/>
  <c r="C384" i="16"/>
  <c r="B384" i="16"/>
  <c r="A384" i="16"/>
  <c r="D383" i="16"/>
  <c r="C383" i="16"/>
  <c r="B383" i="16"/>
  <c r="A383" i="16"/>
  <c r="D382" i="16"/>
  <c r="C382" i="16"/>
  <c r="B382" i="16"/>
  <c r="A382" i="16"/>
  <c r="D381" i="16"/>
  <c r="C381" i="16"/>
  <c r="B381" i="16"/>
  <c r="A381" i="16"/>
  <c r="D380" i="16"/>
  <c r="C380" i="16"/>
  <c r="B380" i="16"/>
  <c r="A380" i="16"/>
  <c r="D379" i="16"/>
  <c r="C379" i="16"/>
  <c r="B379" i="16"/>
  <c r="A379" i="16"/>
  <c r="D378" i="16"/>
  <c r="C378" i="16"/>
  <c r="B378" i="16"/>
  <c r="A378" i="16"/>
  <c r="D377" i="16"/>
  <c r="C377" i="16"/>
  <c r="B377" i="16"/>
  <c r="A377" i="16"/>
  <c r="D376" i="16"/>
  <c r="C376" i="16"/>
  <c r="B376" i="16"/>
  <c r="A376" i="16"/>
  <c r="D375" i="16"/>
  <c r="C375" i="16"/>
  <c r="B375" i="16"/>
  <c r="A375" i="16"/>
  <c r="D374" i="16"/>
  <c r="C374" i="16"/>
  <c r="B374" i="16"/>
  <c r="A374" i="16"/>
  <c r="D373" i="16"/>
  <c r="C373" i="16"/>
  <c r="B373" i="16"/>
  <c r="A373" i="16"/>
  <c r="D372" i="16"/>
  <c r="C372" i="16"/>
  <c r="B372" i="16"/>
  <c r="A372" i="16"/>
  <c r="D371" i="16"/>
  <c r="C371" i="16"/>
  <c r="B371" i="16"/>
  <c r="A371" i="16"/>
  <c r="D370" i="16"/>
  <c r="C370" i="16"/>
  <c r="B370" i="16"/>
  <c r="A370" i="16"/>
  <c r="D369" i="16"/>
  <c r="C369" i="16"/>
  <c r="B369" i="16"/>
  <c r="A369" i="16"/>
  <c r="D368" i="16"/>
  <c r="C368" i="16"/>
  <c r="B368" i="16"/>
  <c r="A368" i="16"/>
  <c r="D367" i="16"/>
  <c r="C367" i="16"/>
  <c r="B367" i="16"/>
  <c r="A367" i="16"/>
  <c r="D366" i="16"/>
  <c r="C366" i="16"/>
  <c r="B366" i="16"/>
  <c r="A366" i="16"/>
  <c r="D365" i="16"/>
  <c r="C365" i="16"/>
  <c r="B365" i="16"/>
  <c r="A365" i="16"/>
  <c r="D364" i="16"/>
  <c r="C364" i="16"/>
  <c r="B364" i="16"/>
  <c r="A364" i="16"/>
  <c r="D363" i="16"/>
  <c r="C363" i="16"/>
  <c r="B363" i="16"/>
  <c r="A363" i="16"/>
  <c r="D362" i="16"/>
  <c r="C362" i="16"/>
  <c r="B362" i="16"/>
  <c r="A362" i="16"/>
  <c r="D361" i="16"/>
  <c r="C361" i="16"/>
  <c r="B361" i="16"/>
  <c r="A361" i="16"/>
  <c r="D360" i="16"/>
  <c r="C360" i="16"/>
  <c r="B360" i="16"/>
  <c r="A360" i="16"/>
  <c r="D359" i="16"/>
  <c r="C359" i="16"/>
  <c r="B359" i="16"/>
  <c r="A359" i="16"/>
  <c r="D358" i="16"/>
  <c r="C358" i="16"/>
  <c r="B358" i="16"/>
  <c r="A358" i="16"/>
  <c r="D357" i="16"/>
  <c r="C357" i="16"/>
  <c r="B357" i="16"/>
  <c r="A357" i="16"/>
  <c r="D356" i="16"/>
  <c r="C356" i="16"/>
  <c r="B356" i="16"/>
  <c r="A356" i="16"/>
  <c r="D355" i="16"/>
  <c r="C355" i="16"/>
  <c r="B355" i="16"/>
  <c r="A355" i="16"/>
  <c r="D354" i="16"/>
  <c r="C354" i="16"/>
  <c r="B354" i="16"/>
  <c r="A354" i="16"/>
  <c r="D353" i="16"/>
  <c r="C353" i="16"/>
  <c r="B353" i="16"/>
  <c r="A353" i="16"/>
  <c r="D352" i="16"/>
  <c r="C352" i="16"/>
  <c r="B352" i="16"/>
  <c r="A352" i="16"/>
  <c r="D351" i="16"/>
  <c r="C351" i="16"/>
  <c r="B351" i="16"/>
  <c r="A351" i="16"/>
  <c r="D350" i="16"/>
  <c r="C350" i="16"/>
  <c r="B350" i="16"/>
  <c r="A350" i="16"/>
  <c r="D349" i="16"/>
  <c r="C349" i="16"/>
  <c r="B349" i="16"/>
  <c r="A349" i="16"/>
  <c r="D348" i="16"/>
  <c r="C348" i="16"/>
  <c r="B348" i="16"/>
  <c r="A348" i="16"/>
  <c r="D347" i="16"/>
  <c r="C347" i="16"/>
  <c r="B347" i="16"/>
  <c r="A347" i="16"/>
  <c r="D346" i="16"/>
  <c r="C346" i="16"/>
  <c r="B346" i="16"/>
  <c r="A346" i="16"/>
  <c r="D345" i="16"/>
  <c r="C345" i="16"/>
  <c r="B345" i="16"/>
  <c r="A345" i="16"/>
  <c r="D344" i="16"/>
  <c r="C344" i="16"/>
  <c r="B344" i="16"/>
  <c r="A344" i="16"/>
  <c r="D343" i="16"/>
  <c r="C343" i="16"/>
  <c r="B343" i="16"/>
  <c r="A343" i="16"/>
  <c r="D342" i="16"/>
  <c r="C342" i="16"/>
  <c r="B342" i="16"/>
  <c r="A342" i="16"/>
  <c r="D341" i="16"/>
  <c r="C341" i="16"/>
  <c r="B341" i="16"/>
  <c r="A341" i="16"/>
  <c r="D340" i="16"/>
  <c r="C340" i="16"/>
  <c r="B340" i="16"/>
  <c r="A340" i="16"/>
  <c r="D339" i="16"/>
  <c r="C339" i="16"/>
  <c r="B339" i="16"/>
  <c r="A339" i="16"/>
  <c r="D338" i="16"/>
  <c r="C338" i="16"/>
  <c r="B338" i="16"/>
  <c r="A338" i="16"/>
  <c r="D337" i="16"/>
  <c r="C337" i="16"/>
  <c r="B337" i="16"/>
  <c r="A337" i="16"/>
  <c r="D336" i="16"/>
  <c r="C336" i="16"/>
  <c r="B336" i="16"/>
  <c r="A336" i="16"/>
  <c r="D335" i="16"/>
  <c r="C335" i="16"/>
  <c r="B335" i="16"/>
  <c r="A335" i="16"/>
  <c r="D334" i="16"/>
  <c r="C334" i="16"/>
  <c r="B334" i="16"/>
  <c r="A334" i="16"/>
  <c r="D333" i="16"/>
  <c r="C333" i="16"/>
  <c r="B333" i="16"/>
  <c r="A333" i="16"/>
  <c r="D332" i="16"/>
  <c r="C332" i="16"/>
  <c r="B332" i="16"/>
  <c r="A332" i="16"/>
  <c r="D331" i="16"/>
  <c r="C331" i="16"/>
  <c r="B331" i="16"/>
  <c r="A331" i="16"/>
  <c r="D330" i="16"/>
  <c r="C330" i="16"/>
  <c r="B330" i="16"/>
  <c r="A330" i="16"/>
  <c r="D329" i="16"/>
  <c r="C329" i="16"/>
  <c r="B329" i="16"/>
  <c r="A329" i="16"/>
  <c r="D328" i="16"/>
  <c r="C328" i="16"/>
  <c r="B328" i="16"/>
  <c r="A328" i="16"/>
  <c r="D327" i="16"/>
  <c r="C327" i="16"/>
  <c r="B327" i="16"/>
  <c r="A327" i="16"/>
  <c r="D326" i="16"/>
  <c r="C326" i="16"/>
  <c r="B326" i="16"/>
  <c r="A326" i="16"/>
  <c r="D325" i="16"/>
  <c r="C325" i="16"/>
  <c r="B325" i="16"/>
  <c r="A325" i="16"/>
  <c r="D324" i="16"/>
  <c r="C324" i="16"/>
  <c r="B324" i="16"/>
  <c r="A324" i="16"/>
  <c r="D323" i="16"/>
  <c r="C323" i="16"/>
  <c r="B323" i="16"/>
  <c r="A323" i="16"/>
  <c r="D322" i="16"/>
  <c r="C322" i="16"/>
  <c r="B322" i="16"/>
  <c r="A322" i="16"/>
  <c r="D321" i="16"/>
  <c r="C321" i="16"/>
  <c r="B321" i="16"/>
  <c r="A321" i="16"/>
  <c r="D320" i="16"/>
  <c r="C320" i="16"/>
  <c r="B320" i="16"/>
  <c r="A320" i="16"/>
  <c r="D319" i="16"/>
  <c r="C319" i="16"/>
  <c r="B319" i="16"/>
  <c r="A319" i="16"/>
  <c r="D318" i="16"/>
  <c r="C318" i="16"/>
  <c r="B318" i="16"/>
  <c r="A318" i="16"/>
  <c r="D317" i="16"/>
  <c r="C317" i="16"/>
  <c r="B317" i="16"/>
  <c r="A317" i="16"/>
  <c r="D316" i="16"/>
  <c r="C316" i="16"/>
  <c r="B316" i="16"/>
  <c r="A316" i="16"/>
  <c r="D315" i="16"/>
  <c r="C315" i="16"/>
  <c r="B315" i="16"/>
  <c r="A315" i="16"/>
  <c r="D314" i="16"/>
  <c r="C314" i="16"/>
  <c r="B314" i="16"/>
  <c r="A314" i="16"/>
  <c r="D313" i="16"/>
  <c r="C313" i="16"/>
  <c r="B313" i="16"/>
  <c r="A313" i="16"/>
  <c r="D312" i="16"/>
  <c r="C312" i="16"/>
  <c r="B312" i="16"/>
  <c r="A312" i="16"/>
  <c r="D311" i="16"/>
  <c r="C311" i="16"/>
  <c r="B311" i="16"/>
  <c r="A311" i="16"/>
  <c r="D310" i="16"/>
  <c r="C310" i="16"/>
  <c r="B310" i="16"/>
  <c r="A310" i="16"/>
  <c r="D309" i="16"/>
  <c r="C309" i="16"/>
  <c r="B309" i="16"/>
  <c r="A309" i="16"/>
  <c r="D308" i="16"/>
  <c r="C308" i="16"/>
  <c r="B308" i="16"/>
  <c r="A308" i="16"/>
  <c r="D307" i="16"/>
  <c r="C307" i="16"/>
  <c r="B307" i="16"/>
  <c r="A307" i="16"/>
  <c r="D306" i="16"/>
  <c r="C306" i="16"/>
  <c r="B306" i="16"/>
  <c r="A306" i="16"/>
  <c r="D305" i="16"/>
  <c r="C305" i="16"/>
  <c r="B305" i="16"/>
  <c r="A305" i="16"/>
  <c r="D304" i="16"/>
  <c r="C304" i="16"/>
  <c r="B304" i="16"/>
  <c r="A304" i="16"/>
  <c r="D303" i="16"/>
  <c r="C303" i="16"/>
  <c r="B303" i="16"/>
  <c r="A303" i="16"/>
  <c r="D302" i="16"/>
  <c r="C302" i="16"/>
  <c r="B302" i="16"/>
  <c r="A302" i="16"/>
  <c r="D301" i="16"/>
  <c r="C301" i="16"/>
  <c r="B301" i="16"/>
  <c r="A301" i="16"/>
  <c r="D300" i="16"/>
  <c r="C300" i="16"/>
  <c r="B300" i="16"/>
  <c r="A300" i="16"/>
  <c r="D299" i="16"/>
  <c r="C299" i="16"/>
  <c r="B299" i="16"/>
  <c r="A299" i="16"/>
  <c r="D298" i="16"/>
  <c r="C298" i="16"/>
  <c r="B298" i="16"/>
  <c r="A298" i="16"/>
  <c r="D297" i="16"/>
  <c r="C297" i="16"/>
  <c r="B297" i="16"/>
  <c r="A297" i="16"/>
  <c r="D296" i="16"/>
  <c r="C296" i="16"/>
  <c r="B296" i="16"/>
  <c r="A296" i="16"/>
  <c r="D295" i="16"/>
  <c r="C295" i="16"/>
  <c r="B295" i="16"/>
  <c r="A295" i="16"/>
  <c r="D294" i="16"/>
  <c r="C294" i="16"/>
  <c r="B294" i="16"/>
  <c r="A294" i="16"/>
  <c r="D293" i="16"/>
  <c r="C293" i="16"/>
  <c r="B293" i="16"/>
  <c r="A293" i="16"/>
  <c r="D292" i="16"/>
  <c r="C292" i="16"/>
  <c r="B292" i="16"/>
  <c r="A292" i="16"/>
  <c r="D291" i="16"/>
  <c r="C291" i="16"/>
  <c r="B291" i="16"/>
  <c r="A291" i="16"/>
  <c r="D290" i="16"/>
  <c r="C290" i="16"/>
  <c r="B290" i="16"/>
  <c r="A290" i="16"/>
  <c r="D289" i="16"/>
  <c r="C289" i="16"/>
  <c r="B289" i="16"/>
  <c r="A289" i="16"/>
  <c r="D288" i="16"/>
  <c r="C288" i="16"/>
  <c r="B288" i="16"/>
  <c r="A288" i="16"/>
  <c r="D287" i="16"/>
  <c r="C287" i="16"/>
  <c r="B287" i="16"/>
  <c r="A287" i="16"/>
  <c r="D286" i="16"/>
  <c r="C286" i="16"/>
  <c r="B286" i="16"/>
  <c r="A286" i="16"/>
  <c r="D285" i="16"/>
  <c r="C285" i="16"/>
  <c r="B285" i="16"/>
  <c r="A285" i="16"/>
  <c r="D284" i="16"/>
  <c r="C284" i="16"/>
  <c r="B284" i="16"/>
  <c r="A284" i="16"/>
  <c r="D283" i="16"/>
  <c r="C283" i="16"/>
  <c r="B283" i="16"/>
  <c r="A283" i="16"/>
  <c r="D282" i="16"/>
  <c r="C282" i="16"/>
  <c r="B282" i="16"/>
  <c r="A282" i="16"/>
  <c r="D281" i="16"/>
  <c r="C281" i="16"/>
  <c r="B281" i="16"/>
  <c r="A281" i="16"/>
  <c r="D280" i="16"/>
  <c r="C280" i="16"/>
  <c r="B280" i="16"/>
  <c r="A280" i="16"/>
  <c r="D279" i="16"/>
  <c r="C279" i="16"/>
  <c r="B279" i="16"/>
  <c r="A279" i="16"/>
  <c r="D278" i="16"/>
  <c r="C278" i="16"/>
  <c r="B278" i="16"/>
  <c r="A278" i="16"/>
  <c r="D277" i="16"/>
  <c r="C277" i="16"/>
  <c r="B277" i="16"/>
  <c r="A277" i="16"/>
  <c r="D276" i="16"/>
  <c r="C276" i="16"/>
  <c r="B276" i="16"/>
  <c r="A276" i="16"/>
  <c r="D275" i="16"/>
  <c r="C275" i="16"/>
  <c r="B275" i="16"/>
  <c r="A275" i="16"/>
  <c r="D274" i="16"/>
  <c r="C274" i="16"/>
  <c r="B274" i="16"/>
  <c r="A274" i="16"/>
  <c r="D273" i="16"/>
  <c r="C273" i="16"/>
  <c r="B273" i="16"/>
  <c r="A273" i="16"/>
  <c r="D272" i="16"/>
  <c r="C272" i="16"/>
  <c r="B272" i="16"/>
  <c r="A272" i="16"/>
  <c r="D271" i="16"/>
  <c r="C271" i="16"/>
  <c r="B271" i="16"/>
  <c r="A271" i="16"/>
  <c r="D270" i="16"/>
  <c r="C270" i="16"/>
  <c r="B270" i="16"/>
  <c r="A270" i="16"/>
  <c r="D269" i="16"/>
  <c r="C269" i="16"/>
  <c r="B269" i="16"/>
  <c r="A269" i="16"/>
  <c r="D268" i="16"/>
  <c r="C268" i="16"/>
  <c r="B268" i="16"/>
  <c r="A268" i="16"/>
  <c r="D267" i="16"/>
  <c r="C267" i="16"/>
  <c r="B267" i="16"/>
  <c r="A267" i="16"/>
  <c r="D266" i="16"/>
  <c r="C266" i="16"/>
  <c r="B266" i="16"/>
  <c r="A266" i="16"/>
  <c r="D265" i="16"/>
  <c r="C265" i="16"/>
  <c r="B265" i="16"/>
  <c r="A265" i="16"/>
  <c r="D264" i="16"/>
  <c r="C264" i="16"/>
  <c r="B264" i="16"/>
  <c r="A264" i="16"/>
  <c r="D263" i="16"/>
  <c r="C263" i="16"/>
  <c r="B263" i="16"/>
  <c r="A263" i="16"/>
  <c r="D262" i="16"/>
  <c r="C262" i="16"/>
  <c r="B262" i="16"/>
  <c r="A262" i="16"/>
  <c r="D261" i="16"/>
  <c r="C261" i="16"/>
  <c r="B261" i="16"/>
  <c r="A261" i="16"/>
  <c r="D260" i="16"/>
  <c r="C260" i="16"/>
  <c r="B260" i="16"/>
  <c r="A260" i="16"/>
  <c r="D259" i="16"/>
  <c r="C259" i="16"/>
  <c r="B259" i="16"/>
  <c r="A259" i="16"/>
  <c r="D258" i="16"/>
  <c r="C258" i="16"/>
  <c r="B258" i="16"/>
  <c r="A258" i="16"/>
  <c r="D257" i="16"/>
  <c r="C257" i="16"/>
  <c r="B257" i="16"/>
  <c r="A257" i="16"/>
  <c r="D256" i="16"/>
  <c r="C256" i="16"/>
  <c r="B256" i="16"/>
  <c r="A256" i="16"/>
  <c r="D255" i="16"/>
  <c r="C255" i="16"/>
  <c r="B255" i="16"/>
  <c r="A255" i="16"/>
  <c r="D254" i="16"/>
  <c r="C254" i="16"/>
  <c r="B254" i="16"/>
  <c r="A254" i="16"/>
  <c r="D253" i="16"/>
  <c r="C253" i="16"/>
  <c r="B253" i="16"/>
  <c r="A253" i="16"/>
  <c r="D252" i="16"/>
  <c r="C252" i="16"/>
  <c r="B252" i="16"/>
  <c r="A252" i="16"/>
  <c r="D251" i="16"/>
  <c r="C251" i="16"/>
  <c r="B251" i="16"/>
  <c r="A251" i="16"/>
  <c r="D250" i="16"/>
  <c r="C250" i="16"/>
  <c r="B250" i="16"/>
  <c r="A250" i="16"/>
  <c r="D249" i="16"/>
  <c r="C249" i="16"/>
  <c r="B249" i="16"/>
  <c r="A249" i="16"/>
  <c r="D248" i="16"/>
  <c r="C248" i="16"/>
  <c r="B248" i="16"/>
  <c r="A248" i="16"/>
  <c r="D247" i="16"/>
  <c r="C247" i="16"/>
  <c r="B247" i="16"/>
  <c r="A247" i="16"/>
  <c r="D246" i="16"/>
  <c r="C246" i="16"/>
  <c r="B246" i="16"/>
  <c r="A246" i="16"/>
  <c r="D245" i="16"/>
  <c r="C245" i="16"/>
  <c r="B245" i="16"/>
  <c r="A245" i="16"/>
  <c r="D244" i="16"/>
  <c r="C244" i="16"/>
  <c r="B244" i="16"/>
  <c r="A244" i="16"/>
  <c r="D243" i="16"/>
  <c r="C243" i="16"/>
  <c r="B243" i="16"/>
  <c r="A243" i="16"/>
  <c r="D242" i="16"/>
  <c r="C242" i="16"/>
  <c r="B242" i="16"/>
  <c r="A242" i="16"/>
  <c r="D241" i="16"/>
  <c r="C241" i="16"/>
  <c r="B241" i="16"/>
  <c r="A241" i="16"/>
  <c r="D240" i="16"/>
  <c r="C240" i="16"/>
  <c r="B240" i="16"/>
  <c r="A240" i="16"/>
  <c r="D239" i="16"/>
  <c r="C239" i="16"/>
  <c r="B239" i="16"/>
  <c r="A239" i="16"/>
  <c r="D238" i="16"/>
  <c r="C238" i="16"/>
  <c r="B238" i="16"/>
  <c r="A238" i="16"/>
  <c r="D237" i="16"/>
  <c r="C237" i="16"/>
  <c r="B237" i="16"/>
  <c r="A237" i="16"/>
  <c r="D236" i="16"/>
  <c r="C236" i="16"/>
  <c r="B236" i="16"/>
  <c r="A236" i="16"/>
  <c r="D235" i="16"/>
  <c r="C235" i="16"/>
  <c r="B235" i="16"/>
  <c r="A235" i="16"/>
  <c r="D234" i="16"/>
  <c r="C234" i="16"/>
  <c r="B234" i="16"/>
  <c r="A234" i="16"/>
  <c r="D233" i="16"/>
  <c r="C233" i="16"/>
  <c r="B233" i="16"/>
  <c r="A233" i="16"/>
  <c r="D232" i="16"/>
  <c r="C232" i="16"/>
  <c r="B232" i="16"/>
  <c r="A232" i="16"/>
  <c r="D231" i="16"/>
  <c r="C231" i="16"/>
  <c r="B231" i="16"/>
  <c r="A231" i="16"/>
  <c r="D230" i="16"/>
  <c r="C230" i="16"/>
  <c r="B230" i="16"/>
  <c r="A230" i="16"/>
  <c r="D229" i="16"/>
  <c r="C229" i="16"/>
  <c r="B229" i="16"/>
  <c r="A229" i="16"/>
  <c r="D228" i="16"/>
  <c r="C228" i="16"/>
  <c r="B228" i="16"/>
  <c r="A228" i="16"/>
  <c r="D227" i="16"/>
  <c r="C227" i="16"/>
  <c r="B227" i="16"/>
  <c r="A227" i="16"/>
  <c r="D226" i="16"/>
  <c r="C226" i="16"/>
  <c r="B226" i="16"/>
  <c r="A226" i="16"/>
  <c r="D225" i="16"/>
  <c r="C225" i="16"/>
  <c r="B225" i="16"/>
  <c r="A225" i="16"/>
  <c r="D224" i="16"/>
  <c r="C224" i="16"/>
  <c r="B224" i="16"/>
  <c r="A224" i="16"/>
  <c r="D223" i="16"/>
  <c r="C223" i="16"/>
  <c r="B223" i="16"/>
  <c r="A223" i="16"/>
  <c r="D222" i="16"/>
  <c r="C222" i="16"/>
  <c r="B222" i="16"/>
  <c r="A222" i="16"/>
  <c r="D221" i="16"/>
  <c r="C221" i="16"/>
  <c r="B221" i="16"/>
  <c r="A221" i="16"/>
  <c r="D220" i="16"/>
  <c r="C220" i="16"/>
  <c r="B220" i="16"/>
  <c r="A220" i="16"/>
  <c r="D219" i="16"/>
  <c r="C219" i="16"/>
  <c r="B219" i="16"/>
  <c r="A219" i="16"/>
  <c r="D218" i="16"/>
  <c r="C218" i="16"/>
  <c r="B218" i="16"/>
  <c r="A218" i="16"/>
  <c r="D217" i="16"/>
  <c r="C217" i="16"/>
  <c r="B217" i="16"/>
  <c r="A217" i="16"/>
  <c r="D216" i="16"/>
  <c r="C216" i="16"/>
  <c r="B216" i="16"/>
  <c r="A216" i="16"/>
  <c r="D215" i="16"/>
  <c r="C215" i="16"/>
  <c r="B215" i="16"/>
  <c r="A215" i="16"/>
  <c r="D214" i="16"/>
  <c r="C214" i="16"/>
  <c r="B214" i="16"/>
  <c r="A214" i="16"/>
  <c r="D213" i="16"/>
  <c r="C213" i="16"/>
  <c r="B213" i="16"/>
  <c r="A213" i="16"/>
  <c r="D212" i="16"/>
  <c r="C212" i="16"/>
  <c r="B212" i="16"/>
  <c r="A212" i="16"/>
  <c r="D211" i="16"/>
  <c r="C211" i="16"/>
  <c r="B211" i="16"/>
  <c r="A211" i="16"/>
  <c r="D210" i="16"/>
  <c r="C210" i="16"/>
  <c r="B210" i="16"/>
  <c r="A210" i="16"/>
  <c r="D209" i="16"/>
  <c r="C209" i="16"/>
  <c r="B209" i="16"/>
  <c r="A209" i="16"/>
  <c r="D208" i="16"/>
  <c r="C208" i="16"/>
  <c r="B208" i="16"/>
  <c r="A208" i="16"/>
  <c r="D207" i="16"/>
  <c r="C207" i="16"/>
  <c r="B207" i="16"/>
  <c r="A207" i="16"/>
  <c r="D206" i="16"/>
  <c r="C206" i="16"/>
  <c r="B206" i="16"/>
  <c r="A206" i="16"/>
  <c r="D205" i="16"/>
  <c r="C205" i="16"/>
  <c r="B205" i="16"/>
  <c r="A205" i="16"/>
  <c r="D204" i="16"/>
  <c r="C204" i="16"/>
  <c r="B204" i="16"/>
  <c r="A204" i="16"/>
  <c r="D203" i="16"/>
  <c r="C203" i="16"/>
  <c r="B203" i="16"/>
  <c r="A203" i="16"/>
  <c r="D202" i="16"/>
  <c r="C202" i="16"/>
  <c r="B202" i="16"/>
  <c r="A202" i="16"/>
  <c r="D201" i="16"/>
  <c r="C201" i="16"/>
  <c r="B201" i="16"/>
  <c r="A201" i="16"/>
  <c r="D200" i="16"/>
  <c r="C200" i="16"/>
  <c r="B200" i="16"/>
  <c r="A200" i="16"/>
  <c r="D199" i="16"/>
  <c r="C199" i="16"/>
  <c r="B199" i="16"/>
  <c r="A199" i="16"/>
  <c r="D198" i="16"/>
  <c r="C198" i="16"/>
  <c r="B198" i="16"/>
  <c r="A198" i="16"/>
  <c r="D197" i="16"/>
  <c r="C197" i="16"/>
  <c r="B197" i="16"/>
  <c r="A197" i="16"/>
  <c r="D196" i="16"/>
  <c r="C196" i="16"/>
  <c r="B196" i="16"/>
  <c r="A196" i="16"/>
  <c r="D195" i="16"/>
  <c r="C195" i="16"/>
  <c r="B195" i="16"/>
  <c r="A195" i="16"/>
  <c r="D194" i="16"/>
  <c r="C194" i="16"/>
  <c r="B194" i="16"/>
  <c r="A194" i="16"/>
  <c r="D193" i="16"/>
  <c r="C193" i="16"/>
  <c r="B193" i="16"/>
  <c r="A193" i="16"/>
  <c r="D192" i="16"/>
  <c r="C192" i="16"/>
  <c r="B192" i="16"/>
  <c r="A192" i="16"/>
  <c r="D191" i="16"/>
  <c r="C191" i="16"/>
  <c r="B191" i="16"/>
  <c r="A191" i="16"/>
  <c r="D190" i="16"/>
  <c r="C190" i="16"/>
  <c r="B190" i="16"/>
  <c r="A190" i="16"/>
  <c r="D189" i="16"/>
  <c r="C189" i="16"/>
  <c r="B189" i="16"/>
  <c r="A189" i="16"/>
  <c r="D188" i="16"/>
  <c r="C188" i="16"/>
  <c r="B188" i="16"/>
  <c r="A188" i="16"/>
  <c r="D187" i="16"/>
  <c r="C187" i="16"/>
  <c r="B187" i="16"/>
  <c r="A187" i="16"/>
  <c r="D186" i="16"/>
  <c r="C186" i="16"/>
  <c r="B186" i="16"/>
  <c r="A186" i="16"/>
  <c r="D185" i="16"/>
  <c r="C185" i="16"/>
  <c r="B185" i="16"/>
  <c r="A185" i="16"/>
  <c r="D184" i="16"/>
  <c r="C184" i="16"/>
  <c r="B184" i="16"/>
  <c r="A184" i="16"/>
  <c r="D183" i="16"/>
  <c r="C183" i="16"/>
  <c r="B183" i="16"/>
  <c r="A183" i="16"/>
  <c r="D182" i="16"/>
  <c r="C182" i="16"/>
  <c r="B182" i="16"/>
  <c r="A182" i="16"/>
  <c r="D181" i="16"/>
  <c r="C181" i="16"/>
  <c r="B181" i="16"/>
  <c r="A181" i="16"/>
  <c r="D180" i="16"/>
  <c r="C180" i="16"/>
  <c r="B180" i="16"/>
  <c r="A180" i="16"/>
  <c r="D179" i="16"/>
  <c r="C179" i="16"/>
  <c r="B179" i="16"/>
  <c r="A179" i="16"/>
  <c r="D178" i="16"/>
  <c r="C178" i="16"/>
  <c r="B178" i="16"/>
  <c r="A178" i="16"/>
  <c r="D177" i="16"/>
  <c r="C177" i="16"/>
  <c r="B177" i="16"/>
  <c r="A177" i="16"/>
  <c r="D176" i="16"/>
  <c r="C176" i="16"/>
  <c r="B176" i="16"/>
  <c r="A176" i="16"/>
  <c r="D175" i="16"/>
  <c r="C175" i="16"/>
  <c r="B175" i="16"/>
  <c r="A175" i="16"/>
  <c r="D174" i="16"/>
  <c r="C174" i="16"/>
  <c r="B174" i="16"/>
  <c r="A174" i="16"/>
  <c r="D173" i="16"/>
  <c r="C173" i="16"/>
  <c r="B173" i="16"/>
  <c r="A173" i="16"/>
  <c r="D172" i="16"/>
  <c r="C172" i="16"/>
  <c r="B172" i="16"/>
  <c r="A172" i="16"/>
  <c r="D171" i="16"/>
  <c r="C171" i="16"/>
  <c r="B171" i="16"/>
  <c r="A171" i="16"/>
  <c r="D170" i="16"/>
  <c r="C170" i="16"/>
  <c r="B170" i="16"/>
  <c r="A170" i="16"/>
  <c r="D169" i="16"/>
  <c r="C169" i="16"/>
  <c r="B169" i="16"/>
  <c r="A169" i="16"/>
  <c r="D168" i="16"/>
  <c r="C168" i="16"/>
  <c r="B168" i="16"/>
  <c r="A168" i="16"/>
  <c r="D167" i="16"/>
  <c r="C167" i="16"/>
  <c r="B167" i="16"/>
  <c r="A167" i="16"/>
  <c r="D166" i="16"/>
  <c r="C166" i="16"/>
  <c r="B166" i="16"/>
  <c r="A166" i="16"/>
  <c r="D165" i="16"/>
  <c r="C165" i="16"/>
  <c r="B165" i="16"/>
  <c r="A165" i="16"/>
  <c r="D164" i="16"/>
  <c r="C164" i="16"/>
  <c r="B164" i="16"/>
  <c r="A164" i="16"/>
  <c r="D163" i="16"/>
  <c r="C163" i="16"/>
  <c r="B163" i="16"/>
  <c r="A163" i="16"/>
  <c r="D162" i="16"/>
  <c r="C162" i="16"/>
  <c r="B162" i="16"/>
  <c r="A162" i="16"/>
  <c r="D161" i="16"/>
  <c r="C161" i="16"/>
  <c r="B161" i="16"/>
  <c r="A161" i="16"/>
  <c r="D160" i="16"/>
  <c r="C160" i="16"/>
  <c r="B160" i="16"/>
  <c r="A160" i="16"/>
  <c r="D159" i="16"/>
  <c r="C159" i="16"/>
  <c r="B159" i="16"/>
  <c r="A159" i="16"/>
  <c r="D158" i="16"/>
  <c r="C158" i="16"/>
  <c r="B158" i="16"/>
  <c r="A158" i="16"/>
  <c r="D157" i="16"/>
  <c r="C157" i="16"/>
  <c r="B157" i="16"/>
  <c r="A157" i="16"/>
  <c r="D156" i="16"/>
  <c r="C156" i="16"/>
  <c r="B156" i="16"/>
  <c r="A156" i="16"/>
  <c r="D155" i="16"/>
  <c r="C155" i="16"/>
  <c r="B155" i="16"/>
  <c r="A155" i="16"/>
  <c r="D154" i="16"/>
  <c r="C154" i="16"/>
  <c r="B154" i="16"/>
  <c r="A154" i="16"/>
  <c r="D153" i="16"/>
  <c r="C153" i="16"/>
  <c r="B153" i="16"/>
  <c r="A153" i="16"/>
  <c r="D152" i="16"/>
  <c r="C152" i="16"/>
  <c r="B152" i="16"/>
  <c r="A152" i="16"/>
  <c r="D151" i="16"/>
  <c r="C151" i="16"/>
  <c r="B151" i="16"/>
  <c r="A151" i="16"/>
  <c r="D150" i="16"/>
  <c r="C150" i="16"/>
  <c r="B150" i="16"/>
  <c r="A150" i="16"/>
  <c r="D149" i="16"/>
  <c r="C149" i="16"/>
  <c r="B149" i="16"/>
  <c r="A149" i="16"/>
  <c r="D148" i="16"/>
  <c r="C148" i="16"/>
  <c r="B148" i="16"/>
  <c r="A148" i="16"/>
  <c r="D147" i="16"/>
  <c r="C147" i="16"/>
  <c r="B147" i="16"/>
  <c r="A147" i="16"/>
  <c r="D146" i="16"/>
  <c r="C146" i="16"/>
  <c r="B146" i="16"/>
  <c r="A146" i="16"/>
  <c r="D145" i="16"/>
  <c r="C145" i="16"/>
  <c r="B145" i="16"/>
  <c r="A145" i="16"/>
  <c r="D144" i="16"/>
  <c r="C144" i="16"/>
  <c r="B144" i="16"/>
  <c r="A144" i="16"/>
  <c r="D143" i="16"/>
  <c r="C143" i="16"/>
  <c r="B143" i="16"/>
  <c r="A143" i="16"/>
  <c r="D142" i="16"/>
  <c r="C142" i="16"/>
  <c r="B142" i="16"/>
  <c r="A142" i="16"/>
  <c r="D141" i="16"/>
  <c r="C141" i="16"/>
  <c r="B141" i="16"/>
  <c r="A141" i="16"/>
  <c r="D140" i="16"/>
  <c r="C140" i="16"/>
  <c r="B140" i="16"/>
  <c r="A140" i="16"/>
  <c r="D139" i="16"/>
  <c r="C139" i="16"/>
  <c r="B139" i="16"/>
  <c r="A139" i="16"/>
  <c r="D138" i="16"/>
  <c r="C138" i="16"/>
  <c r="B138" i="16"/>
  <c r="A138" i="16"/>
  <c r="D137" i="16"/>
  <c r="C137" i="16"/>
  <c r="B137" i="16"/>
  <c r="A137" i="16"/>
  <c r="D136" i="16"/>
  <c r="C136" i="16"/>
  <c r="B136" i="16"/>
  <c r="A136" i="16"/>
  <c r="D135" i="16"/>
  <c r="C135" i="16"/>
  <c r="B135" i="16"/>
  <c r="A135" i="16"/>
  <c r="D134" i="16"/>
  <c r="C134" i="16"/>
  <c r="B134" i="16"/>
  <c r="A134" i="16"/>
  <c r="D133" i="16"/>
  <c r="C133" i="16"/>
  <c r="B133" i="16"/>
  <c r="A133" i="16"/>
  <c r="D132" i="16"/>
  <c r="C132" i="16"/>
  <c r="B132" i="16"/>
  <c r="A132" i="16"/>
  <c r="D131" i="16"/>
  <c r="C131" i="16"/>
  <c r="B131" i="16"/>
  <c r="A131" i="16"/>
  <c r="D130" i="16"/>
  <c r="C130" i="16"/>
  <c r="B130" i="16"/>
  <c r="A130" i="16"/>
  <c r="D129" i="16"/>
  <c r="C129" i="16"/>
  <c r="B129" i="16"/>
  <c r="A129" i="16"/>
  <c r="D128" i="16"/>
  <c r="C128" i="16"/>
  <c r="B128" i="16"/>
  <c r="A128" i="16"/>
  <c r="D127" i="16"/>
  <c r="C127" i="16"/>
  <c r="B127" i="16"/>
  <c r="A127" i="16"/>
  <c r="D126" i="16"/>
  <c r="C126" i="16"/>
  <c r="B126" i="16"/>
  <c r="A126" i="16"/>
  <c r="D125" i="16"/>
  <c r="C125" i="16"/>
  <c r="B125" i="16"/>
  <c r="A125" i="16"/>
  <c r="D124" i="16"/>
  <c r="C124" i="16"/>
  <c r="B124" i="16"/>
  <c r="A124" i="16"/>
  <c r="D123" i="16"/>
  <c r="C123" i="16"/>
  <c r="B123" i="16"/>
  <c r="A123" i="16"/>
  <c r="D122" i="16"/>
  <c r="C122" i="16"/>
  <c r="B122" i="16"/>
  <c r="A122" i="16"/>
  <c r="D121" i="16"/>
  <c r="C121" i="16"/>
  <c r="B121" i="16"/>
  <c r="A121" i="16"/>
  <c r="D120" i="16"/>
  <c r="C120" i="16"/>
  <c r="B120" i="16"/>
  <c r="A120" i="16"/>
  <c r="D119" i="16"/>
  <c r="C119" i="16"/>
  <c r="B119" i="16"/>
  <c r="A119" i="16"/>
  <c r="D118" i="16"/>
  <c r="C118" i="16"/>
  <c r="B118" i="16"/>
  <c r="A118" i="16"/>
  <c r="D117" i="16"/>
  <c r="C117" i="16"/>
  <c r="B117" i="16"/>
  <c r="A117" i="16"/>
  <c r="D116" i="16"/>
  <c r="C116" i="16"/>
  <c r="B116" i="16"/>
  <c r="A116" i="16"/>
  <c r="D115" i="16"/>
  <c r="C115" i="16"/>
  <c r="B115" i="16"/>
  <c r="A115" i="16"/>
  <c r="D114" i="16"/>
  <c r="C114" i="16"/>
  <c r="B114" i="16"/>
  <c r="A114" i="16"/>
  <c r="D113" i="16"/>
  <c r="C113" i="16"/>
  <c r="B113" i="16"/>
  <c r="A113" i="16"/>
  <c r="D112" i="16"/>
  <c r="C112" i="16"/>
  <c r="B112" i="16"/>
  <c r="A112" i="16"/>
  <c r="D111" i="16"/>
  <c r="C111" i="16"/>
  <c r="B111" i="16"/>
  <c r="A111" i="16"/>
  <c r="D110" i="16"/>
  <c r="C110" i="16"/>
  <c r="B110" i="16"/>
  <c r="A110" i="16"/>
  <c r="D109" i="16"/>
  <c r="C109" i="16"/>
  <c r="B109" i="16"/>
  <c r="A109" i="16"/>
  <c r="D108" i="16"/>
  <c r="C108" i="16"/>
  <c r="B108" i="16"/>
  <c r="A108" i="16"/>
  <c r="D107" i="16"/>
  <c r="C107" i="16"/>
  <c r="B107" i="16"/>
  <c r="A107" i="16"/>
  <c r="D106" i="16"/>
  <c r="C106" i="16"/>
  <c r="B106" i="16"/>
  <c r="A106" i="16"/>
  <c r="D105" i="16"/>
  <c r="C105" i="16"/>
  <c r="B105" i="16"/>
  <c r="A105" i="16"/>
  <c r="D104" i="16"/>
  <c r="C104" i="16"/>
  <c r="B104" i="16"/>
  <c r="A104" i="16"/>
  <c r="D103" i="16"/>
  <c r="C103" i="16"/>
  <c r="B103" i="16"/>
  <c r="A103" i="16"/>
  <c r="D102" i="16"/>
  <c r="C102" i="16"/>
  <c r="B102" i="16"/>
  <c r="A102" i="16"/>
  <c r="D101" i="16"/>
  <c r="C101" i="16"/>
  <c r="B101" i="16"/>
  <c r="A101" i="16"/>
  <c r="D100" i="16"/>
  <c r="C100" i="16"/>
  <c r="B100" i="16"/>
  <c r="A100" i="16"/>
  <c r="D99" i="16"/>
  <c r="C99" i="16"/>
  <c r="B99" i="16"/>
  <c r="A99" i="16"/>
  <c r="D98" i="16"/>
  <c r="C98" i="16"/>
  <c r="B98" i="16"/>
  <c r="A98" i="16"/>
  <c r="D97" i="16"/>
  <c r="C97" i="16"/>
  <c r="B97" i="16"/>
  <c r="A97" i="16"/>
  <c r="D96" i="16"/>
  <c r="C96" i="16"/>
  <c r="B96" i="16"/>
  <c r="A96" i="16"/>
  <c r="D95" i="16"/>
  <c r="C95" i="16"/>
  <c r="B95" i="16"/>
  <c r="A95" i="16"/>
  <c r="D94" i="16"/>
  <c r="C94" i="16"/>
  <c r="B94" i="16"/>
  <c r="A94" i="16"/>
  <c r="D93" i="16"/>
  <c r="C93" i="16"/>
  <c r="B93" i="16"/>
  <c r="A93" i="16"/>
  <c r="D92" i="16"/>
  <c r="C92" i="16"/>
  <c r="B92" i="16"/>
  <c r="A92" i="16"/>
  <c r="D91" i="16"/>
  <c r="C91" i="16"/>
  <c r="B91" i="16"/>
  <c r="A91" i="16"/>
  <c r="D90" i="16"/>
  <c r="C90" i="16"/>
  <c r="B90" i="16"/>
  <c r="A90" i="16"/>
  <c r="D89" i="16"/>
  <c r="C89" i="16"/>
  <c r="B89" i="16"/>
  <c r="A89" i="16"/>
  <c r="D88" i="16"/>
  <c r="C88" i="16"/>
  <c r="B88" i="16"/>
  <c r="A88" i="16"/>
  <c r="D87" i="16"/>
  <c r="C87" i="16"/>
  <c r="B87" i="16"/>
  <c r="A87" i="16"/>
  <c r="D86" i="16"/>
  <c r="C86" i="16"/>
  <c r="B86" i="16"/>
  <c r="A86" i="16"/>
  <c r="D85" i="16"/>
  <c r="C85" i="16"/>
  <c r="B85" i="16"/>
  <c r="A85" i="16"/>
  <c r="D84" i="16"/>
  <c r="C84" i="16"/>
  <c r="B84" i="16"/>
  <c r="A84" i="16"/>
  <c r="D83" i="16"/>
  <c r="C83" i="16"/>
  <c r="B83" i="16"/>
  <c r="A83" i="16"/>
  <c r="D82" i="16"/>
  <c r="C82" i="16"/>
  <c r="B82" i="16"/>
  <c r="A82" i="16"/>
  <c r="D81" i="16"/>
  <c r="C81" i="16"/>
  <c r="B81" i="16"/>
  <c r="A81" i="16"/>
  <c r="D80" i="16"/>
  <c r="C80" i="16"/>
  <c r="B80" i="16"/>
  <c r="A80" i="16"/>
  <c r="D79" i="16"/>
  <c r="C79" i="16"/>
  <c r="B79" i="16"/>
  <c r="A79" i="16"/>
  <c r="D78" i="16"/>
  <c r="C78" i="16"/>
  <c r="B78" i="16"/>
  <c r="A78" i="16"/>
  <c r="D77" i="16"/>
  <c r="C77" i="16"/>
  <c r="B77" i="16"/>
  <c r="A77" i="16"/>
  <c r="D76" i="16"/>
  <c r="C76" i="16"/>
  <c r="B76" i="16"/>
  <c r="A76" i="16"/>
  <c r="D75" i="16"/>
  <c r="C75" i="16"/>
  <c r="B75" i="16"/>
  <c r="A75" i="16"/>
  <c r="D74" i="16"/>
  <c r="C74" i="16"/>
  <c r="B74" i="16"/>
  <c r="A74" i="16"/>
  <c r="D73" i="16"/>
  <c r="C73" i="16"/>
  <c r="B73" i="16"/>
  <c r="A73" i="16"/>
  <c r="D72" i="16"/>
  <c r="C72" i="16"/>
  <c r="B72" i="16"/>
  <c r="A72" i="16"/>
  <c r="D71" i="16"/>
  <c r="C71" i="16"/>
  <c r="B71" i="16"/>
  <c r="A71" i="16"/>
  <c r="D70" i="16"/>
  <c r="C70" i="16"/>
  <c r="B70" i="16"/>
  <c r="A70" i="16"/>
  <c r="D69" i="16"/>
  <c r="C69" i="16"/>
  <c r="B69" i="16"/>
  <c r="A69" i="16"/>
  <c r="D68" i="16"/>
  <c r="C68" i="16"/>
  <c r="B68" i="16"/>
  <c r="A68" i="16"/>
  <c r="D67" i="16"/>
  <c r="C67" i="16"/>
  <c r="B67" i="16"/>
  <c r="A67" i="16"/>
  <c r="D66" i="16"/>
  <c r="C66" i="16"/>
  <c r="B66" i="16"/>
  <c r="A66" i="16"/>
  <c r="D65" i="16"/>
  <c r="C65" i="16"/>
  <c r="B65" i="16"/>
  <c r="A65" i="16"/>
  <c r="D64" i="16"/>
  <c r="C64" i="16"/>
  <c r="B64" i="16"/>
  <c r="A64" i="16"/>
  <c r="D63" i="16"/>
  <c r="C63" i="16"/>
  <c r="B63" i="16"/>
  <c r="A63" i="16"/>
  <c r="D62" i="16"/>
  <c r="C62" i="16"/>
  <c r="B62" i="16"/>
  <c r="A62" i="16"/>
  <c r="D61" i="16"/>
  <c r="C61" i="16"/>
  <c r="B61" i="16"/>
  <c r="A61" i="16"/>
  <c r="D60" i="16"/>
  <c r="C60" i="16"/>
  <c r="B60" i="16"/>
  <c r="A60" i="16"/>
  <c r="D59" i="16"/>
  <c r="C59" i="16"/>
  <c r="B59" i="16"/>
  <c r="A59" i="16"/>
  <c r="D58" i="16"/>
  <c r="C58" i="16"/>
  <c r="B58" i="16"/>
  <c r="A58" i="16"/>
  <c r="D57" i="16"/>
  <c r="C57" i="16"/>
  <c r="B57" i="16"/>
  <c r="A57" i="16"/>
  <c r="D56" i="16"/>
  <c r="C56" i="16"/>
  <c r="B56" i="16"/>
  <c r="A56" i="16"/>
  <c r="D55" i="16"/>
  <c r="C55" i="16"/>
  <c r="B55" i="16"/>
  <c r="A55" i="16"/>
  <c r="D54" i="16"/>
  <c r="C54" i="16"/>
  <c r="B54" i="16"/>
  <c r="A54" i="16"/>
  <c r="D53" i="16"/>
  <c r="C53" i="16"/>
  <c r="B53" i="16"/>
  <c r="A53" i="16"/>
  <c r="D52" i="16"/>
  <c r="C52" i="16"/>
  <c r="B52" i="16"/>
  <c r="A52" i="16"/>
  <c r="D51" i="16"/>
  <c r="C51" i="16"/>
  <c r="B51" i="16"/>
  <c r="A51" i="16"/>
  <c r="D50" i="16"/>
  <c r="C50" i="16"/>
  <c r="B50" i="16"/>
  <c r="A50" i="16"/>
  <c r="D49" i="16"/>
  <c r="C49" i="16"/>
  <c r="B49" i="16"/>
  <c r="A49" i="16"/>
  <c r="D48" i="16"/>
  <c r="C48" i="16"/>
  <c r="B48" i="16"/>
  <c r="A48" i="16"/>
  <c r="D47" i="16"/>
  <c r="C47" i="16"/>
  <c r="B47" i="16"/>
  <c r="A47" i="16"/>
  <c r="D46" i="16"/>
  <c r="C46" i="16"/>
  <c r="B46" i="16"/>
  <c r="A46" i="16"/>
  <c r="D45" i="16"/>
  <c r="C45" i="16"/>
  <c r="B45" i="16"/>
  <c r="A45" i="16"/>
  <c r="D44" i="16"/>
  <c r="C44" i="16"/>
  <c r="B44" i="16"/>
  <c r="A44" i="16"/>
  <c r="D43" i="16"/>
  <c r="C43" i="16"/>
  <c r="B43" i="16"/>
  <c r="A43" i="16"/>
  <c r="D42" i="16"/>
  <c r="C42" i="16"/>
  <c r="B42" i="16"/>
  <c r="A42" i="16"/>
  <c r="D41" i="16"/>
  <c r="C41" i="16"/>
  <c r="B41" i="16"/>
  <c r="A41" i="16"/>
  <c r="D40" i="16"/>
  <c r="C40" i="16"/>
  <c r="B40" i="16"/>
  <c r="A40" i="16"/>
  <c r="D39" i="16"/>
  <c r="C39" i="16"/>
  <c r="B39" i="16"/>
  <c r="A39" i="16"/>
  <c r="D38" i="16"/>
  <c r="C38" i="16"/>
  <c r="B38" i="16"/>
  <c r="A38" i="16"/>
  <c r="D37" i="16"/>
  <c r="C37" i="16"/>
  <c r="B37" i="16"/>
  <c r="A37" i="16"/>
  <c r="D36" i="16"/>
  <c r="C36" i="16"/>
  <c r="B36" i="16"/>
  <c r="A36" i="16"/>
  <c r="D35" i="16"/>
  <c r="C35" i="16"/>
  <c r="B35" i="16"/>
  <c r="A35" i="16"/>
  <c r="D34" i="16"/>
  <c r="C34" i="16"/>
  <c r="B34" i="16"/>
  <c r="A34" i="16"/>
  <c r="D33" i="16"/>
  <c r="C33" i="16"/>
  <c r="B33" i="16"/>
  <c r="A33" i="16"/>
  <c r="D32" i="16"/>
  <c r="C32" i="16"/>
  <c r="B32" i="16"/>
  <c r="A32" i="16"/>
  <c r="D31" i="16"/>
  <c r="C31" i="16"/>
  <c r="B31" i="16"/>
  <c r="A31" i="16"/>
  <c r="D30" i="16"/>
  <c r="C30" i="16"/>
  <c r="B30" i="16"/>
  <c r="A30" i="16"/>
  <c r="D29" i="16"/>
  <c r="C29" i="16"/>
  <c r="B29" i="16"/>
  <c r="A29" i="16"/>
  <c r="D28" i="16"/>
  <c r="C28" i="16"/>
  <c r="B28" i="16"/>
  <c r="A28" i="16"/>
  <c r="D27" i="16"/>
  <c r="C27" i="16"/>
  <c r="B27" i="16"/>
  <c r="A27" i="16"/>
  <c r="D26" i="16"/>
  <c r="C26" i="16"/>
  <c r="B26" i="16"/>
  <c r="A26" i="16"/>
  <c r="D25" i="16"/>
  <c r="C25" i="16"/>
  <c r="B25" i="16"/>
  <c r="A25" i="16"/>
  <c r="D24" i="16"/>
  <c r="C24" i="16"/>
  <c r="B24" i="16"/>
  <c r="A24" i="16"/>
  <c r="D23" i="16"/>
  <c r="C23" i="16"/>
  <c r="B23" i="16"/>
  <c r="A23" i="16"/>
  <c r="D22" i="16"/>
  <c r="C22" i="16"/>
  <c r="B22" i="16"/>
  <c r="A22" i="16"/>
  <c r="D21" i="16"/>
  <c r="C21" i="16"/>
  <c r="B21" i="16"/>
  <c r="A21" i="16"/>
  <c r="D20" i="16"/>
  <c r="C20" i="16"/>
  <c r="B20" i="16"/>
  <c r="A20" i="16"/>
  <c r="D19" i="16"/>
  <c r="C19" i="16"/>
  <c r="B19" i="16"/>
  <c r="A19" i="16"/>
  <c r="D18" i="16"/>
  <c r="C18" i="16"/>
  <c r="B18" i="16"/>
  <c r="A18" i="16"/>
  <c r="D17" i="16"/>
  <c r="C17" i="16"/>
  <c r="B17" i="16"/>
  <c r="A17" i="16"/>
  <c r="D16" i="16"/>
  <c r="C16" i="16"/>
  <c r="B16" i="16"/>
  <c r="A16" i="16"/>
  <c r="D15" i="16"/>
  <c r="C15" i="16"/>
  <c r="B15" i="16"/>
  <c r="A15" i="16"/>
  <c r="D14" i="16"/>
  <c r="C14" i="16"/>
  <c r="B14" i="16"/>
  <c r="A14" i="16"/>
  <c r="D13" i="16"/>
  <c r="C13" i="16"/>
  <c r="B13" i="16"/>
  <c r="A13" i="16"/>
  <c r="D12" i="16"/>
  <c r="C12" i="16"/>
  <c r="B12" i="16"/>
  <c r="A12" i="16"/>
  <c r="D11" i="16"/>
  <c r="C11" i="16"/>
  <c r="B11" i="16"/>
  <c r="A11" i="16"/>
  <c r="D10" i="16"/>
  <c r="C10" i="16"/>
  <c r="B10" i="16"/>
  <c r="A10" i="16"/>
  <c r="D9" i="16"/>
  <c r="C9" i="16"/>
  <c r="B9" i="16"/>
  <c r="A9" i="16"/>
  <c r="D8" i="16"/>
  <c r="C8" i="16"/>
  <c r="B8" i="16"/>
  <c r="A8" i="16"/>
  <c r="D7" i="16"/>
  <c r="C7" i="16"/>
  <c r="B7" i="16"/>
  <c r="A7" i="16"/>
  <c r="D6" i="16"/>
  <c r="C6" i="16"/>
  <c r="B6" i="16"/>
  <c r="A6" i="16"/>
  <c r="D5" i="16"/>
  <c r="C5" i="16"/>
  <c r="B5" i="16"/>
  <c r="A5" i="16"/>
  <c r="D4" i="16"/>
  <c r="C4" i="16"/>
  <c r="B4" i="16"/>
  <c r="A4" i="16"/>
  <c r="D3" i="16"/>
  <c r="C3" i="16"/>
  <c r="B3" i="16"/>
  <c r="A3" i="16"/>
  <c r="D2" i="16"/>
  <c r="C2" i="16"/>
  <c r="B2" i="16"/>
  <c r="A2" i="16"/>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8" i="4"/>
  <c r="C7" i="4"/>
  <c r="C6" i="4"/>
  <c r="C5" i="4"/>
  <c r="C4"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H3" i="3" l="1"/>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<sst xmlns="http://schemas.openxmlformats.org/spreadsheetml/2006/main" count="1394" uniqueCount="736">
  <si>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</si>
  <si>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</si>
  <si>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</si>
  <si>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</si>
  <si>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</si>
  <si>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</si>
  <si>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</si>
  <si>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</si>
  <si>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</si>
  <si>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</si>
  <si>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</si>
  <si>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</si>
  <si>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</si>
  <si>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</si>
  <si>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</si>
  <si>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</si>
  <si>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</si>
  <si>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</si>
  <si>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</si>
  <si>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</si>
  <si>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</si>
  <si>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</si>
  <si>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</si>
  <si>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</si>
  <si>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</si>
  <si>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</si>
  <si>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</si>
  <si>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</si>
  <si>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</si>
  <si>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</si>
  <si>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</si>
  <si>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</si>
  <si>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</si>
  <si>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</si>
  <si>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</si>
  <si>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</si>
  <si>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</si>
  <si>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</si>
  <si>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</si>
  <si>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</si>
  <si>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</si>
  <si>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</si>
  <si>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</si>
  <si>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</si>
  <si>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</si>
  <si>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</si>
  <si>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</si>
  <si>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</si>
  <si>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</si>
  <si>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</si>
  <si>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</si>
  <si>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</si>
  <si>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</si>
  <si>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</si>
  <si>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</si>
  <si>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</si>
  <si>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</si>
  <si>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</si>
  <si>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</si>
  <si>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</si>
  <si>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</si>
  <si>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</si>
  <si>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</si>
  <si>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</si>
  <si>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</si>
  <si>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</si>
  <si>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</si>
  <si>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</si>
  <si>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</si>
  <si>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</si>
  <si>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</si>
  <si>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</si>
  <si>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</si>
  <si>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</si>
  <si>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</si>
  <si>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</si>
  <si>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</si>
  <si>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</si>
  <si>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</si>
  <si>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</si>
  <si>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</si>
  <si>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</si>
  <si>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</si>
  <si>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</si>
  <si>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</si>
  <si>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</si>
  <si>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</si>
  <si>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</si>
  <si>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</si>
  <si>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</si>
  <si>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</si>
  <si>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</si>
  <si>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</si>
  <si>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</si>
  <si>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</si>
  <si>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</si>
  <si>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</si>
  <si>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</si>
  <si>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</si>
  <si>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</si>
  <si>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</si>
  <si>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</si>
  <si>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</si>
  <si>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</si>
  <si>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</si>
  <si>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</si>
  <si>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</si>
  <si>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</si>
  <si>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</si>
  <si>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</si>
  <si>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</si>
  <si>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</si>
  <si>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</si>
  <si>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</si>
  <si>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</si>
  <si>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</si>
  <si>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</si>
  <si>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</si>
  <si>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</si>
  <si>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</si>
  <si>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</si>
  <si>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</si>
  <si>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</si>
  <si>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</si>
  <si>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</si>
  <si>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</si>
  <si>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</si>
  <si>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</si>
  <si>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</si>
  <si>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</si>
  <si>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</si>
  <si>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</si>
  <si>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</si>
  <si>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</si>
  <si>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</si>
  <si>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</si>
  <si>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</si>
  <si>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</si>
  <si>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</si>
  <si>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</si>
  <si>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</si>
  <si>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</si>
  <si>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</si>
  <si>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</si>
  <si>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</si>
  <si>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</si>
  <si>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</si>
  <si>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</si>
  <si>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</si>
  <si>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</si>
  <si>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</si>
  <si>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</si>
  <si>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</si>
  <si>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</si>
  <si>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</si>
  <si>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</si>
  <si>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</si>
  <si>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</si>
  <si>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</si>
  <si>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</si>
  <si>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</si>
  <si>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</si>
  <si>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</si>
  <si>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</si>
  <si>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</si>
  <si>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</si>
  <si>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</si>
  <si>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</si>
  <si>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</si>
  <si>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</si>
  <si>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</si>
  <si>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</si>
  <si>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</si>
  <si>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</si>
  <si>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</si>
  <si>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</si>
  <si>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</si>
  <si>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</si>
  <si>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</si>
  <si>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</si>
  <si>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</si>
  <si>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</si>
  <si>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</si>
  <si>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</si>
  <si>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</si>
  <si>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</si>
  <si>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</si>
  <si>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</si>
  <si>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</si>
  <si>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</si>
  <si>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</si>
  <si>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</si>
  <si>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</si>
  <si>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</si>
  <si>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</si>
  <si>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</si>
  <si>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</si>
  <si>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</si>
  <si>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</si>
  <si>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</si>
  <si>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</si>
  <si>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</si>
  <si>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</si>
  <si>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</si>
  <si>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</si>
  <si>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</si>
  <si>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</si>
  <si>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</si>
  <si>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</si>
  <si>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</si>
  <si>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</si>
  <si>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</si>
  <si>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</si>
  <si>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</si>
  <si>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</si>
  <si>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</si>
  <si>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</si>
  <si>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</si>
  <si>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</si>
  <si>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</si>
  <si>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</si>
  <si>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</si>
  <si>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</si>
  <si>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</si>
  <si>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</si>
  <si>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</si>
  <si>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</si>
  <si>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</si>
  <si>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</si>
  <si>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</si>
  <si>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</si>
  <si>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</si>
  <si>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</si>
  <si>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</si>
  <si>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</si>
  <si>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</si>
  <si>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</si>
  <si>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</si>
  <si>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</si>
  <si>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</si>
  <si>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</si>
  <si>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</si>
  <si>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</si>
  <si>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</si>
  <si>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</si>
  <si>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</si>
  <si>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</si>
  <si>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</si>
  <si>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</si>
  <si>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</si>
  <si>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</si>
  <si>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</si>
  <si>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</si>
  <si>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</si>
  <si>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</si>
  <si>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</si>
  <si>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</si>
  <si>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</si>
  <si>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</si>
  <si>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</si>
  <si>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</si>
  <si>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</si>
  <si>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</si>
  <si>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</si>
  <si>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</si>
  <si>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</si>
  <si>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</si>
  <si>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</si>
  <si>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</si>
  <si>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</si>
  <si>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</si>
  <si>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</si>
  <si>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</si>
  <si>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</si>
  <si>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</si>
  <si>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</si>
  <si>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</si>
  <si>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</si>
  <si>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</si>
  <si>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</si>
  <si>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</si>
  <si>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</si>
  <si>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</si>
  <si>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</si>
  <si>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</si>
  <si>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</si>
  <si>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</si>
  <si>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</si>
  <si>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</si>
  <si>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</si>
  <si>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</si>
  <si>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</si>
  <si>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</si>
  <si>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</si>
  <si>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</si>
  <si>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</si>
  <si>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</si>
  <si>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</si>
  <si>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</si>
  <si>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</si>
  <si>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</si>
  <si>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</si>
  <si>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</si>
  <si>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</si>
  <si>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</si>
  <si>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</si>
  <si>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</si>
  <si>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</si>
  <si>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</si>
  <si>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</si>
  <si>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</si>
  <si>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</si>
  <si>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</si>
  <si>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</si>
  <si>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</si>
  <si>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</si>
  <si>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</si>
  <si>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</si>
  <si>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</si>
  <si>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</si>
  <si>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</si>
  <si>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</si>
  <si>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</si>
  <si>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</si>
  <si>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</si>
  <si>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</si>
  <si>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</si>
  <si>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</si>
  <si>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</si>
  <si>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</si>
  <si>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</si>
  <si>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</si>
  <si>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</si>
  <si>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</si>
  <si>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</si>
  <si>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</si>
  <si>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</si>
  <si>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</si>
  <si>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</si>
  <si>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</si>
  <si>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</si>
  <si>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</si>
  <si>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</si>
  <si>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</si>
  <si>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</si>
  <si>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</si>
  <si>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</si>
  <si>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</si>
  <si>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</si>
  <si>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</si>
  <si>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</si>
  <si>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</si>
  <si>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</si>
  <si>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</si>
  <si>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</si>
  <si>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</si>
  <si>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</si>
  <si>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</si>
  <si>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</si>
  <si>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</si>
  <si>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</si>
  <si>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</si>
  <si>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</si>
  <si>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</si>
  <si>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</si>
  <si>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</si>
  <si>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</si>
  <si>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</si>
  <si>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</si>
  <si>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</si>
  <si>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</si>
  <si>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</si>
  <si>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</si>
  <si>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</si>
  <si>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</si>
  <si>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</si>
  <si>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</si>
  <si>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</si>
  <si>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</si>
  <si>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</si>
  <si>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</si>
  <si>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</si>
  <si>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</si>
  <si>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</si>
  <si>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</si>
  <si>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</si>
  <si>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</si>
  <si>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</si>
  <si>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</si>
  <si>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</si>
  <si>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</si>
  <si>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</si>
  <si>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</si>
  <si>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</si>
  <si>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</si>
  <si>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</si>
  <si>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</si>
  <si>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</si>
  <si>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</si>
  <si>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</si>
  <si>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</si>
  <si>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</si>
  <si>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</si>
  <si>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</si>
  <si>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</si>
  <si>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</si>
  <si>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</si>
  <si>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</si>
  <si>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</si>
  <si>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</si>
  <si>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</si>
  <si>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</si>
  <si>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</si>
  <si>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</si>
  <si>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</si>
  <si>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</si>
  <si>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</si>
  <si>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</si>
  <si>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</si>
  <si>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</si>
  <si>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</si>
  <si>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</si>
  <si>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</si>
  <si>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</si>
  <si>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</si>
  <si>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</si>
  <si>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</si>
  <si>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</si>
  <si>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</si>
  <si>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</si>
  <si>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</si>
  <si>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</si>
  <si>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</si>
  <si>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</si>
  <si>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</si>
  <si>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</si>
  <si>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</si>
  <si>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</si>
  <si>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</si>
  <si>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</si>
  <si>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</si>
  <si>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</si>
  <si>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</si>
  <si>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</si>
  <si>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</si>
  <si>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</si>
  <si>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</si>
  <si>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</si>
  <si>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</si>
  <si>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</si>
  <si>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</si>
  <si>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</si>
  <si>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</si>
  <si>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</si>
  <si>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</si>
  <si>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</si>
  <si>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</si>
  <si>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</si>
  <si>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</si>
  <si>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</si>
  <si>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</si>
  <si>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</si>
  <si>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</si>
  <si>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</si>
  <si>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</si>
  <si>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</si>
  <si>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</si>
  <si>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</si>
  <si>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</si>
  <si>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</si>
  <si>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</si>
  <si>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</si>
  <si>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</si>
  <si>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</si>
  <si>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</si>
  <si>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</si>
  <si>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</si>
  <si>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</si>
  <si>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</si>
  <si>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</si>
  <si>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</si>
  <si>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</si>
  <si>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</si>
  <si>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</si>
  <si>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</si>
  <si>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</si>
  <si>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</si>
  <si>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</si>
  <si>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</si>
  <si>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</si>
  <si>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</si>
  <si>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</si>
  <si>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</si>
  <si>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</si>
  <si>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</si>
  <si>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</si>
  <si>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</si>
  <si>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</si>
  <si>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</si>
  <si>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</si>
  <si>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</si>
  <si>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</si>
  <si>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</si>
  <si>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</si>
  <si>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</si>
  <si>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</si>
  <si>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</si>
  <si>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</si>
  <si>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</si>
  <si>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</si>
  <si>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</si>
  <si>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</si>
  <si>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</si>
  <si>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</si>
  <si>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</si>
  <si>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</si>
  <si>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</si>
  <si>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</si>
  <si>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</si>
  <si>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</si>
  <si>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</si>
  <si>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</si>
  <si>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</si>
  <si>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</si>
  <si>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</si>
  <si>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</si>
  <si>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</si>
  <si>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</si>
  <si>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</si>
  <si>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</si>
  <si>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</si>
  <si>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</si>
  <si>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</si>
  <si>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</si>
  <si>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</si>
  <si>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</si>
  <si>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</si>
  <si>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</si>
  <si>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</si>
  <si>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</si>
  <si>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</si>
  <si>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</si>
  <si>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</si>
  <si>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</si>
  <si>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</si>
  <si>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</si>
  <si>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</si>
  <si>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</si>
  <si>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</si>
  <si>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</si>
  <si>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</si>
  <si>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</si>
  <si>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</si>
  <si>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</si>
  <si>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</si>
  <si>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</si>
  <si>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</si>
  <si>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</si>
  <si>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</si>
  <si>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</si>
  <si>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</si>
  <si>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</si>
  <si>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</si>
  <si>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</si>
  <si>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</si>
  <si>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</si>
  <si>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</si>
  <si>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</si>
  <si>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</si>
  <si>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</si>
  <si>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</si>
  <si>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</si>
  <si>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</si>
  <si>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</si>
  <si>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</si>
  <si>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</si>
  <si>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</si>
  <si>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</si>
  <si>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</si>
  <si>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</si>
  <si>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</si>
  <si>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</si>
  <si>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</si>
  <si>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</si>
  <si>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</si>
  <si>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</si>
  <si>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</si>
  <si>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</si>
  <si>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</si>
  <si>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</si>
  <si>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</si>
  <si>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</si>
  <si>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</si>
  <si>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</si>
  <si>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</si>
  <si>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</si>
  <si>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</si>
  <si>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</si>
  <si>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</si>
  <si>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</si>
  <si>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</si>
  <si>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</si>
  <si>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</si>
  <si>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</si>
  <si>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</si>
  <si>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</si>
  <si>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</si>
  <si>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</si>
  <si>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</si>
  <si>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</si>
  <si>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</si>
  <si>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</si>
  <si>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</si>
  <si>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</si>
  <si>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</si>
  <si>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</si>
  <si>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</si>
  <si>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</si>
  <si>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</si>
  <si>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</si>
  <si>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</si>
  <si>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</si>
  <si>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</si>
  <si>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</si>
  <si>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</si>
  <si>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</si>
  <si>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</si>
  <si>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</si>
  <si>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</si>
  <si>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</si>
  <si>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</si>
  <si>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</si>
  <si>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</si>
  <si>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</si>
  <si>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</si>
  <si>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</si>
  <si>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</si>
  <si>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</si>
  <si>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</si>
  <si>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</si>
  <si>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</si>
  <si>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</si>
  <si>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</si>
  <si>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</si>
  <si>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</si>
  <si>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</si>
  <si>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</si>
  <si>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</si>
  <si>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</si>
  <si>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</si>
  <si>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</si>
  <si>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</si>
  <si>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</si>
  <si>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</si>
  <si>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</si>
  <si>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</si>
  <si>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</si>
  <si>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</si>
  <si>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</si>
  <si>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</si>
  <si>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</si>
  <si>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</si>
  <si>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</si>
  <si>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</si>
  <si>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</si>
  <si>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</si>
  <si>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</si>
  <si>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</si>
  <si>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</si>
  <si>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</si>
  <si>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</si>
  <si>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</si>
  <si>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</si>
  <si>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</si>
  <si>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</si>
  <si>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</si>
  <si>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</si>
  <si>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</si>
  <si>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</si>
  <si>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</si>
  <si>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</si>
  <si>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</si>
  <si>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</si>
  <si>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</si>
  <si>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</si>
  <si>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</si>
  <si>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</si>
  <si>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</si>
  <si>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</si>
  <si>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</si>
  <si>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</si>
  <si>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</si>
  <si>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</si>
  <si>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</si>
  <si>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</si>
  <si>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</si>
  <si>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</si>
  <si>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</si>
  <si>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</si>
  <si>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</si>
  <si>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</si>
  <si>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</si>
  <si>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</si>
  <si>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</si>
  <si>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</si>
  <si>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</si>
  <si>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</si>
  <si>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</si>
  <si>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</si>
  <si>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</si>
  <si>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</si>
  <si>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</si>
  <si>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</si>
  <si>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</si>
  <si>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</si>
  <si>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</si>
  <si>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</si>
  <si>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</si>
  <si>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</si>
  <si>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</si>
  <si>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</si>
  <si>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</si>
  <si>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</si>
  <si>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</si>
  <si>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</si>
  <si>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</si>
  <si>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</si>
  <si>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</si>
  <si>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</si>
  <si>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</si>
  <si>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</si>
  <si>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</si>
  <si>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</si>
  <si>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sdadsa</t>
  </si>
  <si>
    <t xml:space="preserve">    sdadsa
    </t>
  </si>
  <si>
    <t>02) Nam/Nữ: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</si>
</sst>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75">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0"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9" fillId="0" borderId="49" xfId="0" applyFont="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48" fillId="0" borderId="0" xfId="0" applyFont="1" applyAlignment="1">
      <alignment horizontal="left" vertical="center"/>
    </xf>
    <xf numFmtId="0" fontId="7" fillId="0" borderId="49" xfId="0" applyFont="1" applyBorder="1" applyAlignment="1">
      <alignment horizontal="center" vertical="center"/>
    </xf>
    <xf numFmtId="0" fontId="7" fillId="0" borderId="0" xfId="0" applyFont="1" applyAlignment="1">
      <alignment horizontal="left" vertical="top" wrapText="1"/>
    </xf>
    <xf numFmtId="0" fontId="9" fillId="0" borderId="49" xfId="0" applyFont="1" applyBorder="1" applyAlignment="1">
      <alignment horizontal="center" vertical="top" wrapText="1"/>
    </xf>
    <xf numFmtId="0" fontId="7" fillId="0" borderId="49" xfId="0" applyFont="1" applyBorder="1" applyAlignment="1">
      <alignment horizontal="left" vertical="center" wrapText="1"/>
    </xf>
    <xf numFmtId="0" fontId="30" fillId="0" borderId="0" xfId="0" applyFont="1" applyFill="1" applyBorder="1" applyAlignment="1">
      <alignment horizontal="center" vertical="center"/>
    </xf>
    <xf numFmtId="0" fontId="49" fillId="0" borderId="49" xfId="0" applyFont="1" applyBorder="1" applyAlignment="1">
      <alignment horizontal="center" vertical="center" wrapText="1"/>
    </xf>
    <xf numFmtId="0" fontId="7" fillId="0" borderId="49" xfId="1" quotePrefix="1" applyFont="1" applyBorder="1" applyAlignment="1">
      <alignment horizontal="left" vertical="center" wrapText="1"/>
    </xf>
    <xf numFmtId="14" fontId="5" fillId="0" borderId="0" xfId="0" quotePrefix="1" applyNumberFormat="1" applyFont="1" applyFill="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7" fillId="0" borderId="0" xfId="0" applyFont="1" applyAlignment="1">
      <alignment horizontal="left" vertical="top" wrapText="1"/>
    </xf>
    <xf numFmtId="0" fontId="4" fillId="0" borderId="0" xfId="0" applyFont="1" applyFill="1" applyAlignment="1">
      <alignment horizontal="center" vertical="center"/>
    </xf>
    <xf numFmtId="0" fontId="47" fillId="0" borderId="0" xfId="0" applyFont="1" applyBorder="1" applyAlignment="1">
      <alignment horizontal="left"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FF7C80"/>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104775</xdr:colOff>
      <xdr:row>0</xdr:row>
      <xdr:rowOff>57150</xdr:rowOff>
    </xdr:from>
    <xdr:to>
      <xdr:col>0</xdr:col>
      <xdr:colOff>981075</xdr:colOff>
      <xdr:row>1</xdr:row>
      <xdr:rowOff>180975</xdr:rowOff>
    </xdr:to>
    <xdr:sp macro="[0]!qtdt_them" textlink="">
      <xdr:nvSpPr>
        <xdr:cNvPr id="2" name="Rectangle 1"/>
        <xdr:cNvSpPr/>
      </xdr:nvSpPr>
      <xdr:spPr>
        <a:xfrm>
          <a:off x="104775" y="57150"/>
          <a:ext cx="8763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1133475</xdr:colOff>
      <xdr:row>0</xdr:row>
      <xdr:rowOff>57150</xdr:rowOff>
    </xdr:from>
    <xdr:to>
      <xdr:col>2</xdr:col>
      <xdr:colOff>200025</xdr:colOff>
      <xdr:row>1</xdr:row>
      <xdr:rowOff>180975</xdr:rowOff>
    </xdr:to>
    <xdr:sp macro="[0]!qtdt_nhaplai" textlink="">
      <xdr:nvSpPr>
        <xdr:cNvPr id="8" name="Rectangle 7"/>
        <xdr:cNvSpPr/>
      </xdr:nvSpPr>
      <xdr:spPr>
        <a:xfrm>
          <a:off x="1133475" y="57150"/>
          <a:ext cx="11049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Nhập</a:t>
          </a:r>
          <a:r>
            <a:rPr lang="en-US" sz="1800" baseline="0">
              <a:solidFill>
                <a:schemeClr val="tx1"/>
              </a:solidFill>
              <a:latin typeface="Times New Roman" panose="02020603050405020304" pitchFamily="18" charset="0"/>
              <a:cs typeface="Times New Roman" panose="02020603050405020304" pitchFamily="18" charset="0"/>
            </a:rPr>
            <a:t> lại</a:t>
          </a:r>
          <a:endParaRPr lang="en-US" sz="18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323850</xdr:colOff>
      <xdr:row>0</xdr:row>
      <xdr:rowOff>57150</xdr:rowOff>
    </xdr:from>
    <xdr:to>
      <xdr:col>3</xdr:col>
      <xdr:colOff>0</xdr:colOff>
      <xdr:row>1</xdr:row>
      <xdr:rowOff>180975</xdr:rowOff>
    </xdr:to>
    <xdr:sp macro="[0]!qtdt_dong" textlink="">
      <xdr:nvSpPr>
        <xdr:cNvPr id="9" name="Rectangle 8"/>
        <xdr:cNvSpPr/>
      </xdr:nvSpPr>
      <xdr:spPr>
        <a:xfrm>
          <a:off x="2362200" y="57150"/>
          <a:ext cx="876300" cy="371475"/>
        </a:xfrm>
        <a:prstGeom prst="rect">
          <a:avLst/>
        </a:prstGeom>
        <a:solidFill>
          <a:srgbClr val="FF7C8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update"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60080</xdr:colOff>
      <xdr:row>0</xdr:row>
      <xdr:rowOff>45428</xdr:rowOff>
    </xdr:from>
    <xdr:to>
      <xdr:col>0</xdr:col>
      <xdr:colOff>1003789</xdr:colOff>
      <xdr:row>0</xdr:row>
      <xdr:rowOff>471122</xdr:rowOff>
    </xdr:to>
    <xdr:sp macro="[0]!qhgd_them" textlink="">
      <xdr:nvSpPr>
        <xdr:cNvPr id="2" name="Rectangle 1"/>
        <xdr:cNvSpPr/>
      </xdr:nvSpPr>
      <xdr:spPr>
        <a:xfrm>
          <a:off x="60080" y="45428"/>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0</xdr:col>
      <xdr:colOff>1087315</xdr:colOff>
      <xdr:row>0</xdr:row>
      <xdr:rowOff>43230</xdr:rowOff>
    </xdr:from>
    <xdr:to>
      <xdr:col>1</xdr:col>
      <xdr:colOff>666750</xdr:colOff>
      <xdr:row>0</xdr:row>
      <xdr:rowOff>468924</xdr:rowOff>
    </xdr:to>
    <xdr:sp macro="[0]!qhgd_nhaplai" textlink="">
      <xdr:nvSpPr>
        <xdr:cNvPr id="4" name="Rectangle 3"/>
        <xdr:cNvSpPr/>
      </xdr:nvSpPr>
      <xdr:spPr>
        <a:xfrm>
          <a:off x="1087315"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737087</xdr:colOff>
      <xdr:row>0</xdr:row>
      <xdr:rowOff>43229</xdr:rowOff>
    </xdr:from>
    <xdr:to>
      <xdr:col>2</xdr:col>
      <xdr:colOff>871903</xdr:colOff>
      <xdr:row>0</xdr:row>
      <xdr:rowOff>468923</xdr:rowOff>
    </xdr:to>
    <xdr:sp macro="[0]!qhgd_dong" textlink="">
      <xdr:nvSpPr>
        <xdr:cNvPr id="5" name="Rectangle 4"/>
        <xdr:cNvSpPr/>
      </xdr:nvSpPr>
      <xdr:spPr>
        <a:xfrm>
          <a:off x="2202472" y="43229"/>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533400</xdr:colOff>
      <xdr:row>0</xdr:row>
      <xdr:rowOff>47625</xdr:rowOff>
    </xdr:from>
    <xdr:to>
      <xdr:col>3</xdr:col>
      <xdr:colOff>304800</xdr:colOff>
      <xdr:row>0</xdr:row>
      <xdr:rowOff>476250</xdr:rowOff>
    </xdr:to>
    <xdr:sp macro="" textlink="">
      <xdr:nvSpPr>
        <xdr:cNvPr id="5" name="Rectangle 4"/>
        <xdr:cNvSpPr>
          <a:spLocks/>
        </xdr:cNvSpPr>
      </xdr:nvSpPr>
      <xdr:spPr>
        <a:xfrm>
          <a:off x="2095500" y="47625"/>
          <a:ext cx="990600" cy="428625"/>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1057275</xdr:colOff>
      <xdr:row>0</xdr:row>
      <xdr:rowOff>47625</xdr:rowOff>
    </xdr:from>
    <xdr:to>
      <xdr:col>1</xdr:col>
      <xdr:colOff>504825</xdr:colOff>
      <xdr:row>0</xdr:row>
      <xdr:rowOff>476250</xdr:rowOff>
    </xdr:to>
    <xdr:sp macro="[0]!kqxl_luu" textlink="">
      <xdr:nvSpPr>
        <xdr:cNvPr id="4" name="Rectangle 3"/>
        <xdr:cNvSpPr>
          <a:spLocks/>
        </xdr:cNvSpPr>
      </xdr:nvSpPr>
      <xdr:spPr>
        <a:xfrm>
          <a:off x="1057275" y="47625"/>
          <a:ext cx="10096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editAs="absolute">
    <xdr:from>
      <xdr:col>0</xdr:col>
      <xdr:colOff>57150</xdr:colOff>
      <xdr:row>0</xdr:row>
      <xdr:rowOff>47626</xdr:rowOff>
    </xdr:from>
    <xdr:to>
      <xdr:col>0</xdr:col>
      <xdr:colOff>1019175</xdr:colOff>
      <xdr:row>0</xdr:row>
      <xdr:rowOff>466725</xdr:rowOff>
    </xdr:to>
    <xdr:sp macro="[0]!backToMenu" textlink="">
      <xdr:nvSpPr>
        <xdr:cNvPr id="2" name="Rectangle 1"/>
        <xdr:cNvSpPr>
          <a:spLocks/>
        </xdr:cNvSpPr>
      </xdr:nvSpPr>
      <xdr:spPr>
        <a:xfrm>
          <a:off x="57150" y="47626"/>
          <a:ext cx="962025" cy="419099"/>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tabSelected="1" zoomScale="130" zoomScaleNormal="130" workbookViewId="0">
      <selection activeCell="D4" sqref="D4:D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5" t="s">
        <v>88</v>
      </c>
      <c r="C2" s="416"/>
      <c r="D2" s="417"/>
      <c r="E2" s="85"/>
    </row>
    <row r="3" spans="1:5" ht="27.75" customHeight="1" thickTop="1">
      <c r="A3" s="146"/>
      <c r="B3" s="274" t="s">
        <v>89</v>
      </c>
      <c r="C3" s="151" t="s">
        <v>215</v>
      </c>
      <c r="D3" s="152" t="s">
        <v>248</v>
      </c>
      <c r="E3" s="16"/>
    </row>
    <row r="4" spans="1:5" ht="27.75" customHeight="1">
      <c r="A4" s="146"/>
      <c r="B4" s="311" t="s">
        <v>91</v>
      </c>
      <c r="C4" s="418" t="s">
        <v>176</v>
      </c>
      <c r="D4" s="421" t="s">
        <v>216</v>
      </c>
      <c r="E4" s="16"/>
    </row>
    <row r="5" spans="1:5" ht="27.75" customHeight="1">
      <c r="A5" s="146"/>
      <c r="B5" s="312" t="s">
        <v>164</v>
      </c>
      <c r="C5" s="419"/>
      <c r="D5" s="422"/>
      <c r="E5" s="16"/>
    </row>
    <row r="6" spans="1:5" ht="27.75" customHeight="1">
      <c r="A6" s="146"/>
      <c r="B6" s="312" t="s">
        <v>693</v>
      </c>
      <c r="C6" s="419"/>
      <c r="D6" s="422"/>
      <c r="E6" s="16"/>
    </row>
    <row r="7" spans="1:5" ht="26.25" customHeight="1">
      <c r="A7" s="147"/>
      <c r="B7" s="312" t="s">
        <v>694</v>
      </c>
      <c r="C7" s="419"/>
      <c r="D7" s="422"/>
      <c r="E7" s="16"/>
    </row>
    <row r="8" spans="1:5" ht="29.25" customHeight="1">
      <c r="A8" s="147"/>
      <c r="B8" s="313" t="s">
        <v>695</v>
      </c>
      <c r="C8" s="420"/>
      <c r="D8" s="423"/>
      <c r="E8" s="16"/>
    </row>
    <row r="9" spans="1:5" ht="18" customHeight="1">
      <c r="A9" s="16"/>
      <c r="B9" s="427" t="s">
        <v>692</v>
      </c>
      <c r="C9" s="428"/>
      <c r="D9" s="424"/>
      <c r="E9" s="16"/>
    </row>
    <row r="10" spans="1:5" ht="18" customHeight="1">
      <c r="A10" s="16"/>
      <c r="B10" s="427"/>
      <c r="C10" s="429"/>
      <c r="D10" s="425"/>
      <c r="E10" s="16"/>
    </row>
    <row r="11" spans="1:5" ht="18" customHeight="1">
      <c r="A11" s="16"/>
      <c r="B11" s="427"/>
      <c r="C11" s="429"/>
      <c r="D11" s="425"/>
      <c r="E11" s="16"/>
    </row>
    <row r="12" spans="1:5" ht="18" customHeight="1">
      <c r="A12" s="16"/>
      <c r="B12" s="427"/>
      <c r="C12" s="429"/>
      <c r="D12" s="425"/>
      <c r="E12" s="16"/>
    </row>
    <row r="13" spans="1:5" ht="18" customHeight="1">
      <c r="A13" s="16"/>
      <c r="B13" s="427"/>
      <c r="C13" s="429"/>
      <c r="D13" s="425"/>
      <c r="E13" s="16"/>
    </row>
    <row r="14" spans="1:5" ht="18" customHeight="1">
      <c r="A14" s="16"/>
      <c r="B14" s="427"/>
      <c r="C14" s="429"/>
      <c r="D14" s="425"/>
      <c r="E14" s="16"/>
    </row>
    <row r="15" spans="1:5" ht="23.25" customHeight="1">
      <c r="A15" s="16"/>
      <c r="B15" s="430"/>
      <c r="C15" s="431"/>
      <c r="D15" s="426"/>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7" sqref="F7"/>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3"/>
      <c r="G1" s="153"/>
      <c r="H1" s="153"/>
      <c r="I1" s="153"/>
      <c r="J1" s="153"/>
      <c r="K1" s="153"/>
      <c r="L1" s="153"/>
      <c r="M1" s="153"/>
      <c r="N1" s="154"/>
      <c r="O1" s="154"/>
      <c r="V1" s="232"/>
      <c r="W1" s="157"/>
      <c r="X1" s="157"/>
    </row>
    <row r="2" spans="1:76" ht="29.25" customHeight="1">
      <c r="A2" s="445" t="s">
        <v>90</v>
      </c>
      <c r="B2" s="445"/>
      <c r="C2" s="445"/>
      <c r="D2" s="445"/>
      <c r="E2" s="445"/>
      <c r="F2" s="445"/>
      <c r="G2" s="445"/>
      <c r="H2" s="445"/>
      <c r="I2" s="445"/>
      <c r="J2" s="445"/>
      <c r="K2" s="445"/>
      <c r="L2" s="445"/>
      <c r="M2" s="445"/>
      <c r="N2" s="445"/>
      <c r="O2" s="445"/>
      <c r="V2" s="233"/>
      <c r="W2" s="159"/>
      <c r="X2" s="159"/>
      <c r="Y2" s="160"/>
      <c r="Z2" s="160"/>
      <c r="AA2" s="244"/>
    </row>
    <row r="3" spans="1:76" ht="19.149999999999999" customHeight="1">
      <c r="A3" s="439" t="s">
        <v>0</v>
      </c>
      <c r="B3" s="437" t="s">
        <v>463</v>
      </c>
      <c r="C3" s="437" t="s">
        <v>464</v>
      </c>
      <c r="D3" s="437" t="s">
        <v>155</v>
      </c>
      <c r="E3" s="437" t="s">
        <v>482</v>
      </c>
      <c r="F3" s="432" t="s">
        <v>480</v>
      </c>
      <c r="G3" s="432" t="s">
        <v>481</v>
      </c>
      <c r="H3" s="432" t="s">
        <v>10</v>
      </c>
      <c r="I3" s="438" t="s">
        <v>112</v>
      </c>
      <c r="J3" s="432" t="s">
        <v>465</v>
      </c>
      <c r="K3" s="446" t="s">
        <v>1</v>
      </c>
      <c r="L3" s="440" t="s">
        <v>466</v>
      </c>
      <c r="M3" s="441"/>
      <c r="N3" s="441"/>
      <c r="O3" s="441"/>
      <c r="P3" s="441"/>
      <c r="Q3" s="441"/>
      <c r="R3" s="442"/>
      <c r="S3" s="443" t="s">
        <v>3</v>
      </c>
      <c r="T3" s="444"/>
      <c r="U3" s="438" t="s">
        <v>487</v>
      </c>
      <c r="V3" s="438" t="s">
        <v>467</v>
      </c>
      <c r="W3" s="432" t="s">
        <v>468</v>
      </c>
      <c r="X3" s="432" t="s">
        <v>95</v>
      </c>
      <c r="Y3" s="432" t="s">
        <v>111</v>
      </c>
      <c r="Z3" s="435" t="s">
        <v>469</v>
      </c>
      <c r="AA3" s="432" t="s">
        <v>160</v>
      </c>
      <c r="AB3" s="432" t="s">
        <v>470</v>
      </c>
      <c r="AC3" s="432" t="s">
        <v>472</v>
      </c>
      <c r="AD3" s="432" t="s">
        <v>488</v>
      </c>
      <c r="AE3" s="432" t="s">
        <v>471</v>
      </c>
      <c r="AF3" s="437" t="s">
        <v>489</v>
      </c>
      <c r="AG3" s="432" t="s">
        <v>116</v>
      </c>
      <c r="AH3" s="432" t="s">
        <v>474</v>
      </c>
    </row>
    <row r="4" spans="1:76" ht="46.5" customHeight="1">
      <c r="A4" s="439"/>
      <c r="B4" s="433"/>
      <c r="C4" s="433"/>
      <c r="D4" s="433"/>
      <c r="E4" s="433"/>
      <c r="F4" s="433"/>
      <c r="G4" s="433"/>
      <c r="H4" s="434"/>
      <c r="I4" s="439"/>
      <c r="J4" s="434"/>
      <c r="K4" s="447"/>
      <c r="L4" s="195" t="s">
        <v>475</v>
      </c>
      <c r="M4" s="195" t="s">
        <v>483</v>
      </c>
      <c r="N4" s="240" t="s">
        <v>476</v>
      </c>
      <c r="O4" s="195" t="s">
        <v>484</v>
      </c>
      <c r="P4" s="241" t="s">
        <v>477</v>
      </c>
      <c r="Q4" s="196" t="s">
        <v>485</v>
      </c>
      <c r="R4" s="196" t="s">
        <v>486</v>
      </c>
      <c r="S4" s="224" t="s">
        <v>478</v>
      </c>
      <c r="T4" s="224" t="s">
        <v>479</v>
      </c>
      <c r="U4" s="439"/>
      <c r="V4" s="439"/>
      <c r="W4" s="434"/>
      <c r="X4" s="434"/>
      <c r="Y4" s="434"/>
      <c r="Z4" s="436"/>
      <c r="AA4" s="434"/>
      <c r="AB4" s="434"/>
      <c r="AC4" s="434"/>
      <c r="AD4" s="433"/>
      <c r="AE4" s="434"/>
      <c r="AF4" s="433"/>
      <c r="AG4" s="433"/>
      <c r="AH4" s="433"/>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920016</v>
      </c>
      <c r="C7" s="235">
        <v>77194808</v>
      </c>
      <c r="D7" s="235">
        <v>111111</v>
      </c>
      <c r="E7" s="204">
        <v>22222</v>
      </c>
      <c r="F7" s="235" t="s">
        <v>549</v>
      </c>
      <c r="G7" s="235" t="s">
        <v>549</v>
      </c>
      <c r="H7" s="235" t="s">
        <v>6</v>
      </c>
      <c r="I7" s="235" t="s">
        <v>545</v>
      </c>
      <c r="J7" s="235" t="s">
        <v>121</v>
      </c>
      <c r="K7" s="207">
        <v>30339</v>
      </c>
      <c r="L7" s="207">
        <v>38236</v>
      </c>
      <c r="M7" s="235" t="s">
        <v>565</v>
      </c>
      <c r="N7" s="207">
        <v>38601</v>
      </c>
      <c r="O7" s="207" t="s">
        <v>566</v>
      </c>
      <c r="P7" s="207">
        <v>37531</v>
      </c>
      <c r="Q7" s="207">
        <v>39083</v>
      </c>
      <c r="R7" s="207"/>
      <c r="S7" s="207" t="s">
        <v>550</v>
      </c>
      <c r="T7" s="207" t="s">
        <v>135</v>
      </c>
      <c r="U7" s="207" t="s">
        <v>348</v>
      </c>
      <c r="V7" s="208" t="s">
        <v>266</v>
      </c>
      <c r="W7" s="208" t="s">
        <v>511</v>
      </c>
      <c r="X7" s="208" t="s">
        <v>219</v>
      </c>
      <c r="Y7" s="208" t="s">
        <v>110</v>
      </c>
      <c r="Z7" s="208" t="s">
        <v>548</v>
      </c>
      <c r="AA7" s="208" t="s">
        <v>15</v>
      </c>
      <c r="AB7" s="204" t="s">
        <v>15</v>
      </c>
      <c r="AC7" s="204" t="s">
        <v>149</v>
      </c>
      <c r="AD7" s="204" t="s">
        <v>15</v>
      </c>
      <c r="AE7" s="204" t="s">
        <v>551</v>
      </c>
      <c r="AF7" s="204"/>
      <c r="AG7" s="204" t="s">
        <v>552</v>
      </c>
      <c r="AH7" s="204" t="s">
        <v>553</v>
      </c>
      <c r="AI7" s="211"/>
      <c r="AJ7" s="211">
        <f t="shared" ref="AJ7:AJ45" ca="1" si="1">IF(TRIM(K7)&lt;&gt;"",DATEDIF(K7,TODAY(),"y"),0)</f>
        <v>38</v>
      </c>
      <c r="AK7" s="211">
        <f t="shared" ref="AK7:AK45" ca="1" si="2">IF(TRIM(P7)&lt;&gt;"",DATEDIF(P7,TODAY(),"m"),0)</f>
        <v>224</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920017</v>
      </c>
      <c r="C8" s="235">
        <v>77194808</v>
      </c>
      <c r="D8" s="235">
        <v>111111</v>
      </c>
      <c r="E8" s="204">
        <v>22222</v>
      </c>
      <c r="F8" s="235" t="s">
        <v>732</v>
      </c>
      <c r="G8" s="235" t="s">
        <v>732</v>
      </c>
      <c r="H8" s="235" t="s">
        <v>7</v>
      </c>
      <c r="I8" s="235" t="s">
        <v>545</v>
      </c>
      <c r="J8" s="235" t="s">
        <v>731</v>
      </c>
      <c r="K8" s="207">
        <v>30339</v>
      </c>
      <c r="L8" s="207">
        <v>38236</v>
      </c>
      <c r="M8" s="235" t="s">
        <v>565</v>
      </c>
      <c r="N8" s="207">
        <v>38601</v>
      </c>
      <c r="O8" s="207" t="s">
        <v>566</v>
      </c>
      <c r="P8" s="207">
        <v>37531</v>
      </c>
      <c r="Q8" s="207">
        <v>39083</v>
      </c>
      <c r="R8" s="207"/>
      <c r="S8" s="207" t="s">
        <v>550</v>
      </c>
      <c r="T8" s="207" t="s">
        <v>135</v>
      </c>
      <c r="U8" s="207" t="s">
        <v>348</v>
      </c>
      <c r="V8" s="208" t="s">
        <v>266</v>
      </c>
      <c r="W8" s="208" t="s">
        <v>511</v>
      </c>
      <c r="X8" s="208" t="s">
        <v>219</v>
      </c>
      <c r="Y8" s="208" t="s">
        <v>110</v>
      </c>
      <c r="Z8" s="208" t="s">
        <v>548</v>
      </c>
      <c r="AA8" s="208" t="s">
        <v>15</v>
      </c>
      <c r="AB8" s="204" t="s">
        <v>15</v>
      </c>
      <c r="AC8" s="204" t="s">
        <v>149</v>
      </c>
      <c r="AD8" s="204" t="s">
        <v>15</v>
      </c>
      <c r="AE8" s="204" t="s">
        <v>551</v>
      </c>
      <c r="AF8" s="204"/>
      <c r="AG8" s="204" t="s">
        <v>552</v>
      </c>
      <c r="AH8" s="204" t="s">
        <v>553</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c r="C9" s="235"/>
      <c r="D9" s="203"/>
      <c r="E9" s="204"/>
      <c r="F9" s="203"/>
      <c r="G9" s="203"/>
      <c r="H9" s="203"/>
      <c r="I9" s="203"/>
      <c r="J9" s="203"/>
      <c r="K9" s="205"/>
      <c r="L9" s="206"/>
      <c r="M9" s="203"/>
      <c r="N9" s="207"/>
      <c r="O9" s="207"/>
      <c r="P9" s="207"/>
      <c r="Q9" s="207"/>
      <c r="R9" s="206"/>
      <c r="S9" s="205"/>
      <c r="T9" s="205"/>
      <c r="U9" s="207"/>
      <c r="V9" s="226"/>
      <c r="W9" s="208"/>
      <c r="X9" s="208"/>
      <c r="Y9" s="208"/>
      <c r="Z9" s="208"/>
      <c r="AA9" s="208"/>
      <c r="AB9" s="210"/>
      <c r="AC9" s="210"/>
      <c r="AD9" s="210"/>
      <c r="AE9" s="210"/>
      <c r="AF9" s="210"/>
      <c r="AG9" s="210"/>
      <c r="AH9" s="210"/>
      <c r="AI9" s="93"/>
      <c r="AJ9" s="93">
        <f t="shared" ca="1" si="1"/>
        <v>0</v>
      </c>
      <c r="AK9" s="93">
        <f t="shared" ca="1" si="2"/>
        <v>0</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03"/>
      <c r="G10" s="203"/>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03"/>
      <c r="G11" s="203"/>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03"/>
      <c r="G12" s="203"/>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03"/>
      <c r="G13" s="203"/>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03"/>
      <c r="G14" s="203"/>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03"/>
      <c r="G15" s="203"/>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03"/>
      <c r="G16" s="203"/>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03"/>
      <c r="G17" s="203"/>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03"/>
      <c r="G18" s="203"/>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03"/>
      <c r="G19" s="203"/>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03"/>
      <c r="G20" s="203"/>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03"/>
      <c r="G21" s="203"/>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03"/>
      <c r="G22" s="203"/>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03"/>
      <c r="G23" s="203"/>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03"/>
      <c r="G24" s="203"/>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03"/>
      <c r="G25" s="203"/>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03"/>
      <c r="G26" s="203"/>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03"/>
      <c r="G27" s="203"/>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03"/>
      <c r="G28" s="203"/>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03"/>
      <c r="G29" s="203"/>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03"/>
      <c r="G30" s="203"/>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03"/>
      <c r="G31" s="203"/>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03"/>
      <c r="G32" s="203"/>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03"/>
      <c r="G33" s="203"/>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03"/>
      <c r="G34" s="203"/>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03"/>
      <c r="G35" s="203"/>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03"/>
      <c r="G36" s="203"/>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03"/>
      <c r="G37" s="203"/>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03"/>
      <c r="G38" s="203"/>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03"/>
      <c r="G39" s="203"/>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03"/>
      <c r="G40" s="203"/>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03"/>
      <c r="G41" s="203"/>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03"/>
      <c r="G42" s="203"/>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03"/>
      <c r="G43" s="203"/>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03"/>
      <c r="G44" s="203"/>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03"/>
      <c r="G45" s="203"/>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03"/>
      <c r="G46" s="203"/>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03"/>
      <c r="G47" s="203"/>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03"/>
      <c r="G48" s="203"/>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03"/>
      <c r="G49" s="203"/>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03"/>
      <c r="G50" s="203"/>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03"/>
      <c r="G51" s="203"/>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03"/>
      <c r="G52" s="203"/>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03"/>
      <c r="G53" s="203"/>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03"/>
      <c r="G54" s="203"/>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03"/>
      <c r="G55" s="203"/>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03"/>
      <c r="G56" s="203"/>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03"/>
      <c r="G57" s="203"/>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03"/>
      <c r="G58" s="203"/>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03"/>
      <c r="G59" s="203"/>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03"/>
      <c r="G60" s="203"/>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5"/>
      <c r="G61" s="315"/>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03"/>
      <c r="G62" s="203"/>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03"/>
      <c r="G63" s="203"/>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03"/>
      <c r="G64" s="203"/>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03"/>
      <c r="G65" s="203"/>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03"/>
      <c r="G66" s="203"/>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03"/>
      <c r="G67" s="203"/>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03"/>
      <c r="G68" s="203"/>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03"/>
      <c r="G69" s="203"/>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03"/>
      <c r="G70" s="203"/>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03"/>
      <c r="G71" s="203"/>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03"/>
      <c r="G72" s="203"/>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03"/>
      <c r="G73" s="203"/>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03"/>
      <c r="G74" s="203"/>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03"/>
      <c r="G75" s="203"/>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03"/>
      <c r="G76" s="203"/>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03"/>
      <c r="G77" s="203"/>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03"/>
      <c r="G78" s="203"/>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03"/>
      <c r="G79" s="203"/>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03"/>
      <c r="G80" s="203"/>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03"/>
      <c r="G81" s="203"/>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03"/>
      <c r="G82" s="203"/>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03"/>
      <c r="G83" s="203"/>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03"/>
      <c r="G84" s="203"/>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03"/>
      <c r="G85" s="203"/>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03"/>
      <c r="G86" s="203"/>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03"/>
      <c r="G87" s="203"/>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03"/>
      <c r="G88" s="203"/>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03"/>
      <c r="G89" s="203"/>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03"/>
      <c r="G90" s="203"/>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03"/>
      <c r="G91" s="203"/>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03"/>
      <c r="G92" s="203"/>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03"/>
      <c r="G93" s="203"/>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03"/>
      <c r="G94" s="203"/>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03"/>
      <c r="G95" s="203"/>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03"/>
      <c r="G96" s="203"/>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03"/>
      <c r="G97" s="203"/>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03"/>
      <c r="G98" s="203"/>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03"/>
      <c r="G99" s="203"/>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03"/>
      <c r="G100" s="203"/>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03"/>
      <c r="G101" s="203"/>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03"/>
      <c r="G102" s="203"/>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03"/>
      <c r="G103" s="203"/>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03"/>
      <c r="G104" s="203"/>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03"/>
      <c r="G105" s="203"/>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03"/>
      <c r="G106" s="203"/>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03"/>
      <c r="G107" s="203"/>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03"/>
      <c r="G108" s="203"/>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03"/>
      <c r="G109" s="203"/>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03"/>
      <c r="G110" s="203"/>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03"/>
      <c r="G111" s="203"/>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03"/>
      <c r="G112" s="203"/>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03"/>
      <c r="G113" s="203"/>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03"/>
      <c r="G114" s="203"/>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03"/>
      <c r="G115" s="203"/>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03"/>
      <c r="G116" s="203"/>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03"/>
      <c r="G117" s="203"/>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03"/>
      <c r="G118" s="203"/>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03"/>
      <c r="G119" s="203"/>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03"/>
      <c r="G120" s="203"/>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03"/>
      <c r="G121" s="203"/>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03"/>
      <c r="G122" s="203"/>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03"/>
      <c r="G123" s="203"/>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03"/>
      <c r="G124" s="203"/>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03"/>
      <c r="G125" s="203"/>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03"/>
      <c r="G126" s="203"/>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03"/>
      <c r="G127" s="203"/>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03"/>
      <c r="G128" s="203"/>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03"/>
      <c r="G129" s="203"/>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03"/>
      <c r="G130" s="203"/>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03"/>
      <c r="G131" s="203"/>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03"/>
      <c r="G132" s="203"/>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03"/>
      <c r="G133" s="203"/>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03"/>
      <c r="G134" s="203"/>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03"/>
      <c r="G135" s="203"/>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03"/>
      <c r="G136" s="203"/>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03"/>
      <c r="G137" s="203"/>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03"/>
      <c r="G138" s="203"/>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03"/>
      <c r="G139" s="203"/>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03"/>
      <c r="G140" s="203"/>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03"/>
      <c r="G141" s="203"/>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03"/>
      <c r="G142" s="203"/>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03"/>
      <c r="G143" s="203"/>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03"/>
      <c r="G144" s="203"/>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03"/>
      <c r="G145" s="203"/>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03"/>
      <c r="G146" s="203"/>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03"/>
      <c r="G147" s="203"/>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03"/>
      <c r="G148" s="203"/>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03"/>
      <c r="G149" s="203"/>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03"/>
      <c r="G150" s="203"/>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03"/>
      <c r="G151" s="203"/>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03"/>
      <c r="G152" s="203"/>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03"/>
      <c r="G153" s="203"/>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03"/>
      <c r="G154" s="203"/>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03"/>
      <c r="G155" s="203"/>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03"/>
      <c r="G156" s="203"/>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03"/>
      <c r="G157" s="203"/>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03"/>
      <c r="G158" s="203"/>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03"/>
      <c r="G159" s="203"/>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03"/>
      <c r="G160" s="203"/>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03"/>
      <c r="G161" s="203"/>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03"/>
      <c r="G162" s="203"/>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03"/>
      <c r="G163" s="203"/>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03"/>
      <c r="G164" s="203"/>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03"/>
      <c r="G165" s="203"/>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03"/>
      <c r="G166" s="203"/>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03"/>
      <c r="G167" s="203"/>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03"/>
      <c r="G168" s="203"/>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03"/>
      <c r="G169" s="203"/>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03"/>
      <c r="G170" s="203"/>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03"/>
      <c r="G171" s="203"/>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03"/>
      <c r="G172" s="203"/>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03"/>
      <c r="G173" s="203"/>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03"/>
      <c r="G174" s="203"/>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03"/>
      <c r="G175" s="203"/>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03"/>
      <c r="G176" s="203"/>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03"/>
      <c r="G177" s="203"/>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03"/>
      <c r="G178" s="203"/>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03"/>
      <c r="G179" s="203"/>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03"/>
      <c r="G180" s="203"/>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03"/>
      <c r="G181" s="203"/>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03"/>
      <c r="G182" s="203"/>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03"/>
      <c r="G183" s="203"/>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03"/>
      <c r="G184" s="203"/>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03"/>
      <c r="G185" s="203"/>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03"/>
      <c r="G186" s="203"/>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03"/>
      <c r="G187" s="203"/>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03"/>
      <c r="G188" s="203"/>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03"/>
      <c r="G189" s="203"/>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03"/>
      <c r="G190" s="203"/>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03"/>
      <c r="G191" s="203"/>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03"/>
      <c r="G192" s="203"/>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03"/>
      <c r="G193" s="203"/>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03"/>
      <c r="G194" s="203"/>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03"/>
      <c r="G195" s="203"/>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03"/>
      <c r="G196" s="203"/>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03"/>
      <c r="G197" s="203"/>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03"/>
      <c r="G198" s="203"/>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03"/>
      <c r="G199" s="203"/>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03"/>
      <c r="G200" s="203"/>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03"/>
      <c r="G201" s="203"/>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03"/>
      <c r="G202" s="203"/>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03"/>
      <c r="G203" s="203"/>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03"/>
      <c r="G204" s="203"/>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03"/>
      <c r="G205" s="203"/>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03"/>
      <c r="G206" s="203"/>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03"/>
      <c r="G207" s="203"/>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03"/>
      <c r="G208" s="203"/>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03"/>
      <c r="G209" s="203"/>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03"/>
      <c r="G210" s="203"/>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03"/>
      <c r="G211" s="203"/>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03"/>
      <c r="G212" s="203"/>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03"/>
      <c r="G213" s="203"/>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03"/>
      <c r="G214" s="203"/>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03"/>
      <c r="G215" s="203"/>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197"/>
      <c r="G216" s="197"/>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197"/>
      <c r="G217" s="197"/>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197"/>
      <c r="G218" s="197"/>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197"/>
      <c r="G219" s="197"/>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197"/>
      <c r="G220" s="197"/>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197"/>
      <c r="G221" s="197"/>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197"/>
      <c r="G222" s="197"/>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197"/>
      <c r="G223" s="197"/>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197"/>
      <c r="G224" s="197"/>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197"/>
      <c r="G225" s="197"/>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197"/>
      <c r="G226" s="197"/>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197"/>
      <c r="G227" s="197"/>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197"/>
      <c r="G228" s="197"/>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197"/>
      <c r="G229" s="197"/>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197"/>
      <c r="G230" s="197"/>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197"/>
      <c r="G231" s="197"/>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197"/>
      <c r="G232" s="197"/>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197"/>
      <c r="G233" s="197"/>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197"/>
      <c r="G234" s="197"/>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197"/>
      <c r="G235" s="197"/>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K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activeCell="E15" sqref="E15"/>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3" t="s">
        <v>205</v>
      </c>
      <c r="B1" s="473"/>
      <c r="C1" s="473"/>
      <c r="D1" s="473"/>
      <c r="E1" s="473"/>
      <c r="F1" s="473"/>
      <c r="G1" s="473"/>
      <c r="H1" s="473"/>
      <c r="I1" s="473"/>
      <c r="J1" s="473"/>
      <c r="K1" s="473"/>
      <c r="L1" s="473"/>
      <c r="M1" s="473"/>
      <c r="N1" s="473"/>
      <c r="O1" s="473"/>
      <c r="P1" s="473"/>
      <c r="Q1" s="473"/>
      <c r="R1" s="473"/>
      <c r="U1" s="239" t="s">
        <v>555</v>
      </c>
    </row>
    <row r="2" spans="1:21" ht="17.25" customHeight="1">
      <c r="A2" s="144"/>
      <c r="B2" s="453" t="s">
        <v>206</v>
      </c>
      <c r="C2" s="453"/>
      <c r="D2" s="453"/>
      <c r="E2" s="138"/>
      <c r="F2" s="138"/>
      <c r="G2" s="138"/>
      <c r="H2" s="239"/>
      <c r="I2" s="141"/>
      <c r="J2" s="141"/>
      <c r="K2" s="141"/>
      <c r="L2" s="141"/>
      <c r="M2" s="141"/>
      <c r="N2" s="141"/>
      <c r="O2" s="141"/>
      <c r="P2" s="141"/>
      <c r="Q2" s="141"/>
      <c r="R2" s="141"/>
    </row>
    <row r="3" spans="1:21" ht="17.25" customHeight="1">
      <c r="A3" s="144"/>
      <c r="B3" s="261" t="s">
        <v>251</v>
      </c>
      <c r="C3" s="453" t="s">
        <v>509</v>
      </c>
      <c r="D3" s="453"/>
      <c r="F3" s="223" t="s">
        <v>207</v>
      </c>
      <c r="G3" s="171"/>
      <c r="H3" s="221" t="str">
        <f>MID(U3,1,1)</f>
        <v>9</v>
      </c>
      <c r="I3" s="221" t="str">
        <f>MID(U3,2,1)</f>
        <v>2</v>
      </c>
      <c r="J3" s="221" t="str">
        <f>MID(U3,3,1)</f>
        <v>0</v>
      </c>
      <c r="K3" s="221" t="str">
        <f>MID(U3,4,1)</f>
        <v>0</v>
      </c>
      <c r="L3" s="221" t="str">
        <f>MID(U3,5,1)</f>
        <v>1</v>
      </c>
      <c r="M3" s="221" t="str">
        <f>MID(U3,6,1)</f>
        <v>6</v>
      </c>
      <c r="N3" s="222"/>
      <c r="O3" s="221" t="s">
        <v>506</v>
      </c>
      <c r="P3" s="221" t="s">
        <v>507</v>
      </c>
      <c r="Q3" s="221" t="s">
        <v>508</v>
      </c>
      <c r="R3" s="222"/>
      <c r="T3" s="139" t="s">
        <v>207</v>
      </c>
      <c r="U3" s="220">
        <f>IF($D$15="","",INDEX(DSDV!$B$7:$B$216,MATCH($D$15,DSDV!$G$7:$G$216,0)))</f>
        <v>920016</v>
      </c>
    </row>
    <row r="4" spans="1:21" ht="17.25" customHeight="1">
      <c r="A4" s="144"/>
      <c r="B4" s="454" t="s">
        <v>210</v>
      </c>
      <c r="C4" s="454"/>
      <c r="D4" s="454"/>
      <c r="F4" s="6"/>
      <c r="G4" s="6"/>
      <c r="I4" s="6"/>
      <c r="J4" s="6"/>
      <c r="K4" s="6"/>
      <c r="L4" s="6"/>
      <c r="M4" s="6"/>
      <c r="N4" s="6"/>
      <c r="O4" s="6"/>
      <c r="P4" s="6"/>
      <c r="Q4" s="6"/>
      <c r="R4" s="6"/>
      <c r="T4" s="139" t="s">
        <v>208</v>
      </c>
      <c r="U4" s="148">
        <f>IF($D$15="","",INDEX(DSDV!$C$7:$C$216,MATCH($D$15,DSDV!$G$7:$G$216,0)))</f>
        <v>77194808</v>
      </c>
    </row>
    <row r="5" spans="1:21" ht="17.25" customHeight="1">
      <c r="A5" s="144"/>
      <c r="B5" s="261" t="s">
        <v>251</v>
      </c>
      <c r="C5" s="453"/>
      <c r="D5" s="453"/>
      <c r="F5" s="457" t="s">
        <v>208</v>
      </c>
      <c r="G5" s="457"/>
      <c r="I5" s="221" t="str">
        <f>MID(U4,1,1)</f>
        <v>7</v>
      </c>
      <c r="J5" s="221" t="str">
        <f>MID(U4,2,1)</f>
        <v>7</v>
      </c>
      <c r="K5" s="171"/>
      <c r="L5" s="221" t="str">
        <f>MID(U4,3,1)</f>
        <v>1</v>
      </c>
      <c r="M5" s="221" t="str">
        <f>MID(U4,4,1)</f>
        <v>9</v>
      </c>
      <c r="N5" s="221" t="str">
        <f>MID(U4,5,1)</f>
        <v>4</v>
      </c>
      <c r="O5" s="221" t="str">
        <f>MID(U4,6,1)</f>
        <v>8</v>
      </c>
      <c r="P5" s="221" t="str">
        <f>MID(U4,7,1)</f>
        <v>0</v>
      </c>
      <c r="Q5" s="221" t="str">
        <f>MID(U4,8,1)</f>
        <v>8</v>
      </c>
      <c r="R5" s="261"/>
    </row>
    <row r="6" spans="1:21" ht="17.25" customHeight="1">
      <c r="A6" s="144" t="s">
        <v>209</v>
      </c>
      <c r="B6" s="454" t="s">
        <v>211</v>
      </c>
      <c r="C6" s="454"/>
      <c r="D6" s="454"/>
      <c r="E6" s="138"/>
      <c r="F6" s="138"/>
      <c r="G6" s="138"/>
      <c r="H6" s="138"/>
      <c r="I6" s="141"/>
      <c r="J6" s="141"/>
      <c r="K6" s="141"/>
      <c r="L6" s="141"/>
      <c r="M6" s="141"/>
      <c r="N6" s="141"/>
      <c r="O6" s="141"/>
      <c r="P6" s="141"/>
      <c r="Q6" s="141"/>
      <c r="R6" s="141"/>
    </row>
    <row r="7" spans="1:21" ht="17.25" customHeight="1">
      <c r="A7" s="144"/>
      <c r="B7" s="454" t="s">
        <v>212</v>
      </c>
      <c r="C7" s="454"/>
      <c r="D7" s="454"/>
      <c r="E7" s="138"/>
      <c r="F7" s="138"/>
      <c r="G7" s="138"/>
      <c r="H7" s="138"/>
      <c r="I7" s="141"/>
      <c r="J7" s="141"/>
      <c r="K7" s="141"/>
      <c r="L7" s="141"/>
      <c r="M7" s="141"/>
      <c r="N7" s="141"/>
      <c r="O7" s="141"/>
      <c r="P7" s="141"/>
      <c r="Q7" s="141"/>
      <c r="R7" s="141"/>
    </row>
    <row r="8" spans="1:21" ht="17.25" customHeight="1">
      <c r="A8" s="144"/>
      <c r="B8" s="261" t="str">
        <f>IF($D$15="","",VLOOKUP($D$15,Bang_DSDV,17,0))</f>
        <v>CỤC CHÍNH TRỊ</v>
      </c>
      <c r="C8" s="261"/>
      <c r="D8" s="261"/>
      <c r="E8" s="138"/>
      <c r="F8" s="138"/>
      <c r="G8" s="138"/>
      <c r="H8" s="138"/>
      <c r="I8" s="141"/>
      <c r="J8" s="141"/>
      <c r="K8" s="141"/>
      <c r="L8" s="141"/>
      <c r="M8" s="141"/>
      <c r="N8" s="141"/>
      <c r="O8" s="141"/>
      <c r="P8" s="141"/>
      <c r="Q8" s="141"/>
      <c r="R8" s="141"/>
    </row>
    <row r="9" spans="1:21" ht="17.25" customHeight="1">
      <c r="A9" s="144"/>
      <c r="B9" s="454" t="s">
        <v>213</v>
      </c>
      <c r="C9" s="454"/>
      <c r="D9" s="454"/>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Tổ chức</v>
      </c>
      <c r="D10" s="261"/>
      <c r="E10" s="138"/>
      <c r="F10" s="138"/>
      <c r="G10" s="138"/>
      <c r="H10" s="138"/>
      <c r="I10" s="141"/>
      <c r="J10" s="141"/>
      <c r="K10" s="141"/>
      <c r="L10" s="141"/>
      <c r="M10" s="141"/>
      <c r="N10" s="141"/>
      <c r="O10" s="141"/>
      <c r="P10" s="141"/>
      <c r="Q10" s="141"/>
      <c r="R10" s="141"/>
    </row>
    <row r="11" spans="1:21" ht="30" customHeight="1">
      <c r="B11" s="450" t="s">
        <v>177</v>
      </c>
      <c r="C11" s="450"/>
      <c r="D11" s="450"/>
      <c r="E11" s="450"/>
      <c r="F11" s="450"/>
      <c r="G11" s="450"/>
      <c r="H11" s="450"/>
      <c r="I11" s="450"/>
      <c r="J11" s="450"/>
      <c r="K11" s="450"/>
      <c r="L11" s="450"/>
      <c r="M11" s="450"/>
      <c r="N11" s="450"/>
      <c r="O11" s="450"/>
      <c r="P11" s="450"/>
      <c r="Q11" s="450"/>
      <c r="R11" s="254"/>
    </row>
    <row r="12" spans="1:21" ht="30" customHeight="1">
      <c r="B12" s="450"/>
      <c r="C12" s="450"/>
      <c r="D12" s="450"/>
      <c r="E12" s="450"/>
      <c r="F12" s="450"/>
      <c r="G12" s="450"/>
      <c r="H12" s="450"/>
      <c r="I12" s="450"/>
      <c r="J12" s="450"/>
      <c r="K12" s="450"/>
      <c r="L12" s="450"/>
      <c r="M12" s="450"/>
      <c r="N12" s="450"/>
      <c r="O12" s="450"/>
      <c r="P12" s="450"/>
      <c r="Q12" s="450"/>
      <c r="R12" s="254"/>
    </row>
    <row r="13" spans="1:21" ht="15.75" customHeight="1"/>
    <row r="14" spans="1:21" s="8" customFormat="1" ht="20.25" customHeight="1">
      <c r="A14" s="65"/>
      <c r="B14" s="8" t="s">
        <v>179</v>
      </c>
      <c r="D14" s="142" t="str">
        <f>IF($D$15="","",INDEX(DSDV!$F$7:$F$216,MATCH($D$15,DSDV!$G$7:$G$216,0)))</f>
        <v>Lê Duy Nguyện</v>
      </c>
      <c r="E14" s="142"/>
      <c r="F14" s="142"/>
      <c r="G14" s="456" t="s">
        <v>735</v>
      </c>
      <c r="H14" s="456"/>
      <c r="I14" s="140" t="str">
        <f>IF($D$15="","",VLOOKUP($D$15,Bang_DSDV,2,0))</f>
        <v>Nam</v>
      </c>
      <c r="J14" s="256"/>
      <c r="K14" s="256"/>
      <c r="L14" s="256"/>
      <c r="M14" s="256"/>
      <c r="N14" s="256"/>
      <c r="O14" s="256"/>
      <c r="P14" s="256"/>
      <c r="Q14" s="256"/>
      <c r="R14" s="256"/>
      <c r="T14" s="6"/>
    </row>
    <row r="15" spans="1:21" s="8" customFormat="1" ht="18" customHeight="1">
      <c r="A15" s="65"/>
      <c r="B15" s="8" t="s">
        <v>178</v>
      </c>
      <c r="D15" s="142" t="s">
        <v>549</v>
      </c>
      <c r="E15" s="176"/>
      <c r="F15" s="142"/>
      <c r="G15" s="456" t="s">
        <v>180</v>
      </c>
      <c r="H15" s="456"/>
      <c r="I15" s="456">
        <f>IF($D$15="","",VLOOKUP($D$15,Bang_DSDV,5,0))</f>
        <v>30339</v>
      </c>
      <c r="J15" s="456"/>
      <c r="K15" s="456"/>
      <c r="L15" s="456"/>
      <c r="M15" s="456"/>
      <c r="N15" s="456"/>
      <c r="O15" s="255"/>
      <c r="P15" s="255"/>
      <c r="Q15" s="255"/>
      <c r="R15" s="255"/>
    </row>
    <row r="16" spans="1:21" s="8" customFormat="1" ht="18" customHeight="1">
      <c r="B16" s="8" t="s">
        <v>253</v>
      </c>
      <c r="D16" s="169" t="str">
        <f>IF($D$15="","",VLOOKUP($D$15,Bang_DSDV,27,0))</f>
        <v>X. Thiệu Lý, H. Thiệu Hóa, T. Thanh Hóa</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P407, Nhà C4, P. Nghĩa Tân, Q. Cầu Giấy, TP. Hà Nội</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56" t="s">
        <v>183</v>
      </c>
      <c r="H18" s="456"/>
      <c r="I18" s="458" t="str">
        <f>IF($D$15="","",VLOOKUP($D$15,Bang_DSDV,19,0))</f>
        <v>Không</v>
      </c>
      <c r="J18" s="458"/>
      <c r="K18" s="458"/>
      <c r="L18" s="458"/>
      <c r="M18" s="256"/>
      <c r="N18" s="256"/>
      <c r="O18" s="256"/>
      <c r="P18" s="256"/>
      <c r="Q18" s="256"/>
      <c r="R18" s="256"/>
    </row>
    <row r="19" spans="1:18" s="8" customFormat="1" ht="18" customHeight="1">
      <c r="B19" s="8" t="s">
        <v>184</v>
      </c>
      <c r="C19" s="8" t="str">
        <f>IF($D$15="","",VLOOKUP($D$15,Bang_DSDV,3,0))</f>
        <v>3/CN</v>
      </c>
      <c r="E19" s="9"/>
      <c r="F19" s="9"/>
      <c r="G19" s="456" t="s">
        <v>185</v>
      </c>
      <c r="H19" s="456"/>
      <c r="I19" s="458" t="str">
        <f>IF($D$15="","",VLOOKUP($D$15,Bang_DSDV,13,0))</f>
        <v>Nhân viên</v>
      </c>
      <c r="J19" s="458"/>
      <c r="K19" s="458"/>
      <c r="L19" s="458"/>
      <c r="M19" s="256"/>
      <c r="N19" s="256"/>
      <c r="O19" s="256"/>
      <c r="P19" s="256"/>
      <c r="Q19" s="256"/>
      <c r="R19" s="256"/>
    </row>
    <row r="20" spans="1:18" s="8" customFormat="1" ht="18" customHeight="1">
      <c r="B20" s="8" t="s">
        <v>201</v>
      </c>
      <c r="D20" s="134"/>
      <c r="E20" s="9"/>
      <c r="F20" s="142" t="str">
        <f>IF($D$15="","",VLOOKUP($D$15,Bang_DSDV,4,0))</f>
        <v>QNCN</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SQPH</v>
      </c>
      <c r="H21" s="142"/>
      <c r="I21" s="142"/>
      <c r="J21" s="142"/>
      <c r="K21" s="142"/>
      <c r="L21" s="142"/>
      <c r="M21" s="142"/>
      <c r="N21" s="142"/>
      <c r="O21" s="142"/>
      <c r="P21" s="142"/>
      <c r="Q21" s="142"/>
      <c r="R21" s="142"/>
    </row>
    <row r="22" spans="1:18" s="8" customFormat="1" ht="18" customHeight="1">
      <c r="B22" s="8" t="s">
        <v>186</v>
      </c>
      <c r="D22" s="142" t="str">
        <f>IF($D$15="","",VLOOKUP($D$15,Bang_DSDV,14,0))</f>
        <v>Đảng viên</v>
      </c>
      <c r="E22" s="142"/>
      <c r="F22" s="142"/>
      <c r="G22" s="9"/>
      <c r="I22" s="140"/>
      <c r="J22" s="256"/>
      <c r="K22" s="256"/>
      <c r="L22" s="256"/>
      <c r="M22" s="256"/>
      <c r="N22" s="256"/>
      <c r="O22" s="256"/>
      <c r="P22" s="256"/>
      <c r="Q22" s="256"/>
      <c r="R22" s="256"/>
    </row>
    <row r="23" spans="1:18" s="8" customFormat="1" ht="18" customHeight="1">
      <c r="B23" s="8" t="s">
        <v>187</v>
      </c>
      <c r="D23" s="262">
        <f>IF($D$15="","",VLOOKUP($D$15,Bang_DSDV,6,0))</f>
        <v>38236</v>
      </c>
      <c r="E23" s="142"/>
      <c r="F23" s="242" t="s">
        <v>188</v>
      </c>
      <c r="G23" s="8" t="str">
        <f>IF($D$15="","",VLOOKUP($D$15,Bang_DSDV,7,0))</f>
        <v>dbộ, d901, e86, BCHH</v>
      </c>
    </row>
    <row r="24" spans="1:18" s="8" customFormat="1" ht="18" customHeight="1">
      <c r="B24" s="8" t="s">
        <v>189</v>
      </c>
      <c r="D24" s="262">
        <f>IF($D$15="","",VLOOKUP($D$15,Bang_DSDV,8,0))</f>
        <v>38601</v>
      </c>
      <c r="E24" s="142"/>
      <c r="F24" s="242" t="s">
        <v>188</v>
      </c>
      <c r="G24" s="8" t="str">
        <f>IF($D$15="","",VLOOKUP($D$15,Bang_DSDV,9,0))</f>
        <v>c11, dCMKT, TSQPH, BCHH</v>
      </c>
    </row>
    <row r="25" spans="1:18" s="8" customFormat="1" ht="18" customHeight="1">
      <c r="B25" s="8" t="s">
        <v>190</v>
      </c>
      <c r="D25" s="262">
        <f>IF($D$15="","",VLOOKUP($D$15,Bang_DSDV,10,0))</f>
        <v>37531</v>
      </c>
      <c r="E25" s="142"/>
      <c r="F25" s="9"/>
      <c r="G25" s="456" t="s">
        <v>191</v>
      </c>
      <c r="H25" s="456"/>
      <c r="I25" s="456"/>
      <c r="J25" s="455">
        <f>IF($D$15="","",VLOOKUP($D$15,Bang_DSDV,11,0))</f>
        <v>39083</v>
      </c>
      <c r="K25" s="455"/>
      <c r="L25" s="455"/>
      <c r="M25" s="455"/>
      <c r="N25" s="255"/>
      <c r="O25" s="255"/>
      <c r="P25" s="255"/>
      <c r="Q25" s="255"/>
      <c r="R25" s="255"/>
    </row>
    <row r="26" spans="1:18" s="8" customFormat="1" ht="18" customHeight="1">
      <c r="B26" s="8" t="s">
        <v>192</v>
      </c>
      <c r="D26" s="134"/>
      <c r="E26" s="9"/>
      <c r="F26" s="9">
        <f>IF($D$15="","",VLOOKUP($D$15,Bang_DSDV,12,0))</f>
        <v>0</v>
      </c>
      <c r="G26" s="9"/>
      <c r="I26" s="140"/>
      <c r="J26" s="256"/>
      <c r="K26" s="256"/>
      <c r="L26" s="256"/>
      <c r="M26" s="256"/>
      <c r="N26" s="256"/>
      <c r="O26" s="256"/>
      <c r="P26" s="256"/>
      <c r="Q26" s="256"/>
      <c r="R26" s="256"/>
    </row>
    <row r="27" spans="1:18" s="8" customFormat="1" ht="18" customHeight="1">
      <c r="B27" s="8" t="s">
        <v>214</v>
      </c>
      <c r="D27" s="455"/>
      <c r="E27" s="455"/>
      <c r="F27" s="9"/>
      <c r="G27" s="9"/>
      <c r="I27" s="140"/>
      <c r="J27" s="256"/>
      <c r="K27" s="256"/>
      <c r="L27" s="256"/>
      <c r="M27" s="256"/>
      <c r="N27" s="256"/>
      <c r="O27" s="256"/>
      <c r="P27" s="256"/>
      <c r="Q27" s="256"/>
      <c r="R27" s="256"/>
    </row>
    <row r="28" spans="1:18" s="8" customFormat="1" ht="18" customHeight="1">
      <c r="B28" s="136" t="s">
        <v>194</v>
      </c>
      <c r="D28" s="145" t="str">
        <f>IF($D$15="","",VLOOKUP($D$15,Bang_DSDV,20,0))</f>
        <v>12/12</v>
      </c>
      <c r="F28" s="448" t="s">
        <v>193</v>
      </c>
      <c r="G28" s="448"/>
      <c r="H28" s="448" t="str">
        <f>IF($D$15="","",VLOOKUP($D$15,Bang_DSDV,21,0))</f>
        <v>Trung cấp</v>
      </c>
      <c r="I28" s="448"/>
      <c r="J28" s="448"/>
      <c r="K28" s="448"/>
      <c r="L28" s="256"/>
      <c r="M28" s="256"/>
      <c r="N28" s="256"/>
      <c r="O28" s="256"/>
      <c r="P28" s="256"/>
      <c r="Q28" s="256"/>
      <c r="R28" s="256"/>
    </row>
    <row r="29" spans="1:18" s="8" customFormat="1" ht="18" customHeight="1">
      <c r="B29" s="136" t="s">
        <v>195</v>
      </c>
      <c r="D29" s="145" t="str">
        <f>IF($D$15="","",VLOOKUP($D$15,Bang_DSDV,24,0))</f>
        <v>Trung cấp</v>
      </c>
      <c r="E29" s="145"/>
      <c r="F29" s="476" t="s">
        <v>196</v>
      </c>
      <c r="G29" s="476"/>
      <c r="H29" s="462">
        <f>IF($D$15="","",VLOOKUP($D$15,Bang_DSDV,26,0))</f>
        <v>0</v>
      </c>
      <c r="I29" s="462"/>
      <c r="J29" s="462"/>
      <c r="K29" s="462"/>
      <c r="L29" s="145"/>
      <c r="M29" s="145"/>
      <c r="N29" s="145"/>
      <c r="O29" s="145"/>
      <c r="P29" s="145"/>
      <c r="Q29" s="145"/>
      <c r="R29" s="145"/>
    </row>
    <row r="30" spans="1:18" s="8" customFormat="1" ht="18" customHeight="1">
      <c r="B30" s="8" t="s">
        <v>197</v>
      </c>
      <c r="D30" s="134"/>
      <c r="E30" s="149">
        <f>IF($D$15="","",INDEX(DSDV!$D$7:$D$216,MATCH($D$15,DSDV!$G$7:$G$216,0)))</f>
        <v>111111</v>
      </c>
      <c r="F30" s="142"/>
      <c r="G30" s="250" t="s">
        <v>198</v>
      </c>
      <c r="I30" s="448">
        <f>IF($D$15="","",INDEX(DSDV!$E$7:$E$216,MATCH($D$15,DSDV!$G$7:$G$216,0)))</f>
        <v>22222</v>
      </c>
      <c r="J30" s="448"/>
      <c r="K30" s="448"/>
      <c r="L30" s="448"/>
      <c r="M30" s="448"/>
      <c r="N30" s="256"/>
      <c r="O30" s="256"/>
      <c r="P30" s="256"/>
      <c r="Q30" s="256"/>
      <c r="R30" s="256"/>
    </row>
    <row r="31" spans="1:18" ht="18" customHeight="1">
      <c r="A31" s="6"/>
      <c r="B31" s="458" t="s">
        <v>199</v>
      </c>
      <c r="C31" s="458"/>
      <c r="D31" s="458"/>
      <c r="E31" s="458"/>
      <c r="F31" s="458"/>
      <c r="G31" s="458"/>
      <c r="H31" s="458"/>
      <c r="I31" s="458"/>
      <c r="J31" s="256"/>
      <c r="K31" s="256"/>
      <c r="L31" s="256"/>
      <c r="M31" s="256"/>
      <c r="N31" s="256"/>
      <c r="O31" s="256"/>
      <c r="P31" s="256"/>
      <c r="Q31" s="256"/>
      <c r="R31" s="256"/>
    </row>
    <row r="32" spans="1:18" ht="7.5" customHeight="1">
      <c r="A32" s="6"/>
    </row>
    <row r="33" spans="1:18" ht="18" customHeight="1">
      <c r="A33" s="6"/>
      <c r="B33" s="449" t="s">
        <v>165</v>
      </c>
      <c r="C33" s="449"/>
      <c r="D33" s="459" t="s">
        <v>203</v>
      </c>
      <c r="E33" s="459"/>
      <c r="F33" s="459"/>
      <c r="G33" s="459"/>
      <c r="H33" s="449" t="s">
        <v>204</v>
      </c>
      <c r="I33" s="449"/>
      <c r="J33" s="449"/>
      <c r="K33" s="449"/>
      <c r="L33" s="449"/>
      <c r="M33" s="449"/>
      <c r="N33" s="449"/>
      <c r="O33" s="449"/>
      <c r="P33" s="449"/>
      <c r="Q33" s="449"/>
      <c r="R33" s="8"/>
    </row>
    <row r="34" spans="1:18" ht="18" customHeight="1">
      <c r="A34" s="6"/>
      <c r="B34" s="320" t="s">
        <v>166</v>
      </c>
      <c r="C34" s="320" t="s">
        <v>202</v>
      </c>
      <c r="D34" s="459"/>
      <c r="E34" s="459"/>
      <c r="F34" s="459"/>
      <c r="G34" s="459"/>
      <c r="H34" s="449"/>
      <c r="I34" s="449"/>
      <c r="J34" s="449"/>
      <c r="K34" s="449"/>
      <c r="L34" s="449"/>
      <c r="M34" s="449"/>
      <c r="N34" s="449"/>
      <c r="O34" s="449"/>
      <c r="P34" s="449"/>
      <c r="Q34" s="449"/>
      <c r="R34" s="8"/>
    </row>
    <row r="35" spans="1:18" ht="24.95" customHeight="1">
      <c r="A35" s="6"/>
      <c r="B35" s="321" t="s">
        <v>556</v>
      </c>
      <c r="C35" s="321" t="s">
        <v>557</v>
      </c>
      <c r="D35" s="460" t="s">
        <v>558</v>
      </c>
      <c r="E35" s="461"/>
      <c r="F35" s="461"/>
      <c r="G35" s="461"/>
      <c r="H35" s="451">
        <v>0</v>
      </c>
      <c r="I35" s="452"/>
      <c r="J35" s="452"/>
      <c r="K35" s="452"/>
      <c r="L35" s="452"/>
      <c r="M35" s="452"/>
      <c r="N35" s="452"/>
      <c r="O35" s="452"/>
      <c r="P35" s="452"/>
      <c r="Q35" s="452"/>
      <c r="R35" s="211"/>
    </row>
    <row r="36" spans="1:18" ht="24.95" customHeight="1">
      <c r="A36" s="6"/>
      <c r="B36" s="322" t="s">
        <v>559</v>
      </c>
      <c r="C36" s="322" t="s">
        <v>560</v>
      </c>
      <c r="D36" s="460" t="s">
        <v>561</v>
      </c>
      <c r="E36" s="461"/>
      <c r="F36" s="461"/>
      <c r="G36" s="461"/>
      <c r="H36" s="451">
        <v>0</v>
      </c>
      <c r="I36" s="452"/>
      <c r="J36" s="452"/>
      <c r="K36" s="452"/>
      <c r="L36" s="452"/>
      <c r="M36" s="452"/>
      <c r="N36" s="452"/>
      <c r="O36" s="452"/>
      <c r="P36" s="452"/>
      <c r="Q36" s="452"/>
      <c r="R36" s="257"/>
    </row>
    <row r="37" spans="1:18" ht="24.95" customHeight="1">
      <c r="A37" s="6"/>
      <c r="B37" s="322" t="s">
        <v>562</v>
      </c>
      <c r="C37" s="322" t="s">
        <v>563</v>
      </c>
      <c r="D37" s="460" t="s">
        <v>564</v>
      </c>
      <c r="E37" s="461"/>
      <c r="F37" s="461"/>
      <c r="G37" s="461"/>
      <c r="H37" s="451" t="s">
        <v>135</v>
      </c>
      <c r="I37" s="452"/>
      <c r="J37" s="452"/>
      <c r="K37" s="452"/>
      <c r="L37" s="452"/>
      <c r="M37" s="452"/>
      <c r="N37" s="452"/>
      <c r="O37" s="452"/>
      <c r="P37" s="452"/>
      <c r="Q37" s="452"/>
      <c r="R37" s="257"/>
    </row>
    <row r="38" spans="1:18" ht="24.95" customHeight="1">
      <c r="A38" s="6"/>
      <c r="B38" s="322" t="s">
        <v>563</v>
      </c>
      <c r="C38" s="322" t="s">
        <v>567</v>
      </c>
      <c r="D38" s="460" t="s">
        <v>568</v>
      </c>
      <c r="E38" s="461"/>
      <c r="F38" s="461"/>
      <c r="G38" s="461"/>
      <c r="H38" s="451" t="s">
        <v>135</v>
      </c>
      <c r="I38" s="452"/>
      <c r="J38" s="452"/>
      <c r="K38" s="452"/>
      <c r="L38" s="452"/>
      <c r="M38" s="452"/>
      <c r="N38" s="452"/>
      <c r="O38" s="452"/>
      <c r="P38" s="452"/>
      <c r="Q38" s="452"/>
      <c r="R38" s="257"/>
    </row>
    <row r="39" spans="1:18" ht="24.95" customHeight="1">
      <c r="A39" s="6"/>
      <c r="B39" s="322" t="s">
        <v>569</v>
      </c>
      <c r="C39" s="322" t="s">
        <v>570</v>
      </c>
      <c r="D39" s="460" t="s">
        <v>571</v>
      </c>
      <c r="E39" s="461"/>
      <c r="F39" s="461"/>
      <c r="G39" s="461"/>
      <c r="H39" s="451" t="s">
        <v>135</v>
      </c>
      <c r="I39" s="452"/>
      <c r="J39" s="452"/>
      <c r="K39" s="452"/>
      <c r="L39" s="452"/>
      <c r="M39" s="452"/>
      <c r="N39" s="452"/>
      <c r="O39" s="452"/>
      <c r="P39" s="452"/>
      <c r="Q39" s="452"/>
      <c r="R39" s="257"/>
    </row>
    <row r="40" spans="1:18" ht="24.95" customHeight="1">
      <c r="A40" s="6"/>
      <c r="B40" s="322" t="s">
        <v>572</v>
      </c>
      <c r="C40" s="322" t="s">
        <v>573</v>
      </c>
      <c r="D40" s="460" t="s">
        <v>574</v>
      </c>
      <c r="E40" s="461"/>
      <c r="F40" s="461"/>
      <c r="G40" s="461"/>
      <c r="H40" s="451" t="s">
        <v>135</v>
      </c>
      <c r="I40" s="452"/>
      <c r="J40" s="452"/>
      <c r="K40" s="452"/>
      <c r="L40" s="452"/>
      <c r="M40" s="452"/>
      <c r="N40" s="452"/>
      <c r="O40" s="452"/>
      <c r="P40" s="452"/>
      <c r="Q40" s="452"/>
      <c r="R40" s="257"/>
    </row>
    <row r="41" spans="1:18" ht="24.95" customHeight="1">
      <c r="A41" s="6"/>
      <c r="B41" s="322" t="s">
        <v>655</v>
      </c>
      <c r="C41" s="322" t="s">
        <v>656</v>
      </c>
      <c r="D41" s="460" t="s">
        <v>657</v>
      </c>
      <c r="E41" s="461"/>
      <c r="F41" s="461"/>
      <c r="G41" s="461"/>
      <c r="H41" s="451" t="s">
        <v>658</v>
      </c>
      <c r="I41" s="452"/>
      <c r="J41" s="452"/>
      <c r="K41" s="452"/>
      <c r="L41" s="452"/>
      <c r="M41" s="452"/>
      <c r="N41" s="452"/>
      <c r="O41" s="452"/>
      <c r="P41" s="452"/>
      <c r="Q41" s="452"/>
      <c r="R41" s="257"/>
    </row>
    <row r="42" spans="1:18" ht="24.95" customHeight="1">
      <c r="A42" s="6"/>
      <c r="B42" s="323"/>
      <c r="C42" s="323"/>
      <c r="D42" s="461"/>
      <c r="E42" s="461"/>
      <c r="F42" s="461"/>
      <c r="G42" s="461"/>
      <c r="H42" s="469"/>
      <c r="I42" s="469"/>
      <c r="J42" s="469"/>
      <c r="K42" s="469"/>
      <c r="L42" s="469"/>
      <c r="M42" s="469"/>
      <c r="N42" s="469"/>
      <c r="O42" s="469"/>
      <c r="P42" s="469"/>
      <c r="Q42" s="469"/>
      <c r="R42" s="257"/>
    </row>
    <row r="43" spans="1:18" ht="18" customHeight="1">
      <c r="A43" s="6"/>
      <c r="B43" s="170"/>
      <c r="C43" s="170"/>
      <c r="D43" s="133"/>
      <c r="E43" s="171"/>
      <c r="F43" s="171"/>
      <c r="G43" s="171"/>
    </row>
    <row r="44" spans="1:18" ht="18" customHeight="1">
      <c r="A44" s="6"/>
      <c r="B44" s="470" t="s">
        <v>624</v>
      </c>
      <c r="C44" s="470"/>
      <c r="D44" s="470"/>
      <c r="E44" s="470"/>
      <c r="F44" s="470"/>
      <c r="G44" s="470"/>
      <c r="H44" s="470"/>
      <c r="I44" s="470"/>
      <c r="J44" s="470"/>
      <c r="K44" s="470"/>
      <c r="L44" s="470"/>
      <c r="M44" s="470"/>
      <c r="N44" s="470"/>
      <c r="O44" s="470"/>
      <c r="P44" s="470"/>
      <c r="Q44" s="470"/>
      <c r="R44" s="253"/>
    </row>
    <row r="45" spans="1:18" ht="18" customHeight="1">
      <c r="A45" s="6"/>
      <c r="B45" s="470"/>
      <c r="C45" s="470"/>
      <c r="D45" s="470"/>
      <c r="E45" s="470"/>
      <c r="F45" s="470"/>
      <c r="G45" s="470"/>
      <c r="H45" s="470"/>
      <c r="I45" s="470"/>
      <c r="J45" s="470"/>
      <c r="K45" s="470"/>
      <c r="L45" s="470"/>
      <c r="M45" s="470"/>
      <c r="N45" s="470"/>
      <c r="O45" s="470"/>
      <c r="P45" s="470"/>
      <c r="Q45" s="470"/>
      <c r="R45" s="253"/>
    </row>
    <row r="46" spans="1:18" ht="18" customHeight="1">
      <c r="A46" s="6"/>
      <c r="B46" s="245"/>
      <c r="C46"/>
      <c r="D46"/>
      <c r="E46"/>
      <c r="F46"/>
      <c r="G46"/>
      <c r="H46"/>
    </row>
    <row r="47" spans="1:18" ht="26.25" customHeight="1">
      <c r="A47" s="6"/>
      <c r="B47" s="465" t="s">
        <v>625</v>
      </c>
      <c r="C47" s="465" t="s">
        <v>626</v>
      </c>
      <c r="D47" s="465"/>
      <c r="E47" s="465" t="s">
        <v>165</v>
      </c>
      <c r="F47" s="465"/>
      <c r="G47" s="465" t="s">
        <v>627</v>
      </c>
      <c r="H47" s="471" t="s">
        <v>628</v>
      </c>
      <c r="I47" s="471"/>
      <c r="J47" s="471"/>
      <c r="K47" s="471"/>
      <c r="L47" s="471"/>
      <c r="M47" s="471"/>
      <c r="N47" s="465" t="s">
        <v>220</v>
      </c>
      <c r="O47" s="465"/>
      <c r="P47" s="465"/>
      <c r="Q47" s="465"/>
      <c r="R47" s="246"/>
    </row>
    <row r="48" spans="1:18" ht="26.25" customHeight="1">
      <c r="A48" s="6"/>
      <c r="B48" s="465"/>
      <c r="C48" s="465"/>
      <c r="D48" s="465"/>
      <c r="E48" s="324" t="s">
        <v>166</v>
      </c>
      <c r="F48" s="324" t="s">
        <v>167</v>
      </c>
      <c r="G48" s="465"/>
      <c r="H48" s="471"/>
      <c r="I48" s="471"/>
      <c r="J48" s="471"/>
      <c r="K48" s="471"/>
      <c r="L48" s="471"/>
      <c r="M48" s="471"/>
      <c r="N48" s="465"/>
      <c r="O48" s="465"/>
      <c r="P48" s="465"/>
      <c r="Q48" s="465"/>
      <c r="R48" s="246"/>
    </row>
    <row r="49" spans="1:18" ht="18" customHeight="1">
      <c r="A49" s="6"/>
      <c r="B49" s="325" t="s">
        <v>650</v>
      </c>
      <c r="C49" s="463" t="s">
        <v>651</v>
      </c>
      <c r="D49" s="464"/>
      <c r="E49" s="326">
        <v>43832</v>
      </c>
      <c r="F49" s="326">
        <v>44209</v>
      </c>
      <c r="G49" s="325" t="s">
        <v>652</v>
      </c>
      <c r="H49" s="463" t="s">
        <v>653</v>
      </c>
      <c r="I49" s="464"/>
      <c r="J49" s="464"/>
      <c r="K49" s="464"/>
      <c r="L49" s="464"/>
      <c r="M49" s="464"/>
      <c r="N49" s="463" t="s">
        <v>654</v>
      </c>
      <c r="O49" s="464"/>
      <c r="P49" s="464"/>
      <c r="Q49" s="464"/>
      <c r="R49" s="258"/>
    </row>
    <row r="50" spans="1:18" ht="18" customHeight="1">
      <c r="A50" s="6"/>
      <c r="B50" s="325" t="s">
        <v>659</v>
      </c>
      <c r="C50" s="463" t="s">
        <v>660</v>
      </c>
      <c r="D50" s="464"/>
      <c r="E50" s="326">
        <v>43832</v>
      </c>
      <c r="F50" s="326">
        <v>44209</v>
      </c>
      <c r="G50" s="325" t="s">
        <v>652</v>
      </c>
      <c r="H50" s="463" t="s">
        <v>653</v>
      </c>
      <c r="I50" s="464"/>
      <c r="J50" s="464"/>
      <c r="K50" s="464"/>
      <c r="L50" s="464"/>
      <c r="M50" s="464"/>
      <c r="N50" s="463" t="s">
        <v>654</v>
      </c>
      <c r="O50" s="464"/>
      <c r="P50" s="464"/>
      <c r="Q50" s="464"/>
      <c r="R50" s="258"/>
    </row>
    <row r="51" spans="1:18" ht="18" customHeight="1">
      <c r="A51" s="6"/>
      <c r="B51" s="325" t="s">
        <v>659</v>
      </c>
      <c r="C51" s="463" t="s">
        <v>660</v>
      </c>
      <c r="D51" s="464"/>
      <c r="E51" s="326">
        <v>43832</v>
      </c>
      <c r="F51" s="326">
        <v>44209</v>
      </c>
      <c r="G51" s="325" t="s">
        <v>652</v>
      </c>
      <c r="H51" s="463" t="s">
        <v>653</v>
      </c>
      <c r="I51" s="464"/>
      <c r="J51" s="464"/>
      <c r="K51" s="464"/>
      <c r="L51" s="464"/>
      <c r="M51" s="464"/>
      <c r="N51" s="463" t="s">
        <v>660</v>
      </c>
      <c r="O51" s="464"/>
      <c r="P51" s="464"/>
      <c r="Q51" s="464"/>
      <c r="R51" s="258"/>
    </row>
    <row r="52" spans="1:18" ht="18" customHeight="1">
      <c r="A52" s="6"/>
      <c r="B52" s="327"/>
      <c r="C52" s="464"/>
      <c r="D52" s="464"/>
      <c r="E52" s="327"/>
      <c r="F52" s="327"/>
      <c r="G52" s="327"/>
      <c r="H52" s="464"/>
      <c r="I52" s="464"/>
      <c r="J52" s="464"/>
      <c r="K52" s="464"/>
      <c r="L52" s="464"/>
      <c r="M52" s="464"/>
      <c r="N52" s="464"/>
      <c r="O52" s="464"/>
      <c r="P52" s="464"/>
      <c r="Q52" s="464"/>
      <c r="R52" s="258"/>
    </row>
    <row r="53" spans="1:18" ht="18" customHeight="1">
      <c r="A53" s="6"/>
      <c r="B53" s="327"/>
      <c r="C53" s="464"/>
      <c r="D53" s="464"/>
      <c r="E53" s="327"/>
      <c r="F53" s="327"/>
      <c r="G53" s="327"/>
      <c r="H53" s="464"/>
      <c r="I53" s="464"/>
      <c r="J53" s="464"/>
      <c r="K53" s="464"/>
      <c r="L53" s="464"/>
      <c r="M53" s="464"/>
      <c r="N53" s="464"/>
      <c r="O53" s="464"/>
      <c r="P53" s="464"/>
      <c r="Q53" s="464"/>
      <c r="R53" s="258"/>
    </row>
    <row r="54" spans="1:18" ht="18" customHeight="1">
      <c r="A54" s="6"/>
      <c r="B54" s="327"/>
      <c r="C54" s="464"/>
      <c r="D54" s="464"/>
      <c r="E54" s="327"/>
      <c r="F54" s="327"/>
      <c r="G54" s="327"/>
      <c r="H54" s="464"/>
      <c r="I54" s="464"/>
      <c r="J54" s="464"/>
      <c r="K54" s="464"/>
      <c r="L54" s="464"/>
      <c r="M54" s="464"/>
      <c r="N54" s="464"/>
      <c r="O54" s="464"/>
      <c r="P54" s="464"/>
      <c r="Q54" s="464"/>
      <c r="R54" s="258"/>
    </row>
    <row r="55" spans="1:18" ht="18" customHeight="1">
      <c r="A55" s="6"/>
      <c r="B55" s="327"/>
      <c r="C55" s="464"/>
      <c r="D55" s="464"/>
      <c r="E55" s="327"/>
      <c r="F55" s="327"/>
      <c r="G55" s="327"/>
      <c r="H55" s="464"/>
      <c r="I55" s="464"/>
      <c r="J55" s="464"/>
      <c r="K55" s="464"/>
      <c r="L55" s="464"/>
      <c r="M55" s="464"/>
      <c r="N55" s="464"/>
      <c r="O55" s="464"/>
      <c r="P55" s="464"/>
      <c r="Q55" s="464"/>
      <c r="R55" s="258"/>
    </row>
    <row r="56" spans="1:18" ht="18" customHeight="1">
      <c r="A56" s="6"/>
      <c r="B56" s="327"/>
      <c r="C56" s="464"/>
      <c r="D56" s="464"/>
      <c r="E56" s="327"/>
      <c r="F56" s="327"/>
      <c r="G56" s="327"/>
      <c r="H56" s="464"/>
      <c r="I56" s="464"/>
      <c r="J56" s="464"/>
      <c r="K56" s="464"/>
      <c r="L56" s="464"/>
      <c r="M56" s="464"/>
      <c r="N56" s="464"/>
      <c r="O56" s="464"/>
      <c r="P56" s="464"/>
      <c r="Q56" s="464"/>
      <c r="R56" s="258"/>
    </row>
    <row r="57" spans="1:18" ht="18" customHeight="1">
      <c r="A57" s="6"/>
      <c r="B57" s="327"/>
      <c r="C57" s="464"/>
      <c r="D57" s="464"/>
      <c r="E57" s="327"/>
      <c r="F57" s="327"/>
      <c r="G57" s="327"/>
      <c r="H57" s="464"/>
      <c r="I57" s="464"/>
      <c r="J57" s="464"/>
      <c r="K57" s="464"/>
      <c r="L57" s="464"/>
      <c r="M57" s="464"/>
      <c r="N57" s="464"/>
      <c r="O57" s="464"/>
      <c r="P57" s="464"/>
      <c r="Q57" s="464"/>
      <c r="R57" s="258"/>
    </row>
    <row r="58" spans="1:18" ht="18" customHeight="1">
      <c r="A58" s="6"/>
      <c r="B58" s="328"/>
      <c r="C58" s="464"/>
      <c r="D58" s="464"/>
      <c r="E58" s="328"/>
      <c r="F58" s="328"/>
      <c r="G58" s="328"/>
      <c r="H58" s="464"/>
      <c r="I58" s="464"/>
      <c r="J58" s="464"/>
      <c r="K58" s="464"/>
      <c r="L58" s="464"/>
      <c r="M58" s="464"/>
      <c r="N58" s="464"/>
      <c r="O58" s="464"/>
      <c r="P58" s="464"/>
      <c r="Q58" s="464"/>
      <c r="R58" s="259"/>
    </row>
    <row r="59" spans="1:18" ht="18" customHeight="1">
      <c r="A59" s="6"/>
      <c r="B59" s="170"/>
      <c r="C59" s="170"/>
      <c r="D59" s="133"/>
      <c r="E59" s="171"/>
      <c r="F59" s="171"/>
      <c r="G59" s="171"/>
    </row>
    <row r="60" spans="1:18" ht="18" customHeight="1">
      <c r="B60" s="62" t="s">
        <v>712</v>
      </c>
      <c r="C60" s="170"/>
      <c r="D60" s="133"/>
      <c r="E60" s="171"/>
      <c r="F60" s="171"/>
      <c r="G60" s="171"/>
    </row>
    <row r="61" spans="1:18" ht="102.75" customHeight="1">
      <c r="A61" s="266"/>
      <c r="B61" s="485" t="s">
        <v>734</v>
      </c>
      <c r="C61" s="485"/>
      <c r="D61" s="485"/>
      <c r="E61" s="485"/>
      <c r="F61" s="485"/>
      <c r="G61" s="485"/>
      <c r="H61" s="485"/>
      <c r="I61" s="485"/>
      <c r="J61" s="485"/>
      <c r="K61" s="485"/>
      <c r="L61" s="485"/>
      <c r="M61" s="485"/>
      <c r="N61" s="485"/>
      <c r="O61" s="485"/>
      <c r="P61" s="485"/>
      <c r="Q61" s="485"/>
    </row>
    <row r="62" spans="1:18" ht="18" customHeight="1">
      <c r="A62" s="6"/>
      <c r="B62" s="470" t="s">
        <v>598</v>
      </c>
      <c r="C62" s="470"/>
      <c r="D62" s="470"/>
      <c r="E62" s="470"/>
      <c r="F62" s="470"/>
      <c r="G62" s="470"/>
      <c r="H62" s="470"/>
      <c r="I62" s="470"/>
      <c r="J62" s="470"/>
      <c r="K62" s="470"/>
      <c r="L62" s="470"/>
      <c r="M62" s="470"/>
      <c r="N62" s="470"/>
      <c r="O62" s="470"/>
      <c r="P62" s="470"/>
      <c r="Q62" s="470"/>
      <c r="R62" s="252"/>
    </row>
    <row r="63" spans="1:18" ht="15" customHeight="1">
      <c r="B63" s="470"/>
      <c r="C63" s="470"/>
      <c r="D63" s="470"/>
      <c r="E63" s="470"/>
      <c r="F63" s="470"/>
      <c r="G63" s="470"/>
      <c r="H63" s="470"/>
      <c r="I63" s="470"/>
      <c r="J63" s="470"/>
      <c r="K63" s="470"/>
      <c r="L63" s="470"/>
      <c r="M63" s="470"/>
      <c r="N63" s="470"/>
      <c r="O63" s="470"/>
      <c r="P63" s="470"/>
      <c r="Q63" s="470"/>
      <c r="R63" s="252"/>
    </row>
    <row r="64" spans="1:18" ht="15.75">
      <c r="B64" s="487" t="s">
        <v>593</v>
      </c>
      <c r="C64" s="487"/>
      <c r="D64" s="487"/>
      <c r="E64" s="487"/>
      <c r="F64" s="487"/>
      <c r="G64" s="487"/>
      <c r="H64" s="487"/>
      <c r="I64" s="487"/>
      <c r="J64" s="487"/>
      <c r="K64" s="487"/>
      <c r="L64" s="487"/>
      <c r="M64" s="487"/>
      <c r="N64" s="487"/>
      <c r="O64" s="487"/>
      <c r="P64" s="487"/>
      <c r="Q64" s="487"/>
      <c r="R64" s="260"/>
    </row>
    <row r="65" spans="1:25" ht="52.5" customHeight="1">
      <c r="A65" s="246"/>
      <c r="B65" s="324" t="s">
        <v>594</v>
      </c>
      <c r="C65" s="465" t="s">
        <v>595</v>
      </c>
      <c r="D65" s="465"/>
      <c r="E65" s="324" t="s">
        <v>596</v>
      </c>
      <c r="F65" s="465" t="s">
        <v>597</v>
      </c>
      <c r="G65" s="465"/>
      <c r="H65" s="465"/>
      <c r="I65" s="465"/>
      <c r="J65" s="465"/>
      <c r="K65" s="465"/>
      <c r="L65" s="465"/>
      <c r="M65" s="465"/>
      <c r="N65" s="465"/>
      <c r="O65" s="465"/>
      <c r="P65" s="465"/>
      <c r="Q65" s="465"/>
      <c r="R65" s="6"/>
    </row>
    <row r="66" spans="1:25" ht="18.75" customHeight="1">
      <c r="A66" s="247"/>
      <c r="B66" s="329" t="s">
        <v>682</v>
      </c>
      <c r="C66" s="475" t="s">
        <v>661</v>
      </c>
      <c r="D66" s="472"/>
      <c r="E66" s="329">
        <v>1999</v>
      </c>
      <c r="F66" s="466" t="s">
        <v>683</v>
      </c>
      <c r="G66" s="467"/>
      <c r="H66" s="467"/>
      <c r="I66" s="467"/>
      <c r="J66" s="467"/>
      <c r="K66" s="467"/>
      <c r="L66" s="467"/>
      <c r="M66" s="467"/>
      <c r="N66" s="467"/>
      <c r="O66" s="467"/>
      <c r="P66" s="467"/>
      <c r="Q66" s="467"/>
      <c r="R66" s="6"/>
      <c r="U66" s="308"/>
      <c r="Y66" s="308"/>
    </row>
    <row r="67" spans="1:25" ht="18.75" customHeight="1">
      <c r="A67" s="248"/>
      <c r="B67" s="329" t="s">
        <v>684</v>
      </c>
      <c r="C67" s="475" t="s">
        <v>685</v>
      </c>
      <c r="D67" s="472"/>
      <c r="E67" s="329">
        <v>1989</v>
      </c>
      <c r="F67" s="466" t="s">
        <v>686</v>
      </c>
      <c r="G67" s="467"/>
      <c r="H67" s="467"/>
      <c r="I67" s="467"/>
      <c r="J67" s="467"/>
      <c r="K67" s="467"/>
      <c r="L67" s="467"/>
      <c r="M67" s="467"/>
      <c r="N67" s="467"/>
      <c r="O67" s="467"/>
      <c r="P67" s="467"/>
      <c r="Q67" s="467"/>
      <c r="R67" s="6"/>
    </row>
    <row r="68" spans="1:25" ht="18.75" customHeight="1">
      <c r="A68" s="248"/>
      <c r="B68" s="329" t="s">
        <v>688</v>
      </c>
      <c r="C68" s="475" t="s">
        <v>687</v>
      </c>
      <c r="D68" s="472"/>
      <c r="E68" s="329">
        <v>1989</v>
      </c>
      <c r="F68" s="466" t="s">
        <v>686</v>
      </c>
      <c r="G68" s="467"/>
      <c r="H68" s="467"/>
      <c r="I68" s="467"/>
      <c r="J68" s="467"/>
      <c r="K68" s="467"/>
      <c r="L68" s="467"/>
      <c r="M68" s="467"/>
      <c r="N68" s="467"/>
      <c r="O68" s="467"/>
      <c r="P68" s="467"/>
      <c r="Q68" s="467"/>
      <c r="R68" s="6"/>
    </row>
    <row r="69" spans="1:25" ht="18.75" customHeight="1">
      <c r="A69" s="248"/>
      <c r="B69" s="329" t="s">
        <v>682</v>
      </c>
      <c r="C69" s="475" t="s">
        <v>689</v>
      </c>
      <c r="D69" s="472"/>
      <c r="E69" s="329">
        <v>1995</v>
      </c>
      <c r="F69" s="466" t="s">
        <v>690</v>
      </c>
      <c r="G69" s="467"/>
      <c r="H69" s="467"/>
      <c r="I69" s="467"/>
      <c r="J69" s="467"/>
      <c r="K69" s="467"/>
      <c r="L69" s="467"/>
      <c r="M69" s="467"/>
      <c r="N69" s="467"/>
      <c r="O69" s="467"/>
      <c r="P69" s="467"/>
      <c r="Q69" s="467"/>
      <c r="R69" s="6"/>
    </row>
    <row r="70" spans="1:25" ht="18.75" customHeight="1">
      <c r="A70" s="248"/>
      <c r="B70" s="330"/>
      <c r="C70" s="472"/>
      <c r="D70" s="472"/>
      <c r="E70" s="330"/>
      <c r="F70" s="467"/>
      <c r="G70" s="467"/>
      <c r="H70" s="467"/>
      <c r="I70" s="467"/>
      <c r="J70" s="467"/>
      <c r="K70" s="467"/>
      <c r="L70" s="467"/>
      <c r="M70" s="467"/>
      <c r="N70" s="467"/>
      <c r="O70" s="467"/>
      <c r="P70" s="467"/>
      <c r="Q70" s="467"/>
      <c r="R70" s="6"/>
    </row>
    <row r="71" spans="1:25" ht="18.75" customHeight="1">
      <c r="A71" s="248"/>
      <c r="B71" s="330"/>
      <c r="C71" s="472"/>
      <c r="D71" s="472"/>
      <c r="E71" s="330"/>
      <c r="F71" s="467"/>
      <c r="G71" s="467"/>
      <c r="H71" s="467"/>
      <c r="I71" s="467"/>
      <c r="J71" s="467"/>
      <c r="K71" s="467"/>
      <c r="L71" s="467"/>
      <c r="M71" s="467"/>
      <c r="N71" s="467"/>
      <c r="O71" s="467"/>
      <c r="P71" s="467"/>
      <c r="Q71" s="467"/>
      <c r="R71" s="6"/>
    </row>
    <row r="72" spans="1:25" ht="18.75" customHeight="1">
      <c r="A72" s="248"/>
      <c r="B72" s="330"/>
      <c r="C72" s="472"/>
      <c r="D72" s="472"/>
      <c r="E72" s="330"/>
      <c r="F72" s="467"/>
      <c r="G72" s="467"/>
      <c r="H72" s="467"/>
      <c r="I72" s="467"/>
      <c r="J72" s="467"/>
      <c r="K72" s="467"/>
      <c r="L72" s="467"/>
      <c r="M72" s="467"/>
      <c r="N72" s="467"/>
      <c r="O72" s="467"/>
      <c r="P72" s="467"/>
      <c r="Q72" s="467"/>
      <c r="R72" s="6"/>
    </row>
    <row r="73" spans="1:25" ht="18.75" customHeight="1">
      <c r="A73" s="248"/>
      <c r="B73" s="330"/>
      <c r="C73" s="472"/>
      <c r="D73" s="472"/>
      <c r="E73" s="330"/>
      <c r="F73" s="467"/>
      <c r="G73" s="467"/>
      <c r="H73" s="467"/>
      <c r="I73" s="467"/>
      <c r="J73" s="467"/>
      <c r="K73" s="467"/>
      <c r="L73" s="467"/>
      <c r="M73" s="467"/>
      <c r="N73" s="467"/>
      <c r="O73" s="467"/>
      <c r="P73" s="467"/>
      <c r="Q73" s="467"/>
      <c r="R73" s="6"/>
    </row>
    <row r="74" spans="1:25" ht="12.75" customHeight="1">
      <c r="A74" s="6"/>
      <c r="B74" s="170"/>
      <c r="C74" s="170"/>
      <c r="D74" s="133"/>
      <c r="E74" s="171"/>
      <c r="F74" s="171"/>
      <c r="G74" s="171"/>
    </row>
    <row r="75" spans="1:25" ht="15.75">
      <c r="A75" s="6"/>
      <c r="B75" s="468" t="s">
        <v>607</v>
      </c>
      <c r="C75" s="468"/>
      <c r="D75" s="468"/>
      <c r="E75" s="468"/>
      <c r="F75" s="468"/>
      <c r="G75" s="468"/>
      <c r="H75" s="468"/>
      <c r="I75" s="468"/>
      <c r="J75" s="468"/>
      <c r="K75" s="468"/>
      <c r="L75" s="468"/>
      <c r="M75" s="468"/>
      <c r="N75" s="468"/>
      <c r="O75" s="468"/>
      <c r="P75" s="468"/>
      <c r="Q75" s="468"/>
      <c r="R75" s="251"/>
    </row>
    <row r="76" spans="1:25" ht="15" customHeight="1">
      <c r="A76" s="6"/>
      <c r="B76" s="249"/>
      <c r="C76"/>
      <c r="D76"/>
      <c r="E76"/>
      <c r="F76"/>
      <c r="G76"/>
      <c r="H76"/>
      <c r="I76"/>
      <c r="J76"/>
      <c r="K76"/>
      <c r="L76"/>
      <c r="M76"/>
      <c r="N76"/>
      <c r="O76"/>
      <c r="P76"/>
      <c r="Q76"/>
      <c r="R76"/>
    </row>
    <row r="77" spans="1:25" ht="15.75" customHeight="1">
      <c r="A77" s="6"/>
      <c r="B77" s="474" t="s">
        <v>599</v>
      </c>
      <c r="C77" s="474" t="s">
        <v>600</v>
      </c>
      <c r="D77" s="474"/>
      <c r="E77" s="474"/>
      <c r="F77" s="474"/>
      <c r="G77" s="474" t="s">
        <v>601</v>
      </c>
      <c r="H77" s="474"/>
      <c r="I77" s="474"/>
      <c r="J77" s="474"/>
      <c r="K77" s="474"/>
      <c r="L77" s="474"/>
      <c r="M77" s="474"/>
      <c r="N77" s="474" t="s">
        <v>602</v>
      </c>
      <c r="O77" s="474"/>
      <c r="P77" s="474"/>
      <c r="Q77" s="474"/>
      <c r="R77" s="6"/>
    </row>
    <row r="78" spans="1:25" ht="51" customHeight="1">
      <c r="A78" s="6"/>
      <c r="B78" s="474"/>
      <c r="C78" s="331" t="s">
        <v>267</v>
      </c>
      <c r="D78" s="331" t="s">
        <v>603</v>
      </c>
      <c r="E78" s="331" t="s">
        <v>604</v>
      </c>
      <c r="F78" s="331" t="s">
        <v>135</v>
      </c>
      <c r="G78" s="474" t="s">
        <v>478</v>
      </c>
      <c r="H78" s="474"/>
      <c r="I78" s="474" t="s">
        <v>605</v>
      </c>
      <c r="J78" s="474"/>
      <c r="K78" s="474"/>
      <c r="L78" s="474"/>
      <c r="M78" s="474"/>
      <c r="N78" s="474"/>
      <c r="O78" s="474"/>
      <c r="P78" s="474"/>
      <c r="Q78" s="474"/>
      <c r="R78" s="6"/>
    </row>
    <row r="79" spans="1:25" ht="16.5" customHeight="1">
      <c r="A79" s="6"/>
      <c r="B79" s="332">
        <v>44357</v>
      </c>
      <c r="C79" s="333" t="s">
        <v>724</v>
      </c>
      <c r="D79" s="333" t="s">
        <v>723</v>
      </c>
      <c r="E79" s="333" t="s">
        <v>725</v>
      </c>
      <c r="F79" s="333" t="s">
        <v>724</v>
      </c>
      <c r="G79" s="463" t="s">
        <v>727</v>
      </c>
      <c r="H79" s="463"/>
      <c r="I79" s="463" t="s">
        <v>729</v>
      </c>
      <c r="J79" s="463"/>
      <c r="K79" s="463"/>
      <c r="L79" s="463"/>
      <c r="M79" s="463"/>
      <c r="N79" s="463"/>
      <c r="O79" s="463"/>
      <c r="P79" s="463"/>
      <c r="Q79" s="463"/>
      <c r="R79" s="6"/>
    </row>
    <row r="80" spans="1:25" ht="16.5" customHeight="1">
      <c r="A80" s="6"/>
      <c r="B80" s="332">
        <v>44357</v>
      </c>
      <c r="C80" s="333" t="s">
        <v>724</v>
      </c>
      <c r="D80" s="333" t="s">
        <v>723</v>
      </c>
      <c r="E80" s="333" t="s">
        <v>725</v>
      </c>
      <c r="F80" s="333" t="s">
        <v>724</v>
      </c>
      <c r="G80" s="463" t="s">
        <v>727</v>
      </c>
      <c r="H80" s="463"/>
      <c r="I80" s="463" t="s">
        <v>729</v>
      </c>
      <c r="J80" s="463"/>
      <c r="K80" s="463"/>
      <c r="L80" s="463"/>
      <c r="M80" s="463"/>
      <c r="N80" s="463"/>
      <c r="O80" s="463"/>
      <c r="P80" s="463"/>
      <c r="Q80" s="463"/>
      <c r="R80" s="6"/>
    </row>
    <row r="81" spans="1:18" ht="16.5" customHeight="1">
      <c r="A81" s="6"/>
      <c r="B81" s="332">
        <v>44357</v>
      </c>
      <c r="C81" s="333" t="s">
        <v>724</v>
      </c>
      <c r="D81" s="333" t="s">
        <v>723</v>
      </c>
      <c r="E81" s="333" t="s">
        <v>725</v>
      </c>
      <c r="F81" s="333" t="s">
        <v>724</v>
      </c>
      <c r="G81" s="463" t="s">
        <v>727</v>
      </c>
      <c r="H81" s="463"/>
      <c r="I81" s="463" t="s">
        <v>729</v>
      </c>
      <c r="J81" s="463"/>
      <c r="K81" s="463"/>
      <c r="L81" s="463"/>
      <c r="M81" s="463"/>
      <c r="N81" s="463"/>
      <c r="O81" s="463"/>
      <c r="P81" s="463"/>
      <c r="Q81" s="463"/>
      <c r="R81" s="6"/>
    </row>
    <row r="82" spans="1:18" ht="15.75">
      <c r="A82" s="6"/>
      <c r="B82" s="332">
        <v>44357</v>
      </c>
      <c r="C82" s="333" t="s">
        <v>724</v>
      </c>
      <c r="D82" s="333" t="s">
        <v>723</v>
      </c>
      <c r="E82" s="333" t="s">
        <v>725</v>
      </c>
      <c r="F82" s="333" t="s">
        <v>724</v>
      </c>
      <c r="G82" s="463" t="s">
        <v>727</v>
      </c>
      <c r="H82" s="464"/>
      <c r="I82" s="463" t="s">
        <v>729</v>
      </c>
      <c r="J82" s="464"/>
      <c r="K82" s="464"/>
      <c r="L82" s="464"/>
      <c r="M82" s="464"/>
      <c r="N82" s="463"/>
      <c r="O82" s="464"/>
      <c r="P82" s="464"/>
      <c r="Q82" s="464"/>
      <c r="R82" s="6"/>
    </row>
    <row r="83" spans="1:18" ht="15.75">
      <c r="A83" s="6"/>
      <c r="B83" s="414">
        <v>44357</v>
      </c>
      <c r="C83" s="328" t="s">
        <v>724</v>
      </c>
      <c r="D83" s="328" t="s">
        <v>723</v>
      </c>
      <c r="E83" s="328" t="s">
        <v>725</v>
      </c>
      <c r="F83" s="328" t="s">
        <v>724</v>
      </c>
      <c r="G83" s="464" t="s">
        <v>727</v>
      </c>
      <c r="H83" s="464"/>
      <c r="I83" s="464" t="s">
        <v>729</v>
      </c>
      <c r="J83" s="464"/>
      <c r="K83" s="464"/>
      <c r="L83" s="464"/>
      <c r="M83" s="464"/>
      <c r="N83" s="464"/>
      <c r="O83" s="464"/>
      <c r="P83" s="464"/>
      <c r="Q83" s="464"/>
      <c r="R83" s="6"/>
    </row>
    <row r="84" spans="1:18" ht="15.75">
      <c r="A84" s="6"/>
      <c r="B84" s="414">
        <v>44357</v>
      </c>
      <c r="C84" s="328" t="s">
        <v>724</v>
      </c>
      <c r="D84" s="328" t="s">
        <v>723</v>
      </c>
      <c r="E84" s="328" t="s">
        <v>725</v>
      </c>
      <c r="F84" s="328" t="s">
        <v>724</v>
      </c>
      <c r="G84" s="464" t="s">
        <v>727</v>
      </c>
      <c r="H84" s="464"/>
      <c r="I84" s="464" t="s">
        <v>729</v>
      </c>
      <c r="J84" s="464"/>
      <c r="K84" s="464"/>
      <c r="L84" s="464"/>
      <c r="M84" s="464"/>
      <c r="N84" s="464"/>
      <c r="O84" s="464"/>
      <c r="P84" s="464"/>
      <c r="Q84" s="464"/>
      <c r="R84" s="6"/>
    </row>
    <row r="85" spans="1:18" ht="15.75">
      <c r="A85" s="6"/>
      <c r="B85" s="414">
        <v>44197</v>
      </c>
      <c r="C85" s="328" t="s">
        <v>723</v>
      </c>
      <c r="D85" s="328" t="s">
        <v>723</v>
      </c>
      <c r="E85" s="328" t="s">
        <v>723</v>
      </c>
      <c r="F85" s="328" t="s">
        <v>724</v>
      </c>
      <c r="G85" s="464" t="s">
        <v>727</v>
      </c>
      <c r="H85" s="464"/>
      <c r="I85" s="464" t="s">
        <v>728</v>
      </c>
      <c r="J85" s="464"/>
      <c r="K85" s="464"/>
      <c r="L85" s="464"/>
      <c r="M85" s="464"/>
      <c r="N85" s="464"/>
      <c r="O85" s="464"/>
      <c r="P85" s="464"/>
      <c r="Q85" s="464"/>
      <c r="R85" s="6"/>
    </row>
    <row r="86" spans="1:18" ht="15.75">
      <c r="A86" s="6"/>
      <c r="B86" s="414">
        <v>44197</v>
      </c>
      <c r="C86" s="328" t="s">
        <v>723</v>
      </c>
      <c r="D86" s="328" t="s">
        <v>723</v>
      </c>
      <c r="E86" s="328" t="s">
        <v>723</v>
      </c>
      <c r="F86" s="328" t="s">
        <v>724</v>
      </c>
      <c r="G86" s="464" t="s">
        <v>727</v>
      </c>
      <c r="H86" s="464"/>
      <c r="I86" s="464" t="s">
        <v>728</v>
      </c>
      <c r="J86" s="464"/>
      <c r="K86" s="464"/>
      <c r="L86" s="464"/>
      <c r="M86" s="464"/>
      <c r="N86" s="464"/>
      <c r="O86" s="464"/>
      <c r="P86" s="464"/>
      <c r="Q86" s="464"/>
      <c r="R86" s="6"/>
    </row>
    <row r="87" spans="1:18" ht="15.75">
      <c r="A87" s="6"/>
      <c r="B87" s="328"/>
      <c r="C87" s="328"/>
      <c r="D87" s="328"/>
      <c r="E87" s="328"/>
      <c r="F87" s="328"/>
      <c r="G87" s="464"/>
      <c r="H87" s="464"/>
      <c r="I87" s="464"/>
      <c r="J87" s="464"/>
      <c r="K87" s="464"/>
      <c r="L87" s="464"/>
      <c r="M87" s="464"/>
      <c r="N87" s="464"/>
      <c r="O87" s="464"/>
      <c r="P87" s="464"/>
      <c r="Q87" s="464"/>
      <c r="R87" s="6"/>
    </row>
    <row r="88" spans="1:18" ht="15.75">
      <c r="A88" s="6"/>
      <c r="B88" s="328"/>
      <c r="C88" s="328"/>
      <c r="D88" s="328"/>
      <c r="E88" s="328"/>
      <c r="F88" s="328"/>
      <c r="G88" s="464"/>
      <c r="H88" s="464"/>
      <c r="I88" s="464"/>
      <c r="J88" s="464"/>
      <c r="K88" s="464"/>
      <c r="L88" s="464"/>
      <c r="M88" s="464"/>
      <c r="N88" s="464"/>
      <c r="O88" s="464"/>
      <c r="P88" s="464"/>
      <c r="Q88" s="464"/>
      <c r="R88" s="6"/>
    </row>
    <row r="89" spans="1:18" ht="15.75">
      <c r="A89" s="6"/>
      <c r="B89" s="328"/>
      <c r="C89" s="328"/>
      <c r="D89" s="328"/>
      <c r="E89" s="328"/>
      <c r="F89" s="328"/>
      <c r="G89" s="464"/>
      <c r="H89" s="464"/>
      <c r="I89" s="464"/>
      <c r="J89" s="464"/>
      <c r="K89" s="464"/>
      <c r="L89" s="464"/>
      <c r="M89" s="464"/>
      <c r="N89" s="464"/>
      <c r="O89" s="464"/>
      <c r="P89" s="464"/>
      <c r="Q89" s="464"/>
      <c r="R89" s="261"/>
    </row>
    <row r="90" spans="1:18" ht="33" customHeight="1">
      <c r="A90" s="6"/>
      <c r="B90" s="479" t="s">
        <v>606</v>
      </c>
      <c r="C90" s="479"/>
      <c r="D90" s="479"/>
      <c r="E90" s="479"/>
      <c r="F90" s="479"/>
      <c r="G90" s="479"/>
      <c r="H90" s="479"/>
      <c r="I90" s="479"/>
      <c r="J90" s="479"/>
      <c r="K90" s="479"/>
      <c r="L90" s="479"/>
      <c r="M90" s="479"/>
      <c r="N90" s="479"/>
      <c r="O90" s="479"/>
      <c r="P90" s="479"/>
      <c r="Q90" s="479"/>
      <c r="R90" s="479"/>
    </row>
    <row r="91" spans="1:18">
      <c r="A91" s="6"/>
      <c r="B91" s="170"/>
      <c r="C91" s="170"/>
      <c r="D91" s="133"/>
      <c r="E91" s="171"/>
      <c r="F91" s="483" t="s">
        <v>634</v>
      </c>
      <c r="G91" s="483"/>
      <c r="H91" s="483"/>
      <c r="I91" s="483"/>
      <c r="J91" s="483"/>
      <c r="K91" s="483"/>
      <c r="L91" s="483"/>
      <c r="M91" s="483"/>
      <c r="N91" s="483"/>
      <c r="O91" s="483"/>
      <c r="P91" s="483"/>
      <c r="Q91" s="483"/>
    </row>
    <row r="92" spans="1:18" ht="15" customHeight="1">
      <c r="A92" s="6"/>
      <c r="B92" s="481" t="s">
        <v>629</v>
      </c>
      <c r="C92" s="481"/>
      <c r="D92" s="486" t="s">
        <v>632</v>
      </c>
      <c r="E92" s="486"/>
      <c r="F92" s="486"/>
      <c r="G92" s="486"/>
      <c r="H92" s="457" t="s">
        <v>633</v>
      </c>
      <c r="I92" s="457"/>
      <c r="J92" s="457"/>
      <c r="K92" s="457"/>
      <c r="L92" s="457"/>
      <c r="M92" s="457"/>
      <c r="N92" s="457"/>
      <c r="O92" s="457"/>
      <c r="P92" s="457"/>
      <c r="Q92" s="457"/>
      <c r="R92" s="263"/>
    </row>
    <row r="93" spans="1:18" ht="13.5" customHeight="1">
      <c r="A93" s="6"/>
      <c r="B93" s="482" t="s">
        <v>630</v>
      </c>
      <c r="C93" s="482"/>
      <c r="D93" s="484" t="s">
        <v>667</v>
      </c>
      <c r="E93" s="484"/>
      <c r="F93" s="484"/>
      <c r="G93" s="484"/>
      <c r="H93" s="480" t="s">
        <v>637</v>
      </c>
      <c r="I93" s="480"/>
      <c r="J93" s="480"/>
      <c r="K93" s="480"/>
      <c r="L93" s="480"/>
      <c r="M93" s="480"/>
      <c r="N93" s="480"/>
      <c r="O93" s="480"/>
      <c r="P93" s="480"/>
      <c r="Q93" s="480"/>
    </row>
    <row r="94" spans="1:18" ht="13.5" customHeight="1">
      <c r="A94" s="6"/>
      <c r="B94" s="482"/>
      <c r="C94" s="482"/>
      <c r="D94" s="484" t="s">
        <v>667</v>
      </c>
      <c r="E94" s="484"/>
      <c r="F94" s="484"/>
      <c r="G94" s="484"/>
    </row>
    <row r="95" spans="1:18" ht="13.5" customHeight="1">
      <c r="A95" s="6"/>
      <c r="B95" s="477" t="s">
        <v>631</v>
      </c>
      <c r="C95" s="477"/>
      <c r="D95" s="477" t="s">
        <v>631</v>
      </c>
      <c r="E95" s="477"/>
      <c r="F95" s="477"/>
      <c r="G95" s="477"/>
    </row>
    <row r="96" spans="1:18" ht="15" customHeight="1">
      <c r="A96" s="6"/>
      <c r="B96" s="478" t="s">
        <v>635</v>
      </c>
      <c r="C96" s="478"/>
      <c r="D96" s="478" t="s">
        <v>636</v>
      </c>
      <c r="E96" s="478"/>
      <c r="F96" s="478"/>
      <c r="G96" s="478"/>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6">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58:M58"/>
    <mergeCell ref="N47:Q48"/>
    <mergeCell ref="N49:Q49"/>
    <mergeCell ref="H49:M49"/>
    <mergeCell ref="H53:M53"/>
    <mergeCell ref="H54:M54"/>
    <mergeCell ref="H50:M50"/>
    <mergeCell ref="H51:M51"/>
    <mergeCell ref="H52:M52"/>
    <mergeCell ref="N50:Q50"/>
    <mergeCell ref="N51:Q51"/>
    <mergeCell ref="N52:Q52"/>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D11" sqref="D1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89" t="s">
        <v>247</v>
      </c>
      <c r="B1" s="489"/>
      <c r="C1" s="489"/>
    </row>
    <row r="2" spans="1:7" ht="18" customHeight="1">
      <c r="A2" s="492" t="s">
        <v>222</v>
      </c>
      <c r="B2" s="492" t="s">
        <v>217</v>
      </c>
      <c r="C2" s="492" t="s">
        <v>221</v>
      </c>
    </row>
    <row r="3" spans="1:7" ht="22.5" customHeight="1">
      <c r="A3" s="492"/>
      <c r="B3" s="492"/>
      <c r="C3" s="492"/>
      <c r="F3" s="305" t="s">
        <v>526</v>
      </c>
      <c r="G3" s="306" t="s">
        <v>511</v>
      </c>
    </row>
    <row r="4" spans="1:7" ht="19.899999999999999" customHeight="1">
      <c r="A4" s="490" t="s">
        <v>10</v>
      </c>
      <c r="B4" s="334" t="s">
        <v>218</v>
      </c>
      <c r="C4" s="335">
        <f>C5+C6</f>
        <v>2</v>
      </c>
    </row>
    <row r="5" spans="1:7" ht="19.899999999999999" customHeight="1">
      <c r="A5" s="490"/>
      <c r="B5" s="334" t="s">
        <v>6</v>
      </c>
      <c r="C5" s="335">
        <f>IF(G3&lt;&gt;"",COUNTIFS(DSDV!$H$7:$H$216,ThietLap!$C$9,DSDV!$W$7:$W$216,G3),COUNTIFS(DSDV!$H$7:$H$216,ThietLap!$C$9))</f>
        <v>1</v>
      </c>
    </row>
    <row r="6" spans="1:7" ht="19.899999999999999" customHeight="1">
      <c r="A6" s="490"/>
      <c r="B6" s="334" t="s">
        <v>7</v>
      </c>
      <c r="C6" s="335">
        <f>IF(G3&lt;&gt;"",COUNTIFS(DSDV!$H$7:$H$216,ThietLap!$C$10,DSDV!$W$7:$W$216,G3),COUNTIFS(DSDV!$H$7:$H$216,ThietLap!$C$9))</f>
        <v>1</v>
      </c>
    </row>
    <row r="7" spans="1:7" ht="18" customHeight="1">
      <c r="A7" s="493" t="s">
        <v>95</v>
      </c>
      <c r="B7" s="336" t="s">
        <v>219</v>
      </c>
      <c r="C7" s="337">
        <f>IF(G3&lt;&gt;"",COUNTIFS(DSDV!$X$7:$X$216,ThietLap!$S$2,DSDV!$W$7:$W$216,G3),COUNTIFS(DSDV!$X$7:$X$216,ThietLap!$S$2))</f>
        <v>2</v>
      </c>
    </row>
    <row r="8" spans="1:7" ht="18" customHeight="1">
      <c r="A8" s="493"/>
      <c r="B8" s="336" t="s">
        <v>161</v>
      </c>
      <c r="C8" s="337">
        <f>IF(G3&lt;&gt;"",COUNTIFS(DSDV!$X$7:$X$216,"&lt;&gt;"&amp;"",DSDV!$W$7:$W$216,G3),COUNTIFS(DSDV!$X$7:$X$216,"&lt;&gt;"&amp;""))-C7</f>
        <v>0</v>
      </c>
    </row>
    <row r="9" spans="1:7" ht="19.899999999999999" customHeight="1">
      <c r="A9" s="494" t="s">
        <v>220</v>
      </c>
      <c r="B9" s="338" t="s">
        <v>148</v>
      </c>
      <c r="C9" s="339">
        <f>IF(G3&lt;&gt;"",COUNTIFS(DSDV!$AC$7:$AC$216,ThietLap!$H$9,DSDV!$W$7:$W$216,G3),COUNTIFS(DSDV!$AC$7:$AC$216,ThietLap!$H$9))</f>
        <v>0</v>
      </c>
    </row>
    <row r="10" spans="1:7" ht="19.899999999999999" customHeight="1">
      <c r="A10" s="494"/>
      <c r="B10" s="338" t="s">
        <v>15</v>
      </c>
      <c r="C10" s="339">
        <f>IF(G3&lt;&gt;"",COUNTIFS(DSDV!$AC$7:$AC$216,ThietLap!$H$10,DSDV!$W$7:$W$216,G3),COUNTIFS(DSDV!$AC$7:$AC$216,ThietLap!$H$10))</f>
        <v>0</v>
      </c>
    </row>
    <row r="11" spans="1:7" ht="19.899999999999999" customHeight="1">
      <c r="A11" s="494"/>
      <c r="B11" s="338" t="s">
        <v>149</v>
      </c>
      <c r="C11" s="339">
        <f>IF(G3&lt;&gt;"",COUNTIFS(DSDV!$AC$7:$AC$216,ThietLap!$H$11,DSDV!$W$7:$W$216,G3),COUNTIFS(DSDV!$AC$7:$AC$216,ThietLap!$H$11))</f>
        <v>2</v>
      </c>
    </row>
    <row r="12" spans="1:7" ht="19.899999999999999" customHeight="1">
      <c r="A12" s="494"/>
      <c r="B12" s="338" t="s">
        <v>150</v>
      </c>
      <c r="C12" s="339">
        <f>IF(G3&lt;&gt;"",COUNTIFS(DSDV!$AC$7:$AC$216,ThietLap!$H$12,DSDV!$W$7:$W$216,G3),COUNTIFS(DSDV!$AC$7:$AC$216,ThietLap!$H$12))</f>
        <v>0</v>
      </c>
    </row>
    <row r="13" spans="1:7" ht="19.899999999999999" customHeight="1">
      <c r="A13" s="491" t="s">
        <v>112</v>
      </c>
      <c r="B13" s="340" t="s">
        <v>113</v>
      </c>
      <c r="C13" s="341">
        <f>IF(G3&lt;&gt;"",COUNTIFS(DSDV!$I$7:$I$216,ThietLap!$U$2,DSDV!$W$7:$W$216,G3),COUNTIFS(DSDV!$I$7:$I$216,ThietLap!$U$2))</f>
        <v>0</v>
      </c>
    </row>
    <row r="14" spans="1:7" ht="19.899999999999999" customHeight="1">
      <c r="A14" s="491"/>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1"/>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1"/>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495" t="s">
        <v>119</v>
      </c>
      <c r="B17" s="342" t="s">
        <v>127</v>
      </c>
      <c r="C17" s="343">
        <f>IF(G3&lt;&gt;"",COUNTIFS(DSDV!$AF$7:$AF$216,ThietLap!$E$9,DSDV!$W$7:$W$216,G3),COUNTIFS(DSDV!$AF$7:$AF$216,ThietLap!$E$9))</f>
        <v>0</v>
      </c>
    </row>
    <row r="18" spans="1:3" ht="19.899999999999999" customHeight="1">
      <c r="A18" s="495"/>
      <c r="B18" s="342" t="s">
        <v>128</v>
      </c>
      <c r="C18" s="343">
        <f>IF(G3&lt;&gt;"",COUNTIFS(DSDV!$AF$7:$AF$216,ThietLap!$E$10,DSDV!$W$7:$W$216,G3),COUNTIFS(DSDV!$AF$7:$AF$216,ThietLap!$E$10))</f>
        <v>0</v>
      </c>
    </row>
    <row r="19" spans="1:3" ht="19.899999999999999" customHeight="1">
      <c r="A19" s="495"/>
      <c r="B19" s="342" t="s">
        <v>129</v>
      </c>
      <c r="C19" s="343">
        <f>IF(G3&lt;&gt;"",COUNTIFS(DSDV!$AF$7:$AF$216,ThietLap!$E$11,DSDV!$W$7:$W$216,G3),COUNTIFS(DSDV!$AF$7:$AF$216,ThietLap!$E$11))</f>
        <v>0</v>
      </c>
    </row>
    <row r="20" spans="1:3" ht="19.899999999999999" customHeight="1">
      <c r="A20" s="495"/>
      <c r="B20" s="342" t="s">
        <v>130</v>
      </c>
      <c r="C20" s="343">
        <f>IF(G2&lt;&gt;"",COUNTIFS(DSDV!$AF$7:$AF$216,ThietLap!$E$12,DSDV!$W$7:$W$216,G2),COUNTIFS(DSDV!$AF$7:$AF$216,ThietLap!$E$12))</f>
        <v>0</v>
      </c>
    </row>
    <row r="21" spans="1:3" ht="19.899999999999999" customHeight="1">
      <c r="A21" s="495"/>
      <c r="B21" s="342" t="s">
        <v>161</v>
      </c>
      <c r="C21" s="343">
        <f>IF(G3&lt;&gt;"",COUNTIFS(DSDV!$AF$7:$AF$216,ThietLap!$E$12,DSDV!$W$7:$W$216,G3),COUNTIFS(DSDV!$AF$7:$AF$216,ThietLap!$E$12))</f>
        <v>0</v>
      </c>
    </row>
    <row r="22" spans="1:3" ht="19.899999999999999" customHeight="1">
      <c r="A22" s="496" t="s">
        <v>231</v>
      </c>
      <c r="B22" s="344" t="s">
        <v>234</v>
      </c>
      <c r="C22" s="345">
        <f ca="1">IF(G3&lt;&gt;"",COUNTIFS(DSDV!$AK$7:$AK$216,"&gt;="&amp;12,DSDV!$W$7:$W$216,G3),COUNTIFS(DSDV!$AK$7:$AK$216,"&gt;="&amp;12))-IF(G3&lt;&gt;"",COUNTIFS(DSDV!$AK$7:$AK$216,"&gt;"&amp;24,DSDV!$W$7:$W$216,G3),COUNTIFS(DSDV!$AK$7:$AK$216,"&gt;"&amp;24))</f>
        <v>0</v>
      </c>
    </row>
    <row r="23" spans="1:3" ht="19.899999999999999" customHeight="1">
      <c r="A23" s="496"/>
      <c r="B23" s="344" t="s">
        <v>235</v>
      </c>
      <c r="C23" s="345">
        <f ca="1">IF(G3&lt;&gt;"",COUNTIFS(DSDV!$AK$7:$AK$216,"&gt;"&amp;24,DSDV!$W$7:$W$216,G3),COUNTIFS(DSDV!$AK$7:$AK$216,"&gt;"&amp;24))-IF(G3&lt;&gt;"",COUNTIFS(DSDV!$AK$7:$AK$216,"&gt;"&amp;36,DSDV!$W$7:$W$216,G3),COUNTIFS(DSDV!$AK$7:$AK$216,"&gt;"&amp;36))</f>
        <v>0</v>
      </c>
    </row>
    <row r="24" spans="1:3" ht="19.899999999999999" customHeight="1">
      <c r="A24" s="496"/>
      <c r="B24" s="344" t="s">
        <v>232</v>
      </c>
      <c r="C24" s="345">
        <f ca="1">IF(G3&lt;&gt;"",COUNTIFS(DSDV!$AK$7:$AK$216,"&gt;"&amp;36,DSDV!$W$7:$W$216,G3),COUNTIFS(DSDV!$AK$7:$AK$216,"&gt;"&amp;36))</f>
        <v>1</v>
      </c>
    </row>
    <row r="25" spans="1:3" ht="19.899999999999999" customHeight="1">
      <c r="A25" s="497" t="s">
        <v>118</v>
      </c>
      <c r="B25" s="346" t="s">
        <v>120</v>
      </c>
      <c r="C25" s="347">
        <f>COUNTIFS(DSDV!$J$7:$J$216,B25,DSDV!$W$7:$W$216,$G$3)</f>
        <v>0</v>
      </c>
    </row>
    <row r="26" spans="1:3" ht="19.899999999999999" customHeight="1">
      <c r="A26" s="497"/>
      <c r="B26" s="346" t="s">
        <v>121</v>
      </c>
      <c r="C26" s="347">
        <f>COUNTIFS(DSDV!$J$7:$J$216,B26,DSDV!$W$7:$W$216,$G$3)</f>
        <v>1</v>
      </c>
    </row>
    <row r="27" spans="1:3" ht="19.899999999999999" customHeight="1">
      <c r="A27" s="497"/>
      <c r="B27" s="346" t="s">
        <v>122</v>
      </c>
      <c r="C27" s="347">
        <f>COUNTIFS(DSDV!$J$7:$J$216,B27,DSDV!$W$7:$W$216,$G$3)</f>
        <v>0</v>
      </c>
    </row>
    <row r="28" spans="1:3" ht="19.899999999999999" customHeight="1">
      <c r="A28" s="497"/>
      <c r="B28" s="346" t="s">
        <v>123</v>
      </c>
      <c r="C28" s="347">
        <f>COUNTIFS(DSDV!$J$7:$J$216,B28,DSDV!$W$7:$W$216,$G$3)</f>
        <v>0</v>
      </c>
    </row>
    <row r="29" spans="1:3" ht="19.899999999999999" customHeight="1">
      <c r="A29" s="497"/>
      <c r="B29" s="346" t="s">
        <v>124</v>
      </c>
      <c r="C29" s="347">
        <f>COUNTIFS(DSDV!$J$7:$J$216,B29,DSDV!$W$7:$W$216,$G$3)</f>
        <v>0</v>
      </c>
    </row>
    <row r="30" spans="1:3" ht="19.899999999999999" customHeight="1">
      <c r="A30" s="497"/>
      <c r="B30" s="346" t="s">
        <v>731</v>
      </c>
      <c r="C30" s="347">
        <f>COUNTIFS(DSDV!$J$7:$J$216,B30,DSDV!$W$7:$W$216,$G$3)</f>
        <v>1</v>
      </c>
    </row>
    <row r="31" spans="1:3" ht="19.899999999999999" customHeight="1">
      <c r="A31" s="497"/>
      <c r="B31" s="346" t="s">
        <v>125</v>
      </c>
      <c r="C31" s="347">
        <f>COUNTIFS(DSDV!$J$7:$J$216,B31,DSDV!$W$7:$W$216,$G$3)</f>
        <v>0</v>
      </c>
    </row>
    <row r="32" spans="1:3" ht="19.899999999999999" customHeight="1">
      <c r="A32" s="498" t="s">
        <v>237</v>
      </c>
      <c r="B32" s="348" t="s">
        <v>15</v>
      </c>
      <c r="C32" s="349">
        <f>IF(G3&lt;&gt;"",COUNTIFS(DSDV!$AB$7:$AB$216,ThietLap!$G$13,DSDV!$W$7:$W$216,G3),COUNTIFS(DSDV!$AB$7:$AB$216,ThietLap!$G$13))</f>
        <v>2</v>
      </c>
    </row>
    <row r="33" spans="1:3" ht="19.899999999999999" customHeight="1">
      <c r="A33" s="498"/>
      <c r="B33" s="348" t="s">
        <v>153</v>
      </c>
      <c r="C33" s="349">
        <f>IF(G3&lt;&gt;"",COUNTIFS(DSDV!$AB$7:$AB$216,ThietLap!$G$12,DSDV!$W$7:$W$216,G3),COUNTIFS(DSDV!$AB$7:$AB$216,ThietLap!$G$12))</f>
        <v>0</v>
      </c>
    </row>
    <row r="34" spans="1:3" ht="19.899999999999999" customHeight="1">
      <c r="A34" s="498"/>
      <c r="B34" s="348" t="s">
        <v>4</v>
      </c>
      <c r="C34" s="349">
        <f>IF(G3&lt;&gt;"",COUNTIFS(DSDV!$AB$7:$AB$216,ThietLap!$G$11,DSDV!$W$7:$W$216,G3),COUNTIFS(DSDV!$AB$7:$AB$216,ThietLap!$G$11))</f>
        <v>0</v>
      </c>
    </row>
    <row r="35" spans="1:3" ht="19.899999999999999" customHeight="1">
      <c r="A35" s="498"/>
      <c r="B35" s="348" t="s">
        <v>152</v>
      </c>
      <c r="C35" s="349">
        <f>IF(G3&lt;&gt;"",COUNTIFS(DSDV!$AB$7:$AB$216,ThietLap!$G$10,DSDV!$W$7:$W$216,G3),COUNTIFS(DSDV!$AB$7:$AB$216,ThietLap!$G$10))</f>
        <v>0</v>
      </c>
    </row>
    <row r="36" spans="1:3" ht="19.899999999999999" customHeight="1">
      <c r="A36" s="498"/>
      <c r="B36" s="348" t="s">
        <v>151</v>
      </c>
      <c r="C36" s="349">
        <f>IF(G3&lt;&gt;"",COUNTIFS(DSDV!$AB$7:$AB$216,ThietLap!$G$9,DSDV!$W$7:$W$216,G3),COUNTIFS(DSDV!$AB$7:$AB$216,ThietLap!$G$9))</f>
        <v>0</v>
      </c>
    </row>
    <row r="37" spans="1:3" ht="19.899999999999999" customHeight="1">
      <c r="A37" s="491" t="s">
        <v>239</v>
      </c>
      <c r="B37" s="340" t="s">
        <v>240</v>
      </c>
      <c r="C37" s="341">
        <f ca="1">IF(G3&lt;&gt;"",COUNTIFS(DSDV!$AJ$7:$AJ$216,"&lt;="&amp;30,DSDV!$AJ$7:$AJ$216,"&gt;="&amp;18,DSDV!$W$7:$W$216,G3),COUNTIFS(DSDV!$AJ$7:$AJ$216,"&lt;="&amp;30,DSDV!$AJ$7:$AJ$216,"&gt;="&amp;18))</f>
        <v>0</v>
      </c>
    </row>
    <row r="38" spans="1:3" ht="19.899999999999999" customHeight="1">
      <c r="A38" s="491"/>
      <c r="B38" s="340" t="s">
        <v>241</v>
      </c>
      <c r="C38" s="341">
        <f ca="1">IF(G3&lt;&gt;"",COUNTIFS(DSDV!$AJ$7:$AJ$216,"&lt;="&amp;35,DSDV!$AJ$7:$AJ$216,"&gt;="&amp;31,DSDV!$W$7:$W$216,G3),COUNTIFS(DSDV!$AJ$7:$AJ$216,"&lt;="&amp;35,DSDV!$AJ$7:$AJ$216,"&gt;="&amp;31))</f>
        <v>0</v>
      </c>
    </row>
    <row r="39" spans="1:3" ht="19.899999999999999" customHeight="1">
      <c r="A39" s="491"/>
      <c r="B39" s="340" t="s">
        <v>242</v>
      </c>
      <c r="C39" s="341">
        <f ca="1">IF(G3&lt;&gt;"",COUNTIFS(DSDV!$AJ$7:$AJ$216,"&lt;="&amp;40,DSDV!$AJ$7:$AJ$216,"&gt;="&amp;36,DSDV!$W$7:$W$216,G3),COUNTIFS(DSDV!$AJ$7:$AJ$216,"&lt;="&amp;40,DSDV!$AJ$7:$AJ$216,"&gt;="&amp;36))</f>
        <v>1</v>
      </c>
    </row>
    <row r="40" spans="1:3" ht="19.899999999999999" customHeight="1">
      <c r="A40" s="491"/>
      <c r="B40" s="340" t="s">
        <v>243</v>
      </c>
      <c r="C40" s="341">
        <f ca="1">IF(G3&lt;&gt;"",COUNTIFS(DSDV!$AJ$7:$AJ$216,"&lt;="&amp;45,DSDV!$AJ$7:$AJ$216,"&gt;="&amp;41,DSDV!$W$7:$W$216,G3),COUNTIFS(DSDV!$AJ$7:$AJ$216,"&lt;="&amp;45,DSDV!$AJ$7:$AJ$216,"&gt;="&amp;41))</f>
        <v>0</v>
      </c>
    </row>
    <row r="41" spans="1:3" ht="19.899999999999999" customHeight="1">
      <c r="A41" s="491"/>
      <c r="B41" s="340" t="s">
        <v>244</v>
      </c>
      <c r="C41" s="341">
        <f ca="1">IF(G3&lt;&gt;"",COUNTIFS(DSDV!$AJ$7:$AJ$216,"&lt;="&amp;50,DSDV!$AJ$7:$AJ$216,"&gt;="&amp;46,DSDV!$W$7:$W$216,G3),COUNTIFS(DSDV!$AJ$7:$AJ$216,"&lt;="&amp;50,DSDV!$AJ$7:$AJ$216,"&gt;="&amp;46))</f>
        <v>0</v>
      </c>
    </row>
    <row r="42" spans="1:3" ht="19.899999999999999" customHeight="1">
      <c r="A42" s="491"/>
      <c r="B42" s="340" t="s">
        <v>245</v>
      </c>
      <c r="C42" s="341">
        <f ca="1">IF(G3&lt;&gt;"",COUNTIFS(DSDV!$AJ$7:$AJ$216,"&lt;="&amp;55,DSDV!$AJ$7:$AJ$216,"&gt;="&amp;51,DSDV!$W$7:$W$216,G3),COUNTIFS(DSDV!$AJ$7:$AJ$216,"&lt;="&amp;55,DSDV!$AJ$7:$AJ$216,"&gt;="&amp;51))</f>
        <v>0</v>
      </c>
    </row>
    <row r="43" spans="1:3" ht="19.899999999999999" customHeight="1">
      <c r="A43" s="491"/>
      <c r="B43" s="340" t="s">
        <v>246</v>
      </c>
      <c r="C43" s="341">
        <f ca="1">(SUM(DSDV!$AJ$7:$AJ$216))/COUNTIFS(DSDV!$AJ$7:$AJ$216,"&gt;"&amp;0)</f>
        <v>38</v>
      </c>
    </row>
    <row r="44" spans="1:3" ht="19.899999999999999" customHeight="1">
      <c r="A44" s="488" t="s">
        <v>131</v>
      </c>
      <c r="B44" s="350" t="s">
        <v>491</v>
      </c>
      <c r="C44" s="347">
        <f>IF(G3&lt;&gt;"",COUNTIFS(DSDV!$T$7:$T$216,ThietLap!$F$9,DSDV!$W$7:$W$216,G3),COUNTIFS(DSDV!$T$7:$T$216,ThietLap!$F$9))</f>
        <v>0</v>
      </c>
    </row>
    <row r="45" spans="1:3" ht="19.899999999999999" customHeight="1">
      <c r="A45" s="488"/>
      <c r="B45" s="350" t="s">
        <v>492</v>
      </c>
      <c r="C45" s="347">
        <f>IF(G3&lt;&gt;"",COUNTIFS(DSDV!$T$7:$T$216,ThietLap!$F$10,DSDV!$W$7:$W$216,G3),COUNTIFS(DSDV!$T$7:$T$216,ThietLap!$F$10))</f>
        <v>0</v>
      </c>
    </row>
    <row r="46" spans="1:3" ht="19.899999999999999" customHeight="1">
      <c r="A46" s="488"/>
      <c r="B46" s="350" t="s">
        <v>134</v>
      </c>
      <c r="C46" s="347">
        <f>IF(G3&lt;&gt;"",COUNTIFS(DSDV!$T$7:$T$216,ThietLap!$F$11,DSDV!$W$7:$W$216,G3),COUNTIFS(DSDV!$T$7:$T$216,ThietLap!$F$11))</f>
        <v>0</v>
      </c>
    </row>
    <row r="47" spans="1:3" ht="19.899999999999999" customHeight="1">
      <c r="A47" s="488"/>
      <c r="B47" s="350" t="s">
        <v>133</v>
      </c>
      <c r="C47" s="347">
        <f>IF(G3&lt;&gt;"",COUNTIFS(DSDV!$T$7:$T$216,ThietLap!$F$12,DSDV!$W$7:$W$216,G3),COUNTIFS(DSDV!$T$7:$T$216,ThietLap!$F$12))</f>
        <v>0</v>
      </c>
    </row>
    <row r="48" spans="1:3" ht="19.899999999999999" customHeight="1">
      <c r="A48" s="488"/>
      <c r="B48" s="350" t="s">
        <v>493</v>
      </c>
      <c r="C48" s="347">
        <f>IF(G3&lt;&gt;"",COUNTIFS(DSDV!$T$7:$T$216,ThietLap!$F$13,DSDV!$W$7:$W$216,G3),COUNTIFS(DSDV!$T$7:$T$216,ThietLap!$F$13))</f>
        <v>0</v>
      </c>
    </row>
    <row r="49" spans="1:3" ht="19.899999999999999" customHeight="1">
      <c r="A49" s="488"/>
      <c r="B49" s="350" t="s">
        <v>135</v>
      </c>
      <c r="C49" s="347">
        <f>IF(G3&lt;&gt;"",COUNTIFS(DSDV!$T$7:$T$216,ThietLap!$F$14,DSDV!$W$7:$W$216,G3),COUNTIFS(DSDV!$T$7:$T$216,ThietLap!$F$14))</f>
        <v>2</v>
      </c>
    </row>
    <row r="50" spans="1:3" ht="16.5">
      <c r="A50" s="488"/>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99" t="s">
        <v>144</v>
      </c>
      <c r="B1" s="500"/>
      <c r="C1" s="500"/>
      <c r="D1" s="500"/>
      <c r="E1" s="500"/>
      <c r="F1" s="500"/>
      <c r="G1" s="500"/>
      <c r="H1" s="500"/>
      <c r="I1" s="500"/>
      <c r="J1" s="32"/>
      <c r="K1" s="16"/>
      <c r="L1" s="16"/>
      <c r="M1" s="16"/>
      <c r="N1" s="16"/>
      <c r="O1" s="16"/>
      <c r="P1" s="16"/>
      <c r="Q1" s="16"/>
    </row>
    <row r="2" spans="1:17" ht="6" customHeight="1">
      <c r="A2" s="508" t="s">
        <v>157</v>
      </c>
      <c r="B2" s="49"/>
      <c r="C2" s="50"/>
      <c r="D2" s="50"/>
      <c r="E2" s="50"/>
      <c r="F2" s="50"/>
      <c r="G2" s="50"/>
      <c r="H2" s="50"/>
      <c r="I2" s="51"/>
      <c r="J2" s="32"/>
      <c r="K2" s="16"/>
      <c r="L2" s="16"/>
      <c r="M2" s="16"/>
      <c r="N2" s="16"/>
      <c r="O2" s="16"/>
      <c r="P2" s="16"/>
      <c r="Q2" s="16"/>
    </row>
    <row r="3" spans="1:17" ht="22.35" customHeight="1">
      <c r="A3" s="509"/>
      <c r="B3" s="52" t="s">
        <v>155</v>
      </c>
      <c r="C3" s="512"/>
      <c r="D3" s="513"/>
      <c r="E3" s="514" t="s">
        <v>158</v>
      </c>
      <c r="F3" s="515"/>
      <c r="G3" s="516"/>
      <c r="H3" s="517"/>
      <c r="I3" s="53"/>
      <c r="J3" s="32"/>
      <c r="K3" s="16"/>
      <c r="L3" s="16"/>
      <c r="M3" s="16"/>
      <c r="N3" s="16"/>
      <c r="O3" s="16"/>
      <c r="P3" s="16"/>
      <c r="Q3" s="16"/>
    </row>
    <row r="4" spans="1:17" ht="6" customHeight="1">
      <c r="A4" s="510"/>
      <c r="B4" s="108"/>
      <c r="C4" s="54"/>
      <c r="D4" s="54"/>
      <c r="E4" s="107"/>
      <c r="F4" s="107"/>
      <c r="G4" s="54"/>
      <c r="H4" s="54"/>
      <c r="I4" s="53"/>
      <c r="J4" s="32"/>
      <c r="K4" s="16"/>
      <c r="L4" s="16"/>
      <c r="M4" s="16"/>
      <c r="N4" s="16"/>
      <c r="O4" s="16"/>
      <c r="P4" s="16"/>
      <c r="Q4" s="16"/>
    </row>
    <row r="5" spans="1:17" ht="22.35" customHeight="1">
      <c r="A5" s="509"/>
      <c r="B5" s="52" t="s">
        <v>156</v>
      </c>
      <c r="C5" s="512"/>
      <c r="D5" s="513"/>
      <c r="E5" s="514" t="s">
        <v>159</v>
      </c>
      <c r="F5" s="515"/>
      <c r="G5" s="516"/>
      <c r="H5" s="517"/>
      <c r="I5" s="53"/>
      <c r="J5" s="32"/>
      <c r="K5" s="16"/>
      <c r="L5" s="16"/>
      <c r="M5" s="16"/>
      <c r="N5" s="16"/>
      <c r="O5" s="16"/>
      <c r="P5" s="16"/>
      <c r="Q5" s="16"/>
    </row>
    <row r="6" spans="1:17" ht="6" customHeight="1">
      <c r="A6" s="509"/>
      <c r="B6" s="108"/>
      <c r="C6" s="54"/>
      <c r="D6" s="107"/>
      <c r="E6" s="107"/>
      <c r="F6" s="107"/>
      <c r="G6" s="54"/>
      <c r="H6" s="54"/>
      <c r="I6" s="53"/>
      <c r="J6" s="32"/>
      <c r="K6" s="16"/>
      <c r="L6" s="16"/>
      <c r="M6" s="16"/>
      <c r="N6" s="16"/>
      <c r="O6" s="16"/>
      <c r="P6" s="16"/>
      <c r="Q6" s="16"/>
    </row>
    <row r="7" spans="1:17" ht="22.35" customHeight="1">
      <c r="A7" s="509"/>
      <c r="B7" s="52" t="s">
        <v>462</v>
      </c>
      <c r="C7" s="186" t="s">
        <v>337</v>
      </c>
      <c r="D7" s="518" t="s">
        <v>257</v>
      </c>
      <c r="E7" s="518"/>
      <c r="F7" s="518"/>
      <c r="G7" s="516" t="s">
        <v>510</v>
      </c>
      <c r="H7" s="517"/>
      <c r="I7" s="53"/>
      <c r="J7" s="32"/>
      <c r="K7" s="16"/>
      <c r="L7" s="16"/>
      <c r="M7" s="16"/>
      <c r="N7" s="16"/>
      <c r="O7" s="16"/>
      <c r="P7" s="16"/>
      <c r="Q7" s="16"/>
    </row>
    <row r="8" spans="1:17" ht="6.75" customHeight="1">
      <c r="A8" s="511"/>
      <c r="B8" s="54"/>
      <c r="C8" s="54"/>
      <c r="D8" s="54"/>
      <c r="E8" s="54"/>
      <c r="F8" s="54"/>
      <c r="G8" s="54"/>
      <c r="H8" s="54"/>
      <c r="I8" s="55"/>
      <c r="J8" s="32"/>
      <c r="K8" s="16"/>
      <c r="L8" s="16"/>
      <c r="M8" s="16"/>
      <c r="N8" s="16"/>
      <c r="O8" s="16"/>
      <c r="P8" s="16"/>
      <c r="Q8" s="16"/>
    </row>
    <row r="9" spans="1:17" ht="7.5" customHeight="1">
      <c r="A9" s="501" t="s">
        <v>19</v>
      </c>
      <c r="B9" s="33"/>
      <c r="C9" s="33"/>
      <c r="D9" s="33"/>
      <c r="E9" s="33"/>
      <c r="F9" s="33"/>
      <c r="G9" s="33"/>
      <c r="H9" s="33"/>
      <c r="I9" s="34"/>
      <c r="J9" s="32"/>
      <c r="K9" s="16"/>
      <c r="L9" s="16"/>
      <c r="M9" s="16"/>
      <c r="N9" s="16"/>
      <c r="O9" s="16"/>
      <c r="P9" s="16"/>
      <c r="Q9" s="16"/>
    </row>
    <row r="10" spans="1:17" ht="22.35" customHeight="1">
      <c r="A10" s="502"/>
      <c r="B10" s="31" t="s">
        <v>94</v>
      </c>
      <c r="C10" s="504"/>
      <c r="D10" s="504"/>
      <c r="E10" s="86" t="s">
        <v>249</v>
      </c>
      <c r="F10" s="504"/>
      <c r="G10" s="504"/>
      <c r="H10" s="88"/>
      <c r="I10" s="35"/>
      <c r="J10" s="32"/>
      <c r="K10" s="16"/>
      <c r="L10" s="16"/>
      <c r="M10" s="16"/>
      <c r="N10" s="16"/>
      <c r="O10" s="16"/>
      <c r="P10" s="16"/>
      <c r="Q10" s="16"/>
    </row>
    <row r="11" spans="1:17" ht="7.5" customHeight="1">
      <c r="A11" s="502"/>
      <c r="B11" s="36"/>
      <c r="C11" s="36"/>
      <c r="D11" s="36"/>
      <c r="E11" s="36"/>
      <c r="F11" s="36"/>
      <c r="G11" s="36"/>
      <c r="H11" s="88"/>
      <c r="I11" s="35"/>
      <c r="J11" s="32"/>
      <c r="K11" s="16"/>
      <c r="L11" s="16"/>
      <c r="M11" s="16"/>
      <c r="N11" s="16"/>
      <c r="O11" s="16"/>
      <c r="P11" s="16"/>
      <c r="Q11" s="16"/>
    </row>
    <row r="12" spans="1:17" ht="21" customHeight="1">
      <c r="A12" s="502"/>
      <c r="B12" s="31" t="s">
        <v>10</v>
      </c>
      <c r="C12" s="18" t="s">
        <v>6</v>
      </c>
      <c r="D12" s="59" t="s">
        <v>1</v>
      </c>
      <c r="E12" s="17"/>
      <c r="F12" s="86" t="s">
        <v>95</v>
      </c>
      <c r="G12" s="17"/>
      <c r="H12" s="88"/>
      <c r="I12" s="35"/>
      <c r="J12" s="32"/>
      <c r="K12" s="16"/>
      <c r="L12" s="16"/>
      <c r="M12" s="16"/>
      <c r="N12" s="16"/>
      <c r="O12" s="16"/>
      <c r="P12" s="16"/>
      <c r="Q12" s="16"/>
    </row>
    <row r="13" spans="1:17" ht="7.5" customHeight="1">
      <c r="A13" s="502"/>
      <c r="B13" s="36"/>
      <c r="C13" s="36"/>
      <c r="D13" s="36"/>
      <c r="E13" s="36"/>
      <c r="F13" s="36"/>
      <c r="G13" s="36"/>
      <c r="H13" s="36"/>
      <c r="I13" s="35"/>
      <c r="J13" s="32"/>
      <c r="K13" s="16"/>
      <c r="L13" s="16"/>
      <c r="M13" s="16"/>
      <c r="N13" s="16"/>
      <c r="O13" s="16"/>
      <c r="P13" s="16"/>
      <c r="Q13" s="16"/>
    </row>
    <row r="14" spans="1:17" ht="22.35" customHeight="1">
      <c r="A14" s="502"/>
      <c r="B14" s="31" t="s">
        <v>111</v>
      </c>
      <c r="C14" s="18"/>
      <c r="D14" s="59" t="s">
        <v>112</v>
      </c>
      <c r="E14" s="18"/>
      <c r="F14" s="31" t="s">
        <v>3</v>
      </c>
      <c r="G14" s="504"/>
      <c r="H14" s="504"/>
      <c r="I14" s="35"/>
      <c r="J14" s="32"/>
      <c r="K14" s="16"/>
      <c r="L14" s="16"/>
      <c r="M14" s="16"/>
      <c r="N14" s="16"/>
      <c r="O14" s="16"/>
      <c r="P14" s="16"/>
      <c r="Q14" s="16"/>
    </row>
    <row r="15" spans="1:17" ht="7.5" customHeight="1">
      <c r="A15" s="502"/>
      <c r="B15" s="36"/>
      <c r="C15" s="36"/>
      <c r="D15" s="36"/>
      <c r="E15" s="36"/>
      <c r="F15" s="36"/>
      <c r="G15" s="36"/>
      <c r="H15" s="36"/>
      <c r="I15" s="35"/>
      <c r="J15" s="32"/>
      <c r="K15" s="16"/>
      <c r="L15" s="16"/>
      <c r="M15" s="16"/>
      <c r="N15" s="16"/>
      <c r="O15" s="16"/>
      <c r="P15" s="16"/>
      <c r="Q15" s="16"/>
    </row>
    <row r="16" spans="1:17" ht="22.35" customHeight="1">
      <c r="A16" s="502"/>
      <c r="B16" s="87" t="s">
        <v>116</v>
      </c>
      <c r="C16" s="505"/>
      <c r="D16" s="506"/>
      <c r="E16" s="506"/>
      <c r="F16" s="506"/>
      <c r="G16" s="506"/>
      <c r="H16" s="507"/>
      <c r="I16" s="35"/>
      <c r="J16" s="32"/>
      <c r="K16" s="16"/>
      <c r="L16" s="16"/>
      <c r="M16" s="16"/>
      <c r="N16" s="16"/>
      <c r="O16" s="16"/>
      <c r="P16" s="16"/>
      <c r="Q16" s="16"/>
    </row>
    <row r="17" spans="1:17" ht="7.5" customHeight="1">
      <c r="A17" s="502"/>
      <c r="B17" s="36"/>
      <c r="C17" s="36"/>
      <c r="D17" s="36"/>
      <c r="E17" s="36"/>
      <c r="F17" s="36"/>
      <c r="G17" s="36"/>
      <c r="H17" s="36"/>
      <c r="I17" s="35"/>
      <c r="J17" s="32"/>
      <c r="K17" s="16"/>
      <c r="L17" s="16"/>
      <c r="M17" s="16"/>
      <c r="N17" s="16"/>
      <c r="O17" s="16"/>
      <c r="P17" s="16"/>
      <c r="Q17" s="16"/>
    </row>
    <row r="18" spans="1:17" ht="22.35" customHeight="1">
      <c r="A18" s="502"/>
      <c r="B18" s="31" t="s">
        <v>117</v>
      </c>
      <c r="C18" s="505"/>
      <c r="D18" s="506"/>
      <c r="E18" s="506"/>
      <c r="F18" s="506"/>
      <c r="G18" s="506"/>
      <c r="H18" s="507"/>
      <c r="I18" s="35"/>
      <c r="J18" s="32"/>
      <c r="K18" s="16"/>
      <c r="L18" s="16"/>
      <c r="M18" s="16"/>
      <c r="N18" s="16"/>
      <c r="O18" s="16"/>
      <c r="P18" s="16"/>
      <c r="Q18" s="16"/>
    </row>
    <row r="19" spans="1:17" ht="8.25" customHeight="1">
      <c r="A19" s="503"/>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21"/>
      <c r="B21" s="44" t="s">
        <v>118</v>
      </c>
      <c r="C21" s="116"/>
      <c r="D21" s="44" t="s">
        <v>119</v>
      </c>
      <c r="E21" s="116"/>
      <c r="F21" s="44" t="s">
        <v>131</v>
      </c>
      <c r="G21" s="527"/>
      <c r="H21" s="528"/>
      <c r="I21" s="45"/>
      <c r="J21" s="32"/>
      <c r="K21" s="16"/>
      <c r="L21" s="16"/>
      <c r="M21" s="16"/>
      <c r="N21" s="16"/>
      <c r="O21" s="16"/>
      <c r="P21" s="16"/>
      <c r="Q21" s="16"/>
    </row>
    <row r="22" spans="1:17" ht="6.75" customHeight="1">
      <c r="A22" s="521"/>
      <c r="B22" s="106"/>
      <c r="C22" s="105"/>
      <c r="D22" s="44"/>
      <c r="E22" s="105"/>
      <c r="F22" s="105"/>
      <c r="G22" s="44"/>
      <c r="H22" s="105"/>
      <c r="I22" s="45"/>
      <c r="J22" s="32"/>
      <c r="K22" s="16"/>
      <c r="L22" s="16"/>
      <c r="M22" s="16"/>
      <c r="N22" s="16"/>
      <c r="O22" s="16"/>
      <c r="P22" s="16"/>
      <c r="Q22" s="16"/>
    </row>
    <row r="23" spans="1:17" ht="22.35" customHeight="1">
      <c r="A23" s="521"/>
      <c r="B23" s="44" t="s">
        <v>136</v>
      </c>
      <c r="C23" s="17"/>
      <c r="D23" s="44" t="s">
        <v>137</v>
      </c>
      <c r="E23" s="505"/>
      <c r="F23" s="506"/>
      <c r="G23" s="506"/>
      <c r="H23" s="507"/>
      <c r="I23" s="45"/>
      <c r="J23" s="32"/>
      <c r="K23" s="16"/>
      <c r="L23" s="16"/>
      <c r="M23" s="16"/>
      <c r="N23" s="16"/>
      <c r="O23" s="16"/>
      <c r="P23" s="16"/>
      <c r="Q23" s="16"/>
    </row>
    <row r="24" spans="1:17" ht="7.5" customHeight="1">
      <c r="A24" s="521"/>
      <c r="B24" s="106"/>
      <c r="C24" s="105"/>
      <c r="D24" s="44"/>
      <c r="E24" s="105"/>
      <c r="F24" s="105"/>
      <c r="G24" s="44"/>
      <c r="H24" s="105"/>
      <c r="I24" s="45"/>
      <c r="J24" s="32"/>
      <c r="K24" s="16"/>
      <c r="L24" s="16"/>
      <c r="M24" s="16"/>
      <c r="N24" s="16"/>
      <c r="O24" s="16"/>
      <c r="P24" s="16"/>
      <c r="Q24" s="16"/>
    </row>
    <row r="25" spans="1:17" ht="22.35" customHeight="1">
      <c r="A25" s="521"/>
      <c r="B25" s="44" t="s">
        <v>138</v>
      </c>
      <c r="C25" s="17"/>
      <c r="D25" s="44" t="s">
        <v>137</v>
      </c>
      <c r="E25" s="505"/>
      <c r="F25" s="506"/>
      <c r="G25" s="506"/>
      <c r="H25" s="507"/>
      <c r="I25" s="45"/>
      <c r="J25" s="32"/>
      <c r="K25" s="16"/>
      <c r="L25" s="16"/>
      <c r="M25" s="16"/>
      <c r="N25" s="16"/>
      <c r="O25" s="16"/>
      <c r="P25" s="16"/>
      <c r="Q25" s="16"/>
    </row>
    <row r="26" spans="1:17" ht="6" customHeight="1">
      <c r="A26" s="521"/>
      <c r="B26" s="106"/>
      <c r="C26" s="105"/>
      <c r="D26" s="44"/>
      <c r="E26" s="105"/>
      <c r="F26" s="105"/>
      <c r="G26" s="44"/>
      <c r="H26" s="105"/>
      <c r="I26" s="45"/>
      <c r="J26" s="32"/>
      <c r="K26" s="16"/>
      <c r="L26" s="16"/>
      <c r="M26" s="16"/>
      <c r="N26" s="16"/>
      <c r="O26" s="16"/>
      <c r="P26" s="16"/>
      <c r="Q26" s="16"/>
    </row>
    <row r="27" spans="1:17" ht="22.35" customHeight="1">
      <c r="A27" s="521"/>
      <c r="B27" s="44" t="s">
        <v>139</v>
      </c>
      <c r="C27" s="17"/>
      <c r="D27" s="44" t="s">
        <v>141</v>
      </c>
      <c r="E27" s="17"/>
      <c r="F27" s="44" t="s">
        <v>140</v>
      </c>
      <c r="G27" s="519"/>
      <c r="H27" s="520"/>
      <c r="I27" s="45"/>
      <c r="J27" s="32"/>
      <c r="K27" s="16"/>
      <c r="L27" s="16"/>
      <c r="M27" s="16"/>
      <c r="N27" s="16"/>
      <c r="O27" s="16"/>
      <c r="P27" s="16"/>
      <c r="Q27" s="16"/>
    </row>
    <row r="28" spans="1:17" ht="6" customHeight="1">
      <c r="A28" s="522"/>
      <c r="B28" s="46"/>
      <c r="C28" s="47"/>
      <c r="D28" s="46"/>
      <c r="E28" s="47"/>
      <c r="F28" s="47"/>
      <c r="G28" s="46"/>
      <c r="H28" s="47"/>
      <c r="I28" s="48"/>
      <c r="J28" s="32"/>
      <c r="K28" s="16"/>
      <c r="L28" s="16"/>
      <c r="M28" s="16"/>
      <c r="N28" s="16"/>
      <c r="O28" s="16"/>
      <c r="P28" s="16"/>
      <c r="Q28" s="16"/>
    </row>
    <row r="29" spans="1:17" ht="7.5" customHeight="1">
      <c r="A29" s="508" t="s">
        <v>154</v>
      </c>
      <c r="B29" s="49"/>
      <c r="C29" s="50"/>
      <c r="D29" s="50"/>
      <c r="E29" s="50"/>
      <c r="F29" s="50"/>
      <c r="G29" s="50"/>
      <c r="H29" s="50"/>
      <c r="I29" s="51"/>
      <c r="J29" s="32"/>
      <c r="K29" s="16"/>
      <c r="L29" s="16"/>
      <c r="M29" s="16"/>
      <c r="N29" s="16"/>
      <c r="O29" s="16"/>
      <c r="P29" s="16"/>
      <c r="Q29" s="16"/>
    </row>
    <row r="30" spans="1:17" ht="22.35" customHeight="1">
      <c r="A30" s="509"/>
      <c r="B30" s="52" t="s">
        <v>142</v>
      </c>
      <c r="C30" s="525"/>
      <c r="D30" s="526"/>
      <c r="E30" s="109" t="s">
        <v>143</v>
      </c>
      <c r="F30" s="523"/>
      <c r="G30" s="529"/>
      <c r="H30" s="524"/>
      <c r="I30" s="53"/>
      <c r="J30" s="32"/>
      <c r="K30" s="16"/>
      <c r="L30" s="16"/>
      <c r="M30" s="16"/>
      <c r="N30" s="16"/>
      <c r="O30" s="16"/>
      <c r="P30" s="16"/>
      <c r="Q30" s="16"/>
    </row>
    <row r="31" spans="1:17" ht="7.5" customHeight="1">
      <c r="A31" s="510"/>
      <c r="B31" s="108"/>
      <c r="C31" s="54"/>
      <c r="D31" s="54"/>
      <c r="E31" s="107"/>
      <c r="F31" s="107"/>
      <c r="G31" s="54"/>
      <c r="H31" s="54"/>
      <c r="I31" s="53"/>
      <c r="J31" s="32"/>
      <c r="K31" s="16"/>
      <c r="L31" s="16"/>
      <c r="M31" s="16"/>
      <c r="N31" s="16"/>
      <c r="O31" s="16"/>
      <c r="P31" s="16"/>
      <c r="Q31" s="16"/>
    </row>
    <row r="32" spans="1:17" ht="22.35" customHeight="1">
      <c r="A32" s="509"/>
      <c r="B32" s="52" t="s">
        <v>145</v>
      </c>
      <c r="C32" s="512"/>
      <c r="D32" s="513"/>
      <c r="E32" s="514" t="s">
        <v>146</v>
      </c>
      <c r="F32" s="515"/>
      <c r="G32" s="523"/>
      <c r="H32" s="524"/>
      <c r="I32" s="53"/>
      <c r="J32" s="32"/>
      <c r="K32" s="16"/>
      <c r="L32" s="16"/>
      <c r="M32" s="16"/>
      <c r="N32" s="16"/>
      <c r="O32" s="16"/>
      <c r="P32" s="16"/>
      <c r="Q32" s="16"/>
    </row>
    <row r="33" spans="1:17" ht="7.5" customHeight="1">
      <c r="A33" s="509"/>
      <c r="B33" s="108"/>
      <c r="C33" s="54"/>
      <c r="D33" s="54"/>
      <c r="E33" s="107"/>
      <c r="F33" s="107"/>
      <c r="G33" s="54"/>
      <c r="H33" s="54"/>
      <c r="I33" s="53"/>
      <c r="J33" s="32"/>
      <c r="K33" s="16"/>
      <c r="L33" s="16"/>
      <c r="M33" s="16"/>
      <c r="N33" s="16"/>
      <c r="O33" s="16"/>
      <c r="P33" s="16"/>
      <c r="Q33" s="16"/>
    </row>
    <row r="34" spans="1:17" ht="22.35" customHeight="1">
      <c r="A34" s="509"/>
      <c r="B34" s="52" t="s">
        <v>471</v>
      </c>
      <c r="C34" s="505"/>
      <c r="D34" s="506"/>
      <c r="E34" s="506"/>
      <c r="F34" s="506"/>
      <c r="G34" s="506"/>
      <c r="H34" s="507"/>
      <c r="I34" s="53"/>
      <c r="J34" s="32"/>
      <c r="K34" s="16"/>
      <c r="L34" s="16"/>
      <c r="M34" s="16"/>
      <c r="N34" s="16"/>
      <c r="O34" s="16"/>
      <c r="P34" s="16"/>
      <c r="Q34" s="16"/>
    </row>
    <row r="35" spans="1:17" ht="7.5" customHeight="1">
      <c r="A35" s="511"/>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37">
        <f>DSDV!K7</f>
        <v>30339</v>
      </c>
      <c r="D2" s="238" t="str">
        <f>DSDV!W7</f>
        <v>CỤC CHÍNH TRỊ</v>
      </c>
    </row>
    <row r="3" spans="1:5">
      <c r="A3">
        <f>DSDV!B8</f>
        <v>920017</v>
      </c>
      <c r="B3" t="str">
        <f>DSDV!G8</f>
        <v>Nguyễn Khánh</v>
      </c>
      <c r="C3" s="237">
        <f>DSDV!K8</f>
        <v>30339</v>
      </c>
      <c r="D3" s="238" t="str">
        <f>DSDV!W8</f>
        <v>CỤC CHÍNH TRỊ</v>
      </c>
    </row>
    <row r="4" spans="1:5">
      <c r="A4">
        <f>DSDV!B9</f>
        <v>0</v>
      </c>
      <c r="B4">
        <f>DSDV!G9</f>
        <v>0</v>
      </c>
      <c r="C4" s="237">
        <f>DSDV!K9</f>
        <v>0</v>
      </c>
      <c r="D4" s="238">
        <f>DSDV!W9</f>
        <v>0</v>
      </c>
    </row>
    <row r="5" spans="1:5">
      <c r="A5">
        <f>DSDV!B10</f>
        <v>0</v>
      </c>
      <c r="B5">
        <f>DSDV!G10</f>
        <v>0</v>
      </c>
      <c r="C5" s="237">
        <f>DSDV!K10</f>
        <v>0</v>
      </c>
      <c r="D5" s="238">
        <f>DSDV!W10</f>
        <v>0</v>
      </c>
    </row>
    <row r="6" spans="1:5">
      <c r="A6">
        <f>DSDV!B11</f>
        <v>0</v>
      </c>
      <c r="B6">
        <f>DSDV!G11</f>
        <v>0</v>
      </c>
      <c r="C6" s="237">
        <f>DSDV!K11</f>
        <v>0</v>
      </c>
      <c r="D6" s="238">
        <f>DSDV!W11</f>
        <v>0</v>
      </c>
    </row>
    <row r="7" spans="1:5">
      <c r="A7">
        <f>DSDV!B12</f>
        <v>0</v>
      </c>
      <c r="B7">
        <f>DSDV!G12</f>
        <v>0</v>
      </c>
      <c r="C7" s="237">
        <f>DSDV!K12</f>
        <v>0</v>
      </c>
      <c r="D7" s="238">
        <f>DSDV!W12</f>
        <v>0</v>
      </c>
    </row>
    <row r="8" spans="1:5">
      <c r="A8">
        <f>DSDV!B13</f>
        <v>0</v>
      </c>
      <c r="B8">
        <f>DSDV!G13</f>
        <v>0</v>
      </c>
      <c r="C8" s="237">
        <f>DSDV!K13</f>
        <v>0</v>
      </c>
      <c r="D8" s="238">
        <f>DSDV!W13</f>
        <v>0</v>
      </c>
    </row>
    <row r="9" spans="1:5">
      <c r="A9">
        <f>DSDV!B14</f>
        <v>0</v>
      </c>
      <c r="B9">
        <f>DSDV!G14</f>
        <v>0</v>
      </c>
      <c r="C9" s="237">
        <f>DSDV!K14</f>
        <v>0</v>
      </c>
      <c r="D9" s="238">
        <f>DSDV!W14</f>
        <v>0</v>
      </c>
    </row>
    <row r="10" spans="1:5">
      <c r="A10">
        <f>DSDV!B15</f>
        <v>0</v>
      </c>
      <c r="B10">
        <f>DSDV!G15</f>
        <v>0</v>
      </c>
      <c r="C10" s="237">
        <f>DSDV!K15</f>
        <v>0</v>
      </c>
      <c r="D10" s="238">
        <f>DSDV!W15</f>
        <v>0</v>
      </c>
    </row>
    <row r="11" spans="1:5">
      <c r="A11">
        <f>DSDV!B16</f>
        <v>0</v>
      </c>
      <c r="B11">
        <f>DSDV!G16</f>
        <v>0</v>
      </c>
      <c r="C11" s="237">
        <f>DSDV!K16</f>
        <v>0</v>
      </c>
      <c r="D11" s="238">
        <f>DSDV!W16</f>
        <v>0</v>
      </c>
    </row>
    <row r="12" spans="1:5">
      <c r="A12">
        <f>DSDV!B17</f>
        <v>0</v>
      </c>
      <c r="B12">
        <f>DSDV!G17</f>
        <v>0</v>
      </c>
      <c r="C12" s="237">
        <f>DSDV!K17</f>
        <v>0</v>
      </c>
      <c r="D12" s="238">
        <f>DSDV!W17</f>
        <v>0</v>
      </c>
    </row>
    <row r="13" spans="1:5">
      <c r="A13">
        <f>DSDV!B18</f>
        <v>0</v>
      </c>
      <c r="B13">
        <f>DSDV!G18</f>
        <v>0</v>
      </c>
      <c r="C13" s="237">
        <f>DSDV!K18</f>
        <v>0</v>
      </c>
      <c r="D13" s="238">
        <f>DSDV!W18</f>
        <v>0</v>
      </c>
    </row>
    <row r="14" spans="1:5">
      <c r="A14">
        <f>DSDV!B19</f>
        <v>0</v>
      </c>
      <c r="B14">
        <f>DSDV!G19</f>
        <v>0</v>
      </c>
      <c r="C14" s="237">
        <f>DSDV!K19</f>
        <v>0</v>
      </c>
      <c r="D14" s="238">
        <f>DSDV!W19</f>
        <v>0</v>
      </c>
    </row>
    <row r="15" spans="1:5">
      <c r="A15">
        <f>DSDV!B20</f>
        <v>0</v>
      </c>
      <c r="B15">
        <f>DSDV!G20</f>
        <v>0</v>
      </c>
      <c r="C15" s="237">
        <f>DSDV!K20</f>
        <v>0</v>
      </c>
      <c r="D15" s="238">
        <f>DSDV!W20</f>
        <v>0</v>
      </c>
    </row>
    <row r="16" spans="1:5">
      <c r="A16">
        <f>DSDV!B21</f>
        <v>0</v>
      </c>
      <c r="B16">
        <f>DSDV!G21</f>
        <v>0</v>
      </c>
      <c r="C16" s="237">
        <f>DSDV!K21</f>
        <v>0</v>
      </c>
      <c r="D16" s="238">
        <f>DSDV!W21</f>
        <v>0</v>
      </c>
    </row>
    <row r="17" spans="1:4">
      <c r="A17">
        <f>DSDV!B22</f>
        <v>0</v>
      </c>
      <c r="B17">
        <f>DSDV!G22</f>
        <v>0</v>
      </c>
      <c r="C17" s="237">
        <f>DSDV!K22</f>
        <v>0</v>
      </c>
      <c r="D17" s="238">
        <f>DSDV!W22</f>
        <v>0</v>
      </c>
    </row>
    <row r="18" spans="1:4">
      <c r="A18">
        <f>DSDV!B23</f>
        <v>0</v>
      </c>
      <c r="B18">
        <f>DSDV!G23</f>
        <v>0</v>
      </c>
      <c r="C18" s="237">
        <f>DSDV!K23</f>
        <v>0</v>
      </c>
      <c r="D18" s="238">
        <f>DSDV!W23</f>
        <v>0</v>
      </c>
    </row>
    <row r="19" spans="1:4">
      <c r="A19">
        <f>DSDV!B24</f>
        <v>0</v>
      </c>
      <c r="B19">
        <f>DSDV!G24</f>
        <v>0</v>
      </c>
      <c r="C19" s="237">
        <f>DSDV!K24</f>
        <v>0</v>
      </c>
      <c r="D19" s="238">
        <f>DSDV!W24</f>
        <v>0</v>
      </c>
    </row>
    <row r="20" spans="1:4">
      <c r="A20">
        <f>DSDV!B25</f>
        <v>0</v>
      </c>
      <c r="B20">
        <f>DSDV!G25</f>
        <v>0</v>
      </c>
      <c r="C20" s="237">
        <f>DSDV!K25</f>
        <v>0</v>
      </c>
      <c r="D20" s="238">
        <f>DSDV!W25</f>
        <v>0</v>
      </c>
    </row>
    <row r="21" spans="1:4">
      <c r="A21">
        <f>DSDV!B26</f>
        <v>0</v>
      </c>
      <c r="B21">
        <f>DSDV!G26</f>
        <v>0</v>
      </c>
      <c r="C21" s="237">
        <f>DSDV!K26</f>
        <v>0</v>
      </c>
      <c r="D21" s="238">
        <f>DSDV!W26</f>
        <v>0</v>
      </c>
    </row>
    <row r="22" spans="1:4">
      <c r="A22">
        <f>DSDV!B27</f>
        <v>0</v>
      </c>
      <c r="B22">
        <f>DSDV!G27</f>
        <v>0</v>
      </c>
      <c r="C22" s="237">
        <f>DSDV!K27</f>
        <v>0</v>
      </c>
      <c r="D22" s="238">
        <f>DSDV!W27</f>
        <v>0</v>
      </c>
    </row>
    <row r="23" spans="1:4">
      <c r="A23">
        <f>DSDV!B28</f>
        <v>0</v>
      </c>
      <c r="B23">
        <f>DSDV!G28</f>
        <v>0</v>
      </c>
      <c r="C23" s="237">
        <f>DSDV!K28</f>
        <v>0</v>
      </c>
      <c r="D23" s="238">
        <f>DSDV!W28</f>
        <v>0</v>
      </c>
    </row>
    <row r="24" spans="1:4">
      <c r="A24">
        <f>DSDV!B29</f>
        <v>0</v>
      </c>
      <c r="B24">
        <f>DSDV!G29</f>
        <v>0</v>
      </c>
      <c r="C24" s="237">
        <f>DSDV!K29</f>
        <v>0</v>
      </c>
      <c r="D24" s="238">
        <f>DSDV!W29</f>
        <v>0</v>
      </c>
    </row>
    <row r="25" spans="1:4">
      <c r="A25">
        <f>DSDV!B30</f>
        <v>0</v>
      </c>
      <c r="B25">
        <f>DSDV!G30</f>
        <v>0</v>
      </c>
      <c r="C25" s="237">
        <f>DSDV!K30</f>
        <v>0</v>
      </c>
      <c r="D25" s="238">
        <f>DSDV!W30</f>
        <v>0</v>
      </c>
    </row>
    <row r="26" spans="1:4">
      <c r="A26">
        <f>DSDV!B31</f>
        <v>0</v>
      </c>
      <c r="B26">
        <f>DSDV!G31</f>
        <v>0</v>
      </c>
      <c r="C26" s="237">
        <f>DSDV!K31</f>
        <v>0</v>
      </c>
      <c r="D26" s="238">
        <f>DSDV!W31</f>
        <v>0</v>
      </c>
    </row>
    <row r="27" spans="1:4">
      <c r="A27">
        <f>DSDV!B32</f>
        <v>0</v>
      </c>
      <c r="B27">
        <f>DSDV!G32</f>
        <v>0</v>
      </c>
      <c r="C27" s="237">
        <f>DSDV!K32</f>
        <v>0</v>
      </c>
      <c r="D27" s="238">
        <f>DSDV!W32</f>
        <v>0</v>
      </c>
    </row>
    <row r="28" spans="1:4">
      <c r="A28">
        <f>DSDV!B33</f>
        <v>0</v>
      </c>
      <c r="B28">
        <f>DSDV!G33</f>
        <v>0</v>
      </c>
      <c r="C28" s="237">
        <f>DSDV!K33</f>
        <v>0</v>
      </c>
      <c r="D28" s="238">
        <f>DSDV!W33</f>
        <v>0</v>
      </c>
    </row>
    <row r="29" spans="1:4">
      <c r="A29">
        <f>DSDV!B34</f>
        <v>0</v>
      </c>
      <c r="B29">
        <f>DSDV!G34</f>
        <v>0</v>
      </c>
      <c r="C29" s="237">
        <f>DSDV!K34</f>
        <v>0</v>
      </c>
      <c r="D29" s="238">
        <f>DSDV!W34</f>
        <v>0</v>
      </c>
    </row>
    <row r="30" spans="1:4">
      <c r="A30">
        <f>DSDV!B35</f>
        <v>0</v>
      </c>
      <c r="B30">
        <f>DSDV!G35</f>
        <v>0</v>
      </c>
      <c r="C30" s="237">
        <f>DSDV!K35</f>
        <v>0</v>
      </c>
      <c r="D30" s="238">
        <f>DSDV!W35</f>
        <v>0</v>
      </c>
    </row>
    <row r="31" spans="1:4">
      <c r="A31">
        <f>DSDV!B36</f>
        <v>0</v>
      </c>
      <c r="B31">
        <f>DSDV!G36</f>
        <v>0</v>
      </c>
      <c r="C31" s="237">
        <f>DSDV!K36</f>
        <v>0</v>
      </c>
      <c r="D31" s="238">
        <f>DSDV!W36</f>
        <v>0</v>
      </c>
    </row>
    <row r="32" spans="1:4">
      <c r="A32">
        <f>DSDV!B37</f>
        <v>0</v>
      </c>
      <c r="B32">
        <f>DSDV!G37</f>
        <v>0</v>
      </c>
      <c r="C32" s="237">
        <f>DSDV!K37</f>
        <v>0</v>
      </c>
      <c r="D32" s="238">
        <f>DSDV!W37</f>
        <v>0</v>
      </c>
    </row>
    <row r="33" spans="1:4">
      <c r="A33">
        <f>DSDV!B38</f>
        <v>0</v>
      </c>
      <c r="B33">
        <f>DSDV!G38</f>
        <v>0</v>
      </c>
      <c r="C33" s="237">
        <f>DSDV!K38</f>
        <v>0</v>
      </c>
      <c r="D33" s="238">
        <f>DSDV!W38</f>
        <v>0</v>
      </c>
    </row>
    <row r="34" spans="1:4">
      <c r="A34">
        <f>DSDV!B39</f>
        <v>0</v>
      </c>
      <c r="B34">
        <f>DSDV!G39</f>
        <v>0</v>
      </c>
      <c r="C34" s="237">
        <f>DSDV!K39</f>
        <v>0</v>
      </c>
      <c r="D34" s="238">
        <f>DSDV!W39</f>
        <v>0</v>
      </c>
    </row>
    <row r="35" spans="1:4">
      <c r="A35">
        <f>DSDV!B40</f>
        <v>0</v>
      </c>
      <c r="B35">
        <f>DSDV!G40</f>
        <v>0</v>
      </c>
      <c r="C35" s="237">
        <f>DSDV!K40</f>
        <v>0</v>
      </c>
      <c r="D35" s="238">
        <f>DSDV!W40</f>
        <v>0</v>
      </c>
    </row>
    <row r="36" spans="1:4">
      <c r="A36">
        <f>DSDV!B41</f>
        <v>0</v>
      </c>
      <c r="B36">
        <f>DSDV!G41</f>
        <v>0</v>
      </c>
      <c r="C36" s="237">
        <f>DSDV!K41</f>
        <v>0</v>
      </c>
      <c r="D36" s="238">
        <f>DSDV!W41</f>
        <v>0</v>
      </c>
    </row>
    <row r="37" spans="1:4">
      <c r="A37">
        <f>DSDV!B42</f>
        <v>0</v>
      </c>
      <c r="B37">
        <f>DSDV!G42</f>
        <v>0</v>
      </c>
      <c r="C37" s="237">
        <f>DSDV!K42</f>
        <v>0</v>
      </c>
      <c r="D37" s="238">
        <f>DSDV!W42</f>
        <v>0</v>
      </c>
    </row>
    <row r="38" spans="1:4">
      <c r="A38">
        <f>DSDV!B43</f>
        <v>0</v>
      </c>
      <c r="B38">
        <f>DSDV!G43</f>
        <v>0</v>
      </c>
      <c r="C38" s="237">
        <f>DSDV!K43</f>
        <v>0</v>
      </c>
      <c r="D38" s="238">
        <f>DSDV!W43</f>
        <v>0</v>
      </c>
    </row>
    <row r="39" spans="1:4">
      <c r="A39">
        <f>DSDV!B44</f>
        <v>0</v>
      </c>
      <c r="B39">
        <f>DSDV!G44</f>
        <v>0</v>
      </c>
      <c r="C39" s="237">
        <f>DSDV!K44</f>
        <v>0</v>
      </c>
      <c r="D39" s="238">
        <f>DSDV!W44</f>
        <v>0</v>
      </c>
    </row>
    <row r="40" spans="1:4">
      <c r="A40">
        <f>DSDV!B45</f>
        <v>0</v>
      </c>
      <c r="B40">
        <f>DSDV!G45</f>
        <v>0</v>
      </c>
      <c r="C40" s="237">
        <f>DSDV!K45</f>
        <v>0</v>
      </c>
      <c r="D40" s="238">
        <f>DSDV!W45</f>
        <v>0</v>
      </c>
    </row>
    <row r="41" spans="1:4">
      <c r="A41">
        <f>DSDV!B46</f>
        <v>0</v>
      </c>
      <c r="B41">
        <f>DSDV!G46</f>
        <v>0</v>
      </c>
      <c r="C41" s="237">
        <f>DSDV!K46</f>
        <v>0</v>
      </c>
      <c r="D41" s="238">
        <f>DSDV!W46</f>
        <v>0</v>
      </c>
    </row>
    <row r="42" spans="1:4">
      <c r="A42">
        <f>DSDV!B47</f>
        <v>0</v>
      </c>
      <c r="B42">
        <f>DSDV!G47</f>
        <v>0</v>
      </c>
      <c r="C42" s="237">
        <f>DSDV!K47</f>
        <v>0</v>
      </c>
      <c r="D42" s="238">
        <f>DSDV!W47</f>
        <v>0</v>
      </c>
    </row>
    <row r="43" spans="1:4">
      <c r="A43">
        <f>DSDV!B48</f>
        <v>0</v>
      </c>
      <c r="B43">
        <f>DSDV!G48</f>
        <v>0</v>
      </c>
      <c r="C43" s="237">
        <f>DSDV!K48</f>
        <v>0</v>
      </c>
      <c r="D43" s="238">
        <f>DSDV!W48</f>
        <v>0</v>
      </c>
    </row>
    <row r="44" spans="1:4">
      <c r="A44">
        <f>DSDV!B49</f>
        <v>0</v>
      </c>
      <c r="B44">
        <f>DSDV!G49</f>
        <v>0</v>
      </c>
      <c r="C44" s="237">
        <f>DSDV!K49</f>
        <v>0</v>
      </c>
      <c r="D44" s="238">
        <f>DSDV!W49</f>
        <v>0</v>
      </c>
    </row>
    <row r="45" spans="1:4">
      <c r="A45">
        <f>DSDV!B50</f>
        <v>0</v>
      </c>
      <c r="B45">
        <f>DSDV!G50</f>
        <v>0</v>
      </c>
      <c r="C45" s="237">
        <f>DSDV!K50</f>
        <v>0</v>
      </c>
      <c r="D45" s="238">
        <f>DSDV!W50</f>
        <v>0</v>
      </c>
    </row>
    <row r="46" spans="1:4">
      <c r="A46">
        <f>DSDV!B51</f>
        <v>0</v>
      </c>
      <c r="B46">
        <f>DSDV!G51</f>
        <v>0</v>
      </c>
      <c r="C46" s="237">
        <f>DSDV!K51</f>
        <v>0</v>
      </c>
      <c r="D46" s="238">
        <f>DSDV!W51</f>
        <v>0</v>
      </c>
    </row>
    <row r="47" spans="1:4">
      <c r="A47">
        <f>DSDV!B52</f>
        <v>0</v>
      </c>
      <c r="B47">
        <f>DSDV!G52</f>
        <v>0</v>
      </c>
      <c r="C47" s="237">
        <f>DSDV!K52</f>
        <v>0</v>
      </c>
      <c r="D47" s="238">
        <f>DSDV!W52</f>
        <v>0</v>
      </c>
    </row>
    <row r="48" spans="1:4">
      <c r="A48">
        <f>DSDV!B53</f>
        <v>0</v>
      </c>
      <c r="B48">
        <f>DSDV!G53</f>
        <v>0</v>
      </c>
      <c r="C48" s="237">
        <f>DSDV!K53</f>
        <v>0</v>
      </c>
      <c r="D48" s="238">
        <f>DSDV!W53</f>
        <v>0</v>
      </c>
    </row>
    <row r="49" spans="1:4">
      <c r="A49">
        <f>DSDV!B54</f>
        <v>0</v>
      </c>
      <c r="B49">
        <f>DSDV!G54</f>
        <v>0</v>
      </c>
      <c r="C49" s="237">
        <f>DSDV!K54</f>
        <v>0</v>
      </c>
      <c r="D49" s="238">
        <f>DSDV!W54</f>
        <v>0</v>
      </c>
    </row>
    <row r="50" spans="1:4">
      <c r="A50">
        <f>DSDV!B55</f>
        <v>0</v>
      </c>
      <c r="B50">
        <f>DSDV!G55</f>
        <v>0</v>
      </c>
      <c r="C50" s="237">
        <f>DSDV!K55</f>
        <v>0</v>
      </c>
      <c r="D50" s="238">
        <f>DSDV!W55</f>
        <v>0</v>
      </c>
    </row>
    <row r="51" spans="1:4">
      <c r="A51">
        <f>DSDV!B56</f>
        <v>0</v>
      </c>
      <c r="B51">
        <f>DSDV!G56</f>
        <v>0</v>
      </c>
      <c r="C51" s="237">
        <f>DSDV!K56</f>
        <v>0</v>
      </c>
      <c r="D51" s="238">
        <f>DSDV!W56</f>
        <v>0</v>
      </c>
    </row>
    <row r="52" spans="1:4">
      <c r="A52">
        <f>DSDV!B57</f>
        <v>0</v>
      </c>
      <c r="B52">
        <f>DSDV!G57</f>
        <v>0</v>
      </c>
      <c r="C52" s="237">
        <f>DSDV!K57</f>
        <v>0</v>
      </c>
      <c r="D52" s="238">
        <f>DSDV!W57</f>
        <v>0</v>
      </c>
    </row>
    <row r="53" spans="1:4">
      <c r="A53">
        <f>DSDV!B58</f>
        <v>0</v>
      </c>
      <c r="B53">
        <f>DSDV!G58</f>
        <v>0</v>
      </c>
      <c r="C53" s="237">
        <f>DSDV!K58</f>
        <v>0</v>
      </c>
      <c r="D53" s="238">
        <f>DSDV!W58</f>
        <v>0</v>
      </c>
    </row>
    <row r="54" spans="1:4">
      <c r="A54">
        <f>DSDV!B59</f>
        <v>0</v>
      </c>
      <c r="B54">
        <f>DSDV!G59</f>
        <v>0</v>
      </c>
      <c r="C54" s="237">
        <f>DSDV!K59</f>
        <v>0</v>
      </c>
      <c r="D54" s="238">
        <f>DSDV!W59</f>
        <v>0</v>
      </c>
    </row>
    <row r="55" spans="1:4">
      <c r="A55">
        <f>DSDV!B60</f>
        <v>0</v>
      </c>
      <c r="B55">
        <f>DSDV!G60</f>
        <v>0</v>
      </c>
      <c r="C55" s="237">
        <f>DSDV!K60</f>
        <v>0</v>
      </c>
      <c r="D55" s="238">
        <f>DSDV!W60</f>
        <v>0</v>
      </c>
    </row>
    <row r="56" spans="1:4">
      <c r="A56">
        <f>DSDV!B61</f>
        <v>0</v>
      </c>
      <c r="B56">
        <f>DSDV!G61</f>
        <v>0</v>
      </c>
      <c r="C56" s="237">
        <f>DSDV!K61</f>
        <v>0</v>
      </c>
      <c r="D56" s="238">
        <f>DSDV!W61</f>
        <v>0</v>
      </c>
    </row>
    <row r="57" spans="1:4">
      <c r="A57">
        <f>DSDV!B62</f>
        <v>0</v>
      </c>
      <c r="B57">
        <f>DSDV!G62</f>
        <v>0</v>
      </c>
      <c r="C57" s="237">
        <f>DSDV!K62</f>
        <v>0</v>
      </c>
      <c r="D57" s="238">
        <f>DSDV!W62</f>
        <v>0</v>
      </c>
    </row>
    <row r="58" spans="1:4">
      <c r="A58">
        <f>DSDV!B63</f>
        <v>0</v>
      </c>
      <c r="B58">
        <f>DSDV!G63</f>
        <v>0</v>
      </c>
      <c r="C58" s="237">
        <f>DSDV!K63</f>
        <v>0</v>
      </c>
      <c r="D58" s="238">
        <f>DSDV!W63</f>
        <v>0</v>
      </c>
    </row>
    <row r="59" spans="1:4">
      <c r="A59">
        <f>DSDV!B64</f>
        <v>0</v>
      </c>
      <c r="B59">
        <f>DSDV!G64</f>
        <v>0</v>
      </c>
      <c r="C59" s="237">
        <f>DSDV!K64</f>
        <v>0</v>
      </c>
      <c r="D59" s="238">
        <f>DSDV!W64</f>
        <v>0</v>
      </c>
    </row>
    <row r="60" spans="1:4">
      <c r="A60">
        <f>DSDV!B65</f>
        <v>0</v>
      </c>
      <c r="B60">
        <f>DSDV!G65</f>
        <v>0</v>
      </c>
      <c r="C60" s="237">
        <f>DSDV!K65</f>
        <v>0</v>
      </c>
      <c r="D60" s="238">
        <f>DSDV!W65</f>
        <v>0</v>
      </c>
    </row>
    <row r="61" spans="1:4">
      <c r="A61">
        <f>DSDV!B66</f>
        <v>0</v>
      </c>
      <c r="B61">
        <f>DSDV!G66</f>
        <v>0</v>
      </c>
      <c r="C61" s="237">
        <f>DSDV!K66</f>
        <v>0</v>
      </c>
      <c r="D61" s="238">
        <f>DSDV!W66</f>
        <v>0</v>
      </c>
    </row>
    <row r="62" spans="1:4">
      <c r="A62">
        <f>DSDV!B67</f>
        <v>0</v>
      </c>
      <c r="B62">
        <f>DSDV!G67</f>
        <v>0</v>
      </c>
      <c r="C62" s="237">
        <f>DSDV!K67</f>
        <v>0</v>
      </c>
      <c r="D62" s="238">
        <f>DSDV!W67</f>
        <v>0</v>
      </c>
    </row>
    <row r="63" spans="1:4">
      <c r="A63">
        <f>DSDV!B68</f>
        <v>0</v>
      </c>
      <c r="B63">
        <f>DSDV!G68</f>
        <v>0</v>
      </c>
      <c r="C63" s="237">
        <f>DSDV!K68</f>
        <v>0</v>
      </c>
      <c r="D63" s="238">
        <f>DSDV!W68</f>
        <v>0</v>
      </c>
    </row>
    <row r="64" spans="1:4">
      <c r="A64">
        <f>DSDV!B69</f>
        <v>0</v>
      </c>
      <c r="B64">
        <f>DSDV!G69</f>
        <v>0</v>
      </c>
      <c r="C64" s="237">
        <f>DSDV!K69</f>
        <v>0</v>
      </c>
      <c r="D64" s="238">
        <f>DSDV!W69</f>
        <v>0</v>
      </c>
    </row>
    <row r="65" spans="1:4">
      <c r="A65">
        <f>DSDV!B70</f>
        <v>0</v>
      </c>
      <c r="B65">
        <f>DSDV!G70</f>
        <v>0</v>
      </c>
      <c r="C65" s="237">
        <f>DSDV!K70</f>
        <v>0</v>
      </c>
      <c r="D65" s="238">
        <f>DSDV!W70</f>
        <v>0</v>
      </c>
    </row>
    <row r="66" spans="1:4">
      <c r="A66">
        <f>DSDV!B71</f>
        <v>0</v>
      </c>
      <c r="B66">
        <f>DSDV!G71</f>
        <v>0</v>
      </c>
      <c r="C66" s="237">
        <f>DSDV!K71</f>
        <v>0</v>
      </c>
      <c r="D66" s="238">
        <f>DSDV!W71</f>
        <v>0</v>
      </c>
    </row>
    <row r="67" spans="1:4">
      <c r="A67">
        <f>DSDV!B72</f>
        <v>0</v>
      </c>
      <c r="B67">
        <f>DSDV!G72</f>
        <v>0</v>
      </c>
      <c r="C67" s="237">
        <f>DSDV!K72</f>
        <v>0</v>
      </c>
      <c r="D67" s="238">
        <f>DSDV!W72</f>
        <v>0</v>
      </c>
    </row>
    <row r="68" spans="1:4">
      <c r="A68">
        <f>DSDV!B73</f>
        <v>0</v>
      </c>
      <c r="B68">
        <f>DSDV!G73</f>
        <v>0</v>
      </c>
      <c r="C68" s="237">
        <f>DSDV!K73</f>
        <v>0</v>
      </c>
      <c r="D68" s="238">
        <f>DSDV!W73</f>
        <v>0</v>
      </c>
    </row>
    <row r="69" spans="1:4">
      <c r="A69">
        <f>DSDV!B74</f>
        <v>0</v>
      </c>
      <c r="B69">
        <f>DSDV!G74</f>
        <v>0</v>
      </c>
      <c r="C69" s="237">
        <f>DSDV!K74</f>
        <v>0</v>
      </c>
      <c r="D69" s="238">
        <f>DSDV!W74</f>
        <v>0</v>
      </c>
    </row>
    <row r="70" spans="1:4">
      <c r="A70">
        <f>DSDV!B75</f>
        <v>0</v>
      </c>
      <c r="B70">
        <f>DSDV!G75</f>
        <v>0</v>
      </c>
      <c r="C70" s="237">
        <f>DSDV!K75</f>
        <v>0</v>
      </c>
      <c r="D70" s="238">
        <f>DSDV!W75</f>
        <v>0</v>
      </c>
    </row>
    <row r="71" spans="1:4">
      <c r="A71">
        <f>DSDV!B76</f>
        <v>0</v>
      </c>
      <c r="B71">
        <f>DSDV!G76</f>
        <v>0</v>
      </c>
      <c r="C71" s="237">
        <f>DSDV!K76</f>
        <v>0</v>
      </c>
      <c r="D71" s="238">
        <f>DSDV!W76</f>
        <v>0</v>
      </c>
    </row>
    <row r="72" spans="1:4">
      <c r="A72">
        <f>DSDV!B77</f>
        <v>0</v>
      </c>
      <c r="B72">
        <f>DSDV!G77</f>
        <v>0</v>
      </c>
      <c r="C72" s="237">
        <f>DSDV!K77</f>
        <v>0</v>
      </c>
      <c r="D72" s="238">
        <f>DSDV!W77</f>
        <v>0</v>
      </c>
    </row>
    <row r="73" spans="1:4">
      <c r="A73">
        <f>DSDV!B78</f>
        <v>0</v>
      </c>
      <c r="B73">
        <f>DSDV!G78</f>
        <v>0</v>
      </c>
      <c r="C73" s="237">
        <f>DSDV!K78</f>
        <v>0</v>
      </c>
      <c r="D73" s="238">
        <f>DSDV!W78</f>
        <v>0</v>
      </c>
    </row>
    <row r="74" spans="1:4">
      <c r="A74">
        <f>DSDV!B79</f>
        <v>0</v>
      </c>
      <c r="B74">
        <f>DSDV!G79</f>
        <v>0</v>
      </c>
      <c r="C74" s="237">
        <f>DSDV!K79</f>
        <v>0</v>
      </c>
      <c r="D74" s="238">
        <f>DSDV!W79</f>
        <v>0</v>
      </c>
    </row>
    <row r="75" spans="1:4">
      <c r="A75">
        <f>DSDV!B80</f>
        <v>0</v>
      </c>
      <c r="B75">
        <f>DSDV!G80</f>
        <v>0</v>
      </c>
      <c r="C75" s="237">
        <f>DSDV!K80</f>
        <v>0</v>
      </c>
      <c r="D75" s="238">
        <f>DSDV!W80</f>
        <v>0</v>
      </c>
    </row>
    <row r="76" spans="1:4">
      <c r="A76">
        <f>DSDV!B81</f>
        <v>0</v>
      </c>
      <c r="B76">
        <f>DSDV!G81</f>
        <v>0</v>
      </c>
      <c r="C76" s="237">
        <f>DSDV!K81</f>
        <v>0</v>
      </c>
      <c r="D76" s="238">
        <f>DSDV!W81</f>
        <v>0</v>
      </c>
    </row>
    <row r="77" spans="1:4">
      <c r="A77">
        <f>DSDV!B82</f>
        <v>0</v>
      </c>
      <c r="B77">
        <f>DSDV!G82</f>
        <v>0</v>
      </c>
      <c r="C77" s="237">
        <f>DSDV!K82</f>
        <v>0</v>
      </c>
      <c r="D77" s="238">
        <f>DSDV!W82</f>
        <v>0</v>
      </c>
    </row>
    <row r="78" spans="1:4">
      <c r="A78">
        <f>DSDV!B83</f>
        <v>0</v>
      </c>
      <c r="B78">
        <f>DSDV!G83</f>
        <v>0</v>
      </c>
      <c r="C78" s="237">
        <f>DSDV!K83</f>
        <v>0</v>
      </c>
      <c r="D78" s="238">
        <f>DSDV!W83</f>
        <v>0</v>
      </c>
    </row>
    <row r="79" spans="1:4">
      <c r="A79">
        <f>DSDV!B84</f>
        <v>0</v>
      </c>
      <c r="B79">
        <f>DSDV!G84</f>
        <v>0</v>
      </c>
      <c r="C79" s="237">
        <f>DSDV!K84</f>
        <v>0</v>
      </c>
      <c r="D79" s="238">
        <f>DSDV!W84</f>
        <v>0</v>
      </c>
    </row>
    <row r="80" spans="1:4">
      <c r="A80">
        <f>DSDV!B85</f>
        <v>0</v>
      </c>
      <c r="B80">
        <f>DSDV!G85</f>
        <v>0</v>
      </c>
      <c r="C80" s="237">
        <f>DSDV!K85</f>
        <v>0</v>
      </c>
      <c r="D80" s="238">
        <f>DSDV!W85</f>
        <v>0</v>
      </c>
    </row>
    <row r="81" spans="1:4">
      <c r="A81">
        <f>DSDV!B86</f>
        <v>0</v>
      </c>
      <c r="B81">
        <f>DSDV!G86</f>
        <v>0</v>
      </c>
      <c r="C81" s="237">
        <f>DSDV!K86</f>
        <v>0</v>
      </c>
      <c r="D81" s="238">
        <f>DSDV!W86</f>
        <v>0</v>
      </c>
    </row>
    <row r="82" spans="1:4">
      <c r="A82">
        <f>DSDV!B87</f>
        <v>0</v>
      </c>
      <c r="B82">
        <f>DSDV!G87</f>
        <v>0</v>
      </c>
      <c r="C82" s="237">
        <f>DSDV!K87</f>
        <v>0</v>
      </c>
      <c r="D82" s="238">
        <f>DSDV!W87</f>
        <v>0</v>
      </c>
    </row>
    <row r="83" spans="1:4">
      <c r="A83">
        <f>DSDV!B88</f>
        <v>0</v>
      </c>
      <c r="B83">
        <f>DSDV!G88</f>
        <v>0</v>
      </c>
      <c r="C83" s="237">
        <f>DSDV!K88</f>
        <v>0</v>
      </c>
      <c r="D83" s="238">
        <f>DSDV!W88</f>
        <v>0</v>
      </c>
    </row>
    <row r="84" spans="1:4">
      <c r="A84">
        <f>DSDV!B89</f>
        <v>0</v>
      </c>
      <c r="B84">
        <f>DSDV!G89</f>
        <v>0</v>
      </c>
      <c r="C84" s="237">
        <f>DSDV!K89</f>
        <v>0</v>
      </c>
      <c r="D84" s="238">
        <f>DSDV!W89</f>
        <v>0</v>
      </c>
    </row>
    <row r="85" spans="1:4">
      <c r="A85">
        <f>DSDV!B90</f>
        <v>0</v>
      </c>
      <c r="B85">
        <f>DSDV!G90</f>
        <v>0</v>
      </c>
      <c r="C85" s="237">
        <f>DSDV!K90</f>
        <v>0</v>
      </c>
      <c r="D85" s="238">
        <f>DSDV!W90</f>
        <v>0</v>
      </c>
    </row>
    <row r="86" spans="1:4">
      <c r="A86">
        <f>DSDV!B91</f>
        <v>0</v>
      </c>
      <c r="B86">
        <f>DSDV!G91</f>
        <v>0</v>
      </c>
      <c r="C86" s="237">
        <f>DSDV!K91</f>
        <v>0</v>
      </c>
      <c r="D86" s="238">
        <f>DSDV!W91</f>
        <v>0</v>
      </c>
    </row>
    <row r="87" spans="1:4">
      <c r="A87">
        <f>DSDV!B92</f>
        <v>0</v>
      </c>
      <c r="B87">
        <f>DSDV!G92</f>
        <v>0</v>
      </c>
      <c r="C87" s="237">
        <f>DSDV!K92</f>
        <v>0</v>
      </c>
      <c r="D87" s="238">
        <f>DSDV!W92</f>
        <v>0</v>
      </c>
    </row>
    <row r="88" spans="1:4">
      <c r="A88">
        <f>DSDV!B93</f>
        <v>0</v>
      </c>
      <c r="B88">
        <f>DSDV!G93</f>
        <v>0</v>
      </c>
      <c r="C88" s="237">
        <f>DSDV!K93</f>
        <v>0</v>
      </c>
      <c r="D88" s="238">
        <f>DSDV!W93</f>
        <v>0</v>
      </c>
    </row>
    <row r="89" spans="1:4">
      <c r="A89">
        <f>DSDV!B94</f>
        <v>0</v>
      </c>
      <c r="B89">
        <f>DSDV!G94</f>
        <v>0</v>
      </c>
      <c r="C89" s="237">
        <f>DSDV!K94</f>
        <v>0</v>
      </c>
      <c r="D89" s="238">
        <f>DSDV!W94</f>
        <v>0</v>
      </c>
    </row>
    <row r="90" spans="1:4">
      <c r="A90">
        <f>DSDV!B95</f>
        <v>0</v>
      </c>
      <c r="B90">
        <f>DSDV!G95</f>
        <v>0</v>
      </c>
      <c r="C90" s="237">
        <f>DSDV!K95</f>
        <v>0</v>
      </c>
      <c r="D90" s="238">
        <f>DSDV!W95</f>
        <v>0</v>
      </c>
    </row>
    <row r="91" spans="1:4">
      <c r="A91">
        <f>DSDV!B96</f>
        <v>0</v>
      </c>
      <c r="B91">
        <f>DSDV!G96</f>
        <v>0</v>
      </c>
      <c r="C91" s="237">
        <f>DSDV!K96</f>
        <v>0</v>
      </c>
      <c r="D91" s="238">
        <f>DSDV!W96</f>
        <v>0</v>
      </c>
    </row>
    <row r="92" spans="1:4">
      <c r="A92">
        <f>DSDV!B97</f>
        <v>0</v>
      </c>
      <c r="B92">
        <f>DSDV!G97</f>
        <v>0</v>
      </c>
      <c r="C92" s="237">
        <f>DSDV!K97</f>
        <v>0</v>
      </c>
      <c r="D92" s="238">
        <f>DSDV!W97</f>
        <v>0</v>
      </c>
    </row>
    <row r="93" spans="1:4">
      <c r="A93">
        <f>DSDV!B98</f>
        <v>0</v>
      </c>
      <c r="B93">
        <f>DSDV!G98</f>
        <v>0</v>
      </c>
      <c r="C93" s="237">
        <f>DSDV!K98</f>
        <v>0</v>
      </c>
      <c r="D93" s="238">
        <f>DSDV!W98</f>
        <v>0</v>
      </c>
    </row>
    <row r="94" spans="1:4">
      <c r="A94">
        <f>DSDV!B99</f>
        <v>0</v>
      </c>
      <c r="B94">
        <f>DSDV!G99</f>
        <v>0</v>
      </c>
      <c r="C94" s="237">
        <f>DSDV!K99</f>
        <v>0</v>
      </c>
      <c r="D94" s="238">
        <f>DSDV!W99</f>
        <v>0</v>
      </c>
    </row>
    <row r="95" spans="1:4">
      <c r="A95">
        <f>DSDV!B100</f>
        <v>0</v>
      </c>
      <c r="B95">
        <f>DSDV!G100</f>
        <v>0</v>
      </c>
      <c r="C95" s="237">
        <f>DSDV!K100</f>
        <v>0</v>
      </c>
      <c r="D95" s="238">
        <f>DSDV!W100</f>
        <v>0</v>
      </c>
    </row>
    <row r="96" spans="1:4">
      <c r="A96">
        <f>DSDV!B101</f>
        <v>0</v>
      </c>
      <c r="B96">
        <f>DSDV!G101</f>
        <v>0</v>
      </c>
      <c r="C96" s="237">
        <f>DSDV!K101</f>
        <v>0</v>
      </c>
      <c r="D96" s="238">
        <f>DSDV!W101</f>
        <v>0</v>
      </c>
    </row>
    <row r="97" spans="1:4">
      <c r="A97">
        <f>DSDV!B102</f>
        <v>0</v>
      </c>
      <c r="B97">
        <f>DSDV!G102</f>
        <v>0</v>
      </c>
      <c r="C97" s="237">
        <f>DSDV!K102</f>
        <v>0</v>
      </c>
      <c r="D97" s="238">
        <f>DSDV!W102</f>
        <v>0</v>
      </c>
    </row>
    <row r="98" spans="1:4">
      <c r="A98">
        <f>DSDV!B103</f>
        <v>0</v>
      </c>
      <c r="B98">
        <f>DSDV!G103</f>
        <v>0</v>
      </c>
      <c r="C98" s="237">
        <f>DSDV!K103</f>
        <v>0</v>
      </c>
      <c r="D98" s="238">
        <f>DSDV!W103</f>
        <v>0</v>
      </c>
    </row>
    <row r="99" spans="1:4">
      <c r="A99">
        <f>DSDV!B104</f>
        <v>0</v>
      </c>
      <c r="B99">
        <f>DSDV!G104</f>
        <v>0</v>
      </c>
      <c r="C99" s="237">
        <f>DSDV!K104</f>
        <v>0</v>
      </c>
      <c r="D99" s="238">
        <f>DSDV!W104</f>
        <v>0</v>
      </c>
    </row>
    <row r="100" spans="1:4">
      <c r="A100">
        <f>DSDV!B105</f>
        <v>0</v>
      </c>
      <c r="B100">
        <f>DSDV!G105</f>
        <v>0</v>
      </c>
      <c r="C100" s="237">
        <f>DSDV!K105</f>
        <v>0</v>
      </c>
      <c r="D100" s="238">
        <f>DSDV!W105</f>
        <v>0</v>
      </c>
    </row>
    <row r="101" spans="1:4">
      <c r="A101">
        <f>DSDV!B106</f>
        <v>0</v>
      </c>
      <c r="B101">
        <f>DSDV!G106</f>
        <v>0</v>
      </c>
      <c r="C101" s="237">
        <f>DSDV!K106</f>
        <v>0</v>
      </c>
      <c r="D101" s="238">
        <f>DSDV!W106</f>
        <v>0</v>
      </c>
    </row>
    <row r="102" spans="1:4">
      <c r="A102">
        <f>DSDV!B107</f>
        <v>0</v>
      </c>
      <c r="B102">
        <f>DSDV!G107</f>
        <v>0</v>
      </c>
      <c r="C102" s="237">
        <f>DSDV!K107</f>
        <v>0</v>
      </c>
      <c r="D102" s="238">
        <f>DSDV!W107</f>
        <v>0</v>
      </c>
    </row>
    <row r="103" spans="1:4">
      <c r="A103">
        <f>DSDV!B108</f>
        <v>0</v>
      </c>
      <c r="B103">
        <f>DSDV!G108</f>
        <v>0</v>
      </c>
      <c r="C103" s="237">
        <f>DSDV!K108</f>
        <v>0</v>
      </c>
      <c r="D103" s="238">
        <f>DSDV!W108</f>
        <v>0</v>
      </c>
    </row>
    <row r="104" spans="1:4">
      <c r="A104">
        <f>DSDV!B109</f>
        <v>0</v>
      </c>
      <c r="B104">
        <f>DSDV!G109</f>
        <v>0</v>
      </c>
      <c r="C104" s="237">
        <f>DSDV!K109</f>
        <v>0</v>
      </c>
      <c r="D104" s="238">
        <f>DSDV!W109</f>
        <v>0</v>
      </c>
    </row>
    <row r="105" spans="1:4">
      <c r="A105">
        <f>DSDV!B110</f>
        <v>0</v>
      </c>
      <c r="B105">
        <f>DSDV!G110</f>
        <v>0</v>
      </c>
      <c r="C105" s="237">
        <f>DSDV!K110</f>
        <v>0</v>
      </c>
      <c r="D105" s="238">
        <f>DSDV!W110</f>
        <v>0</v>
      </c>
    </row>
    <row r="106" spans="1:4">
      <c r="A106">
        <f>DSDV!B111</f>
        <v>0</v>
      </c>
      <c r="B106">
        <f>DSDV!G111</f>
        <v>0</v>
      </c>
      <c r="C106" s="237">
        <f>DSDV!K111</f>
        <v>0</v>
      </c>
      <c r="D106" s="238">
        <f>DSDV!W111</f>
        <v>0</v>
      </c>
    </row>
    <row r="107" spans="1:4">
      <c r="A107">
        <f>DSDV!B112</f>
        <v>0</v>
      </c>
      <c r="B107">
        <f>DSDV!G112</f>
        <v>0</v>
      </c>
      <c r="C107" s="237">
        <f>DSDV!K112</f>
        <v>0</v>
      </c>
      <c r="D107" s="238">
        <f>DSDV!W112</f>
        <v>0</v>
      </c>
    </row>
    <row r="108" spans="1:4">
      <c r="A108">
        <f>DSDV!B113</f>
        <v>0</v>
      </c>
      <c r="B108">
        <f>DSDV!G113</f>
        <v>0</v>
      </c>
      <c r="C108" s="237">
        <f>DSDV!K113</f>
        <v>0</v>
      </c>
      <c r="D108" s="238">
        <f>DSDV!W113</f>
        <v>0</v>
      </c>
    </row>
    <row r="109" spans="1:4">
      <c r="A109">
        <f>DSDV!B114</f>
        <v>0</v>
      </c>
      <c r="B109">
        <f>DSDV!G114</f>
        <v>0</v>
      </c>
      <c r="C109" s="237">
        <f>DSDV!K114</f>
        <v>0</v>
      </c>
      <c r="D109" s="238">
        <f>DSDV!W114</f>
        <v>0</v>
      </c>
    </row>
    <row r="110" spans="1:4">
      <c r="A110">
        <f>DSDV!B115</f>
        <v>0</v>
      </c>
      <c r="B110">
        <f>DSDV!G115</f>
        <v>0</v>
      </c>
      <c r="C110" s="237">
        <f>DSDV!K115</f>
        <v>0</v>
      </c>
      <c r="D110" s="238">
        <f>DSDV!W115</f>
        <v>0</v>
      </c>
    </row>
    <row r="111" spans="1:4">
      <c r="A111">
        <f>DSDV!B116</f>
        <v>0</v>
      </c>
      <c r="B111">
        <f>DSDV!G116</f>
        <v>0</v>
      </c>
      <c r="C111" s="237">
        <f>DSDV!K116</f>
        <v>0</v>
      </c>
      <c r="D111" s="238">
        <f>DSDV!W116</f>
        <v>0</v>
      </c>
    </row>
    <row r="112" spans="1:4">
      <c r="A112">
        <f>DSDV!B117</f>
        <v>0</v>
      </c>
      <c r="B112">
        <f>DSDV!G117</f>
        <v>0</v>
      </c>
      <c r="C112" s="237">
        <f>DSDV!K117</f>
        <v>0</v>
      </c>
      <c r="D112" s="238">
        <f>DSDV!W117</f>
        <v>0</v>
      </c>
    </row>
    <row r="113" spans="1:4">
      <c r="A113">
        <f>DSDV!B118</f>
        <v>0</v>
      </c>
      <c r="B113">
        <f>DSDV!G118</f>
        <v>0</v>
      </c>
      <c r="C113" s="237">
        <f>DSDV!K118</f>
        <v>0</v>
      </c>
      <c r="D113" s="238">
        <f>DSDV!W118</f>
        <v>0</v>
      </c>
    </row>
    <row r="114" spans="1:4">
      <c r="A114">
        <f>DSDV!B119</f>
        <v>0</v>
      </c>
      <c r="B114">
        <f>DSDV!G119</f>
        <v>0</v>
      </c>
      <c r="C114" s="237">
        <f>DSDV!K119</f>
        <v>0</v>
      </c>
      <c r="D114" s="238">
        <f>DSDV!W119</f>
        <v>0</v>
      </c>
    </row>
    <row r="115" spans="1:4">
      <c r="A115">
        <f>DSDV!B120</f>
        <v>0</v>
      </c>
      <c r="B115">
        <f>DSDV!G120</f>
        <v>0</v>
      </c>
      <c r="C115" s="237">
        <f>DSDV!K120</f>
        <v>0</v>
      </c>
      <c r="D115" s="238">
        <f>DSDV!W120</f>
        <v>0</v>
      </c>
    </row>
    <row r="116" spans="1:4">
      <c r="A116">
        <f>DSDV!B121</f>
        <v>0</v>
      </c>
      <c r="B116">
        <f>DSDV!G121</f>
        <v>0</v>
      </c>
      <c r="C116" s="237">
        <f>DSDV!K121</f>
        <v>0</v>
      </c>
      <c r="D116" s="238">
        <f>DSDV!W121</f>
        <v>0</v>
      </c>
    </row>
    <row r="117" spans="1:4">
      <c r="A117">
        <f>DSDV!B122</f>
        <v>0</v>
      </c>
      <c r="B117">
        <f>DSDV!G122</f>
        <v>0</v>
      </c>
      <c r="C117" s="237">
        <f>DSDV!K122</f>
        <v>0</v>
      </c>
      <c r="D117" s="238">
        <f>DSDV!W122</f>
        <v>0</v>
      </c>
    </row>
    <row r="118" spans="1:4">
      <c r="A118">
        <f>DSDV!B123</f>
        <v>0</v>
      </c>
      <c r="B118">
        <f>DSDV!G123</f>
        <v>0</v>
      </c>
      <c r="C118" s="237">
        <f>DSDV!K123</f>
        <v>0</v>
      </c>
      <c r="D118" s="238">
        <f>DSDV!W123</f>
        <v>0</v>
      </c>
    </row>
    <row r="119" spans="1:4">
      <c r="A119">
        <f>DSDV!B124</f>
        <v>0</v>
      </c>
      <c r="B119">
        <f>DSDV!G124</f>
        <v>0</v>
      </c>
      <c r="C119" s="237">
        <f>DSDV!K124</f>
        <v>0</v>
      </c>
      <c r="D119" s="238">
        <f>DSDV!W124</f>
        <v>0</v>
      </c>
    </row>
    <row r="120" spans="1:4">
      <c r="A120">
        <f>DSDV!B125</f>
        <v>0</v>
      </c>
      <c r="B120">
        <f>DSDV!G125</f>
        <v>0</v>
      </c>
      <c r="C120" s="237">
        <f>DSDV!K125</f>
        <v>0</v>
      </c>
      <c r="D120" s="238">
        <f>DSDV!W125</f>
        <v>0</v>
      </c>
    </row>
    <row r="121" spans="1:4">
      <c r="A121">
        <f>DSDV!B126</f>
        <v>0</v>
      </c>
      <c r="B121">
        <f>DSDV!G126</f>
        <v>0</v>
      </c>
      <c r="C121" s="237">
        <f>DSDV!K126</f>
        <v>0</v>
      </c>
      <c r="D121" s="238">
        <f>DSDV!W126</f>
        <v>0</v>
      </c>
    </row>
    <row r="122" spans="1:4">
      <c r="A122">
        <f>DSDV!B127</f>
        <v>0</v>
      </c>
      <c r="B122">
        <f>DSDV!G127</f>
        <v>0</v>
      </c>
      <c r="C122" s="237">
        <f>DSDV!K127</f>
        <v>0</v>
      </c>
      <c r="D122" s="238">
        <f>DSDV!W127</f>
        <v>0</v>
      </c>
    </row>
    <row r="123" spans="1:4">
      <c r="A123">
        <f>DSDV!B128</f>
        <v>0</v>
      </c>
      <c r="B123">
        <f>DSDV!G128</f>
        <v>0</v>
      </c>
      <c r="C123" s="237">
        <f>DSDV!K128</f>
        <v>0</v>
      </c>
      <c r="D123" s="238">
        <f>DSDV!W128</f>
        <v>0</v>
      </c>
    </row>
    <row r="124" spans="1:4">
      <c r="A124">
        <f>DSDV!B129</f>
        <v>0</v>
      </c>
      <c r="B124">
        <f>DSDV!G129</f>
        <v>0</v>
      </c>
      <c r="C124" s="237">
        <f>DSDV!K129</f>
        <v>0</v>
      </c>
      <c r="D124" s="238">
        <f>DSDV!W129</f>
        <v>0</v>
      </c>
    </row>
    <row r="125" spans="1:4">
      <c r="A125">
        <f>DSDV!B130</f>
        <v>0</v>
      </c>
      <c r="B125">
        <f>DSDV!G130</f>
        <v>0</v>
      </c>
      <c r="C125" s="237">
        <f>DSDV!K130</f>
        <v>0</v>
      </c>
      <c r="D125" s="238">
        <f>DSDV!W130</f>
        <v>0</v>
      </c>
    </row>
    <row r="126" spans="1:4">
      <c r="A126">
        <f>DSDV!B131</f>
        <v>0</v>
      </c>
      <c r="B126">
        <f>DSDV!G131</f>
        <v>0</v>
      </c>
      <c r="C126" s="237">
        <f>DSDV!K131</f>
        <v>0</v>
      </c>
      <c r="D126" s="238">
        <f>DSDV!W131</f>
        <v>0</v>
      </c>
    </row>
    <row r="127" spans="1:4">
      <c r="A127">
        <f>DSDV!B132</f>
        <v>0</v>
      </c>
      <c r="B127">
        <f>DSDV!G132</f>
        <v>0</v>
      </c>
      <c r="C127" s="237">
        <f>DSDV!K132</f>
        <v>0</v>
      </c>
      <c r="D127" s="238">
        <f>DSDV!W132</f>
        <v>0</v>
      </c>
    </row>
    <row r="128" spans="1:4">
      <c r="A128">
        <f>DSDV!B133</f>
        <v>0</v>
      </c>
      <c r="B128">
        <f>DSDV!G133</f>
        <v>0</v>
      </c>
      <c r="C128" s="237">
        <f>DSDV!K133</f>
        <v>0</v>
      </c>
      <c r="D128" s="238">
        <f>DSDV!W133</f>
        <v>0</v>
      </c>
    </row>
    <row r="129" spans="1:4">
      <c r="A129">
        <f>DSDV!B134</f>
        <v>0</v>
      </c>
      <c r="B129">
        <f>DSDV!G134</f>
        <v>0</v>
      </c>
      <c r="C129" s="237">
        <f>DSDV!K134</f>
        <v>0</v>
      </c>
      <c r="D129" s="238">
        <f>DSDV!W134</f>
        <v>0</v>
      </c>
    </row>
    <row r="130" spans="1:4">
      <c r="A130">
        <f>DSDV!B135</f>
        <v>0</v>
      </c>
      <c r="B130">
        <f>DSDV!G135</f>
        <v>0</v>
      </c>
      <c r="C130" s="237">
        <f>DSDV!K135</f>
        <v>0</v>
      </c>
      <c r="D130" s="238">
        <f>DSDV!W135</f>
        <v>0</v>
      </c>
    </row>
    <row r="131" spans="1:4">
      <c r="A131">
        <f>DSDV!B136</f>
        <v>0</v>
      </c>
      <c r="B131">
        <f>DSDV!G136</f>
        <v>0</v>
      </c>
      <c r="C131" s="237">
        <f>DSDV!K136</f>
        <v>0</v>
      </c>
      <c r="D131" s="238">
        <f>DSDV!W136</f>
        <v>0</v>
      </c>
    </row>
    <row r="132" spans="1:4">
      <c r="A132">
        <f>DSDV!B137</f>
        <v>0</v>
      </c>
      <c r="B132">
        <f>DSDV!G137</f>
        <v>0</v>
      </c>
      <c r="C132" s="237">
        <f>DSDV!K137</f>
        <v>0</v>
      </c>
      <c r="D132" s="238">
        <f>DSDV!W137</f>
        <v>0</v>
      </c>
    </row>
    <row r="133" spans="1:4">
      <c r="A133">
        <f>DSDV!B138</f>
        <v>0</v>
      </c>
      <c r="B133">
        <f>DSDV!G138</f>
        <v>0</v>
      </c>
      <c r="C133" s="237">
        <f>DSDV!K138</f>
        <v>0</v>
      </c>
      <c r="D133" s="238">
        <f>DSDV!W138</f>
        <v>0</v>
      </c>
    </row>
    <row r="134" spans="1:4">
      <c r="A134">
        <f>DSDV!B139</f>
        <v>0</v>
      </c>
      <c r="B134">
        <f>DSDV!G139</f>
        <v>0</v>
      </c>
      <c r="C134" s="237">
        <f>DSDV!K139</f>
        <v>0</v>
      </c>
      <c r="D134" s="238">
        <f>DSDV!W139</f>
        <v>0</v>
      </c>
    </row>
    <row r="135" spans="1:4">
      <c r="A135">
        <f>DSDV!B140</f>
        <v>0</v>
      </c>
      <c r="B135">
        <f>DSDV!G140</f>
        <v>0</v>
      </c>
      <c r="C135" s="237">
        <f>DSDV!K140</f>
        <v>0</v>
      </c>
      <c r="D135" s="238">
        <f>DSDV!W140</f>
        <v>0</v>
      </c>
    </row>
    <row r="136" spans="1:4">
      <c r="A136">
        <f>DSDV!B141</f>
        <v>0</v>
      </c>
      <c r="B136">
        <f>DSDV!G141</f>
        <v>0</v>
      </c>
      <c r="C136" s="237">
        <f>DSDV!K141</f>
        <v>0</v>
      </c>
      <c r="D136" s="238">
        <f>DSDV!W141</f>
        <v>0</v>
      </c>
    </row>
    <row r="137" spans="1:4">
      <c r="A137">
        <f>DSDV!B142</f>
        <v>0</v>
      </c>
      <c r="B137">
        <f>DSDV!G142</f>
        <v>0</v>
      </c>
      <c r="C137" s="237">
        <f>DSDV!K142</f>
        <v>0</v>
      </c>
      <c r="D137" s="238">
        <f>DSDV!W142</f>
        <v>0</v>
      </c>
    </row>
    <row r="138" spans="1:4">
      <c r="A138">
        <f>DSDV!B143</f>
        <v>0</v>
      </c>
      <c r="B138">
        <f>DSDV!G143</f>
        <v>0</v>
      </c>
      <c r="C138" s="237">
        <f>DSDV!K143</f>
        <v>0</v>
      </c>
      <c r="D138" s="238">
        <f>DSDV!W143</f>
        <v>0</v>
      </c>
    </row>
    <row r="139" spans="1:4">
      <c r="A139">
        <f>DSDV!B144</f>
        <v>0</v>
      </c>
      <c r="B139">
        <f>DSDV!G144</f>
        <v>0</v>
      </c>
      <c r="C139" s="237">
        <f>DSDV!K144</f>
        <v>0</v>
      </c>
      <c r="D139" s="238">
        <f>DSDV!W144</f>
        <v>0</v>
      </c>
    </row>
    <row r="140" spans="1:4">
      <c r="A140">
        <f>DSDV!B145</f>
        <v>0</v>
      </c>
      <c r="B140">
        <f>DSDV!G145</f>
        <v>0</v>
      </c>
      <c r="C140" s="237">
        <f>DSDV!K145</f>
        <v>0</v>
      </c>
      <c r="D140" s="238">
        <f>DSDV!W145</f>
        <v>0</v>
      </c>
    </row>
    <row r="141" spans="1:4">
      <c r="A141">
        <f>DSDV!B146</f>
        <v>0</v>
      </c>
      <c r="B141">
        <f>DSDV!G146</f>
        <v>0</v>
      </c>
      <c r="C141" s="237">
        <f>DSDV!K146</f>
        <v>0</v>
      </c>
      <c r="D141" s="238">
        <f>DSDV!W146</f>
        <v>0</v>
      </c>
    </row>
    <row r="142" spans="1:4">
      <c r="A142">
        <f>DSDV!B147</f>
        <v>0</v>
      </c>
      <c r="B142">
        <f>DSDV!G147</f>
        <v>0</v>
      </c>
      <c r="C142" s="237">
        <f>DSDV!K147</f>
        <v>0</v>
      </c>
      <c r="D142" s="238">
        <f>DSDV!W147</f>
        <v>0</v>
      </c>
    </row>
    <row r="143" spans="1:4">
      <c r="A143">
        <f>DSDV!B148</f>
        <v>0</v>
      </c>
      <c r="B143">
        <f>DSDV!G148</f>
        <v>0</v>
      </c>
      <c r="C143" s="237">
        <f>DSDV!K148</f>
        <v>0</v>
      </c>
      <c r="D143" s="238">
        <f>DSDV!W148</f>
        <v>0</v>
      </c>
    </row>
    <row r="144" spans="1:4">
      <c r="A144">
        <f>DSDV!B149</f>
        <v>0</v>
      </c>
      <c r="B144">
        <f>DSDV!G149</f>
        <v>0</v>
      </c>
      <c r="C144" s="237">
        <f>DSDV!K149</f>
        <v>0</v>
      </c>
      <c r="D144" s="238">
        <f>DSDV!W149</f>
        <v>0</v>
      </c>
    </row>
    <row r="145" spans="1:4">
      <c r="A145">
        <f>DSDV!B150</f>
        <v>0</v>
      </c>
      <c r="B145">
        <f>DSDV!G150</f>
        <v>0</v>
      </c>
      <c r="C145" s="237">
        <f>DSDV!K150</f>
        <v>0</v>
      </c>
      <c r="D145" s="238">
        <f>DSDV!W150</f>
        <v>0</v>
      </c>
    </row>
    <row r="146" spans="1:4">
      <c r="A146">
        <f>DSDV!B151</f>
        <v>0</v>
      </c>
      <c r="B146">
        <f>DSDV!G151</f>
        <v>0</v>
      </c>
      <c r="C146" s="237">
        <f>DSDV!K151</f>
        <v>0</v>
      </c>
      <c r="D146" s="238">
        <f>DSDV!W151</f>
        <v>0</v>
      </c>
    </row>
    <row r="147" spans="1:4">
      <c r="A147">
        <f>DSDV!B152</f>
        <v>0</v>
      </c>
      <c r="B147">
        <f>DSDV!G152</f>
        <v>0</v>
      </c>
      <c r="C147" s="237">
        <f>DSDV!K152</f>
        <v>0</v>
      </c>
      <c r="D147" s="238">
        <f>DSDV!W152</f>
        <v>0</v>
      </c>
    </row>
    <row r="148" spans="1:4">
      <c r="A148">
        <f>DSDV!B153</f>
        <v>0</v>
      </c>
      <c r="B148">
        <f>DSDV!G153</f>
        <v>0</v>
      </c>
      <c r="C148" s="237">
        <f>DSDV!K153</f>
        <v>0</v>
      </c>
      <c r="D148" s="238">
        <f>DSDV!W153</f>
        <v>0</v>
      </c>
    </row>
    <row r="149" spans="1:4">
      <c r="A149">
        <f>DSDV!B154</f>
        <v>0</v>
      </c>
      <c r="B149">
        <f>DSDV!G154</f>
        <v>0</v>
      </c>
      <c r="C149" s="237">
        <f>DSDV!K154</f>
        <v>0</v>
      </c>
      <c r="D149" s="238">
        <f>DSDV!W154</f>
        <v>0</v>
      </c>
    </row>
    <row r="150" spans="1:4">
      <c r="A150">
        <f>DSDV!B155</f>
        <v>0</v>
      </c>
      <c r="B150">
        <f>DSDV!G155</f>
        <v>0</v>
      </c>
      <c r="C150" s="237">
        <f>DSDV!K155</f>
        <v>0</v>
      </c>
      <c r="D150" s="238">
        <f>DSDV!W155</f>
        <v>0</v>
      </c>
    </row>
    <row r="151" spans="1:4">
      <c r="A151">
        <f>DSDV!B156</f>
        <v>0</v>
      </c>
      <c r="B151">
        <f>DSDV!G156</f>
        <v>0</v>
      </c>
      <c r="C151" s="237">
        <f>DSDV!K156</f>
        <v>0</v>
      </c>
      <c r="D151" s="238">
        <f>DSDV!W156</f>
        <v>0</v>
      </c>
    </row>
    <row r="152" spans="1:4">
      <c r="A152">
        <f>DSDV!B157</f>
        <v>0</v>
      </c>
      <c r="B152">
        <f>DSDV!G157</f>
        <v>0</v>
      </c>
      <c r="C152" s="237">
        <f>DSDV!K157</f>
        <v>0</v>
      </c>
      <c r="D152" s="238">
        <f>DSDV!W157</f>
        <v>0</v>
      </c>
    </row>
    <row r="153" spans="1:4">
      <c r="A153">
        <f>DSDV!B158</f>
        <v>0</v>
      </c>
      <c r="B153">
        <f>DSDV!G158</f>
        <v>0</v>
      </c>
      <c r="C153" s="237">
        <f>DSDV!K158</f>
        <v>0</v>
      </c>
      <c r="D153" s="238">
        <f>DSDV!W158</f>
        <v>0</v>
      </c>
    </row>
    <row r="154" spans="1:4">
      <c r="A154">
        <f>DSDV!B159</f>
        <v>0</v>
      </c>
      <c r="B154">
        <f>DSDV!G159</f>
        <v>0</v>
      </c>
      <c r="C154" s="237">
        <f>DSDV!K159</f>
        <v>0</v>
      </c>
      <c r="D154" s="238">
        <f>DSDV!W159</f>
        <v>0</v>
      </c>
    </row>
    <row r="155" spans="1:4">
      <c r="A155">
        <f>DSDV!B160</f>
        <v>0</v>
      </c>
      <c r="B155">
        <f>DSDV!G160</f>
        <v>0</v>
      </c>
      <c r="C155" s="237">
        <f>DSDV!K160</f>
        <v>0</v>
      </c>
      <c r="D155" s="238">
        <f>DSDV!W160</f>
        <v>0</v>
      </c>
    </row>
    <row r="156" spans="1:4">
      <c r="A156">
        <f>DSDV!B161</f>
        <v>0</v>
      </c>
      <c r="B156">
        <f>DSDV!G161</f>
        <v>0</v>
      </c>
      <c r="C156" s="237">
        <f>DSDV!K161</f>
        <v>0</v>
      </c>
      <c r="D156" s="238">
        <f>DSDV!W161</f>
        <v>0</v>
      </c>
    </row>
    <row r="157" spans="1:4">
      <c r="A157">
        <f>DSDV!B162</f>
        <v>0</v>
      </c>
      <c r="B157">
        <f>DSDV!G162</f>
        <v>0</v>
      </c>
      <c r="C157" s="237">
        <f>DSDV!K162</f>
        <v>0</v>
      </c>
      <c r="D157" s="238">
        <f>DSDV!W162</f>
        <v>0</v>
      </c>
    </row>
    <row r="158" spans="1:4">
      <c r="A158">
        <f>DSDV!B163</f>
        <v>0</v>
      </c>
      <c r="B158">
        <f>DSDV!G163</f>
        <v>0</v>
      </c>
      <c r="C158" s="237">
        <f>DSDV!K163</f>
        <v>0</v>
      </c>
      <c r="D158" s="238">
        <f>DSDV!W163</f>
        <v>0</v>
      </c>
    </row>
    <row r="159" spans="1:4">
      <c r="A159">
        <f>DSDV!B164</f>
        <v>0</v>
      </c>
      <c r="B159">
        <f>DSDV!G164</f>
        <v>0</v>
      </c>
      <c r="C159" s="237">
        <f>DSDV!K164</f>
        <v>0</v>
      </c>
      <c r="D159" s="238">
        <f>DSDV!W164</f>
        <v>0</v>
      </c>
    </row>
    <row r="160" spans="1:4">
      <c r="A160">
        <f>DSDV!B165</f>
        <v>0</v>
      </c>
      <c r="B160">
        <f>DSDV!G165</f>
        <v>0</v>
      </c>
      <c r="C160" s="237">
        <f>DSDV!K165</f>
        <v>0</v>
      </c>
      <c r="D160" s="238">
        <f>DSDV!W165</f>
        <v>0</v>
      </c>
    </row>
    <row r="161" spans="1:4">
      <c r="A161">
        <f>DSDV!B166</f>
        <v>0</v>
      </c>
      <c r="B161">
        <f>DSDV!G166</f>
        <v>0</v>
      </c>
      <c r="C161" s="237">
        <f>DSDV!K166</f>
        <v>0</v>
      </c>
      <c r="D161" s="238">
        <f>DSDV!W166</f>
        <v>0</v>
      </c>
    </row>
    <row r="162" spans="1:4">
      <c r="A162">
        <f>DSDV!B167</f>
        <v>0</v>
      </c>
      <c r="B162">
        <f>DSDV!G167</f>
        <v>0</v>
      </c>
      <c r="C162" s="237">
        <f>DSDV!K167</f>
        <v>0</v>
      </c>
      <c r="D162" s="238">
        <f>DSDV!W167</f>
        <v>0</v>
      </c>
    </row>
    <row r="163" spans="1:4">
      <c r="A163">
        <f>DSDV!B168</f>
        <v>0</v>
      </c>
      <c r="B163">
        <f>DSDV!G168</f>
        <v>0</v>
      </c>
      <c r="C163" s="237">
        <f>DSDV!K168</f>
        <v>0</v>
      </c>
      <c r="D163" s="238">
        <f>DSDV!W168</f>
        <v>0</v>
      </c>
    </row>
    <row r="164" spans="1:4">
      <c r="A164">
        <f>DSDV!B169</f>
        <v>0</v>
      </c>
      <c r="B164">
        <f>DSDV!G169</f>
        <v>0</v>
      </c>
      <c r="C164" s="237">
        <f>DSDV!K169</f>
        <v>0</v>
      </c>
      <c r="D164" s="238">
        <f>DSDV!W169</f>
        <v>0</v>
      </c>
    </row>
    <row r="165" spans="1:4">
      <c r="A165">
        <f>DSDV!B170</f>
        <v>0</v>
      </c>
      <c r="B165">
        <f>DSDV!G170</f>
        <v>0</v>
      </c>
      <c r="C165" s="237">
        <f>DSDV!K170</f>
        <v>0</v>
      </c>
      <c r="D165" s="238">
        <f>DSDV!W170</f>
        <v>0</v>
      </c>
    </row>
    <row r="166" spans="1:4">
      <c r="A166">
        <f>DSDV!B171</f>
        <v>0</v>
      </c>
      <c r="B166">
        <f>DSDV!G171</f>
        <v>0</v>
      </c>
      <c r="C166" s="237">
        <f>DSDV!K171</f>
        <v>0</v>
      </c>
      <c r="D166" s="238">
        <f>DSDV!W171</f>
        <v>0</v>
      </c>
    </row>
    <row r="167" spans="1:4">
      <c r="A167">
        <f>DSDV!B172</f>
        <v>0</v>
      </c>
      <c r="B167">
        <f>DSDV!G172</f>
        <v>0</v>
      </c>
      <c r="C167" s="237">
        <f>DSDV!K172</f>
        <v>0</v>
      </c>
      <c r="D167" s="238">
        <f>DSDV!W172</f>
        <v>0</v>
      </c>
    </row>
    <row r="168" spans="1:4">
      <c r="A168">
        <f>DSDV!B173</f>
        <v>0</v>
      </c>
      <c r="B168">
        <f>DSDV!G173</f>
        <v>0</v>
      </c>
      <c r="C168" s="237">
        <f>DSDV!K173</f>
        <v>0</v>
      </c>
      <c r="D168" s="238">
        <f>DSDV!W173</f>
        <v>0</v>
      </c>
    </row>
    <row r="169" spans="1:4">
      <c r="A169">
        <f>DSDV!B174</f>
        <v>0</v>
      </c>
      <c r="B169">
        <f>DSDV!G174</f>
        <v>0</v>
      </c>
      <c r="C169" s="237">
        <f>DSDV!K174</f>
        <v>0</v>
      </c>
      <c r="D169" s="238">
        <f>DSDV!W174</f>
        <v>0</v>
      </c>
    </row>
    <row r="170" spans="1:4">
      <c r="A170">
        <f>DSDV!B175</f>
        <v>0</v>
      </c>
      <c r="B170">
        <f>DSDV!G175</f>
        <v>0</v>
      </c>
      <c r="C170" s="237">
        <f>DSDV!K175</f>
        <v>0</v>
      </c>
      <c r="D170" s="238">
        <f>DSDV!W175</f>
        <v>0</v>
      </c>
    </row>
    <row r="171" spans="1:4">
      <c r="A171">
        <f>DSDV!B176</f>
        <v>0</v>
      </c>
      <c r="B171">
        <f>DSDV!G176</f>
        <v>0</v>
      </c>
      <c r="C171" s="237">
        <f>DSDV!K176</f>
        <v>0</v>
      </c>
      <c r="D171" s="238">
        <f>DSDV!W176</f>
        <v>0</v>
      </c>
    </row>
    <row r="172" spans="1:4">
      <c r="A172">
        <f>DSDV!B177</f>
        <v>0</v>
      </c>
      <c r="B172">
        <f>DSDV!G177</f>
        <v>0</v>
      </c>
      <c r="C172" s="237">
        <f>DSDV!K177</f>
        <v>0</v>
      </c>
      <c r="D172" s="238">
        <f>DSDV!W177</f>
        <v>0</v>
      </c>
    </row>
    <row r="173" spans="1:4">
      <c r="A173">
        <f>DSDV!B178</f>
        <v>0</v>
      </c>
      <c r="B173">
        <f>DSDV!G178</f>
        <v>0</v>
      </c>
      <c r="C173" s="237">
        <f>DSDV!K178</f>
        <v>0</v>
      </c>
      <c r="D173" s="238">
        <f>DSDV!W178</f>
        <v>0</v>
      </c>
    </row>
    <row r="174" spans="1:4">
      <c r="A174">
        <f>DSDV!B179</f>
        <v>0</v>
      </c>
      <c r="B174">
        <f>DSDV!G179</f>
        <v>0</v>
      </c>
      <c r="C174" s="237">
        <f>DSDV!K179</f>
        <v>0</v>
      </c>
      <c r="D174" s="238">
        <f>DSDV!W179</f>
        <v>0</v>
      </c>
    </row>
    <row r="175" spans="1:4">
      <c r="A175">
        <f>DSDV!B180</f>
        <v>0</v>
      </c>
      <c r="B175">
        <f>DSDV!G180</f>
        <v>0</v>
      </c>
      <c r="C175" s="237">
        <f>DSDV!K180</f>
        <v>0</v>
      </c>
      <c r="D175" s="238">
        <f>DSDV!W180</f>
        <v>0</v>
      </c>
    </row>
    <row r="176" spans="1:4">
      <c r="A176">
        <f>DSDV!B181</f>
        <v>0</v>
      </c>
      <c r="B176">
        <f>DSDV!G181</f>
        <v>0</v>
      </c>
      <c r="C176" s="237">
        <f>DSDV!K181</f>
        <v>0</v>
      </c>
      <c r="D176" s="238">
        <f>DSDV!W181</f>
        <v>0</v>
      </c>
    </row>
    <row r="177" spans="1:4">
      <c r="A177">
        <f>DSDV!B182</f>
        <v>0</v>
      </c>
      <c r="B177">
        <f>DSDV!G182</f>
        <v>0</v>
      </c>
      <c r="C177" s="237">
        <f>DSDV!K182</f>
        <v>0</v>
      </c>
      <c r="D177" s="238">
        <f>DSDV!W182</f>
        <v>0</v>
      </c>
    </row>
    <row r="178" spans="1:4">
      <c r="A178">
        <f>DSDV!B183</f>
        <v>0</v>
      </c>
      <c r="B178">
        <f>DSDV!G183</f>
        <v>0</v>
      </c>
      <c r="C178" s="237">
        <f>DSDV!K183</f>
        <v>0</v>
      </c>
      <c r="D178" s="238">
        <f>DSDV!W183</f>
        <v>0</v>
      </c>
    </row>
    <row r="179" spans="1:4">
      <c r="A179">
        <f>DSDV!B184</f>
        <v>0</v>
      </c>
      <c r="B179">
        <f>DSDV!G184</f>
        <v>0</v>
      </c>
      <c r="C179" s="237">
        <f>DSDV!K184</f>
        <v>0</v>
      </c>
      <c r="D179" s="238">
        <f>DSDV!W184</f>
        <v>0</v>
      </c>
    </row>
    <row r="180" spans="1:4">
      <c r="A180">
        <f>DSDV!B185</f>
        <v>0</v>
      </c>
      <c r="B180">
        <f>DSDV!G185</f>
        <v>0</v>
      </c>
      <c r="C180" s="237">
        <f>DSDV!K185</f>
        <v>0</v>
      </c>
      <c r="D180" s="238">
        <f>DSDV!W185</f>
        <v>0</v>
      </c>
    </row>
    <row r="181" spans="1:4">
      <c r="A181">
        <f>DSDV!B186</f>
        <v>0</v>
      </c>
      <c r="B181">
        <f>DSDV!G186</f>
        <v>0</v>
      </c>
      <c r="C181" s="237">
        <f>DSDV!K186</f>
        <v>0</v>
      </c>
      <c r="D181" s="238">
        <f>DSDV!W186</f>
        <v>0</v>
      </c>
    </row>
    <row r="182" spans="1:4">
      <c r="A182">
        <f>DSDV!B187</f>
        <v>0</v>
      </c>
      <c r="B182">
        <f>DSDV!G187</f>
        <v>0</v>
      </c>
      <c r="C182" s="237">
        <f>DSDV!K187</f>
        <v>0</v>
      </c>
      <c r="D182" s="238">
        <f>DSDV!W187</f>
        <v>0</v>
      </c>
    </row>
    <row r="183" spans="1:4">
      <c r="A183">
        <f>DSDV!B188</f>
        <v>0</v>
      </c>
      <c r="B183">
        <f>DSDV!G188</f>
        <v>0</v>
      </c>
      <c r="C183" s="237">
        <f>DSDV!K188</f>
        <v>0</v>
      </c>
      <c r="D183" s="238">
        <f>DSDV!W188</f>
        <v>0</v>
      </c>
    </row>
    <row r="184" spans="1:4">
      <c r="A184">
        <f>DSDV!B189</f>
        <v>0</v>
      </c>
      <c r="B184">
        <f>DSDV!G189</f>
        <v>0</v>
      </c>
      <c r="C184" s="237">
        <f>DSDV!K189</f>
        <v>0</v>
      </c>
      <c r="D184" s="238">
        <f>DSDV!W189</f>
        <v>0</v>
      </c>
    </row>
    <row r="185" spans="1:4">
      <c r="A185">
        <f>DSDV!B190</f>
        <v>0</v>
      </c>
      <c r="B185">
        <f>DSDV!G190</f>
        <v>0</v>
      </c>
      <c r="C185" s="237">
        <f>DSDV!K190</f>
        <v>0</v>
      </c>
      <c r="D185" s="238">
        <f>DSDV!W190</f>
        <v>0</v>
      </c>
    </row>
    <row r="186" spans="1:4">
      <c r="A186">
        <f>DSDV!B191</f>
        <v>0</v>
      </c>
      <c r="B186">
        <f>DSDV!G191</f>
        <v>0</v>
      </c>
      <c r="C186" s="237">
        <f>DSDV!K191</f>
        <v>0</v>
      </c>
      <c r="D186" s="238">
        <f>DSDV!W191</f>
        <v>0</v>
      </c>
    </row>
    <row r="187" spans="1:4">
      <c r="A187">
        <f>DSDV!B192</f>
        <v>0</v>
      </c>
      <c r="B187">
        <f>DSDV!G192</f>
        <v>0</v>
      </c>
      <c r="C187" s="237">
        <f>DSDV!K192</f>
        <v>0</v>
      </c>
      <c r="D187" s="238">
        <f>DSDV!W192</f>
        <v>0</v>
      </c>
    </row>
    <row r="188" spans="1:4">
      <c r="A188">
        <f>DSDV!B193</f>
        <v>0</v>
      </c>
      <c r="B188">
        <f>DSDV!G193</f>
        <v>0</v>
      </c>
      <c r="C188" s="237">
        <f>DSDV!K193</f>
        <v>0</v>
      </c>
      <c r="D188" s="238">
        <f>DSDV!W193</f>
        <v>0</v>
      </c>
    </row>
    <row r="189" spans="1:4">
      <c r="A189">
        <f>DSDV!B194</f>
        <v>0</v>
      </c>
      <c r="B189">
        <f>DSDV!G194</f>
        <v>0</v>
      </c>
      <c r="C189" s="237">
        <f>DSDV!K194</f>
        <v>0</v>
      </c>
      <c r="D189" s="238">
        <f>DSDV!W194</f>
        <v>0</v>
      </c>
    </row>
    <row r="190" spans="1:4">
      <c r="A190">
        <f>DSDV!B195</f>
        <v>0</v>
      </c>
      <c r="B190">
        <f>DSDV!G195</f>
        <v>0</v>
      </c>
      <c r="C190" s="237">
        <f>DSDV!K195</f>
        <v>0</v>
      </c>
      <c r="D190" s="238">
        <f>DSDV!W195</f>
        <v>0</v>
      </c>
    </row>
    <row r="191" spans="1:4">
      <c r="A191">
        <f>DSDV!B196</f>
        <v>0</v>
      </c>
      <c r="B191">
        <f>DSDV!G196</f>
        <v>0</v>
      </c>
      <c r="C191" s="237">
        <f>DSDV!K196</f>
        <v>0</v>
      </c>
      <c r="D191" s="238">
        <f>DSDV!W196</f>
        <v>0</v>
      </c>
    </row>
    <row r="192" spans="1:4">
      <c r="A192">
        <f>DSDV!B197</f>
        <v>0</v>
      </c>
      <c r="B192">
        <f>DSDV!G197</f>
        <v>0</v>
      </c>
      <c r="C192" s="237">
        <f>DSDV!K197</f>
        <v>0</v>
      </c>
      <c r="D192" s="238">
        <f>DSDV!W197</f>
        <v>0</v>
      </c>
    </row>
    <row r="193" spans="1:4">
      <c r="A193">
        <f>DSDV!B198</f>
        <v>0</v>
      </c>
      <c r="B193">
        <f>DSDV!G198</f>
        <v>0</v>
      </c>
      <c r="C193" s="237">
        <f>DSDV!K198</f>
        <v>0</v>
      </c>
      <c r="D193" s="238">
        <f>DSDV!W198</f>
        <v>0</v>
      </c>
    </row>
    <row r="194" spans="1:4">
      <c r="A194">
        <f>DSDV!B199</f>
        <v>0</v>
      </c>
      <c r="B194">
        <f>DSDV!G199</f>
        <v>0</v>
      </c>
      <c r="C194" s="237">
        <f>DSDV!K199</f>
        <v>0</v>
      </c>
      <c r="D194" s="238">
        <f>DSDV!W199</f>
        <v>0</v>
      </c>
    </row>
    <row r="195" spans="1:4">
      <c r="A195">
        <f>DSDV!B200</f>
        <v>0</v>
      </c>
      <c r="B195">
        <f>DSDV!G200</f>
        <v>0</v>
      </c>
      <c r="C195" s="237">
        <f>DSDV!K200</f>
        <v>0</v>
      </c>
      <c r="D195" s="238">
        <f>DSDV!W200</f>
        <v>0</v>
      </c>
    </row>
    <row r="196" spans="1:4">
      <c r="A196">
        <f>DSDV!B201</f>
        <v>0</v>
      </c>
      <c r="B196">
        <f>DSDV!G201</f>
        <v>0</v>
      </c>
      <c r="C196" s="237">
        <f>DSDV!K201</f>
        <v>0</v>
      </c>
      <c r="D196" s="238">
        <f>DSDV!W201</f>
        <v>0</v>
      </c>
    </row>
    <row r="197" spans="1:4">
      <c r="A197">
        <f>DSDV!B202</f>
        <v>0</v>
      </c>
      <c r="B197">
        <f>DSDV!G202</f>
        <v>0</v>
      </c>
      <c r="C197" s="237">
        <f>DSDV!K202</f>
        <v>0</v>
      </c>
      <c r="D197" s="238">
        <f>DSDV!W202</f>
        <v>0</v>
      </c>
    </row>
    <row r="198" spans="1:4">
      <c r="A198">
        <f>DSDV!B203</f>
        <v>0</v>
      </c>
      <c r="B198">
        <f>DSDV!G203</f>
        <v>0</v>
      </c>
      <c r="C198" s="237">
        <f>DSDV!K203</f>
        <v>0</v>
      </c>
      <c r="D198" s="238">
        <f>DSDV!W203</f>
        <v>0</v>
      </c>
    </row>
    <row r="199" spans="1:4">
      <c r="A199">
        <f>DSDV!B204</f>
        <v>0</v>
      </c>
      <c r="B199">
        <f>DSDV!G204</f>
        <v>0</v>
      </c>
      <c r="C199" s="237">
        <f>DSDV!K204</f>
        <v>0</v>
      </c>
      <c r="D199" s="238">
        <f>DSDV!W204</f>
        <v>0</v>
      </c>
    </row>
    <row r="200" spans="1:4">
      <c r="A200">
        <f>DSDV!B205</f>
        <v>0</v>
      </c>
      <c r="B200">
        <f>DSDV!G205</f>
        <v>0</v>
      </c>
      <c r="C200" s="237">
        <f>DSDV!K205</f>
        <v>0</v>
      </c>
      <c r="D200" s="238">
        <f>DSDV!W205</f>
        <v>0</v>
      </c>
    </row>
    <row r="201" spans="1:4">
      <c r="A201">
        <f>DSDV!B206</f>
        <v>0</v>
      </c>
      <c r="B201">
        <f>DSDV!G206</f>
        <v>0</v>
      </c>
      <c r="C201" s="237">
        <f>DSDV!K206</f>
        <v>0</v>
      </c>
      <c r="D201" s="238">
        <f>DSDV!W206</f>
        <v>0</v>
      </c>
    </row>
    <row r="202" spans="1:4">
      <c r="A202">
        <f>DSDV!B207</f>
        <v>0</v>
      </c>
      <c r="B202">
        <f>DSDV!G207</f>
        <v>0</v>
      </c>
      <c r="C202" s="237">
        <f>DSDV!K207</f>
        <v>0</v>
      </c>
      <c r="D202" s="238">
        <f>DSDV!W207</f>
        <v>0</v>
      </c>
    </row>
    <row r="203" spans="1:4">
      <c r="A203">
        <f>DSDV!B208</f>
        <v>0</v>
      </c>
      <c r="B203">
        <f>DSDV!G208</f>
        <v>0</v>
      </c>
      <c r="C203" s="237">
        <f>DSDV!K208</f>
        <v>0</v>
      </c>
      <c r="D203" s="238">
        <f>DSDV!W208</f>
        <v>0</v>
      </c>
    </row>
    <row r="204" spans="1:4">
      <c r="A204">
        <f>DSDV!B209</f>
        <v>0</v>
      </c>
      <c r="B204">
        <f>DSDV!G209</f>
        <v>0</v>
      </c>
      <c r="C204" s="237">
        <f>DSDV!K209</f>
        <v>0</v>
      </c>
      <c r="D204" s="238">
        <f>DSDV!W209</f>
        <v>0</v>
      </c>
    </row>
    <row r="205" spans="1:4">
      <c r="A205">
        <f>DSDV!B210</f>
        <v>0</v>
      </c>
      <c r="B205">
        <f>DSDV!G210</f>
        <v>0</v>
      </c>
      <c r="C205" s="237">
        <f>DSDV!K210</f>
        <v>0</v>
      </c>
      <c r="D205" s="238">
        <f>DSDV!W210</f>
        <v>0</v>
      </c>
    </row>
    <row r="206" spans="1:4">
      <c r="A206">
        <f>DSDV!B211</f>
        <v>0</v>
      </c>
      <c r="B206">
        <f>DSDV!G211</f>
        <v>0</v>
      </c>
      <c r="C206" s="237">
        <f>DSDV!K211</f>
        <v>0</v>
      </c>
      <c r="D206" s="238">
        <f>DSDV!W211</f>
        <v>0</v>
      </c>
    </row>
    <row r="207" spans="1:4">
      <c r="A207">
        <f>DSDV!B212</f>
        <v>0</v>
      </c>
      <c r="B207">
        <f>DSDV!G212</f>
        <v>0</v>
      </c>
      <c r="C207" s="237">
        <f>DSDV!K212</f>
        <v>0</v>
      </c>
      <c r="D207" s="238">
        <f>DSDV!W212</f>
        <v>0</v>
      </c>
    </row>
    <row r="208" spans="1:4">
      <c r="A208">
        <f>DSDV!B213</f>
        <v>0</v>
      </c>
      <c r="B208">
        <f>DSDV!G213</f>
        <v>0</v>
      </c>
      <c r="C208" s="237">
        <f>DSDV!K213</f>
        <v>0</v>
      </c>
      <c r="D208" s="238">
        <f>DSDV!W213</f>
        <v>0</v>
      </c>
    </row>
    <row r="209" spans="1:4">
      <c r="A209">
        <f>DSDV!B214</f>
        <v>0</v>
      </c>
      <c r="B209">
        <f>DSDV!G214</f>
        <v>0</v>
      </c>
      <c r="C209" s="237">
        <f>DSDV!K214</f>
        <v>0</v>
      </c>
      <c r="D209" s="238">
        <f>DSDV!W214</f>
        <v>0</v>
      </c>
    </row>
    <row r="210" spans="1:4">
      <c r="A210">
        <f>DSDV!B215</f>
        <v>0</v>
      </c>
      <c r="B210">
        <f>DSDV!G215</f>
        <v>0</v>
      </c>
      <c r="C210" s="237">
        <f>DSDV!K215</f>
        <v>0</v>
      </c>
      <c r="D210" s="238">
        <f>DSDV!W215</f>
        <v>0</v>
      </c>
    </row>
    <row r="211" spans="1:4">
      <c r="A211">
        <f>DSDV!B216</f>
        <v>0</v>
      </c>
      <c r="B211">
        <f>DSDV!G216</f>
        <v>0</v>
      </c>
      <c r="C211" s="237">
        <f>DSDV!K216</f>
        <v>0</v>
      </c>
      <c r="D211" s="238">
        <f>DSDV!W216</f>
        <v>0</v>
      </c>
    </row>
    <row r="212" spans="1:4">
      <c r="A212">
        <f>DSDV!B217</f>
        <v>0</v>
      </c>
      <c r="B212">
        <f>DSDV!G217</f>
        <v>0</v>
      </c>
      <c r="C212" s="237">
        <f>DSDV!K217</f>
        <v>0</v>
      </c>
      <c r="D212" s="238">
        <f>DSDV!W217</f>
        <v>0</v>
      </c>
    </row>
    <row r="213" spans="1:4">
      <c r="A213">
        <f>DSDV!B218</f>
        <v>0</v>
      </c>
      <c r="B213">
        <f>DSDV!G218</f>
        <v>0</v>
      </c>
      <c r="C213" s="237">
        <f>DSDV!K218</f>
        <v>0</v>
      </c>
      <c r="D213" s="238">
        <f>DSDV!W218</f>
        <v>0</v>
      </c>
    </row>
    <row r="214" spans="1:4">
      <c r="A214">
        <f>DSDV!B219</f>
        <v>0</v>
      </c>
      <c r="B214">
        <f>DSDV!G219</f>
        <v>0</v>
      </c>
      <c r="C214" s="237">
        <f>DSDV!K219</f>
        <v>0</v>
      </c>
      <c r="D214" s="238">
        <f>DSDV!W219</f>
        <v>0</v>
      </c>
    </row>
    <row r="215" spans="1:4">
      <c r="A215">
        <f>DSDV!B220</f>
        <v>0</v>
      </c>
      <c r="B215">
        <f>DSDV!G220</f>
        <v>0</v>
      </c>
      <c r="C215" s="237">
        <f>DSDV!K220</f>
        <v>0</v>
      </c>
      <c r="D215" s="238">
        <f>DSDV!W220</f>
        <v>0</v>
      </c>
    </row>
    <row r="216" spans="1:4">
      <c r="A216">
        <f>DSDV!B221</f>
        <v>0</v>
      </c>
      <c r="B216">
        <f>DSDV!G221</f>
        <v>0</v>
      </c>
      <c r="C216" s="237">
        <f>DSDV!K221</f>
        <v>0</v>
      </c>
      <c r="D216" s="238">
        <f>DSDV!W221</f>
        <v>0</v>
      </c>
    </row>
    <row r="217" spans="1:4">
      <c r="A217">
        <f>DSDV!B222</f>
        <v>0</v>
      </c>
      <c r="B217">
        <f>DSDV!G222</f>
        <v>0</v>
      </c>
      <c r="C217" s="237">
        <f>DSDV!K222</f>
        <v>0</v>
      </c>
      <c r="D217" s="238">
        <f>DSDV!W222</f>
        <v>0</v>
      </c>
    </row>
    <row r="218" spans="1:4">
      <c r="A218">
        <f>DSDV!B223</f>
        <v>0</v>
      </c>
      <c r="B218">
        <f>DSDV!G223</f>
        <v>0</v>
      </c>
      <c r="C218" s="237">
        <f>DSDV!K223</f>
        <v>0</v>
      </c>
      <c r="D218" s="238">
        <f>DSDV!W223</f>
        <v>0</v>
      </c>
    </row>
    <row r="219" spans="1:4">
      <c r="A219">
        <f>DSDV!B224</f>
        <v>0</v>
      </c>
      <c r="B219">
        <f>DSDV!G224</f>
        <v>0</v>
      </c>
      <c r="C219" s="237">
        <f>DSDV!K224</f>
        <v>0</v>
      </c>
      <c r="D219" s="238">
        <f>DSDV!W224</f>
        <v>0</v>
      </c>
    </row>
    <row r="220" spans="1:4">
      <c r="A220">
        <f>DSDV!B225</f>
        <v>0</v>
      </c>
      <c r="B220">
        <f>DSDV!G225</f>
        <v>0</v>
      </c>
      <c r="C220" s="237">
        <f>DSDV!K225</f>
        <v>0</v>
      </c>
      <c r="D220" s="238">
        <f>DSDV!W225</f>
        <v>0</v>
      </c>
    </row>
    <row r="221" spans="1:4">
      <c r="A221">
        <f>DSDV!B226</f>
        <v>0</v>
      </c>
      <c r="B221">
        <f>DSDV!G226</f>
        <v>0</v>
      </c>
      <c r="C221" s="237">
        <f>DSDV!K226</f>
        <v>0</v>
      </c>
      <c r="D221" s="238">
        <f>DSDV!W226</f>
        <v>0</v>
      </c>
    </row>
    <row r="222" spans="1:4">
      <c r="A222">
        <f>DSDV!B227</f>
        <v>0</v>
      </c>
      <c r="B222">
        <f>DSDV!G227</f>
        <v>0</v>
      </c>
      <c r="C222" s="237">
        <f>DSDV!K227</f>
        <v>0</v>
      </c>
      <c r="D222" s="238">
        <f>DSDV!W227</f>
        <v>0</v>
      </c>
    </row>
    <row r="223" spans="1:4">
      <c r="A223">
        <f>DSDV!B228</f>
        <v>0</v>
      </c>
      <c r="B223">
        <f>DSDV!G228</f>
        <v>0</v>
      </c>
      <c r="C223" s="237">
        <f>DSDV!K228</f>
        <v>0</v>
      </c>
      <c r="D223" s="238">
        <f>DSDV!W228</f>
        <v>0</v>
      </c>
    </row>
    <row r="224" spans="1:4">
      <c r="A224">
        <f>DSDV!B229</f>
        <v>0</v>
      </c>
      <c r="B224">
        <f>DSDV!G229</f>
        <v>0</v>
      </c>
      <c r="C224" s="237">
        <f>DSDV!K229</f>
        <v>0</v>
      </c>
      <c r="D224" s="238">
        <f>DSDV!W229</f>
        <v>0</v>
      </c>
    </row>
    <row r="225" spans="1:4">
      <c r="A225">
        <f>DSDV!B230</f>
        <v>0</v>
      </c>
      <c r="B225">
        <f>DSDV!G230</f>
        <v>0</v>
      </c>
      <c r="C225" s="237">
        <f>DSDV!K230</f>
        <v>0</v>
      </c>
      <c r="D225" s="238">
        <f>DSDV!W230</f>
        <v>0</v>
      </c>
    </row>
    <row r="226" spans="1:4">
      <c r="A226">
        <f>DSDV!B231</f>
        <v>0</v>
      </c>
      <c r="B226">
        <f>DSDV!G231</f>
        <v>0</v>
      </c>
      <c r="C226" s="237">
        <f>DSDV!K231</f>
        <v>0</v>
      </c>
      <c r="D226" s="238">
        <f>DSDV!W231</f>
        <v>0</v>
      </c>
    </row>
    <row r="227" spans="1:4">
      <c r="A227">
        <f>DSDV!B232</f>
        <v>0</v>
      </c>
      <c r="B227">
        <f>DSDV!G232</f>
        <v>0</v>
      </c>
      <c r="C227" s="237">
        <f>DSDV!K232</f>
        <v>0</v>
      </c>
      <c r="D227" s="238">
        <f>DSDV!W232</f>
        <v>0</v>
      </c>
    </row>
    <row r="228" spans="1:4">
      <c r="A228">
        <f>DSDV!B233</f>
        <v>0</v>
      </c>
      <c r="B228">
        <f>DSDV!G233</f>
        <v>0</v>
      </c>
      <c r="C228" s="237">
        <f>DSDV!K233</f>
        <v>0</v>
      </c>
      <c r="D228" s="238">
        <f>DSDV!W233</f>
        <v>0</v>
      </c>
    </row>
    <row r="229" spans="1:4">
      <c r="A229">
        <f>DSDV!B234</f>
        <v>0</v>
      </c>
      <c r="B229">
        <f>DSDV!G234</f>
        <v>0</v>
      </c>
      <c r="C229" s="237">
        <f>DSDV!K234</f>
        <v>0</v>
      </c>
      <c r="D229" s="238">
        <f>DSDV!W234</f>
        <v>0</v>
      </c>
    </row>
    <row r="230" spans="1:4">
      <c r="A230">
        <f>DSDV!B235</f>
        <v>0</v>
      </c>
      <c r="B230">
        <f>DSDV!G235</f>
        <v>0</v>
      </c>
      <c r="C230" s="237">
        <f>DSDV!K235</f>
        <v>0</v>
      </c>
      <c r="D230" s="238">
        <f>DSDV!W235</f>
        <v>0</v>
      </c>
    </row>
    <row r="231" spans="1:4">
      <c r="A231">
        <f>DSDV!B236</f>
        <v>0</v>
      </c>
      <c r="B231">
        <f>DSDV!G236</f>
        <v>0</v>
      </c>
      <c r="C231" s="237">
        <f>DSDV!K236</f>
        <v>0</v>
      </c>
      <c r="D231" s="238">
        <f>DSDV!W236</f>
        <v>0</v>
      </c>
    </row>
    <row r="232" spans="1:4">
      <c r="A232">
        <f>DSDV!B237</f>
        <v>0</v>
      </c>
      <c r="B232">
        <f>DSDV!G237</f>
        <v>0</v>
      </c>
      <c r="C232" s="237">
        <f>DSDV!K237</f>
        <v>0</v>
      </c>
      <c r="D232" s="238">
        <f>DSDV!W237</f>
        <v>0</v>
      </c>
    </row>
    <row r="233" spans="1:4">
      <c r="A233">
        <f>DSDV!B238</f>
        <v>0</v>
      </c>
      <c r="B233">
        <f>DSDV!G238</f>
        <v>0</v>
      </c>
      <c r="C233" s="237">
        <f>DSDV!K238</f>
        <v>0</v>
      </c>
      <c r="D233" s="238">
        <f>DSDV!W238</f>
        <v>0</v>
      </c>
    </row>
    <row r="234" spans="1:4">
      <c r="A234">
        <f>DSDV!B239</f>
        <v>0</v>
      </c>
      <c r="B234">
        <f>DSDV!G239</f>
        <v>0</v>
      </c>
      <c r="C234" s="237">
        <f>DSDV!K239</f>
        <v>0</v>
      </c>
      <c r="D234" s="238">
        <f>DSDV!W239</f>
        <v>0</v>
      </c>
    </row>
    <row r="235" spans="1:4">
      <c r="A235">
        <f>DSDV!B240</f>
        <v>0</v>
      </c>
      <c r="B235">
        <f>DSDV!G240</f>
        <v>0</v>
      </c>
      <c r="C235" s="237">
        <f>DSDV!K240</f>
        <v>0</v>
      </c>
      <c r="D235" s="238">
        <f>DSDV!W240</f>
        <v>0</v>
      </c>
    </row>
    <row r="236" spans="1:4">
      <c r="A236">
        <f>DSDV!B241</f>
        <v>0</v>
      </c>
      <c r="B236">
        <f>DSDV!G241</f>
        <v>0</v>
      </c>
      <c r="C236" s="237">
        <f>DSDV!K241</f>
        <v>0</v>
      </c>
      <c r="D236" s="238">
        <f>DSDV!W241</f>
        <v>0</v>
      </c>
    </row>
    <row r="237" spans="1:4">
      <c r="A237">
        <f>DSDV!B242</f>
        <v>0</v>
      </c>
      <c r="B237">
        <f>DSDV!G242</f>
        <v>0</v>
      </c>
      <c r="C237" s="237">
        <f>DSDV!K242</f>
        <v>0</v>
      </c>
      <c r="D237" s="238">
        <f>DSDV!W242</f>
        <v>0</v>
      </c>
    </row>
    <row r="238" spans="1:4">
      <c r="A238">
        <f>DSDV!B243</f>
        <v>0</v>
      </c>
      <c r="B238">
        <f>DSDV!G243</f>
        <v>0</v>
      </c>
      <c r="C238" s="237">
        <f>DSDV!K243</f>
        <v>0</v>
      </c>
      <c r="D238" s="238">
        <f>DSDV!W243</f>
        <v>0</v>
      </c>
    </row>
    <row r="239" spans="1:4">
      <c r="A239">
        <f>DSDV!B244</f>
        <v>0</v>
      </c>
      <c r="B239">
        <f>DSDV!G244</f>
        <v>0</v>
      </c>
      <c r="C239" s="237">
        <f>DSDV!K244</f>
        <v>0</v>
      </c>
      <c r="D239" s="238">
        <f>DSDV!W244</f>
        <v>0</v>
      </c>
    </row>
    <row r="240" spans="1:4">
      <c r="A240">
        <f>DSDV!B245</f>
        <v>0</v>
      </c>
      <c r="B240">
        <f>DSDV!G245</f>
        <v>0</v>
      </c>
      <c r="C240" s="237">
        <f>DSDV!K245</f>
        <v>0</v>
      </c>
      <c r="D240" s="238">
        <f>DSDV!W245</f>
        <v>0</v>
      </c>
    </row>
    <row r="241" spans="1:4">
      <c r="A241">
        <f>DSDV!B246</f>
        <v>0</v>
      </c>
      <c r="B241">
        <f>DSDV!G246</f>
        <v>0</v>
      </c>
      <c r="C241" s="237">
        <f>DSDV!K246</f>
        <v>0</v>
      </c>
      <c r="D241" s="238">
        <f>DSDV!W246</f>
        <v>0</v>
      </c>
    </row>
    <row r="242" spans="1:4">
      <c r="A242">
        <f>DSDV!B247</f>
        <v>0</v>
      </c>
      <c r="B242">
        <f>DSDV!G247</f>
        <v>0</v>
      </c>
      <c r="C242" s="237">
        <f>DSDV!K247</f>
        <v>0</v>
      </c>
      <c r="D242" s="238">
        <f>DSDV!W247</f>
        <v>0</v>
      </c>
    </row>
    <row r="243" spans="1:4">
      <c r="A243">
        <f>DSDV!B248</f>
        <v>0</v>
      </c>
      <c r="B243">
        <f>DSDV!G248</f>
        <v>0</v>
      </c>
      <c r="C243" s="237">
        <f>DSDV!K248</f>
        <v>0</v>
      </c>
      <c r="D243" s="238">
        <f>DSDV!W248</f>
        <v>0</v>
      </c>
    </row>
    <row r="244" spans="1:4">
      <c r="A244">
        <f>DSDV!B249</f>
        <v>0</v>
      </c>
      <c r="B244">
        <f>DSDV!G249</f>
        <v>0</v>
      </c>
      <c r="C244" s="237">
        <f>DSDV!K249</f>
        <v>0</v>
      </c>
      <c r="D244" s="238">
        <f>DSDV!W249</f>
        <v>0</v>
      </c>
    </row>
    <row r="245" spans="1:4">
      <c r="A245">
        <f>DSDV!B250</f>
        <v>0</v>
      </c>
      <c r="B245">
        <f>DSDV!G250</f>
        <v>0</v>
      </c>
      <c r="C245" s="237">
        <f>DSDV!K250</f>
        <v>0</v>
      </c>
      <c r="D245" s="238">
        <f>DSDV!W250</f>
        <v>0</v>
      </c>
    </row>
    <row r="246" spans="1:4">
      <c r="A246">
        <f>DSDV!B251</f>
        <v>0</v>
      </c>
      <c r="B246">
        <f>DSDV!G251</f>
        <v>0</v>
      </c>
      <c r="C246" s="237">
        <f>DSDV!K251</f>
        <v>0</v>
      </c>
      <c r="D246" s="238">
        <f>DSDV!W251</f>
        <v>0</v>
      </c>
    </row>
    <row r="247" spans="1:4">
      <c r="A247">
        <f>DSDV!B252</f>
        <v>0</v>
      </c>
      <c r="B247">
        <f>DSDV!G252</f>
        <v>0</v>
      </c>
      <c r="C247" s="237">
        <f>DSDV!K252</f>
        <v>0</v>
      </c>
      <c r="D247" s="238">
        <f>DSDV!W252</f>
        <v>0</v>
      </c>
    </row>
    <row r="248" spans="1:4">
      <c r="A248">
        <f>DSDV!B253</f>
        <v>0</v>
      </c>
      <c r="B248">
        <f>DSDV!G253</f>
        <v>0</v>
      </c>
      <c r="C248" s="237">
        <f>DSDV!K253</f>
        <v>0</v>
      </c>
      <c r="D248" s="238">
        <f>DSDV!W253</f>
        <v>0</v>
      </c>
    </row>
    <row r="249" spans="1:4">
      <c r="A249">
        <f>DSDV!B254</f>
        <v>0</v>
      </c>
      <c r="B249">
        <f>DSDV!G254</f>
        <v>0</v>
      </c>
      <c r="C249" s="237">
        <f>DSDV!K254</f>
        <v>0</v>
      </c>
      <c r="D249" s="238">
        <f>DSDV!W254</f>
        <v>0</v>
      </c>
    </row>
    <row r="250" spans="1:4">
      <c r="A250">
        <f>DSDV!B255</f>
        <v>0</v>
      </c>
      <c r="B250">
        <f>DSDV!G255</f>
        <v>0</v>
      </c>
      <c r="C250" s="237">
        <f>DSDV!K255</f>
        <v>0</v>
      </c>
      <c r="D250" s="238">
        <f>DSDV!W255</f>
        <v>0</v>
      </c>
    </row>
    <row r="251" spans="1:4">
      <c r="A251">
        <f>DSDV!B256</f>
        <v>0</v>
      </c>
      <c r="B251">
        <f>DSDV!G256</f>
        <v>0</v>
      </c>
      <c r="C251" s="237">
        <f>DSDV!K256</f>
        <v>0</v>
      </c>
      <c r="D251" s="238">
        <f>DSDV!W256</f>
        <v>0</v>
      </c>
    </row>
    <row r="252" spans="1:4">
      <c r="A252">
        <f>DSDV!B257</f>
        <v>0</v>
      </c>
      <c r="B252">
        <f>DSDV!G257</f>
        <v>0</v>
      </c>
      <c r="C252" s="237">
        <f>DSDV!K257</f>
        <v>0</v>
      </c>
      <c r="D252" s="238">
        <f>DSDV!W257</f>
        <v>0</v>
      </c>
    </row>
    <row r="253" spans="1:4">
      <c r="A253">
        <f>DSDV!B258</f>
        <v>0</v>
      </c>
      <c r="B253">
        <f>DSDV!G258</f>
        <v>0</v>
      </c>
      <c r="C253" s="237">
        <f>DSDV!K258</f>
        <v>0</v>
      </c>
      <c r="D253" s="238">
        <f>DSDV!W258</f>
        <v>0</v>
      </c>
    </row>
    <row r="254" spans="1:4">
      <c r="A254">
        <f>DSDV!B259</f>
        <v>0</v>
      </c>
      <c r="B254">
        <f>DSDV!G259</f>
        <v>0</v>
      </c>
      <c r="C254" s="237">
        <f>DSDV!K259</f>
        <v>0</v>
      </c>
      <c r="D254" s="238">
        <f>DSDV!W259</f>
        <v>0</v>
      </c>
    </row>
    <row r="255" spans="1:4">
      <c r="A255">
        <f>DSDV!B260</f>
        <v>0</v>
      </c>
      <c r="B255">
        <f>DSDV!G260</f>
        <v>0</v>
      </c>
      <c r="C255" s="237">
        <f>DSDV!K260</f>
        <v>0</v>
      </c>
      <c r="D255" s="238">
        <f>DSDV!W260</f>
        <v>0</v>
      </c>
    </row>
    <row r="256" spans="1:4">
      <c r="A256">
        <f>DSDV!B261</f>
        <v>0</v>
      </c>
      <c r="B256">
        <f>DSDV!G261</f>
        <v>0</v>
      </c>
      <c r="C256" s="237">
        <f>DSDV!K261</f>
        <v>0</v>
      </c>
      <c r="D256" s="238">
        <f>DSDV!W261</f>
        <v>0</v>
      </c>
    </row>
    <row r="257" spans="1:4">
      <c r="A257">
        <f>DSDV!B262</f>
        <v>0</v>
      </c>
      <c r="B257">
        <f>DSDV!G262</f>
        <v>0</v>
      </c>
      <c r="C257" s="237">
        <f>DSDV!K262</f>
        <v>0</v>
      </c>
      <c r="D257" s="238">
        <f>DSDV!W262</f>
        <v>0</v>
      </c>
    </row>
    <row r="258" spans="1:4">
      <c r="A258">
        <f>DSDV!B263</f>
        <v>0</v>
      </c>
      <c r="B258">
        <f>DSDV!G263</f>
        <v>0</v>
      </c>
      <c r="C258" s="237">
        <f>DSDV!K263</f>
        <v>0</v>
      </c>
      <c r="D258" s="238">
        <f>DSDV!W263</f>
        <v>0</v>
      </c>
    </row>
    <row r="259" spans="1:4">
      <c r="A259">
        <f>DSDV!B264</f>
        <v>0</v>
      </c>
      <c r="B259">
        <f>DSDV!G264</f>
        <v>0</v>
      </c>
      <c r="C259" s="237">
        <f>DSDV!K264</f>
        <v>0</v>
      </c>
      <c r="D259" s="238">
        <f>DSDV!W264</f>
        <v>0</v>
      </c>
    </row>
    <row r="260" spans="1:4">
      <c r="A260">
        <f>DSDV!B265</f>
        <v>0</v>
      </c>
      <c r="B260">
        <f>DSDV!G265</f>
        <v>0</v>
      </c>
      <c r="C260" s="237">
        <f>DSDV!K265</f>
        <v>0</v>
      </c>
      <c r="D260" s="238">
        <f>DSDV!W265</f>
        <v>0</v>
      </c>
    </row>
    <row r="261" spans="1:4">
      <c r="A261">
        <f>DSDV!B266</f>
        <v>0</v>
      </c>
      <c r="B261">
        <f>DSDV!G266</f>
        <v>0</v>
      </c>
      <c r="C261" s="237">
        <f>DSDV!K266</f>
        <v>0</v>
      </c>
      <c r="D261" s="238">
        <f>DSDV!W266</f>
        <v>0</v>
      </c>
    </row>
    <row r="262" spans="1:4">
      <c r="A262">
        <f>DSDV!B267</f>
        <v>0</v>
      </c>
      <c r="B262">
        <f>DSDV!G267</f>
        <v>0</v>
      </c>
      <c r="C262" s="237">
        <f>DSDV!K267</f>
        <v>0</v>
      </c>
      <c r="D262" s="238">
        <f>DSDV!W267</f>
        <v>0</v>
      </c>
    </row>
    <row r="263" spans="1:4">
      <c r="A263">
        <f>DSDV!B268</f>
        <v>0</v>
      </c>
      <c r="B263">
        <f>DSDV!G268</f>
        <v>0</v>
      </c>
      <c r="C263" s="237">
        <f>DSDV!K268</f>
        <v>0</v>
      </c>
      <c r="D263" s="238">
        <f>DSDV!W268</f>
        <v>0</v>
      </c>
    </row>
    <row r="264" spans="1:4">
      <c r="A264">
        <f>DSDV!B269</f>
        <v>0</v>
      </c>
      <c r="B264">
        <f>DSDV!G269</f>
        <v>0</v>
      </c>
      <c r="C264" s="237">
        <f>DSDV!K269</f>
        <v>0</v>
      </c>
      <c r="D264" s="238">
        <f>DSDV!W269</f>
        <v>0</v>
      </c>
    </row>
    <row r="265" spans="1:4">
      <c r="A265">
        <f>DSDV!B270</f>
        <v>0</v>
      </c>
      <c r="B265">
        <f>DSDV!G270</f>
        <v>0</v>
      </c>
      <c r="C265" s="237">
        <f>DSDV!K270</f>
        <v>0</v>
      </c>
      <c r="D265" s="238">
        <f>DSDV!W270</f>
        <v>0</v>
      </c>
    </row>
    <row r="266" spans="1:4">
      <c r="A266">
        <f>DSDV!B271</f>
        <v>0</v>
      </c>
      <c r="B266">
        <f>DSDV!G271</f>
        <v>0</v>
      </c>
      <c r="C266" s="237">
        <f>DSDV!K271</f>
        <v>0</v>
      </c>
      <c r="D266" s="238">
        <f>DSDV!W271</f>
        <v>0</v>
      </c>
    </row>
    <row r="267" spans="1:4">
      <c r="A267">
        <f>DSDV!B272</f>
        <v>0</v>
      </c>
      <c r="B267">
        <f>DSDV!G272</f>
        <v>0</v>
      </c>
      <c r="C267" s="237">
        <f>DSDV!K272</f>
        <v>0</v>
      </c>
      <c r="D267" s="238">
        <f>DSDV!W272</f>
        <v>0</v>
      </c>
    </row>
    <row r="268" spans="1:4">
      <c r="A268">
        <f>DSDV!B273</f>
        <v>0</v>
      </c>
      <c r="B268">
        <f>DSDV!G273</f>
        <v>0</v>
      </c>
      <c r="C268" s="237">
        <f>DSDV!K273</f>
        <v>0</v>
      </c>
      <c r="D268" s="238">
        <f>DSDV!W273</f>
        <v>0</v>
      </c>
    </row>
    <row r="269" spans="1:4">
      <c r="A269">
        <f>DSDV!B274</f>
        <v>0</v>
      </c>
      <c r="B269">
        <f>DSDV!G274</f>
        <v>0</v>
      </c>
      <c r="C269" s="237">
        <f>DSDV!K274</f>
        <v>0</v>
      </c>
      <c r="D269" s="238">
        <f>DSDV!W274</f>
        <v>0</v>
      </c>
    </row>
    <row r="270" spans="1:4">
      <c r="A270">
        <f>DSDV!B275</f>
        <v>0</v>
      </c>
      <c r="B270">
        <f>DSDV!G275</f>
        <v>0</v>
      </c>
      <c r="C270" s="237">
        <f>DSDV!K275</f>
        <v>0</v>
      </c>
      <c r="D270" s="238">
        <f>DSDV!W275</f>
        <v>0</v>
      </c>
    </row>
    <row r="271" spans="1:4">
      <c r="A271">
        <f>DSDV!B276</f>
        <v>0</v>
      </c>
      <c r="B271">
        <f>DSDV!G276</f>
        <v>0</v>
      </c>
      <c r="C271" s="237">
        <f>DSDV!K276</f>
        <v>0</v>
      </c>
      <c r="D271" s="238">
        <f>DSDV!W276</f>
        <v>0</v>
      </c>
    </row>
    <row r="272" spans="1:4">
      <c r="A272">
        <f>DSDV!B277</f>
        <v>0</v>
      </c>
      <c r="B272">
        <f>DSDV!G277</f>
        <v>0</v>
      </c>
      <c r="C272" s="237">
        <f>DSDV!K277</f>
        <v>0</v>
      </c>
      <c r="D272" s="238">
        <f>DSDV!W277</f>
        <v>0</v>
      </c>
    </row>
    <row r="273" spans="1:4">
      <c r="A273">
        <f>DSDV!B278</f>
        <v>0</v>
      </c>
      <c r="B273">
        <f>DSDV!G278</f>
        <v>0</v>
      </c>
      <c r="C273" s="237">
        <f>DSDV!K278</f>
        <v>0</v>
      </c>
      <c r="D273" s="238">
        <f>DSDV!W278</f>
        <v>0</v>
      </c>
    </row>
    <row r="274" spans="1:4">
      <c r="A274">
        <f>DSDV!B279</f>
        <v>0</v>
      </c>
      <c r="B274">
        <f>DSDV!G279</f>
        <v>0</v>
      </c>
      <c r="C274" s="237">
        <f>DSDV!K279</f>
        <v>0</v>
      </c>
      <c r="D274" s="238">
        <f>DSDV!W279</f>
        <v>0</v>
      </c>
    </row>
    <row r="275" spans="1:4">
      <c r="A275">
        <f>DSDV!B280</f>
        <v>0</v>
      </c>
      <c r="B275">
        <f>DSDV!G280</f>
        <v>0</v>
      </c>
      <c r="C275" s="237">
        <f>DSDV!K280</f>
        <v>0</v>
      </c>
      <c r="D275" s="238">
        <f>DSDV!W280</f>
        <v>0</v>
      </c>
    </row>
    <row r="276" spans="1:4">
      <c r="A276">
        <f>DSDV!B281</f>
        <v>0</v>
      </c>
      <c r="B276">
        <f>DSDV!G281</f>
        <v>0</v>
      </c>
      <c r="C276" s="237">
        <f>DSDV!K281</f>
        <v>0</v>
      </c>
      <c r="D276" s="238">
        <f>DSDV!W281</f>
        <v>0</v>
      </c>
    </row>
    <row r="277" spans="1:4">
      <c r="A277">
        <f>DSDV!B282</f>
        <v>0</v>
      </c>
      <c r="B277">
        <f>DSDV!G282</f>
        <v>0</v>
      </c>
      <c r="C277" s="237">
        <f>DSDV!K282</f>
        <v>0</v>
      </c>
      <c r="D277" s="238">
        <f>DSDV!W282</f>
        <v>0</v>
      </c>
    </row>
    <row r="278" spans="1:4">
      <c r="A278">
        <f>DSDV!B283</f>
        <v>0</v>
      </c>
      <c r="B278">
        <f>DSDV!G283</f>
        <v>0</v>
      </c>
      <c r="C278" s="237">
        <f>DSDV!K283</f>
        <v>0</v>
      </c>
      <c r="D278" s="238">
        <f>DSDV!W283</f>
        <v>0</v>
      </c>
    </row>
    <row r="279" spans="1:4">
      <c r="A279">
        <f>DSDV!B284</f>
        <v>0</v>
      </c>
      <c r="B279">
        <f>DSDV!G284</f>
        <v>0</v>
      </c>
      <c r="C279" s="237">
        <f>DSDV!K284</f>
        <v>0</v>
      </c>
      <c r="D279" s="238">
        <f>DSDV!W284</f>
        <v>0</v>
      </c>
    </row>
    <row r="280" spans="1:4">
      <c r="A280">
        <f>DSDV!B285</f>
        <v>0</v>
      </c>
      <c r="B280">
        <f>DSDV!G285</f>
        <v>0</v>
      </c>
      <c r="C280" s="237">
        <f>DSDV!K285</f>
        <v>0</v>
      </c>
      <c r="D280" s="238">
        <f>DSDV!W285</f>
        <v>0</v>
      </c>
    </row>
    <row r="281" spans="1:4">
      <c r="A281">
        <f>DSDV!B286</f>
        <v>0</v>
      </c>
      <c r="B281">
        <f>DSDV!G286</f>
        <v>0</v>
      </c>
      <c r="C281" s="237">
        <f>DSDV!K286</f>
        <v>0</v>
      </c>
      <c r="D281" s="238">
        <f>DSDV!W286</f>
        <v>0</v>
      </c>
    </row>
    <row r="282" spans="1:4">
      <c r="A282">
        <f>DSDV!B287</f>
        <v>0</v>
      </c>
      <c r="B282">
        <f>DSDV!G287</f>
        <v>0</v>
      </c>
      <c r="C282" s="237">
        <f>DSDV!K287</f>
        <v>0</v>
      </c>
      <c r="D282" s="238">
        <f>DSDV!W287</f>
        <v>0</v>
      </c>
    </row>
    <row r="283" spans="1:4">
      <c r="A283">
        <f>DSDV!B288</f>
        <v>0</v>
      </c>
      <c r="B283">
        <f>DSDV!G288</f>
        <v>0</v>
      </c>
      <c r="C283" s="237">
        <f>DSDV!K288</f>
        <v>0</v>
      </c>
      <c r="D283" s="238">
        <f>DSDV!W288</f>
        <v>0</v>
      </c>
    </row>
    <row r="284" spans="1:4">
      <c r="A284">
        <f>DSDV!B289</f>
        <v>0</v>
      </c>
      <c r="B284">
        <f>DSDV!G289</f>
        <v>0</v>
      </c>
      <c r="C284" s="237">
        <f>DSDV!K289</f>
        <v>0</v>
      </c>
      <c r="D284" s="238">
        <f>DSDV!W289</f>
        <v>0</v>
      </c>
    </row>
    <row r="285" spans="1:4">
      <c r="A285">
        <f>DSDV!B290</f>
        <v>0</v>
      </c>
      <c r="B285">
        <f>DSDV!G290</f>
        <v>0</v>
      </c>
      <c r="C285" s="237">
        <f>DSDV!K290</f>
        <v>0</v>
      </c>
      <c r="D285" s="238">
        <f>DSDV!W290</f>
        <v>0</v>
      </c>
    </row>
    <row r="286" spans="1:4">
      <c r="A286">
        <f>DSDV!B291</f>
        <v>0</v>
      </c>
      <c r="B286">
        <f>DSDV!G291</f>
        <v>0</v>
      </c>
      <c r="C286" s="237">
        <f>DSDV!K291</f>
        <v>0</v>
      </c>
      <c r="D286" s="238">
        <f>DSDV!W291</f>
        <v>0</v>
      </c>
    </row>
    <row r="287" spans="1:4">
      <c r="A287">
        <f>DSDV!B292</f>
        <v>0</v>
      </c>
      <c r="B287">
        <f>DSDV!G292</f>
        <v>0</v>
      </c>
      <c r="C287" s="237">
        <f>DSDV!K292</f>
        <v>0</v>
      </c>
      <c r="D287" s="238">
        <f>DSDV!W292</f>
        <v>0</v>
      </c>
    </row>
    <row r="288" spans="1:4">
      <c r="A288">
        <f>DSDV!B293</f>
        <v>0</v>
      </c>
      <c r="B288">
        <f>DSDV!G293</f>
        <v>0</v>
      </c>
      <c r="C288" s="237">
        <f>DSDV!K293</f>
        <v>0</v>
      </c>
      <c r="D288" s="238">
        <f>DSDV!W293</f>
        <v>0</v>
      </c>
    </row>
    <row r="289" spans="1:4">
      <c r="A289">
        <f>DSDV!B294</f>
        <v>0</v>
      </c>
      <c r="B289">
        <f>DSDV!G294</f>
        <v>0</v>
      </c>
      <c r="C289" s="237">
        <f>DSDV!K294</f>
        <v>0</v>
      </c>
      <c r="D289" s="238">
        <f>DSDV!W294</f>
        <v>0</v>
      </c>
    </row>
    <row r="290" spans="1:4">
      <c r="A290">
        <f>DSDV!B295</f>
        <v>0</v>
      </c>
      <c r="B290">
        <f>DSDV!G295</f>
        <v>0</v>
      </c>
      <c r="C290" s="237">
        <f>DSDV!K295</f>
        <v>0</v>
      </c>
      <c r="D290" s="238">
        <f>DSDV!W295</f>
        <v>0</v>
      </c>
    </row>
    <row r="291" spans="1:4">
      <c r="A291">
        <f>DSDV!B296</f>
        <v>0</v>
      </c>
      <c r="B291">
        <f>DSDV!G296</f>
        <v>0</v>
      </c>
      <c r="C291" s="237">
        <f>DSDV!K296</f>
        <v>0</v>
      </c>
      <c r="D291" s="238">
        <f>DSDV!W296</f>
        <v>0</v>
      </c>
    </row>
    <row r="292" spans="1:4">
      <c r="A292">
        <f>DSDV!B297</f>
        <v>0</v>
      </c>
      <c r="B292">
        <f>DSDV!G297</f>
        <v>0</v>
      </c>
      <c r="C292" s="237">
        <f>DSDV!K297</f>
        <v>0</v>
      </c>
      <c r="D292" s="238">
        <f>DSDV!W297</f>
        <v>0</v>
      </c>
    </row>
    <row r="293" spans="1:4">
      <c r="A293">
        <f>DSDV!B298</f>
        <v>0</v>
      </c>
      <c r="B293">
        <f>DSDV!G298</f>
        <v>0</v>
      </c>
      <c r="C293" s="237">
        <f>DSDV!K298</f>
        <v>0</v>
      </c>
      <c r="D293" s="238">
        <f>DSDV!W298</f>
        <v>0</v>
      </c>
    </row>
    <row r="294" spans="1:4">
      <c r="A294">
        <f>DSDV!B299</f>
        <v>0</v>
      </c>
      <c r="B294">
        <f>DSDV!G299</f>
        <v>0</v>
      </c>
      <c r="C294" s="237">
        <f>DSDV!K299</f>
        <v>0</v>
      </c>
      <c r="D294" s="238">
        <f>DSDV!W299</f>
        <v>0</v>
      </c>
    </row>
    <row r="295" spans="1:4">
      <c r="A295">
        <f>DSDV!B300</f>
        <v>0</v>
      </c>
      <c r="B295">
        <f>DSDV!G300</f>
        <v>0</v>
      </c>
      <c r="C295" s="237">
        <f>DSDV!K300</f>
        <v>0</v>
      </c>
      <c r="D295" s="238">
        <f>DSDV!W300</f>
        <v>0</v>
      </c>
    </row>
    <row r="296" spans="1:4">
      <c r="A296">
        <f>DSDV!B301</f>
        <v>0</v>
      </c>
      <c r="B296">
        <f>DSDV!G301</f>
        <v>0</v>
      </c>
      <c r="C296" s="237">
        <f>DSDV!K301</f>
        <v>0</v>
      </c>
      <c r="D296" s="238">
        <f>DSDV!W301</f>
        <v>0</v>
      </c>
    </row>
    <row r="297" spans="1:4">
      <c r="A297">
        <f>DSDV!B302</f>
        <v>0</v>
      </c>
      <c r="B297">
        <f>DSDV!G302</f>
        <v>0</v>
      </c>
      <c r="C297" s="237">
        <f>DSDV!K302</f>
        <v>0</v>
      </c>
      <c r="D297" s="238">
        <f>DSDV!W302</f>
        <v>0</v>
      </c>
    </row>
    <row r="298" spans="1:4">
      <c r="A298">
        <f>DSDV!B303</f>
        <v>0</v>
      </c>
      <c r="B298">
        <f>DSDV!G303</f>
        <v>0</v>
      </c>
      <c r="C298" s="237">
        <f>DSDV!K303</f>
        <v>0</v>
      </c>
      <c r="D298" s="238">
        <f>DSDV!W303</f>
        <v>0</v>
      </c>
    </row>
    <row r="299" spans="1:4">
      <c r="A299">
        <f>DSDV!B304</f>
        <v>0</v>
      </c>
      <c r="B299">
        <f>DSDV!G304</f>
        <v>0</v>
      </c>
      <c r="C299" s="237">
        <f>DSDV!K304</f>
        <v>0</v>
      </c>
      <c r="D299" s="238">
        <f>DSDV!W304</f>
        <v>0</v>
      </c>
    </row>
    <row r="300" spans="1:4">
      <c r="A300">
        <f>DSDV!B305</f>
        <v>0</v>
      </c>
      <c r="B300">
        <f>DSDV!G305</f>
        <v>0</v>
      </c>
      <c r="C300" s="237">
        <f>DSDV!K305</f>
        <v>0</v>
      </c>
      <c r="D300" s="238">
        <f>DSDV!W305</f>
        <v>0</v>
      </c>
    </row>
    <row r="301" spans="1:4">
      <c r="A301">
        <f>DSDV!B306</f>
        <v>0</v>
      </c>
      <c r="B301">
        <f>DSDV!G306</f>
        <v>0</v>
      </c>
      <c r="C301" s="237">
        <f>DSDV!K306</f>
        <v>0</v>
      </c>
      <c r="D301" s="238">
        <f>DSDV!W306</f>
        <v>0</v>
      </c>
    </row>
    <row r="302" spans="1:4">
      <c r="A302">
        <f>DSDV!B307</f>
        <v>0</v>
      </c>
      <c r="B302">
        <f>DSDV!G307</f>
        <v>0</v>
      </c>
      <c r="C302" s="237">
        <f>DSDV!K307</f>
        <v>0</v>
      </c>
      <c r="D302" s="238">
        <f>DSDV!W307</f>
        <v>0</v>
      </c>
    </row>
    <row r="303" spans="1:4">
      <c r="A303">
        <f>DSDV!B308</f>
        <v>0</v>
      </c>
      <c r="B303">
        <f>DSDV!G308</f>
        <v>0</v>
      </c>
      <c r="C303" s="237">
        <f>DSDV!K308</f>
        <v>0</v>
      </c>
      <c r="D303" s="238">
        <f>DSDV!W308</f>
        <v>0</v>
      </c>
    </row>
    <row r="304" spans="1:4">
      <c r="A304">
        <f>DSDV!B309</f>
        <v>0</v>
      </c>
      <c r="B304">
        <f>DSDV!G309</f>
        <v>0</v>
      </c>
      <c r="C304" s="237">
        <f>DSDV!K309</f>
        <v>0</v>
      </c>
      <c r="D304" s="238">
        <f>DSDV!W309</f>
        <v>0</v>
      </c>
    </row>
    <row r="305" spans="1:4">
      <c r="A305">
        <f>DSDV!B310</f>
        <v>0</v>
      </c>
      <c r="B305">
        <f>DSDV!G310</f>
        <v>0</v>
      </c>
      <c r="C305" s="237">
        <f>DSDV!K310</f>
        <v>0</v>
      </c>
      <c r="D305" s="238">
        <f>DSDV!W310</f>
        <v>0</v>
      </c>
    </row>
    <row r="306" spans="1:4">
      <c r="A306">
        <f>DSDV!B311</f>
        <v>0</v>
      </c>
      <c r="B306">
        <f>DSDV!G311</f>
        <v>0</v>
      </c>
      <c r="C306" s="237">
        <f>DSDV!K311</f>
        <v>0</v>
      </c>
      <c r="D306" s="238">
        <f>DSDV!W311</f>
        <v>0</v>
      </c>
    </row>
    <row r="307" spans="1:4">
      <c r="A307">
        <f>DSDV!B312</f>
        <v>0</v>
      </c>
      <c r="B307">
        <f>DSDV!G312</f>
        <v>0</v>
      </c>
      <c r="C307" s="237">
        <f>DSDV!K312</f>
        <v>0</v>
      </c>
      <c r="D307" s="238">
        <f>DSDV!W312</f>
        <v>0</v>
      </c>
    </row>
    <row r="308" spans="1:4">
      <c r="A308">
        <f>DSDV!B313</f>
        <v>0</v>
      </c>
      <c r="B308">
        <f>DSDV!G313</f>
        <v>0</v>
      </c>
      <c r="C308" s="237">
        <f>DSDV!K313</f>
        <v>0</v>
      </c>
      <c r="D308" s="238">
        <f>DSDV!W313</f>
        <v>0</v>
      </c>
    </row>
    <row r="309" spans="1:4">
      <c r="A309">
        <f>DSDV!B314</f>
        <v>0</v>
      </c>
      <c r="B309">
        <f>DSDV!G314</f>
        <v>0</v>
      </c>
      <c r="C309" s="237">
        <f>DSDV!K314</f>
        <v>0</v>
      </c>
      <c r="D309" s="238">
        <f>DSDV!W314</f>
        <v>0</v>
      </c>
    </row>
    <row r="310" spans="1:4">
      <c r="A310">
        <f>DSDV!B315</f>
        <v>0</v>
      </c>
      <c r="B310">
        <f>DSDV!G315</f>
        <v>0</v>
      </c>
      <c r="C310" s="237">
        <f>DSDV!K315</f>
        <v>0</v>
      </c>
      <c r="D310" s="238">
        <f>DSDV!W315</f>
        <v>0</v>
      </c>
    </row>
    <row r="311" spans="1:4">
      <c r="A311">
        <f>DSDV!B316</f>
        <v>0</v>
      </c>
      <c r="B311">
        <f>DSDV!G316</f>
        <v>0</v>
      </c>
      <c r="C311" s="237">
        <f>DSDV!K316</f>
        <v>0</v>
      </c>
      <c r="D311" s="238">
        <f>DSDV!W316</f>
        <v>0</v>
      </c>
    </row>
    <row r="312" spans="1:4">
      <c r="A312">
        <f>DSDV!B317</f>
        <v>0</v>
      </c>
      <c r="B312">
        <f>DSDV!G317</f>
        <v>0</v>
      </c>
      <c r="C312" s="237">
        <f>DSDV!K317</f>
        <v>0</v>
      </c>
      <c r="D312" s="238">
        <f>DSDV!W317</f>
        <v>0</v>
      </c>
    </row>
    <row r="313" spans="1:4">
      <c r="A313">
        <f>DSDV!B318</f>
        <v>0</v>
      </c>
      <c r="B313">
        <f>DSDV!G318</f>
        <v>0</v>
      </c>
      <c r="C313" s="237">
        <f>DSDV!K318</f>
        <v>0</v>
      </c>
      <c r="D313" s="238">
        <f>DSDV!W318</f>
        <v>0</v>
      </c>
    </row>
    <row r="314" spans="1:4">
      <c r="A314">
        <f>DSDV!B319</f>
        <v>0</v>
      </c>
      <c r="B314">
        <f>DSDV!G319</f>
        <v>0</v>
      </c>
      <c r="C314" s="237">
        <f>DSDV!K319</f>
        <v>0</v>
      </c>
      <c r="D314" s="238">
        <f>DSDV!W319</f>
        <v>0</v>
      </c>
    </row>
    <row r="315" spans="1:4">
      <c r="A315">
        <f>DSDV!B320</f>
        <v>0</v>
      </c>
      <c r="B315">
        <f>DSDV!G320</f>
        <v>0</v>
      </c>
      <c r="C315" s="237">
        <f>DSDV!K320</f>
        <v>0</v>
      </c>
      <c r="D315" s="238">
        <f>DSDV!W320</f>
        <v>0</v>
      </c>
    </row>
    <row r="316" spans="1:4">
      <c r="A316">
        <f>DSDV!B321</f>
        <v>0</v>
      </c>
      <c r="B316">
        <f>DSDV!G321</f>
        <v>0</v>
      </c>
      <c r="C316" s="237">
        <f>DSDV!K321</f>
        <v>0</v>
      </c>
      <c r="D316" s="238">
        <f>DSDV!W321</f>
        <v>0</v>
      </c>
    </row>
    <row r="317" spans="1:4">
      <c r="A317">
        <f>DSDV!B322</f>
        <v>0</v>
      </c>
      <c r="B317">
        <f>DSDV!G322</f>
        <v>0</v>
      </c>
      <c r="C317" s="237">
        <f>DSDV!K322</f>
        <v>0</v>
      </c>
      <c r="D317" s="238">
        <f>DSDV!W322</f>
        <v>0</v>
      </c>
    </row>
    <row r="318" spans="1:4">
      <c r="A318">
        <f>DSDV!B323</f>
        <v>0</v>
      </c>
      <c r="B318">
        <f>DSDV!G323</f>
        <v>0</v>
      </c>
      <c r="C318" s="237">
        <f>DSDV!K323</f>
        <v>0</v>
      </c>
      <c r="D318" s="238">
        <f>DSDV!W323</f>
        <v>0</v>
      </c>
    </row>
    <row r="319" spans="1:4">
      <c r="A319">
        <f>DSDV!B324</f>
        <v>0</v>
      </c>
      <c r="B319">
        <f>DSDV!G324</f>
        <v>0</v>
      </c>
      <c r="C319" s="237">
        <f>DSDV!K324</f>
        <v>0</v>
      </c>
      <c r="D319" s="238">
        <f>DSDV!W324</f>
        <v>0</v>
      </c>
    </row>
    <row r="320" spans="1:4">
      <c r="A320">
        <f>DSDV!B325</f>
        <v>0</v>
      </c>
      <c r="B320">
        <f>DSDV!G325</f>
        <v>0</v>
      </c>
      <c r="C320" s="237">
        <f>DSDV!K325</f>
        <v>0</v>
      </c>
      <c r="D320" s="238">
        <f>DSDV!W325</f>
        <v>0</v>
      </c>
    </row>
    <row r="321" spans="1:4">
      <c r="A321">
        <f>DSDV!B326</f>
        <v>0</v>
      </c>
      <c r="B321">
        <f>DSDV!G326</f>
        <v>0</v>
      </c>
      <c r="C321" s="237">
        <f>DSDV!K326</f>
        <v>0</v>
      </c>
      <c r="D321" s="238">
        <f>DSDV!W326</f>
        <v>0</v>
      </c>
    </row>
    <row r="322" spans="1:4">
      <c r="A322">
        <f>DSDV!B327</f>
        <v>0</v>
      </c>
      <c r="B322">
        <f>DSDV!G327</f>
        <v>0</v>
      </c>
      <c r="C322" s="237">
        <f>DSDV!K327</f>
        <v>0</v>
      </c>
      <c r="D322" s="238">
        <f>DSDV!W327</f>
        <v>0</v>
      </c>
    </row>
    <row r="323" spans="1:4">
      <c r="A323">
        <f>DSDV!B328</f>
        <v>0</v>
      </c>
      <c r="B323">
        <f>DSDV!G328</f>
        <v>0</v>
      </c>
      <c r="C323" s="237">
        <f>DSDV!K328</f>
        <v>0</v>
      </c>
      <c r="D323" s="238">
        <f>DSDV!W328</f>
        <v>0</v>
      </c>
    </row>
    <row r="324" spans="1:4">
      <c r="A324">
        <f>DSDV!B329</f>
        <v>0</v>
      </c>
      <c r="B324">
        <f>DSDV!G329</f>
        <v>0</v>
      </c>
      <c r="C324" s="237">
        <f>DSDV!K329</f>
        <v>0</v>
      </c>
      <c r="D324" s="238">
        <f>DSDV!W329</f>
        <v>0</v>
      </c>
    </row>
    <row r="325" spans="1:4">
      <c r="A325">
        <f>DSDV!B330</f>
        <v>0</v>
      </c>
      <c r="B325">
        <f>DSDV!G330</f>
        <v>0</v>
      </c>
      <c r="C325" s="237">
        <f>DSDV!K330</f>
        <v>0</v>
      </c>
      <c r="D325" s="238">
        <f>DSDV!W330</f>
        <v>0</v>
      </c>
    </row>
    <row r="326" spans="1:4">
      <c r="A326">
        <f>DSDV!B331</f>
        <v>0</v>
      </c>
      <c r="B326">
        <f>DSDV!G331</f>
        <v>0</v>
      </c>
      <c r="C326" s="237">
        <f>DSDV!K331</f>
        <v>0</v>
      </c>
      <c r="D326" s="238">
        <f>DSDV!W331</f>
        <v>0</v>
      </c>
    </row>
    <row r="327" spans="1:4">
      <c r="A327">
        <f>DSDV!B332</f>
        <v>0</v>
      </c>
      <c r="B327">
        <f>DSDV!G332</f>
        <v>0</v>
      </c>
      <c r="C327" s="237">
        <f>DSDV!K332</f>
        <v>0</v>
      </c>
      <c r="D327" s="238">
        <f>DSDV!W332</f>
        <v>0</v>
      </c>
    </row>
    <row r="328" spans="1:4">
      <c r="A328">
        <f>DSDV!B333</f>
        <v>0</v>
      </c>
      <c r="B328">
        <f>DSDV!G333</f>
        <v>0</v>
      </c>
      <c r="C328" s="237">
        <f>DSDV!K333</f>
        <v>0</v>
      </c>
      <c r="D328" s="238">
        <f>DSDV!W333</f>
        <v>0</v>
      </c>
    </row>
    <row r="329" spans="1:4">
      <c r="A329">
        <f>DSDV!B334</f>
        <v>0</v>
      </c>
      <c r="B329">
        <f>DSDV!G334</f>
        <v>0</v>
      </c>
      <c r="C329" s="237">
        <f>DSDV!K334</f>
        <v>0</v>
      </c>
      <c r="D329" s="238">
        <f>DSDV!W334</f>
        <v>0</v>
      </c>
    </row>
    <row r="330" spans="1:4">
      <c r="A330">
        <f>DSDV!B335</f>
        <v>0</v>
      </c>
      <c r="B330">
        <f>DSDV!G335</f>
        <v>0</v>
      </c>
      <c r="C330" s="237">
        <f>DSDV!K335</f>
        <v>0</v>
      </c>
      <c r="D330" s="238">
        <f>DSDV!W335</f>
        <v>0</v>
      </c>
    </row>
    <row r="331" spans="1:4">
      <c r="A331">
        <f>DSDV!B336</f>
        <v>0</v>
      </c>
      <c r="B331">
        <f>DSDV!G336</f>
        <v>0</v>
      </c>
      <c r="C331" s="237">
        <f>DSDV!K336</f>
        <v>0</v>
      </c>
      <c r="D331" s="238">
        <f>DSDV!W336</f>
        <v>0</v>
      </c>
    </row>
    <row r="332" spans="1:4">
      <c r="A332">
        <f>DSDV!B337</f>
        <v>0</v>
      </c>
      <c r="B332">
        <f>DSDV!G337</f>
        <v>0</v>
      </c>
      <c r="C332" s="237">
        <f>DSDV!K337</f>
        <v>0</v>
      </c>
      <c r="D332" s="238">
        <f>DSDV!W337</f>
        <v>0</v>
      </c>
    </row>
    <row r="333" spans="1:4">
      <c r="A333">
        <f>DSDV!B338</f>
        <v>0</v>
      </c>
      <c r="B333">
        <f>DSDV!G338</f>
        <v>0</v>
      </c>
      <c r="C333" s="237">
        <f>DSDV!K338</f>
        <v>0</v>
      </c>
      <c r="D333" s="238">
        <f>DSDV!W338</f>
        <v>0</v>
      </c>
    </row>
    <row r="334" spans="1:4">
      <c r="A334">
        <f>DSDV!B339</f>
        <v>0</v>
      </c>
      <c r="B334">
        <f>DSDV!G339</f>
        <v>0</v>
      </c>
      <c r="C334" s="237">
        <f>DSDV!K339</f>
        <v>0</v>
      </c>
      <c r="D334" s="238">
        <f>DSDV!W339</f>
        <v>0</v>
      </c>
    </row>
    <row r="335" spans="1:4">
      <c r="A335">
        <f>DSDV!B340</f>
        <v>0</v>
      </c>
      <c r="B335">
        <f>DSDV!G340</f>
        <v>0</v>
      </c>
      <c r="C335" s="237">
        <f>DSDV!K340</f>
        <v>0</v>
      </c>
      <c r="D335" s="238">
        <f>DSDV!W340</f>
        <v>0</v>
      </c>
    </row>
    <row r="336" spans="1:4">
      <c r="A336">
        <f>DSDV!B341</f>
        <v>0</v>
      </c>
      <c r="B336">
        <f>DSDV!G341</f>
        <v>0</v>
      </c>
      <c r="C336" s="237">
        <f>DSDV!K341</f>
        <v>0</v>
      </c>
      <c r="D336" s="238">
        <f>DSDV!W341</f>
        <v>0</v>
      </c>
    </row>
    <row r="337" spans="1:4">
      <c r="A337">
        <f>DSDV!B342</f>
        <v>0</v>
      </c>
      <c r="B337">
        <f>DSDV!G342</f>
        <v>0</v>
      </c>
      <c r="C337" s="237">
        <f>DSDV!K342</f>
        <v>0</v>
      </c>
      <c r="D337" s="238">
        <f>DSDV!W342</f>
        <v>0</v>
      </c>
    </row>
    <row r="338" spans="1:4">
      <c r="A338">
        <f>DSDV!B343</f>
        <v>0</v>
      </c>
      <c r="B338">
        <f>DSDV!G343</f>
        <v>0</v>
      </c>
      <c r="C338" s="237">
        <f>DSDV!K343</f>
        <v>0</v>
      </c>
      <c r="D338" s="238">
        <f>DSDV!W343</f>
        <v>0</v>
      </c>
    </row>
    <row r="339" spans="1:4">
      <c r="A339">
        <f>DSDV!B344</f>
        <v>0</v>
      </c>
      <c r="B339">
        <f>DSDV!G344</f>
        <v>0</v>
      </c>
      <c r="C339" s="237">
        <f>DSDV!K344</f>
        <v>0</v>
      </c>
      <c r="D339" s="238">
        <f>DSDV!W344</f>
        <v>0</v>
      </c>
    </row>
    <row r="340" spans="1:4">
      <c r="A340">
        <f>DSDV!B345</f>
        <v>0</v>
      </c>
      <c r="B340">
        <f>DSDV!G345</f>
        <v>0</v>
      </c>
      <c r="C340" s="237">
        <f>DSDV!K345</f>
        <v>0</v>
      </c>
      <c r="D340" s="238">
        <f>DSDV!W345</f>
        <v>0</v>
      </c>
    </row>
    <row r="341" spans="1:4">
      <c r="A341">
        <f>DSDV!B346</f>
        <v>0</v>
      </c>
      <c r="B341">
        <f>DSDV!G346</f>
        <v>0</v>
      </c>
      <c r="C341" s="237">
        <f>DSDV!K346</f>
        <v>0</v>
      </c>
      <c r="D341" s="238">
        <f>DSDV!W346</f>
        <v>0</v>
      </c>
    </row>
    <row r="342" spans="1:4">
      <c r="A342">
        <f>DSDV!B347</f>
        <v>0</v>
      </c>
      <c r="B342">
        <f>DSDV!G347</f>
        <v>0</v>
      </c>
      <c r="C342" s="237">
        <f>DSDV!K347</f>
        <v>0</v>
      </c>
      <c r="D342" s="238">
        <f>DSDV!W347</f>
        <v>0</v>
      </c>
    </row>
    <row r="343" spans="1:4">
      <c r="A343">
        <f>DSDV!B348</f>
        <v>0</v>
      </c>
      <c r="B343">
        <f>DSDV!G348</f>
        <v>0</v>
      </c>
      <c r="C343" s="237">
        <f>DSDV!K348</f>
        <v>0</v>
      </c>
      <c r="D343" s="238">
        <f>DSDV!W348</f>
        <v>0</v>
      </c>
    </row>
    <row r="344" spans="1:4">
      <c r="A344">
        <f>DSDV!B349</f>
        <v>0</v>
      </c>
      <c r="B344">
        <f>DSDV!G349</f>
        <v>0</v>
      </c>
      <c r="C344" s="237">
        <f>DSDV!K349</f>
        <v>0</v>
      </c>
      <c r="D344" s="238">
        <f>DSDV!W349</f>
        <v>0</v>
      </c>
    </row>
    <row r="345" spans="1:4">
      <c r="A345">
        <f>DSDV!B350</f>
        <v>0</v>
      </c>
      <c r="B345">
        <f>DSDV!G350</f>
        <v>0</v>
      </c>
      <c r="C345" s="237">
        <f>DSDV!K350</f>
        <v>0</v>
      </c>
      <c r="D345" s="238">
        <f>DSDV!W350</f>
        <v>0</v>
      </c>
    </row>
    <row r="346" spans="1:4">
      <c r="A346">
        <f>DSDV!B351</f>
        <v>0</v>
      </c>
      <c r="B346">
        <f>DSDV!G351</f>
        <v>0</v>
      </c>
      <c r="C346" s="237">
        <f>DSDV!K351</f>
        <v>0</v>
      </c>
      <c r="D346" s="238">
        <f>DSDV!W351</f>
        <v>0</v>
      </c>
    </row>
    <row r="347" spans="1:4">
      <c r="A347">
        <f>DSDV!B352</f>
        <v>0</v>
      </c>
      <c r="B347">
        <f>DSDV!G352</f>
        <v>0</v>
      </c>
      <c r="C347" s="237">
        <f>DSDV!K352</f>
        <v>0</v>
      </c>
      <c r="D347" s="238">
        <f>DSDV!W352</f>
        <v>0</v>
      </c>
    </row>
    <row r="348" spans="1:4">
      <c r="A348">
        <f>DSDV!B353</f>
        <v>0</v>
      </c>
      <c r="B348">
        <f>DSDV!G353</f>
        <v>0</v>
      </c>
      <c r="C348" s="237">
        <f>DSDV!K353</f>
        <v>0</v>
      </c>
      <c r="D348" s="238">
        <f>DSDV!W353</f>
        <v>0</v>
      </c>
    </row>
    <row r="349" spans="1:4">
      <c r="A349">
        <f>DSDV!B354</f>
        <v>0</v>
      </c>
      <c r="B349">
        <f>DSDV!G354</f>
        <v>0</v>
      </c>
      <c r="C349" s="237">
        <f>DSDV!K354</f>
        <v>0</v>
      </c>
      <c r="D349" s="238">
        <f>DSDV!W354</f>
        <v>0</v>
      </c>
    </row>
    <row r="350" spans="1:4">
      <c r="A350">
        <f>DSDV!B355</f>
        <v>0</v>
      </c>
      <c r="B350">
        <f>DSDV!G355</f>
        <v>0</v>
      </c>
      <c r="C350" s="237">
        <f>DSDV!K355</f>
        <v>0</v>
      </c>
      <c r="D350" s="238">
        <f>DSDV!W355</f>
        <v>0</v>
      </c>
    </row>
    <row r="351" spans="1:4">
      <c r="A351">
        <f>DSDV!B356</f>
        <v>0</v>
      </c>
      <c r="B351">
        <f>DSDV!G356</f>
        <v>0</v>
      </c>
      <c r="C351" s="237">
        <f>DSDV!K356</f>
        <v>0</v>
      </c>
      <c r="D351" s="238">
        <f>DSDV!W356</f>
        <v>0</v>
      </c>
    </row>
    <row r="352" spans="1:4">
      <c r="A352">
        <f>DSDV!B357</f>
        <v>0</v>
      </c>
      <c r="B352">
        <f>DSDV!G357</f>
        <v>0</v>
      </c>
      <c r="C352" s="237">
        <f>DSDV!K357</f>
        <v>0</v>
      </c>
      <c r="D352" s="238">
        <f>DSDV!W357</f>
        <v>0</v>
      </c>
    </row>
    <row r="353" spans="1:4">
      <c r="A353">
        <f>DSDV!B358</f>
        <v>0</v>
      </c>
      <c r="B353">
        <f>DSDV!G358</f>
        <v>0</v>
      </c>
      <c r="C353" s="237">
        <f>DSDV!K358</f>
        <v>0</v>
      </c>
      <c r="D353" s="238">
        <f>DSDV!W358</f>
        <v>0</v>
      </c>
    </row>
    <row r="354" spans="1:4">
      <c r="A354">
        <f>DSDV!B359</f>
        <v>0</v>
      </c>
      <c r="B354">
        <f>DSDV!G359</f>
        <v>0</v>
      </c>
      <c r="C354" s="237">
        <f>DSDV!K359</f>
        <v>0</v>
      </c>
      <c r="D354" s="238">
        <f>DSDV!W359</f>
        <v>0</v>
      </c>
    </row>
    <row r="355" spans="1:4">
      <c r="A355">
        <f>DSDV!B360</f>
        <v>0</v>
      </c>
      <c r="B355">
        <f>DSDV!G360</f>
        <v>0</v>
      </c>
      <c r="C355" s="237">
        <f>DSDV!K360</f>
        <v>0</v>
      </c>
      <c r="D355" s="238">
        <f>DSDV!W360</f>
        <v>0</v>
      </c>
    </row>
    <row r="356" spans="1:4">
      <c r="A356">
        <f>DSDV!B361</f>
        <v>0</v>
      </c>
      <c r="B356">
        <f>DSDV!G361</f>
        <v>0</v>
      </c>
      <c r="C356" s="237">
        <f>DSDV!K361</f>
        <v>0</v>
      </c>
      <c r="D356" s="238">
        <f>DSDV!W361</f>
        <v>0</v>
      </c>
    </row>
    <row r="357" spans="1:4">
      <c r="A357">
        <f>DSDV!B362</f>
        <v>0</v>
      </c>
      <c r="B357">
        <f>DSDV!G362</f>
        <v>0</v>
      </c>
      <c r="C357" s="237">
        <f>DSDV!K362</f>
        <v>0</v>
      </c>
      <c r="D357" s="238">
        <f>DSDV!W362</f>
        <v>0</v>
      </c>
    </row>
    <row r="358" spans="1:4">
      <c r="A358">
        <f>DSDV!B363</f>
        <v>0</v>
      </c>
      <c r="B358">
        <f>DSDV!G363</f>
        <v>0</v>
      </c>
      <c r="C358" s="237">
        <f>DSDV!K363</f>
        <v>0</v>
      </c>
      <c r="D358" s="238">
        <f>DSDV!W363</f>
        <v>0</v>
      </c>
    </row>
    <row r="359" spans="1:4">
      <c r="A359">
        <f>DSDV!B364</f>
        <v>0</v>
      </c>
      <c r="B359">
        <f>DSDV!G364</f>
        <v>0</v>
      </c>
      <c r="C359" s="237">
        <f>DSDV!K364</f>
        <v>0</v>
      </c>
      <c r="D359" s="238">
        <f>DSDV!W364</f>
        <v>0</v>
      </c>
    </row>
    <row r="360" spans="1:4">
      <c r="A360">
        <f>DSDV!B365</f>
        <v>0</v>
      </c>
      <c r="B360">
        <f>DSDV!G365</f>
        <v>0</v>
      </c>
      <c r="C360" s="237">
        <f>DSDV!K365</f>
        <v>0</v>
      </c>
      <c r="D360" s="238">
        <f>DSDV!W365</f>
        <v>0</v>
      </c>
    </row>
    <row r="361" spans="1:4">
      <c r="A361">
        <f>DSDV!B366</f>
        <v>0</v>
      </c>
      <c r="B361">
        <f>DSDV!G366</f>
        <v>0</v>
      </c>
      <c r="C361" s="237">
        <f>DSDV!K366</f>
        <v>0</v>
      </c>
      <c r="D361" s="238">
        <f>DSDV!W366</f>
        <v>0</v>
      </c>
    </row>
    <row r="362" spans="1:4">
      <c r="A362">
        <f>DSDV!B367</f>
        <v>0</v>
      </c>
      <c r="B362">
        <f>DSDV!G367</f>
        <v>0</v>
      </c>
      <c r="C362" s="237">
        <f>DSDV!K367</f>
        <v>0</v>
      </c>
      <c r="D362" s="238">
        <f>DSDV!W367</f>
        <v>0</v>
      </c>
    </row>
    <row r="363" spans="1:4">
      <c r="A363">
        <f>DSDV!B368</f>
        <v>0</v>
      </c>
      <c r="B363">
        <f>DSDV!G368</f>
        <v>0</v>
      </c>
      <c r="C363" s="237">
        <f>DSDV!K368</f>
        <v>0</v>
      </c>
      <c r="D363" s="238">
        <f>DSDV!W368</f>
        <v>0</v>
      </c>
    </row>
    <row r="364" spans="1:4">
      <c r="A364">
        <f>DSDV!B369</f>
        <v>0</v>
      </c>
      <c r="B364">
        <f>DSDV!G369</f>
        <v>0</v>
      </c>
      <c r="C364" s="237">
        <f>DSDV!K369</f>
        <v>0</v>
      </c>
      <c r="D364" s="238">
        <f>DSDV!W369</f>
        <v>0</v>
      </c>
    </row>
    <row r="365" spans="1:4">
      <c r="A365">
        <f>DSDV!B370</f>
        <v>0</v>
      </c>
      <c r="B365">
        <f>DSDV!G370</f>
        <v>0</v>
      </c>
      <c r="C365" s="237">
        <f>DSDV!K370</f>
        <v>0</v>
      </c>
      <c r="D365" s="238">
        <f>DSDV!W370</f>
        <v>0</v>
      </c>
    </row>
    <row r="366" spans="1:4">
      <c r="A366">
        <f>DSDV!B371</f>
        <v>0</v>
      </c>
      <c r="B366">
        <f>DSDV!G371</f>
        <v>0</v>
      </c>
      <c r="C366" s="237">
        <f>DSDV!K371</f>
        <v>0</v>
      </c>
      <c r="D366" s="238">
        <f>DSDV!W371</f>
        <v>0</v>
      </c>
    </row>
    <row r="367" spans="1:4">
      <c r="A367">
        <f>DSDV!B372</f>
        <v>0</v>
      </c>
      <c r="B367">
        <f>DSDV!G372</f>
        <v>0</v>
      </c>
      <c r="C367" s="237">
        <f>DSDV!K372</f>
        <v>0</v>
      </c>
      <c r="D367" s="238">
        <f>DSDV!W372</f>
        <v>0</v>
      </c>
    </row>
    <row r="368" spans="1:4">
      <c r="A368">
        <f>DSDV!B373</f>
        <v>0</v>
      </c>
      <c r="B368">
        <f>DSDV!G373</f>
        <v>0</v>
      </c>
      <c r="C368" s="237">
        <f>DSDV!K373</f>
        <v>0</v>
      </c>
      <c r="D368" s="238">
        <f>DSDV!W373</f>
        <v>0</v>
      </c>
    </row>
    <row r="369" spans="1:4">
      <c r="A369">
        <f>DSDV!B374</f>
        <v>0</v>
      </c>
      <c r="B369">
        <f>DSDV!G374</f>
        <v>0</v>
      </c>
      <c r="C369" s="237">
        <f>DSDV!K374</f>
        <v>0</v>
      </c>
      <c r="D369" s="238">
        <f>DSDV!W374</f>
        <v>0</v>
      </c>
    </row>
    <row r="370" spans="1:4">
      <c r="A370">
        <f>DSDV!B375</f>
        <v>0</v>
      </c>
      <c r="B370">
        <f>DSDV!G375</f>
        <v>0</v>
      </c>
      <c r="C370" s="237">
        <f>DSDV!K375</f>
        <v>0</v>
      </c>
      <c r="D370" s="238">
        <f>DSDV!W375</f>
        <v>0</v>
      </c>
    </row>
    <row r="371" spans="1:4">
      <c r="A371">
        <f>DSDV!B376</f>
        <v>0</v>
      </c>
      <c r="B371">
        <f>DSDV!G376</f>
        <v>0</v>
      </c>
      <c r="C371" s="237">
        <f>DSDV!K376</f>
        <v>0</v>
      </c>
      <c r="D371" s="238">
        <f>DSDV!W376</f>
        <v>0</v>
      </c>
    </row>
    <row r="372" spans="1:4">
      <c r="A372">
        <f>DSDV!B377</f>
        <v>0</v>
      </c>
      <c r="B372">
        <f>DSDV!G377</f>
        <v>0</v>
      </c>
      <c r="C372" s="237">
        <f>DSDV!K377</f>
        <v>0</v>
      </c>
      <c r="D372" s="238">
        <f>DSDV!W377</f>
        <v>0</v>
      </c>
    </row>
    <row r="373" spans="1:4">
      <c r="A373">
        <f>DSDV!B378</f>
        <v>0</v>
      </c>
      <c r="B373">
        <f>DSDV!G378</f>
        <v>0</v>
      </c>
      <c r="C373" s="237">
        <f>DSDV!K378</f>
        <v>0</v>
      </c>
      <c r="D373" s="238">
        <f>DSDV!W378</f>
        <v>0</v>
      </c>
    </row>
    <row r="374" spans="1:4">
      <c r="A374">
        <f>DSDV!B379</f>
        <v>0</v>
      </c>
      <c r="B374">
        <f>DSDV!G379</f>
        <v>0</v>
      </c>
      <c r="C374" s="237">
        <f>DSDV!K379</f>
        <v>0</v>
      </c>
      <c r="D374" s="238">
        <f>DSDV!W379</f>
        <v>0</v>
      </c>
    </row>
    <row r="375" spans="1:4">
      <c r="A375">
        <f>DSDV!B380</f>
        <v>0</v>
      </c>
      <c r="B375">
        <f>DSDV!G380</f>
        <v>0</v>
      </c>
      <c r="C375" s="237">
        <f>DSDV!K380</f>
        <v>0</v>
      </c>
      <c r="D375" s="238">
        <f>DSDV!W380</f>
        <v>0</v>
      </c>
    </row>
    <row r="376" spans="1:4">
      <c r="A376">
        <f>DSDV!B381</f>
        <v>0</v>
      </c>
      <c r="B376">
        <f>DSDV!G381</f>
        <v>0</v>
      </c>
      <c r="C376" s="237">
        <f>DSDV!K381</f>
        <v>0</v>
      </c>
      <c r="D376" s="238">
        <f>DSDV!W381</f>
        <v>0</v>
      </c>
    </row>
    <row r="377" spans="1:4">
      <c r="A377">
        <f>DSDV!B382</f>
        <v>0</v>
      </c>
      <c r="B377">
        <f>DSDV!G382</f>
        <v>0</v>
      </c>
      <c r="C377" s="237">
        <f>DSDV!K382</f>
        <v>0</v>
      </c>
      <c r="D377" s="238">
        <f>DSDV!W382</f>
        <v>0</v>
      </c>
    </row>
    <row r="378" spans="1:4">
      <c r="A378">
        <f>DSDV!B383</f>
        <v>0</v>
      </c>
      <c r="B378">
        <f>DSDV!G383</f>
        <v>0</v>
      </c>
      <c r="C378" s="237">
        <f>DSDV!K383</f>
        <v>0</v>
      </c>
      <c r="D378" s="238">
        <f>DSDV!W383</f>
        <v>0</v>
      </c>
    </row>
    <row r="379" spans="1:4">
      <c r="A379">
        <f>DSDV!B384</f>
        <v>0</v>
      </c>
      <c r="B379">
        <f>DSDV!G384</f>
        <v>0</v>
      </c>
      <c r="C379" s="237">
        <f>DSDV!K384</f>
        <v>0</v>
      </c>
      <c r="D379" s="238">
        <f>DSDV!W384</f>
        <v>0</v>
      </c>
    </row>
    <row r="380" spans="1:4">
      <c r="A380">
        <f>DSDV!B385</f>
        <v>0</v>
      </c>
      <c r="B380">
        <f>DSDV!G385</f>
        <v>0</v>
      </c>
      <c r="C380" s="237">
        <f>DSDV!K385</f>
        <v>0</v>
      </c>
      <c r="D380" s="238">
        <f>DSDV!W385</f>
        <v>0</v>
      </c>
    </row>
    <row r="381" spans="1:4">
      <c r="A381">
        <f>DSDV!B386</f>
        <v>0</v>
      </c>
      <c r="B381">
        <f>DSDV!G386</f>
        <v>0</v>
      </c>
      <c r="C381" s="237">
        <f>DSDV!K386</f>
        <v>0</v>
      </c>
      <c r="D381" s="238">
        <f>DSDV!W386</f>
        <v>0</v>
      </c>
    </row>
    <row r="382" spans="1:4">
      <c r="A382">
        <f>DSDV!B387</f>
        <v>0</v>
      </c>
      <c r="B382">
        <f>DSDV!G387</f>
        <v>0</v>
      </c>
      <c r="C382" s="237">
        <f>DSDV!K387</f>
        <v>0</v>
      </c>
      <c r="D382" s="238">
        <f>DSDV!W387</f>
        <v>0</v>
      </c>
    </row>
    <row r="383" spans="1:4">
      <c r="A383">
        <f>DSDV!B388</f>
        <v>0</v>
      </c>
      <c r="B383">
        <f>DSDV!G388</f>
        <v>0</v>
      </c>
      <c r="C383" s="237">
        <f>DSDV!K388</f>
        <v>0</v>
      </c>
      <c r="D383" s="238">
        <f>DSDV!W388</f>
        <v>0</v>
      </c>
    </row>
    <row r="384" spans="1:4">
      <c r="A384">
        <f>DSDV!B389</f>
        <v>0</v>
      </c>
      <c r="B384">
        <f>DSDV!G389</f>
        <v>0</v>
      </c>
      <c r="C384" s="237">
        <f>DSDV!K389</f>
        <v>0</v>
      </c>
      <c r="D384" s="238">
        <f>DSDV!W389</f>
        <v>0</v>
      </c>
    </row>
    <row r="385" spans="1:4">
      <c r="A385">
        <f>DSDV!B390</f>
        <v>0</v>
      </c>
      <c r="B385">
        <f>DSDV!G390</f>
        <v>0</v>
      </c>
      <c r="C385" s="237">
        <f>DSDV!K390</f>
        <v>0</v>
      </c>
      <c r="D385" s="238">
        <f>DSDV!W390</f>
        <v>0</v>
      </c>
    </row>
    <row r="386" spans="1:4">
      <c r="A386">
        <f>DSDV!B391</f>
        <v>0</v>
      </c>
      <c r="B386">
        <f>DSDV!G391</f>
        <v>0</v>
      </c>
      <c r="C386" s="237">
        <f>DSDV!K391</f>
        <v>0</v>
      </c>
      <c r="D386" s="238">
        <f>DSDV!W391</f>
        <v>0</v>
      </c>
    </row>
    <row r="387" spans="1:4">
      <c r="A387">
        <f>DSDV!B392</f>
        <v>0</v>
      </c>
      <c r="B387">
        <f>DSDV!G392</f>
        <v>0</v>
      </c>
      <c r="C387" s="237">
        <f>DSDV!K392</f>
        <v>0</v>
      </c>
      <c r="D387" s="238">
        <f>DSDV!W392</f>
        <v>0</v>
      </c>
    </row>
    <row r="388" spans="1:4">
      <c r="A388">
        <f>DSDV!B393</f>
        <v>0</v>
      </c>
      <c r="B388">
        <f>DSDV!G393</f>
        <v>0</v>
      </c>
      <c r="C388" s="237">
        <f>DSDV!K393</f>
        <v>0</v>
      </c>
      <c r="D388" s="238">
        <f>DSDV!W393</f>
        <v>0</v>
      </c>
    </row>
    <row r="389" spans="1:4">
      <c r="A389">
        <f>DSDV!B394</f>
        <v>0</v>
      </c>
      <c r="B389">
        <f>DSDV!G394</f>
        <v>0</v>
      </c>
      <c r="C389" s="237">
        <f>DSDV!K394</f>
        <v>0</v>
      </c>
      <c r="D389" s="238">
        <f>DSDV!W394</f>
        <v>0</v>
      </c>
    </row>
    <row r="390" spans="1:4">
      <c r="A390">
        <f>DSDV!B395</f>
        <v>0</v>
      </c>
      <c r="B390">
        <f>DSDV!G395</f>
        <v>0</v>
      </c>
      <c r="C390" s="237">
        <f>DSDV!K395</f>
        <v>0</v>
      </c>
      <c r="D390" s="238">
        <f>DSDV!W395</f>
        <v>0</v>
      </c>
    </row>
    <row r="391" spans="1:4">
      <c r="A391">
        <f>DSDV!B396</f>
        <v>0</v>
      </c>
      <c r="B391">
        <f>DSDV!G396</f>
        <v>0</v>
      </c>
      <c r="C391" s="237">
        <f>DSDV!K396</f>
        <v>0</v>
      </c>
      <c r="D391" s="238">
        <f>DSDV!W396</f>
        <v>0</v>
      </c>
    </row>
    <row r="392" spans="1:4">
      <c r="A392">
        <f>DSDV!B397</f>
        <v>0</v>
      </c>
      <c r="B392">
        <f>DSDV!G397</f>
        <v>0</v>
      </c>
      <c r="C392" s="237">
        <f>DSDV!K397</f>
        <v>0</v>
      </c>
      <c r="D392" s="238">
        <f>DSDV!W397</f>
        <v>0</v>
      </c>
    </row>
    <row r="393" spans="1:4">
      <c r="A393">
        <f>DSDV!B398</f>
        <v>0</v>
      </c>
      <c r="B393">
        <f>DSDV!G398</f>
        <v>0</v>
      </c>
      <c r="C393" s="237">
        <f>DSDV!K398</f>
        <v>0</v>
      </c>
      <c r="D393" s="238">
        <f>DSDV!W398</f>
        <v>0</v>
      </c>
    </row>
    <row r="394" spans="1:4">
      <c r="A394">
        <f>DSDV!B399</f>
        <v>0</v>
      </c>
      <c r="B394">
        <f>DSDV!G399</f>
        <v>0</v>
      </c>
      <c r="C394" s="237">
        <f>DSDV!K399</f>
        <v>0</v>
      </c>
      <c r="D394" s="238">
        <f>DSDV!W399</f>
        <v>0</v>
      </c>
    </row>
    <row r="395" spans="1:4">
      <c r="A395">
        <f>DSDV!B400</f>
        <v>0</v>
      </c>
      <c r="B395">
        <f>DSDV!G400</f>
        <v>0</v>
      </c>
      <c r="C395" s="237">
        <f>DSDV!K400</f>
        <v>0</v>
      </c>
      <c r="D395" s="238">
        <f>DSDV!W400</f>
        <v>0</v>
      </c>
    </row>
    <row r="396" spans="1:4">
      <c r="A396">
        <f>DSDV!B401</f>
        <v>0</v>
      </c>
      <c r="B396">
        <f>DSDV!G401</f>
        <v>0</v>
      </c>
      <c r="C396" s="237">
        <f>DSDV!K401</f>
        <v>0</v>
      </c>
      <c r="D396" s="238">
        <f>DSDV!W401</f>
        <v>0</v>
      </c>
    </row>
    <row r="397" spans="1:4">
      <c r="A397">
        <f>DSDV!B402</f>
        <v>0</v>
      </c>
      <c r="B397">
        <f>DSDV!G402</f>
        <v>0</v>
      </c>
      <c r="C397" s="237">
        <f>DSDV!K402</f>
        <v>0</v>
      </c>
      <c r="D397" s="238">
        <f>DSDV!W402</f>
        <v>0</v>
      </c>
    </row>
    <row r="398" spans="1:4">
      <c r="A398">
        <f>DSDV!B403</f>
        <v>0</v>
      </c>
      <c r="B398">
        <f>DSDV!G403</f>
        <v>0</v>
      </c>
      <c r="C398" s="237">
        <f>DSDV!K403</f>
        <v>0</v>
      </c>
      <c r="D398" s="238">
        <f>DSDV!W403</f>
        <v>0</v>
      </c>
    </row>
    <row r="399" spans="1:4">
      <c r="A399">
        <f>DSDV!B404</f>
        <v>0</v>
      </c>
      <c r="B399">
        <f>DSDV!G404</f>
        <v>0</v>
      </c>
      <c r="C399" s="237">
        <f>DSDV!K404</f>
        <v>0</v>
      </c>
      <c r="D399" s="238">
        <f>DSDV!W404</f>
        <v>0</v>
      </c>
    </row>
    <row r="400" spans="1:4">
      <c r="A400">
        <f>DSDV!B405</f>
        <v>0</v>
      </c>
      <c r="B400">
        <f>DSDV!G405</f>
        <v>0</v>
      </c>
      <c r="C400" s="237">
        <f>DSDV!K405</f>
        <v>0</v>
      </c>
      <c r="D400" s="238">
        <f>DSDV!W405</f>
        <v>0</v>
      </c>
    </row>
    <row r="401" spans="1:4">
      <c r="A401">
        <f>DSDV!B406</f>
        <v>0</v>
      </c>
      <c r="B401">
        <f>DSDV!G406</f>
        <v>0</v>
      </c>
      <c r="C401" s="237">
        <f>DSDV!K406</f>
        <v>0</v>
      </c>
      <c r="D401" s="238">
        <f>DSDV!W406</f>
        <v>0</v>
      </c>
    </row>
    <row r="402" spans="1:4">
      <c r="A402">
        <f>DSDV!B407</f>
        <v>0</v>
      </c>
      <c r="B402">
        <f>DSDV!G407</f>
        <v>0</v>
      </c>
      <c r="C402" s="237">
        <f>DSDV!K407</f>
        <v>0</v>
      </c>
      <c r="D402" s="238">
        <f>DSDV!W407</f>
        <v>0</v>
      </c>
    </row>
    <row r="403" spans="1:4">
      <c r="A403">
        <f>DSDV!B408</f>
        <v>0</v>
      </c>
      <c r="B403">
        <f>DSDV!G408</f>
        <v>0</v>
      </c>
      <c r="C403" s="237">
        <f>DSDV!K408</f>
        <v>0</v>
      </c>
      <c r="D403" s="238">
        <f>DSDV!W408</f>
        <v>0</v>
      </c>
    </row>
    <row r="404" spans="1:4">
      <c r="A404">
        <f>DSDV!B409</f>
        <v>0</v>
      </c>
      <c r="B404">
        <f>DSDV!G409</f>
        <v>0</v>
      </c>
      <c r="C404" s="237">
        <f>DSDV!K409</f>
        <v>0</v>
      </c>
      <c r="D404" s="238">
        <f>DSDV!W409</f>
        <v>0</v>
      </c>
    </row>
    <row r="405" spans="1:4">
      <c r="A405">
        <f>DSDV!B410</f>
        <v>0</v>
      </c>
      <c r="B405">
        <f>DSDV!G410</f>
        <v>0</v>
      </c>
      <c r="C405" s="237">
        <f>DSDV!K410</f>
        <v>0</v>
      </c>
      <c r="D405" s="238">
        <f>DSDV!W410</f>
        <v>0</v>
      </c>
    </row>
    <row r="406" spans="1:4">
      <c r="A406">
        <f>DSDV!B411</f>
        <v>0</v>
      </c>
      <c r="B406">
        <f>DSDV!G411</f>
        <v>0</v>
      </c>
      <c r="C406" s="237">
        <f>DSDV!K411</f>
        <v>0</v>
      </c>
      <c r="D406" s="238">
        <f>DSDV!W411</f>
        <v>0</v>
      </c>
    </row>
    <row r="407" spans="1:4">
      <c r="A407">
        <f>DSDV!B412</f>
        <v>0</v>
      </c>
      <c r="B407">
        <f>DSDV!G412</f>
        <v>0</v>
      </c>
      <c r="C407" s="237">
        <f>DSDV!K412</f>
        <v>0</v>
      </c>
      <c r="D407" s="238">
        <f>DSDV!W412</f>
        <v>0</v>
      </c>
    </row>
    <row r="408" spans="1:4">
      <c r="A408">
        <f>DSDV!B413</f>
        <v>0</v>
      </c>
      <c r="B408">
        <f>DSDV!G413</f>
        <v>0</v>
      </c>
      <c r="C408" s="237">
        <f>DSDV!K413</f>
        <v>0</v>
      </c>
      <c r="D408" s="238">
        <f>DSDV!W413</f>
        <v>0</v>
      </c>
    </row>
    <row r="409" spans="1:4">
      <c r="A409">
        <f>DSDV!B414</f>
        <v>0</v>
      </c>
      <c r="B409">
        <f>DSDV!G414</f>
        <v>0</v>
      </c>
      <c r="C409" s="237">
        <f>DSDV!K414</f>
        <v>0</v>
      </c>
      <c r="D409" s="238">
        <f>DSDV!W414</f>
        <v>0</v>
      </c>
    </row>
    <row r="410" spans="1:4">
      <c r="A410">
        <f>DSDV!B415</f>
        <v>0</v>
      </c>
      <c r="B410">
        <f>DSDV!G415</f>
        <v>0</v>
      </c>
      <c r="C410" s="237">
        <f>DSDV!K415</f>
        <v>0</v>
      </c>
      <c r="D410" s="238">
        <f>DSDV!W415</f>
        <v>0</v>
      </c>
    </row>
    <row r="411" spans="1:4">
      <c r="A411">
        <f>DSDV!B416</f>
        <v>0</v>
      </c>
      <c r="B411">
        <f>DSDV!G416</f>
        <v>0</v>
      </c>
      <c r="C411" s="237">
        <f>DSDV!K416</f>
        <v>0</v>
      </c>
      <c r="D411" s="238">
        <f>DSDV!W416</f>
        <v>0</v>
      </c>
    </row>
    <row r="412" spans="1:4">
      <c r="A412">
        <f>DSDV!B417</f>
        <v>0</v>
      </c>
      <c r="B412">
        <f>DSDV!G417</f>
        <v>0</v>
      </c>
      <c r="C412" s="237">
        <f>DSDV!K417</f>
        <v>0</v>
      </c>
      <c r="D412" s="238">
        <f>DSDV!W417</f>
        <v>0</v>
      </c>
    </row>
    <row r="413" spans="1:4">
      <c r="A413">
        <f>DSDV!B418</f>
        <v>0</v>
      </c>
      <c r="B413">
        <f>DSDV!G418</f>
        <v>0</v>
      </c>
      <c r="C413" s="237">
        <f>DSDV!K418</f>
        <v>0</v>
      </c>
      <c r="D413" s="238">
        <f>DSDV!W418</f>
        <v>0</v>
      </c>
    </row>
    <row r="414" spans="1:4">
      <c r="A414">
        <f>DSDV!B419</f>
        <v>0</v>
      </c>
      <c r="B414">
        <f>DSDV!G419</f>
        <v>0</v>
      </c>
      <c r="C414" s="237">
        <f>DSDV!K419</f>
        <v>0</v>
      </c>
      <c r="D414" s="238">
        <f>DSDV!W419</f>
        <v>0</v>
      </c>
    </row>
    <row r="415" spans="1:4">
      <c r="A415">
        <f>DSDV!B420</f>
        <v>0</v>
      </c>
      <c r="B415">
        <f>DSDV!G420</f>
        <v>0</v>
      </c>
      <c r="C415" s="237">
        <f>DSDV!K420</f>
        <v>0</v>
      </c>
      <c r="D415" s="238">
        <f>DSDV!W420</f>
        <v>0</v>
      </c>
    </row>
    <row r="416" spans="1:4">
      <c r="A416">
        <f>DSDV!B421</f>
        <v>0</v>
      </c>
      <c r="B416">
        <f>DSDV!G421</f>
        <v>0</v>
      </c>
      <c r="C416" s="237">
        <f>DSDV!K421</f>
        <v>0</v>
      </c>
      <c r="D416" s="238">
        <f>DSDV!W421</f>
        <v>0</v>
      </c>
    </row>
    <row r="417" spans="1:4">
      <c r="A417">
        <f>DSDV!B422</f>
        <v>0</v>
      </c>
      <c r="B417">
        <f>DSDV!G422</f>
        <v>0</v>
      </c>
      <c r="C417" s="237">
        <f>DSDV!K422</f>
        <v>0</v>
      </c>
      <c r="D417" s="238">
        <f>DSDV!W422</f>
        <v>0</v>
      </c>
    </row>
    <row r="418" spans="1:4">
      <c r="A418">
        <f>DSDV!B423</f>
        <v>0</v>
      </c>
      <c r="B418">
        <f>DSDV!G423</f>
        <v>0</v>
      </c>
      <c r="C418" s="237">
        <f>DSDV!K423</f>
        <v>0</v>
      </c>
      <c r="D418" s="238">
        <f>DSDV!W423</f>
        <v>0</v>
      </c>
    </row>
    <row r="419" spans="1:4">
      <c r="A419">
        <f>DSDV!B424</f>
        <v>0</v>
      </c>
      <c r="B419">
        <f>DSDV!G424</f>
        <v>0</v>
      </c>
      <c r="C419" s="237">
        <f>DSDV!K424</f>
        <v>0</v>
      </c>
      <c r="D419" s="238">
        <f>DSDV!W424</f>
        <v>0</v>
      </c>
    </row>
    <row r="420" spans="1:4">
      <c r="A420">
        <f>DSDV!B425</f>
        <v>0</v>
      </c>
      <c r="B420">
        <f>DSDV!G425</f>
        <v>0</v>
      </c>
      <c r="C420" s="237">
        <f>DSDV!K425</f>
        <v>0</v>
      </c>
      <c r="D420" s="238">
        <f>DSDV!W425</f>
        <v>0</v>
      </c>
    </row>
    <row r="421" spans="1:4">
      <c r="A421">
        <f>DSDV!B426</f>
        <v>0</v>
      </c>
      <c r="B421">
        <f>DSDV!G426</f>
        <v>0</v>
      </c>
      <c r="C421" s="237">
        <f>DSDV!K426</f>
        <v>0</v>
      </c>
      <c r="D421" s="238">
        <f>DSDV!W426</f>
        <v>0</v>
      </c>
    </row>
    <row r="422" spans="1:4">
      <c r="A422">
        <f>DSDV!B427</f>
        <v>0</v>
      </c>
      <c r="B422">
        <f>DSDV!G427</f>
        <v>0</v>
      </c>
      <c r="C422" s="237">
        <f>DSDV!K427</f>
        <v>0</v>
      </c>
      <c r="D422" s="238">
        <f>DSDV!W427</f>
        <v>0</v>
      </c>
    </row>
    <row r="423" spans="1:4">
      <c r="A423">
        <f>DSDV!B428</f>
        <v>0</v>
      </c>
      <c r="B423">
        <f>DSDV!G428</f>
        <v>0</v>
      </c>
      <c r="C423" s="237">
        <f>DSDV!K428</f>
        <v>0</v>
      </c>
      <c r="D423" s="238">
        <f>DSDV!W428</f>
        <v>0</v>
      </c>
    </row>
    <row r="424" spans="1:4">
      <c r="A424">
        <f>DSDV!B429</f>
        <v>0</v>
      </c>
      <c r="B424">
        <f>DSDV!G429</f>
        <v>0</v>
      </c>
      <c r="C424" s="237">
        <f>DSDV!K429</f>
        <v>0</v>
      </c>
      <c r="D424" s="238">
        <f>DSDV!W429</f>
        <v>0</v>
      </c>
    </row>
    <row r="425" spans="1:4">
      <c r="A425">
        <f>DSDV!B430</f>
        <v>0</v>
      </c>
      <c r="B425">
        <f>DSDV!G430</f>
        <v>0</v>
      </c>
      <c r="C425" s="237">
        <f>DSDV!K430</f>
        <v>0</v>
      </c>
      <c r="D425" s="238">
        <f>DSDV!W430</f>
        <v>0</v>
      </c>
    </row>
    <row r="426" spans="1:4">
      <c r="A426">
        <f>DSDV!B431</f>
        <v>0</v>
      </c>
      <c r="B426">
        <f>DSDV!G431</f>
        <v>0</v>
      </c>
      <c r="C426" s="237">
        <f>DSDV!K431</f>
        <v>0</v>
      </c>
      <c r="D426" s="238">
        <f>DSDV!W431</f>
        <v>0</v>
      </c>
    </row>
    <row r="427" spans="1:4">
      <c r="A427">
        <f>DSDV!B432</f>
        <v>0</v>
      </c>
      <c r="B427">
        <f>DSDV!G432</f>
        <v>0</v>
      </c>
      <c r="C427" s="237">
        <f>DSDV!K432</f>
        <v>0</v>
      </c>
      <c r="D427" s="238">
        <f>DSDV!W432</f>
        <v>0</v>
      </c>
    </row>
    <row r="428" spans="1:4">
      <c r="A428">
        <f>DSDV!B433</f>
        <v>0</v>
      </c>
      <c r="B428">
        <f>DSDV!G433</f>
        <v>0</v>
      </c>
      <c r="C428" s="237">
        <f>DSDV!K433</f>
        <v>0</v>
      </c>
      <c r="D428" s="238">
        <f>DSDV!W433</f>
        <v>0</v>
      </c>
    </row>
    <row r="429" spans="1:4">
      <c r="A429">
        <f>DSDV!B434</f>
        <v>0</v>
      </c>
      <c r="B429">
        <f>DSDV!G434</f>
        <v>0</v>
      </c>
      <c r="C429" s="237">
        <f>DSDV!K434</f>
        <v>0</v>
      </c>
      <c r="D429" s="238">
        <f>DSDV!W434</f>
        <v>0</v>
      </c>
    </row>
    <row r="430" spans="1:4">
      <c r="A430">
        <f>DSDV!B435</f>
        <v>0</v>
      </c>
      <c r="B430">
        <f>DSDV!G435</f>
        <v>0</v>
      </c>
      <c r="C430" s="237">
        <f>DSDV!K435</f>
        <v>0</v>
      </c>
      <c r="D430" s="238">
        <f>DSDV!W435</f>
        <v>0</v>
      </c>
    </row>
    <row r="431" spans="1:4">
      <c r="A431">
        <f>DSDV!B436</f>
        <v>0</v>
      </c>
      <c r="B431">
        <f>DSDV!G436</f>
        <v>0</v>
      </c>
      <c r="C431" s="237">
        <f>DSDV!K436</f>
        <v>0</v>
      </c>
      <c r="D431" s="238">
        <f>DSDV!W436</f>
        <v>0</v>
      </c>
    </row>
    <row r="432" spans="1:4">
      <c r="A432">
        <f>DSDV!B437</f>
        <v>0</v>
      </c>
      <c r="B432">
        <f>DSDV!G437</f>
        <v>0</v>
      </c>
      <c r="C432" s="237">
        <f>DSDV!K437</f>
        <v>0</v>
      </c>
      <c r="D432" s="238">
        <f>DSDV!W437</f>
        <v>0</v>
      </c>
    </row>
    <row r="433" spans="1:4">
      <c r="A433">
        <f>DSDV!B438</f>
        <v>0</v>
      </c>
      <c r="B433">
        <f>DSDV!G438</f>
        <v>0</v>
      </c>
      <c r="C433" s="237">
        <f>DSDV!K438</f>
        <v>0</v>
      </c>
      <c r="D433" s="238">
        <f>DSDV!W438</f>
        <v>0</v>
      </c>
    </row>
    <row r="434" spans="1:4">
      <c r="A434">
        <f>DSDV!B439</f>
        <v>0</v>
      </c>
      <c r="B434">
        <f>DSDV!G439</f>
        <v>0</v>
      </c>
      <c r="C434" s="237">
        <f>DSDV!K439</f>
        <v>0</v>
      </c>
      <c r="D434" s="238">
        <f>DSDV!W439</f>
        <v>0</v>
      </c>
    </row>
    <row r="435" spans="1:4">
      <c r="A435">
        <f>DSDV!B440</f>
        <v>0</v>
      </c>
      <c r="B435">
        <f>DSDV!G440</f>
        <v>0</v>
      </c>
      <c r="C435" s="237">
        <f>DSDV!K440</f>
        <v>0</v>
      </c>
      <c r="D435" s="238">
        <f>DSDV!W440</f>
        <v>0</v>
      </c>
    </row>
    <row r="436" spans="1:4">
      <c r="A436">
        <f>DSDV!B441</f>
        <v>0</v>
      </c>
      <c r="B436">
        <f>DSDV!G441</f>
        <v>0</v>
      </c>
      <c r="C436" s="237">
        <f>DSDV!K441</f>
        <v>0</v>
      </c>
      <c r="D436" s="238">
        <f>DSDV!W441</f>
        <v>0</v>
      </c>
    </row>
    <row r="437" spans="1:4">
      <c r="A437">
        <f>DSDV!B442</f>
        <v>0</v>
      </c>
      <c r="B437">
        <f>DSDV!G442</f>
        <v>0</v>
      </c>
      <c r="C437" s="237">
        <f>DSDV!K442</f>
        <v>0</v>
      </c>
      <c r="D437" s="238">
        <f>DSDV!W442</f>
        <v>0</v>
      </c>
    </row>
    <row r="438" spans="1:4">
      <c r="A438">
        <f>DSDV!B443</f>
        <v>0</v>
      </c>
      <c r="B438">
        <f>DSDV!G443</f>
        <v>0</v>
      </c>
      <c r="C438" s="237">
        <f>DSDV!K443</f>
        <v>0</v>
      </c>
      <c r="D438" s="238">
        <f>DSDV!W443</f>
        <v>0</v>
      </c>
    </row>
    <row r="439" spans="1:4">
      <c r="A439">
        <f>DSDV!B444</f>
        <v>0</v>
      </c>
      <c r="B439">
        <f>DSDV!G444</f>
        <v>0</v>
      </c>
      <c r="C439" s="237">
        <f>DSDV!K444</f>
        <v>0</v>
      </c>
      <c r="D439" s="238">
        <f>DSDV!W444</f>
        <v>0</v>
      </c>
    </row>
    <row r="440" spans="1:4">
      <c r="A440">
        <f>DSDV!B445</f>
        <v>0</v>
      </c>
      <c r="B440">
        <f>DSDV!G445</f>
        <v>0</v>
      </c>
      <c r="C440" s="237">
        <f>DSDV!K445</f>
        <v>0</v>
      </c>
      <c r="D440" s="238">
        <f>DSDV!W445</f>
        <v>0</v>
      </c>
    </row>
    <row r="441" spans="1:4">
      <c r="A441">
        <f>DSDV!B446</f>
        <v>0</v>
      </c>
      <c r="B441">
        <f>DSDV!G446</f>
        <v>0</v>
      </c>
      <c r="C441" s="237">
        <f>DSDV!K446</f>
        <v>0</v>
      </c>
      <c r="D441" s="238">
        <f>DSDV!W446</f>
        <v>0</v>
      </c>
    </row>
    <row r="442" spans="1:4">
      <c r="A442">
        <f>DSDV!B447</f>
        <v>0</v>
      </c>
      <c r="B442">
        <f>DSDV!G447</f>
        <v>0</v>
      </c>
      <c r="C442" s="237">
        <f>DSDV!K447</f>
        <v>0</v>
      </c>
      <c r="D442" s="238">
        <f>DSDV!W447</f>
        <v>0</v>
      </c>
    </row>
    <row r="443" spans="1:4">
      <c r="A443">
        <f>DSDV!B448</f>
        <v>0</v>
      </c>
      <c r="B443">
        <f>DSDV!G448</f>
        <v>0</v>
      </c>
      <c r="C443" s="237">
        <f>DSDV!K448</f>
        <v>0</v>
      </c>
      <c r="D443" s="238">
        <f>DSDV!W448</f>
        <v>0</v>
      </c>
    </row>
    <row r="444" spans="1:4">
      <c r="A444">
        <f>DSDV!B449</f>
        <v>0</v>
      </c>
      <c r="B444">
        <f>DSDV!G449</f>
        <v>0</v>
      </c>
      <c r="C444" s="237">
        <f>DSDV!K449</f>
        <v>0</v>
      </c>
      <c r="D444" s="238">
        <f>DSDV!W449</f>
        <v>0</v>
      </c>
    </row>
    <row r="445" spans="1:4">
      <c r="A445">
        <f>DSDV!B450</f>
        <v>0</v>
      </c>
      <c r="B445">
        <f>DSDV!G450</f>
        <v>0</v>
      </c>
      <c r="C445" s="237">
        <f>DSDV!K450</f>
        <v>0</v>
      </c>
      <c r="D445" s="238">
        <f>DSDV!W450</f>
        <v>0</v>
      </c>
    </row>
    <row r="446" spans="1:4">
      <c r="A446">
        <f>DSDV!B451</f>
        <v>0</v>
      </c>
      <c r="B446">
        <f>DSDV!G451</f>
        <v>0</v>
      </c>
      <c r="C446" s="237">
        <f>DSDV!K451</f>
        <v>0</v>
      </c>
      <c r="D446" s="238">
        <f>DSDV!W451</f>
        <v>0</v>
      </c>
    </row>
    <row r="447" spans="1:4">
      <c r="A447">
        <f>DSDV!B452</f>
        <v>0</v>
      </c>
      <c r="B447">
        <f>DSDV!G452</f>
        <v>0</v>
      </c>
      <c r="C447" s="237">
        <f>DSDV!K452</f>
        <v>0</v>
      </c>
      <c r="D447" s="238">
        <f>DSDV!W452</f>
        <v>0</v>
      </c>
    </row>
    <row r="448" spans="1:4">
      <c r="A448">
        <f>DSDV!B453</f>
        <v>0</v>
      </c>
      <c r="B448">
        <f>DSDV!G453</f>
        <v>0</v>
      </c>
      <c r="C448" s="237">
        <f>DSDV!K453</f>
        <v>0</v>
      </c>
      <c r="D448" s="238">
        <f>DSDV!W453</f>
        <v>0</v>
      </c>
    </row>
    <row r="449" spans="1:4">
      <c r="A449">
        <f>DSDV!B454</f>
        <v>0</v>
      </c>
      <c r="B449">
        <f>DSDV!G454</f>
        <v>0</v>
      </c>
      <c r="C449" s="237">
        <f>DSDV!K454</f>
        <v>0</v>
      </c>
      <c r="D449" s="238">
        <f>DSDV!W454</f>
        <v>0</v>
      </c>
    </row>
    <row r="450" spans="1:4">
      <c r="A450">
        <f>DSDV!B455</f>
        <v>0</v>
      </c>
      <c r="B450">
        <f>DSDV!G455</f>
        <v>0</v>
      </c>
      <c r="C450" s="237">
        <f>DSDV!K455</f>
        <v>0</v>
      </c>
      <c r="D450" s="238">
        <f>DSDV!W455</f>
        <v>0</v>
      </c>
    </row>
    <row r="451" spans="1:4">
      <c r="A451">
        <f>DSDV!B456</f>
        <v>0</v>
      </c>
      <c r="B451">
        <f>DSDV!G456</f>
        <v>0</v>
      </c>
      <c r="C451" s="237">
        <f>DSDV!K456</f>
        <v>0</v>
      </c>
      <c r="D451" s="238">
        <f>DSDV!W456</f>
        <v>0</v>
      </c>
    </row>
    <row r="452" spans="1:4">
      <c r="A452">
        <f>DSDV!B457</f>
        <v>0</v>
      </c>
      <c r="B452">
        <f>DSDV!G457</f>
        <v>0</v>
      </c>
      <c r="C452" s="237">
        <f>DSDV!K457</f>
        <v>0</v>
      </c>
      <c r="D452" s="238">
        <f>DSDV!W457</f>
        <v>0</v>
      </c>
    </row>
    <row r="453" spans="1:4">
      <c r="A453">
        <f>DSDV!B458</f>
        <v>0</v>
      </c>
      <c r="B453">
        <f>DSDV!G458</f>
        <v>0</v>
      </c>
      <c r="C453" s="237">
        <f>DSDV!K458</f>
        <v>0</v>
      </c>
      <c r="D453" s="238">
        <f>DSDV!W458</f>
        <v>0</v>
      </c>
    </row>
    <row r="454" spans="1:4">
      <c r="A454">
        <f>DSDV!B459</f>
        <v>0</v>
      </c>
      <c r="B454">
        <f>DSDV!G459</f>
        <v>0</v>
      </c>
      <c r="C454" s="237">
        <f>DSDV!K459</f>
        <v>0</v>
      </c>
      <c r="D454" s="238">
        <f>DSDV!W459</f>
        <v>0</v>
      </c>
    </row>
    <row r="455" spans="1:4">
      <c r="A455">
        <f>DSDV!B460</f>
        <v>0</v>
      </c>
      <c r="B455">
        <f>DSDV!G460</f>
        <v>0</v>
      </c>
      <c r="C455" s="237">
        <f>DSDV!K460</f>
        <v>0</v>
      </c>
      <c r="D455" s="238">
        <f>DSDV!W460</f>
        <v>0</v>
      </c>
    </row>
    <row r="456" spans="1:4">
      <c r="A456">
        <f>DSDV!B461</f>
        <v>0</v>
      </c>
      <c r="B456">
        <f>DSDV!G461</f>
        <v>0</v>
      </c>
      <c r="C456" s="237">
        <f>DSDV!K461</f>
        <v>0</v>
      </c>
      <c r="D456" s="238">
        <f>DSDV!W461</f>
        <v>0</v>
      </c>
    </row>
    <row r="457" spans="1:4">
      <c r="A457">
        <f>DSDV!B462</f>
        <v>0</v>
      </c>
      <c r="B457">
        <f>DSDV!G462</f>
        <v>0</v>
      </c>
      <c r="C457" s="237">
        <f>DSDV!K462</f>
        <v>0</v>
      </c>
      <c r="D457" s="238">
        <f>DSDV!W462</f>
        <v>0</v>
      </c>
    </row>
    <row r="458" spans="1:4">
      <c r="A458">
        <f>DSDV!B463</f>
        <v>0</v>
      </c>
      <c r="B458">
        <f>DSDV!G463</f>
        <v>0</v>
      </c>
      <c r="C458" s="237">
        <f>DSDV!K463</f>
        <v>0</v>
      </c>
      <c r="D458" s="238">
        <f>DSDV!W463</f>
        <v>0</v>
      </c>
    </row>
    <row r="459" spans="1:4">
      <c r="A459">
        <f>DSDV!B464</f>
        <v>0</v>
      </c>
      <c r="B459">
        <f>DSDV!G464</f>
        <v>0</v>
      </c>
      <c r="C459" s="237">
        <f>DSDV!K464</f>
        <v>0</v>
      </c>
      <c r="D459" s="238">
        <f>DSDV!W464</f>
        <v>0</v>
      </c>
    </row>
    <row r="460" spans="1:4">
      <c r="A460">
        <f>DSDV!B465</f>
        <v>0</v>
      </c>
      <c r="B460">
        <f>DSDV!G465</f>
        <v>0</v>
      </c>
      <c r="C460" s="237">
        <f>DSDV!K465</f>
        <v>0</v>
      </c>
      <c r="D460" s="238">
        <f>DSDV!W465</f>
        <v>0</v>
      </c>
    </row>
    <row r="461" spans="1:4">
      <c r="A461">
        <f>DSDV!B466</f>
        <v>0</v>
      </c>
      <c r="B461">
        <f>DSDV!G466</f>
        <v>0</v>
      </c>
      <c r="C461" s="237">
        <f>DSDV!K466</f>
        <v>0</v>
      </c>
      <c r="D461" s="238">
        <f>DSDV!W466</f>
        <v>0</v>
      </c>
    </row>
    <row r="462" spans="1:4">
      <c r="A462">
        <f>DSDV!B467</f>
        <v>0</v>
      </c>
      <c r="B462">
        <f>DSDV!G467</f>
        <v>0</v>
      </c>
      <c r="C462" s="237">
        <f>DSDV!K467</f>
        <v>0</v>
      </c>
      <c r="D462" s="238">
        <f>DSDV!W467</f>
        <v>0</v>
      </c>
    </row>
    <row r="463" spans="1:4">
      <c r="A463">
        <f>DSDV!B468</f>
        <v>0</v>
      </c>
      <c r="B463">
        <f>DSDV!G468</f>
        <v>0</v>
      </c>
      <c r="C463" s="237">
        <f>DSDV!K468</f>
        <v>0</v>
      </c>
      <c r="D463" s="238">
        <f>DSDV!W468</f>
        <v>0</v>
      </c>
    </row>
    <row r="464" spans="1:4">
      <c r="A464">
        <f>DSDV!B469</f>
        <v>0</v>
      </c>
      <c r="B464">
        <f>DSDV!G469</f>
        <v>0</v>
      </c>
      <c r="C464" s="237">
        <f>DSDV!K469</f>
        <v>0</v>
      </c>
      <c r="D464" s="238">
        <f>DSDV!W469</f>
        <v>0</v>
      </c>
    </row>
    <row r="465" spans="1:4">
      <c r="A465">
        <f>DSDV!B470</f>
        <v>0</v>
      </c>
      <c r="B465">
        <f>DSDV!G470</f>
        <v>0</v>
      </c>
      <c r="C465" s="237">
        <f>DSDV!K470</f>
        <v>0</v>
      </c>
      <c r="D465" s="238">
        <f>DSDV!W470</f>
        <v>0</v>
      </c>
    </row>
    <row r="466" spans="1:4">
      <c r="A466">
        <f>DSDV!B471</f>
        <v>0</v>
      </c>
      <c r="B466">
        <f>DSDV!G471</f>
        <v>0</v>
      </c>
      <c r="C466" s="237">
        <f>DSDV!K471</f>
        <v>0</v>
      </c>
      <c r="D466" s="238">
        <f>DSDV!W471</f>
        <v>0</v>
      </c>
    </row>
    <row r="467" spans="1:4">
      <c r="A467">
        <f>DSDV!B472</f>
        <v>0</v>
      </c>
      <c r="B467">
        <f>DSDV!G472</f>
        <v>0</v>
      </c>
      <c r="C467" s="237">
        <f>DSDV!K472</f>
        <v>0</v>
      </c>
      <c r="D467" s="238">
        <f>DSDV!W472</f>
        <v>0</v>
      </c>
    </row>
    <row r="468" spans="1:4">
      <c r="A468">
        <f>DSDV!B473</f>
        <v>0</v>
      </c>
      <c r="B468">
        <f>DSDV!G473</f>
        <v>0</v>
      </c>
      <c r="C468" s="237">
        <f>DSDV!K473</f>
        <v>0</v>
      </c>
      <c r="D468" s="238">
        <f>DSDV!W473</f>
        <v>0</v>
      </c>
    </row>
    <row r="469" spans="1:4">
      <c r="A469">
        <f>DSDV!B474</f>
        <v>0</v>
      </c>
      <c r="B469">
        <f>DSDV!G474</f>
        <v>0</v>
      </c>
      <c r="C469" s="237">
        <f>DSDV!K474</f>
        <v>0</v>
      </c>
      <c r="D469" s="238">
        <f>DSDV!W474</f>
        <v>0</v>
      </c>
    </row>
    <row r="470" spans="1:4">
      <c r="A470">
        <f>DSDV!B475</f>
        <v>0</v>
      </c>
      <c r="B470">
        <f>DSDV!G475</f>
        <v>0</v>
      </c>
      <c r="C470" s="237">
        <f>DSDV!K475</f>
        <v>0</v>
      </c>
      <c r="D470" s="238">
        <f>DSDV!W475</f>
        <v>0</v>
      </c>
    </row>
    <row r="471" spans="1:4">
      <c r="A471">
        <f>DSDV!B476</f>
        <v>0</v>
      </c>
      <c r="B471">
        <f>DSDV!G476</f>
        <v>0</v>
      </c>
      <c r="C471" s="237">
        <f>DSDV!K476</f>
        <v>0</v>
      </c>
      <c r="D471" s="238">
        <f>DSDV!W476</f>
        <v>0</v>
      </c>
    </row>
    <row r="472" spans="1:4">
      <c r="A472">
        <f>DSDV!B477</f>
        <v>0</v>
      </c>
      <c r="B472">
        <f>DSDV!G477</f>
        <v>0</v>
      </c>
      <c r="C472" s="237">
        <f>DSDV!K477</f>
        <v>0</v>
      </c>
      <c r="D472" s="238">
        <f>DSDV!W477</f>
        <v>0</v>
      </c>
    </row>
    <row r="473" spans="1:4">
      <c r="A473">
        <f>DSDV!B478</f>
        <v>0</v>
      </c>
      <c r="B473">
        <f>DSDV!G478</f>
        <v>0</v>
      </c>
      <c r="C473" s="237">
        <f>DSDV!K478</f>
        <v>0</v>
      </c>
      <c r="D473" s="238">
        <f>DSDV!W478</f>
        <v>0</v>
      </c>
    </row>
    <row r="474" spans="1:4">
      <c r="A474">
        <f>DSDV!B479</f>
        <v>0</v>
      </c>
      <c r="B474">
        <f>DSDV!G479</f>
        <v>0</v>
      </c>
      <c r="C474" s="237">
        <f>DSDV!K479</f>
        <v>0</v>
      </c>
      <c r="D474" s="238">
        <f>DSDV!W479</f>
        <v>0</v>
      </c>
    </row>
    <row r="475" spans="1:4">
      <c r="A475">
        <f>DSDV!B480</f>
        <v>0</v>
      </c>
      <c r="B475">
        <f>DSDV!G480</f>
        <v>0</v>
      </c>
      <c r="C475" s="237">
        <f>DSDV!K480</f>
        <v>0</v>
      </c>
      <c r="D475" s="238">
        <f>DSDV!W480</f>
        <v>0</v>
      </c>
    </row>
    <row r="476" spans="1:4">
      <c r="A476">
        <f>DSDV!B481</f>
        <v>0</v>
      </c>
      <c r="B476">
        <f>DSDV!G481</f>
        <v>0</v>
      </c>
      <c r="C476" s="237">
        <f>DSDV!K481</f>
        <v>0</v>
      </c>
      <c r="D476" s="238">
        <f>DSDV!W481</f>
        <v>0</v>
      </c>
    </row>
    <row r="477" spans="1:4">
      <c r="A477">
        <f>DSDV!B482</f>
        <v>0</v>
      </c>
      <c r="B477">
        <f>DSDV!G482</f>
        <v>0</v>
      </c>
      <c r="C477" s="237">
        <f>DSDV!K482</f>
        <v>0</v>
      </c>
      <c r="D477" s="238">
        <f>DSDV!W482</f>
        <v>0</v>
      </c>
    </row>
    <row r="478" spans="1:4">
      <c r="A478">
        <f>DSDV!B483</f>
        <v>0</v>
      </c>
      <c r="B478">
        <f>DSDV!G483</f>
        <v>0</v>
      </c>
      <c r="C478" s="237">
        <f>DSDV!K483</f>
        <v>0</v>
      </c>
      <c r="D478" s="238">
        <f>DSDV!W483</f>
        <v>0</v>
      </c>
    </row>
    <row r="479" spans="1:4">
      <c r="A479">
        <f>DSDV!B484</f>
        <v>0</v>
      </c>
      <c r="B479">
        <f>DSDV!G484</f>
        <v>0</v>
      </c>
      <c r="C479" s="237">
        <f>DSDV!K484</f>
        <v>0</v>
      </c>
      <c r="D479" s="238">
        <f>DSDV!W484</f>
        <v>0</v>
      </c>
    </row>
    <row r="480" spans="1:4">
      <c r="A480">
        <f>DSDV!B485</f>
        <v>0</v>
      </c>
      <c r="B480">
        <f>DSDV!G485</f>
        <v>0</v>
      </c>
      <c r="C480" s="237">
        <f>DSDV!K485</f>
        <v>0</v>
      </c>
      <c r="D480" s="238">
        <f>DSDV!W485</f>
        <v>0</v>
      </c>
    </row>
    <row r="481" spans="1:4">
      <c r="A481">
        <f>DSDV!B486</f>
        <v>0</v>
      </c>
      <c r="B481">
        <f>DSDV!G486</f>
        <v>0</v>
      </c>
      <c r="C481" s="237">
        <f>DSDV!K486</f>
        <v>0</v>
      </c>
      <c r="D481" s="238">
        <f>DSDV!W486</f>
        <v>0</v>
      </c>
    </row>
    <row r="482" spans="1:4">
      <c r="A482">
        <f>DSDV!B487</f>
        <v>0</v>
      </c>
      <c r="B482">
        <f>DSDV!G487</f>
        <v>0</v>
      </c>
      <c r="C482" s="237">
        <f>DSDV!K487</f>
        <v>0</v>
      </c>
      <c r="D482" s="238">
        <f>DSDV!W487</f>
        <v>0</v>
      </c>
    </row>
    <row r="483" spans="1:4">
      <c r="A483">
        <f>DSDV!B488</f>
        <v>0</v>
      </c>
      <c r="B483">
        <f>DSDV!G488</f>
        <v>0</v>
      </c>
      <c r="C483" s="237">
        <f>DSDV!K488</f>
        <v>0</v>
      </c>
      <c r="D483" s="238">
        <f>DSDV!W488</f>
        <v>0</v>
      </c>
    </row>
    <row r="484" spans="1:4">
      <c r="A484">
        <f>DSDV!B489</f>
        <v>0</v>
      </c>
      <c r="B484">
        <f>DSDV!G489</f>
        <v>0</v>
      </c>
      <c r="C484" s="237">
        <f>DSDV!K489</f>
        <v>0</v>
      </c>
      <c r="D484" s="238">
        <f>DSDV!W489</f>
        <v>0</v>
      </c>
    </row>
    <row r="485" spans="1:4">
      <c r="A485">
        <f>DSDV!B490</f>
        <v>0</v>
      </c>
      <c r="B485">
        <f>DSDV!G490</f>
        <v>0</v>
      </c>
      <c r="C485" s="237">
        <f>DSDV!K490</f>
        <v>0</v>
      </c>
      <c r="D485" s="238">
        <f>DSDV!W490</f>
        <v>0</v>
      </c>
    </row>
    <row r="486" spans="1:4">
      <c r="A486">
        <f>DSDV!B491</f>
        <v>0</v>
      </c>
      <c r="B486">
        <f>DSDV!G491</f>
        <v>0</v>
      </c>
      <c r="C486" s="237">
        <f>DSDV!K491</f>
        <v>0</v>
      </c>
      <c r="D486" s="238">
        <f>DSDV!W491</f>
        <v>0</v>
      </c>
    </row>
    <row r="487" spans="1:4">
      <c r="A487">
        <f>DSDV!B492</f>
        <v>0</v>
      </c>
      <c r="B487">
        <f>DSDV!G492</f>
        <v>0</v>
      </c>
      <c r="C487" s="237">
        <f>DSDV!K492</f>
        <v>0</v>
      </c>
      <c r="D487" s="238">
        <f>DSDV!W492</f>
        <v>0</v>
      </c>
    </row>
    <row r="488" spans="1:4">
      <c r="A488">
        <f>DSDV!B493</f>
        <v>0</v>
      </c>
      <c r="B488">
        <f>DSDV!G493</f>
        <v>0</v>
      </c>
      <c r="C488" s="237">
        <f>DSDV!K493</f>
        <v>0</v>
      </c>
      <c r="D488" s="238">
        <f>DSDV!W493</f>
        <v>0</v>
      </c>
    </row>
    <row r="489" spans="1:4">
      <c r="A489">
        <f>DSDV!B494</f>
        <v>0</v>
      </c>
      <c r="B489">
        <f>DSDV!G494</f>
        <v>0</v>
      </c>
      <c r="C489" s="237">
        <f>DSDV!K494</f>
        <v>0</v>
      </c>
      <c r="D489" s="238">
        <f>DSDV!W494</f>
        <v>0</v>
      </c>
    </row>
    <row r="490" spans="1:4">
      <c r="A490">
        <f>DSDV!B495</f>
        <v>0</v>
      </c>
      <c r="B490">
        <f>DSDV!G495</f>
        <v>0</v>
      </c>
      <c r="C490" s="237">
        <f>DSDV!K495</f>
        <v>0</v>
      </c>
      <c r="D490" s="238">
        <f>DSDV!W495</f>
        <v>0</v>
      </c>
    </row>
    <row r="491" spans="1:4">
      <c r="A491">
        <f>DSDV!B496</f>
        <v>0</v>
      </c>
      <c r="B491">
        <f>DSDV!G496</f>
        <v>0</v>
      </c>
      <c r="C491" s="237">
        <f>DSDV!K496</f>
        <v>0</v>
      </c>
      <c r="D491" s="238">
        <f>DSDV!W496</f>
        <v>0</v>
      </c>
    </row>
    <row r="492" spans="1:4">
      <c r="A492">
        <f>DSDV!B497</f>
        <v>0</v>
      </c>
      <c r="B492">
        <f>DSDV!G497</f>
        <v>0</v>
      </c>
      <c r="C492" s="237">
        <f>DSDV!K497</f>
        <v>0</v>
      </c>
      <c r="D492" s="238">
        <f>DSDV!W497</f>
        <v>0</v>
      </c>
    </row>
    <row r="493" spans="1:4">
      <c r="A493">
        <f>DSDV!B498</f>
        <v>0</v>
      </c>
      <c r="B493">
        <f>DSDV!G498</f>
        <v>0</v>
      </c>
      <c r="C493" s="237">
        <f>DSDV!K498</f>
        <v>0</v>
      </c>
      <c r="D493" s="238">
        <f>DSDV!W498</f>
        <v>0</v>
      </c>
    </row>
    <row r="494" spans="1:4">
      <c r="A494">
        <f>DSDV!B499</f>
        <v>0</v>
      </c>
      <c r="B494">
        <f>DSDV!G499</f>
        <v>0</v>
      </c>
      <c r="C494" s="237">
        <f>DSDV!K499</f>
        <v>0</v>
      </c>
      <c r="D494" s="238">
        <f>DSDV!W499</f>
        <v>0</v>
      </c>
    </row>
    <row r="495" spans="1:4">
      <c r="A495">
        <f>DSDV!B500</f>
        <v>0</v>
      </c>
      <c r="B495">
        <f>DSDV!G500</f>
        <v>0</v>
      </c>
      <c r="C495" s="237">
        <f>DSDV!K500</f>
        <v>0</v>
      </c>
      <c r="D495" s="238">
        <f>DSDV!W500</f>
        <v>0</v>
      </c>
    </row>
    <row r="496" spans="1:4">
      <c r="A496">
        <f>DSDV!B501</f>
        <v>0</v>
      </c>
      <c r="B496">
        <f>DSDV!G501</f>
        <v>0</v>
      </c>
      <c r="C496" s="237">
        <f>DSDV!K501</f>
        <v>0</v>
      </c>
      <c r="D496" s="238">
        <f>DSDV!W501</f>
        <v>0</v>
      </c>
    </row>
    <row r="497" spans="1:4">
      <c r="A497">
        <f>DSDV!B502</f>
        <v>0</v>
      </c>
      <c r="B497">
        <f>DSDV!G502</f>
        <v>0</v>
      </c>
      <c r="C497" s="237">
        <f>DSDV!K502</f>
        <v>0</v>
      </c>
      <c r="D497" s="238">
        <f>DSDV!W502</f>
        <v>0</v>
      </c>
    </row>
    <row r="498" spans="1:4">
      <c r="A498">
        <f>DSDV!B503</f>
        <v>0</v>
      </c>
      <c r="B498">
        <f>DSDV!G503</f>
        <v>0</v>
      </c>
      <c r="C498" s="237">
        <f>DSDV!K503</f>
        <v>0</v>
      </c>
      <c r="D498" s="238">
        <f>DSDV!W503</f>
        <v>0</v>
      </c>
    </row>
    <row r="499" spans="1:4">
      <c r="A499">
        <f>DSDV!B504</f>
        <v>0</v>
      </c>
      <c r="B499">
        <f>DSDV!G504</f>
        <v>0</v>
      </c>
      <c r="C499" s="237">
        <f>DSDV!K504</f>
        <v>0</v>
      </c>
      <c r="D499" s="238">
        <f>DSDV!W504</f>
        <v>0</v>
      </c>
    </row>
    <row r="500" spans="1:4">
      <c r="A500">
        <f>DSDV!B505</f>
        <v>0</v>
      </c>
      <c r="B500">
        <f>DSDV!G505</f>
        <v>0</v>
      </c>
      <c r="C500" s="237">
        <f>DSDV!K505</f>
        <v>0</v>
      </c>
      <c r="D500" s="238">
        <f>DSDV!W505</f>
        <v>0</v>
      </c>
    </row>
    <row r="501" spans="1:4">
      <c r="A501">
        <f>DSDV!B506</f>
        <v>0</v>
      </c>
      <c r="B501">
        <f>DSDV!G506</f>
        <v>0</v>
      </c>
      <c r="C501" s="237">
        <f>DSDV!K506</f>
        <v>0</v>
      </c>
      <c r="D501" s="238">
        <f>DSDV!W506</f>
        <v>0</v>
      </c>
    </row>
    <row r="502" spans="1:4">
      <c r="A502">
        <f>DSDV!B507</f>
        <v>0</v>
      </c>
      <c r="B502">
        <f>DSDV!G507</f>
        <v>0</v>
      </c>
      <c r="C502" s="237">
        <f>DSDV!K507</f>
        <v>0</v>
      </c>
      <c r="D502" s="238">
        <f>DSDV!W507</f>
        <v>0</v>
      </c>
    </row>
    <row r="503" spans="1:4">
      <c r="A503">
        <f>DSDV!B508</f>
        <v>0</v>
      </c>
      <c r="B503">
        <f>DSDV!G508</f>
        <v>0</v>
      </c>
      <c r="C503" s="237">
        <f>DSDV!K508</f>
        <v>0</v>
      </c>
      <c r="D503" s="238">
        <f>DSDV!W508</f>
        <v>0</v>
      </c>
    </row>
    <row r="504" spans="1:4">
      <c r="A504">
        <f>DSDV!B509</f>
        <v>0</v>
      </c>
      <c r="B504">
        <f>DSDV!G509</f>
        <v>0</v>
      </c>
      <c r="C504" s="237">
        <f>DSDV!K509</f>
        <v>0</v>
      </c>
      <c r="D504" s="238">
        <f>DSDV!W509</f>
        <v>0</v>
      </c>
    </row>
    <row r="505" spans="1:4">
      <c r="A505">
        <f>DSDV!B510</f>
        <v>0</v>
      </c>
      <c r="B505">
        <f>DSDV!G510</f>
        <v>0</v>
      </c>
      <c r="C505" s="237">
        <f>DSDV!K510</f>
        <v>0</v>
      </c>
      <c r="D505" s="238">
        <f>DSDV!W510</f>
        <v>0</v>
      </c>
    </row>
    <row r="506" spans="1:4">
      <c r="A506">
        <f>DSDV!B511</f>
        <v>0</v>
      </c>
      <c r="B506">
        <f>DSDV!G511</f>
        <v>0</v>
      </c>
      <c r="C506" s="237">
        <f>DSDV!K511</f>
        <v>0</v>
      </c>
      <c r="D506" s="238">
        <f>DSDV!W511</f>
        <v>0</v>
      </c>
    </row>
    <row r="507" spans="1:4">
      <c r="A507">
        <f>DSDV!B512</f>
        <v>0</v>
      </c>
      <c r="B507">
        <f>DSDV!G512</f>
        <v>0</v>
      </c>
      <c r="C507" s="237">
        <f>DSDV!K512</f>
        <v>0</v>
      </c>
      <c r="D507" s="238">
        <f>DSDV!W512</f>
        <v>0</v>
      </c>
    </row>
    <row r="508" spans="1:4">
      <c r="A508">
        <f>DSDV!B513</f>
        <v>0</v>
      </c>
      <c r="B508">
        <f>DSDV!G513</f>
        <v>0</v>
      </c>
      <c r="C508" s="237">
        <f>DSDV!K513</f>
        <v>0</v>
      </c>
      <c r="D508" s="238">
        <f>DSDV!W513</f>
        <v>0</v>
      </c>
    </row>
    <row r="509" spans="1:4">
      <c r="A509">
        <f>DSDV!B514</f>
        <v>0</v>
      </c>
      <c r="B509">
        <f>DSDV!G514</f>
        <v>0</v>
      </c>
      <c r="C509" s="237">
        <f>DSDV!K514</f>
        <v>0</v>
      </c>
      <c r="D509" s="238">
        <f>DSDV!W514</f>
        <v>0</v>
      </c>
    </row>
    <row r="510" spans="1:4">
      <c r="A510">
        <f>DSDV!B515</f>
        <v>0</v>
      </c>
      <c r="B510">
        <f>DSDV!G515</f>
        <v>0</v>
      </c>
      <c r="C510" s="237">
        <f>DSDV!K515</f>
        <v>0</v>
      </c>
      <c r="D510" s="238">
        <f>DSDV!W515</f>
        <v>0</v>
      </c>
    </row>
    <row r="511" spans="1:4">
      <c r="A511">
        <f>DSDV!B516</f>
        <v>0</v>
      </c>
      <c r="B511">
        <f>DSDV!G516</f>
        <v>0</v>
      </c>
      <c r="C511" s="237">
        <f>DSDV!K516</f>
        <v>0</v>
      </c>
      <c r="D511" s="238">
        <f>DSDV!W516</f>
        <v>0</v>
      </c>
    </row>
    <row r="512" spans="1:4">
      <c r="A512">
        <f>DSDV!B517</f>
        <v>0</v>
      </c>
      <c r="B512">
        <f>DSDV!G517</f>
        <v>0</v>
      </c>
      <c r="C512" s="237">
        <f>DSDV!K517</f>
        <v>0</v>
      </c>
      <c r="D512" s="238">
        <f>DSDV!W517</f>
        <v>0</v>
      </c>
    </row>
    <row r="513" spans="1:4">
      <c r="A513">
        <f>DSDV!B518</f>
        <v>0</v>
      </c>
      <c r="B513">
        <f>DSDV!G518</f>
        <v>0</v>
      </c>
      <c r="C513" s="237">
        <f>DSDV!K518</f>
        <v>0</v>
      </c>
      <c r="D513" s="238">
        <f>DSDV!W518</f>
        <v>0</v>
      </c>
    </row>
    <row r="514" spans="1:4">
      <c r="A514">
        <f>DSDV!B519</f>
        <v>0</v>
      </c>
      <c r="B514">
        <f>DSDV!G519</f>
        <v>0</v>
      </c>
      <c r="C514" s="237">
        <f>DSDV!K519</f>
        <v>0</v>
      </c>
      <c r="D514" s="238">
        <f>DSDV!W519</f>
        <v>0</v>
      </c>
    </row>
    <row r="515" spans="1:4">
      <c r="A515">
        <f>DSDV!B520</f>
        <v>0</v>
      </c>
      <c r="B515">
        <f>DSDV!G520</f>
        <v>0</v>
      </c>
      <c r="C515" s="237">
        <f>DSDV!K520</f>
        <v>0</v>
      </c>
      <c r="D515" s="238">
        <f>DSDV!W520</f>
        <v>0</v>
      </c>
    </row>
    <row r="516" spans="1:4">
      <c r="A516">
        <f>DSDV!B521</f>
        <v>0</v>
      </c>
      <c r="B516">
        <f>DSDV!G521</f>
        <v>0</v>
      </c>
      <c r="C516" s="237">
        <f>DSDV!K521</f>
        <v>0</v>
      </c>
      <c r="D516" s="238">
        <f>DSDV!W521</f>
        <v>0</v>
      </c>
    </row>
    <row r="517" spans="1:4">
      <c r="A517">
        <f>DSDV!B522</f>
        <v>0</v>
      </c>
      <c r="B517">
        <f>DSDV!G522</f>
        <v>0</v>
      </c>
      <c r="C517" s="237">
        <f>DSDV!K522</f>
        <v>0</v>
      </c>
      <c r="D517" s="238">
        <f>DSDV!W522</f>
        <v>0</v>
      </c>
    </row>
    <row r="518" spans="1:4">
      <c r="A518">
        <f>DSDV!B523</f>
        <v>0</v>
      </c>
      <c r="B518">
        <f>DSDV!G523</f>
        <v>0</v>
      </c>
      <c r="C518" s="237">
        <f>DSDV!K523</f>
        <v>0</v>
      </c>
      <c r="D518" s="238">
        <f>DSDV!W523</f>
        <v>0</v>
      </c>
    </row>
    <row r="519" spans="1:4">
      <c r="A519">
        <f>DSDV!B524</f>
        <v>0</v>
      </c>
      <c r="B519">
        <f>DSDV!G524</f>
        <v>0</v>
      </c>
      <c r="C519" s="237">
        <f>DSDV!K524</f>
        <v>0</v>
      </c>
      <c r="D519" s="238">
        <f>DSDV!W524</f>
        <v>0</v>
      </c>
    </row>
    <row r="520" spans="1:4">
      <c r="A520">
        <f>DSDV!B525</f>
        <v>0</v>
      </c>
      <c r="B520">
        <f>DSDV!G525</f>
        <v>0</v>
      </c>
      <c r="C520" s="237">
        <f>DSDV!K525</f>
        <v>0</v>
      </c>
      <c r="D520" s="238">
        <f>DSDV!W525</f>
        <v>0</v>
      </c>
    </row>
    <row r="521" spans="1:4">
      <c r="A521">
        <f>DSDV!B526</f>
        <v>0</v>
      </c>
      <c r="B521">
        <f>DSDV!G526</f>
        <v>0</v>
      </c>
      <c r="C521" s="237">
        <f>DSDV!K526</f>
        <v>0</v>
      </c>
      <c r="D521" s="238">
        <f>DSDV!W526</f>
        <v>0</v>
      </c>
    </row>
    <row r="522" spans="1:4">
      <c r="A522">
        <f>DSDV!B527</f>
        <v>0</v>
      </c>
      <c r="B522">
        <f>DSDV!G527</f>
        <v>0</v>
      </c>
      <c r="C522" s="237">
        <f>DSDV!K527</f>
        <v>0</v>
      </c>
      <c r="D522" s="238">
        <f>DSDV!W527</f>
        <v>0</v>
      </c>
    </row>
    <row r="523" spans="1:4">
      <c r="A523">
        <f>DSDV!B528</f>
        <v>0</v>
      </c>
      <c r="B523">
        <f>DSDV!G528</f>
        <v>0</v>
      </c>
      <c r="C523" s="237">
        <f>DSDV!K528</f>
        <v>0</v>
      </c>
      <c r="D523" s="238">
        <f>DSDV!W528</f>
        <v>0</v>
      </c>
    </row>
    <row r="524" spans="1:4">
      <c r="A524">
        <f>DSDV!B529</f>
        <v>0</v>
      </c>
      <c r="B524">
        <f>DSDV!G529</f>
        <v>0</v>
      </c>
      <c r="C524" s="237">
        <f>DSDV!K529</f>
        <v>0</v>
      </c>
      <c r="D524" s="238">
        <f>DSDV!W529</f>
        <v>0</v>
      </c>
    </row>
    <row r="525" spans="1:4">
      <c r="A525">
        <f>DSDV!B530</f>
        <v>0</v>
      </c>
      <c r="B525">
        <f>DSDV!G530</f>
        <v>0</v>
      </c>
      <c r="C525" s="237">
        <f>DSDV!K530</f>
        <v>0</v>
      </c>
      <c r="D525" s="238">
        <f>DSDV!W530</f>
        <v>0</v>
      </c>
    </row>
    <row r="526" spans="1:4">
      <c r="A526">
        <f>DSDV!B531</f>
        <v>0</v>
      </c>
      <c r="B526">
        <f>DSDV!G531</f>
        <v>0</v>
      </c>
      <c r="C526" s="237">
        <f>DSDV!K531</f>
        <v>0</v>
      </c>
      <c r="D526" s="238">
        <f>DSDV!W531</f>
        <v>0</v>
      </c>
    </row>
    <row r="527" spans="1:4">
      <c r="A527">
        <f>DSDV!B532</f>
        <v>0</v>
      </c>
      <c r="B527">
        <f>DSDV!G532</f>
        <v>0</v>
      </c>
      <c r="C527" s="237">
        <f>DSDV!K532</f>
        <v>0</v>
      </c>
      <c r="D527" s="238">
        <f>DSDV!W532</f>
        <v>0</v>
      </c>
    </row>
    <row r="528" spans="1:4">
      <c r="A528">
        <f>DSDV!B533</f>
        <v>0</v>
      </c>
      <c r="B528">
        <f>DSDV!G533</f>
        <v>0</v>
      </c>
      <c r="C528" s="237">
        <f>DSDV!K533</f>
        <v>0</v>
      </c>
      <c r="D528" s="238">
        <f>DSDV!W533</f>
        <v>0</v>
      </c>
    </row>
    <row r="529" spans="1:4">
      <c r="A529">
        <f>DSDV!B534</f>
        <v>0</v>
      </c>
      <c r="B529">
        <f>DSDV!G534</f>
        <v>0</v>
      </c>
      <c r="C529" s="237">
        <f>DSDV!K534</f>
        <v>0</v>
      </c>
      <c r="D529" s="238">
        <f>DSDV!W534</f>
        <v>0</v>
      </c>
    </row>
    <row r="530" spans="1:4">
      <c r="A530">
        <f>DSDV!B535</f>
        <v>0</v>
      </c>
      <c r="B530">
        <f>DSDV!G535</f>
        <v>0</v>
      </c>
      <c r="C530" s="237">
        <f>DSDV!K535</f>
        <v>0</v>
      </c>
      <c r="D530" s="238">
        <f>DSDV!W535</f>
        <v>0</v>
      </c>
    </row>
    <row r="531" spans="1:4">
      <c r="A531">
        <f>DSDV!B536</f>
        <v>0</v>
      </c>
      <c r="B531">
        <f>DSDV!G536</f>
        <v>0</v>
      </c>
      <c r="C531" s="237">
        <f>DSDV!K536</f>
        <v>0</v>
      </c>
      <c r="D531" s="238">
        <f>DSDV!W536</f>
        <v>0</v>
      </c>
    </row>
    <row r="532" spans="1:4">
      <c r="A532">
        <f>DSDV!B537</f>
        <v>0</v>
      </c>
      <c r="B532">
        <f>DSDV!G537</f>
        <v>0</v>
      </c>
      <c r="C532" s="237">
        <f>DSDV!K537</f>
        <v>0</v>
      </c>
      <c r="D532" s="238">
        <f>DSDV!W537</f>
        <v>0</v>
      </c>
    </row>
    <row r="533" spans="1:4">
      <c r="A533">
        <f>DSDV!B538</f>
        <v>0</v>
      </c>
      <c r="B533">
        <f>DSDV!G538</f>
        <v>0</v>
      </c>
      <c r="C533" s="237">
        <f>DSDV!K538</f>
        <v>0</v>
      </c>
      <c r="D533" s="238">
        <f>DSDV!W538</f>
        <v>0</v>
      </c>
    </row>
    <row r="534" spans="1:4">
      <c r="A534">
        <f>DSDV!B539</f>
        <v>0</v>
      </c>
      <c r="B534">
        <f>DSDV!G539</f>
        <v>0</v>
      </c>
      <c r="C534" s="237">
        <f>DSDV!K539</f>
        <v>0</v>
      </c>
      <c r="D534" s="238">
        <f>DSDV!W539</f>
        <v>0</v>
      </c>
    </row>
    <row r="535" spans="1:4">
      <c r="A535">
        <f>DSDV!B540</f>
        <v>0</v>
      </c>
      <c r="B535">
        <f>DSDV!G540</f>
        <v>0</v>
      </c>
      <c r="C535" s="237">
        <f>DSDV!K540</f>
        <v>0</v>
      </c>
      <c r="D535" s="238">
        <f>DSDV!W540</f>
        <v>0</v>
      </c>
    </row>
    <row r="536" spans="1:4">
      <c r="A536">
        <f>DSDV!B541</f>
        <v>0</v>
      </c>
      <c r="B536">
        <f>DSDV!G541</f>
        <v>0</v>
      </c>
      <c r="C536" s="237">
        <f>DSDV!K541</f>
        <v>0</v>
      </c>
      <c r="D536" s="238">
        <f>DSDV!W541</f>
        <v>0</v>
      </c>
    </row>
    <row r="537" spans="1:4">
      <c r="A537">
        <f>DSDV!B542</f>
        <v>0</v>
      </c>
      <c r="B537">
        <f>DSDV!G542</f>
        <v>0</v>
      </c>
      <c r="C537" s="237">
        <f>DSDV!K542</f>
        <v>0</v>
      </c>
      <c r="D537" s="238">
        <f>DSDV!W542</f>
        <v>0</v>
      </c>
    </row>
    <row r="538" spans="1:4">
      <c r="A538">
        <f>DSDV!B543</f>
        <v>0</v>
      </c>
      <c r="B538">
        <f>DSDV!G543</f>
        <v>0</v>
      </c>
      <c r="C538" s="237">
        <f>DSDV!K543</f>
        <v>0</v>
      </c>
      <c r="D538" s="238">
        <f>DSDV!W543</f>
        <v>0</v>
      </c>
    </row>
    <row r="539" spans="1:4">
      <c r="A539">
        <f>DSDV!B544</f>
        <v>0</v>
      </c>
      <c r="B539">
        <f>DSDV!G544</f>
        <v>0</v>
      </c>
      <c r="C539" s="237">
        <f>DSDV!K544</f>
        <v>0</v>
      </c>
      <c r="D539" s="238">
        <f>DSDV!W544</f>
        <v>0</v>
      </c>
    </row>
    <row r="540" spans="1:4">
      <c r="A540">
        <f>DSDV!B545</f>
        <v>0</v>
      </c>
      <c r="B540">
        <f>DSDV!G545</f>
        <v>0</v>
      </c>
      <c r="C540" s="237">
        <f>DSDV!K545</f>
        <v>0</v>
      </c>
      <c r="D540" s="238">
        <f>DSDV!W545</f>
        <v>0</v>
      </c>
    </row>
    <row r="541" spans="1:4">
      <c r="A541">
        <f>DSDV!B546</f>
        <v>0</v>
      </c>
      <c r="B541">
        <f>DSDV!G546</f>
        <v>0</v>
      </c>
      <c r="C541" s="237">
        <f>DSDV!K546</f>
        <v>0</v>
      </c>
      <c r="D541" s="238">
        <f>DSDV!W546</f>
        <v>0</v>
      </c>
    </row>
    <row r="542" spans="1:4">
      <c r="A542">
        <f>DSDV!B547</f>
        <v>0</v>
      </c>
      <c r="B542">
        <f>DSDV!G547</f>
        <v>0</v>
      </c>
      <c r="C542" s="237">
        <f>DSDV!K547</f>
        <v>0</v>
      </c>
      <c r="D542" s="238">
        <f>DSDV!W547</f>
        <v>0</v>
      </c>
    </row>
    <row r="543" spans="1:4">
      <c r="A543">
        <f>DSDV!B548</f>
        <v>0</v>
      </c>
      <c r="B543">
        <f>DSDV!G548</f>
        <v>0</v>
      </c>
      <c r="C543" s="237">
        <f>DSDV!K548</f>
        <v>0</v>
      </c>
      <c r="D543" s="238">
        <f>DSDV!W548</f>
        <v>0</v>
      </c>
    </row>
    <row r="544" spans="1:4">
      <c r="A544">
        <f>DSDV!B549</f>
        <v>0</v>
      </c>
      <c r="B544">
        <f>DSDV!G549</f>
        <v>0</v>
      </c>
      <c r="C544" s="237">
        <f>DSDV!K549</f>
        <v>0</v>
      </c>
      <c r="D544" s="238">
        <f>DSDV!W549</f>
        <v>0</v>
      </c>
    </row>
    <row r="545" spans="1:4">
      <c r="A545">
        <f>DSDV!B550</f>
        <v>0</v>
      </c>
      <c r="B545">
        <f>DSDV!G550</f>
        <v>0</v>
      </c>
      <c r="C545" s="237">
        <f>DSDV!K550</f>
        <v>0</v>
      </c>
      <c r="D545" s="238">
        <f>DSDV!W550</f>
        <v>0</v>
      </c>
    </row>
    <row r="546" spans="1:4">
      <c r="A546">
        <f>DSDV!B551</f>
        <v>0</v>
      </c>
      <c r="B546">
        <f>DSDV!G551</f>
        <v>0</v>
      </c>
      <c r="C546" s="237">
        <f>DSDV!K551</f>
        <v>0</v>
      </c>
      <c r="D546" s="238">
        <f>DSDV!W551</f>
        <v>0</v>
      </c>
    </row>
    <row r="547" spans="1:4">
      <c r="A547">
        <f>DSDV!B552</f>
        <v>0</v>
      </c>
      <c r="B547">
        <f>DSDV!G552</f>
        <v>0</v>
      </c>
      <c r="C547" s="237">
        <f>DSDV!K552</f>
        <v>0</v>
      </c>
      <c r="D547" s="238">
        <f>DSDV!W552</f>
        <v>0</v>
      </c>
    </row>
    <row r="548" spans="1:4">
      <c r="A548">
        <f>DSDV!B553</f>
        <v>0</v>
      </c>
      <c r="B548">
        <f>DSDV!G553</f>
        <v>0</v>
      </c>
      <c r="C548" s="237">
        <f>DSDV!K553</f>
        <v>0</v>
      </c>
      <c r="D548" s="238">
        <f>DSDV!W553</f>
        <v>0</v>
      </c>
    </row>
    <row r="549" spans="1:4">
      <c r="A549">
        <f>DSDV!B554</f>
        <v>0</v>
      </c>
      <c r="B549">
        <f>DSDV!G554</f>
        <v>0</v>
      </c>
      <c r="C549" s="237">
        <f>DSDV!K554</f>
        <v>0</v>
      </c>
      <c r="D549" s="238">
        <f>DSDV!W554</f>
        <v>0</v>
      </c>
    </row>
    <row r="550" spans="1:4">
      <c r="A550">
        <f>DSDV!B555</f>
        <v>0</v>
      </c>
      <c r="B550">
        <f>DSDV!G555</f>
        <v>0</v>
      </c>
      <c r="C550" s="237">
        <f>DSDV!K555</f>
        <v>0</v>
      </c>
      <c r="D550" s="238">
        <f>DSDV!W555</f>
        <v>0</v>
      </c>
    </row>
    <row r="551" spans="1:4">
      <c r="A551">
        <f>DSDV!B556</f>
        <v>0</v>
      </c>
      <c r="B551">
        <f>DSDV!G556</f>
        <v>0</v>
      </c>
      <c r="C551" s="237">
        <f>DSDV!K556</f>
        <v>0</v>
      </c>
      <c r="D551" s="238">
        <f>DSDV!W556</f>
        <v>0</v>
      </c>
    </row>
    <row r="552" spans="1:4">
      <c r="A552">
        <f>DSDV!B557</f>
        <v>0</v>
      </c>
      <c r="B552">
        <f>DSDV!G557</f>
        <v>0</v>
      </c>
      <c r="C552" s="237">
        <f>DSDV!K557</f>
        <v>0</v>
      </c>
      <c r="D552" s="238">
        <f>DSDV!W557</f>
        <v>0</v>
      </c>
    </row>
    <row r="553" spans="1:4">
      <c r="A553">
        <f>DSDV!B558</f>
        <v>0</v>
      </c>
      <c r="B553">
        <f>DSDV!G558</f>
        <v>0</v>
      </c>
      <c r="C553" s="237">
        <f>DSDV!K558</f>
        <v>0</v>
      </c>
      <c r="D553" s="238">
        <f>DSDV!W558</f>
        <v>0</v>
      </c>
    </row>
    <row r="554" spans="1:4">
      <c r="A554">
        <f>DSDV!B559</f>
        <v>0</v>
      </c>
      <c r="B554">
        <f>DSDV!G559</f>
        <v>0</v>
      </c>
      <c r="C554" s="237">
        <f>DSDV!K559</f>
        <v>0</v>
      </c>
      <c r="D554" s="238">
        <f>DSDV!W559</f>
        <v>0</v>
      </c>
    </row>
    <row r="555" spans="1:4">
      <c r="A555">
        <f>DSDV!B560</f>
        <v>0</v>
      </c>
      <c r="B555">
        <f>DSDV!G560</f>
        <v>0</v>
      </c>
      <c r="C555" s="237">
        <f>DSDV!K560</f>
        <v>0</v>
      </c>
      <c r="D555" s="238">
        <f>DSDV!W560</f>
        <v>0</v>
      </c>
    </row>
    <row r="556" spans="1:4">
      <c r="A556">
        <f>DSDV!B561</f>
        <v>0</v>
      </c>
      <c r="B556">
        <f>DSDV!G561</f>
        <v>0</v>
      </c>
      <c r="C556" s="237">
        <f>DSDV!K561</f>
        <v>0</v>
      </c>
      <c r="D556" s="238">
        <f>DSDV!W561</f>
        <v>0</v>
      </c>
    </row>
    <row r="557" spans="1:4">
      <c r="A557">
        <f>DSDV!B562</f>
        <v>0</v>
      </c>
      <c r="B557">
        <f>DSDV!G562</f>
        <v>0</v>
      </c>
      <c r="C557" s="237">
        <f>DSDV!K562</f>
        <v>0</v>
      </c>
      <c r="D557" s="238">
        <f>DSDV!W562</f>
        <v>0</v>
      </c>
    </row>
    <row r="558" spans="1:4">
      <c r="A558">
        <f>DSDV!B563</f>
        <v>0</v>
      </c>
      <c r="B558">
        <f>DSDV!G563</f>
        <v>0</v>
      </c>
      <c r="C558" s="237">
        <f>DSDV!K563</f>
        <v>0</v>
      </c>
      <c r="D558" s="238">
        <f>DSDV!W563</f>
        <v>0</v>
      </c>
    </row>
    <row r="559" spans="1:4">
      <c r="A559">
        <f>DSDV!B564</f>
        <v>0</v>
      </c>
      <c r="B559">
        <f>DSDV!G564</f>
        <v>0</v>
      </c>
      <c r="C559" s="237">
        <f>DSDV!K564</f>
        <v>0</v>
      </c>
      <c r="D559" s="238">
        <f>DSDV!W564</f>
        <v>0</v>
      </c>
    </row>
    <row r="560" spans="1:4">
      <c r="A560">
        <f>DSDV!B565</f>
        <v>0</v>
      </c>
      <c r="B560">
        <f>DSDV!G565</f>
        <v>0</v>
      </c>
      <c r="C560" s="237">
        <f>DSDV!K565</f>
        <v>0</v>
      </c>
      <c r="D560" s="238">
        <f>DSDV!W565</f>
        <v>0</v>
      </c>
    </row>
    <row r="561" spans="1:4">
      <c r="A561">
        <f>DSDV!B566</f>
        <v>0</v>
      </c>
      <c r="B561">
        <f>DSDV!G566</f>
        <v>0</v>
      </c>
      <c r="C561" s="237">
        <f>DSDV!K566</f>
        <v>0</v>
      </c>
      <c r="D561" s="238">
        <f>DSDV!W566</f>
        <v>0</v>
      </c>
    </row>
    <row r="562" spans="1:4">
      <c r="A562">
        <f>DSDV!B567</f>
        <v>0</v>
      </c>
      <c r="B562">
        <f>DSDV!G567</f>
        <v>0</v>
      </c>
      <c r="C562" s="237">
        <f>DSDV!K567</f>
        <v>0</v>
      </c>
      <c r="D562" s="238">
        <f>DSDV!W567</f>
        <v>0</v>
      </c>
    </row>
    <row r="563" spans="1:4">
      <c r="A563">
        <f>DSDV!B568</f>
        <v>0</v>
      </c>
      <c r="B563">
        <f>DSDV!G568</f>
        <v>0</v>
      </c>
      <c r="C563" s="237">
        <f>DSDV!K568</f>
        <v>0</v>
      </c>
      <c r="D563" s="238">
        <f>DSDV!W568</f>
        <v>0</v>
      </c>
    </row>
    <row r="564" spans="1:4">
      <c r="A564">
        <f>DSDV!B569</f>
        <v>0</v>
      </c>
      <c r="B564">
        <f>DSDV!G569</f>
        <v>0</v>
      </c>
      <c r="C564" s="237">
        <f>DSDV!K569</f>
        <v>0</v>
      </c>
      <c r="D564" s="238">
        <f>DSDV!W569</f>
        <v>0</v>
      </c>
    </row>
    <row r="565" spans="1:4">
      <c r="A565">
        <f>DSDV!B570</f>
        <v>0</v>
      </c>
      <c r="B565">
        <f>DSDV!G570</f>
        <v>0</v>
      </c>
      <c r="C565" s="237">
        <f>DSDV!K570</f>
        <v>0</v>
      </c>
      <c r="D565" s="238">
        <f>DSDV!W570</f>
        <v>0</v>
      </c>
    </row>
    <row r="566" spans="1:4">
      <c r="A566">
        <f>DSDV!B571</f>
        <v>0</v>
      </c>
      <c r="B566">
        <f>DSDV!G571</f>
        <v>0</v>
      </c>
      <c r="C566" s="237">
        <f>DSDV!K571</f>
        <v>0</v>
      </c>
      <c r="D566" s="238">
        <f>DSDV!W571</f>
        <v>0</v>
      </c>
    </row>
    <row r="567" spans="1:4">
      <c r="A567">
        <f>DSDV!B572</f>
        <v>0</v>
      </c>
      <c r="B567">
        <f>DSDV!G572</f>
        <v>0</v>
      </c>
      <c r="C567" s="237">
        <f>DSDV!K572</f>
        <v>0</v>
      </c>
      <c r="D567" s="238">
        <f>DSDV!W572</f>
        <v>0</v>
      </c>
    </row>
    <row r="568" spans="1:4">
      <c r="A568">
        <f>DSDV!B573</f>
        <v>0</v>
      </c>
      <c r="B568">
        <f>DSDV!G573</f>
        <v>0</v>
      </c>
      <c r="C568" s="237">
        <f>DSDV!K573</f>
        <v>0</v>
      </c>
      <c r="D568" s="238">
        <f>DSDV!W573</f>
        <v>0</v>
      </c>
    </row>
    <row r="569" spans="1:4">
      <c r="A569">
        <f>DSDV!B574</f>
        <v>0</v>
      </c>
      <c r="B569">
        <f>DSDV!G574</f>
        <v>0</v>
      </c>
      <c r="C569" s="237">
        <f>DSDV!K574</f>
        <v>0</v>
      </c>
      <c r="D569" s="238">
        <f>DSDV!W574</f>
        <v>0</v>
      </c>
    </row>
    <row r="570" spans="1:4">
      <c r="A570">
        <f>DSDV!B575</f>
        <v>0</v>
      </c>
      <c r="B570">
        <f>DSDV!G575</f>
        <v>0</v>
      </c>
      <c r="C570" s="237">
        <f>DSDV!K575</f>
        <v>0</v>
      </c>
      <c r="D570" s="238">
        <f>DSDV!W575</f>
        <v>0</v>
      </c>
    </row>
    <row r="571" spans="1:4">
      <c r="A571">
        <f>DSDV!B576</f>
        <v>0</v>
      </c>
      <c r="B571">
        <f>DSDV!G576</f>
        <v>0</v>
      </c>
      <c r="C571" s="237">
        <f>DSDV!K576</f>
        <v>0</v>
      </c>
      <c r="D571" s="238">
        <f>DSDV!W576</f>
        <v>0</v>
      </c>
    </row>
    <row r="572" spans="1:4">
      <c r="A572">
        <f>DSDV!B577</f>
        <v>0</v>
      </c>
      <c r="B572">
        <f>DSDV!G577</f>
        <v>0</v>
      </c>
      <c r="C572" s="237">
        <f>DSDV!K577</f>
        <v>0</v>
      </c>
      <c r="D572" s="238">
        <f>DSDV!W577</f>
        <v>0</v>
      </c>
    </row>
    <row r="573" spans="1:4">
      <c r="A573">
        <f>DSDV!B578</f>
        <v>0</v>
      </c>
      <c r="B573">
        <f>DSDV!G578</f>
        <v>0</v>
      </c>
      <c r="C573" s="237">
        <f>DSDV!K578</f>
        <v>0</v>
      </c>
      <c r="D573" s="238">
        <f>DSDV!W578</f>
        <v>0</v>
      </c>
    </row>
    <row r="574" spans="1:4">
      <c r="A574">
        <f>DSDV!B579</f>
        <v>0</v>
      </c>
      <c r="B574">
        <f>DSDV!G579</f>
        <v>0</v>
      </c>
      <c r="C574" s="237">
        <f>DSDV!K579</f>
        <v>0</v>
      </c>
      <c r="D574" s="238">
        <f>DSDV!W579</f>
        <v>0</v>
      </c>
    </row>
    <row r="575" spans="1:4">
      <c r="A575">
        <f>DSDV!B580</f>
        <v>0</v>
      </c>
      <c r="B575">
        <f>DSDV!G580</f>
        <v>0</v>
      </c>
      <c r="C575" s="237">
        <f>DSDV!K580</f>
        <v>0</v>
      </c>
      <c r="D575" s="238">
        <f>DSDV!W580</f>
        <v>0</v>
      </c>
    </row>
    <row r="576" spans="1:4">
      <c r="A576">
        <f>DSDV!B581</f>
        <v>0</v>
      </c>
      <c r="B576">
        <f>DSDV!G581</f>
        <v>0</v>
      </c>
      <c r="C576" s="237">
        <f>DSDV!K581</f>
        <v>0</v>
      </c>
      <c r="D576" s="238">
        <f>DSDV!W581</f>
        <v>0</v>
      </c>
    </row>
    <row r="577" spans="1:4">
      <c r="A577">
        <f>DSDV!B582</f>
        <v>0</v>
      </c>
      <c r="B577">
        <f>DSDV!G582</f>
        <v>0</v>
      </c>
      <c r="C577" s="237">
        <f>DSDV!K582</f>
        <v>0</v>
      </c>
      <c r="D577" s="238">
        <f>DSDV!W582</f>
        <v>0</v>
      </c>
    </row>
    <row r="578" spans="1:4">
      <c r="A578">
        <f>DSDV!B583</f>
        <v>0</v>
      </c>
      <c r="B578">
        <f>DSDV!G583</f>
        <v>0</v>
      </c>
      <c r="C578" s="237">
        <f>DSDV!K583</f>
        <v>0</v>
      </c>
      <c r="D578" s="238">
        <f>DSDV!W583</f>
        <v>0</v>
      </c>
    </row>
    <row r="579" spans="1:4">
      <c r="A579">
        <f>DSDV!B584</f>
        <v>0</v>
      </c>
      <c r="B579">
        <f>DSDV!G584</f>
        <v>0</v>
      </c>
      <c r="C579" s="237">
        <f>DSDV!K584</f>
        <v>0</v>
      </c>
      <c r="D579" s="238">
        <f>DSDV!W584</f>
        <v>0</v>
      </c>
    </row>
    <row r="580" spans="1:4">
      <c r="A580">
        <f>DSDV!B585</f>
        <v>0</v>
      </c>
      <c r="B580">
        <f>DSDV!G585</f>
        <v>0</v>
      </c>
      <c r="C580" s="237">
        <f>DSDV!K585</f>
        <v>0</v>
      </c>
      <c r="D580" s="238">
        <f>DSDV!W585</f>
        <v>0</v>
      </c>
    </row>
    <row r="581" spans="1:4">
      <c r="A581">
        <f>DSDV!B586</f>
        <v>0</v>
      </c>
      <c r="B581">
        <f>DSDV!G586</f>
        <v>0</v>
      </c>
      <c r="C581" s="237">
        <f>DSDV!K586</f>
        <v>0</v>
      </c>
      <c r="D581" s="238">
        <f>DSDV!W586</f>
        <v>0</v>
      </c>
    </row>
    <row r="582" spans="1:4">
      <c r="A582">
        <f>DSDV!B587</f>
        <v>0</v>
      </c>
      <c r="B582">
        <f>DSDV!G587</f>
        <v>0</v>
      </c>
      <c r="C582" s="237">
        <f>DSDV!K587</f>
        <v>0</v>
      </c>
      <c r="D582" s="238">
        <f>DSDV!W587</f>
        <v>0</v>
      </c>
    </row>
    <row r="583" spans="1:4">
      <c r="A583">
        <f>DSDV!B588</f>
        <v>0</v>
      </c>
      <c r="B583">
        <f>DSDV!G588</f>
        <v>0</v>
      </c>
      <c r="C583" s="237">
        <f>DSDV!K588</f>
        <v>0</v>
      </c>
      <c r="D583" s="238">
        <f>DSDV!W588</f>
        <v>0</v>
      </c>
    </row>
    <row r="584" spans="1:4">
      <c r="A584">
        <f>DSDV!B589</f>
        <v>0</v>
      </c>
      <c r="B584">
        <f>DSDV!G589</f>
        <v>0</v>
      </c>
      <c r="C584" s="237">
        <f>DSDV!K589</f>
        <v>0</v>
      </c>
      <c r="D584" s="238">
        <f>DSDV!W589</f>
        <v>0</v>
      </c>
    </row>
    <row r="585" spans="1:4">
      <c r="A585">
        <f>DSDV!B590</f>
        <v>0</v>
      </c>
      <c r="B585">
        <f>DSDV!G590</f>
        <v>0</v>
      </c>
      <c r="C585" s="237">
        <f>DSDV!K590</f>
        <v>0</v>
      </c>
      <c r="D585" s="238">
        <f>DSDV!W590</f>
        <v>0</v>
      </c>
    </row>
    <row r="586" spans="1:4">
      <c r="A586">
        <f>DSDV!B591</f>
        <v>0</v>
      </c>
      <c r="B586">
        <f>DSDV!G591</f>
        <v>0</v>
      </c>
      <c r="C586" s="237">
        <f>DSDV!K591</f>
        <v>0</v>
      </c>
      <c r="D586" s="238">
        <f>DSDV!W591</f>
        <v>0</v>
      </c>
    </row>
    <row r="587" spans="1:4">
      <c r="A587">
        <f>DSDV!B592</f>
        <v>0</v>
      </c>
      <c r="B587">
        <f>DSDV!G592</f>
        <v>0</v>
      </c>
      <c r="C587" s="237">
        <f>DSDV!K592</f>
        <v>0</v>
      </c>
      <c r="D587" s="238">
        <f>DSDV!W592</f>
        <v>0</v>
      </c>
    </row>
    <row r="588" spans="1:4">
      <c r="A588">
        <f>DSDV!B593</f>
        <v>0</v>
      </c>
      <c r="B588">
        <f>DSDV!G593</f>
        <v>0</v>
      </c>
      <c r="C588" s="237">
        <f>DSDV!K593</f>
        <v>0</v>
      </c>
      <c r="D588" s="238">
        <f>DSDV!W593</f>
        <v>0</v>
      </c>
    </row>
    <row r="589" spans="1:4">
      <c r="A589">
        <f>DSDV!B594</f>
        <v>0</v>
      </c>
      <c r="B589">
        <f>DSDV!G594</f>
        <v>0</v>
      </c>
      <c r="C589" s="237">
        <f>DSDV!K594</f>
        <v>0</v>
      </c>
      <c r="D589" s="238">
        <f>DSDV!W594</f>
        <v>0</v>
      </c>
    </row>
    <row r="590" spans="1:4">
      <c r="A590">
        <f>DSDV!B595</f>
        <v>0</v>
      </c>
      <c r="B590">
        <f>DSDV!G595</f>
        <v>0</v>
      </c>
      <c r="C590" s="237">
        <f>DSDV!K595</f>
        <v>0</v>
      </c>
      <c r="D590" s="238">
        <f>DSDV!W595</f>
        <v>0</v>
      </c>
    </row>
    <row r="591" spans="1:4">
      <c r="A591">
        <f>DSDV!B596</f>
        <v>0</v>
      </c>
      <c r="B591">
        <f>DSDV!G596</f>
        <v>0</v>
      </c>
      <c r="C591" s="237">
        <f>DSDV!K596</f>
        <v>0</v>
      </c>
      <c r="D591" s="238">
        <f>DSDV!W596</f>
        <v>0</v>
      </c>
    </row>
    <row r="592" spans="1:4">
      <c r="A592">
        <f>DSDV!B597</f>
        <v>0</v>
      </c>
      <c r="B592">
        <f>DSDV!G597</f>
        <v>0</v>
      </c>
      <c r="C592" s="237">
        <f>DSDV!K597</f>
        <v>0</v>
      </c>
      <c r="D592" s="238">
        <f>DSDV!W597</f>
        <v>0</v>
      </c>
    </row>
    <row r="593" spans="1:4">
      <c r="A593">
        <f>DSDV!B598</f>
        <v>0</v>
      </c>
      <c r="B593">
        <f>DSDV!G598</f>
        <v>0</v>
      </c>
      <c r="C593" s="237">
        <f>DSDV!K598</f>
        <v>0</v>
      </c>
      <c r="D593" s="238">
        <f>DSDV!W598</f>
        <v>0</v>
      </c>
    </row>
    <row r="594" spans="1:4">
      <c r="A594">
        <f>DSDV!B599</f>
        <v>0</v>
      </c>
      <c r="B594">
        <f>DSDV!G599</f>
        <v>0</v>
      </c>
      <c r="C594" s="237">
        <f>DSDV!K599</f>
        <v>0</v>
      </c>
      <c r="D594" s="238">
        <f>DSDV!W599</f>
        <v>0</v>
      </c>
    </row>
    <row r="595" spans="1:4">
      <c r="A595">
        <f>DSDV!B600</f>
        <v>0</v>
      </c>
      <c r="B595">
        <f>DSDV!G600</f>
        <v>0</v>
      </c>
      <c r="C595" s="237">
        <f>DSDV!K600</f>
        <v>0</v>
      </c>
      <c r="D595" s="238">
        <f>DSDV!W600</f>
        <v>0</v>
      </c>
    </row>
    <row r="596" spans="1:4">
      <c r="A596">
        <f>DSDV!B601</f>
        <v>0</v>
      </c>
      <c r="B596">
        <f>DSDV!G601</f>
        <v>0</v>
      </c>
      <c r="C596" s="237">
        <f>DSDV!K601</f>
        <v>0</v>
      </c>
      <c r="D596" s="238">
        <f>DSDV!W601</f>
        <v>0</v>
      </c>
    </row>
    <row r="597" spans="1:4">
      <c r="A597">
        <f>DSDV!B602</f>
        <v>0</v>
      </c>
      <c r="B597">
        <f>DSDV!G602</f>
        <v>0</v>
      </c>
      <c r="C597" s="237">
        <f>DSDV!K602</f>
        <v>0</v>
      </c>
      <c r="D597" s="238">
        <f>DSDV!W602</f>
        <v>0</v>
      </c>
    </row>
    <row r="598" spans="1:4">
      <c r="A598">
        <f>DSDV!B603</f>
        <v>0</v>
      </c>
      <c r="B598">
        <f>DSDV!G603</f>
        <v>0</v>
      </c>
      <c r="C598" s="237">
        <f>DSDV!K603</f>
        <v>0</v>
      </c>
      <c r="D598" s="238">
        <f>DSDV!W603</f>
        <v>0</v>
      </c>
    </row>
    <row r="599" spans="1:4">
      <c r="A599">
        <f>DSDV!B604</f>
        <v>0</v>
      </c>
      <c r="B599">
        <f>DSDV!G604</f>
        <v>0</v>
      </c>
      <c r="C599" s="237">
        <f>DSDV!K604</f>
        <v>0</v>
      </c>
      <c r="D599" s="238">
        <f>DSDV!W604</f>
        <v>0</v>
      </c>
    </row>
    <row r="600" spans="1:4">
      <c r="A600">
        <f>DSDV!B605</f>
        <v>0</v>
      </c>
      <c r="B600">
        <f>DSDV!G605</f>
        <v>0</v>
      </c>
      <c r="C600" s="237">
        <f>DSDV!K605</f>
        <v>0</v>
      </c>
      <c r="D600" s="238">
        <f>DSDV!W605</f>
        <v>0</v>
      </c>
    </row>
    <row r="601" spans="1:4">
      <c r="A601">
        <f>DSDV!B606</f>
        <v>0</v>
      </c>
      <c r="B601">
        <f>DSDV!G606</f>
        <v>0</v>
      </c>
      <c r="C601" s="237">
        <f>DSDV!K606</f>
        <v>0</v>
      </c>
      <c r="D601" s="238">
        <f>DSDV!W606</f>
        <v>0</v>
      </c>
    </row>
    <row r="602" spans="1:4">
      <c r="A602">
        <f>DSDV!B607</f>
        <v>0</v>
      </c>
      <c r="B602">
        <f>DSDV!G607</f>
        <v>0</v>
      </c>
      <c r="C602" s="237">
        <f>DSDV!K607</f>
        <v>0</v>
      </c>
      <c r="D602" s="238">
        <f>DSDV!W607</f>
        <v>0</v>
      </c>
    </row>
    <row r="603" spans="1:4">
      <c r="A603">
        <f>DSDV!B608</f>
        <v>0</v>
      </c>
      <c r="B603">
        <f>DSDV!G608</f>
        <v>0</v>
      </c>
      <c r="C603" s="237">
        <f>DSDV!K608</f>
        <v>0</v>
      </c>
      <c r="D603" s="238">
        <f>DSDV!W608</f>
        <v>0</v>
      </c>
    </row>
    <row r="604" spans="1:4">
      <c r="A604">
        <f>DSDV!B609</f>
        <v>0</v>
      </c>
      <c r="B604">
        <f>DSDV!G609</f>
        <v>0</v>
      </c>
      <c r="C604" s="237">
        <f>DSDV!K609</f>
        <v>0</v>
      </c>
      <c r="D604" s="238">
        <f>DSDV!W609</f>
        <v>0</v>
      </c>
    </row>
    <row r="605" spans="1:4">
      <c r="A605">
        <f>DSDV!B610</f>
        <v>0</v>
      </c>
      <c r="B605">
        <f>DSDV!G610</f>
        <v>0</v>
      </c>
      <c r="C605" s="237">
        <f>DSDV!K610</f>
        <v>0</v>
      </c>
      <c r="D605" s="238">
        <f>DSDV!W610</f>
        <v>0</v>
      </c>
    </row>
    <row r="606" spans="1:4">
      <c r="A606">
        <f>DSDV!B611</f>
        <v>0</v>
      </c>
      <c r="B606">
        <f>DSDV!G611</f>
        <v>0</v>
      </c>
      <c r="C606" s="237">
        <f>DSDV!K611</f>
        <v>0</v>
      </c>
      <c r="D606" s="238">
        <f>DSDV!W611</f>
        <v>0</v>
      </c>
    </row>
    <row r="607" spans="1:4">
      <c r="A607">
        <f>DSDV!B612</f>
        <v>0</v>
      </c>
      <c r="B607">
        <f>DSDV!G612</f>
        <v>0</v>
      </c>
      <c r="C607" s="237">
        <f>DSDV!K612</f>
        <v>0</v>
      </c>
      <c r="D607" s="238">
        <f>DSDV!W612</f>
        <v>0</v>
      </c>
    </row>
    <row r="608" spans="1:4">
      <c r="A608">
        <f>DSDV!B613</f>
        <v>0</v>
      </c>
      <c r="B608">
        <f>DSDV!G613</f>
        <v>0</v>
      </c>
      <c r="C608" s="237">
        <f>DSDV!K613</f>
        <v>0</v>
      </c>
      <c r="D608" s="238">
        <f>DSDV!W613</f>
        <v>0</v>
      </c>
    </row>
    <row r="609" spans="1:4">
      <c r="A609">
        <f>DSDV!B614</f>
        <v>0</v>
      </c>
      <c r="B609">
        <f>DSDV!G614</f>
        <v>0</v>
      </c>
      <c r="C609" s="237">
        <f>DSDV!K614</f>
        <v>0</v>
      </c>
      <c r="D609" s="238">
        <f>DSDV!W614</f>
        <v>0</v>
      </c>
    </row>
    <row r="610" spans="1:4">
      <c r="A610">
        <f>DSDV!B615</f>
        <v>0</v>
      </c>
      <c r="B610">
        <f>DSDV!G615</f>
        <v>0</v>
      </c>
      <c r="C610" s="237">
        <f>DSDV!K615</f>
        <v>0</v>
      </c>
      <c r="D610" s="238">
        <f>DSDV!W615</f>
        <v>0</v>
      </c>
    </row>
    <row r="611" spans="1:4">
      <c r="A611">
        <f>DSDV!B616</f>
        <v>0</v>
      </c>
      <c r="B611">
        <f>DSDV!G616</f>
        <v>0</v>
      </c>
      <c r="C611" s="237">
        <f>DSDV!K616</f>
        <v>0</v>
      </c>
      <c r="D611" s="238">
        <f>DSDV!W616</f>
        <v>0</v>
      </c>
    </row>
    <row r="612" spans="1:4">
      <c r="A612">
        <f>DSDV!B617</f>
        <v>0</v>
      </c>
      <c r="B612">
        <f>DSDV!G617</f>
        <v>0</v>
      </c>
      <c r="C612" s="237">
        <f>DSDV!K617</f>
        <v>0</v>
      </c>
      <c r="D612" s="238">
        <f>DSDV!W617</f>
        <v>0</v>
      </c>
    </row>
    <row r="613" spans="1:4">
      <c r="A613">
        <f>DSDV!B618</f>
        <v>0</v>
      </c>
      <c r="B613">
        <f>DSDV!G618</f>
        <v>0</v>
      </c>
      <c r="C613" s="237">
        <f>DSDV!K618</f>
        <v>0</v>
      </c>
      <c r="D613" s="238">
        <f>DSDV!W618</f>
        <v>0</v>
      </c>
    </row>
    <row r="614" spans="1:4">
      <c r="A614">
        <f>DSDV!B619</f>
        <v>0</v>
      </c>
      <c r="B614">
        <f>DSDV!G619</f>
        <v>0</v>
      </c>
      <c r="C614" s="237">
        <f>DSDV!K619</f>
        <v>0</v>
      </c>
      <c r="D614" s="238">
        <f>DSDV!W619</f>
        <v>0</v>
      </c>
    </row>
    <row r="615" spans="1:4">
      <c r="A615">
        <f>DSDV!B620</f>
        <v>0</v>
      </c>
      <c r="B615">
        <f>DSDV!G620</f>
        <v>0</v>
      </c>
      <c r="C615" s="237">
        <f>DSDV!K620</f>
        <v>0</v>
      </c>
      <c r="D615" s="238">
        <f>DSDV!W620</f>
        <v>0</v>
      </c>
    </row>
    <row r="616" spans="1:4">
      <c r="A616">
        <f>DSDV!B621</f>
        <v>0</v>
      </c>
      <c r="B616">
        <f>DSDV!G621</f>
        <v>0</v>
      </c>
      <c r="C616" s="237">
        <f>DSDV!K621</f>
        <v>0</v>
      </c>
      <c r="D616" s="238">
        <f>DSDV!W621</f>
        <v>0</v>
      </c>
    </row>
    <row r="617" spans="1:4">
      <c r="A617">
        <f>DSDV!B622</f>
        <v>0</v>
      </c>
      <c r="B617">
        <f>DSDV!G622</f>
        <v>0</v>
      </c>
      <c r="C617" s="237">
        <f>DSDV!K622</f>
        <v>0</v>
      </c>
      <c r="D617" s="238">
        <f>DSDV!W622</f>
        <v>0</v>
      </c>
    </row>
    <row r="618" spans="1:4">
      <c r="A618">
        <f>DSDV!B623</f>
        <v>0</v>
      </c>
      <c r="B618">
        <f>DSDV!G623</f>
        <v>0</v>
      </c>
      <c r="C618" s="237">
        <f>DSDV!K623</f>
        <v>0</v>
      </c>
      <c r="D618" s="238">
        <f>DSDV!W623</f>
        <v>0</v>
      </c>
    </row>
    <row r="619" spans="1:4">
      <c r="A619">
        <f>DSDV!B624</f>
        <v>0</v>
      </c>
      <c r="B619">
        <f>DSDV!G624</f>
        <v>0</v>
      </c>
      <c r="C619" s="237">
        <f>DSDV!K624</f>
        <v>0</v>
      </c>
      <c r="D619" s="238">
        <f>DSDV!W624</f>
        <v>0</v>
      </c>
    </row>
    <row r="620" spans="1:4">
      <c r="A620">
        <f>DSDV!B625</f>
        <v>0</v>
      </c>
      <c r="B620">
        <f>DSDV!G625</f>
        <v>0</v>
      </c>
      <c r="C620" s="237">
        <f>DSDV!K625</f>
        <v>0</v>
      </c>
      <c r="D620" s="238">
        <f>DSDV!W625</f>
        <v>0</v>
      </c>
    </row>
    <row r="621" spans="1:4">
      <c r="A621">
        <f>DSDV!B626</f>
        <v>0</v>
      </c>
      <c r="B621">
        <f>DSDV!G626</f>
        <v>0</v>
      </c>
      <c r="C621" s="237">
        <f>DSDV!K626</f>
        <v>0</v>
      </c>
      <c r="D621" s="238">
        <f>DSDV!W626</f>
        <v>0</v>
      </c>
    </row>
    <row r="622" spans="1:4">
      <c r="A622">
        <f>DSDV!B627</f>
        <v>0</v>
      </c>
      <c r="B622">
        <f>DSDV!G627</f>
        <v>0</v>
      </c>
      <c r="C622" s="237">
        <f>DSDV!K627</f>
        <v>0</v>
      </c>
      <c r="D622" s="238">
        <f>DSDV!W627</f>
        <v>0</v>
      </c>
    </row>
    <row r="623" spans="1:4">
      <c r="A623">
        <f>DSDV!B628</f>
        <v>0</v>
      </c>
      <c r="B623">
        <f>DSDV!G628</f>
        <v>0</v>
      </c>
      <c r="C623" s="237">
        <f>DSDV!K628</f>
        <v>0</v>
      </c>
      <c r="D623" s="238">
        <f>DSDV!W628</f>
        <v>0</v>
      </c>
    </row>
    <row r="624" spans="1:4">
      <c r="A624">
        <f>DSDV!B629</f>
        <v>0</v>
      </c>
      <c r="B624">
        <f>DSDV!G629</f>
        <v>0</v>
      </c>
      <c r="C624" s="237">
        <f>DSDV!K629</f>
        <v>0</v>
      </c>
      <c r="D624" s="238">
        <f>DSDV!W629</f>
        <v>0</v>
      </c>
    </row>
    <row r="625" spans="1:4">
      <c r="A625">
        <f>DSDV!B630</f>
        <v>0</v>
      </c>
      <c r="B625">
        <f>DSDV!G630</f>
        <v>0</v>
      </c>
      <c r="C625" s="237">
        <f>DSDV!K630</f>
        <v>0</v>
      </c>
      <c r="D625" s="238">
        <f>DSDV!W630</f>
        <v>0</v>
      </c>
    </row>
    <row r="626" spans="1:4">
      <c r="A626">
        <f>DSDV!B631</f>
        <v>0</v>
      </c>
      <c r="B626">
        <f>DSDV!G631</f>
        <v>0</v>
      </c>
      <c r="C626" s="237">
        <f>DSDV!K631</f>
        <v>0</v>
      </c>
      <c r="D626" s="238">
        <f>DSDV!W631</f>
        <v>0</v>
      </c>
    </row>
    <row r="627" spans="1:4">
      <c r="A627">
        <f>DSDV!B632</f>
        <v>0</v>
      </c>
      <c r="B627">
        <f>DSDV!G632</f>
        <v>0</v>
      </c>
      <c r="C627" s="237">
        <f>DSDV!K632</f>
        <v>0</v>
      </c>
      <c r="D627" s="238">
        <f>DSDV!W632</f>
        <v>0</v>
      </c>
    </row>
    <row r="628" spans="1:4">
      <c r="A628">
        <f>DSDV!B633</f>
        <v>0</v>
      </c>
      <c r="B628">
        <f>DSDV!G633</f>
        <v>0</v>
      </c>
      <c r="C628" s="237">
        <f>DSDV!K633</f>
        <v>0</v>
      </c>
      <c r="D628" s="238">
        <f>DSDV!W633</f>
        <v>0</v>
      </c>
    </row>
    <row r="629" spans="1:4">
      <c r="A629">
        <f>DSDV!B634</f>
        <v>0</v>
      </c>
      <c r="B629">
        <f>DSDV!G634</f>
        <v>0</v>
      </c>
      <c r="C629" s="237">
        <f>DSDV!K634</f>
        <v>0</v>
      </c>
      <c r="D629" s="238">
        <f>DSDV!W634</f>
        <v>0</v>
      </c>
    </row>
    <row r="630" spans="1:4">
      <c r="A630">
        <f>DSDV!B635</f>
        <v>0</v>
      </c>
      <c r="B630">
        <f>DSDV!G635</f>
        <v>0</v>
      </c>
      <c r="C630" s="237">
        <f>DSDV!K635</f>
        <v>0</v>
      </c>
      <c r="D630" s="238">
        <f>DSDV!W635</f>
        <v>0</v>
      </c>
    </row>
    <row r="631" spans="1:4">
      <c r="A631">
        <f>DSDV!B636</f>
        <v>0</v>
      </c>
      <c r="B631">
        <f>DSDV!G636</f>
        <v>0</v>
      </c>
      <c r="C631" s="237">
        <f>DSDV!K636</f>
        <v>0</v>
      </c>
      <c r="D631" s="238">
        <f>DSDV!W636</f>
        <v>0</v>
      </c>
    </row>
    <row r="632" spans="1:4">
      <c r="A632">
        <f>DSDV!B637</f>
        <v>0</v>
      </c>
      <c r="B632">
        <f>DSDV!G637</f>
        <v>0</v>
      </c>
      <c r="C632" s="237">
        <f>DSDV!K637</f>
        <v>0</v>
      </c>
      <c r="D632" s="238">
        <f>DSDV!W637</f>
        <v>0</v>
      </c>
    </row>
    <row r="633" spans="1:4">
      <c r="A633">
        <f>DSDV!B638</f>
        <v>0</v>
      </c>
      <c r="B633">
        <f>DSDV!G638</f>
        <v>0</v>
      </c>
      <c r="C633" s="237">
        <f>DSDV!K638</f>
        <v>0</v>
      </c>
      <c r="D633" s="238">
        <f>DSDV!W638</f>
        <v>0</v>
      </c>
    </row>
    <row r="634" spans="1:4">
      <c r="A634">
        <f>DSDV!B639</f>
        <v>0</v>
      </c>
      <c r="B634">
        <f>DSDV!G639</f>
        <v>0</v>
      </c>
      <c r="C634" s="237">
        <f>DSDV!K639</f>
        <v>0</v>
      </c>
      <c r="D634" s="238">
        <f>DSDV!W639</f>
        <v>0</v>
      </c>
    </row>
    <row r="635" spans="1:4">
      <c r="A635">
        <f>DSDV!B640</f>
        <v>0</v>
      </c>
      <c r="B635">
        <f>DSDV!G640</f>
        <v>0</v>
      </c>
      <c r="C635" s="237">
        <f>DSDV!K640</f>
        <v>0</v>
      </c>
      <c r="D635" s="238">
        <f>DSDV!W640</f>
        <v>0</v>
      </c>
    </row>
    <row r="636" spans="1:4">
      <c r="A636">
        <f>DSDV!B641</f>
        <v>0</v>
      </c>
      <c r="B636">
        <f>DSDV!G641</f>
        <v>0</v>
      </c>
      <c r="C636" s="237">
        <f>DSDV!K641</f>
        <v>0</v>
      </c>
      <c r="D636" s="238">
        <f>DSDV!W641</f>
        <v>0</v>
      </c>
    </row>
    <row r="637" spans="1:4">
      <c r="A637">
        <f>DSDV!B642</f>
        <v>0</v>
      </c>
      <c r="B637">
        <f>DSDV!G642</f>
        <v>0</v>
      </c>
      <c r="C637" s="237">
        <f>DSDV!K642</f>
        <v>0</v>
      </c>
      <c r="D637" s="238">
        <f>DSDV!W642</f>
        <v>0</v>
      </c>
    </row>
    <row r="638" spans="1:4">
      <c r="A638">
        <f>DSDV!B643</f>
        <v>0</v>
      </c>
      <c r="B638">
        <f>DSDV!G643</f>
        <v>0</v>
      </c>
      <c r="C638" s="237">
        <f>DSDV!K643</f>
        <v>0</v>
      </c>
      <c r="D638" s="238">
        <f>DSDV!W643</f>
        <v>0</v>
      </c>
    </row>
    <row r="639" spans="1:4">
      <c r="A639">
        <f>DSDV!B644</f>
        <v>0</v>
      </c>
      <c r="B639">
        <f>DSDV!G644</f>
        <v>0</v>
      </c>
      <c r="C639" s="237">
        <f>DSDV!K644</f>
        <v>0</v>
      </c>
      <c r="D639" s="238">
        <f>DSDV!W644</f>
        <v>0</v>
      </c>
    </row>
    <row r="640" spans="1:4">
      <c r="A640">
        <f>DSDV!B645</f>
        <v>0</v>
      </c>
      <c r="B640">
        <f>DSDV!G645</f>
        <v>0</v>
      </c>
      <c r="C640" s="237">
        <f>DSDV!K645</f>
        <v>0</v>
      </c>
      <c r="D640" s="238">
        <f>DSDV!W645</f>
        <v>0</v>
      </c>
    </row>
    <row r="641" spans="1:4">
      <c r="A641">
        <f>DSDV!B646</f>
        <v>0</v>
      </c>
      <c r="B641">
        <f>DSDV!G646</f>
        <v>0</v>
      </c>
      <c r="C641" s="237">
        <f>DSDV!K646</f>
        <v>0</v>
      </c>
      <c r="D641" s="238">
        <f>DSDV!W646</f>
        <v>0</v>
      </c>
    </row>
    <row r="642" spans="1:4">
      <c r="A642">
        <f>DSDV!B647</f>
        <v>0</v>
      </c>
      <c r="B642">
        <f>DSDV!G647</f>
        <v>0</v>
      </c>
      <c r="C642" s="237">
        <f>DSDV!K647</f>
        <v>0</v>
      </c>
      <c r="D642" s="238">
        <f>DSDV!W647</f>
        <v>0</v>
      </c>
    </row>
    <row r="643" spans="1:4">
      <c r="A643">
        <f>DSDV!B648</f>
        <v>0</v>
      </c>
      <c r="B643">
        <f>DSDV!G648</f>
        <v>0</v>
      </c>
      <c r="C643" s="237">
        <f>DSDV!K648</f>
        <v>0</v>
      </c>
      <c r="D643" s="238">
        <f>DSDV!W648</f>
        <v>0</v>
      </c>
    </row>
    <row r="644" spans="1:4">
      <c r="A644">
        <f>DSDV!B649</f>
        <v>0</v>
      </c>
      <c r="B644">
        <f>DSDV!G649</f>
        <v>0</v>
      </c>
      <c r="C644" s="237">
        <f>DSDV!K649</f>
        <v>0</v>
      </c>
      <c r="D644" s="238">
        <f>DSDV!W649</f>
        <v>0</v>
      </c>
    </row>
    <row r="645" spans="1:4">
      <c r="A645">
        <f>DSDV!B650</f>
        <v>0</v>
      </c>
      <c r="B645">
        <f>DSDV!G650</f>
        <v>0</v>
      </c>
      <c r="C645" s="237">
        <f>DSDV!K650</f>
        <v>0</v>
      </c>
      <c r="D645" s="238">
        <f>DSDV!W650</f>
        <v>0</v>
      </c>
    </row>
    <row r="646" spans="1:4">
      <c r="A646">
        <f>DSDV!B651</f>
        <v>0</v>
      </c>
      <c r="B646">
        <f>DSDV!G651</f>
        <v>0</v>
      </c>
      <c r="C646" s="237">
        <f>DSDV!K651</f>
        <v>0</v>
      </c>
      <c r="D646" s="238">
        <f>DSDV!W651</f>
        <v>0</v>
      </c>
    </row>
    <row r="647" spans="1:4">
      <c r="A647">
        <f>DSDV!B652</f>
        <v>0</v>
      </c>
      <c r="B647">
        <f>DSDV!G652</f>
        <v>0</v>
      </c>
      <c r="C647" s="237">
        <f>DSDV!K652</f>
        <v>0</v>
      </c>
      <c r="D647" s="238">
        <f>DSDV!W652</f>
        <v>0</v>
      </c>
    </row>
    <row r="648" spans="1:4">
      <c r="A648">
        <f>DSDV!B653</f>
        <v>0</v>
      </c>
      <c r="B648">
        <f>DSDV!G653</f>
        <v>0</v>
      </c>
      <c r="C648" s="237">
        <f>DSDV!K653</f>
        <v>0</v>
      </c>
      <c r="D648" s="238">
        <f>DSDV!W653</f>
        <v>0</v>
      </c>
    </row>
    <row r="649" spans="1:4">
      <c r="A649">
        <f>DSDV!B654</f>
        <v>0</v>
      </c>
      <c r="B649">
        <f>DSDV!G654</f>
        <v>0</v>
      </c>
      <c r="C649" s="237">
        <f>DSDV!K654</f>
        <v>0</v>
      </c>
      <c r="D649" s="238">
        <f>DSDV!W654</f>
        <v>0</v>
      </c>
    </row>
    <row r="650" spans="1:4">
      <c r="A650">
        <f>DSDV!B655</f>
        <v>0</v>
      </c>
      <c r="B650">
        <f>DSDV!G655</f>
        <v>0</v>
      </c>
      <c r="C650" s="237">
        <f>DSDV!K655</f>
        <v>0</v>
      </c>
      <c r="D650" s="238">
        <f>DSDV!W655</f>
        <v>0</v>
      </c>
    </row>
    <row r="651" spans="1:4">
      <c r="A651">
        <f>DSDV!B656</f>
        <v>0</v>
      </c>
      <c r="B651">
        <f>DSDV!G656</f>
        <v>0</v>
      </c>
      <c r="C651" s="237">
        <f>DSDV!K656</f>
        <v>0</v>
      </c>
      <c r="D651" s="238">
        <f>DSDV!W656</f>
        <v>0</v>
      </c>
    </row>
    <row r="652" spans="1:4">
      <c r="A652">
        <f>DSDV!B657</f>
        <v>0</v>
      </c>
      <c r="B652">
        <f>DSDV!G657</f>
        <v>0</v>
      </c>
      <c r="C652" s="237">
        <f>DSDV!K657</f>
        <v>0</v>
      </c>
      <c r="D652" s="238">
        <f>DSDV!W657</f>
        <v>0</v>
      </c>
    </row>
    <row r="653" spans="1:4">
      <c r="A653">
        <f>DSDV!B658</f>
        <v>0</v>
      </c>
      <c r="B653">
        <f>DSDV!G658</f>
        <v>0</v>
      </c>
      <c r="C653" s="237">
        <f>DSDV!K658</f>
        <v>0</v>
      </c>
      <c r="D653" s="238">
        <f>DSDV!W658</f>
        <v>0</v>
      </c>
    </row>
    <row r="654" spans="1:4">
      <c r="A654">
        <f>DSDV!B659</f>
        <v>0</v>
      </c>
      <c r="B654">
        <f>DSDV!G659</f>
        <v>0</v>
      </c>
      <c r="C654" s="237">
        <f>DSDV!K659</f>
        <v>0</v>
      </c>
      <c r="D654" s="238">
        <f>DSDV!W659</f>
        <v>0</v>
      </c>
    </row>
    <row r="655" spans="1:4">
      <c r="A655">
        <f>DSDV!B660</f>
        <v>0</v>
      </c>
      <c r="B655">
        <f>DSDV!G660</f>
        <v>0</v>
      </c>
      <c r="C655" s="237">
        <f>DSDV!K660</f>
        <v>0</v>
      </c>
      <c r="D655" s="238">
        <f>DSDV!W660</f>
        <v>0</v>
      </c>
    </row>
    <row r="656" spans="1:4">
      <c r="A656">
        <f>DSDV!B661</f>
        <v>0</v>
      </c>
      <c r="B656">
        <f>DSDV!G661</f>
        <v>0</v>
      </c>
      <c r="C656" s="237">
        <f>DSDV!K661</f>
        <v>0</v>
      </c>
      <c r="D656" s="238">
        <f>DSDV!W661</f>
        <v>0</v>
      </c>
    </row>
    <row r="657" spans="1:4">
      <c r="A657">
        <f>DSDV!B662</f>
        <v>0</v>
      </c>
      <c r="B657">
        <f>DSDV!G662</f>
        <v>0</v>
      </c>
      <c r="C657" s="237">
        <f>DSDV!K662</f>
        <v>0</v>
      </c>
      <c r="D657" s="238">
        <f>DSDV!W662</f>
        <v>0</v>
      </c>
    </row>
    <row r="658" spans="1:4">
      <c r="A658">
        <f>DSDV!B663</f>
        <v>0</v>
      </c>
      <c r="B658">
        <f>DSDV!G663</f>
        <v>0</v>
      </c>
      <c r="C658" s="237">
        <f>DSDV!K663</f>
        <v>0</v>
      </c>
      <c r="D658" s="238">
        <f>DSDV!W663</f>
        <v>0</v>
      </c>
    </row>
    <row r="659" spans="1:4">
      <c r="A659">
        <f>DSDV!B664</f>
        <v>0</v>
      </c>
      <c r="B659">
        <f>DSDV!G664</f>
        <v>0</v>
      </c>
      <c r="C659" s="237">
        <f>DSDV!K664</f>
        <v>0</v>
      </c>
      <c r="D659" s="238">
        <f>DSDV!W664</f>
        <v>0</v>
      </c>
    </row>
    <row r="660" spans="1:4">
      <c r="A660">
        <f>DSDV!B665</f>
        <v>0</v>
      </c>
      <c r="B660">
        <f>DSDV!G665</f>
        <v>0</v>
      </c>
      <c r="C660" s="237">
        <f>DSDV!K665</f>
        <v>0</v>
      </c>
      <c r="D660" s="238">
        <f>DSDV!W665</f>
        <v>0</v>
      </c>
    </row>
    <row r="661" spans="1:4">
      <c r="A661">
        <f>DSDV!B666</f>
        <v>0</v>
      </c>
      <c r="B661">
        <f>DSDV!G666</f>
        <v>0</v>
      </c>
      <c r="C661" s="237">
        <f>DSDV!K666</f>
        <v>0</v>
      </c>
      <c r="D661" s="238">
        <f>DSDV!W666</f>
        <v>0</v>
      </c>
    </row>
    <row r="662" spans="1:4">
      <c r="A662">
        <f>DSDV!B667</f>
        <v>0</v>
      </c>
      <c r="B662">
        <f>DSDV!G667</f>
        <v>0</v>
      </c>
      <c r="C662" s="237">
        <f>DSDV!K667</f>
        <v>0</v>
      </c>
      <c r="D662" s="238">
        <f>DSDV!W667</f>
        <v>0</v>
      </c>
    </row>
    <row r="663" spans="1:4">
      <c r="A663">
        <f>DSDV!B668</f>
        <v>0</v>
      </c>
      <c r="B663">
        <f>DSDV!G668</f>
        <v>0</v>
      </c>
      <c r="C663" s="237">
        <f>DSDV!K668</f>
        <v>0</v>
      </c>
      <c r="D663" s="238">
        <f>DSDV!W668</f>
        <v>0</v>
      </c>
    </row>
    <row r="664" spans="1:4">
      <c r="A664">
        <f>DSDV!B669</f>
        <v>0</v>
      </c>
      <c r="B664">
        <f>DSDV!G669</f>
        <v>0</v>
      </c>
      <c r="C664" s="237">
        <f>DSDV!K669</f>
        <v>0</v>
      </c>
      <c r="D664" s="238">
        <f>DSDV!W669</f>
        <v>0</v>
      </c>
    </row>
    <row r="665" spans="1:4">
      <c r="A665">
        <f>DSDV!B670</f>
        <v>0</v>
      </c>
      <c r="B665">
        <f>DSDV!G670</f>
        <v>0</v>
      </c>
      <c r="C665" s="237">
        <f>DSDV!K670</f>
        <v>0</v>
      </c>
      <c r="D665" s="238">
        <f>DSDV!W670</f>
        <v>0</v>
      </c>
    </row>
    <row r="666" spans="1:4">
      <c r="A666">
        <f>DSDV!B671</f>
        <v>0</v>
      </c>
      <c r="B666">
        <f>DSDV!G671</f>
        <v>0</v>
      </c>
      <c r="C666" s="237">
        <f>DSDV!K671</f>
        <v>0</v>
      </c>
      <c r="D666" s="238">
        <f>DSDV!W671</f>
        <v>0</v>
      </c>
    </row>
    <row r="667" spans="1:4">
      <c r="A667">
        <f>DSDV!B672</f>
        <v>0</v>
      </c>
      <c r="B667">
        <f>DSDV!G672</f>
        <v>0</v>
      </c>
      <c r="C667" s="237">
        <f>DSDV!K672</f>
        <v>0</v>
      </c>
      <c r="D667" s="238">
        <f>DSDV!W672</f>
        <v>0</v>
      </c>
    </row>
    <row r="668" spans="1:4">
      <c r="A668">
        <f>DSDV!B673</f>
        <v>0</v>
      </c>
      <c r="B668">
        <f>DSDV!G673</f>
        <v>0</v>
      </c>
      <c r="C668" s="237">
        <f>DSDV!K673</f>
        <v>0</v>
      </c>
      <c r="D668" s="238">
        <f>DSDV!W673</f>
        <v>0</v>
      </c>
    </row>
    <row r="669" spans="1:4">
      <c r="A669">
        <f>DSDV!B674</f>
        <v>0</v>
      </c>
      <c r="B669">
        <f>DSDV!G674</f>
        <v>0</v>
      </c>
      <c r="C669" s="237">
        <f>DSDV!K674</f>
        <v>0</v>
      </c>
      <c r="D669" s="238">
        <f>DSDV!W674</f>
        <v>0</v>
      </c>
    </row>
    <row r="670" spans="1:4">
      <c r="A670">
        <f>DSDV!B675</f>
        <v>0</v>
      </c>
      <c r="B670">
        <f>DSDV!G675</f>
        <v>0</v>
      </c>
      <c r="C670" s="237">
        <f>DSDV!K675</f>
        <v>0</v>
      </c>
      <c r="D670" s="238">
        <f>DSDV!W675</f>
        <v>0</v>
      </c>
    </row>
    <row r="671" spans="1:4">
      <c r="A671">
        <f>DSDV!B676</f>
        <v>0</v>
      </c>
      <c r="B671">
        <f>DSDV!G676</f>
        <v>0</v>
      </c>
      <c r="C671" s="237">
        <f>DSDV!K676</f>
        <v>0</v>
      </c>
      <c r="D671" s="238">
        <f>DSDV!W676</f>
        <v>0</v>
      </c>
    </row>
    <row r="672" spans="1:4">
      <c r="A672">
        <f>DSDV!B677</f>
        <v>0</v>
      </c>
      <c r="B672">
        <f>DSDV!G677</f>
        <v>0</v>
      </c>
      <c r="C672" s="237">
        <f>DSDV!K677</f>
        <v>0</v>
      </c>
      <c r="D672" s="238">
        <f>DSDV!W677</f>
        <v>0</v>
      </c>
    </row>
    <row r="673" spans="1:4">
      <c r="A673">
        <f>DSDV!B678</f>
        <v>0</v>
      </c>
      <c r="B673">
        <f>DSDV!G678</f>
        <v>0</v>
      </c>
      <c r="C673" s="237">
        <f>DSDV!K678</f>
        <v>0</v>
      </c>
      <c r="D673" s="238">
        <f>DSDV!W678</f>
        <v>0</v>
      </c>
    </row>
    <row r="674" spans="1:4">
      <c r="A674">
        <f>DSDV!B679</f>
        <v>0</v>
      </c>
      <c r="B674">
        <f>DSDV!G679</f>
        <v>0</v>
      </c>
      <c r="C674" s="237">
        <f>DSDV!K679</f>
        <v>0</v>
      </c>
      <c r="D674" s="238">
        <f>DSDV!W679</f>
        <v>0</v>
      </c>
    </row>
    <row r="675" spans="1:4">
      <c r="A675">
        <f>DSDV!B680</f>
        <v>0</v>
      </c>
      <c r="B675">
        <f>DSDV!G680</f>
        <v>0</v>
      </c>
      <c r="C675" s="237">
        <f>DSDV!K680</f>
        <v>0</v>
      </c>
      <c r="D675" s="238">
        <f>DSDV!W680</f>
        <v>0</v>
      </c>
    </row>
    <row r="676" spans="1:4">
      <c r="A676">
        <f>DSDV!B681</f>
        <v>0</v>
      </c>
      <c r="B676">
        <f>DSDV!G681</f>
        <v>0</v>
      </c>
      <c r="C676" s="237">
        <f>DSDV!K681</f>
        <v>0</v>
      </c>
      <c r="D676" s="238">
        <f>DSDV!W681</f>
        <v>0</v>
      </c>
    </row>
    <row r="677" spans="1:4">
      <c r="A677">
        <f>DSDV!B682</f>
        <v>0</v>
      </c>
      <c r="B677">
        <f>DSDV!G682</f>
        <v>0</v>
      </c>
      <c r="C677" s="237">
        <f>DSDV!K682</f>
        <v>0</v>
      </c>
      <c r="D677" s="238">
        <f>DSDV!W682</f>
        <v>0</v>
      </c>
    </row>
    <row r="678" spans="1:4">
      <c r="A678">
        <f>DSDV!B683</f>
        <v>0</v>
      </c>
      <c r="B678">
        <f>DSDV!G683</f>
        <v>0</v>
      </c>
      <c r="C678" s="237">
        <f>DSDV!K683</f>
        <v>0</v>
      </c>
      <c r="D678" s="238">
        <f>DSDV!W683</f>
        <v>0</v>
      </c>
    </row>
    <row r="679" spans="1:4">
      <c r="A679">
        <f>DSDV!B684</f>
        <v>0</v>
      </c>
      <c r="B679">
        <f>DSDV!G684</f>
        <v>0</v>
      </c>
      <c r="C679" s="237">
        <f>DSDV!K684</f>
        <v>0</v>
      </c>
      <c r="D679" s="238">
        <f>DSDV!W684</f>
        <v>0</v>
      </c>
    </row>
    <row r="680" spans="1:4">
      <c r="A680">
        <f>DSDV!B685</f>
        <v>0</v>
      </c>
      <c r="B680">
        <f>DSDV!G685</f>
        <v>0</v>
      </c>
      <c r="C680" s="237">
        <f>DSDV!K685</f>
        <v>0</v>
      </c>
      <c r="D680" s="238">
        <f>DSDV!W685</f>
        <v>0</v>
      </c>
    </row>
    <row r="681" spans="1:4">
      <c r="A681">
        <f>DSDV!B686</f>
        <v>0</v>
      </c>
      <c r="B681">
        <f>DSDV!G686</f>
        <v>0</v>
      </c>
      <c r="C681" s="237">
        <f>DSDV!K686</f>
        <v>0</v>
      </c>
      <c r="D681" s="238">
        <f>DSDV!W686</f>
        <v>0</v>
      </c>
    </row>
    <row r="682" spans="1:4">
      <c r="A682">
        <f>DSDV!B687</f>
        <v>0</v>
      </c>
      <c r="B682">
        <f>DSDV!G687</f>
        <v>0</v>
      </c>
      <c r="C682" s="237">
        <f>DSDV!K687</f>
        <v>0</v>
      </c>
      <c r="D682" s="238">
        <f>DSDV!W687</f>
        <v>0</v>
      </c>
    </row>
    <row r="683" spans="1:4">
      <c r="A683">
        <f>DSDV!B688</f>
        <v>0</v>
      </c>
      <c r="B683">
        <f>DSDV!G688</f>
        <v>0</v>
      </c>
      <c r="C683" s="237">
        <f>DSDV!K688</f>
        <v>0</v>
      </c>
      <c r="D683" s="238">
        <f>DSDV!W688</f>
        <v>0</v>
      </c>
    </row>
    <row r="684" spans="1:4">
      <c r="A684">
        <f>DSDV!B689</f>
        <v>0</v>
      </c>
      <c r="B684">
        <f>DSDV!G689</f>
        <v>0</v>
      </c>
      <c r="C684" s="237">
        <f>DSDV!K689</f>
        <v>0</v>
      </c>
      <c r="D684" s="238">
        <f>DSDV!W689</f>
        <v>0</v>
      </c>
    </row>
    <row r="685" spans="1:4">
      <c r="A685">
        <f>DSDV!B690</f>
        <v>0</v>
      </c>
      <c r="B685">
        <f>DSDV!G690</f>
        <v>0</v>
      </c>
      <c r="C685" s="237">
        <f>DSDV!K690</f>
        <v>0</v>
      </c>
      <c r="D685" s="238">
        <f>DSDV!W690</f>
        <v>0</v>
      </c>
    </row>
    <row r="686" spans="1:4">
      <c r="A686">
        <f>DSDV!B691</f>
        <v>0</v>
      </c>
      <c r="B686">
        <f>DSDV!G691</f>
        <v>0</v>
      </c>
      <c r="C686" s="237">
        <f>DSDV!K691</f>
        <v>0</v>
      </c>
      <c r="D686" s="238">
        <f>DSDV!W691</f>
        <v>0</v>
      </c>
    </row>
    <row r="687" spans="1:4">
      <c r="A687">
        <f>DSDV!B692</f>
        <v>0</v>
      </c>
      <c r="B687">
        <f>DSDV!G692</f>
        <v>0</v>
      </c>
      <c r="C687" s="237">
        <f>DSDV!K692</f>
        <v>0</v>
      </c>
      <c r="D687" s="238">
        <f>DSDV!W692</f>
        <v>0</v>
      </c>
    </row>
    <row r="688" spans="1:4">
      <c r="A688">
        <f>DSDV!B693</f>
        <v>0</v>
      </c>
      <c r="B688">
        <f>DSDV!G693</f>
        <v>0</v>
      </c>
      <c r="C688" s="237">
        <f>DSDV!K693</f>
        <v>0</v>
      </c>
      <c r="D688" s="238">
        <f>DSDV!W693</f>
        <v>0</v>
      </c>
    </row>
    <row r="689" spans="1:4">
      <c r="A689">
        <f>DSDV!B694</f>
        <v>0</v>
      </c>
      <c r="B689">
        <f>DSDV!G694</f>
        <v>0</v>
      </c>
      <c r="C689" s="237">
        <f>DSDV!K694</f>
        <v>0</v>
      </c>
      <c r="D689" s="238">
        <f>DSDV!W694</f>
        <v>0</v>
      </c>
    </row>
    <row r="690" spans="1:4">
      <c r="A690">
        <f>DSDV!B695</f>
        <v>0</v>
      </c>
      <c r="B690">
        <f>DSDV!G695</f>
        <v>0</v>
      </c>
      <c r="C690" s="237">
        <f>DSDV!K695</f>
        <v>0</v>
      </c>
      <c r="D690" s="238">
        <f>DSDV!W695</f>
        <v>0</v>
      </c>
    </row>
    <row r="691" spans="1:4">
      <c r="A691">
        <f>DSDV!B696</f>
        <v>0</v>
      </c>
      <c r="B691">
        <f>DSDV!G696</f>
        <v>0</v>
      </c>
      <c r="C691" s="237">
        <f>DSDV!K696</f>
        <v>0</v>
      </c>
      <c r="D691" s="238">
        <f>DSDV!W696</f>
        <v>0</v>
      </c>
    </row>
    <row r="692" spans="1:4">
      <c r="A692">
        <f>DSDV!B697</f>
        <v>0</v>
      </c>
      <c r="B692">
        <f>DSDV!G697</f>
        <v>0</v>
      </c>
      <c r="C692" s="237">
        <f>DSDV!K697</f>
        <v>0</v>
      </c>
      <c r="D692" s="238">
        <f>DSDV!W697</f>
        <v>0</v>
      </c>
    </row>
    <row r="693" spans="1:4">
      <c r="A693">
        <f>DSDV!B698</f>
        <v>0</v>
      </c>
      <c r="B693">
        <f>DSDV!G698</f>
        <v>0</v>
      </c>
      <c r="C693" s="237">
        <f>DSDV!K698</f>
        <v>0</v>
      </c>
      <c r="D693" s="238">
        <f>DSDV!W698</f>
        <v>0</v>
      </c>
    </row>
    <row r="694" spans="1:4">
      <c r="A694">
        <f>DSDV!B699</f>
        <v>0</v>
      </c>
      <c r="B694">
        <f>DSDV!G699</f>
        <v>0</v>
      </c>
      <c r="C694" s="237">
        <f>DSDV!K699</f>
        <v>0</v>
      </c>
      <c r="D694" s="238">
        <f>DSDV!W699</f>
        <v>0</v>
      </c>
    </row>
    <row r="695" spans="1:4">
      <c r="A695">
        <f>DSDV!B700</f>
        <v>0</v>
      </c>
      <c r="B695">
        <f>DSDV!G700</f>
        <v>0</v>
      </c>
      <c r="C695" s="237">
        <f>DSDV!K700</f>
        <v>0</v>
      </c>
      <c r="D695" s="238">
        <f>DSDV!W700</f>
        <v>0</v>
      </c>
    </row>
    <row r="696" spans="1:4">
      <c r="A696">
        <f>DSDV!B701</f>
        <v>0</v>
      </c>
      <c r="B696">
        <f>DSDV!G701</f>
        <v>0</v>
      </c>
      <c r="C696" s="237">
        <f>DSDV!K701</f>
        <v>0</v>
      </c>
      <c r="D696" s="238">
        <f>DSDV!W701</f>
        <v>0</v>
      </c>
    </row>
    <row r="697" spans="1:4">
      <c r="A697">
        <f>DSDV!B702</f>
        <v>0</v>
      </c>
      <c r="B697">
        <f>DSDV!G702</f>
        <v>0</v>
      </c>
      <c r="C697" s="237">
        <f>DSDV!K702</f>
        <v>0</v>
      </c>
      <c r="D697" s="238">
        <f>DSDV!W702</f>
        <v>0</v>
      </c>
    </row>
    <row r="698" spans="1:4">
      <c r="A698">
        <f>DSDV!B703</f>
        <v>0</v>
      </c>
      <c r="B698">
        <f>DSDV!G703</f>
        <v>0</v>
      </c>
      <c r="C698" s="237">
        <f>DSDV!K703</f>
        <v>0</v>
      </c>
      <c r="D698" s="238">
        <f>DSDV!W703</f>
        <v>0</v>
      </c>
    </row>
    <row r="699" spans="1:4">
      <c r="A699">
        <f>DSDV!B704</f>
        <v>0</v>
      </c>
      <c r="B699">
        <f>DSDV!G704</f>
        <v>0</v>
      </c>
      <c r="C699" s="237">
        <f>DSDV!K704</f>
        <v>0</v>
      </c>
      <c r="D699" s="238">
        <f>DSDV!W704</f>
        <v>0</v>
      </c>
    </row>
    <row r="700" spans="1:4">
      <c r="A700">
        <f>DSDV!B705</f>
        <v>0</v>
      </c>
      <c r="B700">
        <f>DSDV!G705</f>
        <v>0</v>
      </c>
      <c r="C700" s="237">
        <f>DSDV!K705</f>
        <v>0</v>
      </c>
      <c r="D700" s="238">
        <f>DSDV!W705</f>
        <v>0</v>
      </c>
    </row>
    <row r="701" spans="1:4">
      <c r="A701">
        <f>DSDV!B706</f>
        <v>0</v>
      </c>
      <c r="B701">
        <f>DSDV!G706</f>
        <v>0</v>
      </c>
      <c r="C701" s="237">
        <f>DSDV!K706</f>
        <v>0</v>
      </c>
      <c r="D701" s="238">
        <f>DSDV!W706</f>
        <v>0</v>
      </c>
    </row>
    <row r="702" spans="1:4">
      <c r="A702">
        <f>DSDV!B707</f>
        <v>0</v>
      </c>
      <c r="B702">
        <f>DSDV!G707</f>
        <v>0</v>
      </c>
      <c r="C702" s="237">
        <f>DSDV!K707</f>
        <v>0</v>
      </c>
      <c r="D702" s="238">
        <f>DSDV!W707</f>
        <v>0</v>
      </c>
    </row>
    <row r="703" spans="1:4">
      <c r="A703">
        <f>DSDV!B708</f>
        <v>0</v>
      </c>
      <c r="B703">
        <f>DSDV!G708</f>
        <v>0</v>
      </c>
      <c r="C703" s="237">
        <f>DSDV!K708</f>
        <v>0</v>
      </c>
      <c r="D703" s="238">
        <f>DSDV!W708</f>
        <v>0</v>
      </c>
    </row>
    <row r="704" spans="1:4">
      <c r="A704">
        <f>DSDV!B709</f>
        <v>0</v>
      </c>
      <c r="B704">
        <f>DSDV!G709</f>
        <v>0</v>
      </c>
      <c r="C704" s="237">
        <f>DSDV!K709</f>
        <v>0</v>
      </c>
      <c r="D704" s="238">
        <f>DSDV!W709</f>
        <v>0</v>
      </c>
    </row>
    <row r="705" spans="1:4">
      <c r="A705">
        <f>DSDV!B710</f>
        <v>0</v>
      </c>
      <c r="B705">
        <f>DSDV!G710</f>
        <v>0</v>
      </c>
      <c r="C705" s="237">
        <f>DSDV!K710</f>
        <v>0</v>
      </c>
      <c r="D705" s="238">
        <f>DSDV!W710</f>
        <v>0</v>
      </c>
    </row>
    <row r="706" spans="1:4">
      <c r="A706">
        <f>DSDV!B711</f>
        <v>0</v>
      </c>
      <c r="B706">
        <f>DSDV!G711</f>
        <v>0</v>
      </c>
      <c r="C706" s="237">
        <f>DSDV!K711</f>
        <v>0</v>
      </c>
      <c r="D706" s="238">
        <f>DSDV!W711</f>
        <v>0</v>
      </c>
    </row>
    <row r="707" spans="1:4">
      <c r="A707">
        <f>DSDV!B712</f>
        <v>0</v>
      </c>
      <c r="B707">
        <f>DSDV!G712</f>
        <v>0</v>
      </c>
      <c r="C707" s="237">
        <f>DSDV!K712</f>
        <v>0</v>
      </c>
      <c r="D707" s="238">
        <f>DSDV!W712</f>
        <v>0</v>
      </c>
    </row>
    <row r="708" spans="1:4">
      <c r="A708">
        <f>DSDV!B713</f>
        <v>0</v>
      </c>
      <c r="B708">
        <f>DSDV!G713</f>
        <v>0</v>
      </c>
      <c r="C708" s="237">
        <f>DSDV!K713</f>
        <v>0</v>
      </c>
      <c r="D708" s="238">
        <f>DSDV!W713</f>
        <v>0</v>
      </c>
    </row>
    <row r="709" spans="1:4">
      <c r="A709">
        <f>DSDV!B714</f>
        <v>0</v>
      </c>
      <c r="B709">
        <f>DSDV!G714</f>
        <v>0</v>
      </c>
      <c r="C709" s="237">
        <f>DSDV!K714</f>
        <v>0</v>
      </c>
      <c r="D709" s="238">
        <f>DSDV!W714</f>
        <v>0</v>
      </c>
    </row>
    <row r="710" spans="1:4">
      <c r="A710">
        <f>DSDV!B715</f>
        <v>0</v>
      </c>
      <c r="B710">
        <f>DSDV!G715</f>
        <v>0</v>
      </c>
      <c r="C710" s="237">
        <f>DSDV!K715</f>
        <v>0</v>
      </c>
      <c r="D710" s="238">
        <f>DSDV!W715</f>
        <v>0</v>
      </c>
    </row>
    <row r="711" spans="1:4">
      <c r="A711">
        <f>DSDV!B716</f>
        <v>0</v>
      </c>
      <c r="B711">
        <f>DSDV!G716</f>
        <v>0</v>
      </c>
      <c r="C711" s="237">
        <f>DSDV!K716</f>
        <v>0</v>
      </c>
      <c r="D711" s="238">
        <f>DSDV!W716</f>
        <v>0</v>
      </c>
    </row>
    <row r="712" spans="1:4">
      <c r="A712">
        <f>DSDV!B717</f>
        <v>0</v>
      </c>
      <c r="B712">
        <f>DSDV!G717</f>
        <v>0</v>
      </c>
      <c r="C712" s="237">
        <f>DSDV!K717</f>
        <v>0</v>
      </c>
      <c r="D712" s="238">
        <f>DSDV!W717</f>
        <v>0</v>
      </c>
    </row>
    <row r="713" spans="1:4">
      <c r="A713">
        <f>DSDV!B718</f>
        <v>0</v>
      </c>
      <c r="B713">
        <f>DSDV!G718</f>
        <v>0</v>
      </c>
      <c r="C713" s="237">
        <f>DSDV!K718</f>
        <v>0</v>
      </c>
      <c r="D713" s="238">
        <f>DSDV!W718</f>
        <v>0</v>
      </c>
    </row>
    <row r="714" spans="1:4">
      <c r="A714">
        <f>DSDV!B719</f>
        <v>0</v>
      </c>
      <c r="B714">
        <f>DSDV!G719</f>
        <v>0</v>
      </c>
      <c r="C714" s="237">
        <f>DSDV!K719</f>
        <v>0</v>
      </c>
      <c r="D714" s="238">
        <f>DSDV!W719</f>
        <v>0</v>
      </c>
    </row>
    <row r="715" spans="1:4">
      <c r="A715">
        <f>DSDV!B720</f>
        <v>0</v>
      </c>
      <c r="B715">
        <f>DSDV!G720</f>
        <v>0</v>
      </c>
      <c r="C715" s="237">
        <f>DSDV!K720</f>
        <v>0</v>
      </c>
      <c r="D715" s="238">
        <f>DSDV!W720</f>
        <v>0</v>
      </c>
    </row>
    <row r="716" spans="1:4">
      <c r="A716">
        <f>DSDV!B721</f>
        <v>0</v>
      </c>
      <c r="B716">
        <f>DSDV!G721</f>
        <v>0</v>
      </c>
      <c r="C716" s="237">
        <f>DSDV!K721</f>
        <v>0</v>
      </c>
      <c r="D716" s="238">
        <f>DSDV!W721</f>
        <v>0</v>
      </c>
    </row>
    <row r="717" spans="1:4">
      <c r="A717">
        <f>DSDV!B722</f>
        <v>0</v>
      </c>
      <c r="B717">
        <f>DSDV!G722</f>
        <v>0</v>
      </c>
      <c r="C717" s="237">
        <f>DSDV!K722</f>
        <v>0</v>
      </c>
      <c r="D717" s="238">
        <f>DSDV!W722</f>
        <v>0</v>
      </c>
    </row>
    <row r="718" spans="1:4">
      <c r="A718">
        <f>DSDV!B723</f>
        <v>0</v>
      </c>
      <c r="B718">
        <f>DSDV!G723</f>
        <v>0</v>
      </c>
      <c r="C718" s="237">
        <f>DSDV!K723</f>
        <v>0</v>
      </c>
      <c r="D718" s="238">
        <f>DSDV!W723</f>
        <v>0</v>
      </c>
    </row>
    <row r="719" spans="1:4">
      <c r="A719">
        <f>DSDV!B724</f>
        <v>0</v>
      </c>
      <c r="B719">
        <f>DSDV!G724</f>
        <v>0</v>
      </c>
      <c r="C719" s="237">
        <f>DSDV!K724</f>
        <v>0</v>
      </c>
      <c r="D719" s="238">
        <f>DSDV!W724</f>
        <v>0</v>
      </c>
    </row>
    <row r="720" spans="1:4">
      <c r="A720">
        <f>DSDV!B725</f>
        <v>0</v>
      </c>
      <c r="B720">
        <f>DSDV!G725</f>
        <v>0</v>
      </c>
      <c r="C720" s="237">
        <f>DSDV!K725</f>
        <v>0</v>
      </c>
      <c r="D720" s="238">
        <f>DSDV!W725</f>
        <v>0</v>
      </c>
    </row>
    <row r="721" spans="1:4">
      <c r="A721">
        <f>DSDV!B726</f>
        <v>0</v>
      </c>
      <c r="B721">
        <f>DSDV!G726</f>
        <v>0</v>
      </c>
      <c r="C721" s="237">
        <f>DSDV!K726</f>
        <v>0</v>
      </c>
      <c r="D721" s="238">
        <f>DSDV!W726</f>
        <v>0</v>
      </c>
    </row>
    <row r="722" spans="1:4">
      <c r="A722">
        <f>DSDV!B727</f>
        <v>0</v>
      </c>
      <c r="B722">
        <f>DSDV!G727</f>
        <v>0</v>
      </c>
      <c r="C722" s="237">
        <f>DSDV!K727</f>
        <v>0</v>
      </c>
      <c r="D722" s="238">
        <f>DSDV!W727</f>
        <v>0</v>
      </c>
    </row>
    <row r="723" spans="1:4">
      <c r="A723">
        <f>DSDV!B728</f>
        <v>0</v>
      </c>
      <c r="B723">
        <f>DSDV!G728</f>
        <v>0</v>
      </c>
      <c r="C723" s="237">
        <f>DSDV!K728</f>
        <v>0</v>
      </c>
      <c r="D723" s="238">
        <f>DSDV!W728</f>
        <v>0</v>
      </c>
    </row>
    <row r="724" spans="1:4">
      <c r="A724">
        <f>DSDV!B729</f>
        <v>0</v>
      </c>
      <c r="B724">
        <f>DSDV!G729</f>
        <v>0</v>
      </c>
      <c r="C724" s="237">
        <f>DSDV!K729</f>
        <v>0</v>
      </c>
      <c r="D724" s="238">
        <f>DSDV!W729</f>
        <v>0</v>
      </c>
    </row>
    <row r="725" spans="1:4">
      <c r="A725">
        <f>DSDV!B730</f>
        <v>0</v>
      </c>
      <c r="B725">
        <f>DSDV!G730</f>
        <v>0</v>
      </c>
      <c r="C725" s="237">
        <f>DSDV!K730</f>
        <v>0</v>
      </c>
      <c r="D725" s="238">
        <f>DSDV!W730</f>
        <v>0</v>
      </c>
    </row>
    <row r="726" spans="1:4">
      <c r="A726">
        <f>DSDV!B731</f>
        <v>0</v>
      </c>
      <c r="B726">
        <f>DSDV!G731</f>
        <v>0</v>
      </c>
      <c r="C726" s="237">
        <f>DSDV!K731</f>
        <v>0</v>
      </c>
      <c r="D726" s="238">
        <f>DSDV!W731</f>
        <v>0</v>
      </c>
    </row>
    <row r="727" spans="1:4">
      <c r="A727">
        <f>DSDV!B732</f>
        <v>0</v>
      </c>
      <c r="B727">
        <f>DSDV!G732</f>
        <v>0</v>
      </c>
      <c r="C727" s="237">
        <f>DSDV!K732</f>
        <v>0</v>
      </c>
      <c r="D727" s="238">
        <f>DSDV!W732</f>
        <v>0</v>
      </c>
    </row>
    <row r="728" spans="1:4">
      <c r="A728">
        <f>DSDV!B733</f>
        <v>0</v>
      </c>
      <c r="B728">
        <f>DSDV!G733</f>
        <v>0</v>
      </c>
      <c r="C728" s="237">
        <f>DSDV!K733</f>
        <v>0</v>
      </c>
      <c r="D728" s="238">
        <f>DSDV!W733</f>
        <v>0</v>
      </c>
    </row>
    <row r="729" spans="1:4">
      <c r="A729">
        <f>DSDV!B734</f>
        <v>0</v>
      </c>
      <c r="B729">
        <f>DSDV!G734</f>
        <v>0</v>
      </c>
      <c r="C729" s="237">
        <f>DSDV!K734</f>
        <v>0</v>
      </c>
      <c r="D729" s="238">
        <f>DSDV!W734</f>
        <v>0</v>
      </c>
    </row>
    <row r="730" spans="1:4">
      <c r="A730">
        <f>DSDV!B735</f>
        <v>0</v>
      </c>
      <c r="B730">
        <f>DSDV!G735</f>
        <v>0</v>
      </c>
      <c r="C730" s="237">
        <f>DSDV!K735</f>
        <v>0</v>
      </c>
      <c r="D730" s="238">
        <f>DSDV!W735</f>
        <v>0</v>
      </c>
    </row>
    <row r="731" spans="1:4">
      <c r="A731">
        <f>DSDV!B736</f>
        <v>0</v>
      </c>
      <c r="B731">
        <f>DSDV!G736</f>
        <v>0</v>
      </c>
      <c r="C731" s="237">
        <f>DSDV!K736</f>
        <v>0</v>
      </c>
      <c r="D731" s="238">
        <f>DSDV!W736</f>
        <v>0</v>
      </c>
    </row>
    <row r="732" spans="1:4">
      <c r="A732">
        <f>DSDV!B737</f>
        <v>0</v>
      </c>
      <c r="B732">
        <f>DSDV!G737</f>
        <v>0</v>
      </c>
      <c r="C732" s="237">
        <f>DSDV!K737</f>
        <v>0</v>
      </c>
      <c r="D732" s="238">
        <f>DSDV!W737</f>
        <v>0</v>
      </c>
    </row>
    <row r="733" spans="1:4">
      <c r="A733">
        <f>DSDV!B738</f>
        <v>0</v>
      </c>
      <c r="B733">
        <f>DSDV!G738</f>
        <v>0</v>
      </c>
      <c r="C733" s="237">
        <f>DSDV!K738</f>
        <v>0</v>
      </c>
      <c r="D733" s="238">
        <f>DSDV!W738</f>
        <v>0</v>
      </c>
    </row>
    <row r="734" spans="1:4">
      <c r="A734">
        <f>DSDV!B739</f>
        <v>0</v>
      </c>
      <c r="B734">
        <f>DSDV!G739</f>
        <v>0</v>
      </c>
      <c r="C734" s="237">
        <f>DSDV!K739</f>
        <v>0</v>
      </c>
      <c r="D734" s="238">
        <f>DSDV!W739</f>
        <v>0</v>
      </c>
    </row>
    <row r="735" spans="1:4">
      <c r="A735">
        <f>DSDV!B740</f>
        <v>0</v>
      </c>
      <c r="B735">
        <f>DSDV!G740</f>
        <v>0</v>
      </c>
      <c r="C735" s="237">
        <f>DSDV!K740</f>
        <v>0</v>
      </c>
      <c r="D735" s="238">
        <f>DSDV!W740</f>
        <v>0</v>
      </c>
    </row>
    <row r="736" spans="1:4">
      <c r="A736">
        <f>DSDV!B741</f>
        <v>0</v>
      </c>
      <c r="B736">
        <f>DSDV!G741</f>
        <v>0</v>
      </c>
      <c r="C736" s="237">
        <f>DSDV!K741</f>
        <v>0</v>
      </c>
      <c r="D736" s="238">
        <f>DSDV!W741</f>
        <v>0</v>
      </c>
    </row>
    <row r="737" spans="1:4">
      <c r="A737">
        <f>DSDV!B742</f>
        <v>0</v>
      </c>
      <c r="B737">
        <f>DSDV!G742</f>
        <v>0</v>
      </c>
      <c r="C737" s="237">
        <f>DSDV!K742</f>
        <v>0</v>
      </c>
      <c r="D737" s="238">
        <f>DSDV!W742</f>
        <v>0</v>
      </c>
    </row>
    <row r="738" spans="1:4">
      <c r="A738">
        <f>DSDV!B743</f>
        <v>0</v>
      </c>
      <c r="B738">
        <f>DSDV!G743</f>
        <v>0</v>
      </c>
      <c r="C738" s="237">
        <f>DSDV!K743</f>
        <v>0</v>
      </c>
      <c r="D738" s="238">
        <f>DSDV!W743</f>
        <v>0</v>
      </c>
    </row>
    <row r="739" spans="1:4">
      <c r="A739">
        <f>DSDV!B744</f>
        <v>0</v>
      </c>
      <c r="B739">
        <f>DSDV!G744</f>
        <v>0</v>
      </c>
      <c r="C739" s="237">
        <f>DSDV!K744</f>
        <v>0</v>
      </c>
      <c r="D739" s="238">
        <f>DSDV!W744</f>
        <v>0</v>
      </c>
    </row>
    <row r="740" spans="1:4">
      <c r="A740">
        <f>DSDV!B745</f>
        <v>0</v>
      </c>
      <c r="B740">
        <f>DSDV!G745</f>
        <v>0</v>
      </c>
      <c r="C740" s="237">
        <f>DSDV!K745</f>
        <v>0</v>
      </c>
      <c r="D740" s="238">
        <f>DSDV!W745</f>
        <v>0</v>
      </c>
    </row>
    <row r="741" spans="1:4">
      <c r="A741">
        <f>DSDV!B746</f>
        <v>0</v>
      </c>
      <c r="B741">
        <f>DSDV!G746</f>
        <v>0</v>
      </c>
      <c r="C741" s="237">
        <f>DSDV!K746</f>
        <v>0</v>
      </c>
      <c r="D741" s="238">
        <f>DSDV!W746</f>
        <v>0</v>
      </c>
    </row>
    <row r="742" spans="1:4">
      <c r="A742">
        <f>DSDV!B747</f>
        <v>0</v>
      </c>
      <c r="B742">
        <f>DSDV!G747</f>
        <v>0</v>
      </c>
      <c r="C742" s="237">
        <f>DSDV!K747</f>
        <v>0</v>
      </c>
      <c r="D742" s="238">
        <f>DSDV!W747</f>
        <v>0</v>
      </c>
    </row>
    <row r="743" spans="1:4">
      <c r="A743">
        <f>DSDV!B748</f>
        <v>0</v>
      </c>
      <c r="B743">
        <f>DSDV!G748</f>
        <v>0</v>
      </c>
      <c r="C743" s="237">
        <f>DSDV!K748</f>
        <v>0</v>
      </c>
      <c r="D743" s="238">
        <f>DSDV!W748</f>
        <v>0</v>
      </c>
    </row>
    <row r="744" spans="1:4">
      <c r="A744">
        <f>DSDV!B749</f>
        <v>0</v>
      </c>
      <c r="B744">
        <f>DSDV!G749</f>
        <v>0</v>
      </c>
      <c r="C744" s="237">
        <f>DSDV!K749</f>
        <v>0</v>
      </c>
      <c r="D744" s="238">
        <f>DSDV!W749</f>
        <v>0</v>
      </c>
    </row>
    <row r="745" spans="1:4">
      <c r="A745">
        <f>DSDV!B750</f>
        <v>0</v>
      </c>
      <c r="B745">
        <f>DSDV!G750</f>
        <v>0</v>
      </c>
      <c r="C745" s="237">
        <f>DSDV!K750</f>
        <v>0</v>
      </c>
      <c r="D745" s="238">
        <f>DSDV!W750</f>
        <v>0</v>
      </c>
    </row>
    <row r="746" spans="1:4">
      <c r="A746">
        <f>DSDV!B751</f>
        <v>0</v>
      </c>
      <c r="B746">
        <f>DSDV!G751</f>
        <v>0</v>
      </c>
      <c r="C746" s="237">
        <f>DSDV!K751</f>
        <v>0</v>
      </c>
      <c r="D746" s="238">
        <f>DSDV!W751</f>
        <v>0</v>
      </c>
    </row>
    <row r="747" spans="1:4">
      <c r="A747">
        <f>DSDV!B752</f>
        <v>0</v>
      </c>
      <c r="B747">
        <f>DSDV!G752</f>
        <v>0</v>
      </c>
      <c r="C747" s="237">
        <f>DSDV!K752</f>
        <v>0</v>
      </c>
      <c r="D747" s="238">
        <f>DSDV!W752</f>
        <v>0</v>
      </c>
    </row>
    <row r="748" spans="1:4">
      <c r="A748">
        <f>DSDV!B753</f>
        <v>0</v>
      </c>
      <c r="B748">
        <f>DSDV!G753</f>
        <v>0</v>
      </c>
      <c r="C748" s="237">
        <f>DSDV!K753</f>
        <v>0</v>
      </c>
      <c r="D748" s="238">
        <f>DSDV!W753</f>
        <v>0</v>
      </c>
    </row>
    <row r="749" spans="1:4">
      <c r="A749">
        <f>DSDV!B754</f>
        <v>0</v>
      </c>
      <c r="B749">
        <f>DSDV!G754</f>
        <v>0</v>
      </c>
      <c r="C749" s="237">
        <f>DSDV!K754</f>
        <v>0</v>
      </c>
      <c r="D749" s="238">
        <f>DSDV!W754</f>
        <v>0</v>
      </c>
    </row>
    <row r="750" spans="1:4">
      <c r="A750">
        <f>DSDV!B755</f>
        <v>0</v>
      </c>
      <c r="B750">
        <f>DSDV!G755</f>
        <v>0</v>
      </c>
      <c r="C750" s="237">
        <f>DSDV!K755</f>
        <v>0</v>
      </c>
      <c r="D750" s="238">
        <f>DSDV!W755</f>
        <v>0</v>
      </c>
    </row>
    <row r="751" spans="1:4">
      <c r="A751">
        <f>DSDV!B756</f>
        <v>0</v>
      </c>
      <c r="B751">
        <f>DSDV!G756</f>
        <v>0</v>
      </c>
      <c r="C751" s="237">
        <f>DSDV!K756</f>
        <v>0</v>
      </c>
      <c r="D751" s="238">
        <f>DSDV!W756</f>
        <v>0</v>
      </c>
    </row>
    <row r="752" spans="1:4">
      <c r="A752">
        <f>DSDV!B757</f>
        <v>0</v>
      </c>
      <c r="B752">
        <f>DSDV!G757</f>
        <v>0</v>
      </c>
      <c r="C752" s="237">
        <f>DSDV!K757</f>
        <v>0</v>
      </c>
      <c r="D752" s="238">
        <f>DSDV!W757</f>
        <v>0</v>
      </c>
    </row>
    <row r="753" spans="1:4">
      <c r="A753">
        <f>DSDV!B758</f>
        <v>0</v>
      </c>
      <c r="B753">
        <f>DSDV!G758</f>
        <v>0</v>
      </c>
      <c r="C753" s="237">
        <f>DSDV!K758</f>
        <v>0</v>
      </c>
      <c r="D753" s="238">
        <f>DSDV!W758</f>
        <v>0</v>
      </c>
    </row>
    <row r="754" spans="1:4">
      <c r="A754">
        <f>DSDV!B759</f>
        <v>0</v>
      </c>
      <c r="B754">
        <f>DSDV!G759</f>
        <v>0</v>
      </c>
      <c r="C754" s="237">
        <f>DSDV!K759</f>
        <v>0</v>
      </c>
      <c r="D754" s="238">
        <f>DSDV!W759</f>
        <v>0</v>
      </c>
    </row>
    <row r="755" spans="1:4">
      <c r="A755">
        <f>DSDV!B760</f>
        <v>0</v>
      </c>
      <c r="B755">
        <f>DSDV!G760</f>
        <v>0</v>
      </c>
      <c r="C755" s="237">
        <f>DSDV!K760</f>
        <v>0</v>
      </c>
      <c r="D755" s="238">
        <f>DSDV!W760</f>
        <v>0</v>
      </c>
    </row>
    <row r="756" spans="1:4">
      <c r="A756">
        <f>DSDV!B761</f>
        <v>0</v>
      </c>
      <c r="B756">
        <f>DSDV!G761</f>
        <v>0</v>
      </c>
      <c r="C756" s="237">
        <f>DSDV!K761</f>
        <v>0</v>
      </c>
      <c r="D756" s="238">
        <f>DSDV!W761</f>
        <v>0</v>
      </c>
    </row>
    <row r="757" spans="1:4">
      <c r="A757">
        <f>DSDV!B762</f>
        <v>0</v>
      </c>
      <c r="B757">
        <f>DSDV!G762</f>
        <v>0</v>
      </c>
      <c r="C757" s="237">
        <f>DSDV!K762</f>
        <v>0</v>
      </c>
      <c r="D757" s="238">
        <f>DSDV!W762</f>
        <v>0</v>
      </c>
    </row>
    <row r="758" spans="1:4">
      <c r="A758">
        <f>DSDV!B763</f>
        <v>0</v>
      </c>
      <c r="B758">
        <f>DSDV!G763</f>
        <v>0</v>
      </c>
      <c r="C758" s="237">
        <f>DSDV!K763</f>
        <v>0</v>
      </c>
      <c r="D758" s="238">
        <f>DSDV!W763</f>
        <v>0</v>
      </c>
    </row>
    <row r="759" spans="1:4">
      <c r="A759">
        <f>DSDV!B764</f>
        <v>0</v>
      </c>
      <c r="B759">
        <f>DSDV!G764</f>
        <v>0</v>
      </c>
      <c r="C759" s="237">
        <f>DSDV!K764</f>
        <v>0</v>
      </c>
      <c r="D759" s="238">
        <f>DSDV!W764</f>
        <v>0</v>
      </c>
    </row>
    <row r="760" spans="1:4">
      <c r="A760">
        <f>DSDV!B765</f>
        <v>0</v>
      </c>
      <c r="B760">
        <f>DSDV!G765</f>
        <v>0</v>
      </c>
      <c r="C760" s="237">
        <f>DSDV!K765</f>
        <v>0</v>
      </c>
      <c r="D760" s="238">
        <f>DSDV!W765</f>
        <v>0</v>
      </c>
    </row>
    <row r="761" spans="1:4">
      <c r="A761">
        <f>DSDV!B766</f>
        <v>0</v>
      </c>
      <c r="B761">
        <f>DSDV!G766</f>
        <v>0</v>
      </c>
      <c r="C761" s="237">
        <f>DSDV!K766</f>
        <v>0</v>
      </c>
      <c r="D761" s="238">
        <f>DSDV!W766</f>
        <v>0</v>
      </c>
    </row>
    <row r="762" spans="1:4">
      <c r="A762">
        <f>DSDV!B767</f>
        <v>0</v>
      </c>
      <c r="B762">
        <f>DSDV!G767</f>
        <v>0</v>
      </c>
      <c r="C762" s="237">
        <f>DSDV!K767</f>
        <v>0</v>
      </c>
      <c r="D762" s="238">
        <f>DSDV!W767</f>
        <v>0</v>
      </c>
    </row>
    <row r="763" spans="1:4">
      <c r="A763">
        <f>DSDV!B768</f>
        <v>0</v>
      </c>
      <c r="B763">
        <f>DSDV!G768</f>
        <v>0</v>
      </c>
      <c r="C763" s="237">
        <f>DSDV!K768</f>
        <v>0</v>
      </c>
      <c r="D763" s="238">
        <f>DSDV!W768</f>
        <v>0</v>
      </c>
    </row>
    <row r="764" spans="1:4">
      <c r="A764">
        <f>DSDV!B769</f>
        <v>0</v>
      </c>
      <c r="B764">
        <f>DSDV!G769</f>
        <v>0</v>
      </c>
      <c r="C764" s="237">
        <f>DSDV!K769</f>
        <v>0</v>
      </c>
      <c r="D764" s="238">
        <f>DSDV!W769</f>
        <v>0</v>
      </c>
    </row>
    <row r="765" spans="1:4">
      <c r="A765">
        <f>DSDV!B770</f>
        <v>0</v>
      </c>
      <c r="B765">
        <f>DSDV!G770</f>
        <v>0</v>
      </c>
      <c r="C765" s="237">
        <f>DSDV!K770</f>
        <v>0</v>
      </c>
      <c r="D765" s="238">
        <f>DSDV!W770</f>
        <v>0</v>
      </c>
    </row>
    <row r="766" spans="1:4">
      <c r="A766">
        <f>DSDV!B771</f>
        <v>0</v>
      </c>
      <c r="B766">
        <f>DSDV!G771</f>
        <v>0</v>
      </c>
      <c r="C766" s="237">
        <f>DSDV!K771</f>
        <v>0</v>
      </c>
      <c r="D766" s="238">
        <f>DSDV!W771</f>
        <v>0</v>
      </c>
    </row>
    <row r="767" spans="1:4">
      <c r="A767">
        <f>DSDV!B772</f>
        <v>0</v>
      </c>
      <c r="B767">
        <f>DSDV!G772</f>
        <v>0</v>
      </c>
      <c r="C767" s="237">
        <f>DSDV!K772</f>
        <v>0</v>
      </c>
      <c r="D767" s="238">
        <f>DSDV!W772</f>
        <v>0</v>
      </c>
    </row>
    <row r="768" spans="1:4">
      <c r="A768">
        <f>DSDV!B773</f>
        <v>0</v>
      </c>
      <c r="B768">
        <f>DSDV!G773</f>
        <v>0</v>
      </c>
      <c r="C768" s="237">
        <f>DSDV!K773</f>
        <v>0</v>
      </c>
      <c r="D768" s="238">
        <f>DSDV!W773</f>
        <v>0</v>
      </c>
    </row>
    <row r="769" spans="1:4">
      <c r="A769">
        <f>DSDV!B774</f>
        <v>0</v>
      </c>
      <c r="B769">
        <f>DSDV!G774</f>
        <v>0</v>
      </c>
      <c r="C769" s="237">
        <f>DSDV!K774</f>
        <v>0</v>
      </c>
      <c r="D769" s="238">
        <f>DSDV!W774</f>
        <v>0</v>
      </c>
    </row>
    <row r="770" spans="1:4">
      <c r="A770">
        <f>DSDV!B775</f>
        <v>0</v>
      </c>
      <c r="B770">
        <f>DSDV!G775</f>
        <v>0</v>
      </c>
      <c r="C770" s="237">
        <f>DSDV!K775</f>
        <v>0</v>
      </c>
      <c r="D770" s="238">
        <f>DSDV!W775</f>
        <v>0</v>
      </c>
    </row>
    <row r="771" spans="1:4">
      <c r="A771">
        <f>DSDV!B776</f>
        <v>0</v>
      </c>
      <c r="B771">
        <f>DSDV!G776</f>
        <v>0</v>
      </c>
      <c r="C771" s="237">
        <f>DSDV!K776</f>
        <v>0</v>
      </c>
      <c r="D771" s="238">
        <f>DSDV!W776</f>
        <v>0</v>
      </c>
    </row>
    <row r="772" spans="1:4">
      <c r="A772">
        <f>DSDV!B777</f>
        <v>0</v>
      </c>
      <c r="B772">
        <f>DSDV!G777</f>
        <v>0</v>
      </c>
      <c r="C772" s="237">
        <f>DSDV!K777</f>
        <v>0</v>
      </c>
      <c r="D772" s="238">
        <f>DSDV!W777</f>
        <v>0</v>
      </c>
    </row>
    <row r="773" spans="1:4">
      <c r="A773">
        <f>DSDV!B778</f>
        <v>0</v>
      </c>
      <c r="B773">
        <f>DSDV!G778</f>
        <v>0</v>
      </c>
      <c r="C773" s="237">
        <f>DSDV!K778</f>
        <v>0</v>
      </c>
      <c r="D773" s="238">
        <f>DSDV!W778</f>
        <v>0</v>
      </c>
    </row>
    <row r="774" spans="1:4">
      <c r="A774">
        <f>DSDV!B779</f>
        <v>0</v>
      </c>
      <c r="B774">
        <f>DSDV!G779</f>
        <v>0</v>
      </c>
      <c r="C774" s="237">
        <f>DSDV!K779</f>
        <v>0</v>
      </c>
      <c r="D774" s="238">
        <f>DSDV!W779</f>
        <v>0</v>
      </c>
    </row>
    <row r="775" spans="1:4">
      <c r="A775">
        <f>DSDV!B780</f>
        <v>0</v>
      </c>
      <c r="B775">
        <f>DSDV!G780</f>
        <v>0</v>
      </c>
      <c r="C775" s="237">
        <f>DSDV!K780</f>
        <v>0</v>
      </c>
      <c r="D775" s="238">
        <f>DSDV!W780</f>
        <v>0</v>
      </c>
    </row>
    <row r="776" spans="1:4">
      <c r="A776">
        <f>DSDV!B781</f>
        <v>0</v>
      </c>
      <c r="B776">
        <f>DSDV!G781</f>
        <v>0</v>
      </c>
      <c r="C776" s="237">
        <f>DSDV!K781</f>
        <v>0</v>
      </c>
      <c r="D776" s="238">
        <f>DSDV!W781</f>
        <v>0</v>
      </c>
    </row>
    <row r="777" spans="1:4">
      <c r="A777">
        <f>DSDV!B782</f>
        <v>0</v>
      </c>
      <c r="B777">
        <f>DSDV!G782</f>
        <v>0</v>
      </c>
      <c r="C777" s="237">
        <f>DSDV!K782</f>
        <v>0</v>
      </c>
      <c r="D777" s="238">
        <f>DSDV!W782</f>
        <v>0</v>
      </c>
    </row>
    <row r="778" spans="1:4">
      <c r="A778">
        <f>DSDV!B783</f>
        <v>0</v>
      </c>
      <c r="B778">
        <f>DSDV!G783</f>
        <v>0</v>
      </c>
      <c r="C778" s="237">
        <f>DSDV!K783</f>
        <v>0</v>
      </c>
      <c r="D778" s="238">
        <f>DSDV!W783</f>
        <v>0</v>
      </c>
    </row>
    <row r="779" spans="1:4">
      <c r="A779">
        <f>DSDV!B784</f>
        <v>0</v>
      </c>
      <c r="B779">
        <f>DSDV!G784</f>
        <v>0</v>
      </c>
      <c r="C779" s="237">
        <f>DSDV!K784</f>
        <v>0</v>
      </c>
      <c r="D779" s="238">
        <f>DSDV!W784</f>
        <v>0</v>
      </c>
    </row>
    <row r="780" spans="1:4">
      <c r="A780">
        <f>DSDV!B785</f>
        <v>0</v>
      </c>
      <c r="B780">
        <f>DSDV!G785</f>
        <v>0</v>
      </c>
      <c r="C780" s="237">
        <f>DSDV!K785</f>
        <v>0</v>
      </c>
      <c r="D780" s="238">
        <f>DSDV!W785</f>
        <v>0</v>
      </c>
    </row>
    <row r="781" spans="1:4">
      <c r="A781">
        <f>DSDV!B786</f>
        <v>0</v>
      </c>
      <c r="B781">
        <f>DSDV!G786</f>
        <v>0</v>
      </c>
      <c r="C781" s="237">
        <f>DSDV!K786</f>
        <v>0</v>
      </c>
      <c r="D781" s="238">
        <f>DSDV!W786</f>
        <v>0</v>
      </c>
    </row>
    <row r="782" spans="1:4">
      <c r="A782">
        <f>DSDV!B787</f>
        <v>0</v>
      </c>
      <c r="B782">
        <f>DSDV!G787</f>
        <v>0</v>
      </c>
      <c r="C782" s="237">
        <f>DSDV!K787</f>
        <v>0</v>
      </c>
      <c r="D782" s="238">
        <f>DSDV!W787</f>
        <v>0</v>
      </c>
    </row>
    <row r="783" spans="1:4">
      <c r="A783">
        <f>DSDV!B788</f>
        <v>0</v>
      </c>
      <c r="B783">
        <f>DSDV!G788</f>
        <v>0</v>
      </c>
      <c r="C783" s="237">
        <f>DSDV!K788</f>
        <v>0</v>
      </c>
      <c r="D783" s="238">
        <f>DSDV!W788</f>
        <v>0</v>
      </c>
    </row>
    <row r="784" spans="1:4">
      <c r="A784">
        <f>DSDV!B789</f>
        <v>0</v>
      </c>
      <c r="B784">
        <f>DSDV!G789</f>
        <v>0</v>
      </c>
      <c r="C784" s="237">
        <f>DSDV!K789</f>
        <v>0</v>
      </c>
      <c r="D784" s="238">
        <f>DSDV!W789</f>
        <v>0</v>
      </c>
    </row>
    <row r="785" spans="1:4">
      <c r="A785">
        <f>DSDV!B790</f>
        <v>0</v>
      </c>
      <c r="B785">
        <f>DSDV!G790</f>
        <v>0</v>
      </c>
      <c r="C785" s="237">
        <f>DSDV!K790</f>
        <v>0</v>
      </c>
      <c r="D785" s="238">
        <f>DSDV!W790</f>
        <v>0</v>
      </c>
    </row>
    <row r="786" spans="1:4">
      <c r="A786">
        <f>DSDV!B791</f>
        <v>0</v>
      </c>
      <c r="B786">
        <f>DSDV!G791</f>
        <v>0</v>
      </c>
      <c r="C786" s="237">
        <f>DSDV!K791</f>
        <v>0</v>
      </c>
      <c r="D786" s="238">
        <f>DSDV!W791</f>
        <v>0</v>
      </c>
    </row>
    <row r="787" spans="1:4">
      <c r="A787">
        <f>DSDV!B792</f>
        <v>0</v>
      </c>
      <c r="B787">
        <f>DSDV!G792</f>
        <v>0</v>
      </c>
      <c r="C787" s="237">
        <f>DSDV!K792</f>
        <v>0</v>
      </c>
      <c r="D787" s="238">
        <f>DSDV!W792</f>
        <v>0</v>
      </c>
    </row>
    <row r="788" spans="1:4">
      <c r="A788">
        <f>DSDV!B793</f>
        <v>0</v>
      </c>
      <c r="B788">
        <f>DSDV!G793</f>
        <v>0</v>
      </c>
      <c r="C788" s="237">
        <f>DSDV!K793</f>
        <v>0</v>
      </c>
      <c r="D788" s="238">
        <f>DSDV!W793</f>
        <v>0</v>
      </c>
    </row>
    <row r="789" spans="1:4">
      <c r="A789">
        <f>DSDV!B794</f>
        <v>0</v>
      </c>
      <c r="B789">
        <f>DSDV!G794</f>
        <v>0</v>
      </c>
      <c r="C789" s="237">
        <f>DSDV!K794</f>
        <v>0</v>
      </c>
      <c r="D789" s="238">
        <f>DSDV!W794</f>
        <v>0</v>
      </c>
    </row>
    <row r="790" spans="1:4">
      <c r="A790">
        <f>DSDV!B795</f>
        <v>0</v>
      </c>
      <c r="B790">
        <f>DSDV!G795</f>
        <v>0</v>
      </c>
      <c r="C790" s="237">
        <f>DSDV!K795</f>
        <v>0</v>
      </c>
      <c r="D790" s="238">
        <f>DSDV!W795</f>
        <v>0</v>
      </c>
    </row>
    <row r="791" spans="1:4">
      <c r="A791">
        <f>DSDV!B796</f>
        <v>0</v>
      </c>
      <c r="B791">
        <f>DSDV!G796</f>
        <v>0</v>
      </c>
      <c r="C791" s="237">
        <f>DSDV!K796</f>
        <v>0</v>
      </c>
      <c r="D791" s="238">
        <f>DSDV!W796</f>
        <v>0</v>
      </c>
    </row>
    <row r="792" spans="1:4">
      <c r="A792">
        <f>DSDV!B797</f>
        <v>0</v>
      </c>
      <c r="B792">
        <f>DSDV!G797</f>
        <v>0</v>
      </c>
      <c r="C792" s="237">
        <f>DSDV!K797</f>
        <v>0</v>
      </c>
      <c r="D792" s="238">
        <f>DSDV!W797</f>
        <v>0</v>
      </c>
    </row>
    <row r="793" spans="1:4">
      <c r="A793">
        <f>DSDV!B798</f>
        <v>0</v>
      </c>
      <c r="B793">
        <f>DSDV!G798</f>
        <v>0</v>
      </c>
      <c r="C793" s="237">
        <f>DSDV!K798</f>
        <v>0</v>
      </c>
      <c r="D793" s="238">
        <f>DSDV!W798</f>
        <v>0</v>
      </c>
    </row>
    <row r="794" spans="1:4">
      <c r="A794">
        <f>DSDV!B799</f>
        <v>0</v>
      </c>
      <c r="B794">
        <f>DSDV!G799</f>
        <v>0</v>
      </c>
      <c r="C794" s="237">
        <f>DSDV!K799</f>
        <v>0</v>
      </c>
      <c r="D794" s="238">
        <f>DSDV!W799</f>
        <v>0</v>
      </c>
    </row>
    <row r="795" spans="1:4">
      <c r="A795">
        <f>DSDV!B800</f>
        <v>0</v>
      </c>
      <c r="B795">
        <f>DSDV!G800</f>
        <v>0</v>
      </c>
      <c r="C795" s="237">
        <f>DSDV!K800</f>
        <v>0</v>
      </c>
      <c r="D795" s="238">
        <f>DSDV!W800</f>
        <v>0</v>
      </c>
    </row>
    <row r="796" spans="1:4">
      <c r="A796">
        <f>DSDV!B801</f>
        <v>0</v>
      </c>
      <c r="B796">
        <f>DSDV!G801</f>
        <v>0</v>
      </c>
      <c r="C796" s="237">
        <f>DSDV!K801</f>
        <v>0</v>
      </c>
      <c r="D796" s="238">
        <f>DSDV!W801</f>
        <v>0</v>
      </c>
    </row>
    <row r="797" spans="1:4">
      <c r="A797">
        <f>DSDV!B802</f>
        <v>0</v>
      </c>
      <c r="B797">
        <f>DSDV!G802</f>
        <v>0</v>
      </c>
      <c r="C797" s="237">
        <f>DSDV!K802</f>
        <v>0</v>
      </c>
      <c r="D797" s="238">
        <f>DSDV!W802</f>
        <v>0</v>
      </c>
    </row>
    <row r="798" spans="1:4">
      <c r="A798">
        <f>DSDV!B803</f>
        <v>0</v>
      </c>
      <c r="B798">
        <f>DSDV!G803</f>
        <v>0</v>
      </c>
      <c r="C798" s="237">
        <f>DSDV!K803</f>
        <v>0</v>
      </c>
      <c r="D798" s="238">
        <f>DSDV!W803</f>
        <v>0</v>
      </c>
    </row>
    <row r="799" spans="1:4">
      <c r="A799">
        <f>DSDV!B804</f>
        <v>0</v>
      </c>
      <c r="B799">
        <f>DSDV!G804</f>
        <v>0</v>
      </c>
      <c r="C799" s="237">
        <f>DSDV!K804</f>
        <v>0</v>
      </c>
      <c r="D799" s="238">
        <f>DSDV!W804</f>
        <v>0</v>
      </c>
    </row>
    <row r="800" spans="1:4">
      <c r="A800">
        <f>DSDV!B805</f>
        <v>0</v>
      </c>
      <c r="B800">
        <f>DSDV!G805</f>
        <v>0</v>
      </c>
      <c r="C800" s="237">
        <f>DSDV!K805</f>
        <v>0</v>
      </c>
      <c r="D800" s="238">
        <f>DSDV!W805</f>
        <v>0</v>
      </c>
    </row>
    <row r="801" spans="1:4">
      <c r="A801">
        <f>DSDV!B806</f>
        <v>0</v>
      </c>
      <c r="B801">
        <f>DSDV!G806</f>
        <v>0</v>
      </c>
      <c r="C801" s="237">
        <f>DSDV!K806</f>
        <v>0</v>
      </c>
      <c r="D801" s="238">
        <f>DSDV!W806</f>
        <v>0</v>
      </c>
    </row>
    <row r="802" spans="1:4">
      <c r="A802">
        <f>DSDV!B807</f>
        <v>0</v>
      </c>
      <c r="B802">
        <f>DSDV!G807</f>
        <v>0</v>
      </c>
      <c r="C802" s="237">
        <f>DSDV!K807</f>
        <v>0</v>
      </c>
      <c r="D802" s="238">
        <f>DSDV!W807</f>
        <v>0</v>
      </c>
    </row>
    <row r="803" spans="1:4">
      <c r="A803">
        <f>DSDV!B808</f>
        <v>0</v>
      </c>
      <c r="B803">
        <f>DSDV!G808</f>
        <v>0</v>
      </c>
      <c r="C803" s="237">
        <f>DSDV!K808</f>
        <v>0</v>
      </c>
      <c r="D803" s="238">
        <f>DSDV!W808</f>
        <v>0</v>
      </c>
    </row>
    <row r="804" spans="1:4">
      <c r="A804">
        <f>DSDV!B809</f>
        <v>0</v>
      </c>
      <c r="B804">
        <f>DSDV!G809</f>
        <v>0</v>
      </c>
      <c r="C804" s="237">
        <f>DSDV!K809</f>
        <v>0</v>
      </c>
      <c r="D804" s="238">
        <f>DSDV!W809</f>
        <v>0</v>
      </c>
    </row>
    <row r="805" spans="1:4">
      <c r="A805">
        <f>DSDV!B810</f>
        <v>0</v>
      </c>
      <c r="B805">
        <f>DSDV!G810</f>
        <v>0</v>
      </c>
      <c r="C805" s="237">
        <f>DSDV!K810</f>
        <v>0</v>
      </c>
      <c r="D805" s="238">
        <f>DSDV!W810</f>
        <v>0</v>
      </c>
    </row>
    <row r="806" spans="1:4">
      <c r="A806">
        <f>DSDV!B811</f>
        <v>0</v>
      </c>
      <c r="B806">
        <f>DSDV!G811</f>
        <v>0</v>
      </c>
      <c r="C806" s="237">
        <f>DSDV!K811</f>
        <v>0</v>
      </c>
      <c r="D806" s="238">
        <f>DSDV!W811</f>
        <v>0</v>
      </c>
    </row>
    <row r="807" spans="1:4">
      <c r="A807">
        <f>DSDV!B812</f>
        <v>0</v>
      </c>
      <c r="B807">
        <f>DSDV!G812</f>
        <v>0</v>
      </c>
      <c r="C807" s="237">
        <f>DSDV!K812</f>
        <v>0</v>
      </c>
      <c r="D807" s="238">
        <f>DSDV!W812</f>
        <v>0</v>
      </c>
    </row>
    <row r="808" spans="1:4">
      <c r="A808">
        <f>DSDV!B813</f>
        <v>0</v>
      </c>
      <c r="B808">
        <f>DSDV!G813</f>
        <v>0</v>
      </c>
      <c r="C808" s="237">
        <f>DSDV!K813</f>
        <v>0</v>
      </c>
      <c r="D808" s="238">
        <f>DSDV!W813</f>
        <v>0</v>
      </c>
    </row>
    <row r="809" spans="1:4">
      <c r="A809">
        <f>DSDV!B814</f>
        <v>0</v>
      </c>
      <c r="B809">
        <f>DSDV!G814</f>
        <v>0</v>
      </c>
      <c r="C809" s="237">
        <f>DSDV!K814</f>
        <v>0</v>
      </c>
      <c r="D809" s="238">
        <f>DSDV!W814</f>
        <v>0</v>
      </c>
    </row>
    <row r="810" spans="1:4">
      <c r="A810">
        <f>DSDV!B815</f>
        <v>0</v>
      </c>
      <c r="B810">
        <f>DSDV!G815</f>
        <v>0</v>
      </c>
      <c r="C810" s="237">
        <f>DSDV!K815</f>
        <v>0</v>
      </c>
      <c r="D810" s="238">
        <f>DSDV!W815</f>
        <v>0</v>
      </c>
    </row>
    <row r="811" spans="1:4">
      <c r="A811">
        <f>DSDV!B816</f>
        <v>0</v>
      </c>
      <c r="B811">
        <f>DSDV!G816</f>
        <v>0</v>
      </c>
      <c r="C811" s="237">
        <f>DSDV!K816</f>
        <v>0</v>
      </c>
      <c r="D811" s="238">
        <f>DSDV!W816</f>
        <v>0</v>
      </c>
    </row>
    <row r="812" spans="1:4">
      <c r="A812">
        <f>DSDV!B817</f>
        <v>0</v>
      </c>
      <c r="B812">
        <f>DSDV!G817</f>
        <v>0</v>
      </c>
      <c r="C812" s="237">
        <f>DSDV!K817</f>
        <v>0</v>
      </c>
      <c r="D812" s="238">
        <f>DSDV!W817</f>
        <v>0</v>
      </c>
    </row>
    <row r="813" spans="1:4">
      <c r="A813">
        <f>DSDV!B818</f>
        <v>0</v>
      </c>
      <c r="B813">
        <f>DSDV!G818</f>
        <v>0</v>
      </c>
      <c r="C813" s="237">
        <f>DSDV!K818</f>
        <v>0</v>
      </c>
      <c r="D813" s="238">
        <f>DSDV!W818</f>
        <v>0</v>
      </c>
    </row>
    <row r="814" spans="1:4">
      <c r="A814">
        <f>DSDV!B819</f>
        <v>0</v>
      </c>
      <c r="B814">
        <f>DSDV!G819</f>
        <v>0</v>
      </c>
      <c r="C814" s="237">
        <f>DSDV!K819</f>
        <v>0</v>
      </c>
      <c r="D814" s="238">
        <f>DSDV!W819</f>
        <v>0</v>
      </c>
    </row>
    <row r="815" spans="1:4">
      <c r="A815">
        <f>DSDV!B820</f>
        <v>0</v>
      </c>
      <c r="B815">
        <f>DSDV!G820</f>
        <v>0</v>
      </c>
      <c r="C815" s="237">
        <f>DSDV!K820</f>
        <v>0</v>
      </c>
      <c r="D815" s="238">
        <f>DSDV!W820</f>
        <v>0</v>
      </c>
    </row>
    <row r="816" spans="1:4">
      <c r="A816">
        <f>DSDV!B821</f>
        <v>0</v>
      </c>
      <c r="B816">
        <f>DSDV!G821</f>
        <v>0</v>
      </c>
      <c r="C816" s="237">
        <f>DSDV!K821</f>
        <v>0</v>
      </c>
      <c r="D816" s="238">
        <f>DSDV!W821</f>
        <v>0</v>
      </c>
    </row>
    <row r="817" spans="1:4">
      <c r="A817">
        <f>DSDV!B822</f>
        <v>0</v>
      </c>
      <c r="B817">
        <f>DSDV!G822</f>
        <v>0</v>
      </c>
      <c r="C817" s="237">
        <f>DSDV!K822</f>
        <v>0</v>
      </c>
      <c r="D817" s="238">
        <f>DSDV!W822</f>
        <v>0</v>
      </c>
    </row>
    <row r="818" spans="1:4">
      <c r="A818">
        <f>DSDV!B823</f>
        <v>0</v>
      </c>
      <c r="B818">
        <f>DSDV!G823</f>
        <v>0</v>
      </c>
      <c r="C818" s="237">
        <f>DSDV!K823</f>
        <v>0</v>
      </c>
      <c r="D818" s="238">
        <f>DSDV!W823</f>
        <v>0</v>
      </c>
    </row>
    <row r="819" spans="1:4">
      <c r="A819">
        <f>DSDV!B824</f>
        <v>0</v>
      </c>
      <c r="B819">
        <f>DSDV!G824</f>
        <v>0</v>
      </c>
      <c r="C819" s="237">
        <f>DSDV!K824</f>
        <v>0</v>
      </c>
      <c r="D819" s="238">
        <f>DSDV!W824</f>
        <v>0</v>
      </c>
    </row>
    <row r="820" spans="1:4">
      <c r="A820">
        <f>DSDV!B825</f>
        <v>0</v>
      </c>
      <c r="B820">
        <f>DSDV!G825</f>
        <v>0</v>
      </c>
      <c r="C820" s="237">
        <f>DSDV!K825</f>
        <v>0</v>
      </c>
      <c r="D820" s="238">
        <f>DSDV!W825</f>
        <v>0</v>
      </c>
    </row>
    <row r="821" spans="1:4">
      <c r="A821">
        <f>DSDV!B826</f>
        <v>0</v>
      </c>
      <c r="B821">
        <f>DSDV!G826</f>
        <v>0</v>
      </c>
      <c r="C821" s="237">
        <f>DSDV!K826</f>
        <v>0</v>
      </c>
      <c r="D821" s="238">
        <f>DSDV!W826</f>
        <v>0</v>
      </c>
    </row>
    <row r="822" spans="1:4">
      <c r="A822">
        <f>DSDV!B827</f>
        <v>0</v>
      </c>
      <c r="B822">
        <f>DSDV!G827</f>
        <v>0</v>
      </c>
      <c r="C822" s="237">
        <f>DSDV!K827</f>
        <v>0</v>
      </c>
      <c r="D822" s="238">
        <f>DSDV!W827</f>
        <v>0</v>
      </c>
    </row>
    <row r="823" spans="1:4">
      <c r="A823">
        <f>DSDV!B828</f>
        <v>0</v>
      </c>
      <c r="B823">
        <f>DSDV!G828</f>
        <v>0</v>
      </c>
      <c r="C823" s="237">
        <f>DSDV!K828</f>
        <v>0</v>
      </c>
      <c r="D823" s="238">
        <f>DSDV!W828</f>
        <v>0</v>
      </c>
    </row>
    <row r="824" spans="1:4">
      <c r="A824">
        <f>DSDV!B829</f>
        <v>0</v>
      </c>
      <c r="B824">
        <f>DSDV!G829</f>
        <v>0</v>
      </c>
      <c r="C824" s="237">
        <f>DSDV!K829</f>
        <v>0</v>
      </c>
      <c r="D824" s="238">
        <f>DSDV!W829</f>
        <v>0</v>
      </c>
    </row>
    <row r="825" spans="1:4">
      <c r="A825">
        <f>DSDV!B830</f>
        <v>0</v>
      </c>
      <c r="B825">
        <f>DSDV!G830</f>
        <v>0</v>
      </c>
      <c r="C825" s="237">
        <f>DSDV!K830</f>
        <v>0</v>
      </c>
      <c r="D825" s="238">
        <f>DSDV!W830</f>
        <v>0</v>
      </c>
    </row>
    <row r="826" spans="1:4">
      <c r="A826">
        <f>DSDV!B831</f>
        <v>0</v>
      </c>
      <c r="B826">
        <f>DSDV!G831</f>
        <v>0</v>
      </c>
      <c r="C826" s="237">
        <f>DSDV!K831</f>
        <v>0</v>
      </c>
      <c r="D826" s="238">
        <f>DSDV!W831</f>
        <v>0</v>
      </c>
    </row>
    <row r="827" spans="1:4">
      <c r="A827">
        <f>DSDV!B832</f>
        <v>0</v>
      </c>
      <c r="B827">
        <f>DSDV!G832</f>
        <v>0</v>
      </c>
      <c r="C827" s="237">
        <f>DSDV!K832</f>
        <v>0</v>
      </c>
      <c r="D827" s="238">
        <f>DSDV!W832</f>
        <v>0</v>
      </c>
    </row>
    <row r="828" spans="1:4">
      <c r="A828">
        <f>DSDV!B833</f>
        <v>0</v>
      </c>
      <c r="B828">
        <f>DSDV!G833</f>
        <v>0</v>
      </c>
      <c r="C828" s="237">
        <f>DSDV!K833</f>
        <v>0</v>
      </c>
      <c r="D828" s="238">
        <f>DSDV!W833</f>
        <v>0</v>
      </c>
    </row>
    <row r="829" spans="1:4">
      <c r="A829">
        <f>DSDV!B834</f>
        <v>0</v>
      </c>
      <c r="B829">
        <f>DSDV!G834</f>
        <v>0</v>
      </c>
      <c r="C829" s="237">
        <f>DSDV!K834</f>
        <v>0</v>
      </c>
      <c r="D829" s="238">
        <f>DSDV!W834</f>
        <v>0</v>
      </c>
    </row>
    <row r="830" spans="1:4">
      <c r="A830">
        <f>DSDV!B835</f>
        <v>0</v>
      </c>
      <c r="B830">
        <f>DSDV!G835</f>
        <v>0</v>
      </c>
      <c r="C830" s="237">
        <f>DSDV!K835</f>
        <v>0</v>
      </c>
      <c r="D830" s="238">
        <f>DSDV!W835</f>
        <v>0</v>
      </c>
    </row>
    <row r="831" spans="1:4">
      <c r="A831">
        <f>DSDV!B836</f>
        <v>0</v>
      </c>
      <c r="B831">
        <f>DSDV!G836</f>
        <v>0</v>
      </c>
      <c r="C831" s="237">
        <f>DSDV!K836</f>
        <v>0</v>
      </c>
      <c r="D831" s="238">
        <f>DSDV!W836</f>
        <v>0</v>
      </c>
    </row>
    <row r="832" spans="1:4">
      <c r="A832">
        <f>DSDV!B837</f>
        <v>0</v>
      </c>
      <c r="B832">
        <f>DSDV!G837</f>
        <v>0</v>
      </c>
      <c r="C832" s="237">
        <f>DSDV!K837</f>
        <v>0</v>
      </c>
      <c r="D832" s="238">
        <f>DSDV!W837</f>
        <v>0</v>
      </c>
    </row>
    <row r="833" spans="1:4">
      <c r="A833">
        <f>DSDV!B838</f>
        <v>0</v>
      </c>
      <c r="B833">
        <f>DSDV!G838</f>
        <v>0</v>
      </c>
      <c r="C833" s="237">
        <f>DSDV!K838</f>
        <v>0</v>
      </c>
      <c r="D833" s="238">
        <f>DSDV!W838</f>
        <v>0</v>
      </c>
    </row>
    <row r="834" spans="1:4">
      <c r="A834">
        <f>DSDV!B839</f>
        <v>0</v>
      </c>
      <c r="B834">
        <f>DSDV!G839</f>
        <v>0</v>
      </c>
      <c r="C834" s="237">
        <f>DSDV!K839</f>
        <v>0</v>
      </c>
      <c r="D834" s="238">
        <f>DSDV!W839</f>
        <v>0</v>
      </c>
    </row>
    <row r="835" spans="1:4">
      <c r="A835">
        <f>DSDV!B840</f>
        <v>0</v>
      </c>
      <c r="B835">
        <f>DSDV!G840</f>
        <v>0</v>
      </c>
      <c r="C835" s="237">
        <f>DSDV!K840</f>
        <v>0</v>
      </c>
      <c r="D835" s="238">
        <f>DSDV!W840</f>
        <v>0</v>
      </c>
    </row>
    <row r="836" spans="1:4">
      <c r="A836">
        <f>DSDV!B841</f>
        <v>0</v>
      </c>
      <c r="B836">
        <f>DSDV!G841</f>
        <v>0</v>
      </c>
      <c r="C836" s="237">
        <f>DSDV!K841</f>
        <v>0</v>
      </c>
      <c r="D836" s="238">
        <f>DSDV!W841</f>
        <v>0</v>
      </c>
    </row>
    <row r="837" spans="1:4">
      <c r="A837">
        <f>DSDV!B842</f>
        <v>0</v>
      </c>
      <c r="B837">
        <f>DSDV!G842</f>
        <v>0</v>
      </c>
      <c r="C837" s="237">
        <f>DSDV!K842</f>
        <v>0</v>
      </c>
      <c r="D837" s="238">
        <f>DSDV!W842</f>
        <v>0</v>
      </c>
    </row>
    <row r="838" spans="1:4">
      <c r="A838">
        <f>DSDV!B843</f>
        <v>0</v>
      </c>
      <c r="B838">
        <f>DSDV!G843</f>
        <v>0</v>
      </c>
      <c r="C838" s="237">
        <f>DSDV!K843</f>
        <v>0</v>
      </c>
      <c r="D838" s="238">
        <f>DSDV!W843</f>
        <v>0</v>
      </c>
    </row>
    <row r="839" spans="1:4">
      <c r="A839">
        <f>DSDV!B844</f>
        <v>0</v>
      </c>
      <c r="B839">
        <f>DSDV!G844</f>
        <v>0</v>
      </c>
      <c r="C839" s="237">
        <f>DSDV!K844</f>
        <v>0</v>
      </c>
      <c r="D839" s="238">
        <f>DSDV!W844</f>
        <v>0</v>
      </c>
    </row>
    <row r="840" spans="1:4">
      <c r="A840">
        <f>DSDV!B845</f>
        <v>0</v>
      </c>
      <c r="B840">
        <f>DSDV!G845</f>
        <v>0</v>
      </c>
      <c r="C840" s="237">
        <f>DSDV!K845</f>
        <v>0</v>
      </c>
      <c r="D840" s="238">
        <f>DSDV!W845</f>
        <v>0</v>
      </c>
    </row>
    <row r="841" spans="1:4">
      <c r="A841">
        <f>DSDV!B846</f>
        <v>0</v>
      </c>
      <c r="B841">
        <f>DSDV!G846</f>
        <v>0</v>
      </c>
      <c r="C841" s="237">
        <f>DSDV!K846</f>
        <v>0</v>
      </c>
      <c r="D841" s="238">
        <f>DSDV!W846</f>
        <v>0</v>
      </c>
    </row>
    <row r="842" spans="1:4">
      <c r="A842">
        <f>DSDV!B847</f>
        <v>0</v>
      </c>
      <c r="B842">
        <f>DSDV!G847</f>
        <v>0</v>
      </c>
      <c r="C842" s="237">
        <f>DSDV!K847</f>
        <v>0</v>
      </c>
      <c r="D842" s="238">
        <f>DSDV!W847</f>
        <v>0</v>
      </c>
    </row>
    <row r="843" spans="1:4">
      <c r="A843">
        <f>DSDV!B848</f>
        <v>0</v>
      </c>
      <c r="B843">
        <f>DSDV!G848</f>
        <v>0</v>
      </c>
      <c r="C843" s="237">
        <f>DSDV!K848</f>
        <v>0</v>
      </c>
      <c r="D843" s="238">
        <f>DSDV!W848</f>
        <v>0</v>
      </c>
    </row>
    <row r="844" spans="1:4">
      <c r="A844">
        <f>DSDV!B849</f>
        <v>0</v>
      </c>
      <c r="B844">
        <f>DSDV!G849</f>
        <v>0</v>
      </c>
      <c r="C844" s="237">
        <f>DSDV!K849</f>
        <v>0</v>
      </c>
      <c r="D844" s="238">
        <f>DSDV!W849</f>
        <v>0</v>
      </c>
    </row>
    <row r="845" spans="1:4">
      <c r="A845">
        <f>DSDV!B850</f>
        <v>0</v>
      </c>
      <c r="B845">
        <f>DSDV!G850</f>
        <v>0</v>
      </c>
      <c r="C845" s="237">
        <f>DSDV!K850</f>
        <v>0</v>
      </c>
      <c r="D845" s="238">
        <f>DSDV!W850</f>
        <v>0</v>
      </c>
    </row>
    <row r="846" spans="1:4">
      <c r="A846">
        <f>DSDV!B851</f>
        <v>0</v>
      </c>
      <c r="B846">
        <f>DSDV!G851</f>
        <v>0</v>
      </c>
      <c r="C846" s="237">
        <f>DSDV!K851</f>
        <v>0</v>
      </c>
      <c r="D846" s="238">
        <f>DSDV!W851</f>
        <v>0</v>
      </c>
    </row>
    <row r="847" spans="1:4">
      <c r="A847">
        <f>DSDV!B852</f>
        <v>0</v>
      </c>
      <c r="B847">
        <f>DSDV!G852</f>
        <v>0</v>
      </c>
      <c r="C847" s="237">
        <f>DSDV!K852</f>
        <v>0</v>
      </c>
      <c r="D847" s="238">
        <f>DSDV!W852</f>
        <v>0</v>
      </c>
    </row>
    <row r="848" spans="1:4">
      <c r="A848">
        <f>DSDV!B853</f>
        <v>0</v>
      </c>
      <c r="B848">
        <f>DSDV!G853</f>
        <v>0</v>
      </c>
      <c r="C848" s="237">
        <f>DSDV!K853</f>
        <v>0</v>
      </c>
      <c r="D848" s="238">
        <f>DSDV!W853</f>
        <v>0</v>
      </c>
    </row>
    <row r="849" spans="1:4">
      <c r="A849">
        <f>DSDV!B854</f>
        <v>0</v>
      </c>
      <c r="B849">
        <f>DSDV!G854</f>
        <v>0</v>
      </c>
      <c r="C849" s="237">
        <f>DSDV!K854</f>
        <v>0</v>
      </c>
      <c r="D849" s="238">
        <f>DSDV!W854</f>
        <v>0</v>
      </c>
    </row>
    <row r="850" spans="1:4">
      <c r="A850">
        <f>DSDV!B855</f>
        <v>0</v>
      </c>
      <c r="B850">
        <f>DSDV!G855</f>
        <v>0</v>
      </c>
      <c r="C850" s="237">
        <f>DSDV!K855</f>
        <v>0</v>
      </c>
      <c r="D850" s="238">
        <f>DSDV!W855</f>
        <v>0</v>
      </c>
    </row>
    <row r="851" spans="1:4">
      <c r="A851">
        <f>DSDV!B856</f>
        <v>0</v>
      </c>
      <c r="B851">
        <f>DSDV!G856</f>
        <v>0</v>
      </c>
      <c r="C851" s="237">
        <f>DSDV!K856</f>
        <v>0</v>
      </c>
      <c r="D851" s="238">
        <f>DSDV!W856</f>
        <v>0</v>
      </c>
    </row>
    <row r="852" spans="1:4">
      <c r="A852">
        <f>DSDV!B857</f>
        <v>0</v>
      </c>
      <c r="B852">
        <f>DSDV!G857</f>
        <v>0</v>
      </c>
      <c r="C852" s="237">
        <f>DSDV!K857</f>
        <v>0</v>
      </c>
      <c r="D852" s="238">
        <f>DSDV!W857</f>
        <v>0</v>
      </c>
    </row>
    <row r="853" spans="1:4">
      <c r="A853">
        <f>DSDV!B858</f>
        <v>0</v>
      </c>
      <c r="B853">
        <f>DSDV!G858</f>
        <v>0</v>
      </c>
      <c r="C853" s="237">
        <f>DSDV!K858</f>
        <v>0</v>
      </c>
      <c r="D853" s="238">
        <f>DSDV!W858</f>
        <v>0</v>
      </c>
    </row>
    <row r="854" spans="1:4">
      <c r="A854">
        <f>DSDV!B859</f>
        <v>0</v>
      </c>
      <c r="B854">
        <f>DSDV!G859</f>
        <v>0</v>
      </c>
      <c r="C854" s="237">
        <f>DSDV!K859</f>
        <v>0</v>
      </c>
      <c r="D854" s="238">
        <f>DSDV!W859</f>
        <v>0</v>
      </c>
    </row>
    <row r="855" spans="1:4">
      <c r="A855">
        <f>DSDV!B860</f>
        <v>0</v>
      </c>
      <c r="B855">
        <f>DSDV!G860</f>
        <v>0</v>
      </c>
      <c r="C855" s="237">
        <f>DSDV!K860</f>
        <v>0</v>
      </c>
      <c r="D855" s="238">
        <f>DSDV!W860</f>
        <v>0</v>
      </c>
    </row>
    <row r="856" spans="1:4">
      <c r="A856">
        <f>DSDV!B861</f>
        <v>0</v>
      </c>
      <c r="B856">
        <f>DSDV!G861</f>
        <v>0</v>
      </c>
      <c r="C856" s="237">
        <f>DSDV!K861</f>
        <v>0</v>
      </c>
      <c r="D856" s="238">
        <f>DSDV!W861</f>
        <v>0</v>
      </c>
    </row>
    <row r="857" spans="1:4">
      <c r="A857">
        <f>DSDV!B862</f>
        <v>0</v>
      </c>
      <c r="B857">
        <f>DSDV!G862</f>
        <v>0</v>
      </c>
      <c r="C857" s="237">
        <f>DSDV!K862</f>
        <v>0</v>
      </c>
      <c r="D857" s="238">
        <f>DSDV!W862</f>
        <v>0</v>
      </c>
    </row>
    <row r="858" spans="1:4">
      <c r="A858">
        <f>DSDV!B863</f>
        <v>0</v>
      </c>
      <c r="B858">
        <f>DSDV!G863</f>
        <v>0</v>
      </c>
      <c r="C858" s="237">
        <f>DSDV!K863</f>
        <v>0</v>
      </c>
      <c r="D858" s="238">
        <f>DSDV!W863</f>
        <v>0</v>
      </c>
    </row>
    <row r="859" spans="1:4">
      <c r="A859">
        <f>DSDV!B864</f>
        <v>0</v>
      </c>
      <c r="B859">
        <f>DSDV!G864</f>
        <v>0</v>
      </c>
      <c r="C859" s="237">
        <f>DSDV!K864</f>
        <v>0</v>
      </c>
      <c r="D859" s="238">
        <f>DSDV!W864</f>
        <v>0</v>
      </c>
    </row>
    <row r="860" spans="1:4">
      <c r="A860">
        <f>DSDV!B865</f>
        <v>0</v>
      </c>
      <c r="B860">
        <f>DSDV!G865</f>
        <v>0</v>
      </c>
      <c r="C860" s="237">
        <f>DSDV!K865</f>
        <v>0</v>
      </c>
      <c r="D860" s="238">
        <f>DSDV!W865</f>
        <v>0</v>
      </c>
    </row>
    <row r="861" spans="1:4">
      <c r="A861">
        <f>DSDV!B866</f>
        <v>0</v>
      </c>
      <c r="B861">
        <f>DSDV!G866</f>
        <v>0</v>
      </c>
      <c r="C861" s="237">
        <f>DSDV!K866</f>
        <v>0</v>
      </c>
      <c r="D861" s="238">
        <f>DSDV!W866</f>
        <v>0</v>
      </c>
    </row>
    <row r="862" spans="1:4">
      <c r="A862">
        <f>DSDV!B867</f>
        <v>0</v>
      </c>
      <c r="B862">
        <f>DSDV!G867</f>
        <v>0</v>
      </c>
      <c r="C862" s="237">
        <f>DSDV!K867</f>
        <v>0</v>
      </c>
      <c r="D862" s="238">
        <f>DSDV!W867</f>
        <v>0</v>
      </c>
    </row>
    <row r="863" spans="1:4">
      <c r="A863">
        <f>DSDV!B868</f>
        <v>0</v>
      </c>
      <c r="B863">
        <f>DSDV!G868</f>
        <v>0</v>
      </c>
      <c r="C863" s="237">
        <f>DSDV!K868</f>
        <v>0</v>
      </c>
      <c r="D863" s="238">
        <f>DSDV!W868</f>
        <v>0</v>
      </c>
    </row>
    <row r="864" spans="1:4">
      <c r="A864">
        <f>DSDV!B869</f>
        <v>0</v>
      </c>
      <c r="B864">
        <f>DSDV!G869</f>
        <v>0</v>
      </c>
      <c r="C864" s="237">
        <f>DSDV!K869</f>
        <v>0</v>
      </c>
      <c r="D864" s="238">
        <f>DSDV!W869</f>
        <v>0</v>
      </c>
    </row>
    <row r="865" spans="1:4">
      <c r="A865">
        <f>DSDV!B870</f>
        <v>0</v>
      </c>
      <c r="B865">
        <f>DSDV!G870</f>
        <v>0</v>
      </c>
      <c r="C865" s="237">
        <f>DSDV!K870</f>
        <v>0</v>
      </c>
      <c r="D865" s="238">
        <f>DSDV!W870</f>
        <v>0</v>
      </c>
    </row>
    <row r="866" spans="1:4">
      <c r="A866">
        <f>DSDV!B871</f>
        <v>0</v>
      </c>
      <c r="B866">
        <f>DSDV!G871</f>
        <v>0</v>
      </c>
      <c r="C866" s="237">
        <f>DSDV!K871</f>
        <v>0</v>
      </c>
      <c r="D866" s="238">
        <f>DSDV!W871</f>
        <v>0</v>
      </c>
    </row>
    <row r="867" spans="1:4">
      <c r="A867">
        <f>DSDV!B872</f>
        <v>0</v>
      </c>
      <c r="B867">
        <f>DSDV!G872</f>
        <v>0</v>
      </c>
      <c r="C867" s="237">
        <f>DSDV!K872</f>
        <v>0</v>
      </c>
      <c r="D867" s="238">
        <f>DSDV!W872</f>
        <v>0</v>
      </c>
    </row>
    <row r="868" spans="1:4">
      <c r="A868">
        <f>DSDV!B873</f>
        <v>0</v>
      </c>
      <c r="B868">
        <f>DSDV!G873</f>
        <v>0</v>
      </c>
      <c r="C868" s="237">
        <f>DSDV!K873</f>
        <v>0</v>
      </c>
      <c r="D868" s="238">
        <f>DSDV!W873</f>
        <v>0</v>
      </c>
    </row>
    <row r="869" spans="1:4">
      <c r="A869">
        <f>DSDV!B874</f>
        <v>0</v>
      </c>
      <c r="B869">
        <f>DSDV!G874</f>
        <v>0</v>
      </c>
      <c r="C869" s="237">
        <f>DSDV!K874</f>
        <v>0</v>
      </c>
      <c r="D869" s="238">
        <f>DSDV!W874</f>
        <v>0</v>
      </c>
    </row>
    <row r="870" spans="1:4">
      <c r="A870">
        <f>DSDV!B875</f>
        <v>0</v>
      </c>
      <c r="B870">
        <f>DSDV!G875</f>
        <v>0</v>
      </c>
      <c r="C870" s="237">
        <f>DSDV!K875</f>
        <v>0</v>
      </c>
      <c r="D870" s="238">
        <f>DSDV!W875</f>
        <v>0</v>
      </c>
    </row>
    <row r="871" spans="1:4">
      <c r="A871">
        <f>DSDV!B876</f>
        <v>0</v>
      </c>
      <c r="B871">
        <f>DSDV!G876</f>
        <v>0</v>
      </c>
      <c r="C871" s="237">
        <f>DSDV!K876</f>
        <v>0</v>
      </c>
      <c r="D871" s="238">
        <f>DSDV!W876</f>
        <v>0</v>
      </c>
    </row>
    <row r="872" spans="1:4">
      <c r="A872">
        <f>DSDV!B877</f>
        <v>0</v>
      </c>
      <c r="B872">
        <f>DSDV!G877</f>
        <v>0</v>
      </c>
      <c r="C872" s="237">
        <f>DSDV!K877</f>
        <v>0</v>
      </c>
      <c r="D872" s="238">
        <f>DSDV!W877</f>
        <v>0</v>
      </c>
    </row>
    <row r="873" spans="1:4">
      <c r="A873">
        <f>DSDV!B878</f>
        <v>0</v>
      </c>
      <c r="B873">
        <f>DSDV!G878</f>
        <v>0</v>
      </c>
      <c r="C873" s="237">
        <f>DSDV!K878</f>
        <v>0</v>
      </c>
      <c r="D873" s="238">
        <f>DSDV!W878</f>
        <v>0</v>
      </c>
    </row>
    <row r="874" spans="1:4">
      <c r="A874">
        <f>DSDV!B879</f>
        <v>0</v>
      </c>
      <c r="B874">
        <f>DSDV!G879</f>
        <v>0</v>
      </c>
      <c r="C874" s="237">
        <f>DSDV!K879</f>
        <v>0</v>
      </c>
      <c r="D874" s="238">
        <f>DSDV!W879</f>
        <v>0</v>
      </c>
    </row>
    <row r="875" spans="1:4">
      <c r="A875">
        <f>DSDV!B880</f>
        <v>0</v>
      </c>
      <c r="B875">
        <f>DSDV!G880</f>
        <v>0</v>
      </c>
      <c r="C875" s="237">
        <f>DSDV!K880</f>
        <v>0</v>
      </c>
      <c r="D875" s="238">
        <f>DSDV!W880</f>
        <v>0</v>
      </c>
    </row>
    <row r="876" spans="1:4">
      <c r="A876">
        <f>DSDV!B881</f>
        <v>0</v>
      </c>
      <c r="B876">
        <f>DSDV!G881</f>
        <v>0</v>
      </c>
      <c r="C876" s="237">
        <f>DSDV!K881</f>
        <v>0</v>
      </c>
      <c r="D876" s="238">
        <f>DSDV!W881</f>
        <v>0</v>
      </c>
    </row>
    <row r="877" spans="1:4">
      <c r="A877">
        <f>DSDV!B882</f>
        <v>0</v>
      </c>
      <c r="B877">
        <f>DSDV!G882</f>
        <v>0</v>
      </c>
      <c r="C877" s="237">
        <f>DSDV!K882</f>
        <v>0</v>
      </c>
      <c r="D877" s="238">
        <f>DSDV!W882</f>
        <v>0</v>
      </c>
    </row>
    <row r="878" spans="1:4">
      <c r="A878">
        <f>DSDV!B883</f>
        <v>0</v>
      </c>
      <c r="B878">
        <f>DSDV!G883</f>
        <v>0</v>
      </c>
      <c r="C878" s="237">
        <f>DSDV!K883</f>
        <v>0</v>
      </c>
      <c r="D878" s="238">
        <f>DSDV!W883</f>
        <v>0</v>
      </c>
    </row>
    <row r="879" spans="1:4">
      <c r="A879">
        <f>DSDV!B884</f>
        <v>0</v>
      </c>
      <c r="B879">
        <f>DSDV!G884</f>
        <v>0</v>
      </c>
      <c r="C879" s="237">
        <f>DSDV!K884</f>
        <v>0</v>
      </c>
      <c r="D879" s="238">
        <f>DSDV!W884</f>
        <v>0</v>
      </c>
    </row>
    <row r="880" spans="1:4">
      <c r="A880">
        <f>DSDV!B885</f>
        <v>0</v>
      </c>
      <c r="B880">
        <f>DSDV!G885</f>
        <v>0</v>
      </c>
      <c r="C880" s="237">
        <f>DSDV!K885</f>
        <v>0</v>
      </c>
      <c r="D880" s="238">
        <f>DSDV!W885</f>
        <v>0</v>
      </c>
    </row>
    <row r="881" spans="1:4">
      <c r="A881">
        <f>DSDV!B886</f>
        <v>0</v>
      </c>
      <c r="B881">
        <f>DSDV!G886</f>
        <v>0</v>
      </c>
      <c r="C881" s="237">
        <f>DSDV!K886</f>
        <v>0</v>
      </c>
      <c r="D881" s="238">
        <f>DSDV!W886</f>
        <v>0</v>
      </c>
    </row>
    <row r="882" spans="1:4">
      <c r="A882">
        <f>DSDV!B887</f>
        <v>0</v>
      </c>
      <c r="B882">
        <f>DSDV!G887</f>
        <v>0</v>
      </c>
      <c r="C882" s="237">
        <f>DSDV!K887</f>
        <v>0</v>
      </c>
      <c r="D882" s="238">
        <f>DSDV!W887</f>
        <v>0</v>
      </c>
    </row>
    <row r="883" spans="1:4">
      <c r="A883">
        <f>DSDV!B888</f>
        <v>0</v>
      </c>
      <c r="B883">
        <f>DSDV!G888</f>
        <v>0</v>
      </c>
      <c r="C883" s="237">
        <f>DSDV!K888</f>
        <v>0</v>
      </c>
      <c r="D883" s="238">
        <f>DSDV!W888</f>
        <v>0</v>
      </c>
    </row>
    <row r="884" spans="1:4">
      <c r="A884">
        <f>DSDV!B889</f>
        <v>0</v>
      </c>
      <c r="B884">
        <f>DSDV!G889</f>
        <v>0</v>
      </c>
      <c r="C884" s="237">
        <f>DSDV!K889</f>
        <v>0</v>
      </c>
      <c r="D884" s="238">
        <f>DSDV!W889</f>
        <v>0</v>
      </c>
    </row>
    <row r="885" spans="1:4">
      <c r="A885">
        <f>DSDV!B890</f>
        <v>0</v>
      </c>
      <c r="B885">
        <f>DSDV!G890</f>
        <v>0</v>
      </c>
      <c r="C885" s="237">
        <f>DSDV!K890</f>
        <v>0</v>
      </c>
      <c r="D885" s="238">
        <f>DSDV!W890</f>
        <v>0</v>
      </c>
    </row>
    <row r="886" spans="1:4">
      <c r="A886">
        <f>DSDV!B891</f>
        <v>0</v>
      </c>
      <c r="B886">
        <f>DSDV!G891</f>
        <v>0</v>
      </c>
      <c r="C886" s="237">
        <f>DSDV!K891</f>
        <v>0</v>
      </c>
      <c r="D886" s="238">
        <f>DSDV!W891</f>
        <v>0</v>
      </c>
    </row>
    <row r="887" spans="1:4">
      <c r="A887">
        <f>DSDV!B892</f>
        <v>0</v>
      </c>
      <c r="B887">
        <f>DSDV!G892</f>
        <v>0</v>
      </c>
      <c r="C887" s="237">
        <f>DSDV!K892</f>
        <v>0</v>
      </c>
      <c r="D887" s="238">
        <f>DSDV!W892</f>
        <v>0</v>
      </c>
    </row>
    <row r="888" spans="1:4">
      <c r="A888">
        <f>DSDV!B893</f>
        <v>0</v>
      </c>
      <c r="B888">
        <f>DSDV!G893</f>
        <v>0</v>
      </c>
      <c r="C888" s="237">
        <f>DSDV!K893</f>
        <v>0</v>
      </c>
      <c r="D888" s="238">
        <f>DSDV!W893</f>
        <v>0</v>
      </c>
    </row>
    <row r="889" spans="1:4">
      <c r="A889">
        <f>DSDV!B894</f>
        <v>0</v>
      </c>
      <c r="B889">
        <f>DSDV!G894</f>
        <v>0</v>
      </c>
      <c r="C889" s="237">
        <f>DSDV!K894</f>
        <v>0</v>
      </c>
      <c r="D889" s="238">
        <f>DSDV!W894</f>
        <v>0</v>
      </c>
    </row>
    <row r="890" spans="1:4">
      <c r="A890">
        <f>DSDV!B895</f>
        <v>0</v>
      </c>
      <c r="B890">
        <f>DSDV!G895</f>
        <v>0</v>
      </c>
      <c r="C890" s="237">
        <f>DSDV!K895</f>
        <v>0</v>
      </c>
      <c r="D890" s="238">
        <f>DSDV!W895</f>
        <v>0</v>
      </c>
    </row>
    <row r="891" spans="1:4">
      <c r="A891">
        <f>DSDV!B896</f>
        <v>0</v>
      </c>
      <c r="B891">
        <f>DSDV!G896</f>
        <v>0</v>
      </c>
      <c r="C891" s="237">
        <f>DSDV!K896</f>
        <v>0</v>
      </c>
      <c r="D891" s="238">
        <f>DSDV!W896</f>
        <v>0</v>
      </c>
    </row>
    <row r="892" spans="1:4">
      <c r="A892">
        <f>DSDV!B897</f>
        <v>0</v>
      </c>
      <c r="B892">
        <f>DSDV!G897</f>
        <v>0</v>
      </c>
      <c r="C892" s="237">
        <f>DSDV!K897</f>
        <v>0</v>
      </c>
      <c r="D892" s="238">
        <f>DSDV!W897</f>
        <v>0</v>
      </c>
    </row>
    <row r="893" spans="1:4">
      <c r="A893">
        <f>DSDV!B898</f>
        <v>0</v>
      </c>
      <c r="B893">
        <f>DSDV!G898</f>
        <v>0</v>
      </c>
      <c r="C893" s="237">
        <f>DSDV!K898</f>
        <v>0</v>
      </c>
      <c r="D893" s="238">
        <f>DSDV!W898</f>
        <v>0</v>
      </c>
    </row>
    <row r="894" spans="1:4">
      <c r="A894">
        <f>DSDV!B899</f>
        <v>0</v>
      </c>
      <c r="B894">
        <f>DSDV!G899</f>
        <v>0</v>
      </c>
      <c r="C894" s="237">
        <f>DSDV!K899</f>
        <v>0</v>
      </c>
      <c r="D894" s="238">
        <f>DSDV!W899</f>
        <v>0</v>
      </c>
    </row>
    <row r="895" spans="1:4">
      <c r="A895">
        <f>DSDV!B900</f>
        <v>0</v>
      </c>
      <c r="B895">
        <f>DSDV!G900</f>
        <v>0</v>
      </c>
      <c r="C895" s="237">
        <f>DSDV!K900</f>
        <v>0</v>
      </c>
      <c r="D895" s="238">
        <f>DSDV!W900</f>
        <v>0</v>
      </c>
    </row>
    <row r="896" spans="1:4">
      <c r="A896">
        <f>DSDV!B901</f>
        <v>0</v>
      </c>
      <c r="B896">
        <f>DSDV!G901</f>
        <v>0</v>
      </c>
      <c r="C896" s="237">
        <f>DSDV!K901</f>
        <v>0</v>
      </c>
      <c r="D896" s="238">
        <f>DSDV!W901</f>
        <v>0</v>
      </c>
    </row>
    <row r="897" spans="1:4">
      <c r="A897">
        <f>DSDV!B902</f>
        <v>0</v>
      </c>
      <c r="B897">
        <f>DSDV!G902</f>
        <v>0</v>
      </c>
      <c r="C897" s="237">
        <f>DSDV!K902</f>
        <v>0</v>
      </c>
      <c r="D897" s="238">
        <f>DSDV!W902</f>
        <v>0</v>
      </c>
    </row>
    <row r="898" spans="1:4">
      <c r="A898">
        <f>DSDV!B903</f>
        <v>0</v>
      </c>
      <c r="B898">
        <f>DSDV!G903</f>
        <v>0</v>
      </c>
      <c r="C898" s="237">
        <f>DSDV!K903</f>
        <v>0</v>
      </c>
      <c r="D898" s="238">
        <f>DSDV!W903</f>
        <v>0</v>
      </c>
    </row>
    <row r="899" spans="1:4">
      <c r="A899">
        <f>DSDV!B904</f>
        <v>0</v>
      </c>
      <c r="B899">
        <f>DSDV!G904</f>
        <v>0</v>
      </c>
      <c r="C899" s="237">
        <f>DSDV!K904</f>
        <v>0</v>
      </c>
      <c r="D899" s="238">
        <f>DSDV!W904</f>
        <v>0</v>
      </c>
    </row>
    <row r="900" spans="1:4">
      <c r="A900">
        <f>DSDV!B905</f>
        <v>0</v>
      </c>
      <c r="B900">
        <f>DSDV!G905</f>
        <v>0</v>
      </c>
      <c r="C900" s="237">
        <f>DSDV!K905</f>
        <v>0</v>
      </c>
      <c r="D900" s="238">
        <f>DSDV!W905</f>
        <v>0</v>
      </c>
    </row>
    <row r="901" spans="1:4">
      <c r="A901">
        <f>DSDV!B906</f>
        <v>0</v>
      </c>
      <c r="B901">
        <f>DSDV!G906</f>
        <v>0</v>
      </c>
      <c r="C901" s="237">
        <f>DSDV!K906</f>
        <v>0</v>
      </c>
      <c r="D901" s="238">
        <f>DSDV!W906</f>
        <v>0</v>
      </c>
    </row>
    <row r="902" spans="1:4">
      <c r="A902">
        <f>DSDV!B907</f>
        <v>0</v>
      </c>
      <c r="B902">
        <f>DSDV!G907</f>
        <v>0</v>
      </c>
      <c r="C902" s="237">
        <f>DSDV!K907</f>
        <v>0</v>
      </c>
      <c r="D902" s="238">
        <f>DSDV!W907</f>
        <v>0</v>
      </c>
    </row>
    <row r="903" spans="1:4">
      <c r="A903">
        <f>DSDV!B908</f>
        <v>0</v>
      </c>
      <c r="B903">
        <f>DSDV!G908</f>
        <v>0</v>
      </c>
      <c r="C903" s="237">
        <f>DSDV!K908</f>
        <v>0</v>
      </c>
      <c r="D903" s="238">
        <f>DSDV!W908</f>
        <v>0</v>
      </c>
    </row>
    <row r="904" spans="1:4">
      <c r="A904">
        <f>DSDV!B909</f>
        <v>0</v>
      </c>
      <c r="B904">
        <f>DSDV!G909</f>
        <v>0</v>
      </c>
      <c r="C904" s="237">
        <f>DSDV!K909</f>
        <v>0</v>
      </c>
      <c r="D904" s="238">
        <f>DSDV!W909</f>
        <v>0</v>
      </c>
    </row>
    <row r="905" spans="1:4">
      <c r="A905">
        <f>DSDV!B910</f>
        <v>0</v>
      </c>
      <c r="B905">
        <f>DSDV!G910</f>
        <v>0</v>
      </c>
      <c r="C905" s="237">
        <f>DSDV!K910</f>
        <v>0</v>
      </c>
      <c r="D905" s="238">
        <f>DSDV!W910</f>
        <v>0</v>
      </c>
    </row>
    <row r="906" spans="1:4">
      <c r="A906">
        <f>DSDV!B911</f>
        <v>0</v>
      </c>
      <c r="B906">
        <f>DSDV!G911</f>
        <v>0</v>
      </c>
      <c r="C906" s="237">
        <f>DSDV!K911</f>
        <v>0</v>
      </c>
      <c r="D906" s="238">
        <f>DSDV!W911</f>
        <v>0</v>
      </c>
    </row>
    <row r="907" spans="1:4">
      <c r="A907">
        <f>DSDV!B912</f>
        <v>0</v>
      </c>
      <c r="B907">
        <f>DSDV!G912</f>
        <v>0</v>
      </c>
      <c r="C907" s="237">
        <f>DSDV!K912</f>
        <v>0</v>
      </c>
      <c r="D907" s="238">
        <f>DSDV!W912</f>
        <v>0</v>
      </c>
    </row>
    <row r="908" spans="1:4">
      <c r="A908">
        <f>DSDV!B913</f>
        <v>0</v>
      </c>
      <c r="B908">
        <f>DSDV!G913</f>
        <v>0</v>
      </c>
      <c r="C908" s="237">
        <f>DSDV!K913</f>
        <v>0</v>
      </c>
      <c r="D908" s="238">
        <f>DSDV!W913</f>
        <v>0</v>
      </c>
    </row>
    <row r="909" spans="1:4">
      <c r="A909">
        <f>DSDV!B914</f>
        <v>0</v>
      </c>
      <c r="B909">
        <f>DSDV!G914</f>
        <v>0</v>
      </c>
      <c r="C909" s="237">
        <f>DSDV!K914</f>
        <v>0</v>
      </c>
      <c r="D909" s="238">
        <f>DSDV!W914</f>
        <v>0</v>
      </c>
    </row>
    <row r="910" spans="1:4">
      <c r="A910">
        <f>DSDV!B915</f>
        <v>0</v>
      </c>
      <c r="B910">
        <f>DSDV!G915</f>
        <v>0</v>
      </c>
      <c r="C910" s="237">
        <f>DSDV!K915</f>
        <v>0</v>
      </c>
      <c r="D910" s="238">
        <f>DSDV!W915</f>
        <v>0</v>
      </c>
    </row>
    <row r="911" spans="1:4">
      <c r="A911">
        <f>DSDV!B916</f>
        <v>0</v>
      </c>
      <c r="B911">
        <f>DSDV!G916</f>
        <v>0</v>
      </c>
      <c r="C911" s="237">
        <f>DSDV!K916</f>
        <v>0</v>
      </c>
      <c r="D911" s="238">
        <f>DSDV!W916</f>
        <v>0</v>
      </c>
    </row>
    <row r="912" spans="1:4">
      <c r="A912">
        <f>DSDV!B917</f>
        <v>0</v>
      </c>
      <c r="B912">
        <f>DSDV!G917</f>
        <v>0</v>
      </c>
      <c r="C912" s="237">
        <f>DSDV!K917</f>
        <v>0</v>
      </c>
      <c r="D912" s="238">
        <f>DSDV!W917</f>
        <v>0</v>
      </c>
    </row>
    <row r="913" spans="1:4">
      <c r="A913">
        <f>DSDV!B918</f>
        <v>0</v>
      </c>
      <c r="B913">
        <f>DSDV!G918</f>
        <v>0</v>
      </c>
      <c r="C913" s="237">
        <f>DSDV!K918</f>
        <v>0</v>
      </c>
      <c r="D913" s="238">
        <f>DSDV!W918</f>
        <v>0</v>
      </c>
    </row>
    <row r="914" spans="1:4">
      <c r="A914">
        <f>DSDV!B919</f>
        <v>0</v>
      </c>
      <c r="B914">
        <f>DSDV!G919</f>
        <v>0</v>
      </c>
      <c r="C914" s="237">
        <f>DSDV!K919</f>
        <v>0</v>
      </c>
      <c r="D914" s="238">
        <f>DSDV!W919</f>
        <v>0</v>
      </c>
    </row>
    <row r="915" spans="1:4">
      <c r="A915">
        <f>DSDV!B920</f>
        <v>0</v>
      </c>
      <c r="B915">
        <f>DSDV!G920</f>
        <v>0</v>
      </c>
      <c r="C915" s="237">
        <f>DSDV!K920</f>
        <v>0</v>
      </c>
      <c r="D915" s="238">
        <f>DSDV!W920</f>
        <v>0</v>
      </c>
    </row>
    <row r="916" spans="1:4">
      <c r="A916">
        <f>DSDV!B921</f>
        <v>0</v>
      </c>
      <c r="B916">
        <f>DSDV!G921</f>
        <v>0</v>
      </c>
      <c r="C916" s="237">
        <f>DSDV!K921</f>
        <v>0</v>
      </c>
      <c r="D916" s="238">
        <f>DSDV!W921</f>
        <v>0</v>
      </c>
    </row>
    <row r="917" spans="1:4">
      <c r="A917">
        <f>DSDV!B922</f>
        <v>0</v>
      </c>
      <c r="B917">
        <f>DSDV!G922</f>
        <v>0</v>
      </c>
      <c r="C917" s="237">
        <f>DSDV!K922</f>
        <v>0</v>
      </c>
      <c r="D917" s="238">
        <f>DSDV!W922</f>
        <v>0</v>
      </c>
    </row>
    <row r="918" spans="1:4">
      <c r="A918">
        <f>DSDV!B923</f>
        <v>0</v>
      </c>
      <c r="B918">
        <f>DSDV!G923</f>
        <v>0</v>
      </c>
      <c r="C918" s="237">
        <f>DSDV!K923</f>
        <v>0</v>
      </c>
      <c r="D918" s="238">
        <f>DSDV!W923</f>
        <v>0</v>
      </c>
    </row>
    <row r="919" spans="1:4">
      <c r="A919">
        <f>DSDV!B924</f>
        <v>0</v>
      </c>
      <c r="B919">
        <f>DSDV!G924</f>
        <v>0</v>
      </c>
      <c r="C919" s="237">
        <f>DSDV!K924</f>
        <v>0</v>
      </c>
      <c r="D919" s="238">
        <f>DSDV!W924</f>
        <v>0</v>
      </c>
    </row>
    <row r="920" spans="1:4">
      <c r="A920">
        <f>DSDV!B925</f>
        <v>0</v>
      </c>
      <c r="B920">
        <f>DSDV!G925</f>
        <v>0</v>
      </c>
      <c r="C920" s="237">
        <f>DSDV!K925</f>
        <v>0</v>
      </c>
      <c r="D920" s="238">
        <f>DSDV!W925</f>
        <v>0</v>
      </c>
    </row>
    <row r="921" spans="1:4">
      <c r="A921">
        <f>DSDV!B926</f>
        <v>0</v>
      </c>
      <c r="B921">
        <f>DSDV!G926</f>
        <v>0</v>
      </c>
      <c r="C921" s="237">
        <f>DSDV!K926</f>
        <v>0</v>
      </c>
      <c r="D921" s="238">
        <f>DSDV!W926</f>
        <v>0</v>
      </c>
    </row>
    <row r="922" spans="1:4">
      <c r="A922">
        <f>DSDV!B927</f>
        <v>0</v>
      </c>
      <c r="B922">
        <f>DSDV!G927</f>
        <v>0</v>
      </c>
      <c r="C922" s="237">
        <f>DSDV!K927</f>
        <v>0</v>
      </c>
      <c r="D922" s="238">
        <f>DSDV!W927</f>
        <v>0</v>
      </c>
    </row>
    <row r="923" spans="1:4">
      <c r="A923">
        <f>DSDV!B928</f>
        <v>0</v>
      </c>
      <c r="B923">
        <f>DSDV!G928</f>
        <v>0</v>
      </c>
      <c r="C923" s="237">
        <f>DSDV!K928</f>
        <v>0</v>
      </c>
      <c r="D923" s="238">
        <f>DSDV!W928</f>
        <v>0</v>
      </c>
    </row>
    <row r="924" spans="1:4">
      <c r="A924">
        <f>DSDV!B929</f>
        <v>0</v>
      </c>
      <c r="B924">
        <f>DSDV!G929</f>
        <v>0</v>
      </c>
      <c r="C924" s="237">
        <f>DSDV!K929</f>
        <v>0</v>
      </c>
      <c r="D924" s="238">
        <f>DSDV!W929</f>
        <v>0</v>
      </c>
    </row>
    <row r="925" spans="1:4">
      <c r="A925">
        <f>DSDV!B930</f>
        <v>0</v>
      </c>
      <c r="B925">
        <f>DSDV!G930</f>
        <v>0</v>
      </c>
      <c r="C925" s="237">
        <f>DSDV!K930</f>
        <v>0</v>
      </c>
      <c r="D925" s="238">
        <f>DSDV!W930</f>
        <v>0</v>
      </c>
    </row>
    <row r="926" spans="1:4">
      <c r="A926">
        <f>DSDV!B931</f>
        <v>0</v>
      </c>
      <c r="B926">
        <f>DSDV!G931</f>
        <v>0</v>
      </c>
      <c r="C926" s="237">
        <f>DSDV!K931</f>
        <v>0</v>
      </c>
      <c r="D926" s="238">
        <f>DSDV!W931</f>
        <v>0</v>
      </c>
    </row>
    <row r="927" spans="1:4">
      <c r="A927">
        <f>DSDV!B932</f>
        <v>0</v>
      </c>
      <c r="B927">
        <f>DSDV!G932</f>
        <v>0</v>
      </c>
      <c r="C927" s="237">
        <f>DSDV!K932</f>
        <v>0</v>
      </c>
      <c r="D927" s="238">
        <f>DSDV!W932</f>
        <v>0</v>
      </c>
    </row>
    <row r="928" spans="1:4">
      <c r="A928">
        <f>DSDV!B933</f>
        <v>0</v>
      </c>
      <c r="B928">
        <f>DSDV!G933</f>
        <v>0</v>
      </c>
      <c r="C928" s="237">
        <f>DSDV!K933</f>
        <v>0</v>
      </c>
      <c r="D928" s="238">
        <f>DSDV!W933</f>
        <v>0</v>
      </c>
    </row>
    <row r="929" spans="1:4">
      <c r="A929">
        <f>DSDV!B934</f>
        <v>0</v>
      </c>
      <c r="B929">
        <f>DSDV!G934</f>
        <v>0</v>
      </c>
      <c r="C929" s="237">
        <f>DSDV!K934</f>
        <v>0</v>
      </c>
      <c r="D929" s="238">
        <f>DSDV!W934</f>
        <v>0</v>
      </c>
    </row>
    <row r="930" spans="1:4">
      <c r="A930">
        <f>DSDV!B935</f>
        <v>0</v>
      </c>
      <c r="B930">
        <f>DSDV!G935</f>
        <v>0</v>
      </c>
      <c r="C930" s="237">
        <f>DSDV!K935</f>
        <v>0</v>
      </c>
      <c r="D930" s="238">
        <f>DSDV!W935</f>
        <v>0</v>
      </c>
    </row>
    <row r="931" spans="1:4">
      <c r="A931">
        <f>DSDV!B936</f>
        <v>0</v>
      </c>
      <c r="B931">
        <f>DSDV!G936</f>
        <v>0</v>
      </c>
      <c r="C931" s="237">
        <f>DSDV!K936</f>
        <v>0</v>
      </c>
      <c r="D931" s="238">
        <f>DSDV!W936</f>
        <v>0</v>
      </c>
    </row>
    <row r="932" spans="1:4">
      <c r="A932">
        <f>DSDV!B937</f>
        <v>0</v>
      </c>
      <c r="B932">
        <f>DSDV!G937</f>
        <v>0</v>
      </c>
      <c r="C932" s="237">
        <f>DSDV!K937</f>
        <v>0</v>
      </c>
      <c r="D932" s="238">
        <f>DSDV!W937</f>
        <v>0</v>
      </c>
    </row>
    <row r="933" spans="1:4">
      <c r="A933">
        <f>DSDV!B938</f>
        <v>0</v>
      </c>
      <c r="B933">
        <f>DSDV!G938</f>
        <v>0</v>
      </c>
      <c r="C933" s="237">
        <f>DSDV!K938</f>
        <v>0</v>
      </c>
      <c r="D933" s="238">
        <f>DSDV!W938</f>
        <v>0</v>
      </c>
    </row>
    <row r="934" spans="1:4">
      <c r="A934">
        <f>DSDV!B939</f>
        <v>0</v>
      </c>
      <c r="B934">
        <f>DSDV!G939</f>
        <v>0</v>
      </c>
      <c r="C934" s="237">
        <f>DSDV!K939</f>
        <v>0</v>
      </c>
      <c r="D934" s="238">
        <f>DSDV!W939</f>
        <v>0</v>
      </c>
    </row>
    <row r="935" spans="1:4">
      <c r="A935">
        <f>DSDV!B940</f>
        <v>0</v>
      </c>
      <c r="B935">
        <f>DSDV!G940</f>
        <v>0</v>
      </c>
      <c r="C935" s="237">
        <f>DSDV!K940</f>
        <v>0</v>
      </c>
      <c r="D935" s="238">
        <f>DSDV!W940</f>
        <v>0</v>
      </c>
    </row>
    <row r="936" spans="1:4">
      <c r="A936">
        <f>DSDV!B941</f>
        <v>0</v>
      </c>
      <c r="B936">
        <f>DSDV!G941</f>
        <v>0</v>
      </c>
      <c r="C936" s="237">
        <f>DSDV!K941</f>
        <v>0</v>
      </c>
      <c r="D936" s="238">
        <f>DSDV!W941</f>
        <v>0</v>
      </c>
    </row>
    <row r="937" spans="1:4">
      <c r="A937">
        <f>DSDV!B942</f>
        <v>0</v>
      </c>
      <c r="B937">
        <f>DSDV!G942</f>
        <v>0</v>
      </c>
      <c r="C937" s="237">
        <f>DSDV!K942</f>
        <v>0</v>
      </c>
      <c r="D937" s="238">
        <f>DSDV!W942</f>
        <v>0</v>
      </c>
    </row>
    <row r="938" spans="1:4">
      <c r="A938">
        <f>DSDV!B943</f>
        <v>0</v>
      </c>
      <c r="B938">
        <f>DSDV!G943</f>
        <v>0</v>
      </c>
      <c r="C938" s="237">
        <f>DSDV!K943</f>
        <v>0</v>
      </c>
      <c r="D938" s="238">
        <f>DSDV!W943</f>
        <v>0</v>
      </c>
    </row>
    <row r="939" spans="1:4">
      <c r="A939">
        <f>DSDV!B944</f>
        <v>0</v>
      </c>
      <c r="B939">
        <f>DSDV!G944</f>
        <v>0</v>
      </c>
      <c r="C939" s="237">
        <f>DSDV!K944</f>
        <v>0</v>
      </c>
      <c r="D939" s="238">
        <f>DSDV!W944</f>
        <v>0</v>
      </c>
    </row>
    <row r="940" spans="1:4">
      <c r="A940">
        <f>DSDV!B945</f>
        <v>0</v>
      </c>
      <c r="B940">
        <f>DSDV!G945</f>
        <v>0</v>
      </c>
      <c r="C940" s="237">
        <f>DSDV!K945</f>
        <v>0</v>
      </c>
      <c r="D940" s="238">
        <f>DSDV!W945</f>
        <v>0</v>
      </c>
    </row>
    <row r="941" spans="1:4">
      <c r="A941">
        <f>DSDV!B946</f>
        <v>0</v>
      </c>
      <c r="B941">
        <f>DSDV!G946</f>
        <v>0</v>
      </c>
      <c r="C941" s="237">
        <f>DSDV!K946</f>
        <v>0</v>
      </c>
      <c r="D941" s="238">
        <f>DSDV!W946</f>
        <v>0</v>
      </c>
    </row>
    <row r="942" spans="1:4">
      <c r="A942">
        <f>DSDV!B947</f>
        <v>0</v>
      </c>
      <c r="B942">
        <f>DSDV!G947</f>
        <v>0</v>
      </c>
      <c r="C942" s="237">
        <f>DSDV!K947</f>
        <v>0</v>
      </c>
      <c r="D942" s="238">
        <f>DSDV!W947</f>
        <v>0</v>
      </c>
    </row>
    <row r="943" spans="1:4">
      <c r="A943">
        <f>DSDV!B948</f>
        <v>0</v>
      </c>
      <c r="B943">
        <f>DSDV!G948</f>
        <v>0</v>
      </c>
      <c r="C943" s="237">
        <f>DSDV!K948</f>
        <v>0</v>
      </c>
      <c r="D943" s="238">
        <f>DSDV!W948</f>
        <v>0</v>
      </c>
    </row>
    <row r="944" spans="1:4">
      <c r="A944">
        <f>DSDV!B949</f>
        <v>0</v>
      </c>
      <c r="B944">
        <f>DSDV!G949</f>
        <v>0</v>
      </c>
      <c r="C944" s="237">
        <f>DSDV!K949</f>
        <v>0</v>
      </c>
      <c r="D944" s="238">
        <f>DSDV!W949</f>
        <v>0</v>
      </c>
    </row>
    <row r="945" spans="1:4">
      <c r="A945">
        <f>DSDV!B950</f>
        <v>0</v>
      </c>
      <c r="B945">
        <f>DSDV!G950</f>
        <v>0</v>
      </c>
      <c r="C945" s="237">
        <f>DSDV!K950</f>
        <v>0</v>
      </c>
      <c r="D945" s="238">
        <f>DSDV!W950</f>
        <v>0</v>
      </c>
    </row>
    <row r="946" spans="1:4">
      <c r="A946">
        <f>DSDV!B951</f>
        <v>0</v>
      </c>
      <c r="B946">
        <f>DSDV!G951</f>
        <v>0</v>
      </c>
      <c r="C946" s="237">
        <f>DSDV!K951</f>
        <v>0</v>
      </c>
      <c r="D946" s="238">
        <f>DSDV!W951</f>
        <v>0</v>
      </c>
    </row>
    <row r="947" spans="1:4">
      <c r="A947">
        <f>DSDV!B952</f>
        <v>0</v>
      </c>
      <c r="B947">
        <f>DSDV!G952</f>
        <v>0</v>
      </c>
      <c r="C947" s="237">
        <f>DSDV!K952</f>
        <v>0</v>
      </c>
      <c r="D947" s="238">
        <f>DSDV!W952</f>
        <v>0</v>
      </c>
    </row>
    <row r="948" spans="1:4">
      <c r="A948">
        <f>DSDV!B953</f>
        <v>0</v>
      </c>
      <c r="B948">
        <f>DSDV!G953</f>
        <v>0</v>
      </c>
      <c r="C948" s="237">
        <f>DSDV!K953</f>
        <v>0</v>
      </c>
      <c r="D948" s="238">
        <f>DSDV!W953</f>
        <v>0</v>
      </c>
    </row>
    <row r="949" spans="1:4">
      <c r="A949">
        <f>DSDV!B954</f>
        <v>0</v>
      </c>
      <c r="B949">
        <f>DSDV!G954</f>
        <v>0</v>
      </c>
      <c r="C949" s="237">
        <f>DSDV!K954</f>
        <v>0</v>
      </c>
      <c r="D949" s="238">
        <f>DSDV!W954</f>
        <v>0</v>
      </c>
    </row>
    <row r="950" spans="1:4">
      <c r="A950">
        <f>DSDV!B955</f>
        <v>0</v>
      </c>
      <c r="B950">
        <f>DSDV!G955</f>
        <v>0</v>
      </c>
      <c r="C950" s="237">
        <f>DSDV!K955</f>
        <v>0</v>
      </c>
      <c r="D950" s="238">
        <f>DSDV!W955</f>
        <v>0</v>
      </c>
    </row>
    <row r="951" spans="1:4">
      <c r="A951">
        <f>DSDV!B956</f>
        <v>0</v>
      </c>
      <c r="B951">
        <f>DSDV!G956</f>
        <v>0</v>
      </c>
      <c r="C951" s="237">
        <f>DSDV!K956</f>
        <v>0</v>
      </c>
      <c r="D951" s="238">
        <f>DSDV!W956</f>
        <v>0</v>
      </c>
    </row>
    <row r="952" spans="1:4">
      <c r="A952">
        <f>DSDV!B957</f>
        <v>0</v>
      </c>
      <c r="B952">
        <f>DSDV!G957</f>
        <v>0</v>
      </c>
      <c r="C952" s="237">
        <f>DSDV!K957</f>
        <v>0</v>
      </c>
      <c r="D952" s="238">
        <f>DSDV!W957</f>
        <v>0</v>
      </c>
    </row>
    <row r="953" spans="1:4">
      <c r="A953">
        <f>DSDV!B958</f>
        <v>0</v>
      </c>
      <c r="B953">
        <f>DSDV!G958</f>
        <v>0</v>
      </c>
      <c r="C953" s="237">
        <f>DSDV!K958</f>
        <v>0</v>
      </c>
      <c r="D953" s="238">
        <f>DSDV!W958</f>
        <v>0</v>
      </c>
    </row>
    <row r="954" spans="1:4">
      <c r="A954">
        <f>DSDV!B959</f>
        <v>0</v>
      </c>
      <c r="B954">
        <f>DSDV!G959</f>
        <v>0</v>
      </c>
      <c r="C954" s="237">
        <f>DSDV!K959</f>
        <v>0</v>
      </c>
      <c r="D954" s="238">
        <f>DSDV!W959</f>
        <v>0</v>
      </c>
    </row>
    <row r="955" spans="1:4">
      <c r="A955">
        <f>DSDV!B960</f>
        <v>0</v>
      </c>
      <c r="B955">
        <f>DSDV!G960</f>
        <v>0</v>
      </c>
      <c r="C955" s="237">
        <f>DSDV!K960</f>
        <v>0</v>
      </c>
      <c r="D955" s="238">
        <f>DSDV!W960</f>
        <v>0</v>
      </c>
    </row>
    <row r="956" spans="1:4">
      <c r="A956">
        <f>DSDV!B961</f>
        <v>0</v>
      </c>
      <c r="B956">
        <f>DSDV!G961</f>
        <v>0</v>
      </c>
      <c r="C956" s="237">
        <f>DSDV!K961</f>
        <v>0</v>
      </c>
      <c r="D956" s="238">
        <f>DSDV!W961</f>
        <v>0</v>
      </c>
    </row>
    <row r="957" spans="1:4">
      <c r="A957">
        <f>DSDV!B962</f>
        <v>0</v>
      </c>
      <c r="B957">
        <f>DSDV!G962</f>
        <v>0</v>
      </c>
      <c r="C957" s="237">
        <f>DSDV!K962</f>
        <v>0</v>
      </c>
      <c r="D957" s="238">
        <f>DSDV!W962</f>
        <v>0</v>
      </c>
    </row>
    <row r="958" spans="1:4">
      <c r="A958">
        <f>DSDV!B963</f>
        <v>0</v>
      </c>
      <c r="B958">
        <f>DSDV!G963</f>
        <v>0</v>
      </c>
      <c r="C958" s="237">
        <f>DSDV!K963</f>
        <v>0</v>
      </c>
      <c r="D958" s="238">
        <f>DSDV!W963</f>
        <v>0</v>
      </c>
    </row>
    <row r="959" spans="1:4">
      <c r="A959">
        <f>DSDV!B964</f>
        <v>0</v>
      </c>
      <c r="B959">
        <f>DSDV!G964</f>
        <v>0</v>
      </c>
      <c r="C959" s="237">
        <f>DSDV!K964</f>
        <v>0</v>
      </c>
      <c r="D959" s="238">
        <f>DSDV!W964</f>
        <v>0</v>
      </c>
    </row>
    <row r="960" spans="1:4">
      <c r="A960">
        <f>DSDV!B965</f>
        <v>0</v>
      </c>
      <c r="B960">
        <f>DSDV!G965</f>
        <v>0</v>
      </c>
      <c r="C960" s="237">
        <f>DSDV!K965</f>
        <v>0</v>
      </c>
      <c r="D960" s="238">
        <f>DSDV!W965</f>
        <v>0</v>
      </c>
    </row>
    <row r="961" spans="1:4">
      <c r="A961">
        <f>DSDV!B966</f>
        <v>0</v>
      </c>
      <c r="B961">
        <f>DSDV!G966</f>
        <v>0</v>
      </c>
      <c r="C961" s="237">
        <f>DSDV!K966</f>
        <v>0</v>
      </c>
      <c r="D961" s="238">
        <f>DSDV!W966</f>
        <v>0</v>
      </c>
    </row>
    <row r="962" spans="1:4">
      <c r="A962">
        <f>DSDV!B967</f>
        <v>0</v>
      </c>
      <c r="B962">
        <f>DSDV!G967</f>
        <v>0</v>
      </c>
      <c r="C962" s="237">
        <f>DSDV!K967</f>
        <v>0</v>
      </c>
      <c r="D962" s="238">
        <f>DSDV!W967</f>
        <v>0</v>
      </c>
    </row>
    <row r="963" spans="1:4">
      <c r="A963">
        <f>DSDV!B968</f>
        <v>0</v>
      </c>
      <c r="B963">
        <f>DSDV!G968</f>
        <v>0</v>
      </c>
      <c r="C963" s="237">
        <f>DSDV!K968</f>
        <v>0</v>
      </c>
      <c r="D963" s="238">
        <f>DSDV!W968</f>
        <v>0</v>
      </c>
    </row>
    <row r="964" spans="1:4">
      <c r="A964">
        <f>DSDV!B969</f>
        <v>0</v>
      </c>
      <c r="B964">
        <f>DSDV!G969</f>
        <v>0</v>
      </c>
      <c r="C964" s="237">
        <f>DSDV!K969</f>
        <v>0</v>
      </c>
      <c r="D964" s="238">
        <f>DSDV!W969</f>
        <v>0</v>
      </c>
    </row>
    <row r="965" spans="1:4">
      <c r="A965">
        <f>DSDV!B970</f>
        <v>0</v>
      </c>
      <c r="B965">
        <f>DSDV!G970</f>
        <v>0</v>
      </c>
      <c r="C965" s="237">
        <f>DSDV!K970</f>
        <v>0</v>
      </c>
      <c r="D965" s="238">
        <f>DSDV!W970</f>
        <v>0</v>
      </c>
    </row>
    <row r="966" spans="1:4">
      <c r="A966">
        <f>DSDV!B971</f>
        <v>0</v>
      </c>
      <c r="B966">
        <f>DSDV!G971</f>
        <v>0</v>
      </c>
      <c r="C966" s="237">
        <f>DSDV!K971</f>
        <v>0</v>
      </c>
      <c r="D966" s="238">
        <f>DSDV!W971</f>
        <v>0</v>
      </c>
    </row>
    <row r="967" spans="1:4">
      <c r="A967">
        <f>DSDV!B972</f>
        <v>0</v>
      </c>
      <c r="B967">
        <f>DSDV!G972</f>
        <v>0</v>
      </c>
      <c r="C967" s="237">
        <f>DSDV!K972</f>
        <v>0</v>
      </c>
      <c r="D967" s="238">
        <f>DSDV!W972</f>
        <v>0</v>
      </c>
    </row>
    <row r="968" spans="1:4">
      <c r="A968">
        <f>DSDV!B973</f>
        <v>0</v>
      </c>
      <c r="B968">
        <f>DSDV!G973</f>
        <v>0</v>
      </c>
      <c r="C968" s="237">
        <f>DSDV!K973</f>
        <v>0</v>
      </c>
      <c r="D968" s="238">
        <f>DSDV!W973</f>
        <v>0</v>
      </c>
    </row>
    <row r="969" spans="1:4">
      <c r="A969">
        <f>DSDV!B974</f>
        <v>0</v>
      </c>
      <c r="B969">
        <f>DSDV!G974</f>
        <v>0</v>
      </c>
      <c r="C969" s="237">
        <f>DSDV!K974</f>
        <v>0</v>
      </c>
      <c r="D969" s="238">
        <f>DSDV!W974</f>
        <v>0</v>
      </c>
    </row>
    <row r="970" spans="1:4">
      <c r="A970">
        <f>DSDV!B975</f>
        <v>0</v>
      </c>
      <c r="B970">
        <f>DSDV!G975</f>
        <v>0</v>
      </c>
      <c r="C970" s="237">
        <f>DSDV!K975</f>
        <v>0</v>
      </c>
      <c r="D970" s="238">
        <f>DSDV!W975</f>
        <v>0</v>
      </c>
    </row>
    <row r="971" spans="1:4">
      <c r="A971">
        <f>DSDV!B976</f>
        <v>0</v>
      </c>
      <c r="B971">
        <f>DSDV!G976</f>
        <v>0</v>
      </c>
      <c r="C971" s="237">
        <f>DSDV!K976</f>
        <v>0</v>
      </c>
      <c r="D971" s="238">
        <f>DSDV!W976</f>
        <v>0</v>
      </c>
    </row>
    <row r="972" spans="1:4">
      <c r="A972">
        <f>DSDV!B977</f>
        <v>0</v>
      </c>
      <c r="B972">
        <f>DSDV!G977</f>
        <v>0</v>
      </c>
      <c r="C972" s="237">
        <f>DSDV!K977</f>
        <v>0</v>
      </c>
      <c r="D972" s="238">
        <f>DSDV!W977</f>
        <v>0</v>
      </c>
    </row>
    <row r="973" spans="1:4">
      <c r="A973">
        <f>DSDV!B978</f>
        <v>0</v>
      </c>
      <c r="B973">
        <f>DSDV!G978</f>
        <v>0</v>
      </c>
      <c r="C973" s="237">
        <f>DSDV!K978</f>
        <v>0</v>
      </c>
      <c r="D973" s="238">
        <f>DSDV!W978</f>
        <v>0</v>
      </c>
    </row>
    <row r="974" spans="1:4">
      <c r="A974">
        <f>DSDV!B979</f>
        <v>0</v>
      </c>
      <c r="B974">
        <f>DSDV!G979</f>
        <v>0</v>
      </c>
      <c r="C974" s="237">
        <f>DSDV!K979</f>
        <v>0</v>
      </c>
      <c r="D974" s="238">
        <f>DSDV!W979</f>
        <v>0</v>
      </c>
    </row>
    <row r="975" spans="1:4">
      <c r="A975">
        <f>DSDV!B980</f>
        <v>0</v>
      </c>
      <c r="B975">
        <f>DSDV!G980</f>
        <v>0</v>
      </c>
      <c r="C975" s="237">
        <f>DSDV!K980</f>
        <v>0</v>
      </c>
      <c r="D975" s="238">
        <f>DSDV!W980</f>
        <v>0</v>
      </c>
    </row>
    <row r="976" spans="1:4">
      <c r="A976">
        <f>DSDV!B981</f>
        <v>0</v>
      </c>
      <c r="B976">
        <f>DSDV!G981</f>
        <v>0</v>
      </c>
      <c r="C976" s="237">
        <f>DSDV!K981</f>
        <v>0</v>
      </c>
      <c r="D976" s="238">
        <f>DSDV!W981</f>
        <v>0</v>
      </c>
    </row>
    <row r="977" spans="1:4">
      <c r="A977">
        <f>DSDV!B982</f>
        <v>0</v>
      </c>
      <c r="B977">
        <f>DSDV!G982</f>
        <v>0</v>
      </c>
      <c r="C977" s="237">
        <f>DSDV!K982</f>
        <v>0</v>
      </c>
      <c r="D977" s="238">
        <f>DSDV!W982</f>
        <v>0</v>
      </c>
    </row>
    <row r="978" spans="1:4">
      <c r="A978">
        <f>DSDV!B983</f>
        <v>0</v>
      </c>
      <c r="B978">
        <f>DSDV!G983</f>
        <v>0</v>
      </c>
      <c r="C978" s="237">
        <f>DSDV!K983</f>
        <v>0</v>
      </c>
      <c r="D978" s="238">
        <f>DSDV!W983</f>
        <v>0</v>
      </c>
    </row>
    <row r="979" spans="1:4">
      <c r="A979">
        <f>DSDV!B984</f>
        <v>0</v>
      </c>
      <c r="B979">
        <f>DSDV!G984</f>
        <v>0</v>
      </c>
      <c r="C979" s="237">
        <f>DSDV!K984</f>
        <v>0</v>
      </c>
      <c r="D979" s="238">
        <f>DSDV!W984</f>
        <v>0</v>
      </c>
    </row>
    <row r="980" spans="1:4">
      <c r="A980">
        <f>DSDV!B985</f>
        <v>0</v>
      </c>
      <c r="B980">
        <f>DSDV!G985</f>
        <v>0</v>
      </c>
      <c r="C980" s="237">
        <f>DSDV!K985</f>
        <v>0</v>
      </c>
      <c r="D980" s="238">
        <f>DSDV!W985</f>
        <v>0</v>
      </c>
    </row>
    <row r="981" spans="1:4">
      <c r="A981">
        <f>DSDV!B986</f>
        <v>0</v>
      </c>
      <c r="B981">
        <f>DSDV!G986</f>
        <v>0</v>
      </c>
      <c r="C981" s="237">
        <f>DSDV!K986</f>
        <v>0</v>
      </c>
      <c r="D981" s="238">
        <f>DSDV!W986</f>
        <v>0</v>
      </c>
    </row>
    <row r="982" spans="1:4">
      <c r="A982">
        <f>DSDV!B987</f>
        <v>0</v>
      </c>
      <c r="B982">
        <f>DSDV!G987</f>
        <v>0</v>
      </c>
      <c r="C982" s="237">
        <f>DSDV!K987</f>
        <v>0</v>
      </c>
      <c r="D982" s="238">
        <f>DSDV!W987</f>
        <v>0</v>
      </c>
    </row>
    <row r="983" spans="1:4">
      <c r="A983">
        <f>DSDV!B988</f>
        <v>0</v>
      </c>
      <c r="B983">
        <f>DSDV!G988</f>
        <v>0</v>
      </c>
      <c r="C983" s="237">
        <f>DSDV!K988</f>
        <v>0</v>
      </c>
      <c r="D983" s="238">
        <f>DSDV!W988</f>
        <v>0</v>
      </c>
    </row>
    <row r="984" spans="1:4">
      <c r="A984">
        <f>DSDV!B989</f>
        <v>0</v>
      </c>
      <c r="B984">
        <f>DSDV!G989</f>
        <v>0</v>
      </c>
      <c r="C984" s="237">
        <f>DSDV!K989</f>
        <v>0</v>
      </c>
      <c r="D984" s="238">
        <f>DSDV!W989</f>
        <v>0</v>
      </c>
    </row>
    <row r="985" spans="1:4">
      <c r="A985">
        <f>DSDV!B990</f>
        <v>0</v>
      </c>
      <c r="B985">
        <f>DSDV!G990</f>
        <v>0</v>
      </c>
      <c r="C985" s="237">
        <f>DSDV!K990</f>
        <v>0</v>
      </c>
      <c r="D985" s="238">
        <f>DSDV!W990</f>
        <v>0</v>
      </c>
    </row>
    <row r="986" spans="1:4">
      <c r="A986">
        <f>DSDV!B991</f>
        <v>0</v>
      </c>
      <c r="B986">
        <f>DSDV!G991</f>
        <v>0</v>
      </c>
      <c r="C986" s="237">
        <f>DSDV!K991</f>
        <v>0</v>
      </c>
      <c r="D986" s="238">
        <f>DSDV!W991</f>
        <v>0</v>
      </c>
    </row>
    <row r="987" spans="1:4">
      <c r="A987">
        <f>DSDV!B992</f>
        <v>0</v>
      </c>
      <c r="B987">
        <f>DSDV!G992</f>
        <v>0</v>
      </c>
      <c r="C987" s="237">
        <f>DSDV!K992</f>
        <v>0</v>
      </c>
      <c r="D987" s="238">
        <f>DSDV!W992</f>
        <v>0</v>
      </c>
    </row>
    <row r="988" spans="1:4">
      <c r="A988">
        <f>DSDV!B993</f>
        <v>0</v>
      </c>
      <c r="B988">
        <f>DSDV!G993</f>
        <v>0</v>
      </c>
      <c r="C988" s="237">
        <f>DSDV!K993</f>
        <v>0</v>
      </c>
      <c r="D988" s="238">
        <f>DSDV!W993</f>
        <v>0</v>
      </c>
    </row>
    <row r="989" spans="1:4">
      <c r="A989">
        <f>DSDV!B994</f>
        <v>0</v>
      </c>
      <c r="B989">
        <f>DSDV!G994</f>
        <v>0</v>
      </c>
      <c r="C989" s="237">
        <f>DSDV!K994</f>
        <v>0</v>
      </c>
      <c r="D989" s="238">
        <f>DSDV!W994</f>
        <v>0</v>
      </c>
    </row>
    <row r="990" spans="1:4">
      <c r="A990">
        <f>DSDV!B995</f>
        <v>0</v>
      </c>
      <c r="B990">
        <f>DSDV!G995</f>
        <v>0</v>
      </c>
      <c r="C990" s="237">
        <f>DSDV!K995</f>
        <v>0</v>
      </c>
      <c r="D990" s="238">
        <f>DSDV!W995</f>
        <v>0</v>
      </c>
    </row>
    <row r="991" spans="1:4">
      <c r="A991">
        <f>DSDV!B996</f>
        <v>0</v>
      </c>
      <c r="B991">
        <f>DSDV!G996</f>
        <v>0</v>
      </c>
      <c r="C991" s="237">
        <f>DSDV!K996</f>
        <v>0</v>
      </c>
      <c r="D991" s="238">
        <f>DSDV!W996</f>
        <v>0</v>
      </c>
    </row>
    <row r="992" spans="1:4">
      <c r="A992">
        <f>DSDV!B997</f>
        <v>0</v>
      </c>
      <c r="B992">
        <f>DSDV!G997</f>
        <v>0</v>
      </c>
      <c r="C992" s="237">
        <f>DSDV!K997</f>
        <v>0</v>
      </c>
      <c r="D992" s="238">
        <f>DSDV!W997</f>
        <v>0</v>
      </c>
    </row>
    <row r="993" spans="1:4">
      <c r="A993">
        <f>DSDV!B998</f>
        <v>0</v>
      </c>
      <c r="B993">
        <f>DSDV!G998</f>
        <v>0</v>
      </c>
      <c r="C993" s="237">
        <f>DSDV!K998</f>
        <v>0</v>
      </c>
      <c r="D993" s="238">
        <f>DSDV!W998</f>
        <v>0</v>
      </c>
    </row>
    <row r="994" spans="1:4">
      <c r="A994">
        <f>DSDV!B999</f>
        <v>0</v>
      </c>
      <c r="B994">
        <f>DSDV!G999</f>
        <v>0</v>
      </c>
      <c r="C994" s="237">
        <f>DSDV!K999</f>
        <v>0</v>
      </c>
      <c r="D994" s="238">
        <f>DSDV!W999</f>
        <v>0</v>
      </c>
    </row>
    <row r="995" spans="1:4">
      <c r="A995">
        <f>DSDV!B1000</f>
        <v>0</v>
      </c>
      <c r="B995">
        <f>DSDV!G1000</f>
        <v>0</v>
      </c>
      <c r="C995" s="237">
        <f>DSDV!K1000</f>
        <v>0</v>
      </c>
      <c r="D995" s="238">
        <f>DSDV!W1000</f>
        <v>0</v>
      </c>
    </row>
    <row r="996" spans="1:4">
      <c r="A996">
        <f>DSDV!B1001</f>
        <v>0</v>
      </c>
      <c r="B996">
        <f>DSDV!G1001</f>
        <v>0</v>
      </c>
      <c r="C996" s="237">
        <f>DSDV!K1001</f>
        <v>0</v>
      </c>
      <c r="D996" s="238">
        <f>DSDV!W1001</f>
        <v>0</v>
      </c>
    </row>
    <row r="997" spans="1:4">
      <c r="A997">
        <f>DSDV!B1002</f>
        <v>0</v>
      </c>
      <c r="B997">
        <f>DSDV!G1002</f>
        <v>0</v>
      </c>
      <c r="C997" s="237">
        <f>DSDV!K1002</f>
        <v>0</v>
      </c>
      <c r="D997" s="238">
        <f>DSDV!W1002</f>
        <v>0</v>
      </c>
    </row>
    <row r="998" spans="1:4">
      <c r="A998">
        <f>DSDV!B1003</f>
        <v>0</v>
      </c>
      <c r="B998">
        <f>DSDV!G1003</f>
        <v>0</v>
      </c>
      <c r="C998" s="237">
        <f>DSDV!K1003</f>
        <v>0</v>
      </c>
      <c r="D998" s="238">
        <f>DSDV!W1003</f>
        <v>0</v>
      </c>
    </row>
    <row r="999" spans="1:4">
      <c r="A999">
        <f>DSDV!B1004</f>
        <v>0</v>
      </c>
      <c r="B999">
        <f>DSDV!G1004</f>
        <v>0</v>
      </c>
      <c r="C999" s="237">
        <f>DSDV!K1004</f>
        <v>0</v>
      </c>
      <c r="D999" s="238">
        <f>DSDV!W1004</f>
        <v>0</v>
      </c>
    </row>
    <row r="1000" spans="1:4">
      <c r="A1000">
        <f>DSDV!B1005</f>
        <v>0</v>
      </c>
      <c r="B1000">
        <f>DSDV!G1005</f>
        <v>0</v>
      </c>
      <c r="C1000" s="237">
        <f>DSDV!K1005</f>
        <v>0</v>
      </c>
      <c r="D1000" s="238">
        <f>DSDV!W1005</f>
        <v>0</v>
      </c>
    </row>
    <row r="1001" spans="1:4">
      <c r="A1001">
        <f>DSDV!B1006</f>
        <v>0</v>
      </c>
      <c r="B1001">
        <f>DSDV!G1006</f>
        <v>0</v>
      </c>
      <c r="C1001" s="237">
        <f>DSDV!K1006</f>
        <v>0</v>
      </c>
      <c r="D1001" s="238">
        <f>DSDV!W1006</f>
        <v>0</v>
      </c>
    </row>
    <row r="1002" spans="1:4">
      <c r="A1002">
        <f>DSDV!B1007</f>
        <v>0</v>
      </c>
      <c r="B1002">
        <f>DSDV!G1007</f>
        <v>0</v>
      </c>
      <c r="C1002" s="237">
        <f>DSDV!K1007</f>
        <v>0</v>
      </c>
      <c r="D1002" s="238">
        <f>DSDV!W1007</f>
        <v>0</v>
      </c>
    </row>
    <row r="1003" spans="1:4">
      <c r="A1003">
        <f>DSDV!B1008</f>
        <v>0</v>
      </c>
      <c r="B1003">
        <f>DSDV!G1008</f>
        <v>0</v>
      </c>
      <c r="C1003" s="237">
        <f>DSDV!K1008</f>
        <v>0</v>
      </c>
      <c r="D1003" s="238">
        <f>DSDV!W1008</f>
        <v>0</v>
      </c>
    </row>
    <row r="1004" spans="1:4">
      <c r="A1004">
        <f>DSDV!B1009</f>
        <v>0</v>
      </c>
      <c r="B1004">
        <f>DSDV!G1009</f>
        <v>0</v>
      </c>
      <c r="C1004" s="237">
        <f>DSDV!K1009</f>
        <v>0</v>
      </c>
      <c r="D1004" s="238">
        <f>DSDV!W1009</f>
        <v>0</v>
      </c>
    </row>
    <row r="1005" spans="1:4">
      <c r="A1005">
        <f>DSDV!B1010</f>
        <v>0</v>
      </c>
      <c r="B1005">
        <f>DSDV!G1010</f>
        <v>0</v>
      </c>
      <c r="C1005" s="237">
        <f>DSDV!K1010</f>
        <v>0</v>
      </c>
      <c r="D1005" s="238">
        <f>DSDV!W1010</f>
        <v>0</v>
      </c>
    </row>
    <row r="1006" spans="1:4">
      <c r="A1006">
        <f>DSDV!B1011</f>
        <v>0</v>
      </c>
      <c r="B1006">
        <f>DSDV!G1011</f>
        <v>0</v>
      </c>
      <c r="C1006" s="237">
        <f>DSDV!K1011</f>
        <v>0</v>
      </c>
      <c r="D1006" s="238">
        <f>DSDV!W1011</f>
        <v>0</v>
      </c>
    </row>
    <row r="1007" spans="1:4">
      <c r="A1007">
        <f>DSDV!B1012</f>
        <v>0</v>
      </c>
      <c r="B1007">
        <f>DSDV!G1012</f>
        <v>0</v>
      </c>
      <c r="C1007" s="237">
        <f>DSDV!K1012</f>
        <v>0</v>
      </c>
      <c r="D1007" s="238">
        <f>DSDV!W1012</f>
        <v>0</v>
      </c>
    </row>
    <row r="1008" spans="1:4">
      <c r="A1008">
        <f>DSDV!B1013</f>
        <v>0</v>
      </c>
      <c r="B1008">
        <f>DSDV!G1013</f>
        <v>0</v>
      </c>
      <c r="C1008" s="237">
        <f>DSDV!K1013</f>
        <v>0</v>
      </c>
      <c r="D1008" s="238">
        <f>DSDV!W1013</f>
        <v>0</v>
      </c>
    </row>
    <row r="1009" spans="1:4">
      <c r="A1009">
        <f>DSDV!B1014</f>
        <v>0</v>
      </c>
      <c r="B1009">
        <f>DSDV!G1014</f>
        <v>0</v>
      </c>
      <c r="C1009" s="237">
        <f>DSDV!K1014</f>
        <v>0</v>
      </c>
      <c r="D1009" s="238">
        <f>DSDV!W1014</f>
        <v>0</v>
      </c>
    </row>
    <row r="1010" spans="1:4">
      <c r="A1010">
        <f>DSDV!B1015</f>
        <v>0</v>
      </c>
      <c r="B1010">
        <f>DSDV!G1015</f>
        <v>0</v>
      </c>
      <c r="C1010" s="237">
        <f>DSDV!K1015</f>
        <v>0</v>
      </c>
      <c r="D1010" s="238">
        <f>DSDV!W1015</f>
        <v>0</v>
      </c>
    </row>
    <row r="1011" spans="1:4">
      <c r="A1011">
        <f>DSDV!B1016</f>
        <v>0</v>
      </c>
      <c r="B1011">
        <f>DSDV!G1016</f>
        <v>0</v>
      </c>
      <c r="C1011" s="237">
        <f>DSDV!K1016</f>
        <v>0</v>
      </c>
      <c r="D1011" s="238">
        <f>DSDV!W1016</f>
        <v>0</v>
      </c>
    </row>
    <row r="1012" spans="1:4">
      <c r="A1012">
        <f>DSDV!B1017</f>
        <v>0</v>
      </c>
      <c r="B1012">
        <f>DSDV!G1017</f>
        <v>0</v>
      </c>
      <c r="C1012" s="237">
        <f>DSDV!K1017</f>
        <v>0</v>
      </c>
      <c r="D1012" s="238">
        <f>DSDV!W1017</f>
        <v>0</v>
      </c>
    </row>
    <row r="1013" spans="1:4">
      <c r="A1013">
        <f>DSDV!B1018</f>
        <v>0</v>
      </c>
      <c r="B1013">
        <f>DSDV!G1018</f>
        <v>0</v>
      </c>
      <c r="C1013" s="237">
        <f>DSDV!K1018</f>
        <v>0</v>
      </c>
      <c r="D1013" s="238">
        <f>DSDV!W1018</f>
        <v>0</v>
      </c>
    </row>
    <row r="1014" spans="1:4">
      <c r="A1014">
        <f>DSDV!B1019</f>
        <v>0</v>
      </c>
      <c r="B1014">
        <f>DSDV!G1019</f>
        <v>0</v>
      </c>
      <c r="C1014" s="237">
        <f>DSDV!K1019</f>
        <v>0</v>
      </c>
      <c r="D1014" s="238">
        <f>DSDV!W1019</f>
        <v>0</v>
      </c>
    </row>
    <row r="1015" spans="1:4">
      <c r="A1015">
        <f>DSDV!B1020</f>
        <v>0</v>
      </c>
      <c r="B1015">
        <f>DSDV!G1020</f>
        <v>0</v>
      </c>
      <c r="C1015" s="237">
        <f>DSDV!K1020</f>
        <v>0</v>
      </c>
      <c r="D1015" s="238">
        <f>DSDV!W1020</f>
        <v>0</v>
      </c>
    </row>
    <row r="1016" spans="1:4">
      <c r="A1016">
        <f>DSDV!B1021</f>
        <v>0</v>
      </c>
      <c r="B1016">
        <f>DSDV!G1021</f>
        <v>0</v>
      </c>
      <c r="C1016" s="237">
        <f>DSDV!K1021</f>
        <v>0</v>
      </c>
      <c r="D1016" s="238">
        <f>DSDV!W1021</f>
        <v>0</v>
      </c>
    </row>
    <row r="1017" spans="1:4">
      <c r="A1017">
        <f>DSDV!B1022</f>
        <v>0</v>
      </c>
      <c r="B1017">
        <f>DSDV!G1022</f>
        <v>0</v>
      </c>
      <c r="C1017" s="237">
        <f>DSDV!K1022</f>
        <v>0</v>
      </c>
      <c r="D1017" s="238">
        <f>DSDV!W1022</f>
        <v>0</v>
      </c>
    </row>
    <row r="1018" spans="1:4">
      <c r="A1018">
        <f>DSDV!B1023</f>
        <v>0</v>
      </c>
      <c r="B1018">
        <f>DSDV!G1023</f>
        <v>0</v>
      </c>
      <c r="C1018" s="237">
        <f>DSDV!K1023</f>
        <v>0</v>
      </c>
      <c r="D1018" s="238">
        <f>DSDV!W1023</f>
        <v>0</v>
      </c>
    </row>
    <row r="1019" spans="1:4">
      <c r="A1019">
        <f>DSDV!B1024</f>
        <v>0</v>
      </c>
      <c r="B1019">
        <f>DSDV!G1024</f>
        <v>0</v>
      </c>
      <c r="C1019" s="237">
        <f>DSDV!K1024</f>
        <v>0</v>
      </c>
      <c r="D1019" s="238">
        <f>DSDV!W1024</f>
        <v>0</v>
      </c>
    </row>
    <row r="1020" spans="1:4">
      <c r="A1020">
        <f>DSDV!B1025</f>
        <v>0</v>
      </c>
      <c r="B1020">
        <f>DSDV!G1025</f>
        <v>0</v>
      </c>
      <c r="C1020" s="237">
        <f>DSDV!K1025</f>
        <v>0</v>
      </c>
      <c r="D1020" s="238">
        <f>DSDV!W1025</f>
        <v>0</v>
      </c>
    </row>
    <row r="1021" spans="1:4">
      <c r="A1021">
        <f>DSDV!B1026</f>
        <v>0</v>
      </c>
      <c r="B1021">
        <f>DSDV!G1026</f>
        <v>0</v>
      </c>
      <c r="C1021" s="237">
        <f>DSDV!K1026</f>
        <v>0</v>
      </c>
      <c r="D1021" s="238">
        <f>DSDV!W1026</f>
        <v>0</v>
      </c>
    </row>
    <row r="1022" spans="1:4">
      <c r="A1022">
        <f>DSDV!B1027</f>
        <v>0</v>
      </c>
      <c r="B1022">
        <f>DSDV!G1027</f>
        <v>0</v>
      </c>
      <c r="C1022" s="237">
        <f>DSDV!K1027</f>
        <v>0</v>
      </c>
      <c r="D1022" s="238">
        <f>DSDV!W1027</f>
        <v>0</v>
      </c>
    </row>
    <row r="1023" spans="1:4">
      <c r="A1023">
        <f>DSDV!B1028</f>
        <v>0</v>
      </c>
      <c r="B1023">
        <f>DSDV!G1028</f>
        <v>0</v>
      </c>
      <c r="C1023" s="237">
        <f>DSDV!K1028</f>
        <v>0</v>
      </c>
      <c r="D1023" s="238">
        <f>DSDV!W1028</f>
        <v>0</v>
      </c>
    </row>
    <row r="1024" spans="1:4">
      <c r="A1024">
        <f>DSDV!B1029</f>
        <v>0</v>
      </c>
      <c r="B1024">
        <f>DSDV!G1029</f>
        <v>0</v>
      </c>
      <c r="C1024" s="237">
        <f>DSDV!K1029</f>
        <v>0</v>
      </c>
      <c r="D1024" s="238">
        <f>DSDV!W1029</f>
        <v>0</v>
      </c>
    </row>
    <row r="1025" spans="1:4">
      <c r="A1025">
        <f>DSDV!B1030</f>
        <v>0</v>
      </c>
      <c r="B1025">
        <f>DSDV!G1030</f>
        <v>0</v>
      </c>
      <c r="C1025" s="237">
        <f>DSDV!K1030</f>
        <v>0</v>
      </c>
      <c r="D1025" s="238">
        <f>DSDV!W1030</f>
        <v>0</v>
      </c>
    </row>
    <row r="1026" spans="1:4">
      <c r="A1026">
        <f>DSDV!B1031</f>
        <v>0</v>
      </c>
      <c r="B1026">
        <f>DSDV!G1031</f>
        <v>0</v>
      </c>
      <c r="C1026" s="237">
        <f>DSDV!K1031</f>
        <v>0</v>
      </c>
      <c r="D1026" s="238">
        <f>DSDV!W1031</f>
        <v>0</v>
      </c>
    </row>
    <row r="1027" spans="1:4">
      <c r="A1027">
        <f>DSDV!B1032</f>
        <v>0</v>
      </c>
      <c r="B1027">
        <f>DSDV!G1032</f>
        <v>0</v>
      </c>
      <c r="C1027" s="237">
        <f>DSDV!K1032</f>
        <v>0</v>
      </c>
      <c r="D1027" s="238">
        <f>DSDV!W1032</f>
        <v>0</v>
      </c>
    </row>
    <row r="1028" spans="1:4">
      <c r="A1028">
        <f>DSDV!B1033</f>
        <v>0</v>
      </c>
      <c r="B1028">
        <f>DSDV!G1033</f>
        <v>0</v>
      </c>
      <c r="C1028" s="237">
        <f>DSDV!K1033</f>
        <v>0</v>
      </c>
      <c r="D1028" s="238">
        <f>DSDV!W1033</f>
        <v>0</v>
      </c>
    </row>
    <row r="1029" spans="1:4">
      <c r="A1029">
        <f>DSDV!B1034</f>
        <v>0</v>
      </c>
      <c r="B1029">
        <f>DSDV!G1034</f>
        <v>0</v>
      </c>
      <c r="C1029" s="237">
        <f>DSDV!K1034</f>
        <v>0</v>
      </c>
      <c r="D1029" s="238">
        <f>DSDV!W1034</f>
        <v>0</v>
      </c>
    </row>
    <row r="1030" spans="1:4">
      <c r="A1030">
        <f>DSDV!B1035</f>
        <v>0</v>
      </c>
      <c r="B1030">
        <f>DSDV!G1035</f>
        <v>0</v>
      </c>
      <c r="C1030" s="237">
        <f>DSDV!K1035</f>
        <v>0</v>
      </c>
      <c r="D1030" s="238">
        <f>DSDV!W1035</f>
        <v>0</v>
      </c>
    </row>
    <row r="1031" spans="1:4">
      <c r="A1031">
        <f>DSDV!B1036</f>
        <v>0</v>
      </c>
      <c r="B1031">
        <f>DSDV!G1036</f>
        <v>0</v>
      </c>
      <c r="C1031" s="237">
        <f>DSDV!K1036</f>
        <v>0</v>
      </c>
      <c r="D1031" s="238">
        <f>DSDV!W1036</f>
        <v>0</v>
      </c>
    </row>
    <row r="1032" spans="1:4">
      <c r="A1032">
        <f>DSDV!B1037</f>
        <v>0</v>
      </c>
      <c r="B1032">
        <f>DSDV!G1037</f>
        <v>0</v>
      </c>
      <c r="C1032" s="237">
        <f>DSDV!K1037</f>
        <v>0</v>
      </c>
      <c r="D1032" s="238">
        <f>DSDV!W1037</f>
        <v>0</v>
      </c>
    </row>
    <row r="1033" spans="1:4">
      <c r="A1033">
        <f>DSDV!B1038</f>
        <v>0</v>
      </c>
      <c r="B1033">
        <f>DSDV!G1038</f>
        <v>0</v>
      </c>
      <c r="C1033" s="237">
        <f>DSDV!K1038</f>
        <v>0</v>
      </c>
      <c r="D1033" s="238">
        <f>DSDV!W1038</f>
        <v>0</v>
      </c>
    </row>
    <row r="1034" spans="1:4">
      <c r="A1034">
        <f>DSDV!B1039</f>
        <v>0</v>
      </c>
      <c r="B1034">
        <f>DSDV!G1039</f>
        <v>0</v>
      </c>
      <c r="C1034" s="237">
        <f>DSDV!K1039</f>
        <v>0</v>
      </c>
      <c r="D1034" s="238">
        <f>DSDV!W1039</f>
        <v>0</v>
      </c>
    </row>
    <row r="1035" spans="1:4">
      <c r="A1035">
        <f>DSDV!B1040</f>
        <v>0</v>
      </c>
      <c r="B1035">
        <f>DSDV!G1040</f>
        <v>0</v>
      </c>
      <c r="C1035" s="237">
        <f>DSDV!K1040</f>
        <v>0</v>
      </c>
      <c r="D1035" s="238">
        <f>DSDV!W1040</f>
        <v>0</v>
      </c>
    </row>
    <row r="1036" spans="1:4">
      <c r="A1036">
        <f>DSDV!B1041</f>
        <v>0</v>
      </c>
      <c r="B1036">
        <f>DSDV!G1041</f>
        <v>0</v>
      </c>
      <c r="C1036" s="237">
        <f>DSDV!K1041</f>
        <v>0</v>
      </c>
      <c r="D1036" s="238">
        <f>DSDV!W1041</f>
        <v>0</v>
      </c>
    </row>
    <row r="1037" spans="1:4">
      <c r="A1037">
        <f>DSDV!B1042</f>
        <v>0</v>
      </c>
      <c r="B1037">
        <f>DSDV!G1042</f>
        <v>0</v>
      </c>
      <c r="C1037" s="237">
        <f>DSDV!K1042</f>
        <v>0</v>
      </c>
      <c r="D1037" s="238">
        <f>DSDV!W1042</f>
        <v>0</v>
      </c>
    </row>
    <row r="1038" spans="1:4">
      <c r="A1038">
        <f>DSDV!B1043</f>
        <v>0</v>
      </c>
      <c r="B1038">
        <f>DSDV!G1043</f>
        <v>0</v>
      </c>
      <c r="C1038" s="237">
        <f>DSDV!K1043</f>
        <v>0</v>
      </c>
      <c r="D1038" s="238">
        <f>DSDV!W1043</f>
        <v>0</v>
      </c>
    </row>
    <row r="1039" spans="1:4">
      <c r="A1039">
        <f>DSDV!B1044</f>
        <v>0</v>
      </c>
      <c r="B1039">
        <f>DSDV!G1044</f>
        <v>0</v>
      </c>
      <c r="C1039" s="237">
        <f>DSDV!K1044</f>
        <v>0</v>
      </c>
      <c r="D1039" s="238">
        <f>DSDV!W1044</f>
        <v>0</v>
      </c>
    </row>
    <row r="1040" spans="1:4">
      <c r="A1040">
        <f>DSDV!B1045</f>
        <v>0</v>
      </c>
      <c r="B1040">
        <f>DSDV!G1045</f>
        <v>0</v>
      </c>
      <c r="C1040" s="237">
        <f>DSDV!K1045</f>
        <v>0</v>
      </c>
      <c r="D1040" s="238">
        <f>DSDV!W1045</f>
        <v>0</v>
      </c>
    </row>
    <row r="1041" spans="1:4">
      <c r="A1041">
        <f>DSDV!B1046</f>
        <v>0</v>
      </c>
      <c r="B1041">
        <f>DSDV!G1046</f>
        <v>0</v>
      </c>
      <c r="C1041" s="237">
        <f>DSDV!K1046</f>
        <v>0</v>
      </c>
      <c r="D1041" s="238">
        <f>DSDV!W1046</f>
        <v>0</v>
      </c>
    </row>
    <row r="1042" spans="1:4">
      <c r="A1042">
        <f>DSDV!B1047</f>
        <v>0</v>
      </c>
      <c r="B1042">
        <f>DSDV!G1047</f>
        <v>0</v>
      </c>
      <c r="C1042" s="237">
        <f>DSDV!K1047</f>
        <v>0</v>
      </c>
      <c r="D1042" s="238">
        <f>DSDV!W1047</f>
        <v>0</v>
      </c>
    </row>
    <row r="1043" spans="1:4">
      <c r="A1043">
        <f>DSDV!B1048</f>
        <v>0</v>
      </c>
      <c r="B1043">
        <f>DSDV!G1048</f>
        <v>0</v>
      </c>
      <c r="C1043" s="237">
        <f>DSDV!K1048</f>
        <v>0</v>
      </c>
      <c r="D1043" s="238">
        <f>DSDV!W1048</f>
        <v>0</v>
      </c>
    </row>
    <row r="1044" spans="1:4">
      <c r="A1044">
        <f>DSDV!B1049</f>
        <v>0</v>
      </c>
      <c r="B1044">
        <f>DSDV!G1049</f>
        <v>0</v>
      </c>
      <c r="C1044" s="237">
        <f>DSDV!K1049</f>
        <v>0</v>
      </c>
      <c r="D1044" s="238">
        <f>DSDV!W1049</f>
        <v>0</v>
      </c>
    </row>
    <row r="1045" spans="1:4">
      <c r="A1045">
        <f>DSDV!B1050</f>
        <v>0</v>
      </c>
      <c r="B1045">
        <f>DSDV!G1050</f>
        <v>0</v>
      </c>
      <c r="C1045" s="237">
        <f>DSDV!K1050</f>
        <v>0</v>
      </c>
      <c r="D1045" s="238">
        <f>DSDV!W1050</f>
        <v>0</v>
      </c>
    </row>
    <row r="1046" spans="1:4">
      <c r="A1046">
        <f>DSDV!B1051</f>
        <v>0</v>
      </c>
      <c r="B1046">
        <f>DSDV!G1051</f>
        <v>0</v>
      </c>
      <c r="C1046" s="237">
        <f>DSDV!K1051</f>
        <v>0</v>
      </c>
      <c r="D1046" s="238">
        <f>DSDV!W1051</f>
        <v>0</v>
      </c>
    </row>
    <row r="1047" spans="1:4">
      <c r="A1047">
        <f>DSDV!B1052</f>
        <v>0</v>
      </c>
      <c r="B1047">
        <f>DSDV!G1052</f>
        <v>0</v>
      </c>
      <c r="C1047" s="237">
        <f>DSDV!K1052</f>
        <v>0</v>
      </c>
      <c r="D1047" s="238">
        <f>DSDV!W1052</f>
        <v>0</v>
      </c>
    </row>
    <row r="1048" spans="1:4">
      <c r="A1048">
        <f>DSDV!B1053</f>
        <v>0</v>
      </c>
      <c r="B1048">
        <f>DSDV!G1053</f>
        <v>0</v>
      </c>
      <c r="C1048" s="237">
        <f>DSDV!K1053</f>
        <v>0</v>
      </c>
      <c r="D1048" s="238">
        <f>DSDV!W1053</f>
        <v>0</v>
      </c>
    </row>
    <row r="1049" spans="1:4">
      <c r="A1049">
        <f>DSDV!B1054</f>
        <v>0</v>
      </c>
      <c r="B1049">
        <f>DSDV!G1054</f>
        <v>0</v>
      </c>
      <c r="C1049" s="237">
        <f>DSDV!K1054</f>
        <v>0</v>
      </c>
      <c r="D1049" s="238">
        <f>DSDV!W1054</f>
        <v>0</v>
      </c>
    </row>
    <row r="1050" spans="1:4">
      <c r="A1050">
        <f>DSDV!B1055</f>
        <v>0</v>
      </c>
      <c r="B1050">
        <f>DSDV!G1055</f>
        <v>0</v>
      </c>
      <c r="C1050" s="237">
        <f>DSDV!K1055</f>
        <v>0</v>
      </c>
      <c r="D1050" s="238">
        <f>DSDV!W1055</f>
        <v>0</v>
      </c>
    </row>
    <row r="1051" spans="1:4">
      <c r="A1051">
        <f>DSDV!B1056</f>
        <v>0</v>
      </c>
      <c r="B1051">
        <f>DSDV!G1056</f>
        <v>0</v>
      </c>
      <c r="C1051" s="237">
        <f>DSDV!K1056</f>
        <v>0</v>
      </c>
      <c r="D1051" s="238">
        <f>DSDV!W1056</f>
        <v>0</v>
      </c>
    </row>
    <row r="1052" spans="1:4">
      <c r="A1052">
        <f>DSDV!B1057</f>
        <v>0</v>
      </c>
      <c r="B1052">
        <f>DSDV!G1057</f>
        <v>0</v>
      </c>
      <c r="C1052" s="237">
        <f>DSDV!K1057</f>
        <v>0</v>
      </c>
      <c r="D1052" s="238">
        <f>DSDV!W1057</f>
        <v>0</v>
      </c>
    </row>
    <row r="1053" spans="1:4">
      <c r="A1053">
        <f>DSDV!B1058</f>
        <v>0</v>
      </c>
      <c r="B1053">
        <f>DSDV!G1058</f>
        <v>0</v>
      </c>
      <c r="C1053" s="237">
        <f>DSDV!K1058</f>
        <v>0</v>
      </c>
      <c r="D1053" s="238">
        <f>DSDV!W1058</f>
        <v>0</v>
      </c>
    </row>
    <row r="1054" spans="1:4">
      <c r="A1054">
        <f>DSDV!B1059</f>
        <v>0</v>
      </c>
      <c r="B1054">
        <f>DSDV!G1059</f>
        <v>0</v>
      </c>
      <c r="C1054" s="237">
        <f>DSDV!K1059</f>
        <v>0</v>
      </c>
      <c r="D1054" s="238">
        <f>DSDV!W1059</f>
        <v>0</v>
      </c>
    </row>
    <row r="1055" spans="1:4">
      <c r="A1055">
        <f>DSDV!B1060</f>
        <v>0</v>
      </c>
      <c r="B1055">
        <f>DSDV!G1060</f>
        <v>0</v>
      </c>
      <c r="C1055" s="237">
        <f>DSDV!K1060</f>
        <v>0</v>
      </c>
      <c r="D1055" s="238">
        <f>DSDV!W1060</f>
        <v>0</v>
      </c>
    </row>
    <row r="1056" spans="1:4">
      <c r="A1056">
        <f>DSDV!B1061</f>
        <v>0</v>
      </c>
      <c r="B1056">
        <f>DSDV!G1061</f>
        <v>0</v>
      </c>
      <c r="C1056" s="237">
        <f>DSDV!K1061</f>
        <v>0</v>
      </c>
      <c r="D1056" s="238">
        <f>DSDV!W1061</f>
        <v>0</v>
      </c>
    </row>
    <row r="1057" spans="1:4">
      <c r="A1057">
        <f>DSDV!B1062</f>
        <v>0</v>
      </c>
      <c r="B1057">
        <f>DSDV!G1062</f>
        <v>0</v>
      </c>
      <c r="C1057" s="237">
        <f>DSDV!K1062</f>
        <v>0</v>
      </c>
      <c r="D1057" s="238">
        <f>DSDV!W1062</f>
        <v>0</v>
      </c>
    </row>
    <row r="1058" spans="1:4">
      <c r="A1058">
        <f>DSDV!B1063</f>
        <v>0</v>
      </c>
      <c r="B1058">
        <f>DSDV!G1063</f>
        <v>0</v>
      </c>
      <c r="C1058" s="237">
        <f>DSDV!K1063</f>
        <v>0</v>
      </c>
      <c r="D1058" s="238">
        <f>DSDV!W1063</f>
        <v>0</v>
      </c>
    </row>
    <row r="1059" spans="1:4">
      <c r="A1059">
        <f>DSDV!B1064</f>
        <v>0</v>
      </c>
      <c r="B1059">
        <f>DSDV!G1064</f>
        <v>0</v>
      </c>
      <c r="C1059" s="237">
        <f>DSDV!K1064</f>
        <v>0</v>
      </c>
      <c r="D1059" s="238">
        <f>DSDV!W1064</f>
        <v>0</v>
      </c>
    </row>
    <row r="1060" spans="1:4">
      <c r="A1060">
        <f>DSDV!B1065</f>
        <v>0</v>
      </c>
      <c r="B1060">
        <f>DSDV!G1065</f>
        <v>0</v>
      </c>
      <c r="C1060" s="237">
        <f>DSDV!K1065</f>
        <v>0</v>
      </c>
      <c r="D1060" s="238">
        <f>DSDV!W1065</f>
        <v>0</v>
      </c>
    </row>
    <row r="1061" spans="1:4">
      <c r="A1061">
        <f>DSDV!B1066</f>
        <v>0</v>
      </c>
      <c r="B1061">
        <f>DSDV!G1066</f>
        <v>0</v>
      </c>
      <c r="C1061" s="237">
        <f>DSDV!K1066</f>
        <v>0</v>
      </c>
      <c r="D1061" s="238">
        <f>DSDV!W1066</f>
        <v>0</v>
      </c>
    </row>
    <row r="1062" spans="1:4">
      <c r="A1062">
        <f>DSDV!B1067</f>
        <v>0</v>
      </c>
      <c r="B1062">
        <f>DSDV!G1067</f>
        <v>0</v>
      </c>
      <c r="C1062" s="237">
        <f>DSDV!K1067</f>
        <v>0</v>
      </c>
      <c r="D1062" s="238">
        <f>DSDV!W1067</f>
        <v>0</v>
      </c>
    </row>
    <row r="1063" spans="1:4">
      <c r="A1063">
        <f>DSDV!B1068</f>
        <v>0</v>
      </c>
      <c r="B1063">
        <f>DSDV!G1068</f>
        <v>0</v>
      </c>
      <c r="C1063" s="237">
        <f>DSDV!K1068</f>
        <v>0</v>
      </c>
      <c r="D1063" s="238">
        <f>DSDV!W1068</f>
        <v>0</v>
      </c>
    </row>
    <row r="1064" spans="1:4">
      <c r="A1064">
        <f>DSDV!B1069</f>
        <v>0</v>
      </c>
      <c r="B1064">
        <f>DSDV!G1069</f>
        <v>0</v>
      </c>
      <c r="C1064" s="237">
        <f>DSDV!K1069</f>
        <v>0</v>
      </c>
      <c r="D1064" s="238">
        <f>DSDV!W1069</f>
        <v>0</v>
      </c>
    </row>
    <row r="1065" spans="1:4">
      <c r="A1065">
        <f>DSDV!B1070</f>
        <v>0</v>
      </c>
      <c r="B1065">
        <f>DSDV!G1070</f>
        <v>0</v>
      </c>
      <c r="C1065" s="237">
        <f>DSDV!K1070</f>
        <v>0</v>
      </c>
      <c r="D1065" s="238">
        <f>DSDV!W1070</f>
        <v>0</v>
      </c>
    </row>
    <row r="1066" spans="1:4">
      <c r="A1066">
        <f>DSDV!B1071</f>
        <v>0</v>
      </c>
      <c r="B1066">
        <f>DSDV!G1071</f>
        <v>0</v>
      </c>
      <c r="C1066" s="237">
        <f>DSDV!K1071</f>
        <v>0</v>
      </c>
      <c r="D1066" s="238">
        <f>DSDV!W1071</f>
        <v>0</v>
      </c>
    </row>
    <row r="1067" spans="1:4">
      <c r="A1067">
        <f>DSDV!B1072</f>
        <v>0</v>
      </c>
      <c r="B1067">
        <f>DSDV!G1072</f>
        <v>0</v>
      </c>
      <c r="C1067" s="237">
        <f>DSDV!K1072</f>
        <v>0</v>
      </c>
      <c r="D1067" s="238">
        <f>DSDV!W1072</f>
        <v>0</v>
      </c>
    </row>
    <row r="1068" spans="1:4">
      <c r="A1068">
        <f>DSDV!B1073</f>
        <v>0</v>
      </c>
      <c r="B1068">
        <f>DSDV!G1073</f>
        <v>0</v>
      </c>
      <c r="C1068" s="237">
        <f>DSDV!K1073</f>
        <v>0</v>
      </c>
      <c r="D1068" s="238">
        <f>DSDV!W1073</f>
        <v>0</v>
      </c>
    </row>
    <row r="1069" spans="1:4">
      <c r="A1069">
        <f>DSDV!B1074</f>
        <v>0</v>
      </c>
      <c r="B1069">
        <f>DSDV!G1074</f>
        <v>0</v>
      </c>
      <c r="C1069" s="237">
        <f>DSDV!K1074</f>
        <v>0</v>
      </c>
      <c r="D1069" s="238">
        <f>DSDV!W1074</f>
        <v>0</v>
      </c>
    </row>
    <row r="1070" spans="1:4">
      <c r="A1070">
        <f>DSDV!B1075</f>
        <v>0</v>
      </c>
      <c r="B1070">
        <f>DSDV!G1075</f>
        <v>0</v>
      </c>
      <c r="C1070" s="237">
        <f>DSDV!K1075</f>
        <v>0</v>
      </c>
      <c r="D1070" s="238">
        <f>DSDV!W1075</f>
        <v>0</v>
      </c>
    </row>
    <row r="1071" spans="1:4">
      <c r="A1071">
        <f>DSDV!B1076</f>
        <v>0</v>
      </c>
      <c r="B1071">
        <f>DSDV!G1076</f>
        <v>0</v>
      </c>
      <c r="C1071" s="237">
        <f>DSDV!K1076</f>
        <v>0</v>
      </c>
      <c r="D1071" s="238">
        <f>DSDV!W1076</f>
        <v>0</v>
      </c>
    </row>
    <row r="1072" spans="1:4">
      <c r="A1072">
        <f>DSDV!B1077</f>
        <v>0</v>
      </c>
      <c r="B1072">
        <f>DSDV!G1077</f>
        <v>0</v>
      </c>
      <c r="C1072" s="237">
        <f>DSDV!K1077</f>
        <v>0</v>
      </c>
      <c r="D1072" s="238">
        <f>DSDV!W1077</f>
        <v>0</v>
      </c>
    </row>
    <row r="1073" spans="1:4">
      <c r="A1073">
        <f>DSDV!B1078</f>
        <v>0</v>
      </c>
      <c r="B1073">
        <f>DSDV!G1078</f>
        <v>0</v>
      </c>
      <c r="C1073" s="237">
        <f>DSDV!K1078</f>
        <v>0</v>
      </c>
      <c r="D1073" s="238">
        <f>DSDV!W1078</f>
        <v>0</v>
      </c>
    </row>
    <row r="1074" spans="1:4">
      <c r="A1074">
        <f>DSDV!B1079</f>
        <v>0</v>
      </c>
      <c r="B1074">
        <f>DSDV!G1079</f>
        <v>0</v>
      </c>
      <c r="C1074" s="237">
        <f>DSDV!K1079</f>
        <v>0</v>
      </c>
      <c r="D1074" s="238">
        <f>DSDV!W1079</f>
        <v>0</v>
      </c>
    </row>
    <row r="1075" spans="1:4">
      <c r="A1075">
        <f>DSDV!B1080</f>
        <v>0</v>
      </c>
      <c r="B1075">
        <f>DSDV!G1080</f>
        <v>0</v>
      </c>
      <c r="C1075" s="237">
        <f>DSDV!K1080</f>
        <v>0</v>
      </c>
      <c r="D1075" s="238">
        <f>DSDV!W1080</f>
        <v>0</v>
      </c>
    </row>
    <row r="1076" spans="1:4">
      <c r="A1076">
        <f>DSDV!B1081</f>
        <v>0</v>
      </c>
      <c r="B1076">
        <f>DSDV!G1081</f>
        <v>0</v>
      </c>
      <c r="C1076" s="237">
        <f>DSDV!K1081</f>
        <v>0</v>
      </c>
      <c r="D1076" s="238">
        <f>DSDV!W1081</f>
        <v>0</v>
      </c>
    </row>
    <row r="1077" spans="1:4">
      <c r="A1077">
        <f>DSDV!B1082</f>
        <v>0</v>
      </c>
      <c r="B1077">
        <f>DSDV!G1082</f>
        <v>0</v>
      </c>
      <c r="C1077" s="237">
        <f>DSDV!K1082</f>
        <v>0</v>
      </c>
      <c r="D1077" s="238">
        <f>DSDV!W1082</f>
        <v>0</v>
      </c>
    </row>
    <row r="1078" spans="1:4">
      <c r="A1078">
        <f>DSDV!B1083</f>
        <v>0</v>
      </c>
      <c r="B1078">
        <f>DSDV!G1083</f>
        <v>0</v>
      </c>
      <c r="C1078" s="237">
        <f>DSDV!K1083</f>
        <v>0</v>
      </c>
      <c r="D1078" s="238">
        <f>DSDV!W1083</f>
        <v>0</v>
      </c>
    </row>
    <row r="1079" spans="1:4">
      <c r="A1079">
        <f>DSDV!B1084</f>
        <v>0</v>
      </c>
      <c r="B1079">
        <f>DSDV!G1084</f>
        <v>0</v>
      </c>
      <c r="C1079" s="237">
        <f>DSDV!K1084</f>
        <v>0</v>
      </c>
      <c r="D1079" s="238">
        <f>DSDV!W1084</f>
        <v>0</v>
      </c>
    </row>
    <row r="1080" spans="1:4">
      <c r="A1080">
        <f>DSDV!B1085</f>
        <v>0</v>
      </c>
      <c r="B1080">
        <f>DSDV!G1085</f>
        <v>0</v>
      </c>
      <c r="C1080" s="237">
        <f>DSDV!K1085</f>
        <v>0</v>
      </c>
      <c r="D1080" s="238">
        <f>DSDV!W1085</f>
        <v>0</v>
      </c>
    </row>
    <row r="1081" spans="1:4">
      <c r="A1081">
        <f>DSDV!B1086</f>
        <v>0</v>
      </c>
      <c r="B1081">
        <f>DSDV!G1086</f>
        <v>0</v>
      </c>
      <c r="C1081" s="237">
        <f>DSDV!K1086</f>
        <v>0</v>
      </c>
      <c r="D1081" s="238">
        <f>DSDV!W1086</f>
        <v>0</v>
      </c>
    </row>
    <row r="1082" spans="1:4">
      <c r="A1082">
        <f>DSDV!B1087</f>
        <v>0</v>
      </c>
      <c r="B1082">
        <f>DSDV!G1087</f>
        <v>0</v>
      </c>
      <c r="C1082" s="237">
        <f>DSDV!K1087</f>
        <v>0</v>
      </c>
      <c r="D1082" s="238">
        <f>DSDV!W1087</f>
        <v>0</v>
      </c>
    </row>
    <row r="1083" spans="1:4">
      <c r="A1083">
        <f>DSDV!B1088</f>
        <v>0</v>
      </c>
      <c r="B1083">
        <f>DSDV!G1088</f>
        <v>0</v>
      </c>
      <c r="C1083" s="237">
        <f>DSDV!K1088</f>
        <v>0</v>
      </c>
      <c r="D1083" s="238">
        <f>DSDV!W1088</f>
        <v>0</v>
      </c>
    </row>
    <row r="1084" spans="1:4">
      <c r="A1084">
        <f>DSDV!B1089</f>
        <v>0</v>
      </c>
      <c r="B1084">
        <f>DSDV!G1089</f>
        <v>0</v>
      </c>
      <c r="C1084" s="237">
        <f>DSDV!K1089</f>
        <v>0</v>
      </c>
      <c r="D1084" s="238">
        <f>DSDV!W1089</f>
        <v>0</v>
      </c>
    </row>
    <row r="1085" spans="1:4">
      <c r="A1085">
        <f>DSDV!B1090</f>
        <v>0</v>
      </c>
      <c r="B1085">
        <f>DSDV!G1090</f>
        <v>0</v>
      </c>
      <c r="C1085" s="237">
        <f>DSDV!K1090</f>
        <v>0</v>
      </c>
      <c r="D1085" s="238">
        <f>DSDV!W1090</f>
        <v>0</v>
      </c>
    </row>
    <row r="1086" spans="1:4">
      <c r="A1086">
        <f>DSDV!B1091</f>
        <v>0</v>
      </c>
      <c r="B1086">
        <f>DSDV!G1091</f>
        <v>0</v>
      </c>
      <c r="C1086" s="237">
        <f>DSDV!K1091</f>
        <v>0</v>
      </c>
      <c r="D1086" s="238">
        <f>DSDV!W1091</f>
        <v>0</v>
      </c>
    </row>
    <row r="1087" spans="1:4">
      <c r="A1087">
        <f>DSDV!B1092</f>
        <v>0</v>
      </c>
      <c r="B1087">
        <f>DSDV!G1092</f>
        <v>0</v>
      </c>
      <c r="C1087" s="237">
        <f>DSDV!K1092</f>
        <v>0</v>
      </c>
      <c r="D1087" s="238">
        <f>DSDV!W1092</f>
        <v>0</v>
      </c>
    </row>
    <row r="1088" spans="1:4">
      <c r="A1088">
        <f>DSDV!B1093</f>
        <v>0</v>
      </c>
      <c r="B1088">
        <f>DSDV!G1093</f>
        <v>0</v>
      </c>
      <c r="C1088" s="237">
        <f>DSDV!K1093</f>
        <v>0</v>
      </c>
      <c r="D1088" s="238">
        <f>DSDV!W1093</f>
        <v>0</v>
      </c>
    </row>
    <row r="1089" spans="1:4">
      <c r="A1089">
        <f>DSDV!B1094</f>
        <v>0</v>
      </c>
      <c r="B1089">
        <f>DSDV!G1094</f>
        <v>0</v>
      </c>
      <c r="C1089" s="237">
        <f>DSDV!K1094</f>
        <v>0</v>
      </c>
      <c r="D1089" s="238">
        <f>DSDV!W1094</f>
        <v>0</v>
      </c>
    </row>
    <row r="1090" spans="1:4">
      <c r="A1090">
        <f>DSDV!B1095</f>
        <v>0</v>
      </c>
      <c r="B1090">
        <f>DSDV!G1095</f>
        <v>0</v>
      </c>
      <c r="C1090" s="237">
        <f>DSDV!K1095</f>
        <v>0</v>
      </c>
      <c r="D1090" s="238">
        <f>DSDV!W1095</f>
        <v>0</v>
      </c>
    </row>
    <row r="1091" spans="1:4">
      <c r="A1091">
        <f>DSDV!B1096</f>
        <v>0</v>
      </c>
      <c r="B1091">
        <f>DSDV!G1096</f>
        <v>0</v>
      </c>
      <c r="C1091" s="237">
        <f>DSDV!K1096</f>
        <v>0</v>
      </c>
      <c r="D1091" s="238">
        <f>DSDV!W1096</f>
        <v>0</v>
      </c>
    </row>
    <row r="1092" spans="1:4">
      <c r="A1092">
        <f>DSDV!B1097</f>
        <v>0</v>
      </c>
      <c r="B1092">
        <f>DSDV!G1097</f>
        <v>0</v>
      </c>
      <c r="C1092" s="237">
        <f>DSDV!K1097</f>
        <v>0</v>
      </c>
      <c r="D1092" s="238">
        <f>DSDV!W1097</f>
        <v>0</v>
      </c>
    </row>
    <row r="1093" spans="1:4">
      <c r="A1093">
        <f>DSDV!B1098</f>
        <v>0</v>
      </c>
      <c r="B1093">
        <f>DSDV!G1098</f>
        <v>0</v>
      </c>
      <c r="C1093" s="237">
        <f>DSDV!K1098</f>
        <v>0</v>
      </c>
      <c r="D1093" s="238">
        <f>DSDV!W1098</f>
        <v>0</v>
      </c>
    </row>
    <row r="1094" spans="1:4">
      <c r="A1094">
        <f>DSDV!B1099</f>
        <v>0</v>
      </c>
      <c r="B1094">
        <f>DSDV!G1099</f>
        <v>0</v>
      </c>
      <c r="C1094" s="237">
        <f>DSDV!K1099</f>
        <v>0</v>
      </c>
      <c r="D1094" s="238">
        <f>DSDV!W1099</f>
        <v>0</v>
      </c>
    </row>
    <row r="1095" spans="1:4">
      <c r="A1095">
        <f>DSDV!B1100</f>
        <v>0</v>
      </c>
      <c r="B1095">
        <f>DSDV!G1100</f>
        <v>0</v>
      </c>
      <c r="C1095" s="237">
        <f>DSDV!K1100</f>
        <v>0</v>
      </c>
      <c r="D1095" s="238">
        <f>DSDV!W1100</f>
        <v>0</v>
      </c>
    </row>
    <row r="1096" spans="1:4">
      <c r="A1096">
        <f>DSDV!B1101</f>
        <v>0</v>
      </c>
      <c r="B1096">
        <f>DSDV!G1101</f>
        <v>0</v>
      </c>
      <c r="C1096" s="237">
        <f>DSDV!K1101</f>
        <v>0</v>
      </c>
      <c r="D1096" s="238">
        <f>DSDV!W1101</f>
        <v>0</v>
      </c>
    </row>
    <row r="1097" spans="1:4">
      <c r="A1097">
        <f>DSDV!B1102</f>
        <v>0</v>
      </c>
      <c r="B1097">
        <f>DSDV!G1102</f>
        <v>0</v>
      </c>
      <c r="C1097" s="237">
        <f>DSDV!K1102</f>
        <v>0</v>
      </c>
      <c r="D1097" s="238">
        <f>DSDV!W1102</f>
        <v>0</v>
      </c>
    </row>
    <row r="1098" spans="1:4">
      <c r="A1098">
        <f>DSDV!B1103</f>
        <v>0</v>
      </c>
      <c r="B1098">
        <f>DSDV!G1103</f>
        <v>0</v>
      </c>
      <c r="C1098" s="237">
        <f>DSDV!K1103</f>
        <v>0</v>
      </c>
      <c r="D1098" s="238">
        <f>DSDV!W1103</f>
        <v>0</v>
      </c>
    </row>
    <row r="1099" spans="1:4">
      <c r="A1099">
        <f>DSDV!B1104</f>
        <v>0</v>
      </c>
      <c r="B1099">
        <f>DSDV!G1104</f>
        <v>0</v>
      </c>
      <c r="C1099" s="237">
        <f>DSDV!K1104</f>
        <v>0</v>
      </c>
      <c r="D1099" s="238">
        <f>DSDV!W1104</f>
        <v>0</v>
      </c>
    </row>
    <row r="1100" spans="1:4">
      <c r="A1100">
        <f>DSDV!B1105</f>
        <v>0</v>
      </c>
      <c r="B1100">
        <f>DSDV!G1105</f>
        <v>0</v>
      </c>
      <c r="C1100" s="237">
        <f>DSDV!K1105</f>
        <v>0</v>
      </c>
      <c r="D1100" s="238">
        <f>DSDV!W1105</f>
        <v>0</v>
      </c>
    </row>
    <row r="1101" spans="1:4">
      <c r="A1101">
        <f>DSDV!B1106</f>
        <v>0</v>
      </c>
      <c r="B1101">
        <f>DSDV!G1106</f>
        <v>0</v>
      </c>
      <c r="C1101" s="237">
        <f>DSDV!K1106</f>
        <v>0</v>
      </c>
      <c r="D1101" s="238">
        <f>DSDV!W1106</f>
        <v>0</v>
      </c>
    </row>
    <row r="1102" spans="1:4">
      <c r="A1102">
        <f>DSDV!B1107</f>
        <v>0</v>
      </c>
      <c r="B1102">
        <f>DSDV!G1107</f>
        <v>0</v>
      </c>
      <c r="C1102" s="237">
        <f>DSDV!K1107</f>
        <v>0</v>
      </c>
      <c r="D1102" s="238">
        <f>DSDV!W1107</f>
        <v>0</v>
      </c>
    </row>
    <row r="1103" spans="1:4">
      <c r="A1103">
        <f>DSDV!B1108</f>
        <v>0</v>
      </c>
      <c r="B1103">
        <f>DSDV!G1108</f>
        <v>0</v>
      </c>
      <c r="C1103" s="237">
        <f>DSDV!K1108</f>
        <v>0</v>
      </c>
      <c r="D1103" s="238">
        <f>DSDV!W1108</f>
        <v>0</v>
      </c>
    </row>
    <row r="1104" spans="1:4">
      <c r="A1104">
        <f>DSDV!B1109</f>
        <v>0</v>
      </c>
      <c r="B1104">
        <f>DSDV!G1109</f>
        <v>0</v>
      </c>
      <c r="C1104" s="237">
        <f>DSDV!K1109</f>
        <v>0</v>
      </c>
      <c r="D1104" s="238">
        <f>DSDV!W1109</f>
        <v>0</v>
      </c>
    </row>
    <row r="1105" spans="1:4">
      <c r="A1105">
        <f>DSDV!B1110</f>
        <v>0</v>
      </c>
      <c r="B1105">
        <f>DSDV!G1110</f>
        <v>0</v>
      </c>
      <c r="C1105" s="237">
        <f>DSDV!K1110</f>
        <v>0</v>
      </c>
      <c r="D1105" s="238">
        <f>DSDV!W1110</f>
        <v>0</v>
      </c>
    </row>
    <row r="1106" spans="1:4">
      <c r="A1106">
        <f>DSDV!B1111</f>
        <v>0</v>
      </c>
      <c r="B1106">
        <f>DSDV!G1111</f>
        <v>0</v>
      </c>
      <c r="C1106" s="237">
        <f>DSDV!K1111</f>
        <v>0</v>
      </c>
      <c r="D1106" s="238">
        <f>DSDV!W1111</f>
        <v>0</v>
      </c>
    </row>
    <row r="1107" spans="1:4">
      <c r="A1107">
        <f>DSDV!B1112</f>
        <v>0</v>
      </c>
      <c r="B1107">
        <f>DSDV!G1112</f>
        <v>0</v>
      </c>
      <c r="C1107" s="237">
        <f>DSDV!K1112</f>
        <v>0</v>
      </c>
      <c r="D1107" s="238">
        <f>DSDV!W1112</f>
        <v>0</v>
      </c>
    </row>
    <row r="1108" spans="1:4">
      <c r="A1108">
        <f>DSDV!B1113</f>
        <v>0</v>
      </c>
      <c r="B1108">
        <f>DSDV!G1113</f>
        <v>0</v>
      </c>
      <c r="C1108" s="237">
        <f>DSDV!K1113</f>
        <v>0</v>
      </c>
      <c r="D1108" s="238">
        <f>DSDV!W1113</f>
        <v>0</v>
      </c>
    </row>
    <row r="1109" spans="1:4">
      <c r="A1109">
        <f>DSDV!B1114</f>
        <v>0</v>
      </c>
      <c r="B1109">
        <f>DSDV!G1114</f>
        <v>0</v>
      </c>
      <c r="C1109" s="237">
        <f>DSDV!K1114</f>
        <v>0</v>
      </c>
      <c r="D1109" s="238">
        <f>DSDV!W1114</f>
        <v>0</v>
      </c>
    </row>
    <row r="1110" spans="1:4">
      <c r="A1110">
        <f>DSDV!B1115</f>
        <v>0</v>
      </c>
      <c r="B1110">
        <f>DSDV!G1115</f>
        <v>0</v>
      </c>
      <c r="C1110" s="237">
        <f>DSDV!K1115</f>
        <v>0</v>
      </c>
      <c r="D1110" s="238">
        <f>DSDV!W1115</f>
        <v>0</v>
      </c>
    </row>
    <row r="1111" spans="1:4">
      <c r="A1111">
        <f>DSDV!B1116</f>
        <v>0</v>
      </c>
      <c r="B1111">
        <f>DSDV!G1116</f>
        <v>0</v>
      </c>
      <c r="C1111" s="237">
        <f>DSDV!K1116</f>
        <v>0</v>
      </c>
      <c r="D1111" s="238">
        <f>DSDV!W1116</f>
        <v>0</v>
      </c>
    </row>
    <row r="1112" spans="1:4">
      <c r="A1112">
        <f>DSDV!B1117</f>
        <v>0</v>
      </c>
      <c r="B1112">
        <f>DSDV!G1117</f>
        <v>0</v>
      </c>
      <c r="C1112" s="237">
        <f>DSDV!K1117</f>
        <v>0</v>
      </c>
      <c r="D1112" s="238">
        <f>DSDV!W1117</f>
        <v>0</v>
      </c>
    </row>
    <row r="1113" spans="1:4">
      <c r="A1113">
        <f>DSDV!B1118</f>
        <v>0</v>
      </c>
      <c r="B1113">
        <f>DSDV!G1118</f>
        <v>0</v>
      </c>
      <c r="C1113" s="237">
        <f>DSDV!K1118</f>
        <v>0</v>
      </c>
      <c r="D1113" s="238">
        <f>DSDV!W1118</f>
        <v>0</v>
      </c>
    </row>
    <row r="1114" spans="1:4">
      <c r="A1114">
        <f>DSDV!B1119</f>
        <v>0</v>
      </c>
      <c r="B1114">
        <f>DSDV!G1119</f>
        <v>0</v>
      </c>
      <c r="C1114" s="237">
        <f>DSDV!K1119</f>
        <v>0</v>
      </c>
      <c r="D1114" s="238">
        <f>DSDV!W1119</f>
        <v>0</v>
      </c>
    </row>
    <row r="1115" spans="1:4">
      <c r="A1115">
        <f>DSDV!B1120</f>
        <v>0</v>
      </c>
      <c r="B1115">
        <f>DSDV!G1120</f>
        <v>0</v>
      </c>
      <c r="C1115" s="237">
        <f>DSDV!K1120</f>
        <v>0</v>
      </c>
      <c r="D1115" s="238">
        <f>DSDV!W1120</f>
        <v>0</v>
      </c>
    </row>
    <row r="1116" spans="1:4">
      <c r="A1116">
        <f>DSDV!B1121</f>
        <v>0</v>
      </c>
      <c r="B1116">
        <f>DSDV!G1121</f>
        <v>0</v>
      </c>
      <c r="C1116" s="237">
        <f>DSDV!K1121</f>
        <v>0</v>
      </c>
      <c r="D1116" s="238">
        <f>DSDV!W1121</f>
        <v>0</v>
      </c>
    </row>
    <row r="1117" spans="1:4">
      <c r="A1117">
        <f>DSDV!B1122</f>
        <v>0</v>
      </c>
      <c r="B1117">
        <f>DSDV!G1122</f>
        <v>0</v>
      </c>
      <c r="C1117" s="237">
        <f>DSDV!K1122</f>
        <v>0</v>
      </c>
      <c r="D1117" s="238">
        <f>DSDV!W1122</f>
        <v>0</v>
      </c>
    </row>
    <row r="1118" spans="1:4">
      <c r="A1118">
        <f>DSDV!B1123</f>
        <v>0</v>
      </c>
      <c r="B1118">
        <f>DSDV!G1123</f>
        <v>0</v>
      </c>
      <c r="C1118" s="237">
        <f>DSDV!K1123</f>
        <v>0</v>
      </c>
      <c r="D1118" s="238">
        <f>DSDV!W1123</f>
        <v>0</v>
      </c>
    </row>
    <row r="1119" spans="1:4">
      <c r="A1119">
        <f>DSDV!B1124</f>
        <v>0</v>
      </c>
      <c r="B1119">
        <f>DSDV!G1124</f>
        <v>0</v>
      </c>
      <c r="C1119" s="237">
        <f>DSDV!K1124</f>
        <v>0</v>
      </c>
      <c r="D1119" s="238">
        <f>DSDV!W1124</f>
        <v>0</v>
      </c>
    </row>
    <row r="1120" spans="1:4">
      <c r="A1120">
        <f>DSDV!B1125</f>
        <v>0</v>
      </c>
      <c r="B1120">
        <f>DSDV!G1125</f>
        <v>0</v>
      </c>
      <c r="C1120" s="237">
        <f>DSDV!K1125</f>
        <v>0</v>
      </c>
      <c r="D1120" s="238">
        <f>DSDV!W1125</f>
        <v>0</v>
      </c>
    </row>
    <row r="1121" spans="1:4">
      <c r="A1121">
        <f>DSDV!B1126</f>
        <v>0</v>
      </c>
      <c r="B1121">
        <f>DSDV!G1126</f>
        <v>0</v>
      </c>
      <c r="C1121" s="237">
        <f>DSDV!K1126</f>
        <v>0</v>
      </c>
      <c r="D1121" s="238">
        <f>DSDV!W1126</f>
        <v>0</v>
      </c>
    </row>
    <row r="1122" spans="1:4">
      <c r="A1122">
        <f>DSDV!B1127</f>
        <v>0</v>
      </c>
      <c r="B1122">
        <f>DSDV!G1127</f>
        <v>0</v>
      </c>
      <c r="C1122" s="237">
        <f>DSDV!K1127</f>
        <v>0</v>
      </c>
      <c r="D1122" s="238">
        <f>DSDV!W1127</f>
        <v>0</v>
      </c>
    </row>
    <row r="1123" spans="1:4">
      <c r="A1123">
        <f>DSDV!B1128</f>
        <v>0</v>
      </c>
      <c r="B1123">
        <f>DSDV!G1128</f>
        <v>0</v>
      </c>
      <c r="C1123" s="237">
        <f>DSDV!K1128</f>
        <v>0</v>
      </c>
      <c r="D1123" s="238">
        <f>DSDV!W1128</f>
        <v>0</v>
      </c>
    </row>
    <row r="1124" spans="1:4">
      <c r="A1124">
        <f>DSDV!B1129</f>
        <v>0</v>
      </c>
      <c r="B1124">
        <f>DSDV!G1129</f>
        <v>0</v>
      </c>
      <c r="C1124" s="237">
        <f>DSDV!K1129</f>
        <v>0</v>
      </c>
      <c r="D1124" s="238">
        <f>DSDV!W1129</f>
        <v>0</v>
      </c>
    </row>
    <row r="1125" spans="1:4">
      <c r="A1125">
        <f>DSDV!B1130</f>
        <v>0</v>
      </c>
      <c r="B1125">
        <f>DSDV!G1130</f>
        <v>0</v>
      </c>
      <c r="C1125" s="237">
        <f>DSDV!K1130</f>
        <v>0</v>
      </c>
      <c r="D1125" s="238">
        <f>DSDV!W1130</f>
        <v>0</v>
      </c>
    </row>
    <row r="1126" spans="1:4">
      <c r="A1126">
        <f>DSDV!B1131</f>
        <v>0</v>
      </c>
      <c r="B1126">
        <f>DSDV!G1131</f>
        <v>0</v>
      </c>
      <c r="C1126" s="237">
        <f>DSDV!K1131</f>
        <v>0</v>
      </c>
      <c r="D1126" s="238">
        <f>DSDV!W1131</f>
        <v>0</v>
      </c>
    </row>
    <row r="1127" spans="1:4">
      <c r="A1127">
        <f>DSDV!B1132</f>
        <v>0</v>
      </c>
      <c r="B1127">
        <f>DSDV!G1132</f>
        <v>0</v>
      </c>
      <c r="C1127" s="237">
        <f>DSDV!K1132</f>
        <v>0</v>
      </c>
      <c r="D1127" s="238">
        <f>DSDV!W1132</f>
        <v>0</v>
      </c>
    </row>
    <row r="1128" spans="1:4">
      <c r="A1128">
        <f>DSDV!B1133</f>
        <v>0</v>
      </c>
      <c r="B1128">
        <f>DSDV!G1133</f>
        <v>0</v>
      </c>
      <c r="C1128" s="237">
        <f>DSDV!K1133</f>
        <v>0</v>
      </c>
      <c r="D1128" s="238">
        <f>DSDV!W1133</f>
        <v>0</v>
      </c>
    </row>
    <row r="1129" spans="1:4">
      <c r="A1129">
        <f>DSDV!B1134</f>
        <v>0</v>
      </c>
      <c r="B1129">
        <f>DSDV!G1134</f>
        <v>0</v>
      </c>
      <c r="C1129" s="237">
        <f>DSDV!K1134</f>
        <v>0</v>
      </c>
      <c r="D1129" s="238">
        <f>DSDV!W1134</f>
        <v>0</v>
      </c>
    </row>
    <row r="1130" spans="1:4">
      <c r="A1130">
        <f>DSDV!B1135</f>
        <v>0</v>
      </c>
      <c r="B1130">
        <f>DSDV!G1135</f>
        <v>0</v>
      </c>
      <c r="C1130" s="237">
        <f>DSDV!K1135</f>
        <v>0</v>
      </c>
      <c r="D1130" s="238">
        <f>DSDV!W1135</f>
        <v>0</v>
      </c>
    </row>
    <row r="1131" spans="1:4">
      <c r="A1131">
        <f>DSDV!B1136</f>
        <v>0</v>
      </c>
      <c r="B1131">
        <f>DSDV!G1136</f>
        <v>0</v>
      </c>
      <c r="C1131" s="237">
        <f>DSDV!K1136</f>
        <v>0</v>
      </c>
      <c r="D1131" s="238">
        <f>DSDV!W1136</f>
        <v>0</v>
      </c>
    </row>
    <row r="1132" spans="1:4">
      <c r="A1132">
        <f>DSDV!B1137</f>
        <v>0</v>
      </c>
      <c r="B1132">
        <f>DSDV!G1137</f>
        <v>0</v>
      </c>
      <c r="C1132" s="237">
        <f>DSDV!K1137</f>
        <v>0</v>
      </c>
      <c r="D1132" s="238">
        <f>DSDV!W1137</f>
        <v>0</v>
      </c>
    </row>
    <row r="1133" spans="1:4">
      <c r="A1133">
        <f>DSDV!B1138</f>
        <v>0</v>
      </c>
      <c r="B1133">
        <f>DSDV!G1138</f>
        <v>0</v>
      </c>
      <c r="C1133" s="237">
        <f>DSDV!K1138</f>
        <v>0</v>
      </c>
      <c r="D1133" s="238">
        <f>DSDV!W1138</f>
        <v>0</v>
      </c>
    </row>
    <row r="1134" spans="1:4">
      <c r="A1134">
        <f>DSDV!B1139</f>
        <v>0</v>
      </c>
      <c r="B1134">
        <f>DSDV!G1139</f>
        <v>0</v>
      </c>
      <c r="C1134" s="237">
        <f>DSDV!K1139</f>
        <v>0</v>
      </c>
      <c r="D1134" s="238">
        <f>DSDV!W1139</f>
        <v>0</v>
      </c>
    </row>
    <row r="1135" spans="1:4">
      <c r="A1135">
        <f>DSDV!B1140</f>
        <v>0</v>
      </c>
      <c r="B1135">
        <f>DSDV!G1140</f>
        <v>0</v>
      </c>
      <c r="C1135" s="237">
        <f>DSDV!K1140</f>
        <v>0</v>
      </c>
      <c r="D1135" s="238">
        <f>DSDV!W1140</f>
        <v>0</v>
      </c>
    </row>
    <row r="1136" spans="1:4">
      <c r="A1136">
        <f>DSDV!B1141</f>
        <v>0</v>
      </c>
      <c r="B1136">
        <f>DSDV!G1141</f>
        <v>0</v>
      </c>
      <c r="C1136" s="237">
        <f>DSDV!K1141</f>
        <v>0</v>
      </c>
      <c r="D1136" s="238">
        <f>DSDV!W1141</f>
        <v>0</v>
      </c>
    </row>
    <row r="1137" spans="1:4">
      <c r="A1137">
        <f>DSDV!B1142</f>
        <v>0</v>
      </c>
      <c r="B1137">
        <f>DSDV!G1142</f>
        <v>0</v>
      </c>
      <c r="C1137" s="237">
        <f>DSDV!K1142</f>
        <v>0</v>
      </c>
      <c r="D1137" s="238">
        <f>DSDV!W1142</f>
        <v>0</v>
      </c>
    </row>
    <row r="1138" spans="1:4">
      <c r="A1138">
        <f>DSDV!B1143</f>
        <v>0</v>
      </c>
      <c r="B1138">
        <f>DSDV!G1143</f>
        <v>0</v>
      </c>
      <c r="C1138" s="237">
        <f>DSDV!K1143</f>
        <v>0</v>
      </c>
      <c r="D1138" s="238">
        <f>DSDV!W1143</f>
        <v>0</v>
      </c>
    </row>
    <row r="1139" spans="1:4">
      <c r="A1139">
        <f>DSDV!B1144</f>
        <v>0</v>
      </c>
      <c r="B1139">
        <f>DSDV!G1144</f>
        <v>0</v>
      </c>
      <c r="C1139" s="237">
        <f>DSDV!K1144</f>
        <v>0</v>
      </c>
      <c r="D1139" s="238">
        <f>DSDV!W1144</f>
        <v>0</v>
      </c>
    </row>
    <row r="1140" spans="1:4">
      <c r="A1140">
        <f>DSDV!B1145</f>
        <v>0</v>
      </c>
      <c r="B1140">
        <f>DSDV!G1145</f>
        <v>0</v>
      </c>
      <c r="C1140" s="237">
        <f>DSDV!K1145</f>
        <v>0</v>
      </c>
      <c r="D1140" s="238">
        <f>DSDV!W1145</f>
        <v>0</v>
      </c>
    </row>
    <row r="1141" spans="1:4">
      <c r="A1141">
        <f>DSDV!B1146</f>
        <v>0</v>
      </c>
      <c r="B1141">
        <f>DSDV!G1146</f>
        <v>0</v>
      </c>
      <c r="C1141" s="237">
        <f>DSDV!K1146</f>
        <v>0</v>
      </c>
      <c r="D1141" s="238">
        <f>DSDV!W1146</f>
        <v>0</v>
      </c>
    </row>
    <row r="1142" spans="1:4">
      <c r="A1142">
        <f>DSDV!B1147</f>
        <v>0</v>
      </c>
      <c r="B1142">
        <f>DSDV!G1147</f>
        <v>0</v>
      </c>
      <c r="C1142" s="237">
        <f>DSDV!K1147</f>
        <v>0</v>
      </c>
      <c r="D1142" s="238">
        <f>DSDV!W1147</f>
        <v>0</v>
      </c>
    </row>
    <row r="1143" spans="1:4">
      <c r="A1143">
        <f>DSDV!B1148</f>
        <v>0</v>
      </c>
      <c r="B1143">
        <f>DSDV!G1148</f>
        <v>0</v>
      </c>
      <c r="C1143" s="237">
        <f>DSDV!K1148</f>
        <v>0</v>
      </c>
      <c r="D1143" s="238">
        <f>DSDV!W1148</f>
        <v>0</v>
      </c>
    </row>
    <row r="1144" spans="1:4">
      <c r="A1144">
        <f>DSDV!B1149</f>
        <v>0</v>
      </c>
      <c r="B1144">
        <f>DSDV!G1149</f>
        <v>0</v>
      </c>
      <c r="C1144" s="237">
        <f>DSDV!K1149</f>
        <v>0</v>
      </c>
      <c r="D1144" s="238">
        <f>DSDV!W1149</f>
        <v>0</v>
      </c>
    </row>
    <row r="1145" spans="1:4">
      <c r="A1145">
        <f>DSDV!B1150</f>
        <v>0</v>
      </c>
      <c r="B1145">
        <f>DSDV!G1150</f>
        <v>0</v>
      </c>
      <c r="C1145" s="237">
        <f>DSDV!K1150</f>
        <v>0</v>
      </c>
      <c r="D1145" s="238">
        <f>DSDV!W1150</f>
        <v>0</v>
      </c>
    </row>
    <row r="1146" spans="1:4">
      <c r="A1146">
        <f>DSDV!B1151</f>
        <v>0</v>
      </c>
      <c r="B1146">
        <f>DSDV!G1151</f>
        <v>0</v>
      </c>
      <c r="C1146" s="237">
        <f>DSDV!K1151</f>
        <v>0</v>
      </c>
      <c r="D1146" s="238">
        <f>DSDV!W1151</f>
        <v>0</v>
      </c>
    </row>
    <row r="1147" spans="1:4">
      <c r="A1147">
        <f>DSDV!B1152</f>
        <v>0</v>
      </c>
      <c r="B1147">
        <f>DSDV!G1152</f>
        <v>0</v>
      </c>
      <c r="C1147" s="237">
        <f>DSDV!K1152</f>
        <v>0</v>
      </c>
      <c r="D1147" s="238">
        <f>DSDV!W1152</f>
        <v>0</v>
      </c>
    </row>
    <row r="1148" spans="1:4">
      <c r="A1148">
        <f>DSDV!B1153</f>
        <v>0</v>
      </c>
      <c r="B1148">
        <f>DSDV!G1153</f>
        <v>0</v>
      </c>
      <c r="C1148" s="237">
        <f>DSDV!K1153</f>
        <v>0</v>
      </c>
      <c r="D1148" s="238">
        <f>DSDV!W1153</f>
        <v>0</v>
      </c>
    </row>
    <row r="1149" spans="1:4">
      <c r="A1149">
        <f>DSDV!B1154</f>
        <v>0</v>
      </c>
      <c r="B1149">
        <f>DSDV!G1154</f>
        <v>0</v>
      </c>
      <c r="C1149" s="237">
        <f>DSDV!K1154</f>
        <v>0</v>
      </c>
      <c r="D1149" s="238">
        <f>DSDV!W1154</f>
        <v>0</v>
      </c>
    </row>
    <row r="1150" spans="1:4">
      <c r="A1150">
        <f>DSDV!B1155</f>
        <v>0</v>
      </c>
      <c r="B1150">
        <f>DSDV!G1155</f>
        <v>0</v>
      </c>
      <c r="C1150" s="237">
        <f>DSDV!K1155</f>
        <v>0</v>
      </c>
      <c r="D1150" s="238">
        <f>DSDV!W1155</f>
        <v>0</v>
      </c>
    </row>
    <row r="1151" spans="1:4">
      <c r="A1151">
        <f>DSDV!B1156</f>
        <v>0</v>
      </c>
      <c r="B1151">
        <f>DSDV!G1156</f>
        <v>0</v>
      </c>
      <c r="C1151" s="237">
        <f>DSDV!K1156</f>
        <v>0</v>
      </c>
      <c r="D1151" s="238">
        <f>DSDV!W1156</f>
        <v>0</v>
      </c>
    </row>
    <row r="1152" spans="1:4">
      <c r="A1152">
        <f>DSDV!B1157</f>
        <v>0</v>
      </c>
      <c r="B1152">
        <f>DSDV!G1157</f>
        <v>0</v>
      </c>
      <c r="C1152" s="237">
        <f>DSDV!K1157</f>
        <v>0</v>
      </c>
      <c r="D1152" s="238">
        <f>DSDV!W1157</f>
        <v>0</v>
      </c>
    </row>
    <row r="1153" spans="1:4">
      <c r="A1153">
        <f>DSDV!B1158</f>
        <v>0</v>
      </c>
      <c r="B1153">
        <f>DSDV!G1158</f>
        <v>0</v>
      </c>
      <c r="C1153" s="237">
        <f>DSDV!K1158</f>
        <v>0</v>
      </c>
      <c r="D1153" s="238">
        <f>DSDV!W1158</f>
        <v>0</v>
      </c>
    </row>
    <row r="1154" spans="1:4">
      <c r="A1154">
        <f>DSDV!B1159</f>
        <v>0</v>
      </c>
      <c r="B1154">
        <f>DSDV!G1159</f>
        <v>0</v>
      </c>
      <c r="C1154" s="237">
        <f>DSDV!K1159</f>
        <v>0</v>
      </c>
      <c r="D1154" s="238">
        <f>DSDV!W1159</f>
        <v>0</v>
      </c>
    </row>
    <row r="1155" spans="1:4">
      <c r="A1155">
        <f>DSDV!B1160</f>
        <v>0</v>
      </c>
      <c r="B1155">
        <f>DSDV!G1160</f>
        <v>0</v>
      </c>
      <c r="C1155" s="237">
        <f>DSDV!K1160</f>
        <v>0</v>
      </c>
      <c r="D1155" s="238">
        <f>DSDV!W1160</f>
        <v>0</v>
      </c>
    </row>
    <row r="1156" spans="1:4">
      <c r="A1156">
        <f>DSDV!B1161</f>
        <v>0</v>
      </c>
      <c r="B1156">
        <f>DSDV!G1161</f>
        <v>0</v>
      </c>
      <c r="C1156" s="237">
        <f>DSDV!K1161</f>
        <v>0</v>
      </c>
      <c r="D1156" s="238">
        <f>DSDV!W1161</f>
        <v>0</v>
      </c>
    </row>
    <row r="1157" spans="1:4">
      <c r="A1157">
        <f>DSDV!B1162</f>
        <v>0</v>
      </c>
      <c r="B1157">
        <f>DSDV!G1162</f>
        <v>0</v>
      </c>
      <c r="C1157" s="237">
        <f>DSDV!K1162</f>
        <v>0</v>
      </c>
      <c r="D1157" s="238">
        <f>DSDV!W1162</f>
        <v>0</v>
      </c>
    </row>
    <row r="1158" spans="1:4">
      <c r="A1158">
        <f>DSDV!B1163</f>
        <v>0</v>
      </c>
      <c r="B1158">
        <f>DSDV!G1163</f>
        <v>0</v>
      </c>
      <c r="C1158" s="237">
        <f>DSDV!K1163</f>
        <v>0</v>
      </c>
      <c r="D1158" s="238">
        <f>DSDV!W1163</f>
        <v>0</v>
      </c>
    </row>
    <row r="1159" spans="1:4">
      <c r="A1159">
        <f>DSDV!B1164</f>
        <v>0</v>
      </c>
      <c r="B1159">
        <f>DSDV!G1164</f>
        <v>0</v>
      </c>
      <c r="C1159" s="237">
        <f>DSDV!K1164</f>
        <v>0</v>
      </c>
      <c r="D1159" s="238">
        <f>DSDV!W1164</f>
        <v>0</v>
      </c>
    </row>
    <row r="1160" spans="1:4">
      <c r="A1160">
        <f>DSDV!B1165</f>
        <v>0</v>
      </c>
      <c r="B1160">
        <f>DSDV!G1165</f>
        <v>0</v>
      </c>
      <c r="C1160" s="237">
        <f>DSDV!K1165</f>
        <v>0</v>
      </c>
      <c r="D1160" s="238">
        <f>DSDV!W1165</f>
        <v>0</v>
      </c>
    </row>
    <row r="1161" spans="1:4">
      <c r="A1161">
        <f>DSDV!B1166</f>
        <v>0</v>
      </c>
      <c r="B1161">
        <f>DSDV!G1166</f>
        <v>0</v>
      </c>
      <c r="C1161" s="237">
        <f>DSDV!K1166</f>
        <v>0</v>
      </c>
      <c r="D1161" s="238">
        <f>DSDV!W1166</f>
        <v>0</v>
      </c>
    </row>
    <row r="1162" spans="1:4">
      <c r="A1162">
        <f>DSDV!B1167</f>
        <v>0</v>
      </c>
      <c r="B1162">
        <f>DSDV!G1167</f>
        <v>0</v>
      </c>
      <c r="C1162" s="237">
        <f>DSDV!K1167</f>
        <v>0</v>
      </c>
      <c r="D1162" s="238">
        <f>DSDV!W1167</f>
        <v>0</v>
      </c>
    </row>
    <row r="1163" spans="1:4">
      <c r="A1163">
        <f>DSDV!B1168</f>
        <v>0</v>
      </c>
      <c r="B1163">
        <f>DSDV!G1168</f>
        <v>0</v>
      </c>
      <c r="C1163" s="237">
        <f>DSDV!K1168</f>
        <v>0</v>
      </c>
      <c r="D1163" s="238">
        <f>DSDV!W1168</f>
        <v>0</v>
      </c>
    </row>
    <row r="1164" spans="1:4">
      <c r="A1164">
        <f>DSDV!B1169</f>
        <v>0</v>
      </c>
      <c r="B1164">
        <f>DSDV!G1169</f>
        <v>0</v>
      </c>
      <c r="C1164" s="237">
        <f>DSDV!K1169</f>
        <v>0</v>
      </c>
      <c r="D1164" s="238">
        <f>DSDV!W1169</f>
        <v>0</v>
      </c>
    </row>
    <row r="1165" spans="1:4">
      <c r="A1165">
        <f>DSDV!B1170</f>
        <v>0</v>
      </c>
      <c r="B1165">
        <f>DSDV!G1170</f>
        <v>0</v>
      </c>
      <c r="C1165" s="237">
        <f>DSDV!K1170</f>
        <v>0</v>
      </c>
      <c r="D1165" s="238">
        <f>DSDV!W1170</f>
        <v>0</v>
      </c>
    </row>
    <row r="1166" spans="1:4">
      <c r="A1166">
        <f>DSDV!B1171</f>
        <v>0</v>
      </c>
      <c r="B1166">
        <f>DSDV!G1171</f>
        <v>0</v>
      </c>
      <c r="C1166" s="237">
        <f>DSDV!K1171</f>
        <v>0</v>
      </c>
      <c r="D1166" s="238">
        <f>DSDV!W1171</f>
        <v>0</v>
      </c>
    </row>
    <row r="1167" spans="1:4">
      <c r="A1167">
        <f>DSDV!B1172</f>
        <v>0</v>
      </c>
      <c r="B1167">
        <f>DSDV!G1172</f>
        <v>0</v>
      </c>
      <c r="C1167" s="237">
        <f>DSDV!K1172</f>
        <v>0</v>
      </c>
      <c r="D1167" s="238">
        <f>DSDV!W1172</f>
        <v>0</v>
      </c>
    </row>
    <row r="1168" spans="1:4">
      <c r="A1168">
        <f>DSDV!B1173</f>
        <v>0</v>
      </c>
      <c r="B1168">
        <f>DSDV!G1173</f>
        <v>0</v>
      </c>
      <c r="C1168" s="237">
        <f>DSDV!K1173</f>
        <v>0</v>
      </c>
      <c r="D1168" s="238">
        <f>DSDV!W1173</f>
        <v>0</v>
      </c>
    </row>
    <row r="1169" spans="1:4">
      <c r="A1169">
        <f>DSDV!B1174</f>
        <v>0</v>
      </c>
      <c r="B1169">
        <f>DSDV!G1174</f>
        <v>0</v>
      </c>
      <c r="C1169" s="237">
        <f>DSDV!K1174</f>
        <v>0</v>
      </c>
      <c r="D1169" s="238">
        <f>DSDV!W1174</f>
        <v>0</v>
      </c>
    </row>
    <row r="1170" spans="1:4">
      <c r="A1170">
        <f>DSDV!B1175</f>
        <v>0</v>
      </c>
      <c r="B1170">
        <f>DSDV!G1175</f>
        <v>0</v>
      </c>
      <c r="C1170" s="237">
        <f>DSDV!K1175</f>
        <v>0</v>
      </c>
      <c r="D1170" s="238">
        <f>DSDV!W1175</f>
        <v>0</v>
      </c>
    </row>
    <row r="1171" spans="1:4">
      <c r="A1171">
        <f>DSDV!B1176</f>
        <v>0</v>
      </c>
      <c r="B1171">
        <f>DSDV!G1176</f>
        <v>0</v>
      </c>
      <c r="C1171" s="237">
        <f>DSDV!K1176</f>
        <v>0</v>
      </c>
      <c r="D1171" s="238">
        <f>DSDV!W1176</f>
        <v>0</v>
      </c>
    </row>
    <row r="1172" spans="1:4">
      <c r="A1172">
        <f>DSDV!B1177</f>
        <v>0</v>
      </c>
      <c r="B1172">
        <f>DSDV!G1177</f>
        <v>0</v>
      </c>
      <c r="C1172" s="237">
        <f>DSDV!K1177</f>
        <v>0</v>
      </c>
      <c r="D1172" s="238">
        <f>DSDV!W1177</f>
        <v>0</v>
      </c>
    </row>
    <row r="1173" spans="1:4">
      <c r="A1173">
        <f>DSDV!B1178</f>
        <v>0</v>
      </c>
      <c r="B1173">
        <f>DSDV!G1178</f>
        <v>0</v>
      </c>
      <c r="C1173" s="237">
        <f>DSDV!K1178</f>
        <v>0</v>
      </c>
      <c r="D1173" s="238">
        <f>DSDV!W1178</f>
        <v>0</v>
      </c>
    </row>
    <row r="1174" spans="1:4">
      <c r="A1174">
        <f>DSDV!B1179</f>
        <v>0</v>
      </c>
      <c r="B1174">
        <f>DSDV!G1179</f>
        <v>0</v>
      </c>
      <c r="C1174" s="237">
        <f>DSDV!K1179</f>
        <v>0</v>
      </c>
      <c r="D1174" s="238">
        <f>DSDV!W1179</f>
        <v>0</v>
      </c>
    </row>
    <row r="1175" spans="1:4">
      <c r="A1175">
        <f>DSDV!B1180</f>
        <v>0</v>
      </c>
      <c r="B1175">
        <f>DSDV!G1180</f>
        <v>0</v>
      </c>
      <c r="C1175" s="237">
        <f>DSDV!K1180</f>
        <v>0</v>
      </c>
      <c r="D1175" s="238">
        <f>DSDV!W1180</f>
        <v>0</v>
      </c>
    </row>
    <row r="1176" spans="1:4">
      <c r="A1176">
        <f>DSDV!B1181</f>
        <v>0</v>
      </c>
      <c r="B1176">
        <f>DSDV!G1181</f>
        <v>0</v>
      </c>
      <c r="C1176" s="237">
        <f>DSDV!K1181</f>
        <v>0</v>
      </c>
      <c r="D1176" s="238">
        <f>DSDV!W1181</f>
        <v>0</v>
      </c>
    </row>
    <row r="1177" spans="1:4">
      <c r="A1177">
        <f>DSDV!B1182</f>
        <v>0</v>
      </c>
      <c r="B1177">
        <f>DSDV!G1182</f>
        <v>0</v>
      </c>
      <c r="C1177" s="237">
        <f>DSDV!K1182</f>
        <v>0</v>
      </c>
      <c r="D1177" s="238">
        <f>DSDV!W1182</f>
        <v>0</v>
      </c>
    </row>
    <row r="1178" spans="1:4">
      <c r="A1178">
        <f>DSDV!B1183</f>
        <v>0</v>
      </c>
      <c r="B1178">
        <f>DSDV!G1183</f>
        <v>0</v>
      </c>
      <c r="C1178" s="237">
        <f>DSDV!K1183</f>
        <v>0</v>
      </c>
      <c r="D1178" s="238">
        <f>DSDV!W1183</f>
        <v>0</v>
      </c>
    </row>
    <row r="1179" spans="1:4">
      <c r="A1179">
        <f>DSDV!B1184</f>
        <v>0</v>
      </c>
      <c r="B1179">
        <f>DSDV!G1184</f>
        <v>0</v>
      </c>
      <c r="C1179" s="237">
        <f>DSDV!K1184</f>
        <v>0</v>
      </c>
      <c r="D1179" s="238">
        <f>DSDV!W1184</f>
        <v>0</v>
      </c>
    </row>
    <row r="1180" spans="1:4">
      <c r="A1180">
        <f>DSDV!B1185</f>
        <v>0</v>
      </c>
      <c r="B1180">
        <f>DSDV!G1185</f>
        <v>0</v>
      </c>
      <c r="C1180" s="237">
        <f>DSDV!K1185</f>
        <v>0</v>
      </c>
      <c r="D1180" s="238">
        <f>DSDV!W1185</f>
        <v>0</v>
      </c>
    </row>
    <row r="1181" spans="1:4">
      <c r="A1181">
        <f>DSDV!B1186</f>
        <v>0</v>
      </c>
      <c r="B1181">
        <f>DSDV!G1186</f>
        <v>0</v>
      </c>
      <c r="C1181" s="237">
        <f>DSDV!K1186</f>
        <v>0</v>
      </c>
      <c r="D1181" s="238">
        <f>DSDV!W1186</f>
        <v>0</v>
      </c>
    </row>
    <row r="1182" spans="1:4">
      <c r="A1182">
        <f>DSDV!B1187</f>
        <v>0</v>
      </c>
      <c r="B1182">
        <f>DSDV!G1187</f>
        <v>0</v>
      </c>
      <c r="C1182" s="237">
        <f>DSDV!K1187</f>
        <v>0</v>
      </c>
      <c r="D1182" s="238">
        <f>DSDV!W1187</f>
        <v>0</v>
      </c>
    </row>
    <row r="1183" spans="1:4">
      <c r="A1183">
        <f>DSDV!B1188</f>
        <v>0</v>
      </c>
      <c r="B1183">
        <f>DSDV!G1188</f>
        <v>0</v>
      </c>
      <c r="C1183" s="237">
        <f>DSDV!K1188</f>
        <v>0</v>
      </c>
      <c r="D1183" s="238">
        <f>DSDV!W1188</f>
        <v>0</v>
      </c>
    </row>
    <row r="1184" spans="1:4">
      <c r="A1184">
        <f>DSDV!B1189</f>
        <v>0</v>
      </c>
      <c r="B1184">
        <f>DSDV!G1189</f>
        <v>0</v>
      </c>
      <c r="C1184" s="237">
        <f>DSDV!K1189</f>
        <v>0</v>
      </c>
      <c r="D1184" s="238">
        <f>DSDV!W1189</f>
        <v>0</v>
      </c>
    </row>
    <row r="1185" spans="1:4">
      <c r="A1185">
        <f>DSDV!B1190</f>
        <v>0</v>
      </c>
      <c r="B1185">
        <f>DSDV!G1190</f>
        <v>0</v>
      </c>
      <c r="C1185" s="237">
        <f>DSDV!K1190</f>
        <v>0</v>
      </c>
      <c r="D1185" s="238">
        <f>DSDV!W1190</f>
        <v>0</v>
      </c>
    </row>
    <row r="1186" spans="1:4">
      <c r="A1186">
        <f>DSDV!B1191</f>
        <v>0</v>
      </c>
      <c r="B1186">
        <f>DSDV!G1191</f>
        <v>0</v>
      </c>
      <c r="C1186" s="237">
        <f>DSDV!K1191</f>
        <v>0</v>
      </c>
      <c r="D1186" s="238">
        <f>DSDV!W1191</f>
        <v>0</v>
      </c>
    </row>
    <row r="1187" spans="1:4">
      <c r="A1187">
        <f>DSDV!B1192</f>
        <v>0</v>
      </c>
      <c r="B1187">
        <f>DSDV!G1192</f>
        <v>0</v>
      </c>
      <c r="C1187" s="237">
        <f>DSDV!K1192</f>
        <v>0</v>
      </c>
      <c r="D1187" s="238">
        <f>DSDV!W1192</f>
        <v>0</v>
      </c>
    </row>
    <row r="1188" spans="1:4">
      <c r="A1188">
        <f>DSDV!B1193</f>
        <v>0</v>
      </c>
      <c r="B1188">
        <f>DSDV!G1193</f>
        <v>0</v>
      </c>
      <c r="C1188" s="237">
        <f>DSDV!K1193</f>
        <v>0</v>
      </c>
      <c r="D1188" s="238">
        <f>DSDV!W1193</f>
        <v>0</v>
      </c>
    </row>
    <row r="1189" spans="1:4">
      <c r="A1189">
        <f>DSDV!B1194</f>
        <v>0</v>
      </c>
      <c r="B1189">
        <f>DSDV!G1194</f>
        <v>0</v>
      </c>
      <c r="C1189" s="237">
        <f>DSDV!K1194</f>
        <v>0</v>
      </c>
      <c r="D1189" s="238">
        <f>DSDV!W1194</f>
        <v>0</v>
      </c>
    </row>
    <row r="1190" spans="1:4">
      <c r="A1190">
        <f>DSDV!B1195</f>
        <v>0</v>
      </c>
      <c r="B1190">
        <f>DSDV!G1195</f>
        <v>0</v>
      </c>
      <c r="C1190" s="237">
        <f>DSDV!K1195</f>
        <v>0</v>
      </c>
      <c r="D1190" s="238">
        <f>DSDV!W1195</f>
        <v>0</v>
      </c>
    </row>
    <row r="1191" spans="1:4">
      <c r="A1191">
        <f>DSDV!B1196</f>
        <v>0</v>
      </c>
      <c r="B1191">
        <f>DSDV!G1196</f>
        <v>0</v>
      </c>
      <c r="C1191" s="237">
        <f>DSDV!K1196</f>
        <v>0</v>
      </c>
      <c r="D1191" s="238">
        <f>DSDV!W1196</f>
        <v>0</v>
      </c>
    </row>
    <row r="1192" spans="1:4">
      <c r="A1192">
        <f>DSDV!B1197</f>
        <v>0</v>
      </c>
      <c r="B1192">
        <f>DSDV!G1197</f>
        <v>0</v>
      </c>
      <c r="C1192" s="237">
        <f>DSDV!K1197</f>
        <v>0</v>
      </c>
      <c r="D1192" s="238">
        <f>DSDV!W1197</f>
        <v>0</v>
      </c>
    </row>
    <row r="1193" spans="1:4">
      <c r="A1193">
        <f>DSDV!B1198</f>
        <v>0</v>
      </c>
      <c r="B1193">
        <f>DSDV!G1198</f>
        <v>0</v>
      </c>
      <c r="C1193" s="237">
        <f>DSDV!K1198</f>
        <v>0</v>
      </c>
      <c r="D1193" s="238">
        <f>DSDV!W1198</f>
        <v>0</v>
      </c>
    </row>
    <row r="1194" spans="1:4">
      <c r="A1194">
        <f>DSDV!B1199</f>
        <v>0</v>
      </c>
      <c r="B1194">
        <f>DSDV!G1199</f>
        <v>0</v>
      </c>
      <c r="C1194" s="237">
        <f>DSDV!K1199</f>
        <v>0</v>
      </c>
      <c r="D1194" s="238">
        <f>DSDV!W1199</f>
        <v>0</v>
      </c>
    </row>
    <row r="1195" spans="1:4">
      <c r="A1195">
        <f>DSDV!B1200</f>
        <v>0</v>
      </c>
      <c r="B1195">
        <f>DSDV!G1200</f>
        <v>0</v>
      </c>
      <c r="C1195" s="237">
        <f>DSDV!K1200</f>
        <v>0</v>
      </c>
      <c r="D1195" s="238">
        <f>DSDV!W1200</f>
        <v>0</v>
      </c>
    </row>
    <row r="1196" spans="1:4">
      <c r="A1196">
        <f>DSDV!B1201</f>
        <v>0</v>
      </c>
      <c r="B1196">
        <f>DSDV!G1201</f>
        <v>0</v>
      </c>
      <c r="C1196" s="237">
        <f>DSDV!K1201</f>
        <v>0</v>
      </c>
      <c r="D1196" s="238">
        <f>DSDV!W1201</f>
        <v>0</v>
      </c>
    </row>
    <row r="1197" spans="1:4">
      <c r="A1197">
        <f>DSDV!B1202</f>
        <v>0</v>
      </c>
      <c r="B1197">
        <f>DSDV!G1202</f>
        <v>0</v>
      </c>
      <c r="C1197" s="237">
        <f>DSDV!K1202</f>
        <v>0</v>
      </c>
      <c r="D1197" s="238">
        <f>DSDV!W1202</f>
        <v>0</v>
      </c>
    </row>
    <row r="1198" spans="1:4">
      <c r="A1198">
        <f>DSDV!B1203</f>
        <v>0</v>
      </c>
      <c r="B1198">
        <f>DSDV!G1203</f>
        <v>0</v>
      </c>
      <c r="C1198" s="237">
        <f>DSDV!K1203</f>
        <v>0</v>
      </c>
      <c r="D1198" s="238">
        <f>DSDV!W1203</f>
        <v>0</v>
      </c>
    </row>
    <row r="1199" spans="1:4">
      <c r="A1199">
        <f>DSDV!B1204</f>
        <v>0</v>
      </c>
      <c r="B1199">
        <f>DSDV!G1204</f>
        <v>0</v>
      </c>
      <c r="C1199" s="237">
        <f>DSDV!K1204</f>
        <v>0</v>
      </c>
      <c r="D1199" s="238">
        <f>DSDV!W1204</f>
        <v>0</v>
      </c>
    </row>
    <row r="1200" spans="1:4">
      <c r="A1200">
        <f>DSDV!B1205</f>
        <v>0</v>
      </c>
      <c r="B1200">
        <f>DSDV!G1205</f>
        <v>0</v>
      </c>
      <c r="C1200" s="237">
        <f>DSDV!K1205</f>
        <v>0</v>
      </c>
      <c r="D1200" s="238">
        <f>DSDV!W1205</f>
        <v>0</v>
      </c>
    </row>
    <row r="1201" spans="1:4">
      <c r="A1201">
        <f>DSDV!B1206</f>
        <v>0</v>
      </c>
      <c r="B1201">
        <f>DSDV!G1206</f>
        <v>0</v>
      </c>
      <c r="C1201" s="237">
        <f>DSDV!K1206</f>
        <v>0</v>
      </c>
      <c r="D1201" s="238">
        <f>DSDV!W1206</f>
        <v>0</v>
      </c>
    </row>
    <row r="1202" spans="1:4">
      <c r="A1202">
        <f>DSDV!B1207</f>
        <v>0</v>
      </c>
      <c r="B1202">
        <f>DSDV!G1207</f>
        <v>0</v>
      </c>
      <c r="C1202" s="237">
        <f>DSDV!K1207</f>
        <v>0</v>
      </c>
      <c r="D1202" s="238">
        <f>DSDV!W1207</f>
        <v>0</v>
      </c>
    </row>
    <row r="1203" spans="1:4">
      <c r="A1203">
        <f>DSDV!B1208</f>
        <v>0</v>
      </c>
      <c r="B1203">
        <f>DSDV!G1208</f>
        <v>0</v>
      </c>
      <c r="C1203" s="237">
        <f>DSDV!K1208</f>
        <v>0</v>
      </c>
      <c r="D1203" s="238">
        <f>DSDV!W1208</f>
        <v>0</v>
      </c>
    </row>
    <row r="1204" spans="1:4">
      <c r="A1204">
        <f>DSDV!B1209</f>
        <v>0</v>
      </c>
      <c r="B1204">
        <f>DSDV!G1209</f>
        <v>0</v>
      </c>
      <c r="C1204" s="237">
        <f>DSDV!K1209</f>
        <v>0</v>
      </c>
      <c r="D1204" s="238">
        <f>DSDV!W1209</f>
        <v>0</v>
      </c>
    </row>
    <row r="1205" spans="1:4">
      <c r="A1205">
        <f>DSDV!B1210</f>
        <v>0</v>
      </c>
      <c r="B1205">
        <f>DSDV!G1210</f>
        <v>0</v>
      </c>
      <c r="C1205" s="237">
        <f>DSDV!K1210</f>
        <v>0</v>
      </c>
      <c r="D1205" s="238">
        <f>DSDV!W1210</f>
        <v>0</v>
      </c>
    </row>
    <row r="1206" spans="1:4">
      <c r="A1206">
        <f>DSDV!B1211</f>
        <v>0</v>
      </c>
      <c r="B1206">
        <f>DSDV!G1211</f>
        <v>0</v>
      </c>
      <c r="C1206" s="237">
        <f>DSDV!K1211</f>
        <v>0</v>
      </c>
      <c r="D1206" s="238">
        <f>DSDV!W1211</f>
        <v>0</v>
      </c>
    </row>
    <row r="1207" spans="1:4">
      <c r="A1207">
        <f>DSDV!B1212</f>
        <v>0</v>
      </c>
      <c r="B1207">
        <f>DSDV!G1212</f>
        <v>0</v>
      </c>
      <c r="C1207" s="237">
        <f>DSDV!K1212</f>
        <v>0</v>
      </c>
      <c r="D1207" s="238">
        <f>DSDV!W1212</f>
        <v>0</v>
      </c>
    </row>
    <row r="1208" spans="1:4">
      <c r="A1208">
        <f>DSDV!B1213</f>
        <v>0</v>
      </c>
      <c r="B1208">
        <f>DSDV!G1213</f>
        <v>0</v>
      </c>
      <c r="C1208" s="237">
        <f>DSDV!K1213</f>
        <v>0</v>
      </c>
      <c r="D1208" s="238">
        <f>DSDV!W1213</f>
        <v>0</v>
      </c>
    </row>
    <row r="1209" spans="1:4">
      <c r="A1209">
        <f>DSDV!B1214</f>
        <v>0</v>
      </c>
      <c r="B1209">
        <f>DSDV!G1214</f>
        <v>0</v>
      </c>
      <c r="C1209" s="237">
        <f>DSDV!K1214</f>
        <v>0</v>
      </c>
      <c r="D1209" s="238">
        <f>DSDV!W1214</f>
        <v>0</v>
      </c>
    </row>
    <row r="1210" spans="1:4">
      <c r="A1210">
        <f>DSDV!B1215</f>
        <v>0</v>
      </c>
      <c r="B1210">
        <f>DSDV!G1215</f>
        <v>0</v>
      </c>
      <c r="C1210" s="237">
        <f>DSDV!K1215</f>
        <v>0</v>
      </c>
      <c r="D1210" s="238">
        <f>DSDV!W1215</f>
        <v>0</v>
      </c>
    </row>
    <row r="1211" spans="1:4">
      <c r="A1211">
        <f>DSDV!B1216</f>
        <v>0</v>
      </c>
      <c r="B1211">
        <f>DSDV!G1216</f>
        <v>0</v>
      </c>
      <c r="C1211" s="237">
        <f>DSDV!K1216</f>
        <v>0</v>
      </c>
      <c r="D1211" s="238">
        <f>DSDV!W1216</f>
        <v>0</v>
      </c>
    </row>
    <row r="1212" spans="1:4">
      <c r="A1212">
        <f>DSDV!B1217</f>
        <v>0</v>
      </c>
      <c r="B1212">
        <f>DSDV!G1217</f>
        <v>0</v>
      </c>
      <c r="C1212" s="237">
        <f>DSDV!K1217</f>
        <v>0</v>
      </c>
      <c r="D1212" s="238">
        <f>DSDV!W1217</f>
        <v>0</v>
      </c>
    </row>
    <row r="1213" spans="1:4">
      <c r="A1213">
        <f>DSDV!B1218</f>
        <v>0</v>
      </c>
      <c r="B1213">
        <f>DSDV!G1218</f>
        <v>0</v>
      </c>
      <c r="C1213" s="237">
        <f>DSDV!K1218</f>
        <v>0</v>
      </c>
      <c r="D1213" s="238">
        <f>DSDV!W1218</f>
        <v>0</v>
      </c>
    </row>
    <row r="1214" spans="1:4">
      <c r="A1214">
        <f>DSDV!B1219</f>
        <v>0</v>
      </c>
      <c r="B1214">
        <f>DSDV!G1219</f>
        <v>0</v>
      </c>
      <c r="C1214" s="237">
        <f>DSDV!K1219</f>
        <v>0</v>
      </c>
      <c r="D1214" s="238">
        <f>DSDV!W1219</f>
        <v>0</v>
      </c>
    </row>
    <row r="1215" spans="1:4">
      <c r="A1215">
        <f>DSDV!B1220</f>
        <v>0</v>
      </c>
      <c r="B1215">
        <f>DSDV!G1220</f>
        <v>0</v>
      </c>
      <c r="C1215" s="237">
        <f>DSDV!K1220</f>
        <v>0</v>
      </c>
      <c r="D1215" s="238">
        <f>DSDV!W1220</f>
        <v>0</v>
      </c>
    </row>
    <row r="1216" spans="1:4">
      <c r="A1216">
        <f>DSDV!B1221</f>
        <v>0</v>
      </c>
      <c r="B1216">
        <f>DSDV!G1221</f>
        <v>0</v>
      </c>
      <c r="C1216" s="237">
        <f>DSDV!K1221</f>
        <v>0</v>
      </c>
      <c r="D1216" s="238">
        <f>DSDV!W1221</f>
        <v>0</v>
      </c>
    </row>
    <row r="1217" spans="1:4">
      <c r="A1217">
        <f>DSDV!B1222</f>
        <v>0</v>
      </c>
      <c r="B1217">
        <f>DSDV!G1222</f>
        <v>0</v>
      </c>
      <c r="C1217" s="237">
        <f>DSDV!K1222</f>
        <v>0</v>
      </c>
      <c r="D1217" s="238">
        <f>DSDV!W1222</f>
        <v>0</v>
      </c>
    </row>
    <row r="1218" spans="1:4">
      <c r="A1218">
        <f>DSDV!B1223</f>
        <v>0</v>
      </c>
      <c r="B1218">
        <f>DSDV!G1223</f>
        <v>0</v>
      </c>
      <c r="C1218" s="237">
        <f>DSDV!K1223</f>
        <v>0</v>
      </c>
      <c r="D1218" s="238">
        <f>DSDV!W1223</f>
        <v>0</v>
      </c>
    </row>
    <row r="1219" spans="1:4">
      <c r="A1219">
        <f>DSDV!B1224</f>
        <v>0</v>
      </c>
      <c r="B1219">
        <f>DSDV!G1224</f>
        <v>0</v>
      </c>
      <c r="C1219" s="237">
        <f>DSDV!K1224</f>
        <v>0</v>
      </c>
      <c r="D1219" s="238">
        <f>DSDV!W1224</f>
        <v>0</v>
      </c>
    </row>
    <row r="1220" spans="1:4">
      <c r="A1220">
        <f>DSDV!B1225</f>
        <v>0</v>
      </c>
      <c r="B1220">
        <f>DSDV!G1225</f>
        <v>0</v>
      </c>
      <c r="C1220" s="237">
        <f>DSDV!K1225</f>
        <v>0</v>
      </c>
      <c r="D1220" s="238">
        <f>DSDV!W1225</f>
        <v>0</v>
      </c>
    </row>
    <row r="1221" spans="1:4">
      <c r="A1221">
        <f>DSDV!B1226</f>
        <v>0</v>
      </c>
      <c r="B1221">
        <f>DSDV!G1226</f>
        <v>0</v>
      </c>
      <c r="C1221" s="237">
        <f>DSDV!K1226</f>
        <v>0</v>
      </c>
      <c r="D1221" s="238">
        <f>DSDV!W1226</f>
        <v>0</v>
      </c>
    </row>
    <row r="1222" spans="1:4">
      <c r="A1222">
        <f>DSDV!B1227</f>
        <v>0</v>
      </c>
      <c r="B1222">
        <f>DSDV!G1227</f>
        <v>0</v>
      </c>
      <c r="C1222" s="237">
        <f>DSDV!K1227</f>
        <v>0</v>
      </c>
      <c r="D1222" s="238">
        <f>DSDV!W1227</f>
        <v>0</v>
      </c>
    </row>
    <row r="1223" spans="1:4">
      <c r="A1223">
        <f>DSDV!B1228</f>
        <v>0</v>
      </c>
      <c r="B1223">
        <f>DSDV!G1228</f>
        <v>0</v>
      </c>
      <c r="C1223" s="237">
        <f>DSDV!K1228</f>
        <v>0</v>
      </c>
      <c r="D1223" s="238">
        <f>DSDV!W1228</f>
        <v>0</v>
      </c>
    </row>
    <row r="1224" spans="1:4">
      <c r="A1224">
        <f>DSDV!B1229</f>
        <v>0</v>
      </c>
      <c r="B1224">
        <f>DSDV!G1229</f>
        <v>0</v>
      </c>
      <c r="C1224" s="237">
        <f>DSDV!K1229</f>
        <v>0</v>
      </c>
      <c r="D1224" s="238">
        <f>DSDV!W1229</f>
        <v>0</v>
      </c>
    </row>
    <row r="1225" spans="1:4">
      <c r="A1225">
        <f>DSDV!B1230</f>
        <v>0</v>
      </c>
      <c r="B1225">
        <f>DSDV!G1230</f>
        <v>0</v>
      </c>
      <c r="C1225" s="237">
        <f>DSDV!K1230</f>
        <v>0</v>
      </c>
      <c r="D1225" s="238">
        <f>DSDV!W1230</f>
        <v>0</v>
      </c>
    </row>
    <row r="1226" spans="1:4">
      <c r="A1226">
        <f>DSDV!B1231</f>
        <v>0</v>
      </c>
      <c r="B1226">
        <f>DSDV!G1231</f>
        <v>0</v>
      </c>
      <c r="C1226" s="237">
        <f>DSDV!K1231</f>
        <v>0</v>
      </c>
      <c r="D1226" s="238">
        <f>DSDV!W1231</f>
        <v>0</v>
      </c>
    </row>
    <row r="1227" spans="1:4">
      <c r="A1227">
        <f>DSDV!B1232</f>
        <v>0</v>
      </c>
      <c r="B1227">
        <f>DSDV!G1232</f>
        <v>0</v>
      </c>
      <c r="C1227" s="237">
        <f>DSDV!K1232</f>
        <v>0</v>
      </c>
      <c r="D1227" s="238">
        <f>DSDV!W1232</f>
        <v>0</v>
      </c>
    </row>
    <row r="1228" spans="1:4">
      <c r="A1228">
        <f>DSDV!B1233</f>
        <v>0</v>
      </c>
      <c r="B1228">
        <f>DSDV!G1233</f>
        <v>0</v>
      </c>
      <c r="C1228" s="237">
        <f>DSDV!K1233</f>
        <v>0</v>
      </c>
      <c r="D1228" s="238">
        <f>DSDV!W1233</f>
        <v>0</v>
      </c>
    </row>
    <row r="1229" spans="1:4">
      <c r="A1229">
        <f>DSDV!B1234</f>
        <v>0</v>
      </c>
      <c r="B1229">
        <f>DSDV!G1234</f>
        <v>0</v>
      </c>
      <c r="C1229" s="237">
        <f>DSDV!K1234</f>
        <v>0</v>
      </c>
      <c r="D1229" s="238">
        <f>DSDV!W1234</f>
        <v>0</v>
      </c>
    </row>
    <row r="1230" spans="1:4">
      <c r="A1230">
        <f>DSDV!B1235</f>
        <v>0</v>
      </c>
      <c r="B1230">
        <f>DSDV!G1235</f>
        <v>0</v>
      </c>
      <c r="C1230" s="237">
        <f>DSDV!K1235</f>
        <v>0</v>
      </c>
      <c r="D1230" s="238">
        <f>DSDV!W1235</f>
        <v>0</v>
      </c>
    </row>
    <row r="1231" spans="1:4">
      <c r="A1231">
        <f>DSDV!B1236</f>
        <v>0</v>
      </c>
      <c r="B1231">
        <f>DSDV!G1236</f>
        <v>0</v>
      </c>
      <c r="C1231" s="237">
        <f>DSDV!K1236</f>
        <v>0</v>
      </c>
      <c r="D1231" s="238">
        <f>DSDV!W1236</f>
        <v>0</v>
      </c>
    </row>
    <row r="1232" spans="1:4">
      <c r="A1232">
        <f>DSDV!B1237</f>
        <v>0</v>
      </c>
      <c r="B1232">
        <f>DSDV!G1237</f>
        <v>0</v>
      </c>
      <c r="C1232" s="237">
        <f>DSDV!K1237</f>
        <v>0</v>
      </c>
      <c r="D1232" s="238">
        <f>DSDV!W1237</f>
        <v>0</v>
      </c>
    </row>
    <row r="1233" spans="1:4">
      <c r="A1233">
        <f>DSDV!B1238</f>
        <v>0</v>
      </c>
      <c r="B1233">
        <f>DSDV!G1238</f>
        <v>0</v>
      </c>
      <c r="C1233" s="237">
        <f>DSDV!K1238</f>
        <v>0</v>
      </c>
      <c r="D1233" s="238">
        <f>DSDV!W1238</f>
        <v>0</v>
      </c>
    </row>
    <row r="1234" spans="1:4">
      <c r="A1234">
        <f>DSDV!B1239</f>
        <v>0</v>
      </c>
      <c r="B1234">
        <f>DSDV!G1239</f>
        <v>0</v>
      </c>
      <c r="C1234" s="237">
        <f>DSDV!K1239</f>
        <v>0</v>
      </c>
      <c r="D1234" s="238">
        <f>DSDV!W1239</f>
        <v>0</v>
      </c>
    </row>
    <row r="1235" spans="1:4">
      <c r="A1235">
        <f>DSDV!B1240</f>
        <v>0</v>
      </c>
      <c r="B1235">
        <f>DSDV!G1240</f>
        <v>0</v>
      </c>
      <c r="C1235" s="237">
        <f>DSDV!K1240</f>
        <v>0</v>
      </c>
      <c r="D1235" s="238">
        <f>DSDV!W1240</f>
        <v>0</v>
      </c>
    </row>
    <row r="1236" spans="1:4">
      <c r="A1236">
        <f>DSDV!B1241</f>
        <v>0</v>
      </c>
      <c r="B1236">
        <f>DSDV!G1241</f>
        <v>0</v>
      </c>
      <c r="C1236" s="237">
        <f>DSDV!K1241</f>
        <v>0</v>
      </c>
      <c r="D1236" s="238">
        <f>DSDV!W1241</f>
        <v>0</v>
      </c>
    </row>
    <row r="1237" spans="1:4">
      <c r="A1237">
        <f>DSDV!B1242</f>
        <v>0</v>
      </c>
      <c r="B1237">
        <f>DSDV!G1242</f>
        <v>0</v>
      </c>
      <c r="C1237" s="237">
        <f>DSDV!K1242</f>
        <v>0</v>
      </c>
      <c r="D1237" s="238">
        <f>DSDV!W1242</f>
        <v>0</v>
      </c>
    </row>
    <row r="1238" spans="1:4">
      <c r="A1238">
        <f>DSDV!B1243</f>
        <v>0</v>
      </c>
      <c r="B1238">
        <f>DSDV!G1243</f>
        <v>0</v>
      </c>
      <c r="C1238" s="237">
        <f>DSDV!K1243</f>
        <v>0</v>
      </c>
      <c r="D1238" s="238">
        <f>DSDV!W1243</f>
        <v>0</v>
      </c>
    </row>
    <row r="1239" spans="1:4">
      <c r="A1239">
        <f>DSDV!B1244</f>
        <v>0</v>
      </c>
      <c r="B1239">
        <f>DSDV!G1244</f>
        <v>0</v>
      </c>
      <c r="C1239" s="237">
        <f>DSDV!K1244</f>
        <v>0</v>
      </c>
      <c r="D1239" s="238">
        <f>DSDV!W1244</f>
        <v>0</v>
      </c>
    </row>
    <row r="1240" spans="1:4">
      <c r="A1240">
        <f>DSDV!B1245</f>
        <v>0</v>
      </c>
      <c r="B1240">
        <f>DSDV!G1245</f>
        <v>0</v>
      </c>
      <c r="C1240" s="237">
        <f>DSDV!K1245</f>
        <v>0</v>
      </c>
      <c r="D1240" s="238">
        <f>DSDV!W1245</f>
        <v>0</v>
      </c>
    </row>
    <row r="1241" spans="1:4">
      <c r="A1241">
        <f>DSDV!B1246</f>
        <v>0</v>
      </c>
      <c r="B1241">
        <f>DSDV!G1246</f>
        <v>0</v>
      </c>
      <c r="C1241" s="237">
        <f>DSDV!K1246</f>
        <v>0</v>
      </c>
      <c r="D1241" s="238">
        <f>DSDV!W1246</f>
        <v>0</v>
      </c>
    </row>
    <row r="1242" spans="1:4">
      <c r="A1242">
        <f>DSDV!B1247</f>
        <v>0</v>
      </c>
      <c r="B1242">
        <f>DSDV!G1247</f>
        <v>0</v>
      </c>
      <c r="C1242" s="237">
        <f>DSDV!K1247</f>
        <v>0</v>
      </c>
      <c r="D1242" s="238">
        <f>DSDV!W1247</f>
        <v>0</v>
      </c>
    </row>
    <row r="1243" spans="1:4">
      <c r="A1243">
        <f>DSDV!B1248</f>
        <v>0</v>
      </c>
      <c r="B1243">
        <f>DSDV!G1248</f>
        <v>0</v>
      </c>
      <c r="C1243" s="237">
        <f>DSDV!K1248</f>
        <v>0</v>
      </c>
      <c r="D1243" s="238">
        <f>DSDV!W1248</f>
        <v>0</v>
      </c>
    </row>
    <row r="1244" spans="1:4">
      <c r="A1244">
        <f>DSDV!B1249</f>
        <v>0</v>
      </c>
      <c r="B1244">
        <f>DSDV!G1249</f>
        <v>0</v>
      </c>
      <c r="C1244" s="237">
        <f>DSDV!K1249</f>
        <v>0</v>
      </c>
      <c r="D1244" s="238">
        <f>DSDV!W1249</f>
        <v>0</v>
      </c>
    </row>
    <row r="1245" spans="1:4">
      <c r="A1245">
        <f>DSDV!B1250</f>
        <v>0</v>
      </c>
      <c r="B1245">
        <f>DSDV!G1250</f>
        <v>0</v>
      </c>
      <c r="C1245" s="237">
        <f>DSDV!K1250</f>
        <v>0</v>
      </c>
      <c r="D1245" s="238">
        <f>DSDV!W1250</f>
        <v>0</v>
      </c>
    </row>
    <row r="1246" spans="1:4">
      <c r="A1246">
        <f>DSDV!B1251</f>
        <v>0</v>
      </c>
      <c r="B1246">
        <f>DSDV!G1251</f>
        <v>0</v>
      </c>
      <c r="C1246" s="237">
        <f>DSDV!K1251</f>
        <v>0</v>
      </c>
      <c r="D1246" s="238">
        <f>DSDV!W1251</f>
        <v>0</v>
      </c>
    </row>
    <row r="1247" spans="1:4">
      <c r="A1247">
        <f>DSDV!B1252</f>
        <v>0</v>
      </c>
      <c r="B1247">
        <f>DSDV!G1252</f>
        <v>0</v>
      </c>
      <c r="C1247" s="237">
        <f>DSDV!K1252</f>
        <v>0</v>
      </c>
      <c r="D1247" s="238">
        <f>DSDV!W1252</f>
        <v>0</v>
      </c>
    </row>
    <row r="1248" spans="1:4">
      <c r="A1248">
        <f>DSDV!B1253</f>
        <v>0</v>
      </c>
      <c r="B1248">
        <f>DSDV!G1253</f>
        <v>0</v>
      </c>
      <c r="C1248" s="237">
        <f>DSDV!K1253</f>
        <v>0</v>
      </c>
      <c r="D1248" s="238">
        <f>DSDV!W1253</f>
        <v>0</v>
      </c>
    </row>
    <row r="1249" spans="1:4">
      <c r="A1249">
        <f>DSDV!B1254</f>
        <v>0</v>
      </c>
      <c r="B1249">
        <f>DSDV!G1254</f>
        <v>0</v>
      </c>
      <c r="C1249" s="237">
        <f>DSDV!K1254</f>
        <v>0</v>
      </c>
      <c r="D1249" s="238">
        <f>DSDV!W1254</f>
        <v>0</v>
      </c>
    </row>
    <row r="1250" spans="1:4">
      <c r="A1250">
        <f>DSDV!B1255</f>
        <v>0</v>
      </c>
      <c r="B1250">
        <f>DSDV!G1255</f>
        <v>0</v>
      </c>
      <c r="C1250" s="237">
        <f>DSDV!K1255</f>
        <v>0</v>
      </c>
      <c r="D1250" s="238">
        <f>DSDV!W1255</f>
        <v>0</v>
      </c>
    </row>
    <row r="1251" spans="1:4">
      <c r="A1251">
        <f>DSDV!B1256</f>
        <v>0</v>
      </c>
      <c r="B1251">
        <f>DSDV!G1256</f>
        <v>0</v>
      </c>
      <c r="C1251" s="237">
        <f>DSDV!K1256</f>
        <v>0</v>
      </c>
      <c r="D1251" s="238">
        <f>DSDV!W1256</f>
        <v>0</v>
      </c>
    </row>
    <row r="1252" spans="1:4">
      <c r="A1252">
        <f>DSDV!B1257</f>
        <v>0</v>
      </c>
      <c r="B1252">
        <f>DSDV!G1257</f>
        <v>0</v>
      </c>
      <c r="C1252" s="237">
        <f>DSDV!K1257</f>
        <v>0</v>
      </c>
      <c r="D1252" s="238">
        <f>DSDV!W1257</f>
        <v>0</v>
      </c>
    </row>
    <row r="1253" spans="1:4">
      <c r="A1253">
        <f>DSDV!B1258</f>
        <v>0</v>
      </c>
      <c r="B1253">
        <f>DSDV!G1258</f>
        <v>0</v>
      </c>
      <c r="C1253" s="237">
        <f>DSDV!K1258</f>
        <v>0</v>
      </c>
      <c r="D1253" s="238">
        <f>DSDV!W1258</f>
        <v>0</v>
      </c>
    </row>
    <row r="1254" spans="1:4">
      <c r="A1254">
        <f>DSDV!B1259</f>
        <v>0</v>
      </c>
      <c r="B1254">
        <f>DSDV!G1259</f>
        <v>0</v>
      </c>
      <c r="C1254" s="237">
        <f>DSDV!K1259</f>
        <v>0</v>
      </c>
      <c r="D1254" s="238">
        <f>DSDV!W1259</f>
        <v>0</v>
      </c>
    </row>
    <row r="1255" spans="1:4">
      <c r="A1255">
        <f>DSDV!B1260</f>
        <v>0</v>
      </c>
      <c r="B1255">
        <f>DSDV!G1260</f>
        <v>0</v>
      </c>
      <c r="C1255" s="237">
        <f>DSDV!K1260</f>
        <v>0</v>
      </c>
      <c r="D1255" s="238">
        <f>DSDV!W1260</f>
        <v>0</v>
      </c>
    </row>
    <row r="1256" spans="1:4">
      <c r="A1256">
        <f>DSDV!B1261</f>
        <v>0</v>
      </c>
      <c r="B1256">
        <f>DSDV!G1261</f>
        <v>0</v>
      </c>
      <c r="C1256" s="237">
        <f>DSDV!K1261</f>
        <v>0</v>
      </c>
      <c r="D1256" s="238">
        <f>DSDV!W1261</f>
        <v>0</v>
      </c>
    </row>
    <row r="1257" spans="1:4">
      <c r="A1257">
        <f>DSDV!B1262</f>
        <v>0</v>
      </c>
      <c r="B1257">
        <f>DSDV!G1262</f>
        <v>0</v>
      </c>
      <c r="C1257" s="237">
        <f>DSDV!K1262</f>
        <v>0</v>
      </c>
      <c r="D1257" s="238">
        <f>DSDV!W1262</f>
        <v>0</v>
      </c>
    </row>
    <row r="1258" spans="1:4">
      <c r="A1258">
        <f>DSDV!B1263</f>
        <v>0</v>
      </c>
      <c r="B1258">
        <f>DSDV!G1263</f>
        <v>0</v>
      </c>
      <c r="C1258" s="237">
        <f>DSDV!K1263</f>
        <v>0</v>
      </c>
      <c r="D1258" s="238">
        <f>DSDV!W1263</f>
        <v>0</v>
      </c>
    </row>
    <row r="1259" spans="1:4">
      <c r="A1259">
        <f>DSDV!B1264</f>
        <v>0</v>
      </c>
      <c r="B1259">
        <f>DSDV!G1264</f>
        <v>0</v>
      </c>
      <c r="C1259" s="237">
        <f>DSDV!K1264</f>
        <v>0</v>
      </c>
      <c r="D1259" s="238">
        <f>DSDV!W1264</f>
        <v>0</v>
      </c>
    </row>
    <row r="1260" spans="1:4">
      <c r="A1260">
        <f>DSDV!B1265</f>
        <v>0</v>
      </c>
      <c r="B1260">
        <f>DSDV!G1265</f>
        <v>0</v>
      </c>
      <c r="C1260" s="237">
        <f>DSDV!K1265</f>
        <v>0</v>
      </c>
      <c r="D1260" s="238">
        <f>DSDV!W1265</f>
        <v>0</v>
      </c>
    </row>
    <row r="1261" spans="1:4">
      <c r="A1261">
        <f>DSDV!B1266</f>
        <v>0</v>
      </c>
      <c r="B1261">
        <f>DSDV!G1266</f>
        <v>0</v>
      </c>
      <c r="C1261" s="237">
        <f>DSDV!K1266</f>
        <v>0</v>
      </c>
      <c r="D1261" s="238">
        <f>DSDV!W1266</f>
        <v>0</v>
      </c>
    </row>
    <row r="1262" spans="1:4">
      <c r="A1262">
        <f>DSDV!B1267</f>
        <v>0</v>
      </c>
      <c r="B1262">
        <f>DSDV!G1267</f>
        <v>0</v>
      </c>
      <c r="C1262" s="237">
        <f>DSDV!K1267</f>
        <v>0</v>
      </c>
      <c r="D1262" s="238">
        <f>DSDV!W1267</f>
        <v>0</v>
      </c>
    </row>
    <row r="1263" spans="1:4">
      <c r="A1263">
        <f>DSDV!B1268</f>
        <v>0</v>
      </c>
      <c r="B1263">
        <f>DSDV!G1268</f>
        <v>0</v>
      </c>
      <c r="C1263" s="237">
        <f>DSDV!K1268</f>
        <v>0</v>
      </c>
      <c r="D1263" s="238">
        <f>DSDV!W1268</f>
        <v>0</v>
      </c>
    </row>
    <row r="1264" spans="1:4">
      <c r="A1264">
        <f>DSDV!B1269</f>
        <v>0</v>
      </c>
      <c r="B1264">
        <f>DSDV!G1269</f>
        <v>0</v>
      </c>
      <c r="C1264" s="237">
        <f>DSDV!K1269</f>
        <v>0</v>
      </c>
      <c r="D1264" s="238">
        <f>DSDV!W1269</f>
        <v>0</v>
      </c>
    </row>
    <row r="1265" spans="1:4">
      <c r="A1265">
        <f>DSDV!B1270</f>
        <v>0</v>
      </c>
      <c r="B1265">
        <f>DSDV!G1270</f>
        <v>0</v>
      </c>
      <c r="C1265" s="237">
        <f>DSDV!K1270</f>
        <v>0</v>
      </c>
      <c r="D1265" s="238">
        <f>DSDV!W1270</f>
        <v>0</v>
      </c>
    </row>
    <row r="1266" spans="1:4">
      <c r="A1266">
        <f>DSDV!B1271</f>
        <v>0</v>
      </c>
      <c r="B1266">
        <f>DSDV!G1271</f>
        <v>0</v>
      </c>
      <c r="C1266" s="237">
        <f>DSDV!K1271</f>
        <v>0</v>
      </c>
      <c r="D1266" s="238">
        <f>DSDV!W1271</f>
        <v>0</v>
      </c>
    </row>
    <row r="1267" spans="1:4">
      <c r="A1267">
        <f>DSDV!B1272</f>
        <v>0</v>
      </c>
      <c r="B1267">
        <f>DSDV!G1272</f>
        <v>0</v>
      </c>
      <c r="C1267" s="237">
        <f>DSDV!K1272</f>
        <v>0</v>
      </c>
      <c r="D1267" s="238">
        <f>DSDV!W1272</f>
        <v>0</v>
      </c>
    </row>
    <row r="1268" spans="1:4">
      <c r="A1268">
        <f>DSDV!B1273</f>
        <v>0</v>
      </c>
      <c r="B1268">
        <f>DSDV!G1273</f>
        <v>0</v>
      </c>
      <c r="C1268" s="237">
        <f>DSDV!K1273</f>
        <v>0</v>
      </c>
      <c r="D1268" s="238">
        <f>DSDV!W1273</f>
        <v>0</v>
      </c>
    </row>
    <row r="1269" spans="1:4">
      <c r="A1269">
        <f>DSDV!B1274</f>
        <v>0</v>
      </c>
      <c r="B1269">
        <f>DSDV!G1274</f>
        <v>0</v>
      </c>
      <c r="C1269" s="237">
        <f>DSDV!K1274</f>
        <v>0</v>
      </c>
      <c r="D1269" s="238">
        <f>DSDV!W1274</f>
        <v>0</v>
      </c>
    </row>
    <row r="1270" spans="1:4">
      <c r="A1270">
        <f>DSDV!B1275</f>
        <v>0</v>
      </c>
      <c r="B1270">
        <f>DSDV!G1275</f>
        <v>0</v>
      </c>
      <c r="C1270" s="237">
        <f>DSDV!K1275</f>
        <v>0</v>
      </c>
      <c r="D1270" s="238">
        <f>DSDV!W1275</f>
        <v>0</v>
      </c>
    </row>
    <row r="1271" spans="1:4">
      <c r="A1271">
        <f>DSDV!B1276</f>
        <v>0</v>
      </c>
      <c r="B1271">
        <f>DSDV!G1276</f>
        <v>0</v>
      </c>
      <c r="C1271" s="237">
        <f>DSDV!K1276</f>
        <v>0</v>
      </c>
      <c r="D1271" s="238">
        <f>DSDV!W1276</f>
        <v>0</v>
      </c>
    </row>
    <row r="1272" spans="1:4">
      <c r="A1272">
        <f>DSDV!B1277</f>
        <v>0</v>
      </c>
      <c r="B1272">
        <f>DSDV!G1277</f>
        <v>0</v>
      </c>
      <c r="C1272" s="237">
        <f>DSDV!K1277</f>
        <v>0</v>
      </c>
      <c r="D1272" s="238">
        <f>DSDV!W1277</f>
        <v>0</v>
      </c>
    </row>
    <row r="1273" spans="1:4">
      <c r="A1273">
        <f>DSDV!B1278</f>
        <v>0</v>
      </c>
      <c r="B1273">
        <f>DSDV!G1278</f>
        <v>0</v>
      </c>
      <c r="C1273" s="237">
        <f>DSDV!K1278</f>
        <v>0</v>
      </c>
      <c r="D1273" s="238">
        <f>DSDV!W1278</f>
        <v>0</v>
      </c>
    </row>
    <row r="1274" spans="1:4">
      <c r="A1274">
        <f>DSDV!B1279</f>
        <v>0</v>
      </c>
      <c r="B1274">
        <f>DSDV!G1279</f>
        <v>0</v>
      </c>
      <c r="C1274" s="237">
        <f>DSDV!K1279</f>
        <v>0</v>
      </c>
      <c r="D1274" s="238">
        <f>DSDV!W1279</f>
        <v>0</v>
      </c>
    </row>
    <row r="1275" spans="1:4">
      <c r="A1275">
        <f>DSDV!B1280</f>
        <v>0</v>
      </c>
      <c r="B1275">
        <f>DSDV!G1280</f>
        <v>0</v>
      </c>
      <c r="C1275" s="237">
        <f>DSDV!K1280</f>
        <v>0</v>
      </c>
      <c r="D1275" s="238">
        <f>DSDV!W1280</f>
        <v>0</v>
      </c>
    </row>
    <row r="1276" spans="1:4">
      <c r="A1276">
        <f>DSDV!B1281</f>
        <v>0</v>
      </c>
      <c r="B1276">
        <f>DSDV!G1281</f>
        <v>0</v>
      </c>
      <c r="C1276" s="237">
        <f>DSDV!K1281</f>
        <v>0</v>
      </c>
      <c r="D1276" s="238">
        <f>DSDV!W1281</f>
        <v>0</v>
      </c>
    </row>
    <row r="1277" spans="1:4">
      <c r="A1277">
        <f>DSDV!B1282</f>
        <v>0</v>
      </c>
      <c r="B1277">
        <f>DSDV!G1282</f>
        <v>0</v>
      </c>
      <c r="C1277" s="237">
        <f>DSDV!K1282</f>
        <v>0</v>
      </c>
      <c r="D1277" s="238">
        <f>DSDV!W1282</f>
        <v>0</v>
      </c>
    </row>
    <row r="1278" spans="1:4">
      <c r="A1278">
        <f>DSDV!B1283</f>
        <v>0</v>
      </c>
      <c r="B1278">
        <f>DSDV!G1283</f>
        <v>0</v>
      </c>
      <c r="C1278" s="237">
        <f>DSDV!K1283</f>
        <v>0</v>
      </c>
      <c r="D1278" s="238">
        <f>DSDV!W1283</f>
        <v>0</v>
      </c>
    </row>
    <row r="1279" spans="1:4">
      <c r="A1279">
        <f>DSDV!B1284</f>
        <v>0</v>
      </c>
      <c r="B1279">
        <f>DSDV!G1284</f>
        <v>0</v>
      </c>
      <c r="C1279" s="237">
        <f>DSDV!K1284</f>
        <v>0</v>
      </c>
      <c r="D1279" s="238">
        <f>DSDV!W1284</f>
        <v>0</v>
      </c>
    </row>
    <row r="1280" spans="1:4">
      <c r="A1280">
        <f>DSDV!B1285</f>
        <v>0</v>
      </c>
      <c r="B1280">
        <f>DSDV!G1285</f>
        <v>0</v>
      </c>
      <c r="C1280" s="237">
        <f>DSDV!K1285</f>
        <v>0</v>
      </c>
      <c r="D1280" s="238">
        <f>DSDV!W1285</f>
        <v>0</v>
      </c>
    </row>
    <row r="1281" spans="1:4">
      <c r="A1281">
        <f>DSDV!B1286</f>
        <v>0</v>
      </c>
      <c r="B1281">
        <f>DSDV!G1286</f>
        <v>0</v>
      </c>
      <c r="C1281" s="237">
        <f>DSDV!K1286</f>
        <v>0</v>
      </c>
      <c r="D1281" s="238">
        <f>DSDV!W1286</f>
        <v>0</v>
      </c>
    </row>
    <row r="1282" spans="1:4">
      <c r="A1282">
        <f>DSDV!B1287</f>
        <v>0</v>
      </c>
      <c r="B1282">
        <f>DSDV!G1287</f>
        <v>0</v>
      </c>
      <c r="C1282" s="237">
        <f>DSDV!K1287</f>
        <v>0</v>
      </c>
      <c r="D1282" s="238">
        <f>DSDV!W1287</f>
        <v>0</v>
      </c>
    </row>
    <row r="1283" spans="1:4">
      <c r="A1283">
        <f>DSDV!B1288</f>
        <v>0</v>
      </c>
      <c r="B1283">
        <f>DSDV!G1288</f>
        <v>0</v>
      </c>
      <c r="C1283" s="237">
        <f>DSDV!K1288</f>
        <v>0</v>
      </c>
      <c r="D1283" s="238">
        <f>DSDV!W1288</f>
        <v>0</v>
      </c>
    </row>
    <row r="1284" spans="1:4">
      <c r="A1284">
        <f>DSDV!B1289</f>
        <v>0</v>
      </c>
      <c r="B1284">
        <f>DSDV!G1289</f>
        <v>0</v>
      </c>
      <c r="C1284" s="237">
        <f>DSDV!K1289</f>
        <v>0</v>
      </c>
      <c r="D1284" s="238">
        <f>DSDV!W1289</f>
        <v>0</v>
      </c>
    </row>
    <row r="1285" spans="1:4">
      <c r="A1285">
        <f>DSDV!B1290</f>
        <v>0</v>
      </c>
      <c r="B1285">
        <f>DSDV!G1290</f>
        <v>0</v>
      </c>
      <c r="C1285" s="237">
        <f>DSDV!K1290</f>
        <v>0</v>
      </c>
      <c r="D1285" s="238">
        <f>DSDV!W1290</f>
        <v>0</v>
      </c>
    </row>
    <row r="1286" spans="1:4">
      <c r="A1286">
        <f>DSDV!B1291</f>
        <v>0</v>
      </c>
      <c r="B1286">
        <f>DSDV!G1291</f>
        <v>0</v>
      </c>
      <c r="C1286" s="237">
        <f>DSDV!K1291</f>
        <v>0</v>
      </c>
      <c r="D1286" s="238">
        <f>DSDV!W1291</f>
        <v>0</v>
      </c>
    </row>
    <row r="1287" spans="1:4">
      <c r="A1287">
        <f>DSDV!B1292</f>
        <v>0</v>
      </c>
      <c r="B1287">
        <f>DSDV!G1292</f>
        <v>0</v>
      </c>
      <c r="C1287" s="237">
        <f>DSDV!K1292</f>
        <v>0</v>
      </c>
      <c r="D1287" s="238">
        <f>DSDV!W1292</f>
        <v>0</v>
      </c>
    </row>
    <row r="1288" spans="1:4">
      <c r="A1288">
        <f>DSDV!B1293</f>
        <v>0</v>
      </c>
      <c r="B1288">
        <f>DSDV!G1293</f>
        <v>0</v>
      </c>
      <c r="C1288" s="237">
        <f>DSDV!K1293</f>
        <v>0</v>
      </c>
      <c r="D1288" s="238">
        <f>DSDV!W1293</f>
        <v>0</v>
      </c>
    </row>
    <row r="1289" spans="1:4">
      <c r="A1289">
        <f>DSDV!B1294</f>
        <v>0</v>
      </c>
      <c r="B1289">
        <f>DSDV!G1294</f>
        <v>0</v>
      </c>
      <c r="C1289" s="237">
        <f>DSDV!K1294</f>
        <v>0</v>
      </c>
      <c r="D1289" s="238">
        <f>DSDV!W1294</f>
        <v>0</v>
      </c>
    </row>
    <row r="1290" spans="1:4">
      <c r="A1290">
        <f>DSDV!B1295</f>
        <v>0</v>
      </c>
      <c r="B1290">
        <f>DSDV!G1295</f>
        <v>0</v>
      </c>
      <c r="C1290" s="237">
        <f>DSDV!K1295</f>
        <v>0</v>
      </c>
      <c r="D1290" s="238">
        <f>DSDV!W1295</f>
        <v>0</v>
      </c>
    </row>
    <row r="1291" spans="1:4">
      <c r="A1291">
        <f>DSDV!B1296</f>
        <v>0</v>
      </c>
      <c r="B1291">
        <f>DSDV!G1296</f>
        <v>0</v>
      </c>
      <c r="C1291" s="237">
        <f>DSDV!K1296</f>
        <v>0</v>
      </c>
      <c r="D1291" s="238">
        <f>DSDV!W1296</f>
        <v>0</v>
      </c>
    </row>
    <row r="1292" spans="1:4">
      <c r="A1292">
        <f>DSDV!B1297</f>
        <v>0</v>
      </c>
      <c r="B1292">
        <f>DSDV!G1297</f>
        <v>0</v>
      </c>
      <c r="C1292" s="237">
        <f>DSDV!K1297</f>
        <v>0</v>
      </c>
      <c r="D1292" s="238">
        <f>DSDV!W1297</f>
        <v>0</v>
      </c>
    </row>
    <row r="1293" spans="1:4">
      <c r="A1293">
        <f>DSDV!B1298</f>
        <v>0</v>
      </c>
      <c r="B1293">
        <f>DSDV!G1298</f>
        <v>0</v>
      </c>
      <c r="C1293" s="237">
        <f>DSDV!K1298</f>
        <v>0</v>
      </c>
      <c r="D1293" s="238">
        <f>DSDV!W1298</f>
        <v>0</v>
      </c>
    </row>
    <row r="1294" spans="1:4">
      <c r="A1294">
        <f>DSDV!B1299</f>
        <v>0</v>
      </c>
      <c r="B1294">
        <f>DSDV!G1299</f>
        <v>0</v>
      </c>
      <c r="C1294" s="237">
        <f>DSDV!K1299</f>
        <v>0</v>
      </c>
      <c r="D1294" s="238">
        <f>DSDV!W1299</f>
        <v>0</v>
      </c>
    </row>
    <row r="1295" spans="1:4">
      <c r="A1295">
        <f>DSDV!B1300</f>
        <v>0</v>
      </c>
      <c r="B1295">
        <f>DSDV!G1300</f>
        <v>0</v>
      </c>
      <c r="C1295" s="237">
        <f>DSDV!K1300</f>
        <v>0</v>
      </c>
      <c r="D1295" s="238">
        <f>DSDV!W1300</f>
        <v>0</v>
      </c>
    </row>
    <row r="1296" spans="1:4">
      <c r="A1296">
        <f>DSDV!B1301</f>
        <v>0</v>
      </c>
      <c r="B1296">
        <f>DSDV!G1301</f>
        <v>0</v>
      </c>
      <c r="C1296" s="237">
        <f>DSDV!K1301</f>
        <v>0</v>
      </c>
      <c r="D1296" s="238">
        <f>DSDV!W1301</f>
        <v>0</v>
      </c>
    </row>
    <row r="1297" spans="1:4">
      <c r="A1297">
        <f>DSDV!B1302</f>
        <v>0</v>
      </c>
      <c r="B1297">
        <f>DSDV!G1302</f>
        <v>0</v>
      </c>
      <c r="C1297" s="237">
        <f>DSDV!K1302</f>
        <v>0</v>
      </c>
      <c r="D1297" s="238">
        <f>DSDV!W1302</f>
        <v>0</v>
      </c>
    </row>
    <row r="1298" spans="1:4">
      <c r="A1298">
        <f>DSDV!B1303</f>
        <v>0</v>
      </c>
      <c r="B1298">
        <f>DSDV!G1303</f>
        <v>0</v>
      </c>
      <c r="C1298" s="237">
        <f>DSDV!K1303</f>
        <v>0</v>
      </c>
      <c r="D1298" s="238">
        <f>DSDV!W1303</f>
        <v>0</v>
      </c>
    </row>
    <row r="1299" spans="1:4">
      <c r="A1299">
        <f>DSDV!B1304</f>
        <v>0</v>
      </c>
      <c r="B1299">
        <f>DSDV!G1304</f>
        <v>0</v>
      </c>
      <c r="C1299" s="237">
        <f>DSDV!K1304</f>
        <v>0</v>
      </c>
      <c r="D1299" s="238">
        <f>DSDV!W1304</f>
        <v>0</v>
      </c>
    </row>
    <row r="1300" spans="1:4">
      <c r="A1300">
        <f>DSDV!B1305</f>
        <v>0</v>
      </c>
      <c r="B1300">
        <f>DSDV!G1305</f>
        <v>0</v>
      </c>
      <c r="C1300" s="237">
        <f>DSDV!K1305</f>
        <v>0</v>
      </c>
      <c r="D1300" s="238">
        <f>DSDV!W1305</f>
        <v>0</v>
      </c>
    </row>
    <row r="1301" spans="1:4">
      <c r="A1301">
        <f>DSDV!B1306</f>
        <v>0</v>
      </c>
      <c r="B1301">
        <f>DSDV!G1306</f>
        <v>0</v>
      </c>
      <c r="C1301" s="237">
        <f>DSDV!K1306</f>
        <v>0</v>
      </c>
      <c r="D1301" s="238">
        <f>DSDV!W1306</f>
        <v>0</v>
      </c>
    </row>
    <row r="1302" spans="1:4">
      <c r="A1302">
        <f>DSDV!B1307</f>
        <v>0</v>
      </c>
      <c r="B1302">
        <f>DSDV!G1307</f>
        <v>0</v>
      </c>
      <c r="C1302" s="237">
        <f>DSDV!K1307</f>
        <v>0</v>
      </c>
      <c r="D1302" s="238">
        <f>DSDV!W1307</f>
        <v>0</v>
      </c>
    </row>
    <row r="1303" spans="1:4">
      <c r="A1303">
        <f>DSDV!B1308</f>
        <v>0</v>
      </c>
      <c r="B1303">
        <f>DSDV!G1308</f>
        <v>0</v>
      </c>
      <c r="C1303" s="237">
        <f>DSDV!K1308</f>
        <v>0</v>
      </c>
      <c r="D1303" s="238">
        <f>DSDV!W1308</f>
        <v>0</v>
      </c>
    </row>
    <row r="1304" spans="1:4">
      <c r="A1304">
        <f>DSDV!B1309</f>
        <v>0</v>
      </c>
      <c r="B1304">
        <f>DSDV!G1309</f>
        <v>0</v>
      </c>
      <c r="C1304" s="237">
        <f>DSDV!K1309</f>
        <v>0</v>
      </c>
      <c r="D1304" s="238">
        <f>DSDV!W1309</f>
        <v>0</v>
      </c>
    </row>
    <row r="1305" spans="1:4">
      <c r="A1305">
        <f>DSDV!B1310</f>
        <v>0</v>
      </c>
      <c r="B1305">
        <f>DSDV!G1310</f>
        <v>0</v>
      </c>
      <c r="C1305" s="237">
        <f>DSDV!K1310</f>
        <v>0</v>
      </c>
      <c r="D1305" s="238">
        <f>DSDV!W1310</f>
        <v>0</v>
      </c>
    </row>
    <row r="1306" spans="1:4">
      <c r="A1306">
        <f>DSDV!B1311</f>
        <v>0</v>
      </c>
      <c r="B1306">
        <f>DSDV!G1311</f>
        <v>0</v>
      </c>
      <c r="C1306" s="237">
        <f>DSDV!K1311</f>
        <v>0</v>
      </c>
      <c r="D1306" s="238">
        <f>DSDV!W1311</f>
        <v>0</v>
      </c>
    </row>
    <row r="1307" spans="1:4">
      <c r="A1307">
        <f>DSDV!B1312</f>
        <v>0</v>
      </c>
      <c r="B1307">
        <f>DSDV!G1312</f>
        <v>0</v>
      </c>
      <c r="C1307" s="237">
        <f>DSDV!K1312</f>
        <v>0</v>
      </c>
      <c r="D1307" s="238">
        <f>DSDV!W1312</f>
        <v>0</v>
      </c>
    </row>
    <row r="1308" spans="1:4">
      <c r="A1308">
        <f>DSDV!B1313</f>
        <v>0</v>
      </c>
      <c r="B1308">
        <f>DSDV!G1313</f>
        <v>0</v>
      </c>
      <c r="C1308" s="237">
        <f>DSDV!K1313</f>
        <v>0</v>
      </c>
      <c r="D1308" s="238">
        <f>DSDV!W1313</f>
        <v>0</v>
      </c>
    </row>
    <row r="1309" spans="1:4">
      <c r="A1309">
        <f>DSDV!B1314</f>
        <v>0</v>
      </c>
      <c r="B1309">
        <f>DSDV!G1314</f>
        <v>0</v>
      </c>
      <c r="C1309" s="237">
        <f>DSDV!K1314</f>
        <v>0</v>
      </c>
      <c r="D1309" s="238">
        <f>DSDV!W1314</f>
        <v>0</v>
      </c>
    </row>
    <row r="1310" spans="1:4">
      <c r="A1310">
        <f>DSDV!B1315</f>
        <v>0</v>
      </c>
      <c r="B1310">
        <f>DSDV!G1315</f>
        <v>0</v>
      </c>
      <c r="C1310" s="237">
        <f>DSDV!K1315</f>
        <v>0</v>
      </c>
      <c r="D1310" s="238">
        <f>DSDV!W1315</f>
        <v>0</v>
      </c>
    </row>
    <row r="1311" spans="1:4">
      <c r="A1311">
        <f>DSDV!B1316</f>
        <v>0</v>
      </c>
      <c r="B1311">
        <f>DSDV!G1316</f>
        <v>0</v>
      </c>
      <c r="C1311" s="237">
        <f>DSDV!K1316</f>
        <v>0</v>
      </c>
      <c r="D1311" s="238">
        <f>DSDV!W1316</f>
        <v>0</v>
      </c>
    </row>
    <row r="1312" spans="1:4">
      <c r="A1312">
        <f>DSDV!B1317</f>
        <v>0</v>
      </c>
      <c r="B1312">
        <f>DSDV!G1317</f>
        <v>0</v>
      </c>
      <c r="C1312" s="237">
        <f>DSDV!K1317</f>
        <v>0</v>
      </c>
      <c r="D1312" s="238">
        <f>DSDV!W1317</f>
        <v>0</v>
      </c>
    </row>
    <row r="1313" spans="1:4">
      <c r="A1313">
        <f>DSDV!B1318</f>
        <v>0</v>
      </c>
      <c r="B1313">
        <f>DSDV!G1318</f>
        <v>0</v>
      </c>
      <c r="C1313" s="237">
        <f>DSDV!K1318</f>
        <v>0</v>
      </c>
      <c r="D1313" s="238">
        <f>DSDV!W1318</f>
        <v>0</v>
      </c>
    </row>
    <row r="1314" spans="1:4">
      <c r="A1314">
        <f>DSDV!B1319</f>
        <v>0</v>
      </c>
      <c r="B1314">
        <f>DSDV!G1319</f>
        <v>0</v>
      </c>
      <c r="C1314" s="237">
        <f>DSDV!K1319</f>
        <v>0</v>
      </c>
      <c r="D1314" s="238">
        <f>DSDV!W1319</f>
        <v>0</v>
      </c>
    </row>
    <row r="1315" spans="1:4">
      <c r="A1315">
        <f>DSDV!B1320</f>
        <v>0</v>
      </c>
      <c r="B1315">
        <f>DSDV!G1320</f>
        <v>0</v>
      </c>
      <c r="C1315" s="237">
        <f>DSDV!K1320</f>
        <v>0</v>
      </c>
      <c r="D1315" s="238">
        <f>DSDV!W1320</f>
        <v>0</v>
      </c>
    </row>
    <row r="1316" spans="1:4">
      <c r="A1316">
        <f>DSDV!B1321</f>
        <v>0</v>
      </c>
      <c r="B1316">
        <f>DSDV!G1321</f>
        <v>0</v>
      </c>
      <c r="C1316" s="237">
        <f>DSDV!K1321</f>
        <v>0</v>
      </c>
      <c r="D1316" s="238">
        <f>DSDV!W1321</f>
        <v>0</v>
      </c>
    </row>
    <row r="1317" spans="1:4">
      <c r="A1317">
        <f>DSDV!B1322</f>
        <v>0</v>
      </c>
      <c r="B1317">
        <f>DSDV!G1322</f>
        <v>0</v>
      </c>
      <c r="C1317" s="237">
        <f>DSDV!K1322</f>
        <v>0</v>
      </c>
      <c r="D1317" s="238">
        <f>DSDV!W1322</f>
        <v>0</v>
      </c>
    </row>
    <row r="1318" spans="1:4">
      <c r="A1318">
        <f>DSDV!B1323</f>
        <v>0</v>
      </c>
      <c r="B1318">
        <f>DSDV!G1323</f>
        <v>0</v>
      </c>
      <c r="C1318" s="237">
        <f>DSDV!K1323</f>
        <v>0</v>
      </c>
      <c r="D1318" s="238">
        <f>DSDV!W1323</f>
        <v>0</v>
      </c>
    </row>
    <row r="1319" spans="1:4">
      <c r="A1319">
        <f>DSDV!B1324</f>
        <v>0</v>
      </c>
      <c r="B1319">
        <f>DSDV!G1324</f>
        <v>0</v>
      </c>
      <c r="C1319" s="237">
        <f>DSDV!K1324</f>
        <v>0</v>
      </c>
      <c r="D1319" s="238">
        <f>DSDV!W1324</f>
        <v>0</v>
      </c>
    </row>
    <row r="1320" spans="1:4">
      <c r="A1320">
        <f>DSDV!B1325</f>
        <v>0</v>
      </c>
      <c r="B1320">
        <f>DSDV!G1325</f>
        <v>0</v>
      </c>
      <c r="C1320" s="237">
        <f>DSDV!K1325</f>
        <v>0</v>
      </c>
      <c r="D1320" s="238">
        <f>DSDV!W1325</f>
        <v>0</v>
      </c>
    </row>
    <row r="1321" spans="1:4">
      <c r="A1321">
        <f>DSDV!B1326</f>
        <v>0</v>
      </c>
      <c r="B1321">
        <f>DSDV!G1326</f>
        <v>0</v>
      </c>
      <c r="C1321" s="237">
        <f>DSDV!K1326</f>
        <v>0</v>
      </c>
      <c r="D1321" s="238">
        <f>DSDV!W1326</f>
        <v>0</v>
      </c>
    </row>
    <row r="1322" spans="1:4">
      <c r="A1322">
        <f>DSDV!B1327</f>
        <v>0</v>
      </c>
      <c r="B1322">
        <f>DSDV!G1327</f>
        <v>0</v>
      </c>
      <c r="C1322" s="237">
        <f>DSDV!K1327</f>
        <v>0</v>
      </c>
      <c r="D1322" s="238">
        <f>DSDV!W1327</f>
        <v>0</v>
      </c>
    </row>
    <row r="1323" spans="1:4">
      <c r="A1323">
        <f>DSDV!B1328</f>
        <v>0</v>
      </c>
      <c r="B1323">
        <f>DSDV!G1328</f>
        <v>0</v>
      </c>
      <c r="C1323" s="237">
        <f>DSDV!K1328</f>
        <v>0</v>
      </c>
      <c r="D1323" s="238">
        <f>DSDV!W1328</f>
        <v>0</v>
      </c>
    </row>
    <row r="1324" spans="1:4">
      <c r="A1324">
        <f>DSDV!B1329</f>
        <v>0</v>
      </c>
      <c r="B1324">
        <f>DSDV!G1329</f>
        <v>0</v>
      </c>
      <c r="C1324" s="237">
        <f>DSDV!K1329</f>
        <v>0</v>
      </c>
      <c r="D1324" s="238">
        <f>DSDV!W1329</f>
        <v>0</v>
      </c>
    </row>
    <row r="1325" spans="1:4">
      <c r="A1325">
        <f>DSDV!B1330</f>
        <v>0</v>
      </c>
      <c r="B1325">
        <f>DSDV!G1330</f>
        <v>0</v>
      </c>
      <c r="C1325" s="237">
        <f>DSDV!K1330</f>
        <v>0</v>
      </c>
      <c r="D1325" s="238">
        <f>DSDV!W1330</f>
        <v>0</v>
      </c>
    </row>
    <row r="1326" spans="1:4">
      <c r="A1326">
        <f>DSDV!B1331</f>
        <v>0</v>
      </c>
      <c r="B1326">
        <f>DSDV!G1331</f>
        <v>0</v>
      </c>
      <c r="C1326" s="237">
        <f>DSDV!K1331</f>
        <v>0</v>
      </c>
      <c r="D1326" s="238">
        <f>DSDV!W1331</f>
        <v>0</v>
      </c>
    </row>
    <row r="1327" spans="1:4">
      <c r="A1327">
        <f>DSDV!B1332</f>
        <v>0</v>
      </c>
      <c r="B1327">
        <f>DSDV!G1332</f>
        <v>0</v>
      </c>
      <c r="C1327" s="237">
        <f>DSDV!K1332</f>
        <v>0</v>
      </c>
      <c r="D1327" s="238">
        <f>DSDV!W1332</f>
        <v>0</v>
      </c>
    </row>
    <row r="1328" spans="1:4">
      <c r="A1328">
        <f>DSDV!B1333</f>
        <v>0</v>
      </c>
      <c r="B1328">
        <f>DSDV!G1333</f>
        <v>0</v>
      </c>
      <c r="C1328" s="237">
        <f>DSDV!K1333</f>
        <v>0</v>
      </c>
      <c r="D1328" s="238">
        <f>DSDV!W1333</f>
        <v>0</v>
      </c>
    </row>
    <row r="1329" spans="1:4">
      <c r="A1329">
        <f>DSDV!B1334</f>
        <v>0</v>
      </c>
      <c r="B1329">
        <f>DSDV!G1334</f>
        <v>0</v>
      </c>
      <c r="C1329" s="237">
        <f>DSDV!K1334</f>
        <v>0</v>
      </c>
      <c r="D1329" s="238">
        <f>DSDV!W1334</f>
        <v>0</v>
      </c>
    </row>
    <row r="1330" spans="1:4">
      <c r="A1330">
        <f>DSDV!B1335</f>
        <v>0</v>
      </c>
      <c r="B1330">
        <f>DSDV!G1335</f>
        <v>0</v>
      </c>
      <c r="C1330" s="237">
        <f>DSDV!K1335</f>
        <v>0</v>
      </c>
      <c r="D1330" s="238">
        <f>DSDV!W1335</f>
        <v>0</v>
      </c>
    </row>
    <row r="1331" spans="1:4">
      <c r="A1331">
        <f>DSDV!B1336</f>
        <v>0</v>
      </c>
      <c r="B1331">
        <f>DSDV!G1336</f>
        <v>0</v>
      </c>
      <c r="C1331" s="237">
        <f>DSDV!K1336</f>
        <v>0</v>
      </c>
      <c r="D1331" s="238">
        <f>DSDV!W1336</f>
        <v>0</v>
      </c>
    </row>
    <row r="1332" spans="1:4">
      <c r="A1332">
        <f>DSDV!B1337</f>
        <v>0</v>
      </c>
      <c r="B1332">
        <f>DSDV!G1337</f>
        <v>0</v>
      </c>
      <c r="C1332" s="237">
        <f>DSDV!K1337</f>
        <v>0</v>
      </c>
      <c r="D1332" s="238">
        <f>DSDV!W1337</f>
        <v>0</v>
      </c>
    </row>
    <row r="1333" spans="1:4">
      <c r="A1333">
        <f>DSDV!B1338</f>
        <v>0</v>
      </c>
      <c r="B1333">
        <f>DSDV!G1338</f>
        <v>0</v>
      </c>
      <c r="C1333" s="237">
        <f>DSDV!K1338</f>
        <v>0</v>
      </c>
      <c r="D1333" s="238">
        <f>DSDV!W1338</f>
        <v>0</v>
      </c>
    </row>
    <row r="1334" spans="1:4">
      <c r="A1334">
        <f>DSDV!B1339</f>
        <v>0</v>
      </c>
      <c r="B1334">
        <f>DSDV!G1339</f>
        <v>0</v>
      </c>
      <c r="C1334" s="237">
        <f>DSDV!K1339</f>
        <v>0</v>
      </c>
      <c r="D1334" s="238">
        <f>DSDV!W1339</f>
        <v>0</v>
      </c>
    </row>
    <row r="1335" spans="1:4">
      <c r="A1335">
        <f>DSDV!B1340</f>
        <v>0</v>
      </c>
      <c r="B1335">
        <f>DSDV!G1340</f>
        <v>0</v>
      </c>
      <c r="C1335" s="237">
        <f>DSDV!K1340</f>
        <v>0</v>
      </c>
      <c r="D1335" s="238">
        <f>DSDV!W1340</f>
        <v>0</v>
      </c>
    </row>
    <row r="1336" spans="1:4">
      <c r="A1336">
        <f>DSDV!B1341</f>
        <v>0</v>
      </c>
      <c r="B1336">
        <f>DSDV!G1341</f>
        <v>0</v>
      </c>
      <c r="C1336" s="237">
        <f>DSDV!K1341</f>
        <v>0</v>
      </c>
      <c r="D1336" s="238">
        <f>DSDV!W1341</f>
        <v>0</v>
      </c>
    </row>
    <row r="1337" spans="1:4">
      <c r="A1337">
        <f>DSDV!B1342</f>
        <v>0</v>
      </c>
      <c r="B1337">
        <f>DSDV!G1342</f>
        <v>0</v>
      </c>
      <c r="C1337" s="237">
        <f>DSDV!K1342</f>
        <v>0</v>
      </c>
      <c r="D1337" s="238">
        <f>DSDV!W1342</f>
        <v>0</v>
      </c>
    </row>
    <row r="1338" spans="1:4">
      <c r="A1338">
        <f>DSDV!B1343</f>
        <v>0</v>
      </c>
      <c r="B1338">
        <f>DSDV!G1343</f>
        <v>0</v>
      </c>
      <c r="C1338" s="237">
        <f>DSDV!K1343</f>
        <v>0</v>
      </c>
      <c r="D1338" s="238">
        <f>DSDV!W1343</f>
        <v>0</v>
      </c>
    </row>
    <row r="1339" spans="1:4">
      <c r="A1339">
        <f>DSDV!B1344</f>
        <v>0</v>
      </c>
      <c r="B1339">
        <f>DSDV!G1344</f>
        <v>0</v>
      </c>
      <c r="C1339" s="237">
        <f>DSDV!K1344</f>
        <v>0</v>
      </c>
      <c r="D1339" s="238">
        <f>DSDV!W1344</f>
        <v>0</v>
      </c>
    </row>
    <row r="1340" spans="1:4">
      <c r="A1340">
        <f>DSDV!B1345</f>
        <v>0</v>
      </c>
      <c r="B1340">
        <f>DSDV!G1345</f>
        <v>0</v>
      </c>
      <c r="C1340" s="237">
        <f>DSDV!K1345</f>
        <v>0</v>
      </c>
      <c r="D1340" s="238">
        <f>DSDV!W1345</f>
        <v>0</v>
      </c>
    </row>
    <row r="1341" spans="1:4">
      <c r="A1341">
        <f>DSDV!B1346</f>
        <v>0</v>
      </c>
      <c r="B1341">
        <f>DSDV!G1346</f>
        <v>0</v>
      </c>
      <c r="C1341" s="237">
        <f>DSDV!K1346</f>
        <v>0</v>
      </c>
      <c r="D1341" s="238">
        <f>DSDV!W1346</f>
        <v>0</v>
      </c>
    </row>
    <row r="1342" spans="1:4">
      <c r="A1342">
        <f>DSDV!B1347</f>
        <v>0</v>
      </c>
      <c r="B1342">
        <f>DSDV!G1347</f>
        <v>0</v>
      </c>
      <c r="C1342" s="237">
        <f>DSDV!K1347</f>
        <v>0</v>
      </c>
      <c r="D1342" s="238">
        <f>DSDV!W1347</f>
        <v>0</v>
      </c>
    </row>
    <row r="1343" spans="1:4">
      <c r="A1343">
        <f>DSDV!B1348</f>
        <v>0</v>
      </c>
      <c r="B1343">
        <f>DSDV!G1348</f>
        <v>0</v>
      </c>
      <c r="C1343" s="237">
        <f>DSDV!K1348</f>
        <v>0</v>
      </c>
      <c r="D1343" s="238">
        <f>DSDV!W1348</f>
        <v>0</v>
      </c>
    </row>
    <row r="1344" spans="1:4">
      <c r="A1344">
        <f>DSDV!B1349</f>
        <v>0</v>
      </c>
      <c r="B1344">
        <f>DSDV!G1349</f>
        <v>0</v>
      </c>
      <c r="C1344" s="237">
        <f>DSDV!K1349</f>
        <v>0</v>
      </c>
      <c r="D1344" s="238">
        <f>DSDV!W1349</f>
        <v>0</v>
      </c>
    </row>
    <row r="1345" spans="1:4">
      <c r="A1345">
        <f>DSDV!B1350</f>
        <v>0</v>
      </c>
      <c r="B1345">
        <f>DSDV!G1350</f>
        <v>0</v>
      </c>
      <c r="C1345" s="237">
        <f>DSDV!K1350</f>
        <v>0</v>
      </c>
      <c r="D1345" s="238">
        <f>DSDV!W1350</f>
        <v>0</v>
      </c>
    </row>
    <row r="1346" spans="1:4">
      <c r="A1346">
        <f>DSDV!B1351</f>
        <v>0</v>
      </c>
      <c r="B1346">
        <f>DSDV!G1351</f>
        <v>0</v>
      </c>
      <c r="C1346" s="237">
        <f>DSDV!K1351</f>
        <v>0</v>
      </c>
      <c r="D1346" s="238">
        <f>DSDV!W1351</f>
        <v>0</v>
      </c>
    </row>
    <row r="1347" spans="1:4">
      <c r="A1347">
        <f>DSDV!B1352</f>
        <v>0</v>
      </c>
      <c r="B1347">
        <f>DSDV!G1352</f>
        <v>0</v>
      </c>
      <c r="C1347" s="237">
        <f>DSDV!K1352</f>
        <v>0</v>
      </c>
      <c r="D1347" s="238">
        <f>DSDV!W1352</f>
        <v>0</v>
      </c>
    </row>
    <row r="1348" spans="1:4">
      <c r="A1348">
        <f>DSDV!B1353</f>
        <v>0</v>
      </c>
      <c r="B1348">
        <f>DSDV!G1353</f>
        <v>0</v>
      </c>
      <c r="C1348" s="237">
        <f>DSDV!K1353</f>
        <v>0</v>
      </c>
      <c r="D1348" s="238">
        <f>DSDV!W1353</f>
        <v>0</v>
      </c>
    </row>
    <row r="1349" spans="1:4">
      <c r="A1349">
        <f>DSDV!B1354</f>
        <v>0</v>
      </c>
      <c r="B1349">
        <f>DSDV!G1354</f>
        <v>0</v>
      </c>
      <c r="C1349" s="237">
        <f>DSDV!K1354</f>
        <v>0</v>
      </c>
      <c r="D1349" s="238">
        <f>DSDV!W1354</f>
        <v>0</v>
      </c>
    </row>
    <row r="1350" spans="1:4">
      <c r="A1350">
        <f>DSDV!B1355</f>
        <v>0</v>
      </c>
      <c r="B1350">
        <f>DSDV!G1355</f>
        <v>0</v>
      </c>
      <c r="C1350" s="237">
        <f>DSDV!K1355</f>
        <v>0</v>
      </c>
      <c r="D1350" s="238">
        <f>DSDV!W1355</f>
        <v>0</v>
      </c>
    </row>
    <row r="1351" spans="1:4">
      <c r="A1351">
        <f>DSDV!B1356</f>
        <v>0</v>
      </c>
      <c r="B1351">
        <f>DSDV!G1356</f>
        <v>0</v>
      </c>
      <c r="C1351" s="237">
        <f>DSDV!K1356</f>
        <v>0</v>
      </c>
      <c r="D1351" s="238">
        <f>DSDV!W1356</f>
        <v>0</v>
      </c>
    </row>
    <row r="1352" spans="1:4">
      <c r="A1352">
        <f>DSDV!B1357</f>
        <v>0</v>
      </c>
      <c r="B1352">
        <f>DSDV!G1357</f>
        <v>0</v>
      </c>
      <c r="C1352" s="237">
        <f>DSDV!K1357</f>
        <v>0</v>
      </c>
      <c r="D1352" s="238">
        <f>DSDV!W1357</f>
        <v>0</v>
      </c>
    </row>
    <row r="1353" spans="1:4">
      <c r="A1353">
        <f>DSDV!B1358</f>
        <v>0</v>
      </c>
      <c r="B1353">
        <f>DSDV!G1358</f>
        <v>0</v>
      </c>
      <c r="C1353" s="237">
        <f>DSDV!K1358</f>
        <v>0</v>
      </c>
      <c r="D1353" s="238">
        <f>DSDV!W1358</f>
        <v>0</v>
      </c>
    </row>
    <row r="1354" spans="1:4">
      <c r="A1354">
        <f>DSDV!B1359</f>
        <v>0</v>
      </c>
      <c r="B1354">
        <f>DSDV!G1359</f>
        <v>0</v>
      </c>
      <c r="C1354" s="237">
        <f>DSDV!K1359</f>
        <v>0</v>
      </c>
      <c r="D1354" s="238">
        <f>DSDV!W1359</f>
        <v>0</v>
      </c>
    </row>
    <row r="1355" spans="1:4">
      <c r="A1355">
        <f>DSDV!B1360</f>
        <v>0</v>
      </c>
      <c r="B1355">
        <f>DSDV!G1360</f>
        <v>0</v>
      </c>
      <c r="C1355" s="237">
        <f>DSDV!K1360</f>
        <v>0</v>
      </c>
      <c r="D1355" s="238">
        <f>DSDV!W1360</f>
        <v>0</v>
      </c>
    </row>
    <row r="1356" spans="1:4">
      <c r="A1356">
        <f>DSDV!B1361</f>
        <v>0</v>
      </c>
      <c r="B1356">
        <f>DSDV!G1361</f>
        <v>0</v>
      </c>
      <c r="C1356" s="237">
        <f>DSDV!K1361</f>
        <v>0</v>
      </c>
      <c r="D1356" s="238">
        <f>DSDV!W1361</f>
        <v>0</v>
      </c>
    </row>
    <row r="1357" spans="1:4">
      <c r="A1357">
        <f>DSDV!B1362</f>
        <v>0</v>
      </c>
      <c r="B1357">
        <f>DSDV!G1362</f>
        <v>0</v>
      </c>
      <c r="C1357" s="237">
        <f>DSDV!K1362</f>
        <v>0</v>
      </c>
      <c r="D1357" s="238">
        <f>DSDV!W1362</f>
        <v>0</v>
      </c>
    </row>
    <row r="1358" spans="1:4">
      <c r="A1358">
        <f>DSDV!B1363</f>
        <v>0</v>
      </c>
      <c r="B1358">
        <f>DSDV!G1363</f>
        <v>0</v>
      </c>
      <c r="C1358" s="237">
        <f>DSDV!K1363</f>
        <v>0</v>
      </c>
      <c r="D1358" s="238">
        <f>DSDV!W1363</f>
        <v>0</v>
      </c>
    </row>
    <row r="1359" spans="1:4">
      <c r="A1359">
        <f>DSDV!B1364</f>
        <v>0</v>
      </c>
      <c r="B1359">
        <f>DSDV!G1364</f>
        <v>0</v>
      </c>
      <c r="C1359" s="237">
        <f>DSDV!K1364</f>
        <v>0</v>
      </c>
      <c r="D1359" s="238">
        <f>DSDV!W1364</f>
        <v>0</v>
      </c>
    </row>
    <row r="1360" spans="1:4">
      <c r="A1360">
        <f>DSDV!B1365</f>
        <v>0</v>
      </c>
      <c r="B1360">
        <f>DSDV!G1365</f>
        <v>0</v>
      </c>
      <c r="C1360" s="237">
        <f>DSDV!K1365</f>
        <v>0</v>
      </c>
      <c r="D1360" s="238">
        <f>DSDV!W1365</f>
        <v>0</v>
      </c>
    </row>
    <row r="1361" spans="1:4">
      <c r="A1361">
        <f>DSDV!B1366</f>
        <v>0</v>
      </c>
      <c r="B1361">
        <f>DSDV!G1366</f>
        <v>0</v>
      </c>
      <c r="C1361" s="237">
        <f>DSDV!K1366</f>
        <v>0</v>
      </c>
      <c r="D1361" s="238">
        <f>DSDV!W1366</f>
        <v>0</v>
      </c>
    </row>
    <row r="1362" spans="1:4">
      <c r="A1362">
        <f>DSDV!B1367</f>
        <v>0</v>
      </c>
      <c r="B1362">
        <f>DSDV!G1367</f>
        <v>0</v>
      </c>
      <c r="C1362" s="237">
        <f>DSDV!K1367</f>
        <v>0</v>
      </c>
      <c r="D1362" s="238">
        <f>DSDV!W1367</f>
        <v>0</v>
      </c>
    </row>
    <row r="1363" spans="1:4">
      <c r="A1363">
        <f>DSDV!B1368</f>
        <v>0</v>
      </c>
      <c r="B1363">
        <f>DSDV!G1368</f>
        <v>0</v>
      </c>
      <c r="C1363" s="237">
        <f>DSDV!K1368</f>
        <v>0</v>
      </c>
      <c r="D1363" s="238">
        <f>DSDV!W1368</f>
        <v>0</v>
      </c>
    </row>
    <row r="1364" spans="1:4">
      <c r="A1364">
        <f>DSDV!B1369</f>
        <v>0</v>
      </c>
      <c r="B1364">
        <f>DSDV!G1369</f>
        <v>0</v>
      </c>
      <c r="C1364" s="237">
        <f>DSDV!K1369</f>
        <v>0</v>
      </c>
      <c r="D1364" s="238">
        <f>DSDV!W1369</f>
        <v>0</v>
      </c>
    </row>
    <row r="1365" spans="1:4">
      <c r="A1365">
        <f>DSDV!B1370</f>
        <v>0</v>
      </c>
      <c r="B1365">
        <f>DSDV!G1370</f>
        <v>0</v>
      </c>
      <c r="C1365" s="237">
        <f>DSDV!K1370</f>
        <v>0</v>
      </c>
      <c r="D1365" s="238">
        <f>DSDV!W1370</f>
        <v>0</v>
      </c>
    </row>
    <row r="1366" spans="1:4">
      <c r="A1366">
        <f>DSDV!B1371</f>
        <v>0</v>
      </c>
      <c r="B1366">
        <f>DSDV!G1371</f>
        <v>0</v>
      </c>
      <c r="C1366" s="237">
        <f>DSDV!K1371</f>
        <v>0</v>
      </c>
      <c r="D1366" s="238">
        <f>DSDV!W1371</f>
        <v>0</v>
      </c>
    </row>
    <row r="1367" spans="1:4">
      <c r="A1367">
        <f>DSDV!B1372</f>
        <v>0</v>
      </c>
      <c r="B1367">
        <f>DSDV!G1372</f>
        <v>0</v>
      </c>
      <c r="C1367" s="237">
        <f>DSDV!K1372</f>
        <v>0</v>
      </c>
      <c r="D1367" s="238">
        <f>DSDV!W1372</f>
        <v>0</v>
      </c>
    </row>
    <row r="1368" spans="1:4">
      <c r="A1368">
        <f>DSDV!B1373</f>
        <v>0</v>
      </c>
      <c r="B1368">
        <f>DSDV!G1373</f>
        <v>0</v>
      </c>
      <c r="C1368" s="237">
        <f>DSDV!K1373</f>
        <v>0</v>
      </c>
      <c r="D1368" s="238">
        <f>DSDV!W1373</f>
        <v>0</v>
      </c>
    </row>
    <row r="1369" spans="1:4">
      <c r="A1369">
        <f>DSDV!B1374</f>
        <v>0</v>
      </c>
      <c r="B1369">
        <f>DSDV!G1374</f>
        <v>0</v>
      </c>
      <c r="C1369" s="237">
        <f>DSDV!K1374</f>
        <v>0</v>
      </c>
      <c r="D1369" s="238">
        <f>DSDV!W1374</f>
        <v>0</v>
      </c>
    </row>
    <row r="1370" spans="1:4">
      <c r="A1370">
        <f>DSDV!B1375</f>
        <v>0</v>
      </c>
      <c r="B1370">
        <f>DSDV!G1375</f>
        <v>0</v>
      </c>
      <c r="C1370" s="237">
        <f>DSDV!K1375</f>
        <v>0</v>
      </c>
      <c r="D1370" s="238">
        <f>DSDV!W1375</f>
        <v>0</v>
      </c>
    </row>
    <row r="1371" spans="1:4">
      <c r="A1371">
        <f>DSDV!B1376</f>
        <v>0</v>
      </c>
      <c r="B1371">
        <f>DSDV!G1376</f>
        <v>0</v>
      </c>
      <c r="C1371" s="237">
        <f>DSDV!K1376</f>
        <v>0</v>
      </c>
      <c r="D1371" s="238">
        <f>DSDV!W1376</f>
        <v>0</v>
      </c>
    </row>
    <row r="1372" spans="1:4">
      <c r="A1372">
        <f>DSDV!B1377</f>
        <v>0</v>
      </c>
      <c r="B1372">
        <f>DSDV!G1377</f>
        <v>0</v>
      </c>
      <c r="C1372" s="237">
        <f>DSDV!K1377</f>
        <v>0</v>
      </c>
      <c r="D1372" s="238">
        <f>DSDV!W1377</f>
        <v>0</v>
      </c>
    </row>
    <row r="1373" spans="1:4">
      <c r="A1373">
        <f>DSDV!B1378</f>
        <v>0</v>
      </c>
      <c r="B1373">
        <f>DSDV!G1378</f>
        <v>0</v>
      </c>
      <c r="C1373" s="237">
        <f>DSDV!K1378</f>
        <v>0</v>
      </c>
      <c r="D1373" s="238">
        <f>DSDV!W1378</f>
        <v>0</v>
      </c>
    </row>
    <row r="1374" spans="1:4">
      <c r="A1374">
        <f>DSDV!B1379</f>
        <v>0</v>
      </c>
      <c r="B1374">
        <f>DSDV!G1379</f>
        <v>0</v>
      </c>
      <c r="C1374" s="237">
        <f>DSDV!K1379</f>
        <v>0</v>
      </c>
      <c r="D1374" s="238">
        <f>DSDV!W1379</f>
        <v>0</v>
      </c>
    </row>
    <row r="1375" spans="1:4">
      <c r="A1375">
        <f>DSDV!B1380</f>
        <v>0</v>
      </c>
      <c r="B1375">
        <f>DSDV!G1380</f>
        <v>0</v>
      </c>
      <c r="C1375" s="237">
        <f>DSDV!K1380</f>
        <v>0</v>
      </c>
      <c r="D1375" s="238">
        <f>DSDV!W1380</f>
        <v>0</v>
      </c>
    </row>
    <row r="1376" spans="1:4">
      <c r="A1376">
        <f>DSDV!B1381</f>
        <v>0</v>
      </c>
      <c r="B1376">
        <f>DSDV!G1381</f>
        <v>0</v>
      </c>
      <c r="C1376" s="237">
        <f>DSDV!K1381</f>
        <v>0</v>
      </c>
      <c r="D1376" s="238">
        <f>DSDV!W1381</f>
        <v>0</v>
      </c>
    </row>
    <row r="1377" spans="1:4">
      <c r="A1377">
        <f>DSDV!B1382</f>
        <v>0</v>
      </c>
      <c r="B1377">
        <f>DSDV!G1382</f>
        <v>0</v>
      </c>
      <c r="C1377" s="237">
        <f>DSDV!K1382</f>
        <v>0</v>
      </c>
      <c r="D1377" s="238">
        <f>DSDV!W1382</f>
        <v>0</v>
      </c>
    </row>
    <row r="1378" spans="1:4">
      <c r="A1378">
        <f>DSDV!B1383</f>
        <v>0</v>
      </c>
      <c r="B1378">
        <f>DSDV!G1383</f>
        <v>0</v>
      </c>
      <c r="C1378" s="237">
        <f>DSDV!K1383</f>
        <v>0</v>
      </c>
      <c r="D1378" s="238">
        <f>DSDV!W1383</f>
        <v>0</v>
      </c>
    </row>
    <row r="1379" spans="1:4">
      <c r="A1379">
        <f>DSDV!B1384</f>
        <v>0</v>
      </c>
      <c r="B1379">
        <f>DSDV!G1384</f>
        <v>0</v>
      </c>
      <c r="C1379" s="237">
        <f>DSDV!K1384</f>
        <v>0</v>
      </c>
      <c r="D1379" s="238">
        <f>DSDV!W1384</f>
        <v>0</v>
      </c>
    </row>
    <row r="1380" spans="1:4">
      <c r="A1380">
        <f>DSDV!B1385</f>
        <v>0</v>
      </c>
      <c r="B1380">
        <f>DSDV!G1385</f>
        <v>0</v>
      </c>
      <c r="C1380" s="237">
        <f>DSDV!K1385</f>
        <v>0</v>
      </c>
      <c r="D1380" s="238">
        <f>DSDV!W1385</f>
        <v>0</v>
      </c>
    </row>
    <row r="1381" spans="1:4">
      <c r="A1381">
        <f>DSDV!B1386</f>
        <v>0</v>
      </c>
      <c r="B1381">
        <f>DSDV!G1386</f>
        <v>0</v>
      </c>
      <c r="C1381" s="237">
        <f>DSDV!K1386</f>
        <v>0</v>
      </c>
      <c r="D1381" s="238">
        <f>DSDV!W1386</f>
        <v>0</v>
      </c>
    </row>
    <row r="1382" spans="1:4">
      <c r="A1382">
        <f>DSDV!B1387</f>
        <v>0</v>
      </c>
      <c r="B1382">
        <f>DSDV!G1387</f>
        <v>0</v>
      </c>
      <c r="C1382" s="237">
        <f>DSDV!K1387</f>
        <v>0</v>
      </c>
      <c r="D1382" s="238">
        <f>DSDV!W1387</f>
        <v>0</v>
      </c>
    </row>
    <row r="1383" spans="1:4">
      <c r="A1383">
        <f>DSDV!B1388</f>
        <v>0</v>
      </c>
      <c r="B1383">
        <f>DSDV!G1388</f>
        <v>0</v>
      </c>
      <c r="C1383" s="237">
        <f>DSDV!K1388</f>
        <v>0</v>
      </c>
      <c r="D1383" s="238">
        <f>DSDV!W1388</f>
        <v>0</v>
      </c>
    </row>
    <row r="1384" spans="1:4">
      <c r="A1384">
        <f>DSDV!B1389</f>
        <v>0</v>
      </c>
      <c r="B1384">
        <f>DSDV!G1389</f>
        <v>0</v>
      </c>
      <c r="C1384" s="237">
        <f>DSDV!K1389</f>
        <v>0</v>
      </c>
      <c r="D1384" s="238">
        <f>DSDV!W1389</f>
        <v>0</v>
      </c>
    </row>
    <row r="1385" spans="1:4">
      <c r="A1385">
        <f>DSDV!B1390</f>
        <v>0</v>
      </c>
      <c r="B1385">
        <f>DSDV!G1390</f>
        <v>0</v>
      </c>
      <c r="C1385" s="237">
        <f>DSDV!K1390</f>
        <v>0</v>
      </c>
      <c r="D1385" s="238">
        <f>DSDV!W1390</f>
        <v>0</v>
      </c>
    </row>
    <row r="1386" spans="1:4">
      <c r="A1386">
        <f>DSDV!B1391</f>
        <v>0</v>
      </c>
      <c r="B1386">
        <f>DSDV!G1391</f>
        <v>0</v>
      </c>
      <c r="C1386" s="237">
        <f>DSDV!K1391</f>
        <v>0</v>
      </c>
      <c r="D1386" s="238">
        <f>DSDV!W1391</f>
        <v>0</v>
      </c>
    </row>
    <row r="1387" spans="1:4">
      <c r="A1387">
        <f>DSDV!B1392</f>
        <v>0</v>
      </c>
      <c r="B1387">
        <f>DSDV!G1392</f>
        <v>0</v>
      </c>
      <c r="C1387" s="237">
        <f>DSDV!K1392</f>
        <v>0</v>
      </c>
      <c r="D1387" s="238">
        <f>DSDV!W1392</f>
        <v>0</v>
      </c>
    </row>
    <row r="1388" spans="1:4">
      <c r="A1388">
        <f>DSDV!B1393</f>
        <v>0</v>
      </c>
      <c r="B1388">
        <f>DSDV!G1393</f>
        <v>0</v>
      </c>
      <c r="C1388" s="237">
        <f>DSDV!K1393</f>
        <v>0</v>
      </c>
      <c r="D1388" s="238">
        <f>DSDV!W1393</f>
        <v>0</v>
      </c>
    </row>
    <row r="1389" spans="1:4">
      <c r="A1389">
        <f>DSDV!B1394</f>
        <v>0</v>
      </c>
      <c r="B1389">
        <f>DSDV!G1394</f>
        <v>0</v>
      </c>
      <c r="C1389" s="237">
        <f>DSDV!K1394</f>
        <v>0</v>
      </c>
      <c r="D1389" s="238">
        <f>DSDV!W1394</f>
        <v>0</v>
      </c>
    </row>
    <row r="1390" spans="1:4">
      <c r="A1390">
        <f>DSDV!B1395</f>
        <v>0</v>
      </c>
      <c r="B1390">
        <f>DSDV!G1395</f>
        <v>0</v>
      </c>
      <c r="C1390" s="237">
        <f>DSDV!K1395</f>
        <v>0</v>
      </c>
      <c r="D1390" s="238">
        <f>DSDV!W1395</f>
        <v>0</v>
      </c>
    </row>
    <row r="1391" spans="1:4">
      <c r="A1391">
        <f>DSDV!B1396</f>
        <v>0</v>
      </c>
      <c r="B1391">
        <f>DSDV!G1396</f>
        <v>0</v>
      </c>
      <c r="C1391" s="237">
        <f>DSDV!K1396</f>
        <v>0</v>
      </c>
      <c r="D1391" s="238">
        <f>DSDV!W1396</f>
        <v>0</v>
      </c>
    </row>
    <row r="1392" spans="1:4">
      <c r="A1392">
        <f>DSDV!B1397</f>
        <v>0</v>
      </c>
      <c r="B1392">
        <f>DSDV!G1397</f>
        <v>0</v>
      </c>
      <c r="C1392" s="237">
        <f>DSDV!K1397</f>
        <v>0</v>
      </c>
      <c r="D1392" s="238">
        <f>DSDV!W1397</f>
        <v>0</v>
      </c>
    </row>
    <row r="1393" spans="1:4">
      <c r="A1393">
        <f>DSDV!B1398</f>
        <v>0</v>
      </c>
      <c r="B1393">
        <f>DSDV!G1398</f>
        <v>0</v>
      </c>
      <c r="C1393" s="237">
        <f>DSDV!K1398</f>
        <v>0</v>
      </c>
      <c r="D1393" s="238">
        <f>DSDV!W1398</f>
        <v>0</v>
      </c>
    </row>
    <row r="1394" spans="1:4">
      <c r="A1394">
        <f>DSDV!B1399</f>
        <v>0</v>
      </c>
      <c r="B1394">
        <f>DSDV!G1399</f>
        <v>0</v>
      </c>
      <c r="C1394" s="237">
        <f>DSDV!K1399</f>
        <v>0</v>
      </c>
      <c r="D1394" s="238">
        <f>DSDV!W1399</f>
        <v>0</v>
      </c>
    </row>
    <row r="1395" spans="1:4">
      <c r="A1395">
        <f>DSDV!B1400</f>
        <v>0</v>
      </c>
      <c r="B1395">
        <f>DSDV!G1400</f>
        <v>0</v>
      </c>
      <c r="C1395" s="237">
        <f>DSDV!K1400</f>
        <v>0</v>
      </c>
      <c r="D1395" s="238">
        <f>DSDV!W1400</f>
        <v>0</v>
      </c>
    </row>
    <row r="1396" spans="1:4">
      <c r="A1396">
        <f>DSDV!B1401</f>
        <v>0</v>
      </c>
      <c r="B1396">
        <f>DSDV!G1401</f>
        <v>0</v>
      </c>
      <c r="C1396" s="237">
        <f>DSDV!K1401</f>
        <v>0</v>
      </c>
      <c r="D1396" s="238">
        <f>DSDV!W1401</f>
        <v>0</v>
      </c>
    </row>
    <row r="1397" spans="1:4">
      <c r="A1397">
        <f>DSDV!B1402</f>
        <v>0</v>
      </c>
      <c r="B1397">
        <f>DSDV!G1402</f>
        <v>0</v>
      </c>
      <c r="C1397" s="237">
        <f>DSDV!K1402</f>
        <v>0</v>
      </c>
      <c r="D1397" s="238">
        <f>DSDV!W1402</f>
        <v>0</v>
      </c>
    </row>
    <row r="1398" spans="1:4">
      <c r="A1398">
        <f>DSDV!B1403</f>
        <v>0</v>
      </c>
      <c r="B1398">
        <f>DSDV!G1403</f>
        <v>0</v>
      </c>
      <c r="C1398" s="237">
        <f>DSDV!K1403</f>
        <v>0</v>
      </c>
      <c r="D1398" s="238">
        <f>DSDV!W1403</f>
        <v>0</v>
      </c>
    </row>
    <row r="1399" spans="1:4">
      <c r="A1399">
        <f>DSDV!B1404</f>
        <v>0</v>
      </c>
      <c r="B1399">
        <f>DSDV!G1404</f>
        <v>0</v>
      </c>
      <c r="C1399" s="237">
        <f>DSDV!K1404</f>
        <v>0</v>
      </c>
      <c r="D1399" s="238">
        <f>DSDV!W1404</f>
        <v>0</v>
      </c>
    </row>
    <row r="1400" spans="1:4">
      <c r="A1400">
        <f>DSDV!B1405</f>
        <v>0</v>
      </c>
      <c r="B1400">
        <f>DSDV!G1405</f>
        <v>0</v>
      </c>
      <c r="C1400" s="237">
        <f>DSDV!K1405</f>
        <v>0</v>
      </c>
      <c r="D1400" s="238">
        <f>DSDV!W1405</f>
        <v>0</v>
      </c>
    </row>
    <row r="1401" spans="1:4">
      <c r="A1401">
        <f>DSDV!B1406</f>
        <v>0</v>
      </c>
      <c r="B1401">
        <f>DSDV!G1406</f>
        <v>0</v>
      </c>
      <c r="C1401" s="237">
        <f>DSDV!K1406</f>
        <v>0</v>
      </c>
      <c r="D1401" s="238">
        <f>DSDV!W1406</f>
        <v>0</v>
      </c>
    </row>
    <row r="1402" spans="1:4">
      <c r="A1402">
        <f>DSDV!B1407</f>
        <v>0</v>
      </c>
      <c r="B1402">
        <f>DSDV!G1407</f>
        <v>0</v>
      </c>
      <c r="C1402" s="237">
        <f>DSDV!K1407</f>
        <v>0</v>
      </c>
      <c r="D1402" s="238">
        <f>DSDV!W1407</f>
        <v>0</v>
      </c>
    </row>
    <row r="1403" spans="1:4">
      <c r="A1403">
        <f>DSDV!B1408</f>
        <v>0</v>
      </c>
      <c r="B1403">
        <f>DSDV!G1408</f>
        <v>0</v>
      </c>
      <c r="C1403" s="237">
        <f>DSDV!K1408</f>
        <v>0</v>
      </c>
      <c r="D1403" s="238">
        <f>DSDV!W1408</f>
        <v>0</v>
      </c>
    </row>
    <row r="1404" spans="1:4">
      <c r="A1404">
        <f>DSDV!B1409</f>
        <v>0</v>
      </c>
      <c r="B1404">
        <f>DSDV!G1409</f>
        <v>0</v>
      </c>
      <c r="C1404" s="237">
        <f>DSDV!K1409</f>
        <v>0</v>
      </c>
      <c r="D1404" s="238">
        <f>DSDV!W1409</f>
        <v>0</v>
      </c>
    </row>
    <row r="1405" spans="1:4">
      <c r="A1405">
        <f>DSDV!B1410</f>
        <v>0</v>
      </c>
      <c r="B1405">
        <f>DSDV!G1410</f>
        <v>0</v>
      </c>
      <c r="C1405" s="237">
        <f>DSDV!K1410</f>
        <v>0</v>
      </c>
      <c r="D1405" s="238">
        <f>DSDV!W1410</f>
        <v>0</v>
      </c>
    </row>
    <row r="1406" spans="1:4">
      <c r="A1406">
        <f>DSDV!B1411</f>
        <v>0</v>
      </c>
      <c r="B1406">
        <f>DSDV!G1411</f>
        <v>0</v>
      </c>
      <c r="C1406" s="237">
        <f>DSDV!K1411</f>
        <v>0</v>
      </c>
      <c r="D1406" s="238">
        <f>DSDV!W1411</f>
        <v>0</v>
      </c>
    </row>
    <row r="1407" spans="1:4">
      <c r="A1407">
        <f>DSDV!B1412</f>
        <v>0</v>
      </c>
      <c r="B1407">
        <f>DSDV!G1412</f>
        <v>0</v>
      </c>
      <c r="C1407" s="237">
        <f>DSDV!K1412</f>
        <v>0</v>
      </c>
      <c r="D1407" s="238">
        <f>DSDV!W1412</f>
        <v>0</v>
      </c>
    </row>
    <row r="1408" spans="1:4">
      <c r="A1408">
        <f>DSDV!B1413</f>
        <v>0</v>
      </c>
      <c r="B1408">
        <f>DSDV!G1413</f>
        <v>0</v>
      </c>
      <c r="C1408" s="237">
        <f>DSDV!K1413</f>
        <v>0</v>
      </c>
      <c r="D1408" s="238">
        <f>DSDV!W1413</f>
        <v>0</v>
      </c>
    </row>
    <row r="1409" spans="1:4">
      <c r="A1409">
        <f>DSDV!B1414</f>
        <v>0</v>
      </c>
      <c r="B1409">
        <f>DSDV!G1414</f>
        <v>0</v>
      </c>
      <c r="C1409" s="237">
        <f>DSDV!K1414</f>
        <v>0</v>
      </c>
      <c r="D1409" s="238">
        <f>DSDV!W1414</f>
        <v>0</v>
      </c>
    </row>
    <row r="1410" spans="1:4">
      <c r="A1410">
        <f>DSDV!B1415</f>
        <v>0</v>
      </c>
      <c r="B1410">
        <f>DSDV!G1415</f>
        <v>0</v>
      </c>
      <c r="C1410" s="237">
        <f>DSDV!K1415</f>
        <v>0</v>
      </c>
      <c r="D1410" s="238">
        <f>DSDV!W1415</f>
        <v>0</v>
      </c>
    </row>
    <row r="1411" spans="1:4">
      <c r="A1411">
        <f>DSDV!B1416</f>
        <v>0</v>
      </c>
      <c r="B1411">
        <f>DSDV!G1416</f>
        <v>0</v>
      </c>
      <c r="C1411" s="237">
        <f>DSDV!K1416</f>
        <v>0</v>
      </c>
      <c r="D1411" s="238">
        <f>DSDV!W1416</f>
        <v>0</v>
      </c>
    </row>
    <row r="1412" spans="1:4">
      <c r="A1412">
        <f>DSDV!B1417</f>
        <v>0</v>
      </c>
      <c r="B1412">
        <f>DSDV!G1417</f>
        <v>0</v>
      </c>
      <c r="C1412" s="237">
        <f>DSDV!K1417</f>
        <v>0</v>
      </c>
      <c r="D1412" s="238">
        <f>DSDV!W1417</f>
        <v>0</v>
      </c>
    </row>
    <row r="1413" spans="1:4">
      <c r="A1413">
        <f>DSDV!B1418</f>
        <v>0</v>
      </c>
      <c r="B1413">
        <f>DSDV!G1418</f>
        <v>0</v>
      </c>
      <c r="C1413" s="237">
        <f>DSDV!K1418</f>
        <v>0</v>
      </c>
      <c r="D1413" s="238">
        <f>DSDV!W1418</f>
        <v>0</v>
      </c>
    </row>
    <row r="1414" spans="1:4">
      <c r="A1414">
        <f>DSDV!B1419</f>
        <v>0</v>
      </c>
      <c r="B1414">
        <f>DSDV!G1419</f>
        <v>0</v>
      </c>
      <c r="C1414" s="237">
        <f>DSDV!K1419</f>
        <v>0</v>
      </c>
      <c r="D1414" s="238">
        <f>DSDV!W1419</f>
        <v>0</v>
      </c>
    </row>
    <row r="1415" spans="1:4">
      <c r="A1415">
        <f>DSDV!B1420</f>
        <v>0</v>
      </c>
      <c r="B1415">
        <f>DSDV!G1420</f>
        <v>0</v>
      </c>
      <c r="C1415" s="237">
        <f>DSDV!K1420</f>
        <v>0</v>
      </c>
      <c r="D1415" s="238">
        <f>DSDV!W1420</f>
        <v>0</v>
      </c>
    </row>
    <row r="1416" spans="1:4">
      <c r="A1416">
        <f>DSDV!B1421</f>
        <v>0</v>
      </c>
      <c r="B1416">
        <f>DSDV!G1421</f>
        <v>0</v>
      </c>
      <c r="C1416" s="237">
        <f>DSDV!K1421</f>
        <v>0</v>
      </c>
      <c r="D1416" s="238">
        <f>DSDV!W1421</f>
        <v>0</v>
      </c>
    </row>
    <row r="1417" spans="1:4">
      <c r="A1417">
        <f>DSDV!B1422</f>
        <v>0</v>
      </c>
      <c r="B1417">
        <f>DSDV!G1422</f>
        <v>0</v>
      </c>
      <c r="C1417" s="237">
        <f>DSDV!K1422</f>
        <v>0</v>
      </c>
      <c r="D1417" s="238">
        <f>DSDV!W1422</f>
        <v>0</v>
      </c>
    </row>
    <row r="1418" spans="1:4">
      <c r="A1418">
        <f>DSDV!B1423</f>
        <v>0</v>
      </c>
      <c r="B1418">
        <f>DSDV!G1423</f>
        <v>0</v>
      </c>
      <c r="C1418" s="237">
        <f>DSDV!K1423</f>
        <v>0</v>
      </c>
      <c r="D1418" s="238">
        <f>DSDV!W1423</f>
        <v>0</v>
      </c>
    </row>
    <row r="1419" spans="1:4">
      <c r="A1419">
        <f>DSDV!B1424</f>
        <v>0</v>
      </c>
      <c r="B1419">
        <f>DSDV!G1424</f>
        <v>0</v>
      </c>
      <c r="C1419" s="237">
        <f>DSDV!K1424</f>
        <v>0</v>
      </c>
      <c r="D1419" s="238">
        <f>DSDV!W1424</f>
        <v>0</v>
      </c>
    </row>
    <row r="1420" spans="1:4">
      <c r="A1420">
        <f>DSDV!B1425</f>
        <v>0</v>
      </c>
      <c r="B1420">
        <f>DSDV!G1425</f>
        <v>0</v>
      </c>
      <c r="C1420" s="237">
        <f>DSDV!K1425</f>
        <v>0</v>
      </c>
      <c r="D1420" s="238">
        <f>DSDV!W1425</f>
        <v>0</v>
      </c>
    </row>
    <row r="1421" spans="1:4">
      <c r="A1421">
        <f>DSDV!B1426</f>
        <v>0</v>
      </c>
      <c r="B1421">
        <f>DSDV!G1426</f>
        <v>0</v>
      </c>
      <c r="C1421" s="237">
        <f>DSDV!K1426</f>
        <v>0</v>
      </c>
      <c r="D1421" s="238">
        <f>DSDV!W1426</f>
        <v>0</v>
      </c>
    </row>
    <row r="1422" spans="1:4">
      <c r="A1422">
        <f>DSDV!B1427</f>
        <v>0</v>
      </c>
      <c r="B1422">
        <f>DSDV!G1427</f>
        <v>0</v>
      </c>
      <c r="C1422" s="237">
        <f>DSDV!K1427</f>
        <v>0</v>
      </c>
      <c r="D1422" s="238">
        <f>DSDV!W1427</f>
        <v>0</v>
      </c>
    </row>
    <row r="1423" spans="1:4">
      <c r="A1423">
        <f>DSDV!B1428</f>
        <v>0</v>
      </c>
      <c r="B1423">
        <f>DSDV!G1428</f>
        <v>0</v>
      </c>
      <c r="C1423" s="237">
        <f>DSDV!K1428</f>
        <v>0</v>
      </c>
      <c r="D1423" s="238">
        <f>DSDV!W1428</f>
        <v>0</v>
      </c>
    </row>
    <row r="1424" spans="1:4">
      <c r="A1424">
        <f>DSDV!B1429</f>
        <v>0</v>
      </c>
      <c r="B1424">
        <f>DSDV!G1429</f>
        <v>0</v>
      </c>
      <c r="C1424" s="237">
        <f>DSDV!K1429</f>
        <v>0</v>
      </c>
      <c r="D1424" s="238">
        <f>DSDV!W1429</f>
        <v>0</v>
      </c>
    </row>
    <row r="1425" spans="1:4">
      <c r="A1425">
        <f>DSDV!B1430</f>
        <v>0</v>
      </c>
      <c r="B1425">
        <f>DSDV!G1430</f>
        <v>0</v>
      </c>
      <c r="C1425" s="237">
        <f>DSDV!K1430</f>
        <v>0</v>
      </c>
      <c r="D1425" s="238">
        <f>DSDV!W1430</f>
        <v>0</v>
      </c>
    </row>
    <row r="1426" spans="1:4">
      <c r="A1426">
        <f>DSDV!B1431</f>
        <v>0</v>
      </c>
      <c r="B1426">
        <f>DSDV!G1431</f>
        <v>0</v>
      </c>
      <c r="C1426" s="237">
        <f>DSDV!K1431</f>
        <v>0</v>
      </c>
      <c r="D1426" s="238">
        <f>DSDV!W1431</f>
        <v>0</v>
      </c>
    </row>
    <row r="1427" spans="1:4">
      <c r="A1427">
        <f>DSDV!B1432</f>
        <v>0</v>
      </c>
      <c r="B1427">
        <f>DSDV!G1432</f>
        <v>0</v>
      </c>
      <c r="C1427" s="237">
        <f>DSDV!K1432</f>
        <v>0</v>
      </c>
      <c r="D1427" s="238">
        <f>DSDV!W1432</f>
        <v>0</v>
      </c>
    </row>
    <row r="1428" spans="1:4">
      <c r="A1428">
        <f>DSDV!B1433</f>
        <v>0</v>
      </c>
      <c r="B1428">
        <f>DSDV!G1433</f>
        <v>0</v>
      </c>
      <c r="C1428" s="237">
        <f>DSDV!K1433</f>
        <v>0</v>
      </c>
      <c r="D1428" s="238">
        <f>DSDV!W1433</f>
        <v>0</v>
      </c>
    </row>
    <row r="1429" spans="1:4">
      <c r="A1429">
        <f>DSDV!B1434</f>
        <v>0</v>
      </c>
      <c r="B1429">
        <f>DSDV!G1434</f>
        <v>0</v>
      </c>
      <c r="C1429" s="237">
        <f>DSDV!K1434</f>
        <v>0</v>
      </c>
      <c r="D1429" s="238">
        <f>DSDV!W1434</f>
        <v>0</v>
      </c>
    </row>
    <row r="1430" spans="1:4">
      <c r="A1430">
        <f>DSDV!B1435</f>
        <v>0</v>
      </c>
      <c r="B1430">
        <f>DSDV!G1435</f>
        <v>0</v>
      </c>
      <c r="C1430" s="237">
        <f>DSDV!K1435</f>
        <v>0</v>
      </c>
      <c r="D1430" s="238">
        <f>DSDV!W1435</f>
        <v>0</v>
      </c>
    </row>
    <row r="1431" spans="1:4">
      <c r="A1431">
        <f>DSDV!B1436</f>
        <v>0</v>
      </c>
      <c r="B1431">
        <f>DSDV!G1436</f>
        <v>0</v>
      </c>
      <c r="C1431" s="237">
        <f>DSDV!K1436</f>
        <v>0</v>
      </c>
      <c r="D1431" s="238">
        <f>DSDV!W1436</f>
        <v>0</v>
      </c>
    </row>
    <row r="1432" spans="1:4">
      <c r="A1432">
        <f>DSDV!B1437</f>
        <v>0</v>
      </c>
      <c r="B1432">
        <f>DSDV!G1437</f>
        <v>0</v>
      </c>
      <c r="C1432" s="237">
        <f>DSDV!K1437</f>
        <v>0</v>
      </c>
      <c r="D1432" s="238">
        <f>DSDV!W1437</f>
        <v>0</v>
      </c>
    </row>
    <row r="1433" spans="1:4">
      <c r="A1433">
        <f>DSDV!B1438</f>
        <v>0</v>
      </c>
      <c r="B1433">
        <f>DSDV!G1438</f>
        <v>0</v>
      </c>
      <c r="C1433" s="237">
        <f>DSDV!K1438</f>
        <v>0</v>
      </c>
      <c r="D1433" s="238">
        <f>DSDV!W1438</f>
        <v>0</v>
      </c>
    </row>
    <row r="1434" spans="1:4">
      <c r="A1434">
        <f>DSDV!B1439</f>
        <v>0</v>
      </c>
      <c r="B1434">
        <f>DSDV!G1439</f>
        <v>0</v>
      </c>
      <c r="C1434" s="237">
        <f>DSDV!K1439</f>
        <v>0</v>
      </c>
      <c r="D1434" s="238">
        <f>DSDV!W1439</f>
        <v>0</v>
      </c>
    </row>
    <row r="1435" spans="1:4">
      <c r="A1435">
        <f>DSDV!B1440</f>
        <v>0</v>
      </c>
      <c r="B1435">
        <f>DSDV!G1440</f>
        <v>0</v>
      </c>
      <c r="C1435" s="237">
        <f>DSDV!K1440</f>
        <v>0</v>
      </c>
      <c r="D1435" s="238">
        <f>DSDV!W1440</f>
        <v>0</v>
      </c>
    </row>
    <row r="1436" spans="1:4">
      <c r="A1436">
        <f>DSDV!B1441</f>
        <v>0</v>
      </c>
      <c r="B1436">
        <f>DSDV!G1441</f>
        <v>0</v>
      </c>
      <c r="C1436" s="237">
        <f>DSDV!K1441</f>
        <v>0</v>
      </c>
      <c r="D1436" s="238">
        <f>DSDV!W1441</f>
        <v>0</v>
      </c>
    </row>
    <row r="1437" spans="1:4">
      <c r="A1437">
        <f>DSDV!B1442</f>
        <v>0</v>
      </c>
      <c r="B1437">
        <f>DSDV!G1442</f>
        <v>0</v>
      </c>
      <c r="C1437" s="237">
        <f>DSDV!K1442</f>
        <v>0</v>
      </c>
      <c r="D1437" s="238">
        <f>DSDV!W1442</f>
        <v>0</v>
      </c>
    </row>
    <row r="1438" spans="1:4">
      <c r="A1438">
        <f>DSDV!B1443</f>
        <v>0</v>
      </c>
      <c r="B1438">
        <f>DSDV!G1443</f>
        <v>0</v>
      </c>
      <c r="C1438" s="237">
        <f>DSDV!K1443</f>
        <v>0</v>
      </c>
      <c r="D1438" s="238">
        <f>DSDV!W1443</f>
        <v>0</v>
      </c>
    </row>
    <row r="1439" spans="1:4">
      <c r="A1439">
        <f>DSDV!B1444</f>
        <v>0</v>
      </c>
      <c r="B1439">
        <f>DSDV!G1444</f>
        <v>0</v>
      </c>
      <c r="C1439" s="237">
        <f>DSDV!K1444</f>
        <v>0</v>
      </c>
      <c r="D1439" s="238">
        <f>DSDV!W1444</f>
        <v>0</v>
      </c>
    </row>
    <row r="1440" spans="1:4">
      <c r="A1440">
        <f>DSDV!B1445</f>
        <v>0</v>
      </c>
      <c r="B1440">
        <f>DSDV!G1445</f>
        <v>0</v>
      </c>
      <c r="C1440" s="237">
        <f>DSDV!K1445</f>
        <v>0</v>
      </c>
      <c r="D1440" s="238">
        <f>DSDV!W1445</f>
        <v>0</v>
      </c>
    </row>
    <row r="1441" spans="1:4">
      <c r="A1441">
        <f>DSDV!B1446</f>
        <v>0</v>
      </c>
      <c r="B1441">
        <f>DSDV!G1446</f>
        <v>0</v>
      </c>
      <c r="C1441" s="237">
        <f>DSDV!K1446</f>
        <v>0</v>
      </c>
      <c r="D1441" s="238">
        <f>DSDV!W1446</f>
        <v>0</v>
      </c>
    </row>
    <row r="1442" spans="1:4">
      <c r="A1442">
        <f>DSDV!B1447</f>
        <v>0</v>
      </c>
      <c r="B1442">
        <f>DSDV!G1447</f>
        <v>0</v>
      </c>
      <c r="C1442" s="237">
        <f>DSDV!K1447</f>
        <v>0</v>
      </c>
      <c r="D1442" s="238">
        <f>DSDV!W1447</f>
        <v>0</v>
      </c>
    </row>
    <row r="1443" spans="1:4">
      <c r="A1443">
        <f>DSDV!B1448</f>
        <v>0</v>
      </c>
      <c r="B1443">
        <f>DSDV!G1448</f>
        <v>0</v>
      </c>
      <c r="C1443" s="237">
        <f>DSDV!K1448</f>
        <v>0</v>
      </c>
      <c r="D1443" s="238">
        <f>DSDV!W1448</f>
        <v>0</v>
      </c>
    </row>
    <row r="1444" spans="1:4">
      <c r="A1444">
        <f>DSDV!B1449</f>
        <v>0</v>
      </c>
      <c r="B1444">
        <f>DSDV!G1449</f>
        <v>0</v>
      </c>
      <c r="C1444" s="237">
        <f>DSDV!K1449</f>
        <v>0</v>
      </c>
      <c r="D1444" s="238">
        <f>DSDV!W1449</f>
        <v>0</v>
      </c>
    </row>
    <row r="1445" spans="1:4">
      <c r="A1445">
        <f>DSDV!B1450</f>
        <v>0</v>
      </c>
      <c r="B1445">
        <f>DSDV!G1450</f>
        <v>0</v>
      </c>
      <c r="C1445" s="237">
        <f>DSDV!K1450</f>
        <v>0</v>
      </c>
      <c r="D1445" s="238">
        <f>DSDV!W1450</f>
        <v>0</v>
      </c>
    </row>
    <row r="1446" spans="1:4">
      <c r="A1446">
        <f>DSDV!B1451</f>
        <v>0</v>
      </c>
      <c r="B1446">
        <f>DSDV!G1451</f>
        <v>0</v>
      </c>
      <c r="C1446" s="237">
        <f>DSDV!K1451</f>
        <v>0</v>
      </c>
      <c r="D1446" s="238">
        <f>DSDV!W1451</f>
        <v>0</v>
      </c>
    </row>
    <row r="1447" spans="1:4">
      <c r="A1447">
        <f>DSDV!B1452</f>
        <v>0</v>
      </c>
      <c r="B1447">
        <f>DSDV!G1452</f>
        <v>0</v>
      </c>
      <c r="C1447" s="237">
        <f>DSDV!K1452</f>
        <v>0</v>
      </c>
      <c r="D1447" s="238">
        <f>DSDV!W1452</f>
        <v>0</v>
      </c>
    </row>
    <row r="1448" spans="1:4">
      <c r="A1448">
        <f>DSDV!B1453</f>
        <v>0</v>
      </c>
      <c r="B1448">
        <f>DSDV!G1453</f>
        <v>0</v>
      </c>
      <c r="C1448" s="237">
        <f>DSDV!K1453</f>
        <v>0</v>
      </c>
      <c r="D1448" s="238">
        <f>DSDV!W1453</f>
        <v>0</v>
      </c>
    </row>
    <row r="1449" spans="1:4">
      <c r="A1449">
        <f>DSDV!B1454</f>
        <v>0</v>
      </c>
      <c r="B1449">
        <f>DSDV!G1454</f>
        <v>0</v>
      </c>
      <c r="C1449" s="237">
        <f>DSDV!K1454</f>
        <v>0</v>
      </c>
      <c r="D1449" s="238">
        <f>DSDV!W1454</f>
        <v>0</v>
      </c>
    </row>
    <row r="1450" spans="1:4">
      <c r="A1450">
        <f>DSDV!B1455</f>
        <v>0</v>
      </c>
      <c r="B1450">
        <f>DSDV!G1455</f>
        <v>0</v>
      </c>
      <c r="C1450" s="237">
        <f>DSDV!K1455</f>
        <v>0</v>
      </c>
      <c r="D1450" s="238">
        <f>DSDV!W1455</f>
        <v>0</v>
      </c>
    </row>
    <row r="1451" spans="1:4">
      <c r="A1451">
        <f>DSDV!B1456</f>
        <v>0</v>
      </c>
      <c r="B1451">
        <f>DSDV!G1456</f>
        <v>0</v>
      </c>
      <c r="C1451" s="237">
        <f>DSDV!K1456</f>
        <v>0</v>
      </c>
      <c r="D1451" s="238">
        <f>DSDV!W1456</f>
        <v>0</v>
      </c>
    </row>
    <row r="1452" spans="1:4">
      <c r="A1452">
        <f>DSDV!B1457</f>
        <v>0</v>
      </c>
      <c r="B1452">
        <f>DSDV!G1457</f>
        <v>0</v>
      </c>
      <c r="C1452" s="237">
        <f>DSDV!K1457</f>
        <v>0</v>
      </c>
      <c r="D1452" s="238">
        <f>DSDV!W1457</f>
        <v>0</v>
      </c>
    </row>
    <row r="1453" spans="1:4">
      <c r="A1453">
        <f>DSDV!B1458</f>
        <v>0</v>
      </c>
      <c r="B1453">
        <f>DSDV!G1458</f>
        <v>0</v>
      </c>
      <c r="C1453" s="237">
        <f>DSDV!K1458</f>
        <v>0</v>
      </c>
      <c r="D1453" s="238">
        <f>DSDV!W1458</f>
        <v>0</v>
      </c>
    </row>
    <row r="1454" spans="1:4">
      <c r="A1454">
        <f>DSDV!B1459</f>
        <v>0</v>
      </c>
      <c r="B1454">
        <f>DSDV!G1459</f>
        <v>0</v>
      </c>
      <c r="C1454" s="237">
        <f>DSDV!K1459</f>
        <v>0</v>
      </c>
      <c r="D1454" s="238">
        <f>DSDV!W1459</f>
        <v>0</v>
      </c>
    </row>
    <row r="1455" spans="1:4">
      <c r="A1455">
        <f>DSDV!B1460</f>
        <v>0</v>
      </c>
      <c r="B1455">
        <f>DSDV!G1460</f>
        <v>0</v>
      </c>
      <c r="C1455" s="237">
        <f>DSDV!K1460</f>
        <v>0</v>
      </c>
      <c r="D1455" s="238">
        <f>DSDV!W1460</f>
        <v>0</v>
      </c>
    </row>
    <row r="1456" spans="1:4">
      <c r="A1456">
        <f>DSDV!B1461</f>
        <v>0</v>
      </c>
      <c r="B1456">
        <f>DSDV!G1461</f>
        <v>0</v>
      </c>
      <c r="C1456" s="237">
        <f>DSDV!K1461</f>
        <v>0</v>
      </c>
      <c r="D1456" s="238">
        <f>DSDV!W1461</f>
        <v>0</v>
      </c>
    </row>
    <row r="1457" spans="1:4">
      <c r="A1457">
        <f>DSDV!B1462</f>
        <v>0</v>
      </c>
      <c r="B1457">
        <f>DSDV!G1462</f>
        <v>0</v>
      </c>
      <c r="C1457" s="237">
        <f>DSDV!K1462</f>
        <v>0</v>
      </c>
      <c r="D1457" s="238">
        <f>DSDV!W1462</f>
        <v>0</v>
      </c>
    </row>
    <row r="1458" spans="1:4">
      <c r="A1458">
        <f>DSDV!B1463</f>
        <v>0</v>
      </c>
      <c r="B1458">
        <f>DSDV!G1463</f>
        <v>0</v>
      </c>
      <c r="C1458" s="237">
        <f>DSDV!K1463</f>
        <v>0</v>
      </c>
      <c r="D1458" s="238">
        <f>DSDV!W1463</f>
        <v>0</v>
      </c>
    </row>
    <row r="1459" spans="1:4">
      <c r="A1459">
        <f>DSDV!B1464</f>
        <v>0</v>
      </c>
      <c r="B1459">
        <f>DSDV!G1464</f>
        <v>0</v>
      </c>
      <c r="C1459" s="237">
        <f>DSDV!K1464</f>
        <v>0</v>
      </c>
      <c r="D1459" s="238">
        <f>DSDV!W1464</f>
        <v>0</v>
      </c>
    </row>
    <row r="1460" spans="1:4">
      <c r="A1460">
        <f>DSDV!B1465</f>
        <v>0</v>
      </c>
      <c r="B1460">
        <f>DSDV!G1465</f>
        <v>0</v>
      </c>
      <c r="C1460" s="237">
        <f>DSDV!K1465</f>
        <v>0</v>
      </c>
      <c r="D1460" s="238">
        <f>DSDV!W1465</f>
        <v>0</v>
      </c>
    </row>
    <row r="1461" spans="1:4">
      <c r="A1461">
        <f>DSDV!B1466</f>
        <v>0</v>
      </c>
      <c r="B1461">
        <f>DSDV!G1466</f>
        <v>0</v>
      </c>
      <c r="C1461" s="237">
        <f>DSDV!K1466</f>
        <v>0</v>
      </c>
      <c r="D1461" s="238">
        <f>DSDV!W1466</f>
        <v>0</v>
      </c>
    </row>
    <row r="1462" spans="1:4">
      <c r="A1462">
        <f>DSDV!B1467</f>
        <v>0</v>
      </c>
      <c r="B1462">
        <f>DSDV!G1467</f>
        <v>0</v>
      </c>
      <c r="C1462" s="237">
        <f>DSDV!K1467</f>
        <v>0</v>
      </c>
      <c r="D1462" s="238">
        <f>DSDV!W1467</f>
        <v>0</v>
      </c>
    </row>
    <row r="1463" spans="1:4">
      <c r="A1463">
        <f>DSDV!B1468</f>
        <v>0</v>
      </c>
      <c r="B1463">
        <f>DSDV!G1468</f>
        <v>0</v>
      </c>
      <c r="C1463" s="237">
        <f>DSDV!K1468</f>
        <v>0</v>
      </c>
      <c r="D1463" s="238">
        <f>DSDV!W1468</f>
        <v>0</v>
      </c>
    </row>
    <row r="1464" spans="1:4">
      <c r="A1464">
        <f>DSDV!B1469</f>
        <v>0</v>
      </c>
      <c r="B1464">
        <f>DSDV!G1469</f>
        <v>0</v>
      </c>
      <c r="C1464" s="237">
        <f>DSDV!K1469</f>
        <v>0</v>
      </c>
      <c r="D1464" s="238">
        <f>DSDV!W1469</f>
        <v>0</v>
      </c>
    </row>
    <row r="1465" spans="1:4">
      <c r="A1465">
        <f>DSDV!B1470</f>
        <v>0</v>
      </c>
      <c r="B1465">
        <f>DSDV!G1470</f>
        <v>0</v>
      </c>
      <c r="C1465" s="237">
        <f>DSDV!K1470</f>
        <v>0</v>
      </c>
      <c r="D1465" s="238">
        <f>DSDV!W1470</f>
        <v>0</v>
      </c>
    </row>
    <row r="1466" spans="1:4">
      <c r="A1466">
        <f>DSDV!B1471</f>
        <v>0</v>
      </c>
      <c r="B1466">
        <f>DSDV!G1471</f>
        <v>0</v>
      </c>
      <c r="C1466" s="237">
        <f>DSDV!K1471</f>
        <v>0</v>
      </c>
      <c r="D1466" s="238">
        <f>DSDV!W1471</f>
        <v>0</v>
      </c>
    </row>
    <row r="1467" spans="1:4">
      <c r="A1467">
        <f>DSDV!B1472</f>
        <v>0</v>
      </c>
      <c r="B1467">
        <f>DSDV!G1472</f>
        <v>0</v>
      </c>
      <c r="C1467" s="237">
        <f>DSDV!K1472</f>
        <v>0</v>
      </c>
      <c r="D1467" s="238">
        <f>DSDV!W1472</f>
        <v>0</v>
      </c>
    </row>
    <row r="1468" spans="1:4">
      <c r="A1468">
        <f>DSDV!B1473</f>
        <v>0</v>
      </c>
      <c r="B1468">
        <f>DSDV!G1473</f>
        <v>0</v>
      </c>
      <c r="C1468" s="237">
        <f>DSDV!K1473</f>
        <v>0</v>
      </c>
      <c r="D1468" s="238">
        <f>DSDV!W1473</f>
        <v>0</v>
      </c>
    </row>
    <row r="1469" spans="1:4">
      <c r="A1469">
        <f>DSDV!B1474</f>
        <v>0</v>
      </c>
      <c r="B1469">
        <f>DSDV!G1474</f>
        <v>0</v>
      </c>
      <c r="C1469" s="237">
        <f>DSDV!K1474</f>
        <v>0</v>
      </c>
      <c r="D1469" s="238">
        <f>DSDV!W1474</f>
        <v>0</v>
      </c>
    </row>
    <row r="1470" spans="1:4">
      <c r="A1470">
        <f>DSDV!B1475</f>
        <v>0</v>
      </c>
      <c r="B1470">
        <f>DSDV!G1475</f>
        <v>0</v>
      </c>
      <c r="C1470" s="237">
        <f>DSDV!K1475</f>
        <v>0</v>
      </c>
      <c r="D1470" s="238">
        <f>DSDV!W1475</f>
        <v>0</v>
      </c>
    </row>
    <row r="1471" spans="1:4">
      <c r="A1471">
        <f>DSDV!B1476</f>
        <v>0</v>
      </c>
      <c r="B1471">
        <f>DSDV!G1476</f>
        <v>0</v>
      </c>
      <c r="C1471" s="237">
        <f>DSDV!K1476</f>
        <v>0</v>
      </c>
      <c r="D1471" s="238">
        <f>DSDV!W1476</f>
        <v>0</v>
      </c>
    </row>
    <row r="1472" spans="1:4">
      <c r="A1472">
        <f>DSDV!B1477</f>
        <v>0</v>
      </c>
      <c r="B1472">
        <f>DSDV!G1477</f>
        <v>0</v>
      </c>
      <c r="C1472" s="237">
        <f>DSDV!K1477</f>
        <v>0</v>
      </c>
      <c r="D1472" s="238">
        <f>DSDV!W1477</f>
        <v>0</v>
      </c>
    </row>
    <row r="1473" spans="1:4">
      <c r="A1473">
        <f>DSDV!B1478</f>
        <v>0</v>
      </c>
      <c r="B1473">
        <f>DSDV!G1478</f>
        <v>0</v>
      </c>
      <c r="C1473" s="237">
        <f>DSDV!K1478</f>
        <v>0</v>
      </c>
      <c r="D1473" s="238">
        <f>DSDV!W1478</f>
        <v>0</v>
      </c>
    </row>
    <row r="1474" spans="1:4">
      <c r="A1474">
        <f>DSDV!B1479</f>
        <v>0</v>
      </c>
      <c r="B1474">
        <f>DSDV!G1479</f>
        <v>0</v>
      </c>
      <c r="C1474" s="237">
        <f>DSDV!K1479</f>
        <v>0</v>
      </c>
      <c r="D1474" s="238">
        <f>DSDV!W1479</f>
        <v>0</v>
      </c>
    </row>
    <row r="1475" spans="1:4">
      <c r="A1475">
        <f>DSDV!B1480</f>
        <v>0</v>
      </c>
      <c r="B1475">
        <f>DSDV!G1480</f>
        <v>0</v>
      </c>
      <c r="C1475" s="237">
        <f>DSDV!K1480</f>
        <v>0</v>
      </c>
      <c r="D1475" s="238">
        <f>DSDV!W1480</f>
        <v>0</v>
      </c>
    </row>
    <row r="1476" spans="1:4">
      <c r="A1476">
        <f>DSDV!B1481</f>
        <v>0</v>
      </c>
      <c r="B1476">
        <f>DSDV!G1481</f>
        <v>0</v>
      </c>
      <c r="C1476" s="237">
        <f>DSDV!K1481</f>
        <v>0</v>
      </c>
      <c r="D1476" s="238">
        <f>DSDV!W1481</f>
        <v>0</v>
      </c>
    </row>
    <row r="1477" spans="1:4">
      <c r="A1477">
        <f>DSDV!B1482</f>
        <v>0</v>
      </c>
      <c r="B1477">
        <f>DSDV!G1482</f>
        <v>0</v>
      </c>
      <c r="C1477" s="237">
        <f>DSDV!K1482</f>
        <v>0</v>
      </c>
      <c r="D1477" s="238">
        <f>DSDV!W1482</f>
        <v>0</v>
      </c>
    </row>
    <row r="1478" spans="1:4">
      <c r="A1478">
        <f>DSDV!B1483</f>
        <v>0</v>
      </c>
      <c r="B1478">
        <f>DSDV!G1483</f>
        <v>0</v>
      </c>
      <c r="C1478" s="237">
        <f>DSDV!K1483</f>
        <v>0</v>
      </c>
      <c r="D1478" s="238">
        <f>DSDV!W1483</f>
        <v>0</v>
      </c>
    </row>
    <row r="1479" spans="1:4">
      <c r="A1479">
        <f>DSDV!B1484</f>
        <v>0</v>
      </c>
      <c r="B1479">
        <f>DSDV!G1484</f>
        <v>0</v>
      </c>
      <c r="C1479" s="237">
        <f>DSDV!K1484</f>
        <v>0</v>
      </c>
      <c r="D1479" s="238">
        <f>DSDV!W1484</f>
        <v>0</v>
      </c>
    </row>
    <row r="1480" spans="1:4">
      <c r="A1480">
        <f>DSDV!B1485</f>
        <v>0</v>
      </c>
      <c r="B1480">
        <f>DSDV!G1485</f>
        <v>0</v>
      </c>
      <c r="C1480" s="237">
        <f>DSDV!K1485</f>
        <v>0</v>
      </c>
      <c r="D1480" s="238">
        <f>DSDV!W1485</f>
        <v>0</v>
      </c>
    </row>
    <row r="1481" spans="1:4">
      <c r="A1481">
        <f>DSDV!B1486</f>
        <v>0</v>
      </c>
      <c r="B1481">
        <f>DSDV!G1486</f>
        <v>0</v>
      </c>
      <c r="C1481" s="237">
        <f>DSDV!K1486</f>
        <v>0</v>
      </c>
      <c r="D1481" s="238">
        <f>DSDV!W1486</f>
        <v>0</v>
      </c>
    </row>
    <row r="1482" spans="1:4">
      <c r="A1482">
        <f>DSDV!B1487</f>
        <v>0</v>
      </c>
      <c r="B1482">
        <f>DSDV!G1487</f>
        <v>0</v>
      </c>
      <c r="C1482" s="237">
        <f>DSDV!K1487</f>
        <v>0</v>
      </c>
      <c r="D1482" s="238">
        <f>DSDV!W1487</f>
        <v>0</v>
      </c>
    </row>
    <row r="1483" spans="1:4">
      <c r="A1483">
        <f>DSDV!B1488</f>
        <v>0</v>
      </c>
      <c r="B1483">
        <f>DSDV!G1488</f>
        <v>0</v>
      </c>
      <c r="C1483" s="237">
        <f>DSDV!K1488</f>
        <v>0</v>
      </c>
      <c r="D1483" s="238">
        <f>DSDV!W1488</f>
        <v>0</v>
      </c>
    </row>
    <row r="1484" spans="1:4">
      <c r="A1484">
        <f>DSDV!B1489</f>
        <v>0</v>
      </c>
      <c r="B1484">
        <f>DSDV!G1489</f>
        <v>0</v>
      </c>
      <c r="C1484" s="237">
        <f>DSDV!K1489</f>
        <v>0</v>
      </c>
      <c r="D1484" s="238">
        <f>DSDV!W1489</f>
        <v>0</v>
      </c>
    </row>
    <row r="1485" spans="1:4">
      <c r="A1485">
        <f>DSDV!B1490</f>
        <v>0</v>
      </c>
      <c r="B1485">
        <f>DSDV!G1490</f>
        <v>0</v>
      </c>
      <c r="C1485" s="237">
        <f>DSDV!K1490</f>
        <v>0</v>
      </c>
      <c r="D1485" s="238">
        <f>DSDV!W1490</f>
        <v>0</v>
      </c>
    </row>
    <row r="1486" spans="1:4">
      <c r="A1486">
        <f>DSDV!B1491</f>
        <v>0</v>
      </c>
      <c r="B1486">
        <f>DSDV!G1491</f>
        <v>0</v>
      </c>
      <c r="C1486" s="237">
        <f>DSDV!K1491</f>
        <v>0</v>
      </c>
      <c r="D1486" s="238">
        <f>DSDV!W1491</f>
        <v>0</v>
      </c>
    </row>
    <row r="1487" spans="1:4">
      <c r="A1487">
        <f>DSDV!B1492</f>
        <v>0</v>
      </c>
      <c r="B1487">
        <f>DSDV!G1492</f>
        <v>0</v>
      </c>
      <c r="C1487" s="237">
        <f>DSDV!K1492</f>
        <v>0</v>
      </c>
      <c r="D1487" s="238">
        <f>DSDV!W1492</f>
        <v>0</v>
      </c>
    </row>
    <row r="1488" spans="1:4">
      <c r="A1488">
        <f>DSDV!B1493</f>
        <v>0</v>
      </c>
      <c r="B1488">
        <f>DSDV!G1493</f>
        <v>0</v>
      </c>
      <c r="C1488" s="237">
        <f>DSDV!K1493</f>
        <v>0</v>
      </c>
      <c r="D1488" s="238">
        <f>DSDV!W1493</f>
        <v>0</v>
      </c>
    </row>
    <row r="1489" spans="1:4">
      <c r="A1489">
        <f>DSDV!B1494</f>
        <v>0</v>
      </c>
      <c r="B1489">
        <f>DSDV!G1494</f>
        <v>0</v>
      </c>
      <c r="C1489" s="237">
        <f>DSDV!K1494</f>
        <v>0</v>
      </c>
      <c r="D1489" s="238">
        <f>DSDV!W1494</f>
        <v>0</v>
      </c>
    </row>
    <row r="1490" spans="1:4">
      <c r="A1490">
        <f>DSDV!B1495</f>
        <v>0</v>
      </c>
      <c r="B1490">
        <f>DSDV!G1495</f>
        <v>0</v>
      </c>
      <c r="C1490" s="237">
        <f>DSDV!K1495</f>
        <v>0</v>
      </c>
      <c r="D1490" s="238">
        <f>DSDV!W1495</f>
        <v>0</v>
      </c>
    </row>
    <row r="1491" spans="1:4">
      <c r="A1491">
        <f>DSDV!B1496</f>
        <v>0</v>
      </c>
      <c r="B1491">
        <f>DSDV!G1496</f>
        <v>0</v>
      </c>
      <c r="C1491" s="237">
        <f>DSDV!K1496</f>
        <v>0</v>
      </c>
      <c r="D1491" s="238">
        <f>DSDV!W1496</f>
        <v>0</v>
      </c>
    </row>
    <row r="1492" spans="1:4">
      <c r="A1492">
        <f>DSDV!B1497</f>
        <v>0</v>
      </c>
      <c r="B1492">
        <f>DSDV!G1497</f>
        <v>0</v>
      </c>
      <c r="C1492" s="237">
        <f>DSDV!K1497</f>
        <v>0</v>
      </c>
      <c r="D1492" s="238">
        <f>DSDV!W1497</f>
        <v>0</v>
      </c>
    </row>
    <row r="1493" spans="1:4">
      <c r="A1493">
        <f>DSDV!B1498</f>
        <v>0</v>
      </c>
      <c r="B1493">
        <f>DSDV!G1498</f>
        <v>0</v>
      </c>
      <c r="C1493" s="237">
        <f>DSDV!K1498</f>
        <v>0</v>
      </c>
      <c r="D1493" s="238">
        <f>DSDV!W1498</f>
        <v>0</v>
      </c>
    </row>
    <row r="1494" spans="1:4">
      <c r="A1494">
        <f>DSDV!B1499</f>
        <v>0</v>
      </c>
      <c r="B1494">
        <f>DSDV!G1499</f>
        <v>0</v>
      </c>
      <c r="C1494" s="237">
        <f>DSDV!K1499</f>
        <v>0</v>
      </c>
      <c r="D1494" s="238">
        <f>DSDV!W1499</f>
        <v>0</v>
      </c>
    </row>
    <row r="1495" spans="1:4">
      <c r="A1495">
        <f>DSDV!B1500</f>
        <v>0</v>
      </c>
      <c r="B1495">
        <f>DSDV!G1500</f>
        <v>0</v>
      </c>
      <c r="C1495" s="237">
        <f>DSDV!K1500</f>
        <v>0</v>
      </c>
      <c r="D1495" s="238">
        <f>DSDV!W1500</f>
        <v>0</v>
      </c>
    </row>
    <row r="1496" spans="1:4">
      <c r="A1496">
        <f>DSDV!B1501</f>
        <v>0</v>
      </c>
      <c r="B1496">
        <f>DSDV!G1501</f>
        <v>0</v>
      </c>
      <c r="C1496" s="237">
        <f>DSDV!K1501</f>
        <v>0</v>
      </c>
      <c r="D1496" s="238">
        <f>DSDV!W1501</f>
        <v>0</v>
      </c>
    </row>
    <row r="1497" spans="1:4">
      <c r="A1497">
        <f>DSDV!B1502</f>
        <v>0</v>
      </c>
      <c r="B1497">
        <f>DSDV!G1502</f>
        <v>0</v>
      </c>
      <c r="C1497" s="237">
        <f>DSDV!K1502</f>
        <v>0</v>
      </c>
      <c r="D1497" s="238">
        <f>DSDV!W1502</f>
        <v>0</v>
      </c>
    </row>
    <row r="1498" spans="1:4">
      <c r="A1498">
        <f>DSDV!B1503</f>
        <v>0</v>
      </c>
      <c r="B1498">
        <f>DSDV!G1503</f>
        <v>0</v>
      </c>
      <c r="C1498" s="237">
        <f>DSDV!K1503</f>
        <v>0</v>
      </c>
      <c r="D1498" s="238">
        <f>DSDV!W1503</f>
        <v>0</v>
      </c>
    </row>
    <row r="1499" spans="1:4">
      <c r="A1499">
        <f>DSDV!B1504</f>
        <v>0</v>
      </c>
      <c r="B1499">
        <f>DSDV!G1504</f>
        <v>0</v>
      </c>
      <c r="C1499" s="237">
        <f>DSDV!K1504</f>
        <v>0</v>
      </c>
      <c r="D1499" s="238">
        <f>DSDV!W1504</f>
        <v>0</v>
      </c>
    </row>
    <row r="1500" spans="1:4">
      <c r="A1500">
        <f>DSDV!B1505</f>
        <v>0</v>
      </c>
      <c r="B1500">
        <f>DSDV!G1505</f>
        <v>0</v>
      </c>
      <c r="C1500" s="237">
        <f>DSDV!K1505</f>
        <v>0</v>
      </c>
      <c r="D1500" s="238">
        <f>DSDV!W1505</f>
        <v>0</v>
      </c>
    </row>
    <row r="1501" spans="1:4">
      <c r="A1501">
        <f>DSDV!B1506</f>
        <v>0</v>
      </c>
      <c r="B1501">
        <f>DSDV!G1506</f>
        <v>0</v>
      </c>
      <c r="C1501" s="237">
        <f>DSDV!K1506</f>
        <v>0</v>
      </c>
      <c r="D1501" s="238">
        <f>DSDV!W1506</f>
        <v>0</v>
      </c>
    </row>
    <row r="1502" spans="1:4">
      <c r="A1502">
        <f>DSDV!B1507</f>
        <v>0</v>
      </c>
      <c r="B1502">
        <f>DSDV!G1507</f>
        <v>0</v>
      </c>
      <c r="C1502" s="237">
        <f>DSDV!K1507</f>
        <v>0</v>
      </c>
      <c r="D1502" s="238">
        <f>DSDV!W1507</f>
        <v>0</v>
      </c>
    </row>
    <row r="1503" spans="1:4">
      <c r="A1503">
        <f>DSDV!B1508</f>
        <v>0</v>
      </c>
      <c r="B1503">
        <f>DSDV!G1508</f>
        <v>0</v>
      </c>
      <c r="C1503" s="237">
        <f>DSDV!K1508</f>
        <v>0</v>
      </c>
      <c r="D1503" s="238">
        <f>DSDV!W1508</f>
        <v>0</v>
      </c>
    </row>
    <row r="1504" spans="1:4">
      <c r="A1504">
        <f>DSDV!B1509</f>
        <v>0</v>
      </c>
      <c r="B1504">
        <f>DSDV!G1509</f>
        <v>0</v>
      </c>
      <c r="C1504" s="237">
        <f>DSDV!K1509</f>
        <v>0</v>
      </c>
      <c r="D1504" s="238">
        <f>DSDV!W1509</f>
        <v>0</v>
      </c>
    </row>
    <row r="1505" spans="1:4">
      <c r="A1505">
        <f>DSDV!B1510</f>
        <v>0</v>
      </c>
      <c r="B1505">
        <f>DSDV!G1510</f>
        <v>0</v>
      </c>
      <c r="C1505" s="237">
        <f>DSDV!K1510</f>
        <v>0</v>
      </c>
      <c r="D1505" s="238">
        <f>DSDV!W1510</f>
        <v>0</v>
      </c>
    </row>
    <row r="1506" spans="1:4">
      <c r="A1506">
        <f>DSDV!B1511</f>
        <v>0</v>
      </c>
      <c r="B1506">
        <f>DSDV!G1511</f>
        <v>0</v>
      </c>
      <c r="C1506" s="237">
        <f>DSDV!K1511</f>
        <v>0</v>
      </c>
      <c r="D1506" s="238">
        <f>DSDV!W1511</f>
        <v>0</v>
      </c>
    </row>
    <row r="1507" spans="1:4">
      <c r="A1507">
        <f>DSDV!B1512</f>
        <v>0</v>
      </c>
      <c r="B1507">
        <f>DSDV!G1512</f>
        <v>0</v>
      </c>
      <c r="C1507" s="237">
        <f>DSDV!K1512</f>
        <v>0</v>
      </c>
      <c r="D1507" s="238">
        <f>DSDV!W1512</f>
        <v>0</v>
      </c>
    </row>
    <row r="1508" spans="1:4">
      <c r="A1508">
        <f>DSDV!B1513</f>
        <v>0</v>
      </c>
      <c r="B1508">
        <f>DSDV!G1513</f>
        <v>0</v>
      </c>
      <c r="C1508" s="237">
        <f>DSDV!K1513</f>
        <v>0</v>
      </c>
      <c r="D1508" s="238">
        <f>DSDV!W1513</f>
        <v>0</v>
      </c>
    </row>
    <row r="1509" spans="1:4">
      <c r="A1509">
        <f>DSDV!B1514</f>
        <v>0</v>
      </c>
      <c r="B1509">
        <f>DSDV!G1514</f>
        <v>0</v>
      </c>
      <c r="C1509" s="237">
        <f>DSDV!K1514</f>
        <v>0</v>
      </c>
      <c r="D1509" s="238">
        <f>DSDV!W1514</f>
        <v>0</v>
      </c>
    </row>
    <row r="1510" spans="1:4">
      <c r="A1510">
        <f>DSDV!B1515</f>
        <v>0</v>
      </c>
      <c r="B1510">
        <f>DSDV!G1515</f>
        <v>0</v>
      </c>
      <c r="C1510" s="237">
        <f>DSDV!K1515</f>
        <v>0</v>
      </c>
      <c r="D1510" s="238">
        <f>DSDV!W1515</f>
        <v>0</v>
      </c>
    </row>
    <row r="1511" spans="1:4">
      <c r="A1511">
        <f>DSDV!B1516</f>
        <v>0</v>
      </c>
      <c r="B1511">
        <f>DSDV!G1516</f>
        <v>0</v>
      </c>
      <c r="C1511" s="237">
        <f>DSDV!K1516</f>
        <v>0</v>
      </c>
      <c r="D1511" s="238">
        <f>DSDV!W1516</f>
        <v>0</v>
      </c>
    </row>
    <row r="1512" spans="1:4">
      <c r="A1512">
        <f>DSDV!B1517</f>
        <v>0</v>
      </c>
      <c r="B1512">
        <f>DSDV!G1517</f>
        <v>0</v>
      </c>
      <c r="C1512" s="237">
        <f>DSDV!K1517</f>
        <v>0</v>
      </c>
      <c r="D1512" s="238">
        <f>DSDV!W1517</f>
        <v>0</v>
      </c>
    </row>
    <row r="1513" spans="1:4">
      <c r="A1513">
        <f>DSDV!B1518</f>
        <v>0</v>
      </c>
      <c r="B1513">
        <f>DSDV!G1518</f>
        <v>0</v>
      </c>
      <c r="C1513" s="237">
        <f>DSDV!K1518</f>
        <v>0</v>
      </c>
      <c r="D1513" s="238">
        <f>DSDV!W1518</f>
        <v>0</v>
      </c>
    </row>
    <row r="1514" spans="1:4">
      <c r="A1514">
        <f>DSDV!B1519</f>
        <v>0</v>
      </c>
      <c r="B1514">
        <f>DSDV!G1519</f>
        <v>0</v>
      </c>
      <c r="C1514" s="237">
        <f>DSDV!K1519</f>
        <v>0</v>
      </c>
      <c r="D1514" s="238">
        <f>DSDV!W1519</f>
        <v>0</v>
      </c>
    </row>
    <row r="1515" spans="1:4">
      <c r="A1515">
        <f>DSDV!B1520</f>
        <v>0</v>
      </c>
      <c r="B1515">
        <f>DSDV!G1520</f>
        <v>0</v>
      </c>
      <c r="C1515" s="237">
        <f>DSDV!K1520</f>
        <v>0</v>
      </c>
      <c r="D1515" s="238">
        <f>DSDV!W1520</f>
        <v>0</v>
      </c>
    </row>
    <row r="1516" spans="1:4">
      <c r="A1516">
        <f>DSDV!B1521</f>
        <v>0</v>
      </c>
      <c r="B1516">
        <f>DSDV!G1521</f>
        <v>0</v>
      </c>
      <c r="C1516" s="237">
        <f>DSDV!K1521</f>
        <v>0</v>
      </c>
      <c r="D1516" s="238">
        <f>DSDV!W1521</f>
        <v>0</v>
      </c>
    </row>
    <row r="1517" spans="1:4">
      <c r="A1517">
        <f>DSDV!B1522</f>
        <v>0</v>
      </c>
      <c r="B1517">
        <f>DSDV!G1522</f>
        <v>0</v>
      </c>
      <c r="C1517" s="237">
        <f>DSDV!K1522</f>
        <v>0</v>
      </c>
      <c r="D1517" s="238">
        <f>DSDV!W1522</f>
        <v>0</v>
      </c>
    </row>
    <row r="1518" spans="1:4">
      <c r="A1518">
        <f>DSDV!B1523</f>
        <v>0</v>
      </c>
      <c r="B1518">
        <f>DSDV!G1523</f>
        <v>0</v>
      </c>
      <c r="C1518" s="237">
        <f>DSDV!K1523</f>
        <v>0</v>
      </c>
      <c r="D1518" s="238">
        <f>DSDV!W1523</f>
        <v>0</v>
      </c>
    </row>
    <row r="1519" spans="1:4">
      <c r="A1519">
        <f>DSDV!B1524</f>
        <v>0</v>
      </c>
      <c r="B1519">
        <f>DSDV!G1524</f>
        <v>0</v>
      </c>
      <c r="C1519" s="237">
        <f>DSDV!K1524</f>
        <v>0</v>
      </c>
      <c r="D1519" s="238">
        <f>DSDV!W1524</f>
        <v>0</v>
      </c>
    </row>
    <row r="1520" spans="1:4">
      <c r="A1520">
        <f>DSDV!B1525</f>
        <v>0</v>
      </c>
      <c r="B1520">
        <f>DSDV!G1525</f>
        <v>0</v>
      </c>
      <c r="C1520" s="237">
        <f>DSDV!K1525</f>
        <v>0</v>
      </c>
      <c r="D1520" s="238">
        <f>DSDV!W1525</f>
        <v>0</v>
      </c>
    </row>
    <row r="1521" spans="1:4">
      <c r="A1521">
        <f>DSDV!B1526</f>
        <v>0</v>
      </c>
      <c r="B1521">
        <f>DSDV!G1526</f>
        <v>0</v>
      </c>
      <c r="C1521" s="237">
        <f>DSDV!K1526</f>
        <v>0</v>
      </c>
      <c r="D1521" s="238">
        <f>DSDV!W1526</f>
        <v>0</v>
      </c>
    </row>
    <row r="1522" spans="1:4">
      <c r="A1522">
        <f>DSDV!B1527</f>
        <v>0</v>
      </c>
      <c r="B1522">
        <f>DSDV!G1527</f>
        <v>0</v>
      </c>
      <c r="C1522" s="237">
        <f>DSDV!K1527</f>
        <v>0</v>
      </c>
      <c r="D1522" s="238">
        <f>DSDV!W1527</f>
        <v>0</v>
      </c>
    </row>
    <row r="1523" spans="1:4">
      <c r="A1523">
        <f>DSDV!B1528</f>
        <v>0</v>
      </c>
      <c r="B1523">
        <f>DSDV!G1528</f>
        <v>0</v>
      </c>
      <c r="C1523" s="237">
        <f>DSDV!K1528</f>
        <v>0</v>
      </c>
      <c r="D1523" s="238">
        <f>DSDV!W1528</f>
        <v>0</v>
      </c>
    </row>
    <row r="1524" spans="1:4">
      <c r="A1524">
        <f>DSDV!B1529</f>
        <v>0</v>
      </c>
      <c r="B1524">
        <f>DSDV!G1529</f>
        <v>0</v>
      </c>
      <c r="C1524" s="237">
        <f>DSDV!K1529</f>
        <v>0</v>
      </c>
      <c r="D1524" s="238">
        <f>DSDV!W1529</f>
        <v>0</v>
      </c>
    </row>
    <row r="1525" spans="1:4">
      <c r="A1525">
        <f>DSDV!B1530</f>
        <v>0</v>
      </c>
      <c r="B1525">
        <f>DSDV!G1530</f>
        <v>0</v>
      </c>
      <c r="C1525" s="237">
        <f>DSDV!K1530</f>
        <v>0</v>
      </c>
      <c r="D1525" s="238">
        <f>DSDV!W1530</f>
        <v>0</v>
      </c>
    </row>
    <row r="1526" spans="1:4">
      <c r="A1526">
        <f>DSDV!B1531</f>
        <v>0</v>
      </c>
      <c r="B1526">
        <f>DSDV!G1531</f>
        <v>0</v>
      </c>
      <c r="C1526" s="237">
        <f>DSDV!K1531</f>
        <v>0</v>
      </c>
      <c r="D1526" s="238">
        <f>DSDV!W1531</f>
        <v>0</v>
      </c>
    </row>
    <row r="1527" spans="1:4">
      <c r="A1527">
        <f>DSDV!B1532</f>
        <v>0</v>
      </c>
      <c r="B1527">
        <f>DSDV!G1532</f>
        <v>0</v>
      </c>
      <c r="C1527" s="237">
        <f>DSDV!K1532</f>
        <v>0</v>
      </c>
      <c r="D1527" s="238">
        <f>DSDV!W1532</f>
        <v>0</v>
      </c>
    </row>
    <row r="1528" spans="1:4">
      <c r="A1528">
        <f>DSDV!B1533</f>
        <v>0</v>
      </c>
      <c r="B1528">
        <f>DSDV!G1533</f>
        <v>0</v>
      </c>
      <c r="C1528" s="237">
        <f>DSDV!K1533</f>
        <v>0</v>
      </c>
      <c r="D1528" s="238">
        <f>DSDV!W1533</f>
        <v>0</v>
      </c>
    </row>
    <row r="1529" spans="1:4">
      <c r="A1529">
        <f>DSDV!B1534</f>
        <v>0</v>
      </c>
      <c r="B1529">
        <f>DSDV!G1534</f>
        <v>0</v>
      </c>
      <c r="C1529" s="237">
        <f>DSDV!K1534</f>
        <v>0</v>
      </c>
      <c r="D1529" s="238">
        <f>DSDV!W1534</f>
        <v>0</v>
      </c>
    </row>
    <row r="1530" spans="1:4">
      <c r="A1530">
        <f>DSDV!B1535</f>
        <v>0</v>
      </c>
      <c r="B1530">
        <f>DSDV!G1535</f>
        <v>0</v>
      </c>
      <c r="C1530" s="237">
        <f>DSDV!K1535</f>
        <v>0</v>
      </c>
      <c r="D1530" s="238">
        <f>DSDV!W1535</f>
        <v>0</v>
      </c>
    </row>
    <row r="1531" spans="1:4">
      <c r="A1531">
        <f>DSDV!B1536</f>
        <v>0</v>
      </c>
      <c r="B1531">
        <f>DSDV!G1536</f>
        <v>0</v>
      </c>
      <c r="C1531" s="237">
        <f>DSDV!K1536</f>
        <v>0</v>
      </c>
      <c r="D1531" s="238">
        <f>DSDV!W1536</f>
        <v>0</v>
      </c>
    </row>
    <row r="1532" spans="1:4">
      <c r="A1532">
        <f>DSDV!B1537</f>
        <v>0</v>
      </c>
      <c r="B1532">
        <f>DSDV!G1537</f>
        <v>0</v>
      </c>
      <c r="C1532" s="237">
        <f>DSDV!K1537</f>
        <v>0</v>
      </c>
      <c r="D1532" s="238">
        <f>DSDV!W1537</f>
        <v>0</v>
      </c>
    </row>
    <row r="1533" spans="1:4">
      <c r="A1533">
        <f>DSDV!B1538</f>
        <v>0</v>
      </c>
      <c r="B1533">
        <f>DSDV!G1538</f>
        <v>0</v>
      </c>
      <c r="C1533" s="237">
        <f>DSDV!K1538</f>
        <v>0</v>
      </c>
      <c r="D1533" s="238">
        <f>DSDV!W1538</f>
        <v>0</v>
      </c>
    </row>
    <row r="1534" spans="1:4">
      <c r="A1534">
        <f>DSDV!B1539</f>
        <v>0</v>
      </c>
      <c r="B1534">
        <f>DSDV!G1539</f>
        <v>0</v>
      </c>
      <c r="C1534" s="237">
        <f>DSDV!K1539</f>
        <v>0</v>
      </c>
      <c r="D1534" s="238">
        <f>DSDV!W1539</f>
        <v>0</v>
      </c>
    </row>
    <row r="1535" spans="1:4">
      <c r="A1535">
        <f>DSDV!B1540</f>
        <v>0</v>
      </c>
      <c r="B1535">
        <f>DSDV!G1540</f>
        <v>0</v>
      </c>
      <c r="C1535" s="237">
        <f>DSDV!K1540</f>
        <v>0</v>
      </c>
      <c r="D1535" s="238">
        <f>DSDV!W1540</f>
        <v>0</v>
      </c>
    </row>
    <row r="1536" spans="1:4">
      <c r="A1536">
        <f>DSDV!B1541</f>
        <v>0</v>
      </c>
      <c r="B1536">
        <f>DSDV!G1541</f>
        <v>0</v>
      </c>
      <c r="C1536" s="237">
        <f>DSDV!K1541</f>
        <v>0</v>
      </c>
      <c r="D1536" s="238">
        <f>DSDV!W1541</f>
        <v>0</v>
      </c>
    </row>
    <row r="1537" spans="1:4">
      <c r="A1537">
        <f>DSDV!B1542</f>
        <v>0</v>
      </c>
      <c r="B1537">
        <f>DSDV!G1542</f>
        <v>0</v>
      </c>
      <c r="C1537" s="237">
        <f>DSDV!K1542</f>
        <v>0</v>
      </c>
      <c r="D1537" s="238">
        <f>DSDV!W1542</f>
        <v>0</v>
      </c>
    </row>
    <row r="1538" spans="1:4">
      <c r="A1538">
        <f>DSDV!B1543</f>
        <v>0</v>
      </c>
      <c r="B1538">
        <f>DSDV!G1543</f>
        <v>0</v>
      </c>
      <c r="C1538" s="237">
        <f>DSDV!K1543</f>
        <v>0</v>
      </c>
      <c r="D1538" s="238">
        <f>DSDV!W1543</f>
        <v>0</v>
      </c>
    </row>
    <row r="1539" spans="1:4">
      <c r="A1539">
        <f>DSDV!B1544</f>
        <v>0</v>
      </c>
      <c r="B1539">
        <f>DSDV!G1544</f>
        <v>0</v>
      </c>
      <c r="C1539" s="237">
        <f>DSDV!K1544</f>
        <v>0</v>
      </c>
      <c r="D1539" s="238">
        <f>DSDV!W1544</f>
        <v>0</v>
      </c>
    </row>
    <row r="1540" spans="1:4">
      <c r="A1540">
        <f>DSDV!B1545</f>
        <v>0</v>
      </c>
      <c r="B1540">
        <f>DSDV!G1545</f>
        <v>0</v>
      </c>
      <c r="C1540" s="237">
        <f>DSDV!K1545</f>
        <v>0</v>
      </c>
      <c r="D1540" s="238">
        <f>DSDV!W1545</f>
        <v>0</v>
      </c>
    </row>
    <row r="1541" spans="1:4">
      <c r="A1541">
        <f>DSDV!B1546</f>
        <v>0</v>
      </c>
      <c r="B1541">
        <f>DSDV!G1546</f>
        <v>0</v>
      </c>
      <c r="C1541" s="237">
        <f>DSDV!K1546</f>
        <v>0</v>
      </c>
      <c r="D1541" s="238">
        <f>DSDV!W1546</f>
        <v>0</v>
      </c>
    </row>
    <row r="1542" spans="1:4">
      <c r="A1542">
        <f>DSDV!B1547</f>
        <v>0</v>
      </c>
      <c r="B1542">
        <f>DSDV!G1547</f>
        <v>0</v>
      </c>
      <c r="C1542" s="237">
        <f>DSDV!K1547</f>
        <v>0</v>
      </c>
      <c r="D1542" s="238">
        <f>DSDV!W1547</f>
        <v>0</v>
      </c>
    </row>
    <row r="1543" spans="1:4">
      <c r="A1543">
        <f>DSDV!B1548</f>
        <v>0</v>
      </c>
      <c r="B1543">
        <f>DSDV!G1548</f>
        <v>0</v>
      </c>
      <c r="C1543" s="237">
        <f>DSDV!K1548</f>
        <v>0</v>
      </c>
      <c r="D1543" s="238">
        <f>DSDV!W1548</f>
        <v>0</v>
      </c>
    </row>
    <row r="1544" spans="1:4">
      <c r="A1544">
        <f>DSDV!B1549</f>
        <v>0</v>
      </c>
      <c r="B1544">
        <f>DSDV!G1549</f>
        <v>0</v>
      </c>
      <c r="C1544" s="237">
        <f>DSDV!K1549</f>
        <v>0</v>
      </c>
      <c r="D1544" s="238">
        <f>DSDV!W1549</f>
        <v>0</v>
      </c>
    </row>
    <row r="1545" spans="1:4">
      <c r="A1545">
        <f>DSDV!B1550</f>
        <v>0</v>
      </c>
      <c r="B1545">
        <f>DSDV!G1550</f>
        <v>0</v>
      </c>
      <c r="C1545" s="237">
        <f>DSDV!K1550</f>
        <v>0</v>
      </c>
      <c r="D1545" s="238">
        <f>DSDV!W1550</f>
        <v>0</v>
      </c>
    </row>
    <row r="1546" spans="1:4">
      <c r="A1546">
        <f>DSDV!B1551</f>
        <v>0</v>
      </c>
      <c r="B1546">
        <f>DSDV!G1551</f>
        <v>0</v>
      </c>
      <c r="C1546" s="237">
        <f>DSDV!K1551</f>
        <v>0</v>
      </c>
      <c r="D1546" s="238">
        <f>DSDV!W1551</f>
        <v>0</v>
      </c>
    </row>
    <row r="1547" spans="1:4">
      <c r="A1547">
        <f>DSDV!B1552</f>
        <v>0</v>
      </c>
      <c r="B1547">
        <f>DSDV!G1552</f>
        <v>0</v>
      </c>
      <c r="C1547" s="237">
        <f>DSDV!K1552</f>
        <v>0</v>
      </c>
      <c r="D1547" s="238">
        <f>DSDV!W1552</f>
        <v>0</v>
      </c>
    </row>
    <row r="1548" spans="1:4">
      <c r="A1548">
        <f>DSDV!B1553</f>
        <v>0</v>
      </c>
      <c r="B1548">
        <f>DSDV!G1553</f>
        <v>0</v>
      </c>
      <c r="C1548" s="237">
        <f>DSDV!K1553</f>
        <v>0</v>
      </c>
      <c r="D1548" s="238">
        <f>DSDV!W1553</f>
        <v>0</v>
      </c>
    </row>
    <row r="1549" spans="1:4">
      <c r="A1549">
        <f>DSDV!B1554</f>
        <v>0</v>
      </c>
      <c r="B1549">
        <f>DSDV!G1554</f>
        <v>0</v>
      </c>
      <c r="C1549" s="237">
        <f>DSDV!K1554</f>
        <v>0</v>
      </c>
      <c r="D1549" s="238">
        <f>DSDV!W1554</f>
        <v>0</v>
      </c>
    </row>
    <row r="1550" spans="1:4">
      <c r="A1550">
        <f>DSDV!B1555</f>
        <v>0</v>
      </c>
      <c r="B1550">
        <f>DSDV!G1555</f>
        <v>0</v>
      </c>
      <c r="C1550" s="237">
        <f>DSDV!K1555</f>
        <v>0</v>
      </c>
      <c r="D1550" s="238">
        <f>DSDV!W1555</f>
        <v>0</v>
      </c>
    </row>
    <row r="1551" spans="1:4">
      <c r="A1551">
        <f>DSDV!B1556</f>
        <v>0</v>
      </c>
      <c r="B1551">
        <f>DSDV!G1556</f>
        <v>0</v>
      </c>
      <c r="C1551" s="237">
        <f>DSDV!K1556</f>
        <v>0</v>
      </c>
      <c r="D1551" s="238">
        <f>DSDV!W1556</f>
        <v>0</v>
      </c>
    </row>
    <row r="1552" spans="1:4">
      <c r="A1552">
        <f>DSDV!B1557</f>
        <v>0</v>
      </c>
      <c r="B1552">
        <f>DSDV!G1557</f>
        <v>0</v>
      </c>
      <c r="C1552" s="237">
        <f>DSDV!K1557</f>
        <v>0</v>
      </c>
      <c r="D1552" s="238">
        <f>DSDV!W1557</f>
        <v>0</v>
      </c>
    </row>
    <row r="1553" spans="1:4">
      <c r="A1553">
        <f>DSDV!B1558</f>
        <v>0</v>
      </c>
      <c r="B1553">
        <f>DSDV!G1558</f>
        <v>0</v>
      </c>
      <c r="C1553" s="237">
        <f>DSDV!K1558</f>
        <v>0</v>
      </c>
      <c r="D1553" s="238">
        <f>DSDV!W1558</f>
        <v>0</v>
      </c>
    </row>
    <row r="1554" spans="1:4">
      <c r="A1554">
        <f>DSDV!B1559</f>
        <v>0</v>
      </c>
      <c r="B1554">
        <f>DSDV!G1559</f>
        <v>0</v>
      </c>
      <c r="C1554" s="237">
        <f>DSDV!K1559</f>
        <v>0</v>
      </c>
      <c r="D1554" s="238">
        <f>DSDV!W1559</f>
        <v>0</v>
      </c>
    </row>
    <row r="1555" spans="1:4">
      <c r="A1555">
        <f>DSDV!B1560</f>
        <v>0</v>
      </c>
      <c r="B1555">
        <f>DSDV!G1560</f>
        <v>0</v>
      </c>
      <c r="C1555" s="237">
        <f>DSDV!K1560</f>
        <v>0</v>
      </c>
      <c r="D1555" s="238">
        <f>DSDV!W1560</f>
        <v>0</v>
      </c>
    </row>
    <row r="1556" spans="1:4">
      <c r="A1556">
        <f>DSDV!B1561</f>
        <v>0</v>
      </c>
      <c r="B1556">
        <f>DSDV!G1561</f>
        <v>0</v>
      </c>
      <c r="C1556" s="237">
        <f>DSDV!K1561</f>
        <v>0</v>
      </c>
      <c r="D1556" s="238">
        <f>DSDV!W1561</f>
        <v>0</v>
      </c>
    </row>
    <row r="1557" spans="1:4">
      <c r="A1557">
        <f>DSDV!B1562</f>
        <v>0</v>
      </c>
      <c r="B1557">
        <f>DSDV!G1562</f>
        <v>0</v>
      </c>
      <c r="C1557" s="237">
        <f>DSDV!K1562</f>
        <v>0</v>
      </c>
      <c r="D1557" s="238">
        <f>DSDV!W1562</f>
        <v>0</v>
      </c>
    </row>
    <row r="1558" spans="1:4">
      <c r="A1558">
        <f>DSDV!B1563</f>
        <v>0</v>
      </c>
      <c r="B1558">
        <f>DSDV!G1563</f>
        <v>0</v>
      </c>
      <c r="C1558" s="237">
        <f>DSDV!K1563</f>
        <v>0</v>
      </c>
      <c r="D1558" s="238">
        <f>DSDV!W1563</f>
        <v>0</v>
      </c>
    </row>
    <row r="1559" spans="1:4">
      <c r="A1559">
        <f>DSDV!B1564</f>
        <v>0</v>
      </c>
      <c r="B1559">
        <f>DSDV!G1564</f>
        <v>0</v>
      </c>
      <c r="C1559" s="237">
        <f>DSDV!K1564</f>
        <v>0</v>
      </c>
      <c r="D1559" s="238">
        <f>DSDV!W1564</f>
        <v>0</v>
      </c>
    </row>
    <row r="1560" spans="1:4">
      <c r="A1560">
        <f>DSDV!B1565</f>
        <v>0</v>
      </c>
      <c r="B1560">
        <f>DSDV!G1565</f>
        <v>0</v>
      </c>
      <c r="C1560" s="237">
        <f>DSDV!K1565</f>
        <v>0</v>
      </c>
      <c r="D1560" s="238">
        <f>DSDV!W1565</f>
        <v>0</v>
      </c>
    </row>
    <row r="1561" spans="1:4">
      <c r="A1561">
        <f>DSDV!B1566</f>
        <v>0</v>
      </c>
      <c r="B1561">
        <f>DSDV!G1566</f>
        <v>0</v>
      </c>
      <c r="C1561" s="237">
        <f>DSDV!K1566</f>
        <v>0</v>
      </c>
      <c r="D1561" s="238">
        <f>DSDV!W1566</f>
        <v>0</v>
      </c>
    </row>
    <row r="1562" spans="1:4">
      <c r="A1562">
        <f>DSDV!B1567</f>
        <v>0</v>
      </c>
      <c r="B1562">
        <f>DSDV!G1567</f>
        <v>0</v>
      </c>
      <c r="C1562" s="237">
        <f>DSDV!K1567</f>
        <v>0</v>
      </c>
      <c r="D1562" s="238">
        <f>DSDV!W1567</f>
        <v>0</v>
      </c>
    </row>
    <row r="1563" spans="1:4">
      <c r="A1563">
        <f>DSDV!B1568</f>
        <v>0</v>
      </c>
      <c r="B1563">
        <f>DSDV!G1568</f>
        <v>0</v>
      </c>
      <c r="C1563" s="237">
        <f>DSDV!K1568</f>
        <v>0</v>
      </c>
      <c r="D1563" s="238">
        <f>DSDV!W1568</f>
        <v>0</v>
      </c>
    </row>
    <row r="1564" spans="1:4">
      <c r="A1564">
        <f>DSDV!B1569</f>
        <v>0</v>
      </c>
      <c r="B1564">
        <f>DSDV!G1569</f>
        <v>0</v>
      </c>
      <c r="C1564" s="237">
        <f>DSDV!K1569</f>
        <v>0</v>
      </c>
      <c r="D1564" s="238">
        <f>DSDV!W1569</f>
        <v>0</v>
      </c>
    </row>
    <row r="1565" spans="1:4">
      <c r="A1565">
        <f>DSDV!B1570</f>
        <v>0</v>
      </c>
      <c r="B1565">
        <f>DSDV!G1570</f>
        <v>0</v>
      </c>
      <c r="C1565" s="237">
        <f>DSDV!K1570</f>
        <v>0</v>
      </c>
      <c r="D1565" s="238">
        <f>DSDV!W1570</f>
        <v>0</v>
      </c>
    </row>
    <row r="1566" spans="1:4">
      <c r="A1566">
        <f>DSDV!B1571</f>
        <v>0</v>
      </c>
      <c r="B1566">
        <f>DSDV!G1571</f>
        <v>0</v>
      </c>
      <c r="C1566" s="237">
        <f>DSDV!K1571</f>
        <v>0</v>
      </c>
      <c r="D1566" s="238">
        <f>DSDV!W1571</f>
        <v>0</v>
      </c>
    </row>
    <row r="1567" spans="1:4">
      <c r="A1567">
        <f>DSDV!B1572</f>
        <v>0</v>
      </c>
      <c r="B1567">
        <f>DSDV!G1572</f>
        <v>0</v>
      </c>
      <c r="C1567" s="237">
        <f>DSDV!K1572</f>
        <v>0</v>
      </c>
      <c r="D1567" s="238">
        <f>DSDV!W1572</f>
        <v>0</v>
      </c>
    </row>
    <row r="1568" spans="1:4">
      <c r="A1568">
        <f>DSDV!B1573</f>
        <v>0</v>
      </c>
      <c r="B1568">
        <f>DSDV!G1573</f>
        <v>0</v>
      </c>
      <c r="C1568" s="237">
        <f>DSDV!K1573</f>
        <v>0</v>
      </c>
      <c r="D1568" s="238">
        <f>DSDV!W1573</f>
        <v>0</v>
      </c>
    </row>
    <row r="1569" spans="1:4">
      <c r="A1569">
        <f>DSDV!B1574</f>
        <v>0</v>
      </c>
      <c r="B1569">
        <f>DSDV!G1574</f>
        <v>0</v>
      </c>
      <c r="C1569" s="237">
        <f>DSDV!K1574</f>
        <v>0</v>
      </c>
      <c r="D1569" s="238">
        <f>DSDV!W1574</f>
        <v>0</v>
      </c>
    </row>
    <row r="1570" spans="1:4">
      <c r="A1570">
        <f>DSDV!B1575</f>
        <v>0</v>
      </c>
      <c r="B1570">
        <f>DSDV!G1575</f>
        <v>0</v>
      </c>
      <c r="C1570" s="237">
        <f>DSDV!K1575</f>
        <v>0</v>
      </c>
      <c r="D1570" s="238">
        <f>DSDV!W1575</f>
        <v>0</v>
      </c>
    </row>
    <row r="1571" spans="1:4">
      <c r="A1571">
        <f>DSDV!B1576</f>
        <v>0</v>
      </c>
      <c r="B1571">
        <f>DSDV!G1576</f>
        <v>0</v>
      </c>
      <c r="C1571" s="237">
        <f>DSDV!K1576</f>
        <v>0</v>
      </c>
      <c r="D1571" s="238">
        <f>DSDV!W1576</f>
        <v>0</v>
      </c>
    </row>
    <row r="1572" spans="1:4">
      <c r="A1572">
        <f>DSDV!B1577</f>
        <v>0</v>
      </c>
      <c r="B1572">
        <f>DSDV!G1577</f>
        <v>0</v>
      </c>
      <c r="C1572" s="237">
        <f>DSDV!K1577</f>
        <v>0</v>
      </c>
      <c r="D1572" s="238">
        <f>DSDV!W1577</f>
        <v>0</v>
      </c>
    </row>
    <row r="1573" spans="1:4">
      <c r="A1573">
        <f>DSDV!B1578</f>
        <v>0</v>
      </c>
      <c r="B1573">
        <f>DSDV!G1578</f>
        <v>0</v>
      </c>
      <c r="C1573" s="237">
        <f>DSDV!K1578</f>
        <v>0</v>
      </c>
      <c r="D1573" s="238">
        <f>DSDV!W1578</f>
        <v>0</v>
      </c>
    </row>
    <row r="1574" spans="1:4">
      <c r="A1574">
        <f>DSDV!B1579</f>
        <v>0</v>
      </c>
      <c r="B1574">
        <f>DSDV!G1579</f>
        <v>0</v>
      </c>
      <c r="C1574" s="237">
        <f>DSDV!K1579</f>
        <v>0</v>
      </c>
      <c r="D1574" s="238">
        <f>DSDV!W1579</f>
        <v>0</v>
      </c>
    </row>
    <row r="1575" spans="1:4">
      <c r="A1575">
        <f>DSDV!B1580</f>
        <v>0</v>
      </c>
      <c r="B1575">
        <f>DSDV!G1580</f>
        <v>0</v>
      </c>
      <c r="C1575" s="237">
        <f>DSDV!K1580</f>
        <v>0</v>
      </c>
      <c r="D1575" s="238">
        <f>DSDV!W1580</f>
        <v>0</v>
      </c>
    </row>
    <row r="1576" spans="1:4">
      <c r="A1576">
        <f>DSDV!B1581</f>
        <v>0</v>
      </c>
      <c r="B1576">
        <f>DSDV!G1581</f>
        <v>0</v>
      </c>
      <c r="C1576" s="237">
        <f>DSDV!K1581</f>
        <v>0</v>
      </c>
      <c r="D1576" s="238">
        <f>DSDV!W1581</f>
        <v>0</v>
      </c>
    </row>
    <row r="1577" spans="1:4">
      <c r="A1577">
        <f>DSDV!B1582</f>
        <v>0</v>
      </c>
      <c r="B1577">
        <f>DSDV!G1582</f>
        <v>0</v>
      </c>
      <c r="C1577" s="237">
        <f>DSDV!K1582</f>
        <v>0</v>
      </c>
      <c r="D1577" s="238">
        <f>DSDV!W1582</f>
        <v>0</v>
      </c>
    </row>
    <row r="1578" spans="1:4">
      <c r="A1578">
        <f>DSDV!B1583</f>
        <v>0</v>
      </c>
      <c r="B1578">
        <f>DSDV!G1583</f>
        <v>0</v>
      </c>
      <c r="C1578" s="237">
        <f>DSDV!K1583</f>
        <v>0</v>
      </c>
      <c r="D1578" s="238">
        <f>DSDV!W1583</f>
        <v>0</v>
      </c>
    </row>
    <row r="1579" spans="1:4">
      <c r="A1579">
        <f>DSDV!B1584</f>
        <v>0</v>
      </c>
      <c r="B1579">
        <f>DSDV!G1584</f>
        <v>0</v>
      </c>
      <c r="C1579" s="237">
        <f>DSDV!K1584</f>
        <v>0</v>
      </c>
      <c r="D1579" s="238">
        <f>DSDV!W1584</f>
        <v>0</v>
      </c>
    </row>
    <row r="1580" spans="1:4">
      <c r="A1580">
        <f>DSDV!B1585</f>
        <v>0</v>
      </c>
      <c r="B1580">
        <f>DSDV!G1585</f>
        <v>0</v>
      </c>
      <c r="C1580" s="237">
        <f>DSDV!K1585</f>
        <v>0</v>
      </c>
      <c r="D1580" s="238">
        <f>DSDV!W1585</f>
        <v>0</v>
      </c>
    </row>
    <row r="1581" spans="1:4">
      <c r="A1581">
        <f>DSDV!B1586</f>
        <v>0</v>
      </c>
      <c r="B1581">
        <f>DSDV!G1586</f>
        <v>0</v>
      </c>
      <c r="C1581" s="237">
        <f>DSDV!K1586</f>
        <v>0</v>
      </c>
      <c r="D1581" s="238">
        <f>DSDV!W1586</f>
        <v>0</v>
      </c>
    </row>
    <row r="1582" spans="1:4">
      <c r="A1582">
        <f>DSDV!B1587</f>
        <v>0</v>
      </c>
      <c r="B1582">
        <f>DSDV!G1587</f>
        <v>0</v>
      </c>
      <c r="C1582" s="237">
        <f>DSDV!K1587</f>
        <v>0</v>
      </c>
      <c r="D1582" s="238">
        <f>DSDV!W1587</f>
        <v>0</v>
      </c>
    </row>
    <row r="1583" spans="1:4">
      <c r="A1583">
        <f>DSDV!B1588</f>
        <v>0</v>
      </c>
      <c r="B1583">
        <f>DSDV!G1588</f>
        <v>0</v>
      </c>
      <c r="C1583" s="237">
        <f>DSDV!K1588</f>
        <v>0</v>
      </c>
      <c r="D1583" s="238">
        <f>DSDV!W1588</f>
        <v>0</v>
      </c>
    </row>
    <row r="1584" spans="1:4">
      <c r="A1584">
        <f>DSDV!B1589</f>
        <v>0</v>
      </c>
      <c r="B1584">
        <f>DSDV!G1589</f>
        <v>0</v>
      </c>
      <c r="C1584" s="237">
        <f>DSDV!K1589</f>
        <v>0</v>
      </c>
      <c r="D1584" s="238">
        <f>DSDV!W1589</f>
        <v>0</v>
      </c>
    </row>
    <row r="1585" spans="1:4">
      <c r="A1585">
        <f>DSDV!B1590</f>
        <v>0</v>
      </c>
      <c r="B1585">
        <f>DSDV!G1590</f>
        <v>0</v>
      </c>
      <c r="C1585" s="237">
        <f>DSDV!K1590</f>
        <v>0</v>
      </c>
      <c r="D1585" s="238">
        <f>DSDV!W1590</f>
        <v>0</v>
      </c>
    </row>
    <row r="1586" spans="1:4">
      <c r="A1586">
        <f>DSDV!B1591</f>
        <v>0</v>
      </c>
      <c r="B1586">
        <f>DSDV!G1591</f>
        <v>0</v>
      </c>
      <c r="C1586" s="237">
        <f>DSDV!K1591</f>
        <v>0</v>
      </c>
      <c r="D1586" s="238">
        <f>DSDV!W1591</f>
        <v>0</v>
      </c>
    </row>
    <row r="1587" spans="1:4">
      <c r="A1587">
        <f>DSDV!B1592</f>
        <v>0</v>
      </c>
      <c r="B1587">
        <f>DSDV!G1592</f>
        <v>0</v>
      </c>
      <c r="C1587" s="237">
        <f>DSDV!K1592</f>
        <v>0</v>
      </c>
      <c r="D1587" s="238">
        <f>DSDV!W1592</f>
        <v>0</v>
      </c>
    </row>
    <row r="1588" spans="1:4">
      <c r="A1588">
        <f>DSDV!B1593</f>
        <v>0</v>
      </c>
      <c r="B1588">
        <f>DSDV!G1593</f>
        <v>0</v>
      </c>
      <c r="C1588" s="237">
        <f>DSDV!K1593</f>
        <v>0</v>
      </c>
      <c r="D1588" s="238">
        <f>DSDV!W1593</f>
        <v>0</v>
      </c>
    </row>
    <row r="1589" spans="1:4">
      <c r="A1589">
        <f>DSDV!B1594</f>
        <v>0</v>
      </c>
      <c r="B1589">
        <f>DSDV!G1594</f>
        <v>0</v>
      </c>
      <c r="C1589" s="237">
        <f>DSDV!K1594</f>
        <v>0</v>
      </c>
      <c r="D1589" s="238">
        <f>DSDV!W1594</f>
        <v>0</v>
      </c>
    </row>
    <row r="1590" spans="1:4">
      <c r="A1590">
        <f>DSDV!B1595</f>
        <v>0</v>
      </c>
      <c r="B1590">
        <f>DSDV!G1595</f>
        <v>0</v>
      </c>
      <c r="C1590" s="237">
        <f>DSDV!K1595</f>
        <v>0</v>
      </c>
      <c r="D1590" s="238">
        <f>DSDV!W1595</f>
        <v>0</v>
      </c>
    </row>
    <row r="1591" spans="1:4">
      <c r="A1591">
        <f>DSDV!B1596</f>
        <v>0</v>
      </c>
      <c r="B1591">
        <f>DSDV!G1596</f>
        <v>0</v>
      </c>
      <c r="C1591" s="237">
        <f>DSDV!K1596</f>
        <v>0</v>
      </c>
      <c r="D1591" s="238">
        <f>DSDV!W1596</f>
        <v>0</v>
      </c>
    </row>
    <row r="1592" spans="1:4">
      <c r="A1592">
        <f>DSDV!B1597</f>
        <v>0</v>
      </c>
      <c r="B1592">
        <f>DSDV!G1597</f>
        <v>0</v>
      </c>
      <c r="C1592" s="237">
        <f>DSDV!K1597</f>
        <v>0</v>
      </c>
      <c r="D1592" s="238">
        <f>DSDV!W1597</f>
        <v>0</v>
      </c>
    </row>
    <row r="1593" spans="1:4">
      <c r="A1593">
        <f>DSDV!B1598</f>
        <v>0</v>
      </c>
      <c r="B1593">
        <f>DSDV!G1598</f>
        <v>0</v>
      </c>
      <c r="C1593" s="237">
        <f>DSDV!K1598</f>
        <v>0</v>
      </c>
      <c r="D1593" s="238">
        <f>DSDV!W1598</f>
        <v>0</v>
      </c>
    </row>
    <row r="1594" spans="1:4">
      <c r="A1594">
        <f>DSDV!B1599</f>
        <v>0</v>
      </c>
      <c r="B1594">
        <f>DSDV!G1599</f>
        <v>0</v>
      </c>
      <c r="C1594" s="237">
        <f>DSDV!K1599</f>
        <v>0</v>
      </c>
      <c r="D1594" s="238">
        <f>DSDV!W1599</f>
        <v>0</v>
      </c>
    </row>
    <row r="1595" spans="1:4">
      <c r="A1595">
        <f>DSDV!B1600</f>
        <v>0</v>
      </c>
      <c r="B1595">
        <f>DSDV!G1600</f>
        <v>0</v>
      </c>
      <c r="C1595" s="237">
        <f>DSDV!K1600</f>
        <v>0</v>
      </c>
      <c r="D1595" s="238">
        <f>DSDV!W1600</f>
        <v>0</v>
      </c>
    </row>
    <row r="1596" spans="1:4">
      <c r="A1596">
        <f>DSDV!B1601</f>
        <v>0</v>
      </c>
      <c r="B1596">
        <f>DSDV!G1601</f>
        <v>0</v>
      </c>
      <c r="C1596" s="237">
        <f>DSDV!K1601</f>
        <v>0</v>
      </c>
      <c r="D1596" s="238">
        <f>DSDV!W1601</f>
        <v>0</v>
      </c>
    </row>
    <row r="1597" spans="1:4">
      <c r="A1597">
        <f>DSDV!B1602</f>
        <v>0</v>
      </c>
      <c r="B1597">
        <f>DSDV!G1602</f>
        <v>0</v>
      </c>
      <c r="C1597" s="237">
        <f>DSDV!K1602</f>
        <v>0</v>
      </c>
      <c r="D1597" s="238">
        <f>DSDV!W1602</f>
        <v>0</v>
      </c>
    </row>
    <row r="1598" spans="1:4">
      <c r="A1598">
        <f>DSDV!B1603</f>
        <v>0</v>
      </c>
      <c r="B1598">
        <f>DSDV!G1603</f>
        <v>0</v>
      </c>
      <c r="C1598" s="237">
        <f>DSDV!K1603</f>
        <v>0</v>
      </c>
      <c r="D1598" s="238">
        <f>DSDV!W1603</f>
        <v>0</v>
      </c>
    </row>
    <row r="1599" spans="1:4">
      <c r="A1599">
        <f>DSDV!B1604</f>
        <v>0</v>
      </c>
      <c r="B1599">
        <f>DSDV!G1604</f>
        <v>0</v>
      </c>
      <c r="C1599" s="237">
        <f>DSDV!K1604</f>
        <v>0</v>
      </c>
      <c r="D1599" s="238">
        <f>DSDV!W1604</f>
        <v>0</v>
      </c>
    </row>
    <row r="1600" spans="1:4">
      <c r="A1600">
        <f>DSDV!B1605</f>
        <v>0</v>
      </c>
      <c r="B1600">
        <f>DSDV!G1605</f>
        <v>0</v>
      </c>
      <c r="C1600" s="237">
        <f>DSDV!K1605</f>
        <v>0</v>
      </c>
      <c r="D1600" s="238">
        <f>DSDV!W1605</f>
        <v>0</v>
      </c>
    </row>
    <row r="1601" spans="1:4">
      <c r="A1601">
        <f>DSDV!B1606</f>
        <v>0</v>
      </c>
      <c r="B1601">
        <f>DSDV!G1606</f>
        <v>0</v>
      </c>
      <c r="C1601" s="237">
        <f>DSDV!K1606</f>
        <v>0</v>
      </c>
      <c r="D1601" s="238">
        <f>DSDV!W1606</f>
        <v>0</v>
      </c>
    </row>
    <row r="1602" spans="1:4">
      <c r="A1602">
        <f>DSDV!B1607</f>
        <v>0</v>
      </c>
      <c r="B1602">
        <f>DSDV!G1607</f>
        <v>0</v>
      </c>
      <c r="C1602" s="237">
        <f>DSDV!K1607</f>
        <v>0</v>
      </c>
      <c r="D1602" s="238">
        <f>DSDV!W1607</f>
        <v>0</v>
      </c>
    </row>
    <row r="1603" spans="1:4">
      <c r="A1603">
        <f>DSDV!B1608</f>
        <v>0</v>
      </c>
      <c r="B1603">
        <f>DSDV!G1608</f>
        <v>0</v>
      </c>
      <c r="C1603" s="237">
        <f>DSDV!K1608</f>
        <v>0</v>
      </c>
      <c r="D1603" s="238">
        <f>DSDV!W1608</f>
        <v>0</v>
      </c>
    </row>
    <row r="1604" spans="1:4">
      <c r="A1604">
        <f>DSDV!B1609</f>
        <v>0</v>
      </c>
      <c r="B1604">
        <f>DSDV!G1609</f>
        <v>0</v>
      </c>
      <c r="C1604" s="237">
        <f>DSDV!K1609</f>
        <v>0</v>
      </c>
      <c r="D1604" s="238">
        <f>DSDV!W1609</f>
        <v>0</v>
      </c>
    </row>
    <row r="1605" spans="1:4">
      <c r="A1605">
        <f>DSDV!B1610</f>
        <v>0</v>
      </c>
      <c r="B1605">
        <f>DSDV!G1610</f>
        <v>0</v>
      </c>
      <c r="C1605" s="237">
        <f>DSDV!K1610</f>
        <v>0</v>
      </c>
      <c r="D1605" s="238">
        <f>DSDV!W1610</f>
        <v>0</v>
      </c>
    </row>
    <row r="1606" spans="1:4">
      <c r="A1606">
        <f>DSDV!B1611</f>
        <v>0</v>
      </c>
      <c r="B1606">
        <f>DSDV!G1611</f>
        <v>0</v>
      </c>
      <c r="C1606" s="237">
        <f>DSDV!K1611</f>
        <v>0</v>
      </c>
      <c r="D1606" s="238">
        <f>DSDV!W1611</f>
        <v>0</v>
      </c>
    </row>
    <row r="1607" spans="1:4">
      <c r="A1607">
        <f>DSDV!B1612</f>
        <v>0</v>
      </c>
      <c r="B1607">
        <f>DSDV!G1612</f>
        <v>0</v>
      </c>
      <c r="C1607" s="237">
        <f>DSDV!K1612</f>
        <v>0</v>
      </c>
      <c r="D1607" s="238">
        <f>DSDV!W1612</f>
        <v>0</v>
      </c>
    </row>
    <row r="1608" spans="1:4">
      <c r="A1608">
        <f>DSDV!B1613</f>
        <v>0</v>
      </c>
      <c r="B1608">
        <f>DSDV!G1613</f>
        <v>0</v>
      </c>
      <c r="C1608" s="237">
        <f>DSDV!K1613</f>
        <v>0</v>
      </c>
      <c r="D1608" s="238">
        <f>DSDV!W1613</f>
        <v>0</v>
      </c>
    </row>
    <row r="1609" spans="1:4">
      <c r="A1609">
        <f>DSDV!B1614</f>
        <v>0</v>
      </c>
      <c r="B1609">
        <f>DSDV!G1614</f>
        <v>0</v>
      </c>
      <c r="C1609" s="237">
        <f>DSDV!K1614</f>
        <v>0</v>
      </c>
      <c r="D1609" s="238">
        <f>DSDV!W1614</f>
        <v>0</v>
      </c>
    </row>
    <row r="1610" spans="1:4">
      <c r="A1610">
        <f>DSDV!B1615</f>
        <v>0</v>
      </c>
      <c r="B1610">
        <f>DSDV!G1615</f>
        <v>0</v>
      </c>
      <c r="C1610" s="237">
        <f>DSDV!K1615</f>
        <v>0</v>
      </c>
      <c r="D1610" s="238">
        <f>DSDV!W1615</f>
        <v>0</v>
      </c>
    </row>
    <row r="1611" spans="1:4">
      <c r="B1611" t="str">
        <f>IF(DSDV!G1616&lt;&gt;"",DSDV!G1616,"")</f>
        <v/>
      </c>
      <c r="C1611" s="237" t="str">
        <f>IF(DSDV!K1616&lt;&gt;"",DSDV!K1616,"")</f>
        <v/>
      </c>
      <c r="D1611" t="str">
        <f>IF(DSDV!W1616&lt;&gt;"",DSDV!W1616,"")</f>
        <v/>
      </c>
    </row>
    <row r="1612" spans="1:4">
      <c r="B1612" t="str">
        <f>IF(DSDV!G1617&lt;&gt;"",DSDV!G1617,"")</f>
        <v/>
      </c>
      <c r="C1612" s="237" t="str">
        <f>IF(DSDV!K1617&lt;&gt;"",DSDV!K1617,"")</f>
        <v/>
      </c>
      <c r="D1612" t="str">
        <f>IF(DSDV!W1617&lt;&gt;"",DSDV!W1617,"")</f>
        <v/>
      </c>
    </row>
    <row r="1613" spans="1:4">
      <c r="B1613" t="str">
        <f>IF(DSDV!G1618&lt;&gt;"",DSDV!G1618,"")</f>
        <v/>
      </c>
      <c r="C1613" s="237" t="str">
        <f>IF(DSDV!K1618&lt;&gt;"",DSDV!K1618,"")</f>
        <v/>
      </c>
      <c r="D1613" t="str">
        <f>IF(DSDV!W1618&lt;&gt;"",DSDV!W1618,"")</f>
        <v/>
      </c>
    </row>
    <row r="1614" spans="1:4">
      <c r="B1614" t="str">
        <f>IF(DSDV!G1619&lt;&gt;"",DSDV!G1619,"")</f>
        <v/>
      </c>
      <c r="C1614" s="237" t="str">
        <f>IF(DSDV!K1619&lt;&gt;"",DSDV!K1619,"")</f>
        <v/>
      </c>
      <c r="D1614" t="str">
        <f>IF(DSDV!W1619&lt;&gt;"",DSDV!W1619,"")</f>
        <v/>
      </c>
    </row>
    <row r="1615" spans="1:4">
      <c r="B1615" t="str">
        <f>IF(DSDV!G1620&lt;&gt;"",DSDV!G1620,"")</f>
        <v/>
      </c>
      <c r="C1615" s="237"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3" t="s">
        <v>27</v>
      </c>
      <c r="B3" s="12" t="s">
        <v>26</v>
      </c>
      <c r="C3" s="11" t="e">
        <f>COUNTIFS(QTCT!$A$6:$A$100,#REF!,QTCT!#REF!,#REF!)</f>
        <v>#REF!</v>
      </c>
      <c r="D3" s="537" t="s">
        <v>17</v>
      </c>
      <c r="E3" s="536" t="s">
        <v>18</v>
      </c>
      <c r="F3" s="536" t="s">
        <v>18</v>
      </c>
      <c r="G3" s="536" t="s">
        <v>18</v>
      </c>
      <c r="H3" s="533" t="s">
        <v>9</v>
      </c>
      <c r="I3" s="533" t="s">
        <v>9</v>
      </c>
      <c r="J3" s="534" t="s">
        <v>2</v>
      </c>
      <c r="K3" s="533" t="s">
        <v>3</v>
      </c>
      <c r="L3" s="533" t="s">
        <v>13</v>
      </c>
      <c r="M3" s="537"/>
      <c r="N3" s="537"/>
      <c r="O3" s="546" t="s">
        <v>20</v>
      </c>
      <c r="P3" s="546" t="s">
        <v>20</v>
      </c>
      <c r="Q3" s="546" t="s">
        <v>20</v>
      </c>
      <c r="R3" s="536" t="s">
        <v>16</v>
      </c>
      <c r="S3" s="536" t="s">
        <v>16</v>
      </c>
      <c r="T3" s="536" t="s">
        <v>16</v>
      </c>
      <c r="U3" s="533" t="s">
        <v>21</v>
      </c>
    </row>
    <row r="4" spans="1:36" ht="29.45" customHeight="1">
      <c r="A4" s="533"/>
      <c r="B4" s="2" t="s">
        <v>23</v>
      </c>
      <c r="C4" s="11" t="e">
        <f t="array" ref="C4">MATCH(#REF!&amp;"X",QT_HoTen&amp;QT_Dang_ApDung,0)</f>
        <v>#REF!</v>
      </c>
      <c r="D4" s="537"/>
      <c r="E4" s="536"/>
      <c r="F4" s="536"/>
      <c r="G4" s="536"/>
      <c r="H4" s="533"/>
      <c r="I4" s="533"/>
      <c r="J4" s="535"/>
      <c r="K4" s="533"/>
      <c r="L4" s="533"/>
      <c r="M4" s="21" t="s">
        <v>3</v>
      </c>
      <c r="N4" s="21" t="s">
        <v>14</v>
      </c>
      <c r="O4" s="546"/>
      <c r="P4" s="546"/>
      <c r="Q4" s="546"/>
      <c r="R4" s="536"/>
      <c r="S4" s="536"/>
      <c r="T4" s="536"/>
      <c r="U4" s="533"/>
    </row>
    <row r="5" spans="1:36" ht="18" customHeight="1">
      <c r="A5" s="533"/>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34" t="s">
        <v>31</v>
      </c>
      <c r="B9" s="68" t="s">
        <v>26</v>
      </c>
      <c r="C9" s="559" t="s">
        <v>33</v>
      </c>
      <c r="D9" s="537" t="s">
        <v>17</v>
      </c>
      <c r="E9" s="536" t="s">
        <v>18</v>
      </c>
      <c r="F9" s="536" t="s">
        <v>18</v>
      </c>
      <c r="G9" s="536" t="s">
        <v>18</v>
      </c>
      <c r="H9" s="533" t="s">
        <v>9</v>
      </c>
      <c r="I9" s="533" t="s">
        <v>9</v>
      </c>
      <c r="J9" s="534" t="s">
        <v>2</v>
      </c>
      <c r="K9" s="533" t="s">
        <v>3</v>
      </c>
      <c r="L9" s="533" t="s">
        <v>13</v>
      </c>
      <c r="M9" s="537"/>
      <c r="N9" s="537"/>
      <c r="O9" s="546" t="s">
        <v>20</v>
      </c>
      <c r="P9" s="546" t="s">
        <v>20</v>
      </c>
      <c r="Q9" s="546" t="s">
        <v>20</v>
      </c>
      <c r="R9" s="536" t="s">
        <v>16</v>
      </c>
      <c r="S9" s="536" t="s">
        <v>16</v>
      </c>
      <c r="T9" s="536" t="s">
        <v>16</v>
      </c>
      <c r="U9" s="533" t="s">
        <v>21</v>
      </c>
    </row>
    <row r="10" spans="1:36" ht="30">
      <c r="A10" s="558"/>
      <c r="B10" s="67">
        <f>COUNTIF(DSDV!$G$7:$G$216,Them_DV!$F$10)</f>
        <v>0</v>
      </c>
      <c r="C10" s="560"/>
      <c r="D10" s="537"/>
      <c r="E10" s="536"/>
      <c r="F10" s="536"/>
      <c r="G10" s="536"/>
      <c r="H10" s="533"/>
      <c r="I10" s="533"/>
      <c r="J10" s="535"/>
      <c r="K10" s="533"/>
      <c r="L10" s="533"/>
      <c r="M10" s="21" t="s">
        <v>3</v>
      </c>
      <c r="N10" s="21" t="s">
        <v>14</v>
      </c>
      <c r="O10" s="546"/>
      <c r="P10" s="546"/>
      <c r="Q10" s="546"/>
      <c r="R10" s="536"/>
      <c r="S10" s="536"/>
      <c r="T10" s="536"/>
      <c r="U10" s="533"/>
    </row>
    <row r="11" spans="1:36" ht="16.899999999999999" customHeight="1">
      <c r="A11" s="558"/>
      <c r="B11" s="68" t="s">
        <v>28</v>
      </c>
      <c r="C11" s="561"/>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58"/>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58"/>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59" t="s">
        <v>162</v>
      </c>
      <c r="D13" s="531" t="s">
        <v>463</v>
      </c>
      <c r="E13" s="531" t="s">
        <v>464</v>
      </c>
      <c r="F13" s="531" t="s">
        <v>155</v>
      </c>
      <c r="G13" s="531" t="s">
        <v>482</v>
      </c>
      <c r="H13" s="538" t="s">
        <v>480</v>
      </c>
      <c r="I13" s="538" t="s">
        <v>481</v>
      </c>
      <c r="J13" s="538" t="s">
        <v>10</v>
      </c>
      <c r="K13" s="548" t="s">
        <v>112</v>
      </c>
      <c r="L13" s="538" t="s">
        <v>465</v>
      </c>
      <c r="M13" s="539" t="s">
        <v>1</v>
      </c>
      <c r="N13" s="550" t="s">
        <v>466</v>
      </c>
      <c r="O13" s="551"/>
      <c r="P13" s="551"/>
      <c r="Q13" s="551"/>
      <c r="R13" s="551"/>
      <c r="S13" s="551"/>
      <c r="T13" s="552"/>
      <c r="U13" s="553" t="s">
        <v>3</v>
      </c>
      <c r="V13" s="554"/>
      <c r="W13" s="548" t="s">
        <v>487</v>
      </c>
      <c r="X13" s="548" t="s">
        <v>467</v>
      </c>
      <c r="Y13" s="538" t="s">
        <v>468</v>
      </c>
      <c r="Z13" s="538" t="s">
        <v>95</v>
      </c>
      <c r="AA13" s="538" t="s">
        <v>111</v>
      </c>
      <c r="AB13" s="544" t="s">
        <v>469</v>
      </c>
      <c r="AC13" s="538" t="s">
        <v>160</v>
      </c>
      <c r="AD13" s="538" t="s">
        <v>470</v>
      </c>
      <c r="AE13" s="538" t="s">
        <v>471</v>
      </c>
      <c r="AF13" s="538" t="s">
        <v>472</v>
      </c>
      <c r="AG13" s="541" t="s">
        <v>473</v>
      </c>
      <c r="AH13" s="538" t="s">
        <v>488</v>
      </c>
      <c r="AI13" s="538" t="s">
        <v>116</v>
      </c>
      <c r="AJ13" s="538" t="s">
        <v>474</v>
      </c>
    </row>
    <row r="14" spans="1:36" ht="41.25" customHeight="1">
      <c r="A14" s="558"/>
      <c r="B14" s="70"/>
      <c r="C14" s="560"/>
      <c r="D14" s="532"/>
      <c r="E14" s="532"/>
      <c r="F14" s="532"/>
      <c r="G14" s="532"/>
      <c r="H14" s="532"/>
      <c r="I14" s="532"/>
      <c r="J14" s="543"/>
      <c r="K14" s="549"/>
      <c r="L14" s="543"/>
      <c r="M14" s="540"/>
      <c r="N14" s="187" t="s">
        <v>475</v>
      </c>
      <c r="O14" s="190" t="s">
        <v>483</v>
      </c>
      <c r="P14" s="190" t="s">
        <v>476</v>
      </c>
      <c r="Q14" s="190" t="s">
        <v>484</v>
      </c>
      <c r="R14" s="191" t="s">
        <v>477</v>
      </c>
      <c r="S14" s="191" t="s">
        <v>485</v>
      </c>
      <c r="T14" s="188" t="s">
        <v>486</v>
      </c>
      <c r="U14" s="189" t="s">
        <v>478</v>
      </c>
      <c r="V14" s="189" t="s">
        <v>479</v>
      </c>
      <c r="W14" s="549"/>
      <c r="X14" s="549"/>
      <c r="Y14" s="543"/>
      <c r="Z14" s="543"/>
      <c r="AA14" s="543"/>
      <c r="AB14" s="545"/>
      <c r="AC14" s="543"/>
      <c r="AD14" s="543"/>
      <c r="AE14" s="543"/>
      <c r="AF14" s="543"/>
      <c r="AG14" s="542"/>
      <c r="AH14" s="532"/>
      <c r="AI14" s="532"/>
      <c r="AJ14" s="532"/>
    </row>
    <row r="15" spans="1:36" ht="19.149999999999999" customHeight="1">
      <c r="A15" s="535"/>
      <c r="B15" s="71"/>
      <c r="C15" s="562"/>
      <c r="D15" s="2">
        <f>Them_DV!C5</f>
        <v>0</v>
      </c>
      <c r="E15" s="2">
        <f>Them_DV!G5</f>
        <v>0</v>
      </c>
      <c r="F15" s="2" t="str">
        <f>"'"&amp;Them_DV!C3</f>
        <v>'</v>
      </c>
      <c r="G15" s="2" t="str">
        <f>"'"&amp;Them_DV!G3</f>
        <v>'</v>
      </c>
      <c r="H15" s="2">
        <f>Them_DV!C10</f>
        <v>0</v>
      </c>
      <c r="I15" s="193">
        <f>Them_DV!F10</f>
        <v>0</v>
      </c>
      <c r="J15" s="194" t="str">
        <f>Them_DV!C12</f>
        <v>Nam</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34" t="s">
        <v>9</v>
      </c>
      <c r="D33" s="556" t="s">
        <v>165</v>
      </c>
      <c r="E33" s="557"/>
      <c r="F33" s="546" t="s">
        <v>168</v>
      </c>
      <c r="G33" s="530" t="s">
        <v>131</v>
      </c>
      <c r="H33" s="530"/>
      <c r="I33" s="555"/>
      <c r="J33" s="547"/>
    </row>
    <row r="34" spans="2:10">
      <c r="C34" s="535"/>
      <c r="D34" s="10" t="s">
        <v>166</v>
      </c>
      <c r="E34" s="21" t="s">
        <v>167</v>
      </c>
      <c r="F34" s="546"/>
      <c r="G34" s="530"/>
      <c r="H34" s="530"/>
      <c r="I34" s="555"/>
      <c r="J34" s="547"/>
    </row>
    <row r="35" spans="2:10">
      <c r="C35" s="12">
        <f>Them_QTCT!D5</f>
        <v>0</v>
      </c>
      <c r="D35" s="127">
        <f>Them_QTCT!D7</f>
        <v>0</v>
      </c>
      <c r="E35" s="218">
        <f>Them_QTCT!F7</f>
        <v>0</v>
      </c>
      <c r="F35" s="127">
        <f>Them_QTCT!D9</f>
        <v>0</v>
      </c>
      <c r="G35" s="216">
        <f>Them_QTCT!D13</f>
        <v>0</v>
      </c>
      <c r="H35" s="216"/>
      <c r="I35" s="217"/>
      <c r="J35" s="217"/>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A17" sqref="A17"/>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67" t="s">
        <v>169</v>
      </c>
      <c r="B2" s="567"/>
      <c r="C2" s="567"/>
      <c r="D2" s="567"/>
      <c r="E2" s="567"/>
    </row>
    <row r="3" spans="1:5" ht="19.5" customHeight="1">
      <c r="A3" s="563" t="s">
        <v>9</v>
      </c>
      <c r="B3" s="565" t="s">
        <v>165</v>
      </c>
      <c r="C3" s="566"/>
      <c r="D3" s="563" t="s">
        <v>168</v>
      </c>
      <c r="E3" s="563" t="s">
        <v>131</v>
      </c>
    </row>
    <row r="4" spans="1:5" ht="19.5" customHeight="1">
      <c r="A4" s="564"/>
      <c r="B4" s="128" t="s">
        <v>166</v>
      </c>
      <c r="C4" s="129" t="s">
        <v>167</v>
      </c>
      <c r="D4" s="564"/>
      <c r="E4" s="564"/>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549</v>
      </c>
      <c r="B8" s="174" t="s">
        <v>556</v>
      </c>
      <c r="C8" s="174" t="s">
        <v>557</v>
      </c>
      <c r="D8" s="131" t="s">
        <v>558</v>
      </c>
      <c r="E8" s="174">
        <v>0</v>
      </c>
    </row>
    <row r="9" spans="1:5">
      <c r="A9" s="131" t="s">
        <v>549</v>
      </c>
      <c r="B9" s="174" t="s">
        <v>559</v>
      </c>
      <c r="C9" s="174" t="s">
        <v>560</v>
      </c>
      <c r="D9" s="131" t="s">
        <v>561</v>
      </c>
      <c r="E9" s="174">
        <v>0</v>
      </c>
    </row>
    <row r="10" spans="1:5">
      <c r="A10" s="131" t="s">
        <v>549</v>
      </c>
      <c r="B10" s="174" t="s">
        <v>562</v>
      </c>
      <c r="C10" s="174" t="s">
        <v>563</v>
      </c>
      <c r="D10" s="131" t="s">
        <v>564</v>
      </c>
      <c r="E10" s="174" t="s">
        <v>135</v>
      </c>
    </row>
    <row r="11" spans="1:5">
      <c r="A11" s="131" t="s">
        <v>549</v>
      </c>
      <c r="B11" s="174" t="s">
        <v>563</v>
      </c>
      <c r="C11" s="174" t="s">
        <v>567</v>
      </c>
      <c r="D11" s="131" t="s">
        <v>568</v>
      </c>
      <c r="E11" s="174" t="s">
        <v>135</v>
      </c>
    </row>
    <row r="12" spans="1:5">
      <c r="A12" s="131" t="s">
        <v>549</v>
      </c>
      <c r="B12" s="174" t="s">
        <v>569</v>
      </c>
      <c r="C12" s="174" t="s">
        <v>570</v>
      </c>
      <c r="D12" s="131" t="s">
        <v>571</v>
      </c>
      <c r="E12" s="174" t="s">
        <v>135</v>
      </c>
    </row>
    <row r="13" spans="1:5">
      <c r="A13" s="131" t="s">
        <v>549</v>
      </c>
      <c r="B13" s="174" t="s">
        <v>572</v>
      </c>
      <c r="C13" s="174" t="s">
        <v>573</v>
      </c>
      <c r="D13" s="131" t="s">
        <v>574</v>
      </c>
      <c r="E13" s="174" t="s">
        <v>135</v>
      </c>
    </row>
    <row r="14" spans="1:5">
      <c r="A14" s="131" t="s">
        <v>549</v>
      </c>
      <c r="B14" s="174" t="s">
        <v>655</v>
      </c>
      <c r="C14" s="174" t="s">
        <v>656</v>
      </c>
      <c r="D14" s="131" t="s">
        <v>657</v>
      </c>
      <c r="E14" s="174" t="s">
        <v>658</v>
      </c>
    </row>
    <row r="15" spans="1:5">
      <c r="A15" s="131" t="s">
        <v>490</v>
      </c>
      <c r="B15" s="174" t="s">
        <v>499</v>
      </c>
      <c r="C15" s="174" t="s">
        <v>501</v>
      </c>
      <c r="D15" s="131" t="s">
        <v>500</v>
      </c>
      <c r="E15" s="174">
        <v>45</v>
      </c>
    </row>
    <row r="16" spans="1:5">
      <c r="A16" s="131" t="s">
        <v>490</v>
      </c>
      <c r="B16" s="174" t="s">
        <v>527</v>
      </c>
      <c r="C16" s="174" t="s">
        <v>528</v>
      </c>
      <c r="D16" s="131" t="s">
        <v>529</v>
      </c>
      <c r="E16" s="174">
        <v>0</v>
      </c>
    </row>
    <row r="17" spans="1:5">
      <c r="A17" s="131" t="s">
        <v>490</v>
      </c>
      <c r="B17" s="174" t="s">
        <v>530</v>
      </c>
      <c r="C17" s="174" t="s">
        <v>530</v>
      </c>
      <c r="D17" s="131" t="s">
        <v>529</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0" t="s">
        <v>170</v>
      </c>
      <c r="B2" s="570"/>
      <c r="C2" s="570"/>
      <c r="D2" s="570"/>
      <c r="E2" s="570"/>
      <c r="F2" s="570"/>
      <c r="G2" s="570"/>
      <c r="H2" s="570"/>
      <c r="I2" s="570"/>
      <c r="J2" s="570"/>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68" t="s">
        <v>174</v>
      </c>
      <c r="B5" s="571" t="s">
        <v>172</v>
      </c>
      <c r="C5" s="572"/>
      <c r="D5" s="589"/>
      <c r="E5" s="590"/>
      <c r="F5" s="591" t="s">
        <v>554</v>
      </c>
      <c r="G5" s="592"/>
      <c r="H5" s="588"/>
      <c r="I5" s="588"/>
      <c r="J5" s="45"/>
      <c r="K5" s="32"/>
      <c r="L5" s="16"/>
      <c r="M5" s="16"/>
      <c r="N5" s="16"/>
      <c r="O5" s="16"/>
      <c r="P5" s="16"/>
      <c r="Q5" s="16"/>
      <c r="R5" s="16"/>
    </row>
    <row r="6" spans="1:18" ht="15" customHeight="1">
      <c r="A6" s="568"/>
      <c r="B6" s="122"/>
      <c r="C6" s="123"/>
      <c r="D6" s="126"/>
      <c r="E6" s="124"/>
      <c r="F6" s="126"/>
      <c r="G6" s="126"/>
      <c r="H6" s="124"/>
      <c r="I6" s="126"/>
      <c r="J6" s="45"/>
      <c r="K6" s="32"/>
      <c r="L6" s="16"/>
      <c r="M6" s="16"/>
      <c r="N6" s="16"/>
      <c r="O6" s="16"/>
      <c r="P6" s="16"/>
      <c r="Q6" s="16"/>
      <c r="R6" s="16"/>
    </row>
    <row r="7" spans="1:18" ht="22.35" customHeight="1">
      <c r="A7" s="568"/>
      <c r="B7" s="573" t="s">
        <v>171</v>
      </c>
      <c r="C7" s="574"/>
      <c r="D7" s="167"/>
      <c r="E7" s="124" t="s">
        <v>167</v>
      </c>
      <c r="F7" s="168"/>
      <c r="G7" s="125"/>
      <c r="H7" s="125"/>
      <c r="I7" s="125"/>
      <c r="J7" s="45"/>
      <c r="K7" s="32"/>
      <c r="L7" s="16"/>
      <c r="M7" s="16"/>
      <c r="N7" s="16"/>
      <c r="O7" s="16"/>
      <c r="P7" s="16"/>
      <c r="Q7" s="16"/>
      <c r="R7" s="16"/>
    </row>
    <row r="8" spans="1:18" ht="12.75" customHeight="1">
      <c r="A8" s="568"/>
      <c r="B8" s="122"/>
      <c r="C8" s="123"/>
      <c r="D8" s="126"/>
      <c r="E8" s="124"/>
      <c r="F8" s="126"/>
      <c r="G8" s="126"/>
      <c r="H8" s="124"/>
      <c r="I8" s="126"/>
      <c r="J8" s="45"/>
      <c r="K8" s="32"/>
      <c r="L8" s="16"/>
      <c r="M8" s="16"/>
      <c r="N8" s="16"/>
      <c r="O8" s="16"/>
      <c r="P8" s="16"/>
      <c r="Q8" s="16"/>
      <c r="R8" s="16"/>
    </row>
    <row r="9" spans="1:18" ht="22.35" customHeight="1">
      <c r="A9" s="568"/>
      <c r="B9" s="584" t="s">
        <v>175</v>
      </c>
      <c r="C9" s="585"/>
      <c r="D9" s="575"/>
      <c r="E9" s="576"/>
      <c r="F9" s="576"/>
      <c r="G9" s="576"/>
      <c r="H9" s="576"/>
      <c r="I9" s="577"/>
      <c r="J9" s="45"/>
      <c r="K9" s="32"/>
      <c r="L9" s="16"/>
      <c r="M9" s="16"/>
      <c r="N9" s="16"/>
      <c r="O9" s="16"/>
      <c r="P9" s="16"/>
      <c r="Q9" s="16"/>
      <c r="R9" s="16"/>
    </row>
    <row r="10" spans="1:18" ht="22.35" customHeight="1">
      <c r="A10" s="568"/>
      <c r="B10" s="584"/>
      <c r="C10" s="585"/>
      <c r="D10" s="578"/>
      <c r="E10" s="579"/>
      <c r="F10" s="579"/>
      <c r="G10" s="579"/>
      <c r="H10" s="579"/>
      <c r="I10" s="580"/>
      <c r="J10" s="45"/>
      <c r="K10" s="32"/>
      <c r="L10" s="16"/>
      <c r="M10" s="16"/>
      <c r="N10" s="16"/>
      <c r="O10" s="16"/>
      <c r="P10" s="16"/>
      <c r="Q10" s="16"/>
      <c r="R10" s="16"/>
    </row>
    <row r="11" spans="1:18" ht="22.35" customHeight="1">
      <c r="A11" s="568"/>
      <c r="B11" s="584"/>
      <c r="C11" s="585"/>
      <c r="D11" s="581"/>
      <c r="E11" s="582"/>
      <c r="F11" s="582"/>
      <c r="G11" s="582"/>
      <c r="H11" s="582"/>
      <c r="I11" s="583"/>
      <c r="J11" s="45"/>
      <c r="K11" s="32"/>
      <c r="L11" s="16"/>
      <c r="M11" s="16"/>
      <c r="N11" s="16"/>
      <c r="O11" s="16"/>
      <c r="P11" s="16"/>
      <c r="Q11" s="16"/>
      <c r="R11" s="16"/>
    </row>
    <row r="12" spans="1:18" ht="12.75" customHeight="1">
      <c r="A12" s="568"/>
      <c r="B12" s="122"/>
      <c r="C12" s="123"/>
      <c r="D12" s="126"/>
      <c r="E12" s="124"/>
      <c r="F12" s="126"/>
      <c r="G12" s="126"/>
      <c r="H12" s="124"/>
      <c r="I12" s="126"/>
      <c r="J12" s="45"/>
      <c r="K12" s="32"/>
      <c r="L12" s="16"/>
      <c r="M12" s="16"/>
      <c r="N12" s="16"/>
      <c r="O12" s="16"/>
      <c r="P12" s="16"/>
      <c r="Q12" s="16"/>
      <c r="R12" s="16"/>
    </row>
    <row r="13" spans="1:18" ht="22.35" customHeight="1">
      <c r="A13" s="568"/>
      <c r="B13" s="573" t="s">
        <v>173</v>
      </c>
      <c r="C13" s="574"/>
      <c r="D13" s="586"/>
      <c r="E13" s="587"/>
      <c r="F13" s="125"/>
      <c r="G13" s="125"/>
      <c r="H13" s="125"/>
      <c r="I13" s="125"/>
      <c r="J13" s="45"/>
      <c r="K13" s="32"/>
      <c r="L13" s="16"/>
      <c r="M13" s="16"/>
      <c r="N13" s="16"/>
      <c r="O13" s="16"/>
      <c r="P13" s="16"/>
      <c r="Q13" s="16"/>
      <c r="R13" s="16"/>
    </row>
    <row r="14" spans="1:18" ht="20.25" customHeight="1">
      <c r="A14" s="569"/>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1" sqref="E11:K11"/>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19.5" customHeight="1"/>
    <row r="2" spans="1:12" ht="19.5" customHeight="1"/>
    <row r="3" spans="1:12" ht="22.5" customHeight="1">
      <c r="A3" s="595" t="s">
        <v>640</v>
      </c>
      <c r="B3" s="596"/>
      <c r="C3" s="596"/>
      <c r="D3" s="596"/>
      <c r="E3" s="596"/>
      <c r="F3" s="596"/>
      <c r="G3" s="596"/>
      <c r="H3" s="596"/>
      <c r="I3" s="596"/>
      <c r="J3" s="596"/>
      <c r="K3" s="596"/>
      <c r="L3" s="597"/>
    </row>
    <row r="4" spans="1:12" ht="15" customHeight="1">
      <c r="A4" s="598"/>
      <c r="B4" s="599"/>
      <c r="C4" s="599"/>
      <c r="D4" s="599"/>
      <c r="E4" s="599"/>
      <c r="F4" s="599"/>
      <c r="G4" s="599"/>
      <c r="H4" s="599"/>
      <c r="I4" s="599"/>
      <c r="J4" s="599"/>
      <c r="K4" s="599"/>
      <c r="L4" s="600"/>
    </row>
    <row r="5" spans="1:12" ht="8.25" customHeight="1">
      <c r="A5" s="398"/>
      <c r="B5" s="399"/>
      <c r="C5" s="399"/>
      <c r="D5" s="399"/>
      <c r="E5" s="399"/>
      <c r="F5" s="399"/>
      <c r="G5" s="399"/>
      <c r="H5" s="399"/>
      <c r="I5" s="399"/>
      <c r="J5" s="399"/>
      <c r="K5" s="399"/>
      <c r="L5" s="400"/>
    </row>
    <row r="6" spans="1:12" ht="24" customHeight="1">
      <c r="A6" s="601" t="s">
        <v>174</v>
      </c>
      <c r="B6" s="353"/>
      <c r="C6" s="354"/>
      <c r="D6" s="354"/>
      <c r="E6" s="354"/>
      <c r="F6" s="354"/>
      <c r="G6" s="354"/>
      <c r="H6" s="354"/>
      <c r="I6" s="354"/>
      <c r="J6" s="354"/>
      <c r="K6" s="354"/>
      <c r="L6" s="355"/>
    </row>
    <row r="7" spans="1:12" ht="24" customHeight="1">
      <c r="A7" s="601"/>
      <c r="B7" s="353"/>
      <c r="C7" s="354"/>
      <c r="D7" s="401" t="s">
        <v>642</v>
      </c>
      <c r="E7" s="594" t="s">
        <v>549</v>
      </c>
      <c r="F7" s="594"/>
      <c r="G7" s="594"/>
      <c r="H7" s="593" t="s">
        <v>641</v>
      </c>
      <c r="I7" s="593"/>
      <c r="J7" s="593"/>
      <c r="K7" s="354"/>
      <c r="L7" s="355"/>
    </row>
    <row r="8" spans="1:12" ht="13.5" customHeight="1">
      <c r="A8" s="601"/>
      <c r="B8" s="353"/>
      <c r="C8" s="354"/>
      <c r="D8" s="354"/>
      <c r="E8" s="354"/>
      <c r="F8" s="354"/>
      <c r="G8" s="354"/>
      <c r="H8" s="354"/>
      <c r="I8" s="354"/>
      <c r="J8" s="354"/>
      <c r="K8" s="354"/>
      <c r="L8" s="355"/>
    </row>
    <row r="9" spans="1:12" ht="24" customHeight="1">
      <c r="A9" s="601"/>
      <c r="B9" s="353"/>
      <c r="C9" s="354"/>
      <c r="D9" s="401" t="s">
        <v>643</v>
      </c>
      <c r="E9" s="275"/>
      <c r="F9" s="402" t="s">
        <v>644</v>
      </c>
      <c r="G9" s="275"/>
      <c r="H9" s="354"/>
      <c r="I9" s="354"/>
      <c r="J9" s="354"/>
      <c r="K9" s="354"/>
      <c r="L9" s="355"/>
    </row>
    <row r="10" spans="1:12" ht="16.5" customHeight="1">
      <c r="A10" s="601"/>
      <c r="B10" s="353"/>
      <c r="C10" s="354"/>
      <c r="D10" s="354"/>
      <c r="E10" s="354"/>
      <c r="F10" s="354"/>
      <c r="G10" s="354"/>
      <c r="H10" s="354"/>
      <c r="I10" s="354"/>
      <c r="J10" s="354"/>
      <c r="K10" s="354"/>
      <c r="L10" s="355"/>
    </row>
    <row r="11" spans="1:12" ht="27.75" customHeight="1">
      <c r="A11" s="601"/>
      <c r="B11" s="353"/>
      <c r="C11" s="354"/>
      <c r="D11" s="401" t="s">
        <v>646</v>
      </c>
      <c r="E11" s="603"/>
      <c r="F11" s="604"/>
      <c r="G11" s="604"/>
      <c r="H11" s="604"/>
      <c r="I11" s="604"/>
      <c r="J11" s="604"/>
      <c r="K11" s="605"/>
      <c r="L11" s="355"/>
    </row>
    <row r="12" spans="1:12" ht="15.75" customHeight="1">
      <c r="A12" s="601"/>
      <c r="B12" s="353"/>
      <c r="C12" s="354"/>
      <c r="D12" s="401"/>
      <c r="E12" s="390"/>
      <c r="F12" s="390"/>
      <c r="G12" s="390"/>
      <c r="H12" s="390"/>
      <c r="I12" s="390"/>
      <c r="J12" s="390"/>
      <c r="K12" s="390"/>
      <c r="L12" s="355"/>
    </row>
    <row r="13" spans="1:12" ht="27.75" customHeight="1">
      <c r="A13" s="601"/>
      <c r="B13" s="354"/>
      <c r="C13" s="354"/>
      <c r="D13" s="401" t="s">
        <v>645</v>
      </c>
      <c r="E13" s="606"/>
      <c r="F13" s="606"/>
      <c r="G13" s="606"/>
      <c r="H13" s="606"/>
      <c r="I13" s="606"/>
      <c r="J13" s="606"/>
      <c r="K13" s="606"/>
      <c r="L13" s="355"/>
    </row>
    <row r="14" spans="1:12" ht="15.75" customHeight="1">
      <c r="A14" s="601"/>
      <c r="B14" s="354"/>
      <c r="C14" s="354"/>
      <c r="D14" s="401"/>
      <c r="E14" s="390"/>
      <c r="F14" s="390"/>
      <c r="G14" s="390"/>
      <c r="H14" s="390"/>
      <c r="I14" s="390"/>
      <c r="J14" s="390"/>
      <c r="K14" s="390"/>
      <c r="L14" s="355"/>
    </row>
    <row r="15" spans="1:12" ht="27.75" customHeight="1">
      <c r="A15" s="601"/>
      <c r="B15" s="354"/>
      <c r="C15" s="354"/>
      <c r="D15" s="401" t="s">
        <v>647</v>
      </c>
      <c r="E15" s="606"/>
      <c r="F15" s="606"/>
      <c r="G15" s="606"/>
      <c r="H15" s="606"/>
      <c r="I15" s="606"/>
      <c r="J15" s="606"/>
      <c r="K15" s="606"/>
      <c r="L15" s="355"/>
    </row>
    <row r="16" spans="1:12" ht="20.25">
      <c r="A16" s="601"/>
      <c r="B16" s="354"/>
      <c r="C16" s="354"/>
      <c r="D16" s="401"/>
      <c r="E16" s="390"/>
      <c r="F16" s="390"/>
      <c r="G16" s="390"/>
      <c r="H16" s="390"/>
      <c r="I16" s="390"/>
      <c r="J16" s="390"/>
      <c r="K16" s="390"/>
      <c r="L16" s="355"/>
    </row>
    <row r="17" spans="1:12" ht="27.75" customHeight="1">
      <c r="A17" s="601"/>
      <c r="B17" s="354"/>
      <c r="C17" s="354"/>
      <c r="D17" s="401" t="s">
        <v>648</v>
      </c>
      <c r="E17" s="606"/>
      <c r="F17" s="606"/>
      <c r="G17" s="606"/>
      <c r="H17" s="606"/>
      <c r="I17" s="606"/>
      <c r="J17" s="606"/>
      <c r="K17" s="606"/>
      <c r="L17" s="355"/>
    </row>
    <row r="18" spans="1:12" ht="20.25">
      <c r="A18" s="601"/>
      <c r="B18" s="354"/>
      <c r="C18" s="354"/>
      <c r="D18" s="401"/>
      <c r="E18" s="390"/>
      <c r="F18" s="390"/>
      <c r="G18" s="390"/>
      <c r="H18" s="390"/>
      <c r="I18" s="390"/>
      <c r="J18" s="390"/>
      <c r="K18" s="390"/>
      <c r="L18" s="355"/>
    </row>
    <row r="19" spans="1:12" ht="27.75" customHeight="1">
      <c r="A19" s="601"/>
      <c r="B19" s="354"/>
      <c r="C19" s="354"/>
      <c r="D19" s="401" t="s">
        <v>649</v>
      </c>
      <c r="E19" s="606"/>
      <c r="F19" s="606"/>
      <c r="G19" s="606"/>
      <c r="H19" s="606"/>
      <c r="I19" s="606"/>
      <c r="J19" s="606"/>
      <c r="K19" s="606"/>
      <c r="L19" s="355"/>
    </row>
    <row r="20" spans="1:12" ht="20.25">
      <c r="A20" s="602"/>
      <c r="B20" s="403"/>
      <c r="C20" s="403"/>
      <c r="D20" s="403"/>
      <c r="E20" s="403"/>
      <c r="F20" s="403"/>
      <c r="G20" s="403"/>
      <c r="H20" s="403"/>
      <c r="I20" s="403"/>
      <c r="J20" s="403"/>
      <c r="K20" s="403"/>
      <c r="L20" s="395"/>
    </row>
  </sheetData>
  <sheetProtection sheet="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08" t="s">
        <v>638</v>
      </c>
      <c r="B2" s="609"/>
      <c r="C2" s="609"/>
      <c r="D2" s="609"/>
      <c r="E2" s="609"/>
      <c r="F2" s="609"/>
      <c r="G2" s="609"/>
      <c r="H2" s="610"/>
    </row>
    <row r="3" spans="1:11">
      <c r="A3" s="563" t="s">
        <v>9</v>
      </c>
      <c r="B3" s="607" t="s">
        <v>625</v>
      </c>
      <c r="C3" s="607" t="s">
        <v>626</v>
      </c>
      <c r="D3" s="611" t="s">
        <v>165</v>
      </c>
      <c r="E3" s="611"/>
      <c r="F3" s="607" t="s">
        <v>627</v>
      </c>
      <c r="G3" s="607" t="s">
        <v>639</v>
      </c>
      <c r="H3" s="607" t="s">
        <v>220</v>
      </c>
    </row>
    <row r="4" spans="1:11">
      <c r="A4" s="564"/>
      <c r="B4" s="607"/>
      <c r="C4" s="607"/>
      <c r="D4" s="128" t="s">
        <v>166</v>
      </c>
      <c r="E4" s="129" t="s">
        <v>167</v>
      </c>
      <c r="F4" s="607"/>
      <c r="G4" s="607"/>
      <c r="H4" s="607"/>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t="s">
        <v>650</v>
      </c>
    </row>
    <row r="1007" spans="1:11">
      <c r="K1007" s="310" t="s">
        <v>659</v>
      </c>
    </row>
    <row r="1008" spans="1:11">
      <c r="K1008" s="310" t="s">
        <v>659</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1" sqref="B11"/>
    </sheetView>
  </sheetViews>
  <sheetFormatPr defaultRowHeight="15"/>
  <cols>
    <col min="1" max="1" width="17.85546875" style="268" customWidth="1"/>
    <col min="2" max="2" width="97.140625" style="268" customWidth="1"/>
  </cols>
  <sheetData>
    <row r="1" spans="1:2" ht="26.25">
      <c r="A1" s="612" t="s">
        <v>669</v>
      </c>
      <c r="B1" s="612"/>
    </row>
    <row r="2" spans="1:2">
      <c r="A2" s="270" t="s">
        <v>9</v>
      </c>
      <c r="B2" s="270" t="s">
        <v>669</v>
      </c>
    </row>
    <row r="3" spans="1:2">
      <c r="A3" s="269" t="s">
        <v>549</v>
      </c>
      <c r="B3" s="269" t="s">
        <v>733</v>
      </c>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3" t="s">
        <v>672</v>
      </c>
      <c r="B201" s="613"/>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2" customHeight="1"/>
    <row r="2" spans="1:16" ht="15" customHeight="1">
      <c r="A2" s="614"/>
      <c r="B2" s="615"/>
      <c r="C2" s="615"/>
      <c r="D2" s="615"/>
      <c r="E2" s="615"/>
      <c r="F2" s="615"/>
      <c r="G2" s="615"/>
      <c r="H2" s="615"/>
      <c r="I2" s="615"/>
      <c r="J2" s="615"/>
      <c r="K2" s="615"/>
      <c r="L2" s="616"/>
    </row>
    <row r="3" spans="1:16" ht="15" customHeight="1" thickBot="1">
      <c r="A3" s="617"/>
      <c r="B3" s="618"/>
      <c r="C3" s="618"/>
      <c r="D3" s="618"/>
      <c r="E3" s="618"/>
      <c r="F3" s="618"/>
      <c r="G3" s="618"/>
      <c r="H3" s="618"/>
      <c r="I3" s="618"/>
      <c r="J3" s="618"/>
      <c r="K3" s="618"/>
      <c r="L3" s="619"/>
    </row>
    <row r="4" spans="1:16" ht="20.25">
      <c r="A4" s="622" t="s">
        <v>174</v>
      </c>
      <c r="B4" s="404"/>
      <c r="C4" s="405"/>
      <c r="D4" s="405"/>
      <c r="E4" s="405"/>
      <c r="F4" s="405"/>
      <c r="G4" s="405"/>
      <c r="H4" s="405"/>
      <c r="I4" s="405"/>
      <c r="J4" s="405"/>
      <c r="K4" s="620"/>
      <c r="L4" s="621"/>
    </row>
    <row r="5" spans="1:16" ht="20.25">
      <c r="A5" s="622"/>
      <c r="B5" s="404"/>
      <c r="C5" s="406" t="s">
        <v>642</v>
      </c>
      <c r="D5" s="624" t="s">
        <v>549</v>
      </c>
      <c r="E5" s="624"/>
      <c r="F5" s="624"/>
      <c r="G5" s="625" t="s">
        <v>641</v>
      </c>
      <c r="H5" s="625"/>
      <c r="I5" s="625"/>
      <c r="J5" s="405"/>
      <c r="K5" s="621"/>
      <c r="L5" s="621"/>
    </row>
    <row r="6" spans="1:16" ht="20.25">
      <c r="A6" s="622"/>
      <c r="B6" s="404"/>
      <c r="C6" s="406"/>
      <c r="D6" s="267"/>
      <c r="E6" s="267"/>
      <c r="F6" s="267"/>
      <c r="G6" s="406"/>
      <c r="H6" s="406"/>
      <c r="I6" s="406"/>
      <c r="J6" s="405"/>
      <c r="K6" s="405"/>
      <c r="L6" s="407"/>
    </row>
    <row r="7" spans="1:16" ht="20.25">
      <c r="A7" s="622"/>
      <c r="B7" s="408"/>
      <c r="C7" s="409"/>
      <c r="D7" s="410"/>
      <c r="E7" s="410"/>
      <c r="F7" s="410"/>
      <c r="G7" s="410"/>
      <c r="H7" s="410"/>
      <c r="I7" s="410"/>
      <c r="J7" s="410"/>
      <c r="K7" s="411"/>
      <c r="L7" s="407"/>
    </row>
    <row r="8" spans="1:16" ht="178.5" customHeight="1">
      <c r="A8" s="622"/>
      <c r="B8" s="411"/>
      <c r="C8" s="409" t="s">
        <v>670</v>
      </c>
      <c r="D8" s="626" t="s">
        <v>733</v>
      </c>
      <c r="E8" s="626"/>
      <c r="F8" s="626"/>
      <c r="G8" s="626"/>
      <c r="H8" s="626"/>
      <c r="I8" s="626"/>
      <c r="J8" s="627"/>
      <c r="K8" s="411"/>
      <c r="L8" s="407"/>
      <c r="P8" s="396"/>
    </row>
    <row r="9" spans="1:16" ht="20.25">
      <c r="A9" s="622"/>
      <c r="B9" s="411"/>
      <c r="C9" s="411"/>
      <c r="D9" s="411"/>
      <c r="E9" s="411"/>
      <c r="F9" s="411"/>
      <c r="G9" s="411"/>
      <c r="H9" s="411"/>
      <c r="I9" s="411"/>
      <c r="J9" s="411"/>
      <c r="K9" s="411"/>
      <c r="L9" s="407"/>
    </row>
    <row r="10" spans="1:16" ht="20.25">
      <c r="A10" s="623"/>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2" t="s">
        <v>673</v>
      </c>
      <c r="B1" s="632"/>
      <c r="C1" s="632"/>
      <c r="D1" s="632"/>
      <c r="E1" s="632"/>
    </row>
    <row r="2" spans="1:5" ht="15.75">
      <c r="A2" s="629" t="s">
        <v>593</v>
      </c>
      <c r="B2" s="630"/>
      <c r="C2" s="630"/>
      <c r="D2" s="630"/>
      <c r="E2" s="631"/>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28" t="s">
        <v>672</v>
      </c>
      <c r="B501" s="628"/>
      <c r="C501" s="628"/>
      <c r="D501" s="628"/>
      <c r="E501" s="628"/>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F7" sqref="F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3" t="s">
        <v>676</v>
      </c>
      <c r="B2" s="634"/>
      <c r="C2" s="634"/>
      <c r="D2" s="634"/>
      <c r="E2" s="634"/>
      <c r="F2" s="634"/>
      <c r="G2" s="635"/>
    </row>
    <row r="3" spans="1:7">
      <c r="A3" s="639" t="s">
        <v>677</v>
      </c>
      <c r="B3" s="281"/>
      <c r="C3" s="281"/>
      <c r="D3" s="281"/>
      <c r="E3" s="281"/>
      <c r="F3" s="281"/>
      <c r="G3" s="282"/>
    </row>
    <row r="4" spans="1:7" ht="18.75" customHeight="1">
      <c r="A4" s="640"/>
      <c r="B4" s="283" t="s">
        <v>701</v>
      </c>
      <c r="C4" s="284" t="s">
        <v>549</v>
      </c>
      <c r="D4" s="285"/>
      <c r="E4" s="283" t="s">
        <v>681</v>
      </c>
      <c r="F4" s="285"/>
      <c r="G4" s="286"/>
    </row>
    <row r="5" spans="1:7" ht="15" customHeight="1">
      <c r="A5" s="642"/>
      <c r="B5" s="287"/>
      <c r="C5" s="288"/>
      <c r="D5" s="288"/>
      <c r="E5" s="288"/>
      <c r="F5" s="288"/>
      <c r="G5" s="289"/>
    </row>
    <row r="6" spans="1:7" ht="15" customHeight="1">
      <c r="A6" s="639" t="s">
        <v>691</v>
      </c>
      <c r="B6" s="290"/>
      <c r="C6" s="281"/>
      <c r="D6" s="281"/>
      <c r="E6" s="281"/>
      <c r="F6" s="281"/>
      <c r="G6" s="282"/>
    </row>
    <row r="7" spans="1:7" ht="19.5" customHeight="1">
      <c r="A7" s="640"/>
      <c r="B7" s="283" t="s">
        <v>701</v>
      </c>
      <c r="C7" s="284"/>
      <c r="D7" s="285"/>
      <c r="E7" s="283" t="s">
        <v>679</v>
      </c>
      <c r="F7" s="291"/>
      <c r="G7" s="286"/>
    </row>
    <row r="8" spans="1:7">
      <c r="A8" s="640"/>
      <c r="B8" s="283"/>
      <c r="C8" s="285"/>
      <c r="D8" s="285"/>
      <c r="E8" s="285"/>
      <c r="F8" s="285"/>
      <c r="G8" s="286"/>
    </row>
    <row r="9" spans="1:7" ht="19.5" customHeight="1">
      <c r="A9" s="640"/>
      <c r="B9" s="283" t="s">
        <v>680</v>
      </c>
      <c r="C9" s="284"/>
      <c r="D9" s="285"/>
      <c r="E9" s="285"/>
      <c r="F9" s="285"/>
      <c r="G9" s="286"/>
    </row>
    <row r="10" spans="1:7">
      <c r="A10" s="640"/>
      <c r="B10" s="285"/>
      <c r="C10" s="285"/>
      <c r="D10" s="285"/>
      <c r="E10" s="285"/>
      <c r="F10" s="285"/>
      <c r="G10" s="286"/>
    </row>
    <row r="11" spans="1:7">
      <c r="A11" s="640"/>
      <c r="B11" s="285" t="s">
        <v>678</v>
      </c>
      <c r="C11" s="285"/>
      <c r="D11" s="285"/>
      <c r="E11" s="285"/>
      <c r="F11" s="285"/>
      <c r="G11" s="286"/>
    </row>
    <row r="12" spans="1:7" ht="41.25" customHeight="1">
      <c r="A12" s="641"/>
      <c r="B12" s="636"/>
      <c r="C12" s="637"/>
      <c r="D12" s="637"/>
      <c r="E12" s="637"/>
      <c r="F12" s="638"/>
      <c r="G12" s="286"/>
    </row>
    <row r="13" spans="1:7">
      <c r="A13" s="642"/>
      <c r="B13" s="288"/>
      <c r="C13" s="288"/>
      <c r="D13" s="288"/>
      <c r="E13" s="288"/>
      <c r="F13" s="288"/>
      <c r="G13" s="289"/>
    </row>
  </sheetData>
  <sheetProtection sheet="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F6" sqref="F6"/>
    </sheetView>
  </sheetViews>
  <sheetFormatPr defaultRowHeight="15"/>
  <cols>
    <col min="1" max="1" width="19.140625" customWidth="1"/>
    <col min="2" max="2" width="11" customWidth="1"/>
    <col min="3" max="9" width="14.5703125" customWidth="1"/>
  </cols>
  <sheetData>
    <row r="1" spans="1:9" ht="35.25" customHeight="1"/>
    <row r="2" spans="1:9" ht="15.75">
      <c r="A2" s="643" t="s">
        <v>595</v>
      </c>
      <c r="B2" s="645" t="s">
        <v>599</v>
      </c>
      <c r="C2" s="645" t="s">
        <v>600</v>
      </c>
      <c r="D2" s="645"/>
      <c r="E2" s="645"/>
      <c r="F2" s="645"/>
      <c r="G2" s="645" t="s">
        <v>601</v>
      </c>
      <c r="H2" s="645"/>
      <c r="I2" s="301" t="s">
        <v>602</v>
      </c>
    </row>
    <row r="3" spans="1:9" ht="15.75">
      <c r="A3" s="644"/>
      <c r="B3" s="645"/>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5" sqref="E5:F5"/>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0" t="s">
        <v>714</v>
      </c>
      <c r="B2" s="651"/>
      <c r="C2" s="651"/>
      <c r="D2" s="651"/>
      <c r="E2" s="651"/>
      <c r="F2" s="651"/>
      <c r="G2" s="651"/>
      <c r="H2" s="651"/>
      <c r="I2" s="651"/>
      <c r="J2" s="651"/>
      <c r="K2" s="652"/>
    </row>
    <row r="3" spans="1:11">
      <c r="A3" s="653"/>
      <c r="B3" s="654"/>
      <c r="C3" s="654"/>
      <c r="D3" s="654"/>
      <c r="E3" s="654"/>
      <c r="F3" s="654"/>
      <c r="G3" s="654"/>
      <c r="H3" s="654"/>
      <c r="I3" s="654"/>
      <c r="J3" s="654"/>
      <c r="K3" s="655"/>
    </row>
    <row r="4" spans="1:11" ht="20.25">
      <c r="A4" s="656" t="s">
        <v>174</v>
      </c>
      <c r="B4" s="353"/>
      <c r="C4" s="354"/>
      <c r="D4" s="354"/>
      <c r="E4" s="354"/>
      <c r="F4" s="354"/>
      <c r="G4" s="354"/>
      <c r="H4" s="354"/>
      <c r="I4" s="354"/>
      <c r="J4" s="354"/>
      <c r="K4" s="355"/>
    </row>
    <row r="5" spans="1:11" ht="21" customHeight="1">
      <c r="A5" s="656"/>
      <c r="B5" s="356"/>
      <c r="C5" s="357"/>
      <c r="D5" s="358" t="s">
        <v>701</v>
      </c>
      <c r="E5" s="649" t="s">
        <v>549</v>
      </c>
      <c r="F5" s="649"/>
      <c r="G5" s="354"/>
      <c r="H5" s="657" t="s">
        <v>715</v>
      </c>
      <c r="I5" s="657"/>
      <c r="J5" s="658"/>
      <c r="K5" s="658"/>
    </row>
    <row r="6" spans="1:11" ht="20.25">
      <c r="A6" s="656"/>
      <c r="B6" s="356"/>
      <c r="C6" s="357"/>
      <c r="D6" s="357"/>
      <c r="E6" s="354"/>
      <c r="F6" s="354"/>
      <c r="G6" s="354"/>
      <c r="H6" s="354"/>
      <c r="I6" s="354"/>
      <c r="J6" s="354"/>
      <c r="K6" s="355"/>
    </row>
    <row r="7" spans="1:11" ht="21" customHeight="1">
      <c r="A7" s="656"/>
      <c r="B7" s="356"/>
      <c r="C7" s="357"/>
      <c r="D7" s="358" t="s">
        <v>716</v>
      </c>
      <c r="E7" s="351">
        <v>44197</v>
      </c>
      <c r="F7" s="359"/>
      <c r="G7" s="354"/>
      <c r="H7" s="354"/>
      <c r="I7" s="354"/>
      <c r="J7" s="354"/>
      <c r="K7" s="355"/>
    </row>
    <row r="8" spans="1:11" ht="20.25">
      <c r="A8" s="360"/>
      <c r="B8" s="361"/>
      <c r="C8" s="362"/>
      <c r="D8" s="363"/>
      <c r="E8" s="364"/>
      <c r="F8" s="364"/>
      <c r="G8" s="365"/>
      <c r="H8" s="365"/>
      <c r="I8" s="365"/>
      <c r="J8" s="365"/>
      <c r="K8" s="366"/>
    </row>
    <row r="9" spans="1:11" ht="20.25">
      <c r="A9" s="659" t="s">
        <v>695</v>
      </c>
      <c r="B9" s="367"/>
      <c r="C9" s="368"/>
      <c r="D9" s="369"/>
      <c r="E9" s="370"/>
      <c r="F9" s="370"/>
      <c r="G9" s="371"/>
      <c r="H9" s="371"/>
      <c r="I9" s="371"/>
      <c r="J9" s="371"/>
      <c r="K9" s="372"/>
    </row>
    <row r="10" spans="1:11" ht="21" customHeight="1">
      <c r="A10" s="660"/>
      <c r="B10" s="373"/>
      <c r="C10" s="374"/>
      <c r="D10" s="375" t="s">
        <v>717</v>
      </c>
      <c r="E10" s="296" t="s">
        <v>723</v>
      </c>
      <c r="F10" s="376"/>
      <c r="G10" s="377" t="s">
        <v>718</v>
      </c>
      <c r="H10" s="296" t="s">
        <v>723</v>
      </c>
      <c r="I10" s="376"/>
      <c r="J10" s="376"/>
      <c r="K10" s="378"/>
    </row>
    <row r="11" spans="1:11" ht="20.25">
      <c r="A11" s="660"/>
      <c r="B11" s="373"/>
      <c r="C11" s="374"/>
      <c r="D11" s="374"/>
      <c r="E11" s="376"/>
      <c r="F11" s="376"/>
      <c r="G11" s="376"/>
      <c r="H11" s="376"/>
      <c r="I11" s="376"/>
      <c r="J11" s="376"/>
      <c r="K11" s="378"/>
    </row>
    <row r="12" spans="1:11" ht="21" customHeight="1">
      <c r="A12" s="660"/>
      <c r="B12" s="373"/>
      <c r="C12" s="374"/>
      <c r="D12" s="377" t="s">
        <v>719</v>
      </c>
      <c r="E12" s="296" t="s">
        <v>723</v>
      </c>
      <c r="F12" s="376"/>
      <c r="G12" s="377" t="s">
        <v>722</v>
      </c>
      <c r="H12" s="296" t="s">
        <v>724</v>
      </c>
      <c r="I12" s="376"/>
      <c r="J12" s="376"/>
      <c r="K12" s="378"/>
    </row>
    <row r="13" spans="1:11" ht="20.25">
      <c r="A13" s="661"/>
      <c r="B13" s="379"/>
      <c r="C13" s="380"/>
      <c r="D13" s="380"/>
      <c r="E13" s="381"/>
      <c r="F13" s="381"/>
      <c r="G13" s="381"/>
      <c r="H13" s="381"/>
      <c r="I13" s="381"/>
      <c r="J13" s="381"/>
      <c r="K13" s="382"/>
    </row>
    <row r="14" spans="1:11" ht="20.25">
      <c r="A14" s="646" t="s">
        <v>668</v>
      </c>
      <c r="B14" s="383"/>
      <c r="C14" s="384"/>
      <c r="D14" s="385"/>
      <c r="E14" s="386"/>
      <c r="F14" s="386"/>
      <c r="G14" s="387"/>
      <c r="H14" s="387"/>
      <c r="I14" s="387"/>
      <c r="J14" s="387"/>
      <c r="K14" s="388"/>
    </row>
    <row r="15" spans="1:11" ht="21" customHeight="1">
      <c r="A15" s="647"/>
      <c r="B15" s="356"/>
      <c r="C15" s="357"/>
      <c r="D15" s="358" t="s">
        <v>720</v>
      </c>
      <c r="E15" s="297" t="s">
        <v>727</v>
      </c>
      <c r="F15" s="354"/>
      <c r="G15" s="389" t="s">
        <v>721</v>
      </c>
      <c r="H15" s="297" t="s">
        <v>728</v>
      </c>
      <c r="I15" s="354"/>
      <c r="J15" s="354"/>
      <c r="K15" s="355"/>
    </row>
    <row r="16" spans="1:11" ht="20.25">
      <c r="A16" s="647"/>
      <c r="B16" s="356"/>
      <c r="C16" s="357"/>
      <c r="D16" s="358"/>
      <c r="E16" s="390"/>
      <c r="F16" s="354"/>
      <c r="G16" s="389"/>
      <c r="H16" s="390"/>
      <c r="I16" s="354"/>
      <c r="J16" s="354"/>
      <c r="K16" s="355"/>
    </row>
    <row r="17" spans="1:11" ht="20.25">
      <c r="A17" s="648"/>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64"/>
      <c r="B1" s="664"/>
      <c r="C1" s="664"/>
      <c r="D1" s="664"/>
      <c r="E1" s="664"/>
      <c r="F1" s="664"/>
      <c r="G1" s="664"/>
      <c r="H1" s="664"/>
      <c r="I1" s="664"/>
      <c r="J1" s="664"/>
      <c r="K1" s="664"/>
      <c r="L1" s="664"/>
      <c r="M1" s="664"/>
      <c r="N1" s="664"/>
      <c r="O1" s="664"/>
      <c r="P1" s="664"/>
      <c r="Q1" s="664"/>
      <c r="R1" s="16"/>
      <c r="S1" s="94" t="s">
        <v>87</v>
      </c>
      <c r="T1" s="95" t="s">
        <v>109</v>
      </c>
      <c r="U1" s="89" t="s">
        <v>114</v>
      </c>
      <c r="V1" s="273" t="s">
        <v>132</v>
      </c>
      <c r="W1" s="278" t="s">
        <v>696</v>
      </c>
      <c r="X1" s="277" t="s">
        <v>93</v>
      </c>
      <c r="Y1" s="277" t="s">
        <v>147</v>
      </c>
      <c r="Z1" s="292" t="s">
        <v>160</v>
      </c>
      <c r="AA1" s="273" t="s">
        <v>702</v>
      </c>
    </row>
    <row r="2" spans="1:27" ht="19.149999999999999" customHeight="1">
      <c r="A2" s="666"/>
      <c r="B2" s="664"/>
      <c r="C2" s="669"/>
      <c r="D2" s="667"/>
      <c r="E2" s="668"/>
      <c r="F2" s="668"/>
      <c r="G2" s="668"/>
      <c r="H2" s="668"/>
      <c r="I2" s="668"/>
      <c r="J2" s="668"/>
      <c r="K2" s="668"/>
      <c r="L2" s="668"/>
      <c r="M2" s="668"/>
      <c r="N2" s="668"/>
      <c r="O2" s="668"/>
      <c r="P2" s="662"/>
      <c r="Q2" s="662"/>
      <c r="R2" s="16"/>
      <c r="S2" s="91" t="s">
        <v>219</v>
      </c>
      <c r="T2" s="96" t="s">
        <v>110</v>
      </c>
      <c r="U2" s="99" t="s">
        <v>532</v>
      </c>
      <c r="V2" s="276" t="s">
        <v>491</v>
      </c>
      <c r="W2" s="279" t="s">
        <v>697</v>
      </c>
      <c r="X2" s="279" t="s">
        <v>151</v>
      </c>
      <c r="Y2" s="279" t="s">
        <v>148</v>
      </c>
      <c r="Z2" s="293" t="s">
        <v>151</v>
      </c>
      <c r="AA2" s="295" t="s">
        <v>703</v>
      </c>
    </row>
    <row r="3" spans="1:27" ht="19.149999999999999" customHeight="1">
      <c r="A3" s="666"/>
      <c r="B3" s="664"/>
      <c r="C3" s="670"/>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65" t="s">
        <v>115</v>
      </c>
      <c r="B8" s="665"/>
      <c r="C8" s="115" t="s">
        <v>163</v>
      </c>
      <c r="D8" s="102" t="s">
        <v>92</v>
      </c>
      <c r="E8" s="102" t="s">
        <v>126</v>
      </c>
      <c r="F8" s="101" t="s">
        <v>132</v>
      </c>
      <c r="G8" s="101" t="s">
        <v>93</v>
      </c>
      <c r="H8" s="61" t="s">
        <v>147</v>
      </c>
      <c r="I8" s="110" t="s">
        <v>160</v>
      </c>
      <c r="J8" s="671"/>
      <c r="K8" s="671"/>
      <c r="L8" s="16"/>
      <c r="M8" s="663"/>
      <c r="N8" s="663"/>
      <c r="O8" s="663"/>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74" t="s">
        <v>233</v>
      </c>
      <c r="E18" s="674"/>
      <c r="F18" s="150">
        <f ca="1">TODAY()</f>
        <v>44376</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65"/>
      <c r="B20" s="665"/>
      <c r="C20" s="16"/>
      <c r="D20" s="672" t="s">
        <v>39</v>
      </c>
      <c r="E20" s="673"/>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2021-06-29T09:10:48Z</dcterms:modified>
</cp:coreProperties>
</file>