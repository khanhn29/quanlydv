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r:id="rId6"/>
    <sheet name="Danh muc Chi bo" sheetId="15" state="hidden" r:id="rId7"/>
    <sheet name="DK" sheetId="5" r:id="rId8"/>
    <sheet name="QTCT" sheetId="7" state="hidden"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<sst xmlns="http://schemas.openxmlformats.org/spreadsheetml/2006/main" count="1320" uniqueCount="746">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</sst>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82">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14" fontId="5" fillId="0" borderId="0" xfId="0" applyNumberFormat="1" applyFont="1" applyFill="1" applyAlignment="1">
      <alignment horizontal="right" vertical="center"/>
    </xf>
    <xf numFmtId="0" fontId="5" fillId="0" borderId="49" xfId="0" applyFont="1" applyBorder="1" applyAlignment="1">
      <alignment horizontal="center" vertical="center" wrapText="1"/>
    </xf>
    <xf numFmtId="0" fontId="5" fillId="0" borderId="49" xfId="0" applyFont="1" applyFill="1" applyBorder="1" applyAlignment="1">
      <alignment horizontal="lef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5" fillId="0" borderId="49" xfId="1" quotePrefix="1" applyFont="1" applyFill="1" applyBorder="1" applyAlignment="1">
      <alignment horizontal="left" vertical="center" wrapText="1"/>
    </xf>
    <xf numFmtId="0" fontId="47" fillId="0" borderId="0" xfId="0" applyFont="1" applyAlignment="1">
      <alignment horizontal="left" vertical="top" wrapText="1"/>
    </xf>
    <xf numFmtId="0" fontId="47" fillId="0" borderId="0" xfId="0"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horizontal="left" vertical="top" wrapText="1"/>
    </xf>
    <xf numFmtId="0" fontId="5" fillId="0" borderId="49" xfId="1" quotePrefix="1" applyFont="1" applyBorder="1" applyAlignment="1">
      <alignment horizontal="center" vertical="center" wrapText="1"/>
    </xf>
    <xf numFmtId="0" fontId="6" fillId="0" borderId="0" xfId="0" applyFont="1" applyFill="1" applyAlignment="1">
      <alignment horizontal="center" vertical="center"/>
    </xf>
    <xf numFmtId="0" fontId="49" fillId="0" borderId="49" xfId="0" applyFont="1" applyBorder="1" applyAlignment="1">
      <alignment horizontal="center" vertical="center" wrapText="1"/>
    </xf>
    <xf numFmtId="0" fontId="4" fillId="0" borderId="0" xfId="0" applyFont="1" applyFill="1" applyAlignment="1">
      <alignment horizontal="center"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right"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7" fillId="0" borderId="49" xfId="0" applyFont="1" applyBorder="1" applyAlignment="1">
      <alignment horizontal="center" vertical="center"/>
    </xf>
    <xf numFmtId="0" fontId="48" fillId="0" borderId="0" xfId="1" applyFont="1" applyAlignment="1">
      <alignment horizontal="left" vertical="center"/>
    </xf>
    <xf numFmtId="0" fontId="9" fillId="0" borderId="49" xfId="0" applyFont="1" applyBorder="1" applyAlignment="1">
      <alignment horizontal="center" vertical="top" wrapText="1"/>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0" fontId="5" fillId="0" borderId="0" xfId="1" applyFont="1" applyFill="1" applyAlignment="1">
      <alignment horizontal="left" vertical="center"/>
    </xf>
    <xf numFmtId="14" fontId="4" fillId="9" borderId="49" xfId="0" applyNumberFormat="1" applyFont="1" applyFill="1" applyBorder="1" applyAlignment="1">
      <alignment horizontal="center" vertical="center"/>
    </xf>
    <xf numFmtId="14" fontId="5" fillId="0" borderId="0" xfId="0" quotePrefix="1" applyNumberFormat="1" applyFont="1" applyFill="1" applyAlignment="1">
      <alignment horizontal="center"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12345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276732</xdr:colOff>
      <xdr:row>0</xdr:row>
      <xdr:rowOff>95854</xdr:rowOff>
    </xdr:from>
    <xdr:to>
      <xdr:col>19</xdr:col>
      <xdr:colOff>205014</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145938"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95250</xdr:rowOff>
        </xdr:from>
        <xdr:to>
          <xdr:col>22</xdr:col>
          <xdr:colOff>647700</xdr:colOff>
          <xdr:row>0</xdr:row>
          <xdr:rowOff>590550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377585</xdr:colOff>
      <xdr:row>0</xdr:row>
      <xdr:rowOff>95855</xdr:rowOff>
    </xdr:from>
    <xdr:to>
      <xdr:col>19</xdr:col>
      <xdr:colOff>1255059</xdr:colOff>
      <xdr:row>0</xdr:row>
      <xdr:rowOff>548314</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232909" y="95855"/>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6224</xdr:colOff>
      <xdr:row>6</xdr:row>
      <xdr:rowOff>89760</xdr:rowOff>
    </xdr:from>
    <xdr:to>
      <xdr:col>13</xdr:col>
      <xdr:colOff>168729</xdr:colOff>
      <xdr:row>10</xdr:row>
      <xdr:rowOff>343147</xdr:rowOff>
    </xdr:to>
    <xdr:pic>
      <xdr:nvPicPr>
        <xdr:cNvPr id="5" name="anh_the"/>
        <xdr:cNvPicPr>
          <a:picLocks noChangeAspect="1"/>
        </xdr:cNvPicPr>
      </xdr:nvPicPr>
      <xdr:blipFill>
        <a:blip xmlns:r="http://schemas.openxmlformats.org/officeDocument/2006/relationships" r:link="rId1"/>
        <a:stretch>
          <a:fillRect/>
        </a:stretch>
      </xdr:blipFill>
      <xdr:spPr>
        <a:xfrm>
          <a:off x="4987799" y="1870935"/>
          <a:ext cx="1067380" cy="1072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4" sqref="B4"/>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9" t="s">
        <v>88</v>
      </c>
      <c r="C2" s="420"/>
      <c r="D2" s="421"/>
      <c r="E2" s="85"/>
    </row>
    <row r="3" spans="1:5" ht="27.75" customHeight="1" thickTop="1">
      <c r="A3" s="146"/>
      <c r="B3" s="274" t="s">
        <v>89</v>
      </c>
      <c r="C3" s="151" t="s">
        <v>215</v>
      </c>
      <c r="D3" s="152" t="s">
        <v>248</v>
      </c>
      <c r="E3" s="16"/>
    </row>
    <row r="4" spans="1:5" ht="27.75" customHeight="1">
      <c r="A4" s="146"/>
      <c r="B4" s="311" t="s">
        <v>91</v>
      </c>
      <c r="C4" s="422" t="s">
        <v>176</v>
      </c>
      <c r="D4" s="425" t="s">
        <v>216</v>
      </c>
      <c r="E4" s="16"/>
    </row>
    <row r="5" spans="1:5" ht="27.75" customHeight="1">
      <c r="A5" s="146"/>
      <c r="B5" s="312" t="s">
        <v>164</v>
      </c>
      <c r="C5" s="423"/>
      <c r="D5" s="426"/>
      <c r="E5" s="16"/>
    </row>
    <row r="6" spans="1:5" ht="27.75" customHeight="1">
      <c r="A6" s="146"/>
      <c r="B6" s="312" t="s">
        <v>693</v>
      </c>
      <c r="C6" s="423"/>
      <c r="D6" s="426"/>
      <c r="E6" s="16"/>
    </row>
    <row r="7" spans="1:5" ht="26.25" customHeight="1">
      <c r="A7" s="147"/>
      <c r="B7" s="312" t="s">
        <v>694</v>
      </c>
      <c r="C7" s="423"/>
      <c r="D7" s="426"/>
      <c r="E7" s="16"/>
    </row>
    <row r="8" spans="1:5" ht="29.25" customHeight="1">
      <c r="A8" s="147"/>
      <c r="B8" s="313" t="s">
        <v>695</v>
      </c>
      <c r="C8" s="424"/>
      <c r="D8" s="427"/>
      <c r="E8" s="16"/>
    </row>
    <row r="9" spans="1:5" ht="18" customHeight="1">
      <c r="A9" s="16"/>
      <c r="B9" s="431" t="s">
        <v>692</v>
      </c>
      <c r="C9" s="432"/>
      <c r="D9" s="428"/>
      <c r="E9" s="16"/>
    </row>
    <row r="10" spans="1:5" ht="18" customHeight="1">
      <c r="A10" s="16"/>
      <c r="B10" s="431"/>
      <c r="C10" s="433"/>
      <c r="D10" s="429"/>
      <c r="E10" s="16"/>
    </row>
    <row r="11" spans="1:5" ht="18" customHeight="1">
      <c r="A11" s="16"/>
      <c r="B11" s="431"/>
      <c r="C11" s="433"/>
      <c r="D11" s="429"/>
      <c r="E11" s="16"/>
    </row>
    <row r="12" spans="1:5" ht="18" customHeight="1">
      <c r="A12" s="16"/>
      <c r="B12" s="431"/>
      <c r="C12" s="433"/>
      <c r="D12" s="429"/>
      <c r="E12" s="16"/>
    </row>
    <row r="13" spans="1:5" ht="18" customHeight="1">
      <c r="A13" s="16"/>
      <c r="B13" s="431"/>
      <c r="C13" s="433"/>
      <c r="D13" s="429"/>
      <c r="E13" s="16"/>
    </row>
    <row r="14" spans="1:5" ht="18" customHeight="1">
      <c r="A14" s="16"/>
      <c r="B14" s="431"/>
      <c r="C14" s="433"/>
      <c r="D14" s="429"/>
      <c r="E14" s="16"/>
    </row>
    <row r="15" spans="1:5" ht="23.25" customHeight="1">
      <c r="A15" s="16"/>
      <c r="B15" s="434"/>
      <c r="C15" s="435"/>
      <c r="D15" s="430"/>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7" sqref="F7"/>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4" customWidth="1"/>
    <col min="7" max="7" width="21" style="114"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4"/>
      <c r="G1" s="154"/>
      <c r="H1" s="153"/>
      <c r="I1" s="153"/>
      <c r="J1" s="153"/>
      <c r="K1" s="153"/>
      <c r="L1" s="153"/>
      <c r="M1" s="153"/>
      <c r="N1" s="154"/>
      <c r="O1" s="154"/>
      <c r="V1" s="232"/>
      <c r="W1" s="157"/>
      <c r="X1" s="157"/>
    </row>
    <row r="2" spans="1:76" ht="29.25" customHeight="1">
      <c r="A2" s="443" t="s">
        <v>90</v>
      </c>
      <c r="B2" s="443"/>
      <c r="C2" s="443"/>
      <c r="D2" s="443"/>
      <c r="E2" s="443"/>
      <c r="F2" s="443"/>
      <c r="G2" s="443"/>
      <c r="H2" s="443"/>
      <c r="I2" s="443"/>
      <c r="J2" s="443"/>
      <c r="K2" s="443"/>
      <c r="L2" s="443"/>
      <c r="M2" s="443"/>
      <c r="N2" s="443"/>
      <c r="O2" s="443"/>
      <c r="V2" s="233"/>
      <c r="W2" s="159"/>
      <c r="X2" s="159"/>
      <c r="Y2" s="160"/>
      <c r="Z2" s="160"/>
      <c r="AA2" s="244"/>
    </row>
    <row r="3" spans="1:76" ht="19.149999999999999" customHeight="1">
      <c r="A3" s="437" t="s">
        <v>0</v>
      </c>
      <c r="B3" s="444" t="s">
        <v>463</v>
      </c>
      <c r="C3" s="444" t="s">
        <v>464</v>
      </c>
      <c r="D3" s="444" t="s">
        <v>155</v>
      </c>
      <c r="E3" s="444" t="s">
        <v>482</v>
      </c>
      <c r="F3" s="446" t="s">
        <v>480</v>
      </c>
      <c r="G3" s="446" t="s">
        <v>481</v>
      </c>
      <c r="H3" s="446" t="s">
        <v>10</v>
      </c>
      <c r="I3" s="436" t="s">
        <v>112</v>
      </c>
      <c r="J3" s="446" t="s">
        <v>465</v>
      </c>
      <c r="K3" s="448" t="s">
        <v>1</v>
      </c>
      <c r="L3" s="438" t="s">
        <v>466</v>
      </c>
      <c r="M3" s="439"/>
      <c r="N3" s="439"/>
      <c r="O3" s="439"/>
      <c r="P3" s="439"/>
      <c r="Q3" s="439"/>
      <c r="R3" s="440"/>
      <c r="S3" s="441" t="s">
        <v>3</v>
      </c>
      <c r="T3" s="442"/>
      <c r="U3" s="436" t="s">
        <v>487</v>
      </c>
      <c r="V3" s="436" t="s">
        <v>467</v>
      </c>
      <c r="W3" s="446" t="s">
        <v>468</v>
      </c>
      <c r="X3" s="446" t="s">
        <v>95</v>
      </c>
      <c r="Y3" s="446" t="s">
        <v>111</v>
      </c>
      <c r="Z3" s="450" t="s">
        <v>469</v>
      </c>
      <c r="AA3" s="446" t="s">
        <v>160</v>
      </c>
      <c r="AB3" s="446" t="s">
        <v>470</v>
      </c>
      <c r="AC3" s="446" t="s">
        <v>472</v>
      </c>
      <c r="AD3" s="446" t="s">
        <v>488</v>
      </c>
      <c r="AE3" s="446" t="s">
        <v>471</v>
      </c>
      <c r="AF3" s="444" t="s">
        <v>489</v>
      </c>
      <c r="AG3" s="446" t="s">
        <v>116</v>
      </c>
      <c r="AH3" s="446" t="s">
        <v>474</v>
      </c>
    </row>
    <row r="4" spans="1:76" ht="46.5" customHeight="1">
      <c r="A4" s="437"/>
      <c r="B4" s="445"/>
      <c r="C4" s="445"/>
      <c r="D4" s="445"/>
      <c r="E4" s="445"/>
      <c r="F4" s="445"/>
      <c r="G4" s="445"/>
      <c r="H4" s="447"/>
      <c r="I4" s="437"/>
      <c r="J4" s="447"/>
      <c r="K4" s="449"/>
      <c r="L4" s="195" t="s">
        <v>475</v>
      </c>
      <c r="M4" s="195" t="s">
        <v>483</v>
      </c>
      <c r="N4" s="240" t="s">
        <v>476</v>
      </c>
      <c r="O4" s="195" t="s">
        <v>484</v>
      </c>
      <c r="P4" s="241" t="s">
        <v>477</v>
      </c>
      <c r="Q4" s="196" t="s">
        <v>485</v>
      </c>
      <c r="R4" s="196" t="s">
        <v>486</v>
      </c>
      <c r="S4" s="224" t="s">
        <v>478</v>
      </c>
      <c r="T4" s="224" t="s">
        <v>479</v>
      </c>
      <c r="U4" s="437"/>
      <c r="V4" s="437"/>
      <c r="W4" s="447"/>
      <c r="X4" s="447"/>
      <c r="Y4" s="447"/>
      <c r="Z4" s="451"/>
      <c r="AA4" s="447"/>
      <c r="AB4" s="447"/>
      <c r="AC4" s="447"/>
      <c r="AD4" s="445"/>
      <c r="AE4" s="447"/>
      <c r="AF4" s="445"/>
      <c r="AG4" s="445"/>
      <c r="AH4" s="445"/>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123456</v>
      </c>
      <c r="C7" s="235">
        <v>321312</v>
      </c>
      <c r="D7" s="415">
        <v>456498</v>
      </c>
      <c r="E7" s="416">
        <v>123213</v>
      </c>
      <c r="F7" s="235" t="s">
        <v>736</v>
      </c>
      <c r="G7" s="235" t="s">
        <v>736</v>
      </c>
      <c r="H7" s="235" t="s">
        <v>6</v>
      </c>
      <c r="I7" s="235" t="s">
        <v>533</v>
      </c>
      <c r="J7" s="235" t="s">
        <v>120</v>
      </c>
      <c r="K7" s="207">
        <v>34700</v>
      </c>
      <c r="L7" s="207">
        <v>34700</v>
      </c>
      <c r="M7" s="235" t="s">
        <v>686</v>
      </c>
      <c r="N7" s="207">
        <v>34700</v>
      </c>
      <c r="O7" s="418">
        <v>0</v>
      </c>
      <c r="P7" s="207">
        <v>34700</v>
      </c>
      <c r="Q7" s="207">
        <v>34700</v>
      </c>
      <c r="R7" s="207">
        <v>34700</v>
      </c>
      <c r="S7" s="207" t="s">
        <v>737</v>
      </c>
      <c r="T7" s="207" t="s">
        <v>492</v>
      </c>
      <c r="U7" s="207" t="s">
        <v>338</v>
      </c>
      <c r="V7" s="208" t="s">
        <v>258</v>
      </c>
      <c r="W7" s="208" t="s">
        <v>510</v>
      </c>
      <c r="X7" s="208" t="s">
        <v>219</v>
      </c>
      <c r="Y7" s="208" t="s">
        <v>110</v>
      </c>
      <c r="Z7" s="208" t="s">
        <v>738</v>
      </c>
      <c r="AA7" s="208" t="s">
        <v>152</v>
      </c>
      <c r="AB7" s="204">
        <v>0</v>
      </c>
      <c r="AC7" s="204" t="s">
        <v>739</v>
      </c>
      <c r="AD7" s="204" t="s">
        <v>148</v>
      </c>
      <c r="AE7" s="204" t="s">
        <v>128</v>
      </c>
      <c r="AF7" s="204" t="s">
        <v>152</v>
      </c>
      <c r="AG7" s="204" t="s">
        <v>686</v>
      </c>
      <c r="AH7" s="204" t="s">
        <v>686</v>
      </c>
      <c r="AI7" s="211"/>
      <c r="AJ7" s="211">
        <f t="shared" ref="AJ7:AJ45" ca="1" si="1">IF(TRIM(K7)&lt;&gt;"",DATEDIF(K7,TODAY(),"y"),0)</f>
        <v>26</v>
      </c>
      <c r="AK7" s="211">
        <f t="shared" ref="AK7:AK45" ca="1" si="2">IF(TRIM(P7)&lt;&gt;"",DATEDIF(P7,TODAY(),"m"),0)</f>
        <v>318</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170608</v>
      </c>
      <c r="C8" s="235">
        <v>79461356</v>
      </c>
      <c r="D8" s="415">
        <v>142678615</v>
      </c>
      <c r="E8" s="416">
        <v>13265478</v>
      </c>
      <c r="F8" s="235" t="s">
        <v>732</v>
      </c>
      <c r="G8" s="235" t="s">
        <v>732</v>
      </c>
      <c r="H8" s="235" t="s">
        <v>6</v>
      </c>
      <c r="I8" s="235" t="s">
        <v>532</v>
      </c>
      <c r="J8" s="235" t="s">
        <v>120</v>
      </c>
      <c r="K8" s="207">
        <v>35001</v>
      </c>
      <c r="L8" s="207">
        <v>36892</v>
      </c>
      <c r="M8" s="235" t="s">
        <v>683</v>
      </c>
      <c r="N8" s="207">
        <v>36893</v>
      </c>
      <c r="O8" s="207" t="s">
        <v>683</v>
      </c>
      <c r="P8" s="207">
        <v>36894</v>
      </c>
      <c r="Q8" s="207">
        <v>36895</v>
      </c>
      <c r="R8" s="207">
        <v>36896</v>
      </c>
      <c r="S8" s="207" t="s">
        <v>734</v>
      </c>
      <c r="T8" s="207" t="s">
        <v>492</v>
      </c>
      <c r="U8" s="207" t="s">
        <v>337</v>
      </c>
      <c r="V8" s="208" t="s">
        <v>257</v>
      </c>
      <c r="W8" s="208" t="s">
        <v>510</v>
      </c>
      <c r="X8" s="208" t="s">
        <v>219</v>
      </c>
      <c r="Y8" s="208" t="s">
        <v>110</v>
      </c>
      <c r="Z8" s="208" t="s">
        <v>548</v>
      </c>
      <c r="AA8" s="208" t="s">
        <v>4</v>
      </c>
      <c r="AB8" s="204">
        <v>0</v>
      </c>
      <c r="AC8" s="204" t="s">
        <v>735</v>
      </c>
      <c r="AD8" s="204" t="s">
        <v>148</v>
      </c>
      <c r="AE8" s="204" t="s">
        <v>127</v>
      </c>
      <c r="AF8" s="204" t="s">
        <v>151</v>
      </c>
      <c r="AG8" s="204" t="s">
        <v>686</v>
      </c>
      <c r="AH8" s="204" t="s">
        <v>686</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v>920016</v>
      </c>
      <c r="C9" s="235">
        <v>77194808</v>
      </c>
      <c r="D9" s="235">
        <v>111111</v>
      </c>
      <c r="E9" s="204">
        <v>22222</v>
      </c>
      <c r="F9" s="235" t="s">
        <v>549</v>
      </c>
      <c r="G9" s="235" t="s">
        <v>549</v>
      </c>
      <c r="H9" s="235" t="s">
        <v>6</v>
      </c>
      <c r="I9" s="235" t="s">
        <v>545</v>
      </c>
      <c r="J9" s="235" t="s">
        <v>121</v>
      </c>
      <c r="K9" s="207">
        <v>30339</v>
      </c>
      <c r="L9" s="207">
        <v>38236</v>
      </c>
      <c r="M9" s="235" t="s">
        <v>565</v>
      </c>
      <c r="N9" s="207">
        <v>38601</v>
      </c>
      <c r="O9" s="207" t="s">
        <v>566</v>
      </c>
      <c r="P9" s="207">
        <v>37531</v>
      </c>
      <c r="Q9" s="207">
        <v>39083</v>
      </c>
      <c r="R9" s="207"/>
      <c r="S9" s="207" t="s">
        <v>550</v>
      </c>
      <c r="T9" s="207" t="s">
        <v>135</v>
      </c>
      <c r="U9" s="207" t="s">
        <v>348</v>
      </c>
      <c r="V9" s="208" t="s">
        <v>266</v>
      </c>
      <c r="W9" s="208" t="s">
        <v>511</v>
      </c>
      <c r="X9" s="208" t="s">
        <v>219</v>
      </c>
      <c r="Y9" s="208" t="s">
        <v>110</v>
      </c>
      <c r="Z9" s="208" t="s">
        <v>548</v>
      </c>
      <c r="AA9" s="208" t="s">
        <v>15</v>
      </c>
      <c r="AB9" s="204" t="s">
        <v>15</v>
      </c>
      <c r="AC9" s="204" t="s">
        <v>149</v>
      </c>
      <c r="AD9" s="204" t="s">
        <v>15</v>
      </c>
      <c r="AE9" s="204" t="s">
        <v>551</v>
      </c>
      <c r="AF9" s="204"/>
      <c r="AG9" s="204" t="s">
        <v>552</v>
      </c>
      <c r="AH9" s="204" t="s">
        <v>553</v>
      </c>
      <c r="AI9" s="211"/>
      <c r="AJ9" s="93">
        <f t="shared" ca="1" si="1"/>
        <v>38</v>
      </c>
      <c r="AK9" s="93">
        <f t="shared" ca="1" si="2"/>
        <v>225</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35"/>
      <c r="G10" s="235"/>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35"/>
      <c r="G11" s="235"/>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35"/>
      <c r="G12" s="235"/>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35"/>
      <c r="G13" s="235"/>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35"/>
      <c r="G14" s="235"/>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35"/>
      <c r="G15" s="235"/>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35"/>
      <c r="G16" s="235"/>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35"/>
      <c r="G17" s="235"/>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35"/>
      <c r="G18" s="235"/>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35"/>
      <c r="G19" s="235"/>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35"/>
      <c r="G20" s="235"/>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35"/>
      <c r="G21" s="235"/>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35"/>
      <c r="G22" s="235"/>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35"/>
      <c r="G23" s="235"/>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35"/>
      <c r="G24" s="235"/>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35"/>
      <c r="G25" s="235"/>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35"/>
      <c r="G26" s="235"/>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35"/>
      <c r="G27" s="235"/>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35"/>
      <c r="G28" s="235"/>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35"/>
      <c r="G29" s="235"/>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35"/>
      <c r="G30" s="235"/>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35"/>
      <c r="G31" s="235"/>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35"/>
      <c r="G32" s="235"/>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35"/>
      <c r="G33" s="235"/>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35"/>
      <c r="G34" s="235"/>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35"/>
      <c r="G35" s="235"/>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35"/>
      <c r="G36" s="235"/>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35"/>
      <c r="G37" s="235"/>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35"/>
      <c r="G38" s="235"/>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35"/>
      <c r="G39" s="235"/>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35"/>
      <c r="G40" s="235"/>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35"/>
      <c r="G41" s="235"/>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35"/>
      <c r="G42" s="235"/>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35"/>
      <c r="G43" s="235"/>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35"/>
      <c r="G44" s="235"/>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35"/>
      <c r="G45" s="235"/>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35"/>
      <c r="G46" s="235"/>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35"/>
      <c r="G47" s="235"/>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35"/>
      <c r="G48" s="235"/>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35"/>
      <c r="G49" s="235"/>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35"/>
      <c r="G50" s="235"/>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35"/>
      <c r="G51" s="235"/>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35"/>
      <c r="G52" s="235"/>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35"/>
      <c r="G53" s="235"/>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35"/>
      <c r="G54" s="235"/>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35"/>
      <c r="G55" s="235"/>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35"/>
      <c r="G56" s="235"/>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35"/>
      <c r="G57" s="235"/>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35"/>
      <c r="G58" s="235"/>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35"/>
      <c r="G59" s="235"/>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35"/>
      <c r="G60" s="235"/>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4"/>
      <c r="G61" s="314"/>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35"/>
      <c r="G62" s="235"/>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35"/>
      <c r="G63" s="235"/>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35"/>
      <c r="G64" s="235"/>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35"/>
      <c r="G65" s="235"/>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35"/>
      <c r="G66" s="235"/>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35"/>
      <c r="G67" s="235"/>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35"/>
      <c r="G68" s="235"/>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35"/>
      <c r="G69" s="235"/>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35"/>
      <c r="G70" s="235"/>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35"/>
      <c r="G71" s="235"/>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35"/>
      <c r="G72" s="235"/>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35"/>
      <c r="G73" s="235"/>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35"/>
      <c r="G74" s="235"/>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35"/>
      <c r="G75" s="235"/>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35"/>
      <c r="G76" s="235"/>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35"/>
      <c r="G77" s="235"/>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35"/>
      <c r="G78" s="235"/>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35"/>
      <c r="G79" s="235"/>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35"/>
      <c r="G80" s="235"/>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35"/>
      <c r="G81" s="235"/>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35"/>
      <c r="G82" s="235"/>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35"/>
      <c r="G83" s="235"/>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35"/>
      <c r="G84" s="235"/>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35"/>
      <c r="G85" s="235"/>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35"/>
      <c r="G86" s="235"/>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35"/>
      <c r="G87" s="235"/>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35"/>
      <c r="G88" s="235"/>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35"/>
      <c r="G89" s="235"/>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35"/>
      <c r="G90" s="235"/>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35"/>
      <c r="G91" s="235"/>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35"/>
      <c r="G92" s="235"/>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35"/>
      <c r="G93" s="235"/>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35"/>
      <c r="G94" s="235"/>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35"/>
      <c r="G95" s="235"/>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35"/>
      <c r="G96" s="235"/>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35"/>
      <c r="G97" s="235"/>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35"/>
      <c r="G98" s="235"/>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35"/>
      <c r="G99" s="235"/>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35"/>
      <c r="G100" s="235"/>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35"/>
      <c r="G101" s="235"/>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35"/>
      <c r="G102" s="235"/>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35"/>
      <c r="G103" s="235"/>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35"/>
      <c r="G104" s="235"/>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35"/>
      <c r="G105" s="235"/>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35"/>
      <c r="G106" s="235"/>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35"/>
      <c r="G107" s="235"/>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35"/>
      <c r="G108" s="235"/>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35"/>
      <c r="G109" s="235"/>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35"/>
      <c r="G110" s="235"/>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35"/>
      <c r="G111" s="235"/>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35"/>
      <c r="G112" s="235"/>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35"/>
      <c r="G113" s="235"/>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35"/>
      <c r="G114" s="235"/>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35"/>
      <c r="G115" s="235"/>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35"/>
      <c r="G116" s="235"/>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35"/>
      <c r="G117" s="235"/>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35"/>
      <c r="G118" s="235"/>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35"/>
      <c r="G119" s="235"/>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35"/>
      <c r="G120" s="235"/>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35"/>
      <c r="G121" s="235"/>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35"/>
      <c r="G122" s="235"/>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35"/>
      <c r="G123" s="235"/>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35"/>
      <c r="G124" s="235"/>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35"/>
      <c r="G125" s="235"/>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35"/>
      <c r="G126" s="235"/>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35"/>
      <c r="G127" s="235"/>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35"/>
      <c r="G128" s="235"/>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35"/>
      <c r="G129" s="235"/>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35"/>
      <c r="G130" s="235"/>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35"/>
      <c r="G131" s="235"/>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35"/>
      <c r="G132" s="235"/>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35"/>
      <c r="G133" s="235"/>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35"/>
      <c r="G134" s="235"/>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35"/>
      <c r="G135" s="235"/>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35"/>
      <c r="G136" s="235"/>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35"/>
      <c r="G137" s="235"/>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35"/>
      <c r="G138" s="235"/>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35"/>
      <c r="G139" s="235"/>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35"/>
      <c r="G140" s="235"/>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35"/>
      <c r="G141" s="235"/>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35"/>
      <c r="G142" s="235"/>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35"/>
      <c r="G143" s="235"/>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35"/>
      <c r="G144" s="235"/>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35"/>
      <c r="G145" s="235"/>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35"/>
      <c r="G146" s="235"/>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35"/>
      <c r="G147" s="235"/>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35"/>
      <c r="G148" s="235"/>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35"/>
      <c r="G149" s="235"/>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35"/>
      <c r="G150" s="235"/>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35"/>
      <c r="G151" s="235"/>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35"/>
      <c r="G152" s="235"/>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35"/>
      <c r="G153" s="235"/>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35"/>
      <c r="G154" s="235"/>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35"/>
      <c r="G155" s="235"/>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35"/>
      <c r="G156" s="235"/>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35"/>
      <c r="G157" s="235"/>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35"/>
      <c r="G158" s="235"/>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35"/>
      <c r="G159" s="235"/>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35"/>
      <c r="G160" s="235"/>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35"/>
      <c r="G161" s="235"/>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35"/>
      <c r="G162" s="235"/>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35"/>
      <c r="G163" s="235"/>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35"/>
      <c r="G164" s="235"/>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35"/>
      <c r="G165" s="235"/>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35"/>
      <c r="G166" s="235"/>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35"/>
      <c r="G167" s="235"/>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35"/>
      <c r="G168" s="235"/>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35"/>
      <c r="G169" s="235"/>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35"/>
      <c r="G170" s="235"/>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35"/>
      <c r="G171" s="235"/>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35"/>
      <c r="G172" s="235"/>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35"/>
      <c r="G173" s="235"/>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35"/>
      <c r="G174" s="235"/>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35"/>
      <c r="G175" s="235"/>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35"/>
      <c r="G176" s="235"/>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35"/>
      <c r="G177" s="235"/>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35"/>
      <c r="G178" s="235"/>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35"/>
      <c r="G179" s="235"/>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35"/>
      <c r="G180" s="235"/>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35"/>
      <c r="G181" s="235"/>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35"/>
      <c r="G182" s="235"/>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35"/>
      <c r="G183" s="235"/>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35"/>
      <c r="G184" s="235"/>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35"/>
      <c r="G185" s="235"/>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35"/>
      <c r="G186" s="235"/>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35"/>
      <c r="G187" s="235"/>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35"/>
      <c r="G188" s="235"/>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35"/>
      <c r="G189" s="235"/>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35"/>
      <c r="G190" s="235"/>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35"/>
      <c r="G191" s="235"/>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35"/>
      <c r="G192" s="235"/>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35"/>
      <c r="G193" s="235"/>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35"/>
      <c r="G194" s="235"/>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35"/>
      <c r="G195" s="235"/>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35"/>
      <c r="G196" s="235"/>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35"/>
      <c r="G197" s="235"/>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35"/>
      <c r="G198" s="235"/>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35"/>
      <c r="G199" s="235"/>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35"/>
      <c r="G200" s="235"/>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35"/>
      <c r="G201" s="235"/>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35"/>
      <c r="G202" s="235"/>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35"/>
      <c r="G203" s="235"/>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35"/>
      <c r="G204" s="235"/>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35"/>
      <c r="G205" s="235"/>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35"/>
      <c r="G206" s="235"/>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35"/>
      <c r="G207" s="235"/>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35"/>
      <c r="G208" s="235"/>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35"/>
      <c r="G209" s="235"/>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35"/>
      <c r="G210" s="235"/>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35"/>
      <c r="G211" s="235"/>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35"/>
      <c r="G212" s="235"/>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35"/>
      <c r="G213" s="235"/>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35"/>
      <c r="G214" s="235"/>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35"/>
      <c r="G215" s="235"/>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236"/>
      <c r="G216" s="236"/>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236"/>
      <c r="G217" s="236"/>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236"/>
      <c r="G218" s="236"/>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236"/>
      <c r="G219" s="236"/>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236"/>
      <c r="G220" s="236"/>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236"/>
      <c r="G221" s="236"/>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236"/>
      <c r="G222" s="236"/>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236"/>
      <c r="G223" s="236"/>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236"/>
      <c r="G224" s="236"/>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236"/>
      <c r="G225" s="236"/>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236"/>
      <c r="G226" s="236"/>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236"/>
      <c r="G227" s="236"/>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236"/>
      <c r="G228" s="236"/>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236"/>
      <c r="G229" s="236"/>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236"/>
      <c r="G230" s="236"/>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236"/>
      <c r="G231" s="236"/>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236"/>
      <c r="G232" s="236"/>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236"/>
      <c r="G233" s="236"/>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236"/>
      <c r="G234" s="236"/>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236"/>
      <c r="G235" s="236"/>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I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2" activePane="bottomLeft" state="frozen"/>
      <selection activeCell="C13" sqref="C13"/>
      <selection pane="bottomLeft" activeCell="A2" sqref="A2"/>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4" t="s">
        <v>205</v>
      </c>
      <c r="B1" s="474"/>
      <c r="C1" s="474"/>
      <c r="D1" s="474"/>
      <c r="E1" s="474"/>
      <c r="F1" s="474"/>
      <c r="G1" s="474"/>
      <c r="H1" s="474"/>
      <c r="I1" s="474"/>
      <c r="J1" s="474"/>
      <c r="K1" s="474"/>
      <c r="L1" s="474"/>
      <c r="M1" s="474"/>
      <c r="N1" s="474"/>
      <c r="O1" s="474"/>
      <c r="P1" s="474"/>
      <c r="Q1" s="474"/>
      <c r="R1" s="474"/>
      <c r="U1" s="239" t="s">
        <v>555</v>
      </c>
    </row>
    <row r="2" spans="1:21" ht="17.25" customHeight="1">
      <c r="A2" s="144"/>
      <c r="B2" s="490" t="s">
        <v>206</v>
      </c>
      <c r="C2" s="490"/>
      <c r="D2" s="490"/>
      <c r="E2" s="138"/>
      <c r="F2" s="138"/>
      <c r="G2" s="138"/>
      <c r="H2" s="239"/>
      <c r="I2" s="141"/>
      <c r="J2" s="141"/>
      <c r="K2" s="141"/>
      <c r="L2" s="141"/>
      <c r="M2" s="141"/>
      <c r="N2" s="141"/>
      <c r="O2" s="141"/>
      <c r="P2" s="141"/>
      <c r="Q2" s="141"/>
      <c r="R2" s="141"/>
    </row>
    <row r="3" spans="1:21" ht="17.25" customHeight="1">
      <c r="A3" s="144"/>
      <c r="B3" s="261" t="s">
        <v>251</v>
      </c>
      <c r="C3" s="490" t="s">
        <v>509</v>
      </c>
      <c r="D3" s="490"/>
      <c r="F3" s="223" t="s">
        <v>207</v>
      </c>
      <c r="G3" s="171"/>
      <c r="H3" s="221" t="str">
        <f>MID(U3,1,1)</f>
        <v>1</v>
      </c>
      <c r="I3" s="221" t="str">
        <f>MID(U3,2,1)</f>
        <v>2</v>
      </c>
      <c r="J3" s="221" t="str">
        <f>MID(U3,3,1)</f>
        <v>3</v>
      </c>
      <c r="K3" s="221" t="str">
        <f>MID(U3,4,1)</f>
        <v>4</v>
      </c>
      <c r="L3" s="221" t="str">
        <f>MID(U3,5,1)</f>
        <v>5</v>
      </c>
      <c r="M3" s="221" t="str">
        <f>MID(U3,6,1)</f>
        <v>6</v>
      </c>
      <c r="N3" s="222"/>
      <c r="O3" s="221" t="s">
        <v>506</v>
      </c>
      <c r="P3" s="221" t="s">
        <v>507</v>
      </c>
      <c r="Q3" s="221" t="s">
        <v>508</v>
      </c>
      <c r="R3" s="222"/>
      <c r="T3" s="139" t="s">
        <v>207</v>
      </c>
      <c r="U3" s="220">
        <f>IF($D$15="","",INDEX(DSDV!$B$7:$B$216,MATCH($D$15,DSDV!$G$7:$G$216,0)))</f>
        <v>123456</v>
      </c>
    </row>
    <row r="4" spans="1:21" ht="17.25" customHeight="1">
      <c r="A4" s="144"/>
      <c r="B4" s="491" t="s">
        <v>210</v>
      </c>
      <c r="C4" s="491"/>
      <c r="D4" s="491"/>
      <c r="F4" s="6"/>
      <c r="G4" s="6"/>
      <c r="I4" s="6"/>
      <c r="J4" s="6"/>
      <c r="K4" s="6"/>
      <c r="L4" s="6"/>
      <c r="M4" s="6"/>
      <c r="N4" s="6"/>
      <c r="O4" s="6"/>
      <c r="P4" s="6"/>
      <c r="Q4" s="6"/>
      <c r="R4" s="6"/>
      <c r="T4" s="139" t="s">
        <v>208</v>
      </c>
      <c r="U4" s="148">
        <f>IF($D$15="","",INDEX(DSDV!$C$7:$C$216,MATCH($D$15,DSDV!$G$7:$G$216,0)))</f>
        <v>321312</v>
      </c>
    </row>
    <row r="5" spans="1:21" ht="17.25" customHeight="1">
      <c r="A5" s="144"/>
      <c r="B5" s="261" t="s">
        <v>251</v>
      </c>
      <c r="C5" s="490"/>
      <c r="D5" s="490"/>
      <c r="F5" s="471" t="s">
        <v>208</v>
      </c>
      <c r="G5" s="471"/>
      <c r="I5" s="221" t="str">
        <f>MID(U4,1,1)</f>
        <v>3</v>
      </c>
      <c r="J5" s="221" t="str">
        <f>MID(U4,2,1)</f>
        <v>2</v>
      </c>
      <c r="K5" s="171"/>
      <c r="L5" s="221" t="str">
        <f>MID(U4,3,1)</f>
        <v>1</v>
      </c>
      <c r="M5" s="221" t="str">
        <f>MID(U4,4,1)</f>
        <v>3</v>
      </c>
      <c r="N5" s="221" t="str">
        <f>MID(U4,5,1)</f>
        <v>1</v>
      </c>
      <c r="O5" s="221" t="str">
        <f>MID(U4,6,1)</f>
        <v>2</v>
      </c>
      <c r="P5" s="221" t="str">
        <f>MID(U4,7,1)</f>
        <v/>
      </c>
      <c r="Q5" s="221" t="str">
        <f>MID(U4,8,1)</f>
        <v/>
      </c>
      <c r="R5" s="261"/>
    </row>
    <row r="6" spans="1:21" ht="17.25" customHeight="1">
      <c r="A6" s="144" t="s">
        <v>209</v>
      </c>
      <c r="B6" s="491" t="s">
        <v>211</v>
      </c>
      <c r="C6" s="491"/>
      <c r="D6" s="491"/>
      <c r="E6" s="138"/>
      <c r="F6" s="138"/>
      <c r="G6" s="138"/>
      <c r="H6" s="138"/>
      <c r="I6" s="141"/>
      <c r="J6" s="141"/>
      <c r="K6" s="141"/>
      <c r="L6" s="141"/>
      <c r="M6" s="141"/>
      <c r="N6" s="141"/>
      <c r="O6" s="141"/>
      <c r="P6" s="141"/>
      <c r="Q6" s="141"/>
      <c r="R6" s="141"/>
    </row>
    <row r="7" spans="1:21" ht="17.25" customHeight="1">
      <c r="A7" s="144"/>
      <c r="B7" s="491" t="s">
        <v>212</v>
      </c>
      <c r="C7" s="491"/>
      <c r="D7" s="491"/>
      <c r="E7" s="138"/>
      <c r="F7" s="138"/>
      <c r="G7" s="138"/>
      <c r="H7" s="138"/>
      <c r="I7" s="141"/>
      <c r="J7" s="141"/>
      <c r="K7" s="141"/>
      <c r="L7" s="141"/>
      <c r="M7" s="141"/>
      <c r="N7" s="141"/>
      <c r="O7" s="141"/>
      <c r="P7" s="141"/>
      <c r="Q7" s="141"/>
      <c r="R7" s="141"/>
    </row>
    <row r="8" spans="1:21" ht="17.25" customHeight="1">
      <c r="A8" s="144"/>
      <c r="B8" s="261" t="str">
        <f>IF($D$15="","",VLOOKUP($D$15,Bang_DSDV,17,0))</f>
        <v>BỘ THAM MƯU</v>
      </c>
      <c r="C8" s="261"/>
      <c r="D8" s="261"/>
      <c r="E8" s="138"/>
      <c r="F8" s="138"/>
      <c r="G8" s="138"/>
      <c r="H8" s="138"/>
      <c r="I8" s="141"/>
      <c r="J8" s="141"/>
      <c r="K8" s="141"/>
      <c r="L8" s="141"/>
      <c r="M8" s="141"/>
      <c r="N8" s="141"/>
      <c r="O8" s="141"/>
      <c r="P8" s="141"/>
      <c r="Q8" s="141"/>
      <c r="R8" s="141"/>
    </row>
    <row r="9" spans="1:21" ht="17.25" customHeight="1">
      <c r="A9" s="144"/>
      <c r="B9" s="491" t="s">
        <v>213</v>
      </c>
      <c r="C9" s="491"/>
      <c r="D9" s="491"/>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Quân huấn - Nhà trường</v>
      </c>
      <c r="D10" s="261"/>
      <c r="E10" s="138"/>
      <c r="F10" s="138"/>
      <c r="G10" s="138"/>
      <c r="H10" s="138"/>
      <c r="I10" s="141"/>
      <c r="J10" s="141"/>
      <c r="K10" s="141"/>
      <c r="L10" s="141"/>
      <c r="M10" s="141"/>
      <c r="N10" s="141"/>
      <c r="O10" s="141"/>
      <c r="P10" s="141"/>
      <c r="Q10" s="141"/>
      <c r="R10" s="141"/>
    </row>
    <row r="11" spans="1:21" ht="30" customHeight="1">
      <c r="B11" s="489" t="s">
        <v>177</v>
      </c>
      <c r="C11" s="489"/>
      <c r="D11" s="489"/>
      <c r="E11" s="489"/>
      <c r="F11" s="489"/>
      <c r="G11" s="489"/>
      <c r="H11" s="489"/>
      <c r="I11" s="489"/>
      <c r="J11" s="489"/>
      <c r="K11" s="489"/>
      <c r="L11" s="489"/>
      <c r="M11" s="489"/>
      <c r="N11" s="489"/>
      <c r="O11" s="489"/>
      <c r="P11" s="489"/>
      <c r="Q11" s="489"/>
      <c r="R11" s="254"/>
    </row>
    <row r="12" spans="1:21" ht="30" customHeight="1">
      <c r="B12" s="489"/>
      <c r="C12" s="489"/>
      <c r="D12" s="489"/>
      <c r="E12" s="489"/>
      <c r="F12" s="489"/>
      <c r="G12" s="489"/>
      <c r="H12" s="489"/>
      <c r="I12" s="489"/>
      <c r="J12" s="489"/>
      <c r="K12" s="489"/>
      <c r="L12" s="489"/>
      <c r="M12" s="489"/>
      <c r="N12" s="489"/>
      <c r="O12" s="489"/>
      <c r="P12" s="489"/>
      <c r="Q12" s="489"/>
      <c r="R12" s="254"/>
    </row>
    <row r="13" spans="1:21" ht="15.75" customHeight="1"/>
    <row r="14" spans="1:21" s="8" customFormat="1" ht="20.25" customHeight="1">
      <c r="A14" s="65"/>
      <c r="B14" s="8" t="s">
        <v>179</v>
      </c>
      <c r="D14" s="142" t="str">
        <f>IF($D$15="","",INDEX(DSDV!$F$7:$F$216,MATCH($D$15,DSDV!$G$7:$G$216,0)))</f>
        <v>Cao Văn Hiệp</v>
      </c>
      <c r="E14" s="142"/>
      <c r="F14" s="142"/>
      <c r="G14" s="475" t="s">
        <v>733</v>
      </c>
      <c r="H14" s="475"/>
      <c r="I14" s="140" t="str">
        <f>IF($D$15="","",VLOOKUP($D$15,Bang_DSDV,2,0))</f>
        <v>Nam</v>
      </c>
      <c r="J14" s="256"/>
      <c r="K14" s="256"/>
      <c r="L14" s="256"/>
      <c r="M14" s="256"/>
      <c r="N14" s="256"/>
      <c r="O14" s="256"/>
      <c r="P14" s="256"/>
      <c r="Q14" s="256"/>
      <c r="R14" s="256"/>
      <c r="T14" s="6"/>
    </row>
    <row r="15" spans="1:21" s="8" customFormat="1" ht="18" customHeight="1">
      <c r="A15" s="65"/>
      <c r="B15" s="8" t="s">
        <v>178</v>
      </c>
      <c r="D15" s="142" t="s">
        <v>736</v>
      </c>
      <c r="E15" s="176"/>
      <c r="F15" s="142"/>
      <c r="G15" s="475" t="s">
        <v>180</v>
      </c>
      <c r="H15" s="475"/>
      <c r="I15" s="475">
        <f>IF($D$15="","",VLOOKUP($D$15,Bang_DSDV,5,0))</f>
        <v>34700</v>
      </c>
      <c r="J15" s="475"/>
      <c r="K15" s="475"/>
      <c r="L15" s="475"/>
      <c r="M15" s="475"/>
      <c r="N15" s="475"/>
      <c r="O15" s="255"/>
      <c r="P15" s="255"/>
      <c r="Q15" s="255"/>
      <c r="R15" s="255"/>
    </row>
    <row r="16" spans="1:21" s="8" customFormat="1" ht="18" customHeight="1">
      <c r="B16" s="8" t="s">
        <v>253</v>
      </c>
      <c r="D16" s="169" t="str">
        <f>IF($D$15="","",VLOOKUP($D$15,Bang_DSDV,27,0))</f>
        <v>Hải Dương</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Hải Dương</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75" t="s">
        <v>183</v>
      </c>
      <c r="H18" s="475"/>
      <c r="I18" s="478" t="str">
        <f>IF($D$15="","",VLOOKUP($D$15,Bang_DSDV,19,0))</f>
        <v>Không</v>
      </c>
      <c r="J18" s="478"/>
      <c r="K18" s="478"/>
      <c r="L18" s="478"/>
      <c r="M18" s="256"/>
      <c r="N18" s="256"/>
      <c r="O18" s="256"/>
      <c r="P18" s="256"/>
      <c r="Q18" s="256"/>
      <c r="R18" s="256"/>
    </row>
    <row r="19" spans="1:18" s="8" customFormat="1" ht="18" customHeight="1">
      <c r="B19" s="8" t="s">
        <v>184</v>
      </c>
      <c r="C19" s="8" t="str">
        <f>IF($D$15="","",VLOOKUP($D$15,Bang_DSDV,3,0))</f>
        <v>4//</v>
      </c>
      <c r="E19" s="9"/>
      <c r="F19" s="9"/>
      <c r="G19" s="475" t="s">
        <v>185</v>
      </c>
      <c r="H19" s="475"/>
      <c r="I19" s="478" t="str">
        <f>IF($D$15="","",VLOOKUP($D$15,Bang_DSDV,13,0))</f>
        <v>Tù trưởng</v>
      </c>
      <c r="J19" s="478"/>
      <c r="K19" s="478"/>
      <c r="L19" s="478"/>
      <c r="M19" s="256"/>
      <c r="N19" s="256"/>
      <c r="O19" s="256"/>
      <c r="P19" s="256"/>
      <c r="Q19" s="256"/>
      <c r="R19" s="256"/>
    </row>
    <row r="20" spans="1:18" s="8" customFormat="1" ht="18" customHeight="1">
      <c r="B20" s="8" t="s">
        <v>201</v>
      </c>
      <c r="D20" s="134"/>
      <c r="E20" s="9"/>
      <c r="F20" s="142" t="str">
        <f>IF($D$15="","",VLOOKUP($D$15,Bang_DSDV,4,0))</f>
        <v>SQ</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Chính trị</v>
      </c>
      <c r="H21" s="142"/>
      <c r="I21" s="142"/>
      <c r="J21" s="142"/>
      <c r="K21" s="142"/>
      <c r="L21" s="142"/>
      <c r="M21" s="142"/>
      <c r="N21" s="142"/>
      <c r="O21" s="142"/>
      <c r="P21" s="142"/>
      <c r="Q21" s="142"/>
      <c r="R21" s="142"/>
    </row>
    <row r="22" spans="1:18" s="8" customFormat="1" ht="18" customHeight="1">
      <c r="B22" s="8" t="s">
        <v>186</v>
      </c>
      <c r="D22" s="142" t="str">
        <f>IF($D$15="","",VLOOKUP($D$15,Bang_DSDV,14,0))</f>
        <v>BTĐU</v>
      </c>
      <c r="E22" s="142"/>
      <c r="F22" s="142"/>
      <c r="G22" s="9"/>
      <c r="I22" s="140"/>
      <c r="J22" s="256"/>
      <c r="K22" s="256"/>
      <c r="L22" s="256"/>
      <c r="M22" s="256"/>
      <c r="N22" s="256"/>
      <c r="O22" s="256"/>
      <c r="P22" s="256"/>
      <c r="Q22" s="256"/>
      <c r="R22" s="256"/>
    </row>
    <row r="23" spans="1:18" s="8" customFormat="1" ht="18" customHeight="1">
      <c r="B23" s="8" t="s">
        <v>187</v>
      </c>
      <c r="D23" s="262">
        <f>IF($D$15="","",VLOOKUP($D$15,Bang_DSDV,6,0))</f>
        <v>34700</v>
      </c>
      <c r="E23" s="142"/>
      <c r="F23" s="242" t="s">
        <v>188</v>
      </c>
      <c r="G23" s="8" t="str">
        <f>IF($D$15="","",VLOOKUP($D$15,Bang_DSDV,7,0))</f>
        <v>Hải Dương</v>
      </c>
    </row>
    <row r="24" spans="1:18" s="8" customFormat="1" ht="18" customHeight="1">
      <c r="B24" s="8" t="s">
        <v>189</v>
      </c>
      <c r="D24" s="262">
        <f>IF($D$15="","",VLOOKUP($D$15,Bang_DSDV,8,0))</f>
        <v>34700</v>
      </c>
      <c r="E24" s="142"/>
      <c r="F24" s="242" t="s">
        <v>188</v>
      </c>
      <c r="G24" s="8">
        <f>IF($D$15="","",VLOOKUP($D$15,Bang_DSDV,9,0))</f>
        <v>0</v>
      </c>
    </row>
    <row r="25" spans="1:18" s="8" customFormat="1" ht="18" customHeight="1">
      <c r="B25" s="8" t="s">
        <v>190</v>
      </c>
      <c r="D25" s="262">
        <f>IF($D$15="","",VLOOKUP($D$15,Bang_DSDV,10,0))</f>
        <v>34700</v>
      </c>
      <c r="E25" s="142"/>
      <c r="F25" s="452" t="s">
        <v>191</v>
      </c>
      <c r="G25" s="452"/>
      <c r="H25" s="452"/>
      <c r="I25" s="452"/>
      <c r="J25" s="476">
        <f>IF($D$15="","",VLOOKUP($D$15,Bang_DSDV,11,0))</f>
        <v>34700</v>
      </c>
      <c r="K25" s="476"/>
      <c r="L25" s="476"/>
      <c r="M25" s="476"/>
      <c r="N25" s="255"/>
      <c r="O25" s="255"/>
      <c r="P25" s="255"/>
      <c r="Q25" s="255"/>
      <c r="R25" s="255"/>
    </row>
    <row r="26" spans="1:18" s="8" customFormat="1" ht="18" customHeight="1">
      <c r="B26" s="8" t="s">
        <v>192</v>
      </c>
      <c r="D26" s="134"/>
      <c r="E26" s="9"/>
      <c r="F26" s="9">
        <f>IF($D$15="","",VLOOKUP($D$15,Bang_DSDV,12,0))</f>
        <v>34700</v>
      </c>
      <c r="G26" s="9"/>
      <c r="I26" s="140"/>
      <c r="J26" s="256"/>
      <c r="K26" s="256"/>
      <c r="L26" s="256"/>
      <c r="M26" s="256"/>
      <c r="N26" s="256"/>
      <c r="O26" s="256"/>
      <c r="P26" s="256"/>
      <c r="Q26" s="256"/>
      <c r="R26" s="256"/>
    </row>
    <row r="27" spans="1:18" s="8" customFormat="1" ht="18" customHeight="1">
      <c r="B27" s="8" t="s">
        <v>214</v>
      </c>
      <c r="D27" s="476"/>
      <c r="E27" s="476"/>
      <c r="F27" s="9"/>
      <c r="G27" s="9"/>
      <c r="I27" s="140"/>
      <c r="J27" s="256"/>
      <c r="K27" s="256"/>
      <c r="L27" s="256"/>
      <c r="M27" s="256"/>
      <c r="N27" s="256"/>
      <c r="O27" s="256"/>
      <c r="P27" s="256"/>
      <c r="Q27" s="256"/>
      <c r="R27" s="256"/>
    </row>
    <row r="28" spans="1:18" s="8" customFormat="1" ht="18" customHeight="1">
      <c r="B28" s="136" t="s">
        <v>194</v>
      </c>
      <c r="D28" s="145" t="str">
        <f>IF($D$15="","",VLOOKUP($D$15,Bang_DSDV,20,0))</f>
        <v>12</v>
      </c>
      <c r="F28" s="479" t="s">
        <v>193</v>
      </c>
      <c r="G28" s="479"/>
      <c r="H28" s="479" t="str">
        <f>IF($D$15="","",VLOOKUP($D$15,Bang_DSDV,21,0))</f>
        <v>Thạc sĩ</v>
      </c>
      <c r="I28" s="479"/>
      <c r="J28" s="479"/>
      <c r="K28" s="479"/>
      <c r="L28" s="256"/>
      <c r="M28" s="256"/>
      <c r="N28" s="256"/>
      <c r="O28" s="256"/>
      <c r="P28" s="256"/>
      <c r="Q28" s="256"/>
      <c r="R28" s="256"/>
    </row>
    <row r="29" spans="1:18" s="8" customFormat="1" ht="18" customHeight="1">
      <c r="B29" s="136" t="s">
        <v>195</v>
      </c>
      <c r="D29" s="145" t="str">
        <f>IF($D$15="","",VLOOKUP($D$15,Bang_DSDV,24,0))</f>
        <v>Cao cấp</v>
      </c>
      <c r="E29" s="145"/>
      <c r="F29" s="480" t="s">
        <v>196</v>
      </c>
      <c r="G29" s="480"/>
      <c r="H29" s="494" t="str">
        <f>IF($D$15="","",VLOOKUP($D$15,Bang_DSDV,26,0))</f>
        <v>Thạc sĩ</v>
      </c>
      <c r="I29" s="494"/>
      <c r="J29" s="494"/>
      <c r="K29" s="494"/>
      <c r="L29" s="145"/>
      <c r="M29" s="145"/>
      <c r="N29" s="145"/>
      <c r="O29" s="145"/>
      <c r="P29" s="145"/>
      <c r="Q29" s="145"/>
      <c r="R29" s="145"/>
    </row>
    <row r="30" spans="1:18" s="8" customFormat="1" ht="18" customHeight="1">
      <c r="B30" s="8" t="s">
        <v>197</v>
      </c>
      <c r="D30" s="134"/>
      <c r="E30" s="149">
        <f>IF($D$15="","",INDEX(DSDV!$D$7:$D$216,MATCH($D$15,DSDV!$G$7:$G$216,0)))</f>
        <v>456498</v>
      </c>
      <c r="F30" s="142"/>
      <c r="G30" s="250" t="s">
        <v>198</v>
      </c>
      <c r="I30" s="479">
        <f>IF($D$15="","",INDEX(DSDV!$E$7:$E$216,MATCH($D$15,DSDV!$G$7:$G$216,0)))</f>
        <v>123213</v>
      </c>
      <c r="J30" s="479"/>
      <c r="K30" s="479"/>
      <c r="L30" s="479"/>
      <c r="M30" s="479"/>
      <c r="N30" s="256"/>
      <c r="O30" s="256"/>
      <c r="P30" s="256"/>
      <c r="Q30" s="256"/>
      <c r="R30" s="256"/>
    </row>
    <row r="31" spans="1:18" ht="18" customHeight="1">
      <c r="A31" s="6"/>
      <c r="B31" s="492" t="s">
        <v>199</v>
      </c>
      <c r="C31" s="492"/>
      <c r="D31" s="492"/>
      <c r="E31" s="492"/>
      <c r="F31" s="492"/>
      <c r="G31" s="492"/>
      <c r="H31" s="492"/>
      <c r="I31" s="492"/>
      <c r="J31" s="256"/>
      <c r="K31" s="256"/>
      <c r="L31" s="256"/>
      <c r="M31" s="256"/>
      <c r="N31" s="256"/>
      <c r="O31" s="256"/>
      <c r="P31" s="256"/>
      <c r="Q31" s="256"/>
      <c r="R31" s="256"/>
    </row>
    <row r="32" spans="1:18" ht="7.5" customHeight="1">
      <c r="A32" s="6"/>
    </row>
    <row r="33" spans="1:18" ht="18" customHeight="1">
      <c r="A33" s="6"/>
      <c r="B33" s="488" t="s">
        <v>165</v>
      </c>
      <c r="C33" s="488"/>
      <c r="D33" s="493" t="s">
        <v>203</v>
      </c>
      <c r="E33" s="493"/>
      <c r="F33" s="493"/>
      <c r="G33" s="493"/>
      <c r="H33" s="488" t="s">
        <v>204</v>
      </c>
      <c r="I33" s="488"/>
      <c r="J33" s="488"/>
      <c r="K33" s="488"/>
      <c r="L33" s="488"/>
      <c r="M33" s="488"/>
      <c r="N33" s="488"/>
      <c r="O33" s="488"/>
      <c r="P33" s="488"/>
      <c r="Q33" s="488"/>
      <c r="R33" s="8"/>
    </row>
    <row r="34" spans="1:18" ht="18" customHeight="1">
      <c r="A34" s="6"/>
      <c r="B34" s="320" t="s">
        <v>166</v>
      </c>
      <c r="C34" s="320" t="s">
        <v>202</v>
      </c>
      <c r="D34" s="493"/>
      <c r="E34" s="493"/>
      <c r="F34" s="493"/>
      <c r="G34" s="493"/>
      <c r="H34" s="488"/>
      <c r="I34" s="488"/>
      <c r="J34" s="488"/>
      <c r="K34" s="488"/>
      <c r="L34" s="488"/>
      <c r="M34" s="488"/>
      <c r="N34" s="488"/>
      <c r="O34" s="488"/>
      <c r="P34" s="488"/>
      <c r="Q34" s="488"/>
      <c r="R34" s="8"/>
    </row>
    <row r="35" spans="1:18" ht="24.95" customHeight="1">
      <c r="A35" s="6"/>
      <c r="B35" s="321" t="s">
        <v>743</v>
      </c>
      <c r="C35" s="321" t="s">
        <v>744</v>
      </c>
      <c r="D35" s="481" t="s">
        <v>745</v>
      </c>
      <c r="E35" s="482"/>
      <c r="F35" s="482"/>
      <c r="G35" s="482"/>
      <c r="H35" s="483" t="s">
        <v>134</v>
      </c>
      <c r="I35" s="484"/>
      <c r="J35" s="484"/>
      <c r="K35" s="484"/>
      <c r="L35" s="484"/>
      <c r="M35" s="484"/>
      <c r="N35" s="484"/>
      <c r="O35" s="484"/>
      <c r="P35" s="484"/>
      <c r="Q35" s="484"/>
      <c r="R35" s="211"/>
    </row>
    <row r="36" spans="1:18" ht="24.95" customHeight="1">
      <c r="A36" s="6"/>
      <c r="B36" s="322"/>
      <c r="C36" s="322"/>
      <c r="D36" s="481"/>
      <c r="E36" s="482"/>
      <c r="F36" s="482"/>
      <c r="G36" s="482"/>
      <c r="H36" s="483"/>
      <c r="I36" s="484"/>
      <c r="J36" s="484"/>
      <c r="K36" s="484"/>
      <c r="L36" s="484"/>
      <c r="M36" s="484"/>
      <c r="N36" s="484"/>
      <c r="O36" s="484"/>
      <c r="P36" s="484"/>
      <c r="Q36" s="484"/>
      <c r="R36" s="257"/>
    </row>
    <row r="37" spans="1:18" ht="24.95" customHeight="1">
      <c r="A37" s="6"/>
      <c r="B37" s="322"/>
      <c r="C37" s="322"/>
      <c r="D37" s="481"/>
      <c r="E37" s="482"/>
      <c r="F37" s="482"/>
      <c r="G37" s="482"/>
      <c r="H37" s="483"/>
      <c r="I37" s="484"/>
      <c r="J37" s="484"/>
      <c r="K37" s="484"/>
      <c r="L37" s="484"/>
      <c r="M37" s="484"/>
      <c r="N37" s="484"/>
      <c r="O37" s="484"/>
      <c r="P37" s="484"/>
      <c r="Q37" s="484"/>
      <c r="R37" s="257"/>
    </row>
    <row r="38" spans="1:18" ht="24.95" customHeight="1">
      <c r="A38" s="6"/>
      <c r="B38" s="322"/>
      <c r="C38" s="322"/>
      <c r="D38" s="481"/>
      <c r="E38" s="482"/>
      <c r="F38" s="482"/>
      <c r="G38" s="482"/>
      <c r="H38" s="483"/>
      <c r="I38" s="484"/>
      <c r="J38" s="484"/>
      <c r="K38" s="484"/>
      <c r="L38" s="484"/>
      <c r="M38" s="484"/>
      <c r="N38" s="484"/>
      <c r="O38" s="484"/>
      <c r="P38" s="484"/>
      <c r="Q38" s="484"/>
      <c r="R38" s="257"/>
    </row>
    <row r="39" spans="1:18" ht="24.95" customHeight="1">
      <c r="A39" s="6"/>
      <c r="B39" s="322"/>
      <c r="C39" s="322"/>
      <c r="D39" s="481"/>
      <c r="E39" s="482"/>
      <c r="F39" s="482"/>
      <c r="G39" s="482"/>
      <c r="H39" s="483"/>
      <c r="I39" s="484"/>
      <c r="J39" s="484"/>
      <c r="K39" s="484"/>
      <c r="L39" s="484"/>
      <c r="M39" s="484"/>
      <c r="N39" s="484"/>
      <c r="O39" s="484"/>
      <c r="P39" s="484"/>
      <c r="Q39" s="484"/>
      <c r="R39" s="257"/>
    </row>
    <row r="40" spans="1:18" ht="24.95" customHeight="1">
      <c r="A40" s="6"/>
      <c r="B40" s="322"/>
      <c r="C40" s="322"/>
      <c r="D40" s="481"/>
      <c r="E40" s="482"/>
      <c r="F40" s="482"/>
      <c r="G40" s="482"/>
      <c r="H40" s="483"/>
      <c r="I40" s="484"/>
      <c r="J40" s="484"/>
      <c r="K40" s="484"/>
      <c r="L40" s="484"/>
      <c r="M40" s="484"/>
      <c r="N40" s="484"/>
      <c r="O40" s="484"/>
      <c r="P40" s="484"/>
      <c r="Q40" s="484"/>
      <c r="R40" s="257"/>
    </row>
    <row r="41" spans="1:18" ht="24.95" customHeight="1">
      <c r="A41" s="6"/>
      <c r="B41" s="322"/>
      <c r="C41" s="322"/>
      <c r="D41" s="481"/>
      <c r="E41" s="482"/>
      <c r="F41" s="482"/>
      <c r="G41" s="482"/>
      <c r="H41" s="483"/>
      <c r="I41" s="484"/>
      <c r="J41" s="484"/>
      <c r="K41" s="484"/>
      <c r="L41" s="484"/>
      <c r="M41" s="484"/>
      <c r="N41" s="484"/>
      <c r="O41" s="484"/>
      <c r="P41" s="484"/>
      <c r="Q41" s="484"/>
      <c r="R41" s="257"/>
    </row>
    <row r="42" spans="1:18" ht="24.95" customHeight="1">
      <c r="A42" s="6"/>
      <c r="B42" s="323"/>
      <c r="C42" s="323"/>
      <c r="D42" s="482"/>
      <c r="E42" s="482"/>
      <c r="F42" s="482"/>
      <c r="G42" s="482"/>
      <c r="H42" s="485"/>
      <c r="I42" s="485"/>
      <c r="J42" s="485"/>
      <c r="K42" s="485"/>
      <c r="L42" s="485"/>
      <c r="M42" s="485"/>
      <c r="N42" s="485"/>
      <c r="O42" s="485"/>
      <c r="P42" s="485"/>
      <c r="Q42" s="485"/>
      <c r="R42" s="257"/>
    </row>
    <row r="43" spans="1:18" ht="18" customHeight="1">
      <c r="A43" s="6"/>
      <c r="B43" s="170"/>
      <c r="C43" s="170"/>
      <c r="D43" s="133"/>
      <c r="E43" s="171"/>
      <c r="F43" s="171"/>
      <c r="G43" s="171"/>
    </row>
    <row r="44" spans="1:18" ht="18" customHeight="1">
      <c r="A44" s="6"/>
      <c r="B44" s="461" t="s">
        <v>624</v>
      </c>
      <c r="C44" s="461"/>
      <c r="D44" s="461"/>
      <c r="E44" s="461"/>
      <c r="F44" s="461"/>
      <c r="G44" s="461"/>
      <c r="H44" s="461"/>
      <c r="I44" s="461"/>
      <c r="J44" s="461"/>
      <c r="K44" s="461"/>
      <c r="L44" s="461"/>
      <c r="M44" s="461"/>
      <c r="N44" s="461"/>
      <c r="O44" s="461"/>
      <c r="P44" s="461"/>
      <c r="Q44" s="461"/>
      <c r="R44" s="253"/>
    </row>
    <row r="45" spans="1:18" ht="18" customHeight="1">
      <c r="A45" s="6"/>
      <c r="B45" s="461"/>
      <c r="C45" s="461"/>
      <c r="D45" s="461"/>
      <c r="E45" s="461"/>
      <c r="F45" s="461"/>
      <c r="G45" s="461"/>
      <c r="H45" s="461"/>
      <c r="I45" s="461"/>
      <c r="J45" s="461"/>
      <c r="K45" s="461"/>
      <c r="L45" s="461"/>
      <c r="M45" s="461"/>
      <c r="N45" s="461"/>
      <c r="O45" s="461"/>
      <c r="P45" s="461"/>
      <c r="Q45" s="461"/>
      <c r="R45" s="253"/>
    </row>
    <row r="46" spans="1:18" ht="18" customHeight="1">
      <c r="A46" s="6"/>
      <c r="B46" s="245"/>
      <c r="C46"/>
      <c r="D46"/>
      <c r="E46"/>
      <c r="F46"/>
      <c r="G46"/>
      <c r="H46"/>
    </row>
    <row r="47" spans="1:18" ht="26.25" customHeight="1">
      <c r="A47" s="6"/>
      <c r="B47" s="477" t="s">
        <v>625</v>
      </c>
      <c r="C47" s="477" t="s">
        <v>626</v>
      </c>
      <c r="D47" s="477"/>
      <c r="E47" s="477" t="s">
        <v>165</v>
      </c>
      <c r="F47" s="477"/>
      <c r="G47" s="477" t="s">
        <v>627</v>
      </c>
      <c r="H47" s="487" t="s">
        <v>628</v>
      </c>
      <c r="I47" s="487"/>
      <c r="J47" s="487"/>
      <c r="K47" s="487"/>
      <c r="L47" s="487"/>
      <c r="M47" s="487"/>
      <c r="N47" s="477" t="s">
        <v>220</v>
      </c>
      <c r="O47" s="477"/>
      <c r="P47" s="477"/>
      <c r="Q47" s="477"/>
      <c r="R47" s="246"/>
    </row>
    <row r="48" spans="1:18" ht="26.25" customHeight="1">
      <c r="A48" s="6"/>
      <c r="B48" s="477"/>
      <c r="C48" s="477"/>
      <c r="D48" s="477"/>
      <c r="E48" s="324" t="s">
        <v>166</v>
      </c>
      <c r="F48" s="324" t="s">
        <v>167</v>
      </c>
      <c r="G48" s="477"/>
      <c r="H48" s="487"/>
      <c r="I48" s="487"/>
      <c r="J48" s="487"/>
      <c r="K48" s="487"/>
      <c r="L48" s="487"/>
      <c r="M48" s="487"/>
      <c r="N48" s="477"/>
      <c r="O48" s="477"/>
      <c r="P48" s="477"/>
      <c r="Q48" s="477"/>
      <c r="R48" s="246"/>
    </row>
    <row r="49" spans="1:18" ht="18" customHeight="1">
      <c r="A49" s="6"/>
      <c r="B49" s="325" t="s">
        <v>739</v>
      </c>
      <c r="C49" s="462" t="s">
        <v>741</v>
      </c>
      <c r="D49" s="453"/>
      <c r="E49" s="326">
        <v>41275</v>
      </c>
      <c r="F49" s="326">
        <v>41640</v>
      </c>
      <c r="G49" s="325" t="s">
        <v>697</v>
      </c>
      <c r="H49" s="462" t="s">
        <v>742</v>
      </c>
      <c r="I49" s="453"/>
      <c r="J49" s="453"/>
      <c r="K49" s="453"/>
      <c r="L49" s="453"/>
      <c r="M49" s="453"/>
      <c r="N49" s="462" t="s">
        <v>148</v>
      </c>
      <c r="O49" s="453"/>
      <c r="P49" s="453"/>
      <c r="Q49" s="453"/>
      <c r="R49" s="258"/>
    </row>
    <row r="50" spans="1:18" ht="18" customHeight="1">
      <c r="A50" s="6"/>
      <c r="B50" s="325"/>
      <c r="C50" s="462"/>
      <c r="D50" s="453"/>
      <c r="E50" s="326"/>
      <c r="F50" s="326"/>
      <c r="G50" s="325"/>
      <c r="H50" s="462"/>
      <c r="I50" s="453"/>
      <c r="J50" s="453"/>
      <c r="K50" s="453"/>
      <c r="L50" s="453"/>
      <c r="M50" s="453"/>
      <c r="N50" s="462"/>
      <c r="O50" s="453"/>
      <c r="P50" s="453"/>
      <c r="Q50" s="453"/>
      <c r="R50" s="258"/>
    </row>
    <row r="51" spans="1:18" ht="18" customHeight="1">
      <c r="A51" s="6"/>
      <c r="B51" s="325"/>
      <c r="C51" s="462"/>
      <c r="D51" s="453"/>
      <c r="E51" s="326"/>
      <c r="F51" s="326"/>
      <c r="G51" s="325"/>
      <c r="H51" s="462"/>
      <c r="I51" s="453"/>
      <c r="J51" s="453"/>
      <c r="K51" s="453"/>
      <c r="L51" s="453"/>
      <c r="M51" s="453"/>
      <c r="N51" s="462"/>
      <c r="O51" s="453"/>
      <c r="P51" s="453"/>
      <c r="Q51" s="453"/>
      <c r="R51" s="258"/>
    </row>
    <row r="52" spans="1:18" ht="18" customHeight="1">
      <c r="A52" s="6"/>
      <c r="B52" s="327"/>
      <c r="C52" s="453"/>
      <c r="D52" s="453"/>
      <c r="E52" s="327"/>
      <c r="F52" s="327"/>
      <c r="G52" s="327"/>
      <c r="H52" s="453"/>
      <c r="I52" s="453"/>
      <c r="J52" s="453"/>
      <c r="K52" s="453"/>
      <c r="L52" s="453"/>
      <c r="M52" s="453"/>
      <c r="N52" s="453"/>
      <c r="O52" s="453"/>
      <c r="P52" s="453"/>
      <c r="Q52" s="453"/>
      <c r="R52" s="258"/>
    </row>
    <row r="53" spans="1:18" ht="18" customHeight="1">
      <c r="A53" s="6"/>
      <c r="B53" s="327"/>
      <c r="C53" s="453"/>
      <c r="D53" s="453"/>
      <c r="E53" s="327"/>
      <c r="F53" s="327"/>
      <c r="G53" s="327"/>
      <c r="H53" s="453"/>
      <c r="I53" s="453"/>
      <c r="J53" s="453"/>
      <c r="K53" s="453"/>
      <c r="L53" s="453"/>
      <c r="M53" s="453"/>
      <c r="N53" s="453"/>
      <c r="O53" s="453"/>
      <c r="P53" s="453"/>
      <c r="Q53" s="453"/>
      <c r="R53" s="258"/>
    </row>
    <row r="54" spans="1:18" ht="18" customHeight="1">
      <c r="A54" s="6"/>
      <c r="B54" s="327"/>
      <c r="C54" s="453"/>
      <c r="D54" s="453"/>
      <c r="E54" s="327"/>
      <c r="F54" s="327"/>
      <c r="G54" s="327"/>
      <c r="H54" s="453"/>
      <c r="I54" s="453"/>
      <c r="J54" s="453"/>
      <c r="K54" s="453"/>
      <c r="L54" s="453"/>
      <c r="M54" s="453"/>
      <c r="N54" s="453"/>
      <c r="O54" s="453"/>
      <c r="P54" s="453"/>
      <c r="Q54" s="453"/>
      <c r="R54" s="258"/>
    </row>
    <row r="55" spans="1:18" ht="18" customHeight="1">
      <c r="A55" s="6"/>
      <c r="B55" s="327"/>
      <c r="C55" s="453"/>
      <c r="D55" s="453"/>
      <c r="E55" s="327"/>
      <c r="F55" s="327"/>
      <c r="G55" s="327"/>
      <c r="H55" s="453"/>
      <c r="I55" s="453"/>
      <c r="J55" s="453"/>
      <c r="K55" s="453"/>
      <c r="L55" s="453"/>
      <c r="M55" s="453"/>
      <c r="N55" s="453"/>
      <c r="O55" s="453"/>
      <c r="P55" s="453"/>
      <c r="Q55" s="453"/>
      <c r="R55" s="258"/>
    </row>
    <row r="56" spans="1:18" ht="18" customHeight="1">
      <c r="A56" s="6"/>
      <c r="B56" s="327"/>
      <c r="C56" s="453"/>
      <c r="D56" s="453"/>
      <c r="E56" s="327"/>
      <c r="F56" s="327"/>
      <c r="G56" s="327"/>
      <c r="H56" s="453"/>
      <c r="I56" s="453"/>
      <c r="J56" s="453"/>
      <c r="K56" s="453"/>
      <c r="L56" s="453"/>
      <c r="M56" s="453"/>
      <c r="N56" s="453"/>
      <c r="O56" s="453"/>
      <c r="P56" s="453"/>
      <c r="Q56" s="453"/>
      <c r="R56" s="258"/>
    </row>
    <row r="57" spans="1:18" ht="18" customHeight="1">
      <c r="A57" s="6"/>
      <c r="B57" s="327"/>
      <c r="C57" s="453"/>
      <c r="D57" s="453"/>
      <c r="E57" s="327"/>
      <c r="F57" s="327"/>
      <c r="G57" s="327"/>
      <c r="H57" s="453"/>
      <c r="I57" s="453"/>
      <c r="J57" s="453"/>
      <c r="K57" s="453"/>
      <c r="L57" s="453"/>
      <c r="M57" s="453"/>
      <c r="N57" s="453"/>
      <c r="O57" s="453"/>
      <c r="P57" s="453"/>
      <c r="Q57" s="453"/>
      <c r="R57" s="258"/>
    </row>
    <row r="58" spans="1:18" ht="18" customHeight="1">
      <c r="A58" s="6"/>
      <c r="B58" s="328"/>
      <c r="C58" s="453"/>
      <c r="D58" s="453"/>
      <c r="E58" s="328"/>
      <c r="F58" s="328"/>
      <c r="G58" s="328"/>
      <c r="H58" s="453"/>
      <c r="I58" s="453"/>
      <c r="J58" s="453"/>
      <c r="K58" s="453"/>
      <c r="L58" s="453"/>
      <c r="M58" s="453"/>
      <c r="N58" s="453"/>
      <c r="O58" s="453"/>
      <c r="P58" s="453"/>
      <c r="Q58" s="453"/>
      <c r="R58" s="259"/>
    </row>
    <row r="59" spans="1:18" ht="18" customHeight="1">
      <c r="A59" s="6"/>
      <c r="B59" s="170"/>
      <c r="C59" s="170"/>
      <c r="D59" s="133"/>
      <c r="E59" s="171"/>
      <c r="F59" s="171"/>
      <c r="G59" s="171"/>
    </row>
    <row r="60" spans="1:18" ht="18" customHeight="1">
      <c r="B60" s="460" t="s">
        <v>712</v>
      </c>
      <c r="C60" s="460"/>
      <c r="D60" s="460"/>
      <c r="E60" s="460"/>
      <c r="F60" s="460"/>
      <c r="G60" s="460"/>
      <c r="H60" s="460"/>
      <c r="I60" s="460"/>
      <c r="J60" s="460"/>
      <c r="K60" s="460"/>
      <c r="L60" s="460"/>
      <c r="M60" s="460"/>
      <c r="N60" s="460"/>
      <c r="O60" s="460"/>
      <c r="P60" s="460"/>
      <c r="Q60" s="460"/>
    </row>
    <row r="61" spans="1:18" ht="102.75" customHeight="1">
      <c r="A61" s="266"/>
      <c r="B61" s="458"/>
      <c r="C61" s="458"/>
      <c r="D61" s="458"/>
      <c r="E61" s="458"/>
      <c r="F61" s="458"/>
      <c r="G61" s="458"/>
      <c r="H61" s="458"/>
      <c r="I61" s="458"/>
      <c r="J61" s="458"/>
      <c r="K61" s="458"/>
      <c r="L61" s="458"/>
      <c r="M61" s="458"/>
      <c r="N61" s="458"/>
      <c r="O61" s="458"/>
      <c r="P61" s="458"/>
      <c r="Q61" s="458"/>
    </row>
    <row r="62" spans="1:18" ht="18" customHeight="1">
      <c r="A62" s="6"/>
      <c r="B62" s="461" t="s">
        <v>598</v>
      </c>
      <c r="C62" s="461"/>
      <c r="D62" s="461"/>
      <c r="E62" s="461"/>
      <c r="F62" s="461"/>
      <c r="G62" s="461"/>
      <c r="H62" s="461"/>
      <c r="I62" s="461"/>
      <c r="J62" s="461"/>
      <c r="K62" s="461"/>
      <c r="L62" s="461"/>
      <c r="M62" s="461"/>
      <c r="N62" s="461"/>
      <c r="O62" s="461"/>
      <c r="P62" s="461"/>
      <c r="Q62" s="461"/>
      <c r="R62" s="252"/>
    </row>
    <row r="63" spans="1:18" ht="15" customHeight="1">
      <c r="B63" s="253"/>
      <c r="C63" s="253"/>
      <c r="D63" s="253"/>
      <c r="E63" s="253"/>
      <c r="F63" s="253"/>
      <c r="G63" s="253"/>
      <c r="H63" s="253"/>
      <c r="I63" s="253"/>
      <c r="J63" s="253"/>
      <c r="K63" s="253"/>
      <c r="L63" s="253"/>
      <c r="M63" s="253"/>
      <c r="N63" s="253"/>
      <c r="O63" s="253"/>
      <c r="P63" s="253"/>
      <c r="Q63" s="253"/>
      <c r="R63" s="252"/>
    </row>
    <row r="64" spans="1:18" ht="15.75">
      <c r="B64" s="459" t="s">
        <v>593</v>
      </c>
      <c r="C64" s="459"/>
      <c r="D64" s="459"/>
      <c r="E64" s="459"/>
      <c r="F64" s="459"/>
      <c r="G64" s="459"/>
      <c r="H64" s="459"/>
      <c r="I64" s="459"/>
      <c r="J64" s="459"/>
      <c r="K64" s="459"/>
      <c r="L64" s="459"/>
      <c r="M64" s="459"/>
      <c r="N64" s="459"/>
      <c r="O64" s="459"/>
      <c r="P64" s="459"/>
      <c r="Q64" s="459"/>
      <c r="R64" s="260"/>
    </row>
    <row r="65" spans="1:25" ht="52.5" customHeight="1">
      <c r="A65" s="246"/>
      <c r="B65" s="324" t="s">
        <v>594</v>
      </c>
      <c r="C65" s="477" t="s">
        <v>595</v>
      </c>
      <c r="D65" s="477"/>
      <c r="E65" s="324" t="s">
        <v>596</v>
      </c>
      <c r="F65" s="477" t="s">
        <v>597</v>
      </c>
      <c r="G65" s="477"/>
      <c r="H65" s="477"/>
      <c r="I65" s="477"/>
      <c r="J65" s="477"/>
      <c r="K65" s="477"/>
      <c r="L65" s="477"/>
      <c r="M65" s="477"/>
      <c r="N65" s="477"/>
      <c r="O65" s="477"/>
      <c r="P65" s="477"/>
      <c r="Q65" s="477"/>
      <c r="R65" s="6"/>
    </row>
    <row r="66" spans="1:25" ht="18.75" customHeight="1">
      <c r="A66" s="247"/>
      <c r="B66" s="329"/>
      <c r="C66" s="455"/>
      <c r="D66" s="456"/>
      <c r="E66" s="329"/>
      <c r="F66" s="457"/>
      <c r="G66" s="454"/>
      <c r="H66" s="454"/>
      <c r="I66" s="454"/>
      <c r="J66" s="454"/>
      <c r="K66" s="454"/>
      <c r="L66" s="454"/>
      <c r="M66" s="454"/>
      <c r="N66" s="454"/>
      <c r="O66" s="454"/>
      <c r="P66" s="454"/>
      <c r="Q66" s="454"/>
      <c r="R66" s="6"/>
      <c r="U66" s="308"/>
      <c r="Y66" s="308"/>
    </row>
    <row r="67" spans="1:25" ht="18.75" customHeight="1">
      <c r="A67" s="248"/>
      <c r="B67" s="329"/>
      <c r="C67" s="455"/>
      <c r="D67" s="456"/>
      <c r="E67" s="329"/>
      <c r="F67" s="457"/>
      <c r="G67" s="454"/>
      <c r="H67" s="454"/>
      <c r="I67" s="454"/>
      <c r="J67" s="454"/>
      <c r="K67" s="454"/>
      <c r="L67" s="454"/>
      <c r="M67" s="454"/>
      <c r="N67" s="454"/>
      <c r="O67" s="454"/>
      <c r="P67" s="454"/>
      <c r="Q67" s="454"/>
      <c r="R67" s="6"/>
    </row>
    <row r="68" spans="1:25" ht="18.75" customHeight="1">
      <c r="A68" s="248"/>
      <c r="B68" s="329"/>
      <c r="C68" s="455"/>
      <c r="D68" s="456"/>
      <c r="E68" s="329"/>
      <c r="F68" s="457"/>
      <c r="G68" s="454"/>
      <c r="H68" s="454"/>
      <c r="I68" s="454"/>
      <c r="J68" s="454"/>
      <c r="K68" s="454"/>
      <c r="L68" s="454"/>
      <c r="M68" s="454"/>
      <c r="N68" s="454"/>
      <c r="O68" s="454"/>
      <c r="P68" s="454"/>
      <c r="Q68" s="454"/>
      <c r="R68" s="6"/>
    </row>
    <row r="69" spans="1:25" ht="18.75" customHeight="1">
      <c r="A69" s="248"/>
      <c r="B69" s="329"/>
      <c r="C69" s="455"/>
      <c r="D69" s="456"/>
      <c r="E69" s="329"/>
      <c r="F69" s="457"/>
      <c r="G69" s="454"/>
      <c r="H69" s="454"/>
      <c r="I69" s="454"/>
      <c r="J69" s="454"/>
      <c r="K69" s="454"/>
      <c r="L69" s="454"/>
      <c r="M69" s="454"/>
      <c r="N69" s="454"/>
      <c r="O69" s="454"/>
      <c r="P69" s="454"/>
      <c r="Q69" s="454"/>
      <c r="R69" s="6"/>
    </row>
    <row r="70" spans="1:25" ht="18.75" customHeight="1">
      <c r="A70" s="248"/>
      <c r="B70" s="330"/>
      <c r="C70" s="456"/>
      <c r="D70" s="456"/>
      <c r="E70" s="330"/>
      <c r="F70" s="454"/>
      <c r="G70" s="454"/>
      <c r="H70" s="454"/>
      <c r="I70" s="454"/>
      <c r="J70" s="454"/>
      <c r="K70" s="454"/>
      <c r="L70" s="454"/>
      <c r="M70" s="454"/>
      <c r="N70" s="454"/>
      <c r="O70" s="454"/>
      <c r="P70" s="454"/>
      <c r="Q70" s="454"/>
      <c r="R70" s="6"/>
    </row>
    <row r="71" spans="1:25" ht="18.75" customHeight="1">
      <c r="A71" s="248"/>
      <c r="B71" s="330"/>
      <c r="C71" s="456"/>
      <c r="D71" s="456"/>
      <c r="E71" s="330"/>
      <c r="F71" s="454"/>
      <c r="G71" s="454"/>
      <c r="H71" s="454"/>
      <c r="I71" s="454"/>
      <c r="J71" s="454"/>
      <c r="K71" s="454"/>
      <c r="L71" s="454"/>
      <c r="M71" s="454"/>
      <c r="N71" s="454"/>
      <c r="O71" s="454"/>
      <c r="P71" s="454"/>
      <c r="Q71" s="454"/>
      <c r="R71" s="6"/>
    </row>
    <row r="72" spans="1:25" ht="18.75" customHeight="1">
      <c r="A72" s="248"/>
      <c r="B72" s="330"/>
      <c r="C72" s="456"/>
      <c r="D72" s="456"/>
      <c r="E72" s="330"/>
      <c r="F72" s="454"/>
      <c r="G72" s="454"/>
      <c r="H72" s="454"/>
      <c r="I72" s="454"/>
      <c r="J72" s="454"/>
      <c r="K72" s="454"/>
      <c r="L72" s="454"/>
      <c r="M72" s="454"/>
      <c r="N72" s="454"/>
      <c r="O72" s="454"/>
      <c r="P72" s="454"/>
      <c r="Q72" s="454"/>
      <c r="R72" s="6"/>
    </row>
    <row r="73" spans="1:25" ht="18.75" customHeight="1">
      <c r="A73" s="248"/>
      <c r="B73" s="330"/>
      <c r="C73" s="456"/>
      <c r="D73" s="456"/>
      <c r="E73" s="330"/>
      <c r="F73" s="454"/>
      <c r="G73" s="454"/>
      <c r="H73" s="454"/>
      <c r="I73" s="454"/>
      <c r="J73" s="454"/>
      <c r="K73" s="454"/>
      <c r="L73" s="454"/>
      <c r="M73" s="454"/>
      <c r="N73" s="454"/>
      <c r="O73" s="454"/>
      <c r="P73" s="454"/>
      <c r="Q73" s="454"/>
      <c r="R73" s="6"/>
    </row>
    <row r="74" spans="1:25" ht="12.75" customHeight="1">
      <c r="A74" s="6"/>
      <c r="B74" s="170"/>
      <c r="C74" s="170"/>
      <c r="D74" s="133"/>
      <c r="E74" s="171"/>
      <c r="F74" s="171"/>
      <c r="G74" s="171"/>
    </row>
    <row r="75" spans="1:25" ht="15.75">
      <c r="A75" s="6"/>
      <c r="B75" s="486" t="s">
        <v>607</v>
      </c>
      <c r="C75" s="486"/>
      <c r="D75" s="486"/>
      <c r="E75" s="486"/>
      <c r="F75" s="486"/>
      <c r="G75" s="486"/>
      <c r="H75" s="486"/>
      <c r="I75" s="486"/>
      <c r="J75" s="486"/>
      <c r="K75" s="486"/>
      <c r="L75" s="486"/>
      <c r="M75" s="486"/>
      <c r="N75" s="486"/>
      <c r="O75" s="486"/>
      <c r="P75" s="486"/>
      <c r="Q75" s="486"/>
      <c r="R75" s="251"/>
    </row>
    <row r="76" spans="1:25" ht="15" customHeight="1">
      <c r="A76" s="6"/>
      <c r="B76" s="249"/>
      <c r="C76"/>
      <c r="D76"/>
      <c r="E76"/>
      <c r="F76"/>
      <c r="G76"/>
      <c r="H76"/>
      <c r="I76"/>
      <c r="J76"/>
      <c r="K76"/>
      <c r="L76"/>
      <c r="M76"/>
      <c r="N76"/>
      <c r="O76"/>
      <c r="P76"/>
      <c r="Q76"/>
      <c r="R76"/>
    </row>
    <row r="77" spans="1:25" ht="15.75" customHeight="1">
      <c r="A77" s="6"/>
      <c r="B77" s="464" t="s">
        <v>599</v>
      </c>
      <c r="C77" s="464" t="s">
        <v>600</v>
      </c>
      <c r="D77" s="464"/>
      <c r="E77" s="464"/>
      <c r="F77" s="464"/>
      <c r="G77" s="464" t="s">
        <v>601</v>
      </c>
      <c r="H77" s="464"/>
      <c r="I77" s="464"/>
      <c r="J77" s="464"/>
      <c r="K77" s="464"/>
      <c r="L77" s="464"/>
      <c r="M77" s="464"/>
      <c r="N77" s="464" t="s">
        <v>602</v>
      </c>
      <c r="O77" s="464"/>
      <c r="P77" s="464"/>
      <c r="Q77" s="464"/>
      <c r="R77" s="6"/>
    </row>
    <row r="78" spans="1:25" ht="51" customHeight="1">
      <c r="A78" s="6"/>
      <c r="B78" s="464"/>
      <c r="C78" s="331" t="s">
        <v>267</v>
      </c>
      <c r="D78" s="331" t="s">
        <v>603</v>
      </c>
      <c r="E78" s="331" t="s">
        <v>604</v>
      </c>
      <c r="F78" s="331" t="s">
        <v>135</v>
      </c>
      <c r="G78" s="464" t="s">
        <v>478</v>
      </c>
      <c r="H78" s="464"/>
      <c r="I78" s="464" t="s">
        <v>605</v>
      </c>
      <c r="J78" s="464"/>
      <c r="K78" s="464"/>
      <c r="L78" s="464"/>
      <c r="M78" s="464"/>
      <c r="N78" s="464"/>
      <c r="O78" s="464"/>
      <c r="P78" s="464"/>
      <c r="Q78" s="464"/>
      <c r="R78" s="6"/>
    </row>
    <row r="79" spans="1:25" ht="16.5" customHeight="1">
      <c r="A79" s="6"/>
      <c r="B79" s="332"/>
      <c r="C79" s="333"/>
      <c r="D79" s="333"/>
      <c r="E79" s="333"/>
      <c r="F79" s="333"/>
      <c r="G79" s="462"/>
      <c r="H79" s="462"/>
      <c r="I79" s="462"/>
      <c r="J79" s="462"/>
      <c r="K79" s="462"/>
      <c r="L79" s="462"/>
      <c r="M79" s="462"/>
      <c r="N79" s="462"/>
      <c r="O79" s="462"/>
      <c r="P79" s="462"/>
      <c r="Q79" s="462"/>
      <c r="R79" s="6"/>
    </row>
    <row r="80" spans="1:25" ht="16.5" customHeight="1">
      <c r="A80" s="6"/>
      <c r="B80" s="332"/>
      <c r="C80" s="333"/>
      <c r="D80" s="333"/>
      <c r="E80" s="333"/>
      <c r="F80" s="333"/>
      <c r="G80" s="462"/>
      <c r="H80" s="462"/>
      <c r="I80" s="462"/>
      <c r="J80" s="462"/>
      <c r="K80" s="462"/>
      <c r="L80" s="462"/>
      <c r="M80" s="462"/>
      <c r="N80" s="462"/>
      <c r="O80" s="462"/>
      <c r="P80" s="462"/>
      <c r="Q80" s="462"/>
      <c r="R80" s="6"/>
    </row>
    <row r="81" spans="1:18" ht="16.5" customHeight="1">
      <c r="A81" s="6"/>
      <c r="B81" s="332"/>
      <c r="C81" s="333"/>
      <c r="D81" s="333"/>
      <c r="E81" s="333"/>
      <c r="F81" s="333"/>
      <c r="G81" s="462"/>
      <c r="H81" s="462"/>
      <c r="I81" s="462"/>
      <c r="J81" s="462"/>
      <c r="K81" s="462"/>
      <c r="L81" s="462"/>
      <c r="M81" s="462"/>
      <c r="N81" s="462"/>
      <c r="O81" s="462"/>
      <c r="P81" s="462"/>
      <c r="Q81" s="462"/>
      <c r="R81" s="6"/>
    </row>
    <row r="82" spans="1:18" ht="15.75">
      <c r="A82" s="6"/>
      <c r="B82" s="332"/>
      <c r="C82" s="333"/>
      <c r="D82" s="333"/>
      <c r="E82" s="333"/>
      <c r="F82" s="333"/>
      <c r="G82" s="462"/>
      <c r="H82" s="453"/>
      <c r="I82" s="462"/>
      <c r="J82" s="453"/>
      <c r="K82" s="453"/>
      <c r="L82" s="453"/>
      <c r="M82" s="453"/>
      <c r="N82" s="462"/>
      <c r="O82" s="453"/>
      <c r="P82" s="453"/>
      <c r="Q82" s="453"/>
      <c r="R82" s="6"/>
    </row>
    <row r="83" spans="1:18" ht="15.75">
      <c r="A83" s="6"/>
      <c r="B83" s="414"/>
      <c r="C83" s="328"/>
      <c r="D83" s="328"/>
      <c r="E83" s="328"/>
      <c r="F83" s="328"/>
      <c r="G83" s="453"/>
      <c r="H83" s="453"/>
      <c r="I83" s="453"/>
      <c r="J83" s="453"/>
      <c r="K83" s="453"/>
      <c r="L83" s="453"/>
      <c r="M83" s="453"/>
      <c r="N83" s="453"/>
      <c r="O83" s="453"/>
      <c r="P83" s="453"/>
      <c r="Q83" s="453"/>
      <c r="R83" s="6"/>
    </row>
    <row r="84" spans="1:18" ht="15.75">
      <c r="A84" s="6"/>
      <c r="B84" s="414"/>
      <c r="C84" s="328"/>
      <c r="D84" s="328"/>
      <c r="E84" s="328"/>
      <c r="F84" s="328"/>
      <c r="G84" s="453"/>
      <c r="H84" s="453"/>
      <c r="I84" s="453"/>
      <c r="J84" s="453"/>
      <c r="K84" s="453"/>
      <c r="L84" s="453"/>
      <c r="M84" s="453"/>
      <c r="N84" s="453"/>
      <c r="O84" s="453"/>
      <c r="P84" s="453"/>
      <c r="Q84" s="453"/>
      <c r="R84" s="6"/>
    </row>
    <row r="85" spans="1:18" ht="15.75">
      <c r="A85" s="6"/>
      <c r="B85" s="414"/>
      <c r="C85" s="328"/>
      <c r="D85" s="328"/>
      <c r="E85" s="328"/>
      <c r="F85" s="328"/>
      <c r="G85" s="453"/>
      <c r="H85" s="453"/>
      <c r="I85" s="453"/>
      <c r="J85" s="453"/>
      <c r="K85" s="453"/>
      <c r="L85" s="453"/>
      <c r="M85" s="453"/>
      <c r="N85" s="453"/>
      <c r="O85" s="453"/>
      <c r="P85" s="453"/>
      <c r="Q85" s="453"/>
      <c r="R85" s="6"/>
    </row>
    <row r="86" spans="1:18" ht="15.75">
      <c r="A86" s="6"/>
      <c r="B86" s="414"/>
      <c r="C86" s="328"/>
      <c r="D86" s="328"/>
      <c r="E86" s="328"/>
      <c r="F86" s="328"/>
      <c r="G86" s="453"/>
      <c r="H86" s="453"/>
      <c r="I86" s="453"/>
      <c r="J86" s="453"/>
      <c r="K86" s="453"/>
      <c r="L86" s="453"/>
      <c r="M86" s="453"/>
      <c r="N86" s="453"/>
      <c r="O86" s="453"/>
      <c r="P86" s="453"/>
      <c r="Q86" s="453"/>
      <c r="R86" s="6"/>
    </row>
    <row r="87" spans="1:18" ht="15.75">
      <c r="A87" s="6"/>
      <c r="B87" s="414"/>
      <c r="C87" s="328"/>
      <c r="D87" s="328"/>
      <c r="E87" s="328"/>
      <c r="F87" s="328"/>
      <c r="G87" s="453"/>
      <c r="H87" s="453"/>
      <c r="I87" s="453"/>
      <c r="J87" s="453"/>
      <c r="K87" s="453"/>
      <c r="L87" s="453"/>
      <c r="M87" s="453"/>
      <c r="N87" s="453"/>
      <c r="O87" s="453"/>
      <c r="P87" s="453"/>
      <c r="Q87" s="453"/>
      <c r="R87" s="6"/>
    </row>
    <row r="88" spans="1:18" ht="15.75">
      <c r="A88" s="6"/>
      <c r="B88" s="328"/>
      <c r="C88" s="328"/>
      <c r="D88" s="328"/>
      <c r="E88" s="328"/>
      <c r="F88" s="328"/>
      <c r="G88" s="453"/>
      <c r="H88" s="453"/>
      <c r="I88" s="453"/>
      <c r="J88" s="453"/>
      <c r="K88" s="453"/>
      <c r="L88" s="453"/>
      <c r="M88" s="453"/>
      <c r="N88" s="453"/>
      <c r="O88" s="453"/>
      <c r="P88" s="453"/>
      <c r="Q88" s="453"/>
      <c r="R88" s="6"/>
    </row>
    <row r="89" spans="1:18" ht="15.75">
      <c r="A89" s="6"/>
      <c r="B89" s="328"/>
      <c r="C89" s="328"/>
      <c r="D89" s="328"/>
      <c r="E89" s="328"/>
      <c r="F89" s="328"/>
      <c r="G89" s="453"/>
      <c r="H89" s="453"/>
      <c r="I89" s="453"/>
      <c r="J89" s="453"/>
      <c r="K89" s="453"/>
      <c r="L89" s="453"/>
      <c r="M89" s="453"/>
      <c r="N89" s="453"/>
      <c r="O89" s="453"/>
      <c r="P89" s="453"/>
      <c r="Q89" s="453"/>
      <c r="R89" s="261"/>
    </row>
    <row r="90" spans="1:18" ht="33" customHeight="1">
      <c r="A90" s="6"/>
      <c r="B90" s="468" t="s">
        <v>606</v>
      </c>
      <c r="C90" s="468"/>
      <c r="D90" s="468"/>
      <c r="E90" s="468"/>
      <c r="F90" s="468"/>
      <c r="G90" s="468"/>
      <c r="H90" s="468"/>
      <c r="I90" s="468"/>
      <c r="J90" s="468"/>
      <c r="K90" s="468"/>
      <c r="L90" s="468"/>
      <c r="M90" s="468"/>
      <c r="N90" s="468"/>
      <c r="O90" s="468"/>
      <c r="P90" s="468"/>
      <c r="Q90" s="468"/>
      <c r="R90" s="468"/>
    </row>
    <row r="91" spans="1:18">
      <c r="A91" s="6"/>
      <c r="B91" s="170"/>
      <c r="C91" s="170"/>
      <c r="D91" s="133"/>
      <c r="E91" s="171"/>
      <c r="F91" s="473" t="s">
        <v>634</v>
      </c>
      <c r="G91" s="473"/>
      <c r="H91" s="473"/>
      <c r="I91" s="473"/>
      <c r="J91" s="473"/>
      <c r="K91" s="473"/>
      <c r="L91" s="473"/>
      <c r="M91" s="473"/>
      <c r="N91" s="473"/>
      <c r="O91" s="473"/>
      <c r="P91" s="473"/>
      <c r="Q91" s="473"/>
    </row>
    <row r="92" spans="1:18" ht="15" customHeight="1">
      <c r="A92" s="6"/>
      <c r="B92" s="470" t="s">
        <v>629</v>
      </c>
      <c r="C92" s="470"/>
      <c r="D92" s="465" t="s">
        <v>632</v>
      </c>
      <c r="E92" s="465"/>
      <c r="F92" s="465"/>
      <c r="G92" s="465"/>
      <c r="H92" s="471" t="s">
        <v>633</v>
      </c>
      <c r="I92" s="471"/>
      <c r="J92" s="471"/>
      <c r="K92" s="471"/>
      <c r="L92" s="471"/>
      <c r="M92" s="471"/>
      <c r="N92" s="471"/>
      <c r="O92" s="471"/>
      <c r="P92" s="471"/>
      <c r="Q92" s="471"/>
      <c r="R92" s="263"/>
    </row>
    <row r="93" spans="1:18" ht="13.5" customHeight="1">
      <c r="A93" s="6"/>
      <c r="B93" s="472" t="s">
        <v>630</v>
      </c>
      <c r="C93" s="472"/>
      <c r="D93" s="463" t="s">
        <v>667</v>
      </c>
      <c r="E93" s="463"/>
      <c r="F93" s="463"/>
      <c r="G93" s="463"/>
      <c r="H93" s="469" t="s">
        <v>637</v>
      </c>
      <c r="I93" s="469"/>
      <c r="J93" s="469"/>
      <c r="K93" s="469"/>
      <c r="L93" s="469"/>
      <c r="M93" s="469"/>
      <c r="N93" s="469"/>
      <c r="O93" s="469"/>
      <c r="P93" s="469"/>
      <c r="Q93" s="469"/>
    </row>
    <row r="94" spans="1:18" ht="13.5" customHeight="1">
      <c r="A94" s="6"/>
      <c r="B94" s="472"/>
      <c r="C94" s="472"/>
      <c r="D94" s="463" t="s">
        <v>667</v>
      </c>
      <c r="E94" s="463"/>
      <c r="F94" s="463"/>
      <c r="G94" s="463"/>
    </row>
    <row r="95" spans="1:18" ht="13.5" customHeight="1">
      <c r="A95" s="6"/>
      <c r="B95" s="466" t="s">
        <v>631</v>
      </c>
      <c r="C95" s="466"/>
      <c r="D95" s="466" t="s">
        <v>631</v>
      </c>
      <c r="E95" s="466"/>
      <c r="F95" s="466"/>
      <c r="G95" s="466"/>
    </row>
    <row r="96" spans="1:18" ht="15" customHeight="1">
      <c r="A96" s="6"/>
      <c r="B96" s="467" t="s">
        <v>635</v>
      </c>
      <c r="C96" s="467"/>
      <c r="D96" s="467" t="s">
        <v>636</v>
      </c>
      <c r="E96" s="467"/>
      <c r="F96" s="467"/>
      <c r="G96" s="467"/>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sheetProtection sheet="1" objects="1" scenarios="1" selectLockedCells="1"/>
  <mergeCells count="1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49:Q49"/>
    <mergeCell ref="H49:M49"/>
    <mergeCell ref="H53:M53"/>
    <mergeCell ref="H54:M54"/>
    <mergeCell ref="H50:M50"/>
    <mergeCell ref="H51:M51"/>
    <mergeCell ref="H52:M52"/>
    <mergeCell ref="N50:Q50"/>
    <mergeCell ref="N51:Q51"/>
    <mergeCell ref="N52:Q52"/>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D37:G37"/>
    <mergeCell ref="D38:G38"/>
    <mergeCell ref="D39:G39"/>
    <mergeCell ref="D40:G40"/>
    <mergeCell ref="D41:G41"/>
    <mergeCell ref="H37:Q37"/>
    <mergeCell ref="H38:Q38"/>
    <mergeCell ref="H39:Q39"/>
    <mergeCell ref="H40:Q40"/>
    <mergeCell ref="H41:Q41"/>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2"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95250</xdr:rowOff>
              </from>
              <to>
                <xdr:col>22</xdr:col>
                <xdr:colOff>647700</xdr:colOff>
                <xdr:row>0</xdr:row>
                <xdr:rowOff>590550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E9" sqref="E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96" t="s">
        <v>247</v>
      </c>
      <c r="B1" s="496"/>
      <c r="C1" s="496"/>
    </row>
    <row r="2" spans="1:7" ht="18" customHeight="1">
      <c r="A2" s="499" t="s">
        <v>222</v>
      </c>
      <c r="B2" s="499" t="s">
        <v>217</v>
      </c>
      <c r="C2" s="499" t="s">
        <v>221</v>
      </c>
    </row>
    <row r="3" spans="1:7" ht="22.5" customHeight="1">
      <c r="A3" s="499"/>
      <c r="B3" s="499"/>
      <c r="C3" s="499"/>
      <c r="F3" s="305" t="s">
        <v>526</v>
      </c>
      <c r="G3" s="306" t="s">
        <v>511</v>
      </c>
    </row>
    <row r="4" spans="1:7" ht="19.899999999999999" customHeight="1">
      <c r="A4" s="497" t="s">
        <v>10</v>
      </c>
      <c r="B4" s="334" t="s">
        <v>218</v>
      </c>
      <c r="C4" s="335">
        <f>C5+C6</f>
        <v>1</v>
      </c>
    </row>
    <row r="5" spans="1:7" ht="19.899999999999999" customHeight="1">
      <c r="A5" s="497"/>
      <c r="B5" s="334" t="s">
        <v>6</v>
      </c>
      <c r="C5" s="335">
        <f>IF(G3&lt;&gt;"",COUNTIFS(DSDV!$H$7:$H$216,ThietLap!$C$9,DSDV!$W$7:$W$216,G3),COUNTIFS(DSDV!$H$7:$H$216,ThietLap!$C$9))</f>
        <v>1</v>
      </c>
    </row>
    <row r="6" spans="1:7" ht="19.899999999999999" customHeight="1">
      <c r="A6" s="497"/>
      <c r="B6" s="334" t="s">
        <v>7</v>
      </c>
      <c r="C6" s="335">
        <f>IF(G3&lt;&gt;"",COUNTIFS(DSDV!$H$7:$H$216,ThietLap!$C$10,DSDV!$W$7:$W$216,G3),COUNTIFS(DSDV!$H$7:$H$216,ThietLap!$C$9))</f>
        <v>0</v>
      </c>
    </row>
    <row r="7" spans="1:7" ht="18" customHeight="1">
      <c r="A7" s="500" t="s">
        <v>95</v>
      </c>
      <c r="B7" s="336" t="s">
        <v>219</v>
      </c>
      <c r="C7" s="337">
        <f>IF(G3&lt;&gt;"",COUNTIFS(DSDV!$X$7:$X$216,ThietLap!$S$2,DSDV!$W$7:$W$216,G3),COUNTIFS(DSDV!$X$7:$X$216,ThietLap!$S$2))</f>
        <v>1</v>
      </c>
    </row>
    <row r="8" spans="1:7" ht="18" customHeight="1">
      <c r="A8" s="500"/>
      <c r="B8" s="336" t="s">
        <v>161</v>
      </c>
      <c r="C8" s="337">
        <f>IF(G3&lt;&gt;"",COUNTIFS(DSDV!$X$7:$X$216,"&lt;&gt;"&amp;"",DSDV!$W$7:$W$216,G3),COUNTIFS(DSDV!$X$7:$X$216,"&lt;&gt;"&amp;""))-C7</f>
        <v>0</v>
      </c>
    </row>
    <row r="9" spans="1:7" ht="19.899999999999999" customHeight="1">
      <c r="A9" s="501" t="s">
        <v>220</v>
      </c>
      <c r="B9" s="338" t="s">
        <v>148</v>
      </c>
      <c r="C9" s="339">
        <f>IF(G3&lt;&gt;"",COUNTIFS(DSDV!$AC$7:$AC$216,ThietLap!$H$9,DSDV!$W$7:$W$216,G3),COUNTIFS(DSDV!$AC$7:$AC$216,ThietLap!$H$9))</f>
        <v>0</v>
      </c>
    </row>
    <row r="10" spans="1:7" ht="19.899999999999999" customHeight="1">
      <c r="A10" s="501"/>
      <c r="B10" s="338" t="s">
        <v>15</v>
      </c>
      <c r="C10" s="339">
        <f>IF(G3&lt;&gt;"",COUNTIFS(DSDV!$AC$7:$AC$216,ThietLap!$H$10,DSDV!$W$7:$W$216,G3),COUNTIFS(DSDV!$AC$7:$AC$216,ThietLap!$H$10))</f>
        <v>0</v>
      </c>
    </row>
    <row r="11" spans="1:7" ht="19.899999999999999" customHeight="1">
      <c r="A11" s="501"/>
      <c r="B11" s="338" t="s">
        <v>149</v>
      </c>
      <c r="C11" s="339">
        <f>IF(G3&lt;&gt;"",COUNTIFS(DSDV!$AC$7:$AC$216,ThietLap!$H$11,DSDV!$W$7:$W$216,G3),COUNTIFS(DSDV!$AC$7:$AC$216,ThietLap!$H$11))</f>
        <v>1</v>
      </c>
    </row>
    <row r="12" spans="1:7" ht="19.899999999999999" customHeight="1">
      <c r="A12" s="501"/>
      <c r="B12" s="338" t="s">
        <v>150</v>
      </c>
      <c r="C12" s="339">
        <f>IF(G3&lt;&gt;"",COUNTIFS(DSDV!$AC$7:$AC$216,ThietLap!$H$12,DSDV!$W$7:$W$216,G3),COUNTIFS(DSDV!$AC$7:$AC$216,ThietLap!$H$12))</f>
        <v>0</v>
      </c>
    </row>
    <row r="13" spans="1:7" ht="19.899999999999999" customHeight="1">
      <c r="A13" s="498" t="s">
        <v>112</v>
      </c>
      <c r="B13" s="340" t="s">
        <v>113</v>
      </c>
      <c r="C13" s="341">
        <f>IF(G3&lt;&gt;"",COUNTIFS(DSDV!$I$7:$I$216,ThietLap!$U$2,DSDV!$W$7:$W$216,G3),COUNTIFS(DSDV!$I$7:$I$216,ThietLap!$U$2))</f>
        <v>0</v>
      </c>
    </row>
    <row r="14" spans="1:7" ht="19.899999999999999" customHeight="1">
      <c r="A14" s="498"/>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8"/>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8"/>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2" t="s">
        <v>119</v>
      </c>
      <c r="B17" s="342" t="s">
        <v>127</v>
      </c>
      <c r="C17" s="343">
        <f>IF(G3&lt;&gt;"",COUNTIFS(DSDV!$AF$7:$AF$216,ThietLap!$E$9,DSDV!$W$7:$W$216,G3),COUNTIFS(DSDV!$AF$7:$AF$216,ThietLap!$E$9))</f>
        <v>0</v>
      </c>
    </row>
    <row r="18" spans="1:3" ht="19.899999999999999" customHeight="1">
      <c r="A18" s="502"/>
      <c r="B18" s="342" t="s">
        <v>128</v>
      </c>
      <c r="C18" s="343">
        <f>IF(G3&lt;&gt;"",COUNTIFS(DSDV!$AF$7:$AF$216,ThietLap!$E$10,DSDV!$W$7:$W$216,G3),COUNTIFS(DSDV!$AF$7:$AF$216,ThietLap!$E$10))</f>
        <v>0</v>
      </c>
    </row>
    <row r="19" spans="1:3" ht="19.899999999999999" customHeight="1">
      <c r="A19" s="502"/>
      <c r="B19" s="342" t="s">
        <v>129</v>
      </c>
      <c r="C19" s="343">
        <f>IF(G3&lt;&gt;"",COUNTIFS(DSDV!$AF$7:$AF$216,ThietLap!$E$11,DSDV!$W$7:$W$216,G3),COUNTIFS(DSDV!$AF$7:$AF$216,ThietLap!$E$11))</f>
        <v>0</v>
      </c>
    </row>
    <row r="20" spans="1:3" ht="19.899999999999999" customHeight="1">
      <c r="A20" s="502"/>
      <c r="B20" s="342" t="s">
        <v>130</v>
      </c>
      <c r="C20" s="343">
        <f>IF(G2&lt;&gt;"",COUNTIFS(DSDV!$AF$7:$AF$216,ThietLap!$E$12,DSDV!$W$7:$W$216,G2),COUNTIFS(DSDV!$AF$7:$AF$216,ThietLap!$E$12))</f>
        <v>0</v>
      </c>
    </row>
    <row r="21" spans="1:3" ht="19.899999999999999" customHeight="1">
      <c r="A21" s="502"/>
      <c r="B21" s="342" t="s">
        <v>161</v>
      </c>
      <c r="C21" s="343">
        <f>IF(G3&lt;&gt;"",COUNTIFS(DSDV!$AF$7:$AF$216,ThietLap!$E$12,DSDV!$W$7:$W$216,G3),COUNTIFS(DSDV!$AF$7:$AF$216,ThietLap!$E$12))</f>
        <v>0</v>
      </c>
    </row>
    <row r="22" spans="1:3" ht="19.899999999999999" customHeight="1">
      <c r="A22" s="503" t="s">
        <v>231</v>
      </c>
      <c r="B22" s="344" t="s">
        <v>234</v>
      </c>
      <c r="C22" s="345">
        <f ca="1">IF(G3&lt;&gt;"",COUNTIFS(DSDV!$AK$7:$AK$216,"&gt;="&amp;12,DSDV!$W$7:$W$216,G3),COUNTIFS(DSDV!$AK$7:$AK$216,"&gt;="&amp;12))-IF(G3&lt;&gt;"",COUNTIFS(DSDV!$AK$7:$AK$216,"&gt;"&amp;24,DSDV!$W$7:$W$216,G3),COUNTIFS(DSDV!$AK$7:$AK$216,"&gt;"&amp;24))</f>
        <v>0</v>
      </c>
    </row>
    <row r="23" spans="1:3" ht="19.899999999999999" customHeight="1">
      <c r="A23" s="503"/>
      <c r="B23" s="344" t="s">
        <v>235</v>
      </c>
      <c r="C23" s="345">
        <f ca="1">IF(G3&lt;&gt;"",COUNTIFS(DSDV!$AK$7:$AK$216,"&gt;"&amp;24,DSDV!$W$7:$W$216,G3),COUNTIFS(DSDV!$AK$7:$AK$216,"&gt;"&amp;24))-IF(G3&lt;&gt;"",COUNTIFS(DSDV!$AK$7:$AK$216,"&gt;"&amp;36,DSDV!$W$7:$W$216,G3),COUNTIFS(DSDV!$AK$7:$AK$216,"&gt;"&amp;36))</f>
        <v>0</v>
      </c>
    </row>
    <row r="24" spans="1:3" ht="19.899999999999999" customHeight="1">
      <c r="A24" s="503"/>
      <c r="B24" s="344" t="s">
        <v>232</v>
      </c>
      <c r="C24" s="345">
        <f ca="1">IF(G3&lt;&gt;"",COUNTIFS(DSDV!$AK$7:$AK$216,"&gt;"&amp;36,DSDV!$W$7:$W$216,G3),COUNTIFS(DSDV!$AK$7:$AK$216,"&gt;"&amp;36))</f>
        <v>1</v>
      </c>
    </row>
    <row r="25" spans="1:3" ht="19.899999999999999" customHeight="1">
      <c r="A25" s="504" t="s">
        <v>118</v>
      </c>
      <c r="B25" s="346" t="s">
        <v>120</v>
      </c>
      <c r="C25" s="347">
        <f>COUNTIFS(DSDV!$J$7:$J$216,B25,DSDV!$W$7:$W$216,$G$3)</f>
        <v>0</v>
      </c>
    </row>
    <row r="26" spans="1:3" ht="19.899999999999999" customHeight="1">
      <c r="A26" s="504"/>
      <c r="B26" s="346" t="s">
        <v>121</v>
      </c>
      <c r="C26" s="347">
        <f>COUNTIFS(DSDV!$J$7:$J$216,B26,DSDV!$W$7:$W$216,$G$3)</f>
        <v>1</v>
      </c>
    </row>
    <row r="27" spans="1:3" ht="19.899999999999999" customHeight="1">
      <c r="A27" s="504"/>
      <c r="B27" s="346" t="s">
        <v>122</v>
      </c>
      <c r="C27" s="347">
        <f>COUNTIFS(DSDV!$J$7:$J$216,B27,DSDV!$W$7:$W$216,$G$3)</f>
        <v>0</v>
      </c>
    </row>
    <row r="28" spans="1:3" ht="19.899999999999999" customHeight="1">
      <c r="A28" s="504"/>
      <c r="B28" s="346" t="s">
        <v>123</v>
      </c>
      <c r="C28" s="347">
        <f>COUNTIFS(DSDV!$J$7:$J$216,B28,DSDV!$W$7:$W$216,$G$3)</f>
        <v>0</v>
      </c>
    </row>
    <row r="29" spans="1:3" ht="19.899999999999999" customHeight="1">
      <c r="A29" s="504"/>
      <c r="B29" s="346" t="s">
        <v>124</v>
      </c>
      <c r="C29" s="347">
        <f>COUNTIFS(DSDV!$J$7:$J$216,B29,DSDV!$W$7:$W$216,$G$3)</f>
        <v>0</v>
      </c>
    </row>
    <row r="30" spans="1:3" ht="19.899999999999999" customHeight="1">
      <c r="A30" s="504"/>
      <c r="B30" s="346" t="s">
        <v>731</v>
      </c>
      <c r="C30" s="347">
        <f>COUNTIFS(DSDV!$J$7:$J$216,B30,DSDV!$W$7:$W$216,$G$3)</f>
        <v>0</v>
      </c>
    </row>
    <row r="31" spans="1:3" ht="19.899999999999999" customHeight="1">
      <c r="A31" s="504"/>
      <c r="B31" s="346" t="s">
        <v>125</v>
      </c>
      <c r="C31" s="347">
        <f>COUNTIFS(DSDV!$J$7:$J$216,B31,DSDV!$W$7:$W$216,$G$3)</f>
        <v>0</v>
      </c>
    </row>
    <row r="32" spans="1:3" ht="19.899999999999999" customHeight="1">
      <c r="A32" s="505" t="s">
        <v>237</v>
      </c>
      <c r="B32" s="348" t="s">
        <v>15</v>
      </c>
      <c r="C32" s="349">
        <f>IF(G3&lt;&gt;"",COUNTIFS(DSDV!$AB$7:$AB$216,ThietLap!$G$13,DSDV!$W$7:$W$216,G3),COUNTIFS(DSDV!$AB$7:$AB$216,ThietLap!$G$13))</f>
        <v>1</v>
      </c>
    </row>
    <row r="33" spans="1:3" ht="19.899999999999999" customHeight="1">
      <c r="A33" s="505"/>
      <c r="B33" s="348" t="s">
        <v>153</v>
      </c>
      <c r="C33" s="349">
        <f>IF(G3&lt;&gt;"",COUNTIFS(DSDV!$AB$7:$AB$216,ThietLap!$G$12,DSDV!$W$7:$W$216,G3),COUNTIFS(DSDV!$AB$7:$AB$216,ThietLap!$G$12))</f>
        <v>0</v>
      </c>
    </row>
    <row r="34" spans="1:3" ht="19.899999999999999" customHeight="1">
      <c r="A34" s="505"/>
      <c r="B34" s="348" t="s">
        <v>4</v>
      </c>
      <c r="C34" s="349">
        <f>IF(G3&lt;&gt;"",COUNTIFS(DSDV!$AB$7:$AB$216,ThietLap!$G$11,DSDV!$W$7:$W$216,G3),COUNTIFS(DSDV!$AB$7:$AB$216,ThietLap!$G$11))</f>
        <v>0</v>
      </c>
    </row>
    <row r="35" spans="1:3" ht="19.899999999999999" customHeight="1">
      <c r="A35" s="505"/>
      <c r="B35" s="348" t="s">
        <v>152</v>
      </c>
      <c r="C35" s="349">
        <f>IF(G3&lt;&gt;"",COUNTIFS(DSDV!$AB$7:$AB$216,ThietLap!$G$10,DSDV!$W$7:$W$216,G3),COUNTIFS(DSDV!$AB$7:$AB$216,ThietLap!$G$10))</f>
        <v>0</v>
      </c>
    </row>
    <row r="36" spans="1:3" ht="19.899999999999999" customHeight="1">
      <c r="A36" s="505"/>
      <c r="B36" s="348" t="s">
        <v>151</v>
      </c>
      <c r="C36" s="349">
        <f>IF(G3&lt;&gt;"",COUNTIFS(DSDV!$AB$7:$AB$216,ThietLap!$G$9,DSDV!$W$7:$W$216,G3),COUNTIFS(DSDV!$AB$7:$AB$216,ThietLap!$G$9))</f>
        <v>0</v>
      </c>
    </row>
    <row r="37" spans="1:3" ht="19.899999999999999" customHeight="1">
      <c r="A37" s="498" t="s">
        <v>239</v>
      </c>
      <c r="B37" s="340" t="s">
        <v>240</v>
      </c>
      <c r="C37" s="341">
        <f ca="1">IF(G3&lt;&gt;"",COUNTIFS(DSDV!$AJ$7:$AJ$216,"&lt;="&amp;30,DSDV!$AJ$7:$AJ$216,"&gt;="&amp;18,DSDV!$W$7:$W$216,G3),COUNTIFS(DSDV!$AJ$7:$AJ$216,"&lt;="&amp;30,DSDV!$AJ$7:$AJ$216,"&gt;="&amp;18))</f>
        <v>0</v>
      </c>
    </row>
    <row r="38" spans="1:3" ht="19.899999999999999" customHeight="1">
      <c r="A38" s="498"/>
      <c r="B38" s="340" t="s">
        <v>241</v>
      </c>
      <c r="C38" s="341">
        <f ca="1">IF(G3&lt;&gt;"",COUNTIFS(DSDV!$AJ$7:$AJ$216,"&lt;="&amp;35,DSDV!$AJ$7:$AJ$216,"&gt;="&amp;31,DSDV!$W$7:$W$216,G3),COUNTIFS(DSDV!$AJ$7:$AJ$216,"&lt;="&amp;35,DSDV!$AJ$7:$AJ$216,"&gt;="&amp;31))</f>
        <v>0</v>
      </c>
    </row>
    <row r="39" spans="1:3" ht="19.899999999999999" customHeight="1">
      <c r="A39" s="498"/>
      <c r="B39" s="340" t="s">
        <v>242</v>
      </c>
      <c r="C39" s="341">
        <f ca="1">IF(G3&lt;&gt;"",COUNTIFS(DSDV!$AJ$7:$AJ$216,"&lt;="&amp;40,DSDV!$AJ$7:$AJ$216,"&gt;="&amp;36,DSDV!$W$7:$W$216,G3),COUNTIFS(DSDV!$AJ$7:$AJ$216,"&lt;="&amp;40,DSDV!$AJ$7:$AJ$216,"&gt;="&amp;36))</f>
        <v>1</v>
      </c>
    </row>
    <row r="40" spans="1:3" ht="19.899999999999999" customHeight="1">
      <c r="A40" s="498"/>
      <c r="B40" s="340" t="s">
        <v>243</v>
      </c>
      <c r="C40" s="341">
        <f ca="1">IF(G3&lt;&gt;"",COUNTIFS(DSDV!$AJ$7:$AJ$216,"&lt;="&amp;45,DSDV!$AJ$7:$AJ$216,"&gt;="&amp;41,DSDV!$W$7:$W$216,G3),COUNTIFS(DSDV!$AJ$7:$AJ$216,"&lt;="&amp;45,DSDV!$AJ$7:$AJ$216,"&gt;="&amp;41))</f>
        <v>0</v>
      </c>
    </row>
    <row r="41" spans="1:3" ht="19.899999999999999" customHeight="1">
      <c r="A41" s="498"/>
      <c r="B41" s="340" t="s">
        <v>244</v>
      </c>
      <c r="C41" s="341">
        <f ca="1">IF(G3&lt;&gt;"",COUNTIFS(DSDV!$AJ$7:$AJ$216,"&lt;="&amp;50,DSDV!$AJ$7:$AJ$216,"&gt;="&amp;46,DSDV!$W$7:$W$216,G3),COUNTIFS(DSDV!$AJ$7:$AJ$216,"&lt;="&amp;50,DSDV!$AJ$7:$AJ$216,"&gt;="&amp;46))</f>
        <v>0</v>
      </c>
    </row>
    <row r="42" spans="1:3" ht="19.899999999999999" customHeight="1">
      <c r="A42" s="498"/>
      <c r="B42" s="340" t="s">
        <v>245</v>
      </c>
      <c r="C42" s="341">
        <f ca="1">IF(G3&lt;&gt;"",COUNTIFS(DSDV!$AJ$7:$AJ$216,"&lt;="&amp;55,DSDV!$AJ$7:$AJ$216,"&gt;="&amp;51,DSDV!$W$7:$W$216,G3),COUNTIFS(DSDV!$AJ$7:$AJ$216,"&lt;="&amp;55,DSDV!$AJ$7:$AJ$216,"&gt;="&amp;51))</f>
        <v>0</v>
      </c>
    </row>
    <row r="43" spans="1:3" ht="19.899999999999999" customHeight="1">
      <c r="A43" s="498"/>
      <c r="B43" s="340" t="s">
        <v>246</v>
      </c>
      <c r="C43" s="341">
        <f ca="1">(SUM(DSDV!$AJ$7:$AJ$216))/COUNTIFS(DSDV!$AJ$7:$AJ$216,"&gt;"&amp;0)</f>
        <v>32</v>
      </c>
    </row>
    <row r="44" spans="1:3" ht="19.899999999999999" customHeight="1">
      <c r="A44" s="495" t="s">
        <v>131</v>
      </c>
      <c r="B44" s="350" t="s">
        <v>491</v>
      </c>
      <c r="C44" s="347">
        <f>IF(G3&lt;&gt;"",COUNTIFS(DSDV!$T$7:$T$216,ThietLap!$F$9,DSDV!$W$7:$W$216,G3),COUNTIFS(DSDV!$T$7:$T$216,ThietLap!$F$9))</f>
        <v>0</v>
      </c>
    </row>
    <row r="45" spans="1:3" ht="19.899999999999999" customHeight="1">
      <c r="A45" s="495"/>
      <c r="B45" s="350" t="s">
        <v>492</v>
      </c>
      <c r="C45" s="347">
        <f>IF(G3&lt;&gt;"",COUNTIFS(DSDV!$T$7:$T$216,ThietLap!$F$10,DSDV!$W$7:$W$216,G3),COUNTIFS(DSDV!$T$7:$T$216,ThietLap!$F$10))</f>
        <v>0</v>
      </c>
    </row>
    <row r="46" spans="1:3" ht="19.899999999999999" customHeight="1">
      <c r="A46" s="495"/>
      <c r="B46" s="350" t="s">
        <v>134</v>
      </c>
      <c r="C46" s="347">
        <f>IF(G3&lt;&gt;"",COUNTIFS(DSDV!$T$7:$T$216,ThietLap!$F$11,DSDV!$W$7:$W$216,G3),COUNTIFS(DSDV!$T$7:$T$216,ThietLap!$F$11))</f>
        <v>0</v>
      </c>
    </row>
    <row r="47" spans="1:3" ht="19.899999999999999" customHeight="1">
      <c r="A47" s="495"/>
      <c r="B47" s="350" t="s">
        <v>133</v>
      </c>
      <c r="C47" s="347">
        <f>IF(G3&lt;&gt;"",COUNTIFS(DSDV!$T$7:$T$216,ThietLap!$F$12,DSDV!$W$7:$W$216,G3),COUNTIFS(DSDV!$T$7:$T$216,ThietLap!$F$12))</f>
        <v>0</v>
      </c>
    </row>
    <row r="48" spans="1:3" ht="19.899999999999999" customHeight="1">
      <c r="A48" s="495"/>
      <c r="B48" s="350" t="s">
        <v>493</v>
      </c>
      <c r="C48" s="347">
        <f>IF(G3&lt;&gt;"",COUNTIFS(DSDV!$T$7:$T$216,ThietLap!$F$13,DSDV!$W$7:$W$216,G3),COUNTIFS(DSDV!$T$7:$T$216,ThietLap!$F$13))</f>
        <v>0</v>
      </c>
    </row>
    <row r="49" spans="1:3" ht="19.899999999999999" customHeight="1">
      <c r="A49" s="495"/>
      <c r="B49" s="350" t="s">
        <v>135</v>
      </c>
      <c r="C49" s="347">
        <f>IF(G3&lt;&gt;"",COUNTIFS(DSDV!$T$7:$T$216,ThietLap!$F$14,DSDV!$W$7:$W$216,G3),COUNTIFS(DSDV!$T$7:$T$216,ThietLap!$F$14))</f>
        <v>1</v>
      </c>
    </row>
    <row r="50" spans="1:3" ht="16.5">
      <c r="A50" s="495"/>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28" t="s">
        <v>144</v>
      </c>
      <c r="B1" s="529"/>
      <c r="C1" s="529"/>
      <c r="D1" s="529"/>
      <c r="E1" s="529"/>
      <c r="F1" s="529"/>
      <c r="G1" s="529"/>
      <c r="H1" s="529"/>
      <c r="I1" s="529"/>
      <c r="J1" s="32"/>
      <c r="K1" s="16"/>
      <c r="L1" s="16"/>
      <c r="M1" s="16"/>
      <c r="N1" s="16"/>
      <c r="O1" s="16"/>
      <c r="P1" s="16"/>
      <c r="Q1" s="16"/>
    </row>
    <row r="2" spans="1:17" ht="6" customHeight="1">
      <c r="A2" s="510" t="s">
        <v>157</v>
      </c>
      <c r="B2" s="49"/>
      <c r="C2" s="50"/>
      <c r="D2" s="50"/>
      <c r="E2" s="50"/>
      <c r="F2" s="50"/>
      <c r="G2" s="50"/>
      <c r="H2" s="50"/>
      <c r="I2" s="51"/>
      <c r="J2" s="32"/>
      <c r="K2" s="16"/>
      <c r="L2" s="16"/>
      <c r="M2" s="16"/>
      <c r="N2" s="16"/>
      <c r="O2" s="16"/>
      <c r="P2" s="16"/>
      <c r="Q2" s="16"/>
    </row>
    <row r="3" spans="1:17" ht="22.35" customHeight="1">
      <c r="A3" s="511"/>
      <c r="B3" s="52" t="s">
        <v>155</v>
      </c>
      <c r="C3" s="514"/>
      <c r="D3" s="515"/>
      <c r="E3" s="518" t="s">
        <v>158</v>
      </c>
      <c r="F3" s="519"/>
      <c r="G3" s="534"/>
      <c r="H3" s="535"/>
      <c r="I3" s="53"/>
      <c r="J3" s="32"/>
      <c r="K3" s="16"/>
      <c r="L3" s="16"/>
      <c r="M3" s="16"/>
      <c r="N3" s="16"/>
      <c r="O3" s="16"/>
      <c r="P3" s="16"/>
      <c r="Q3" s="16"/>
    </row>
    <row r="4" spans="1:17" ht="6" customHeight="1">
      <c r="A4" s="512"/>
      <c r="B4" s="108"/>
      <c r="C4" s="54"/>
      <c r="D4" s="54"/>
      <c r="E4" s="107"/>
      <c r="F4" s="107"/>
      <c r="G4" s="54"/>
      <c r="H4" s="54"/>
      <c r="I4" s="53"/>
      <c r="J4" s="32"/>
      <c r="K4" s="16"/>
      <c r="L4" s="16"/>
      <c r="M4" s="16"/>
      <c r="N4" s="16"/>
      <c r="O4" s="16"/>
      <c r="P4" s="16"/>
      <c r="Q4" s="16"/>
    </row>
    <row r="5" spans="1:17" ht="22.35" customHeight="1">
      <c r="A5" s="511"/>
      <c r="B5" s="52" t="s">
        <v>156</v>
      </c>
      <c r="C5" s="514"/>
      <c r="D5" s="515"/>
      <c r="E5" s="518" t="s">
        <v>159</v>
      </c>
      <c r="F5" s="519"/>
      <c r="G5" s="534"/>
      <c r="H5" s="535"/>
      <c r="I5" s="53"/>
      <c r="J5" s="32"/>
      <c r="K5" s="16"/>
      <c r="L5" s="16"/>
      <c r="M5" s="16"/>
      <c r="N5" s="16"/>
      <c r="O5" s="16"/>
      <c r="P5" s="16"/>
      <c r="Q5" s="16"/>
    </row>
    <row r="6" spans="1:17" ht="6" customHeight="1">
      <c r="A6" s="511"/>
      <c r="B6" s="108"/>
      <c r="C6" s="54"/>
      <c r="D6" s="107"/>
      <c r="E6" s="107"/>
      <c r="F6" s="107"/>
      <c r="G6" s="54"/>
      <c r="H6" s="54"/>
      <c r="I6" s="53"/>
      <c r="J6" s="32"/>
      <c r="K6" s="16"/>
      <c r="L6" s="16"/>
      <c r="M6" s="16"/>
      <c r="N6" s="16"/>
      <c r="O6" s="16"/>
      <c r="P6" s="16"/>
      <c r="Q6" s="16"/>
    </row>
    <row r="7" spans="1:17" ht="22.35" customHeight="1">
      <c r="A7" s="511"/>
      <c r="B7" s="52" t="s">
        <v>462</v>
      </c>
      <c r="C7" s="186"/>
      <c r="D7" s="536"/>
      <c r="E7" s="536"/>
      <c r="F7" s="536"/>
      <c r="G7" s="534"/>
      <c r="H7" s="535"/>
      <c r="I7" s="53"/>
      <c r="J7" s="32"/>
      <c r="K7" s="16"/>
      <c r="L7" s="16"/>
      <c r="M7" s="16"/>
      <c r="N7" s="16"/>
      <c r="O7" s="16"/>
      <c r="P7" s="16"/>
      <c r="Q7" s="16"/>
    </row>
    <row r="8" spans="1:17" ht="6.75" customHeight="1">
      <c r="A8" s="513"/>
      <c r="B8" s="54"/>
      <c r="C8" s="54"/>
      <c r="D8" s="54"/>
      <c r="E8" s="54"/>
      <c r="F8" s="54"/>
      <c r="G8" s="54"/>
      <c r="H8" s="54"/>
      <c r="I8" s="55"/>
      <c r="J8" s="32"/>
      <c r="K8" s="16"/>
      <c r="L8" s="16"/>
      <c r="M8" s="16"/>
      <c r="N8" s="16"/>
      <c r="O8" s="16"/>
      <c r="P8" s="16"/>
      <c r="Q8" s="16"/>
    </row>
    <row r="9" spans="1:17" ht="7.5" customHeight="1">
      <c r="A9" s="530" t="s">
        <v>19</v>
      </c>
      <c r="B9" s="33"/>
      <c r="C9" s="33"/>
      <c r="D9" s="33"/>
      <c r="E9" s="33"/>
      <c r="F9" s="33"/>
      <c r="G9" s="33"/>
      <c r="H9" s="33"/>
      <c r="I9" s="34"/>
      <c r="J9" s="32"/>
      <c r="K9" s="16"/>
      <c r="L9" s="16"/>
      <c r="M9" s="16"/>
      <c r="N9" s="16"/>
      <c r="O9" s="16"/>
      <c r="P9" s="16"/>
      <c r="Q9" s="16"/>
    </row>
    <row r="10" spans="1:17" ht="22.35" customHeight="1">
      <c r="A10" s="531"/>
      <c r="B10" s="31" t="s">
        <v>94</v>
      </c>
      <c r="C10" s="533"/>
      <c r="D10" s="533"/>
      <c r="E10" s="86" t="s">
        <v>249</v>
      </c>
      <c r="F10" s="533"/>
      <c r="G10" s="533"/>
      <c r="H10" s="88"/>
      <c r="I10" s="35"/>
      <c r="J10" s="32"/>
      <c r="K10" s="16"/>
      <c r="L10" s="16"/>
      <c r="M10" s="16"/>
      <c r="N10" s="16"/>
      <c r="O10" s="16"/>
      <c r="P10" s="16"/>
      <c r="Q10" s="16"/>
    </row>
    <row r="11" spans="1:17" ht="7.5" customHeight="1">
      <c r="A11" s="531"/>
      <c r="B11" s="36"/>
      <c r="C11" s="36"/>
      <c r="D11" s="36"/>
      <c r="E11" s="36"/>
      <c r="F11" s="36"/>
      <c r="G11" s="36"/>
      <c r="H11" s="88"/>
      <c r="I11" s="35"/>
      <c r="J11" s="32"/>
      <c r="K11" s="16"/>
      <c r="L11" s="16"/>
      <c r="M11" s="16"/>
      <c r="N11" s="16"/>
      <c r="O11" s="16"/>
      <c r="P11" s="16"/>
      <c r="Q11" s="16"/>
    </row>
    <row r="12" spans="1:17" ht="21" customHeight="1">
      <c r="A12" s="531"/>
      <c r="B12" s="31" t="s">
        <v>10</v>
      </c>
      <c r="C12" s="18"/>
      <c r="D12" s="59" t="s">
        <v>1</v>
      </c>
      <c r="E12" s="17"/>
      <c r="F12" s="86" t="s">
        <v>95</v>
      </c>
      <c r="G12" s="17"/>
      <c r="H12" s="88"/>
      <c r="I12" s="35"/>
      <c r="J12" s="32"/>
      <c r="K12" s="16"/>
      <c r="L12" s="16"/>
      <c r="M12" s="16"/>
      <c r="N12" s="16"/>
      <c r="O12" s="16"/>
      <c r="P12" s="16"/>
      <c r="Q12" s="16"/>
    </row>
    <row r="13" spans="1:17" ht="7.5" customHeight="1">
      <c r="A13" s="531"/>
      <c r="B13" s="36"/>
      <c r="C13" s="36"/>
      <c r="D13" s="36"/>
      <c r="E13" s="36"/>
      <c r="F13" s="36"/>
      <c r="G13" s="36"/>
      <c r="H13" s="36"/>
      <c r="I13" s="35"/>
      <c r="J13" s="32"/>
      <c r="K13" s="16"/>
      <c r="L13" s="16"/>
      <c r="M13" s="16"/>
      <c r="N13" s="16"/>
      <c r="O13" s="16"/>
      <c r="P13" s="16"/>
      <c r="Q13" s="16"/>
    </row>
    <row r="14" spans="1:17" ht="22.35" customHeight="1">
      <c r="A14" s="531"/>
      <c r="B14" s="31" t="s">
        <v>111</v>
      </c>
      <c r="C14" s="18"/>
      <c r="D14" s="59" t="s">
        <v>112</v>
      </c>
      <c r="E14" s="18"/>
      <c r="F14" s="31" t="s">
        <v>3</v>
      </c>
      <c r="G14" s="533"/>
      <c r="H14" s="533"/>
      <c r="I14" s="35"/>
      <c r="J14" s="32"/>
      <c r="K14" s="16"/>
      <c r="L14" s="16"/>
      <c r="M14" s="16"/>
      <c r="N14" s="16"/>
      <c r="O14" s="16"/>
      <c r="P14" s="16"/>
      <c r="Q14" s="16"/>
    </row>
    <row r="15" spans="1:17" ht="7.5" customHeight="1">
      <c r="A15" s="531"/>
      <c r="B15" s="36"/>
      <c r="C15" s="36"/>
      <c r="D15" s="36"/>
      <c r="E15" s="36"/>
      <c r="F15" s="36"/>
      <c r="G15" s="36"/>
      <c r="H15" s="36"/>
      <c r="I15" s="35"/>
      <c r="J15" s="32"/>
      <c r="K15" s="16"/>
      <c r="L15" s="16"/>
      <c r="M15" s="16"/>
      <c r="N15" s="16"/>
      <c r="O15" s="16"/>
      <c r="P15" s="16"/>
      <c r="Q15" s="16"/>
    </row>
    <row r="16" spans="1:17" ht="22.35" customHeight="1">
      <c r="A16" s="531"/>
      <c r="B16" s="87" t="s">
        <v>116</v>
      </c>
      <c r="C16" s="524"/>
      <c r="D16" s="525"/>
      <c r="E16" s="525"/>
      <c r="F16" s="525"/>
      <c r="G16" s="525"/>
      <c r="H16" s="526"/>
      <c r="I16" s="35"/>
      <c r="J16" s="32"/>
      <c r="K16" s="16"/>
      <c r="L16" s="16"/>
      <c r="M16" s="16"/>
      <c r="N16" s="16"/>
      <c r="O16" s="16"/>
      <c r="P16" s="16"/>
      <c r="Q16" s="16"/>
    </row>
    <row r="17" spans="1:17" ht="7.5" customHeight="1">
      <c r="A17" s="531"/>
      <c r="B17" s="36"/>
      <c r="C17" s="36"/>
      <c r="D17" s="36"/>
      <c r="E17" s="36"/>
      <c r="F17" s="36"/>
      <c r="G17" s="36"/>
      <c r="H17" s="36"/>
      <c r="I17" s="35"/>
      <c r="J17" s="32"/>
      <c r="K17" s="16"/>
      <c r="L17" s="16"/>
      <c r="M17" s="16"/>
      <c r="N17" s="16"/>
      <c r="O17" s="16"/>
      <c r="P17" s="16"/>
      <c r="Q17" s="16"/>
    </row>
    <row r="18" spans="1:17" ht="22.35" customHeight="1">
      <c r="A18" s="531"/>
      <c r="B18" s="31" t="s">
        <v>117</v>
      </c>
      <c r="C18" s="524"/>
      <c r="D18" s="525"/>
      <c r="E18" s="525"/>
      <c r="F18" s="525"/>
      <c r="G18" s="525"/>
      <c r="H18" s="526"/>
      <c r="I18" s="35"/>
      <c r="J18" s="32"/>
      <c r="K18" s="16"/>
      <c r="L18" s="16"/>
      <c r="M18" s="16"/>
      <c r="N18" s="16"/>
      <c r="O18" s="16"/>
      <c r="P18" s="16"/>
      <c r="Q18" s="16"/>
    </row>
    <row r="19" spans="1:17" ht="8.25" customHeight="1">
      <c r="A19" s="532"/>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08"/>
      <c r="B21" s="44" t="s">
        <v>118</v>
      </c>
      <c r="C21" s="116"/>
      <c r="D21" s="44" t="s">
        <v>119</v>
      </c>
      <c r="E21" s="116"/>
      <c r="F21" s="44" t="s">
        <v>131</v>
      </c>
      <c r="G21" s="522"/>
      <c r="H21" s="523"/>
      <c r="I21" s="45"/>
      <c r="J21" s="32"/>
      <c r="K21" s="16"/>
      <c r="L21" s="16"/>
      <c r="M21" s="16"/>
      <c r="N21" s="16"/>
      <c r="O21" s="16"/>
      <c r="P21" s="16"/>
      <c r="Q21" s="16"/>
    </row>
    <row r="22" spans="1:17" ht="6.75" customHeight="1">
      <c r="A22" s="508"/>
      <c r="B22" s="106"/>
      <c r="C22" s="105"/>
      <c r="D22" s="44"/>
      <c r="E22" s="105"/>
      <c r="F22" s="105"/>
      <c r="G22" s="44"/>
      <c r="H22" s="105"/>
      <c r="I22" s="45"/>
      <c r="J22" s="32"/>
      <c r="K22" s="16"/>
      <c r="L22" s="16"/>
      <c r="M22" s="16"/>
      <c r="N22" s="16"/>
      <c r="O22" s="16"/>
      <c r="P22" s="16"/>
      <c r="Q22" s="16"/>
    </row>
    <row r="23" spans="1:17" ht="22.35" customHeight="1">
      <c r="A23" s="508"/>
      <c r="B23" s="44" t="s">
        <v>136</v>
      </c>
      <c r="C23" s="17"/>
      <c r="D23" s="44" t="s">
        <v>137</v>
      </c>
      <c r="E23" s="524"/>
      <c r="F23" s="525"/>
      <c r="G23" s="525"/>
      <c r="H23" s="526"/>
      <c r="I23" s="45"/>
      <c r="J23" s="32"/>
      <c r="K23" s="16"/>
      <c r="L23" s="16"/>
      <c r="M23" s="16"/>
      <c r="N23" s="16"/>
      <c r="O23" s="16"/>
      <c r="P23" s="16"/>
      <c r="Q23" s="16"/>
    </row>
    <row r="24" spans="1:17" ht="7.5" customHeight="1">
      <c r="A24" s="508"/>
      <c r="B24" s="106"/>
      <c r="C24" s="105"/>
      <c r="D24" s="44"/>
      <c r="E24" s="105"/>
      <c r="F24" s="105"/>
      <c r="G24" s="44"/>
      <c r="H24" s="105"/>
      <c r="I24" s="45"/>
      <c r="J24" s="32"/>
      <c r="K24" s="16"/>
      <c r="L24" s="16"/>
      <c r="M24" s="16"/>
      <c r="N24" s="16"/>
      <c r="O24" s="16"/>
      <c r="P24" s="16"/>
      <c r="Q24" s="16"/>
    </row>
    <row r="25" spans="1:17" ht="22.35" customHeight="1">
      <c r="A25" s="508"/>
      <c r="B25" s="44" t="s">
        <v>138</v>
      </c>
      <c r="C25" s="17"/>
      <c r="D25" s="44" t="s">
        <v>137</v>
      </c>
      <c r="E25" s="524"/>
      <c r="F25" s="525"/>
      <c r="G25" s="525"/>
      <c r="H25" s="526"/>
      <c r="I25" s="45"/>
      <c r="J25" s="32"/>
      <c r="K25" s="16"/>
      <c r="L25" s="16"/>
      <c r="M25" s="16"/>
      <c r="N25" s="16"/>
      <c r="O25" s="16"/>
      <c r="P25" s="16"/>
      <c r="Q25" s="16"/>
    </row>
    <row r="26" spans="1:17" ht="6" customHeight="1">
      <c r="A26" s="508"/>
      <c r="B26" s="106"/>
      <c r="C26" s="105"/>
      <c r="D26" s="44"/>
      <c r="E26" s="105"/>
      <c r="F26" s="105"/>
      <c r="G26" s="44"/>
      <c r="H26" s="105"/>
      <c r="I26" s="45"/>
      <c r="J26" s="32"/>
      <c r="K26" s="16"/>
      <c r="L26" s="16"/>
      <c r="M26" s="16"/>
      <c r="N26" s="16"/>
      <c r="O26" s="16"/>
      <c r="P26" s="16"/>
      <c r="Q26" s="16"/>
    </row>
    <row r="27" spans="1:17" ht="22.35" customHeight="1">
      <c r="A27" s="508"/>
      <c r="B27" s="44" t="s">
        <v>139</v>
      </c>
      <c r="C27" s="17"/>
      <c r="D27" s="44" t="s">
        <v>141</v>
      </c>
      <c r="E27" s="17"/>
      <c r="F27" s="44" t="s">
        <v>140</v>
      </c>
      <c r="G27" s="506"/>
      <c r="H27" s="507"/>
      <c r="I27" s="45"/>
      <c r="J27" s="32"/>
      <c r="K27" s="16"/>
      <c r="L27" s="16"/>
      <c r="M27" s="16"/>
      <c r="N27" s="16"/>
      <c r="O27" s="16"/>
      <c r="P27" s="16"/>
      <c r="Q27" s="16"/>
    </row>
    <row r="28" spans="1:17" ht="6" customHeight="1">
      <c r="A28" s="509"/>
      <c r="B28" s="46"/>
      <c r="C28" s="47"/>
      <c r="D28" s="46"/>
      <c r="E28" s="47"/>
      <c r="F28" s="47"/>
      <c r="G28" s="46"/>
      <c r="H28" s="47"/>
      <c r="I28" s="48"/>
      <c r="J28" s="32"/>
      <c r="K28" s="16"/>
      <c r="L28" s="16"/>
      <c r="M28" s="16"/>
      <c r="N28" s="16"/>
      <c r="O28" s="16"/>
      <c r="P28" s="16"/>
      <c r="Q28" s="16"/>
    </row>
    <row r="29" spans="1:17" ht="7.5" customHeight="1">
      <c r="A29" s="510" t="s">
        <v>154</v>
      </c>
      <c r="B29" s="49"/>
      <c r="C29" s="50"/>
      <c r="D29" s="50"/>
      <c r="E29" s="50"/>
      <c r="F29" s="50"/>
      <c r="G29" s="50"/>
      <c r="H29" s="50"/>
      <c r="I29" s="51"/>
      <c r="J29" s="32"/>
      <c r="K29" s="16"/>
      <c r="L29" s="16"/>
      <c r="M29" s="16"/>
      <c r="N29" s="16"/>
      <c r="O29" s="16"/>
      <c r="P29" s="16"/>
      <c r="Q29" s="16"/>
    </row>
    <row r="30" spans="1:17" ht="22.35" customHeight="1">
      <c r="A30" s="511"/>
      <c r="B30" s="52" t="s">
        <v>142</v>
      </c>
      <c r="C30" s="520"/>
      <c r="D30" s="521"/>
      <c r="E30" s="109" t="s">
        <v>143</v>
      </c>
      <c r="F30" s="516"/>
      <c r="G30" s="527"/>
      <c r="H30" s="517"/>
      <c r="I30" s="53"/>
      <c r="J30" s="32"/>
      <c r="K30" s="16"/>
      <c r="L30" s="16"/>
      <c r="M30" s="16"/>
      <c r="N30" s="16"/>
      <c r="O30" s="16"/>
      <c r="P30" s="16"/>
      <c r="Q30" s="16"/>
    </row>
    <row r="31" spans="1:17" ht="7.5" customHeight="1">
      <c r="A31" s="512"/>
      <c r="B31" s="108"/>
      <c r="C31" s="54"/>
      <c r="D31" s="54"/>
      <c r="E31" s="107"/>
      <c r="F31" s="107"/>
      <c r="G31" s="54"/>
      <c r="H31" s="54"/>
      <c r="I31" s="53"/>
      <c r="J31" s="32"/>
      <c r="K31" s="16"/>
      <c r="L31" s="16"/>
      <c r="M31" s="16"/>
      <c r="N31" s="16"/>
      <c r="O31" s="16"/>
      <c r="P31" s="16"/>
      <c r="Q31" s="16"/>
    </row>
    <row r="32" spans="1:17" ht="22.35" customHeight="1">
      <c r="A32" s="511"/>
      <c r="B32" s="52" t="s">
        <v>145</v>
      </c>
      <c r="C32" s="514"/>
      <c r="D32" s="515"/>
      <c r="E32" s="518" t="s">
        <v>146</v>
      </c>
      <c r="F32" s="519"/>
      <c r="G32" s="516"/>
      <c r="H32" s="517"/>
      <c r="I32" s="53"/>
      <c r="J32" s="32"/>
      <c r="K32" s="16"/>
      <c r="L32" s="16"/>
      <c r="M32" s="16"/>
      <c r="N32" s="16"/>
      <c r="O32" s="16"/>
      <c r="P32" s="16"/>
      <c r="Q32" s="16"/>
    </row>
    <row r="33" spans="1:17" ht="7.5" customHeight="1">
      <c r="A33" s="511"/>
      <c r="B33" s="108"/>
      <c r="C33" s="54"/>
      <c r="D33" s="54"/>
      <c r="E33" s="107"/>
      <c r="F33" s="107"/>
      <c r="G33" s="54"/>
      <c r="H33" s="54"/>
      <c r="I33" s="53"/>
      <c r="J33" s="32"/>
      <c r="K33" s="16"/>
      <c r="L33" s="16"/>
      <c r="M33" s="16"/>
      <c r="N33" s="16"/>
      <c r="O33" s="16"/>
      <c r="P33" s="16"/>
      <c r="Q33" s="16"/>
    </row>
    <row r="34" spans="1:17" ht="22.35" customHeight="1">
      <c r="A34" s="511"/>
      <c r="B34" s="52" t="s">
        <v>471</v>
      </c>
      <c r="C34" s="524"/>
      <c r="D34" s="525"/>
      <c r="E34" s="525"/>
      <c r="F34" s="525"/>
      <c r="G34" s="525"/>
      <c r="H34" s="526"/>
      <c r="I34" s="53"/>
      <c r="J34" s="32"/>
      <c r="K34" s="16"/>
      <c r="L34" s="16"/>
      <c r="M34" s="16"/>
      <c r="N34" s="16"/>
      <c r="O34" s="16"/>
      <c r="P34" s="16"/>
      <c r="Q34" s="16"/>
    </row>
    <row r="35" spans="1:17" ht="7.5" customHeight="1">
      <c r="A35" s="513"/>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37">
        <f>IF(DSDV!K7&lt;&gt;"",DSDV!K7,"")</f>
        <v>34700</v>
      </c>
      <c r="D2" s="417" t="str">
        <f>IF(DSDV!W7&lt;&gt;"",DSDV!W7,"")</f>
        <v>BỘ THAM MƯU</v>
      </c>
    </row>
    <row r="3" spans="1:5">
      <c r="A3">
        <f>IF(DSDV!B8&lt;&gt;"",DSDV!B8,"")</f>
        <v>170608</v>
      </c>
      <c r="B3" t="str">
        <f>IF(DSDV!G8&lt;&gt;"",DSDV!G8,"")</f>
        <v>Nguyễn Khánh</v>
      </c>
      <c r="C3" s="237">
        <f>IF(DSDV!K8&lt;&gt;"",DSDV!K8,"")</f>
        <v>35001</v>
      </c>
      <c r="D3" s="417" t="str">
        <f>IF(DSDV!W8&lt;&gt;"",DSDV!W8,"")</f>
        <v>BỘ THAM MƯU</v>
      </c>
    </row>
    <row r="4" spans="1:5">
      <c r="A4">
        <f>IF(DSDV!B9&lt;&gt;"",DSDV!B9,"")</f>
        <v>920016</v>
      </c>
      <c r="B4" t="str">
        <f>IF(DSDV!G9&lt;&gt;"",DSDV!G9,"")</f>
        <v>Lê Duy Nguyện</v>
      </c>
      <c r="C4" s="237">
        <f>IF(DSDV!K9&lt;&gt;"",DSDV!K9,"")</f>
        <v>30339</v>
      </c>
      <c r="D4" s="417" t="str">
        <f>IF(DSDV!W9&lt;&gt;"",DSDV!W9,"")</f>
        <v>CỤC CHÍNH TRỊ</v>
      </c>
    </row>
    <row r="5" spans="1:5">
      <c r="A5" t="str">
        <f>IF(DSDV!B10&lt;&gt;"",DSDV!B10,"")</f>
        <v/>
      </c>
      <c r="B5" t="str">
        <f>IF(DSDV!G10&lt;&gt;"",DSDV!G10,"")</f>
        <v/>
      </c>
      <c r="C5" s="237" t="str">
        <f>IF(DSDV!K10&lt;&gt;"",DSDV!K10,"")</f>
        <v/>
      </c>
      <c r="D5" s="417" t="str">
        <f>IF(DSDV!W10&lt;&gt;"",DSDV!W10,"")</f>
        <v/>
      </c>
    </row>
    <row r="6" spans="1:5">
      <c r="A6" t="str">
        <f>IF(DSDV!B11&lt;&gt;"",DSDV!B11,"")</f>
        <v/>
      </c>
      <c r="B6" t="str">
        <f>IF(DSDV!G11&lt;&gt;"",DSDV!G11,"")</f>
        <v/>
      </c>
      <c r="C6" s="237" t="str">
        <f>IF(DSDV!K11&lt;&gt;"",DSDV!K11,"")</f>
        <v/>
      </c>
      <c r="D6" s="417" t="str">
        <f>IF(DSDV!W11&lt;&gt;"",DSDV!W11,"")</f>
        <v/>
      </c>
    </row>
    <row r="7" spans="1:5">
      <c r="A7" t="str">
        <f>IF(DSDV!B12&lt;&gt;"",DSDV!B12,"")</f>
        <v/>
      </c>
      <c r="B7" t="str">
        <f>IF(DSDV!G12&lt;&gt;"",DSDV!G12,"")</f>
        <v/>
      </c>
      <c r="C7" s="237" t="str">
        <f>IF(DSDV!K12&lt;&gt;"",DSDV!K12,"")</f>
        <v/>
      </c>
      <c r="D7" s="417" t="str">
        <f>IF(DSDV!W12&lt;&gt;"",DSDV!W12,"")</f>
        <v/>
      </c>
    </row>
    <row r="8" spans="1:5">
      <c r="A8" t="str">
        <f>IF(DSDV!B13&lt;&gt;"",DSDV!B13,"")</f>
        <v/>
      </c>
      <c r="B8" t="str">
        <f>IF(DSDV!G13&lt;&gt;"",DSDV!G13,"")</f>
        <v/>
      </c>
      <c r="C8" s="237" t="str">
        <f>IF(DSDV!K13&lt;&gt;"",DSDV!K13,"")</f>
        <v/>
      </c>
      <c r="D8" s="417" t="str">
        <f>IF(DSDV!W13&lt;&gt;"",DSDV!W13,"")</f>
        <v/>
      </c>
    </row>
    <row r="9" spans="1:5">
      <c r="A9" t="str">
        <f>IF(DSDV!B14&lt;&gt;"",DSDV!B14,"")</f>
        <v/>
      </c>
      <c r="B9" t="str">
        <f>IF(DSDV!G14&lt;&gt;"",DSDV!G14,"")</f>
        <v/>
      </c>
      <c r="C9" s="237" t="str">
        <f>IF(DSDV!K14&lt;&gt;"",DSDV!K14,"")</f>
        <v/>
      </c>
      <c r="D9" s="417" t="str">
        <f>IF(DSDV!W14&lt;&gt;"",DSDV!W14,"")</f>
        <v/>
      </c>
    </row>
    <row r="10" spans="1:5">
      <c r="A10" t="str">
        <f>IF(DSDV!B15&lt;&gt;"",DSDV!B15,"")</f>
        <v/>
      </c>
      <c r="B10" t="str">
        <f>IF(DSDV!G15&lt;&gt;"",DSDV!G15,"")</f>
        <v/>
      </c>
      <c r="C10" s="237" t="str">
        <f>IF(DSDV!K15&lt;&gt;"",DSDV!K15,"")</f>
        <v/>
      </c>
      <c r="D10" s="417" t="str">
        <f>IF(DSDV!W15&lt;&gt;"",DSDV!W15,"")</f>
        <v/>
      </c>
    </row>
    <row r="11" spans="1:5">
      <c r="A11" t="str">
        <f>IF(DSDV!B16&lt;&gt;"",DSDV!B16,"")</f>
        <v/>
      </c>
      <c r="B11" t="str">
        <f>IF(DSDV!G16&lt;&gt;"",DSDV!G16,"")</f>
        <v/>
      </c>
      <c r="C11" s="237" t="str">
        <f>IF(DSDV!K16&lt;&gt;"",DSDV!K16,"")</f>
        <v/>
      </c>
      <c r="D11" s="417" t="str">
        <f>IF(DSDV!W16&lt;&gt;"",DSDV!W16,"")</f>
        <v/>
      </c>
    </row>
    <row r="12" spans="1:5">
      <c r="A12" t="str">
        <f>IF(DSDV!B17&lt;&gt;"",DSDV!B17,"")</f>
        <v/>
      </c>
      <c r="B12" t="str">
        <f>IF(DSDV!G17&lt;&gt;"",DSDV!G17,"")</f>
        <v/>
      </c>
      <c r="C12" s="237" t="str">
        <f>IF(DSDV!K17&lt;&gt;"",DSDV!K17,"")</f>
        <v/>
      </c>
      <c r="D12" s="417" t="str">
        <f>IF(DSDV!W17&lt;&gt;"",DSDV!W17,"")</f>
        <v/>
      </c>
    </row>
    <row r="13" spans="1:5">
      <c r="A13" t="str">
        <f>IF(DSDV!B18&lt;&gt;"",DSDV!B18,"")</f>
        <v/>
      </c>
      <c r="B13" t="str">
        <f>IF(DSDV!G18&lt;&gt;"",DSDV!G18,"")</f>
        <v/>
      </c>
      <c r="C13" s="237" t="str">
        <f>IF(DSDV!K18&lt;&gt;"",DSDV!K18,"")</f>
        <v/>
      </c>
      <c r="D13" s="417" t="str">
        <f>IF(DSDV!W18&lt;&gt;"",DSDV!W18,"")</f>
        <v/>
      </c>
    </row>
    <row r="14" spans="1:5">
      <c r="A14" t="str">
        <f>IF(DSDV!B19&lt;&gt;"",DSDV!B19,"")</f>
        <v/>
      </c>
      <c r="B14" t="str">
        <f>IF(DSDV!G19&lt;&gt;"",DSDV!G19,"")</f>
        <v/>
      </c>
      <c r="C14" s="237" t="str">
        <f>IF(DSDV!K19&lt;&gt;"",DSDV!K19,"")</f>
        <v/>
      </c>
      <c r="D14" s="417" t="str">
        <f>IF(DSDV!W19&lt;&gt;"",DSDV!W19,"")</f>
        <v/>
      </c>
    </row>
    <row r="15" spans="1:5">
      <c r="A15" t="str">
        <f>IF(DSDV!B20&lt;&gt;"",DSDV!B20,"")</f>
        <v/>
      </c>
      <c r="B15" t="str">
        <f>IF(DSDV!G20&lt;&gt;"",DSDV!G20,"")</f>
        <v/>
      </c>
      <c r="C15" s="237" t="str">
        <f>IF(DSDV!K20&lt;&gt;"",DSDV!K20,"")</f>
        <v/>
      </c>
      <c r="D15" s="417" t="str">
        <f>IF(DSDV!W20&lt;&gt;"",DSDV!W20,"")</f>
        <v/>
      </c>
    </row>
    <row r="16" spans="1:5">
      <c r="A16" t="str">
        <f>IF(DSDV!B21&lt;&gt;"",DSDV!B21,"")</f>
        <v/>
      </c>
      <c r="B16" t="str">
        <f>IF(DSDV!G21&lt;&gt;"",DSDV!G21,"")</f>
        <v/>
      </c>
      <c r="C16" s="237" t="str">
        <f>IF(DSDV!K21&lt;&gt;"",DSDV!K21,"")</f>
        <v/>
      </c>
      <c r="D16" s="417" t="str">
        <f>IF(DSDV!W21&lt;&gt;"",DSDV!W21,"")</f>
        <v/>
      </c>
    </row>
    <row r="17" spans="1:4">
      <c r="A17" t="str">
        <f>IF(DSDV!B22&lt;&gt;"",DSDV!B22,"")</f>
        <v/>
      </c>
      <c r="B17" t="str">
        <f>IF(DSDV!G22&lt;&gt;"",DSDV!G22,"")</f>
        <v/>
      </c>
      <c r="C17" s="237" t="str">
        <f>IF(DSDV!K22&lt;&gt;"",DSDV!K22,"")</f>
        <v/>
      </c>
      <c r="D17" s="417" t="str">
        <f>IF(DSDV!W22&lt;&gt;"",DSDV!W22,"")</f>
        <v/>
      </c>
    </row>
    <row r="18" spans="1:4">
      <c r="A18" t="str">
        <f>IF(DSDV!B23&lt;&gt;"",DSDV!B23,"")</f>
        <v/>
      </c>
      <c r="B18" t="str">
        <f>IF(DSDV!G23&lt;&gt;"",DSDV!G23,"")</f>
        <v/>
      </c>
      <c r="C18" s="237" t="str">
        <f>IF(DSDV!K23&lt;&gt;"",DSDV!K23,"")</f>
        <v/>
      </c>
      <c r="D18" s="417" t="str">
        <f>IF(DSDV!W23&lt;&gt;"",DSDV!W23,"")</f>
        <v/>
      </c>
    </row>
    <row r="19" spans="1:4">
      <c r="A19" t="str">
        <f>IF(DSDV!B24&lt;&gt;"",DSDV!B24,"")</f>
        <v/>
      </c>
      <c r="B19" t="str">
        <f>IF(DSDV!G24&lt;&gt;"",DSDV!G24,"")</f>
        <v/>
      </c>
      <c r="C19" s="237" t="str">
        <f>IF(DSDV!K24&lt;&gt;"",DSDV!K24,"")</f>
        <v/>
      </c>
      <c r="D19" s="417" t="str">
        <f>IF(DSDV!W24&lt;&gt;"",DSDV!W24,"")</f>
        <v/>
      </c>
    </row>
    <row r="20" spans="1:4">
      <c r="A20" t="str">
        <f>IF(DSDV!B25&lt;&gt;"",DSDV!B25,"")</f>
        <v/>
      </c>
      <c r="B20" t="str">
        <f>IF(DSDV!G25&lt;&gt;"",DSDV!G25,"")</f>
        <v/>
      </c>
      <c r="C20" s="237" t="str">
        <f>IF(DSDV!K25&lt;&gt;"",DSDV!K25,"")</f>
        <v/>
      </c>
      <c r="D20" s="417" t="str">
        <f>IF(DSDV!W25&lt;&gt;"",DSDV!W25,"")</f>
        <v/>
      </c>
    </row>
    <row r="21" spans="1:4">
      <c r="A21" t="str">
        <f>IF(DSDV!B26&lt;&gt;"",DSDV!B26,"")</f>
        <v/>
      </c>
      <c r="B21" t="str">
        <f>IF(DSDV!G26&lt;&gt;"",DSDV!G26,"")</f>
        <v/>
      </c>
      <c r="C21" s="237" t="str">
        <f>IF(DSDV!K26&lt;&gt;"",DSDV!K26,"")</f>
        <v/>
      </c>
      <c r="D21" s="417" t="str">
        <f>IF(DSDV!W26&lt;&gt;"",DSDV!W26,"")</f>
        <v/>
      </c>
    </row>
    <row r="22" spans="1:4">
      <c r="A22" t="str">
        <f>IF(DSDV!B27&lt;&gt;"",DSDV!B27,"")</f>
        <v/>
      </c>
      <c r="B22" t="str">
        <f>IF(DSDV!G27&lt;&gt;"",DSDV!G27,"")</f>
        <v/>
      </c>
      <c r="C22" s="237" t="str">
        <f>IF(DSDV!K27&lt;&gt;"",DSDV!K27,"")</f>
        <v/>
      </c>
      <c r="D22" s="417" t="str">
        <f>IF(DSDV!W27&lt;&gt;"",DSDV!W27,"")</f>
        <v/>
      </c>
    </row>
    <row r="23" spans="1:4">
      <c r="A23" t="str">
        <f>IF(DSDV!B28&lt;&gt;"",DSDV!B28,"")</f>
        <v/>
      </c>
      <c r="B23" t="str">
        <f>IF(DSDV!G28&lt;&gt;"",DSDV!G28,"")</f>
        <v/>
      </c>
      <c r="C23" s="237" t="str">
        <f>IF(DSDV!K28&lt;&gt;"",DSDV!K28,"")</f>
        <v/>
      </c>
      <c r="D23" s="417" t="str">
        <f>IF(DSDV!W28&lt;&gt;"",DSDV!W28,"")</f>
        <v/>
      </c>
    </row>
    <row r="24" spans="1:4">
      <c r="A24" t="str">
        <f>IF(DSDV!B29&lt;&gt;"",DSDV!B29,"")</f>
        <v/>
      </c>
      <c r="B24" t="str">
        <f>IF(DSDV!G29&lt;&gt;"",DSDV!G29,"")</f>
        <v/>
      </c>
      <c r="C24" s="237" t="str">
        <f>IF(DSDV!K29&lt;&gt;"",DSDV!K29,"")</f>
        <v/>
      </c>
      <c r="D24" s="417" t="str">
        <f>IF(DSDV!W29&lt;&gt;"",DSDV!W29,"")</f>
        <v/>
      </c>
    </row>
    <row r="25" spans="1:4">
      <c r="A25" t="str">
        <f>IF(DSDV!B30&lt;&gt;"",DSDV!B30,"")</f>
        <v/>
      </c>
      <c r="B25" t="str">
        <f>IF(DSDV!G30&lt;&gt;"",DSDV!G30,"")</f>
        <v/>
      </c>
      <c r="C25" s="237" t="str">
        <f>IF(DSDV!K30&lt;&gt;"",DSDV!K30,"")</f>
        <v/>
      </c>
      <c r="D25" s="417" t="str">
        <f>IF(DSDV!W30&lt;&gt;"",DSDV!W30,"")</f>
        <v/>
      </c>
    </row>
    <row r="26" spans="1:4">
      <c r="A26" t="str">
        <f>IF(DSDV!B31&lt;&gt;"",DSDV!B31,"")</f>
        <v/>
      </c>
      <c r="B26" t="str">
        <f>IF(DSDV!G31&lt;&gt;"",DSDV!G31,"")</f>
        <v/>
      </c>
      <c r="C26" s="237" t="str">
        <f>IF(DSDV!K31&lt;&gt;"",DSDV!K31,"")</f>
        <v/>
      </c>
      <c r="D26" s="417" t="str">
        <f>IF(DSDV!W31&lt;&gt;"",DSDV!W31,"")</f>
        <v/>
      </c>
    </row>
    <row r="27" spans="1:4">
      <c r="A27" t="str">
        <f>IF(DSDV!B32&lt;&gt;"",DSDV!B32,"")</f>
        <v/>
      </c>
      <c r="B27" t="str">
        <f>IF(DSDV!G32&lt;&gt;"",DSDV!G32,"")</f>
        <v/>
      </c>
      <c r="C27" s="237" t="str">
        <f>IF(DSDV!K32&lt;&gt;"",DSDV!K32,"")</f>
        <v/>
      </c>
      <c r="D27" s="417" t="str">
        <f>IF(DSDV!W32&lt;&gt;"",DSDV!W32,"")</f>
        <v/>
      </c>
    </row>
    <row r="28" spans="1:4">
      <c r="A28" t="str">
        <f>IF(DSDV!B33&lt;&gt;"",DSDV!B33,"")</f>
        <v/>
      </c>
      <c r="B28" t="str">
        <f>IF(DSDV!G33&lt;&gt;"",DSDV!G33,"")</f>
        <v/>
      </c>
      <c r="C28" s="237" t="str">
        <f>IF(DSDV!K33&lt;&gt;"",DSDV!K33,"")</f>
        <v/>
      </c>
      <c r="D28" s="417" t="str">
        <f>IF(DSDV!W33&lt;&gt;"",DSDV!W33,"")</f>
        <v/>
      </c>
    </row>
    <row r="29" spans="1:4">
      <c r="A29" t="str">
        <f>IF(DSDV!B34&lt;&gt;"",DSDV!B34,"")</f>
        <v/>
      </c>
      <c r="B29" t="str">
        <f>IF(DSDV!G34&lt;&gt;"",DSDV!G34,"")</f>
        <v/>
      </c>
      <c r="C29" s="237" t="str">
        <f>IF(DSDV!K34&lt;&gt;"",DSDV!K34,"")</f>
        <v/>
      </c>
      <c r="D29" s="417" t="str">
        <f>IF(DSDV!W34&lt;&gt;"",DSDV!W34,"")</f>
        <v/>
      </c>
    </row>
    <row r="30" spans="1:4">
      <c r="A30" t="str">
        <f>IF(DSDV!B35&lt;&gt;"",DSDV!B35,"")</f>
        <v/>
      </c>
      <c r="B30" t="str">
        <f>IF(DSDV!G35&lt;&gt;"",DSDV!G35,"")</f>
        <v/>
      </c>
      <c r="C30" s="237" t="str">
        <f>IF(DSDV!K35&lt;&gt;"",DSDV!K35,"")</f>
        <v/>
      </c>
      <c r="D30" s="417" t="str">
        <f>IF(DSDV!W35&lt;&gt;"",DSDV!W35,"")</f>
        <v/>
      </c>
    </row>
    <row r="31" spans="1:4">
      <c r="A31" t="str">
        <f>IF(DSDV!B36&lt;&gt;"",DSDV!B36,"")</f>
        <v/>
      </c>
      <c r="B31" t="str">
        <f>IF(DSDV!G36&lt;&gt;"",DSDV!G36,"")</f>
        <v/>
      </c>
      <c r="C31" s="237" t="str">
        <f>IF(DSDV!K36&lt;&gt;"",DSDV!K36,"")</f>
        <v/>
      </c>
      <c r="D31" s="417" t="str">
        <f>IF(DSDV!W36&lt;&gt;"",DSDV!W36,"")</f>
        <v/>
      </c>
    </row>
    <row r="32" spans="1:4">
      <c r="A32" t="str">
        <f>IF(DSDV!B37&lt;&gt;"",DSDV!B37,"")</f>
        <v/>
      </c>
      <c r="B32" t="str">
        <f>IF(DSDV!G37&lt;&gt;"",DSDV!G37,"")</f>
        <v/>
      </c>
      <c r="C32" s="237" t="str">
        <f>IF(DSDV!K37&lt;&gt;"",DSDV!K37,"")</f>
        <v/>
      </c>
      <c r="D32" s="417" t="str">
        <f>IF(DSDV!W37&lt;&gt;"",DSDV!W37,"")</f>
        <v/>
      </c>
    </row>
    <row r="33" spans="1:4">
      <c r="A33" t="str">
        <f>IF(DSDV!B38&lt;&gt;"",DSDV!B38,"")</f>
        <v/>
      </c>
      <c r="B33" t="str">
        <f>IF(DSDV!G38&lt;&gt;"",DSDV!G38,"")</f>
        <v/>
      </c>
      <c r="C33" s="237" t="str">
        <f>IF(DSDV!K38&lt;&gt;"",DSDV!K38,"")</f>
        <v/>
      </c>
      <c r="D33" s="417" t="str">
        <f>IF(DSDV!W38&lt;&gt;"",DSDV!W38,"")</f>
        <v/>
      </c>
    </row>
    <row r="34" spans="1:4">
      <c r="A34" t="str">
        <f>IF(DSDV!B39&lt;&gt;"",DSDV!B39,"")</f>
        <v/>
      </c>
      <c r="B34" t="str">
        <f>IF(DSDV!G39&lt;&gt;"",DSDV!G39,"")</f>
        <v/>
      </c>
      <c r="C34" s="237" t="str">
        <f>IF(DSDV!K39&lt;&gt;"",DSDV!K39,"")</f>
        <v/>
      </c>
      <c r="D34" s="417" t="str">
        <f>IF(DSDV!W39&lt;&gt;"",DSDV!W39,"")</f>
        <v/>
      </c>
    </row>
    <row r="35" spans="1:4">
      <c r="A35" t="str">
        <f>IF(DSDV!B40&lt;&gt;"",DSDV!B40,"")</f>
        <v/>
      </c>
      <c r="B35" t="str">
        <f>IF(DSDV!G40&lt;&gt;"",DSDV!G40,"")</f>
        <v/>
      </c>
      <c r="C35" s="237" t="str">
        <f>IF(DSDV!K40&lt;&gt;"",DSDV!K40,"")</f>
        <v/>
      </c>
      <c r="D35" s="417" t="str">
        <f>IF(DSDV!W40&lt;&gt;"",DSDV!W40,"")</f>
        <v/>
      </c>
    </row>
    <row r="36" spans="1:4">
      <c r="A36" t="str">
        <f>IF(DSDV!B41&lt;&gt;"",DSDV!B41,"")</f>
        <v/>
      </c>
      <c r="B36" t="str">
        <f>IF(DSDV!G41&lt;&gt;"",DSDV!G41,"")</f>
        <v/>
      </c>
      <c r="C36" s="237" t="str">
        <f>IF(DSDV!K41&lt;&gt;"",DSDV!K41,"")</f>
        <v/>
      </c>
      <c r="D36" s="417" t="str">
        <f>IF(DSDV!W41&lt;&gt;"",DSDV!W41,"")</f>
        <v/>
      </c>
    </row>
    <row r="37" spans="1:4">
      <c r="A37" t="str">
        <f>IF(DSDV!B42&lt;&gt;"",DSDV!B42,"")</f>
        <v/>
      </c>
      <c r="B37" t="str">
        <f>IF(DSDV!G42&lt;&gt;"",DSDV!G42,"")</f>
        <v/>
      </c>
      <c r="C37" s="237" t="str">
        <f>IF(DSDV!K42&lt;&gt;"",DSDV!K42,"")</f>
        <v/>
      </c>
      <c r="D37" s="417" t="str">
        <f>IF(DSDV!W42&lt;&gt;"",DSDV!W42,"")</f>
        <v/>
      </c>
    </row>
    <row r="38" spans="1:4">
      <c r="A38" t="str">
        <f>IF(DSDV!B43&lt;&gt;"",DSDV!B43,"")</f>
        <v/>
      </c>
      <c r="B38" t="str">
        <f>IF(DSDV!G43&lt;&gt;"",DSDV!G43,"")</f>
        <v/>
      </c>
      <c r="C38" s="237" t="str">
        <f>IF(DSDV!K43&lt;&gt;"",DSDV!K43,"")</f>
        <v/>
      </c>
      <c r="D38" s="417" t="str">
        <f>IF(DSDV!W43&lt;&gt;"",DSDV!W43,"")</f>
        <v/>
      </c>
    </row>
    <row r="39" spans="1:4">
      <c r="A39" t="str">
        <f>IF(DSDV!B44&lt;&gt;"",DSDV!B44,"")</f>
        <v/>
      </c>
      <c r="B39" t="str">
        <f>IF(DSDV!G44&lt;&gt;"",DSDV!G44,"")</f>
        <v/>
      </c>
      <c r="C39" s="237" t="str">
        <f>IF(DSDV!K44&lt;&gt;"",DSDV!K44,"")</f>
        <v/>
      </c>
      <c r="D39" s="417" t="str">
        <f>IF(DSDV!W44&lt;&gt;"",DSDV!W44,"")</f>
        <v/>
      </c>
    </row>
    <row r="40" spans="1:4">
      <c r="A40" t="str">
        <f>IF(DSDV!B45&lt;&gt;"",DSDV!B45,"")</f>
        <v/>
      </c>
      <c r="B40" t="str">
        <f>IF(DSDV!G45&lt;&gt;"",DSDV!G45,"")</f>
        <v/>
      </c>
      <c r="C40" s="237" t="str">
        <f>IF(DSDV!K45&lt;&gt;"",DSDV!K45,"")</f>
        <v/>
      </c>
      <c r="D40" s="417" t="str">
        <f>IF(DSDV!W45&lt;&gt;"",DSDV!W45,"")</f>
        <v/>
      </c>
    </row>
    <row r="41" spans="1:4">
      <c r="A41" t="str">
        <f>IF(DSDV!B46&lt;&gt;"",DSDV!B46,"")</f>
        <v/>
      </c>
      <c r="B41" t="str">
        <f>IF(DSDV!G46&lt;&gt;"",DSDV!G46,"")</f>
        <v/>
      </c>
      <c r="C41" s="237" t="str">
        <f>IF(DSDV!K46&lt;&gt;"",DSDV!K46,"")</f>
        <v/>
      </c>
      <c r="D41" s="417" t="str">
        <f>IF(DSDV!W46&lt;&gt;"",DSDV!W46,"")</f>
        <v/>
      </c>
    </row>
    <row r="42" spans="1:4">
      <c r="A42" t="str">
        <f>IF(DSDV!B47&lt;&gt;"",DSDV!B47,"")</f>
        <v/>
      </c>
      <c r="B42" t="str">
        <f>IF(DSDV!G47&lt;&gt;"",DSDV!G47,"")</f>
        <v/>
      </c>
      <c r="C42" s="237" t="str">
        <f>IF(DSDV!K47&lt;&gt;"",DSDV!K47,"")</f>
        <v/>
      </c>
      <c r="D42" s="417" t="str">
        <f>IF(DSDV!W47&lt;&gt;"",DSDV!W47,"")</f>
        <v/>
      </c>
    </row>
    <row r="43" spans="1:4">
      <c r="A43" t="str">
        <f>IF(DSDV!B48&lt;&gt;"",DSDV!B48,"")</f>
        <v/>
      </c>
      <c r="B43" t="str">
        <f>IF(DSDV!G48&lt;&gt;"",DSDV!G48,"")</f>
        <v/>
      </c>
      <c r="C43" s="237" t="str">
        <f>IF(DSDV!K48&lt;&gt;"",DSDV!K48,"")</f>
        <v/>
      </c>
      <c r="D43" s="417" t="str">
        <f>IF(DSDV!W48&lt;&gt;"",DSDV!W48,"")</f>
        <v/>
      </c>
    </row>
    <row r="44" spans="1:4">
      <c r="A44" t="str">
        <f>IF(DSDV!B49&lt;&gt;"",DSDV!B49,"")</f>
        <v/>
      </c>
      <c r="B44" t="str">
        <f>IF(DSDV!G49&lt;&gt;"",DSDV!G49,"")</f>
        <v/>
      </c>
      <c r="C44" s="237" t="str">
        <f>IF(DSDV!K49&lt;&gt;"",DSDV!K49,"")</f>
        <v/>
      </c>
      <c r="D44" s="417" t="str">
        <f>IF(DSDV!W49&lt;&gt;"",DSDV!W49,"")</f>
        <v/>
      </c>
    </row>
    <row r="45" spans="1:4">
      <c r="A45" t="str">
        <f>IF(DSDV!B50&lt;&gt;"",DSDV!B50,"")</f>
        <v/>
      </c>
      <c r="B45" t="str">
        <f>IF(DSDV!G50&lt;&gt;"",DSDV!G50,"")</f>
        <v/>
      </c>
      <c r="C45" s="237" t="str">
        <f>IF(DSDV!K50&lt;&gt;"",DSDV!K50,"")</f>
        <v/>
      </c>
      <c r="D45" s="417" t="str">
        <f>IF(DSDV!W50&lt;&gt;"",DSDV!W50,"")</f>
        <v/>
      </c>
    </row>
    <row r="46" spans="1:4">
      <c r="A46" t="str">
        <f>IF(DSDV!B51&lt;&gt;"",DSDV!B51,"")</f>
        <v/>
      </c>
      <c r="B46" t="str">
        <f>IF(DSDV!G51&lt;&gt;"",DSDV!G51,"")</f>
        <v/>
      </c>
      <c r="C46" s="237" t="str">
        <f>IF(DSDV!K51&lt;&gt;"",DSDV!K51,"")</f>
        <v/>
      </c>
      <c r="D46" s="417" t="str">
        <f>IF(DSDV!W51&lt;&gt;"",DSDV!W51,"")</f>
        <v/>
      </c>
    </row>
    <row r="47" spans="1:4">
      <c r="A47" t="str">
        <f>IF(DSDV!B52&lt;&gt;"",DSDV!B52,"")</f>
        <v/>
      </c>
      <c r="B47" t="str">
        <f>IF(DSDV!G52&lt;&gt;"",DSDV!G52,"")</f>
        <v/>
      </c>
      <c r="C47" s="237" t="str">
        <f>IF(DSDV!K52&lt;&gt;"",DSDV!K52,"")</f>
        <v/>
      </c>
      <c r="D47" s="417" t="str">
        <f>IF(DSDV!W52&lt;&gt;"",DSDV!W52,"")</f>
        <v/>
      </c>
    </row>
    <row r="48" spans="1:4">
      <c r="A48" t="str">
        <f>IF(DSDV!B53&lt;&gt;"",DSDV!B53,"")</f>
        <v/>
      </c>
      <c r="B48" t="str">
        <f>IF(DSDV!G53&lt;&gt;"",DSDV!G53,"")</f>
        <v/>
      </c>
      <c r="C48" s="237" t="str">
        <f>IF(DSDV!K53&lt;&gt;"",DSDV!K53,"")</f>
        <v/>
      </c>
      <c r="D48" s="417" t="str">
        <f>IF(DSDV!W53&lt;&gt;"",DSDV!W53,"")</f>
        <v/>
      </c>
    </row>
    <row r="49" spans="1:4">
      <c r="A49" t="str">
        <f>IF(DSDV!B54&lt;&gt;"",DSDV!B54,"")</f>
        <v/>
      </c>
      <c r="B49" t="str">
        <f>IF(DSDV!G54&lt;&gt;"",DSDV!G54,"")</f>
        <v/>
      </c>
      <c r="C49" s="237" t="str">
        <f>IF(DSDV!K54&lt;&gt;"",DSDV!K54,"")</f>
        <v/>
      </c>
      <c r="D49" s="417" t="str">
        <f>IF(DSDV!W54&lt;&gt;"",DSDV!W54,"")</f>
        <v/>
      </c>
    </row>
    <row r="50" spans="1:4">
      <c r="A50" t="str">
        <f>IF(DSDV!B55&lt;&gt;"",DSDV!B55,"")</f>
        <v/>
      </c>
      <c r="B50" t="str">
        <f>IF(DSDV!G55&lt;&gt;"",DSDV!G55,"")</f>
        <v/>
      </c>
      <c r="C50" s="237" t="str">
        <f>IF(DSDV!K55&lt;&gt;"",DSDV!K55,"")</f>
        <v/>
      </c>
      <c r="D50" s="417" t="str">
        <f>IF(DSDV!W55&lt;&gt;"",DSDV!W55,"")</f>
        <v/>
      </c>
    </row>
    <row r="51" spans="1:4">
      <c r="A51" t="str">
        <f>IF(DSDV!B56&lt;&gt;"",DSDV!B56,"")</f>
        <v/>
      </c>
      <c r="B51" t="str">
        <f>IF(DSDV!G56&lt;&gt;"",DSDV!G56,"")</f>
        <v/>
      </c>
      <c r="C51" s="237" t="str">
        <f>IF(DSDV!K56&lt;&gt;"",DSDV!K56,"")</f>
        <v/>
      </c>
      <c r="D51" s="417" t="str">
        <f>IF(DSDV!W56&lt;&gt;"",DSDV!W56,"")</f>
        <v/>
      </c>
    </row>
    <row r="52" spans="1:4">
      <c r="A52" t="str">
        <f>IF(DSDV!B57&lt;&gt;"",DSDV!B57,"")</f>
        <v/>
      </c>
      <c r="B52" t="str">
        <f>IF(DSDV!G57&lt;&gt;"",DSDV!G57,"")</f>
        <v/>
      </c>
      <c r="C52" s="237" t="str">
        <f>IF(DSDV!K57&lt;&gt;"",DSDV!K57,"")</f>
        <v/>
      </c>
      <c r="D52" s="417" t="str">
        <f>IF(DSDV!W57&lt;&gt;"",DSDV!W57,"")</f>
        <v/>
      </c>
    </row>
    <row r="53" spans="1:4">
      <c r="A53" t="str">
        <f>IF(DSDV!B58&lt;&gt;"",DSDV!B58,"")</f>
        <v/>
      </c>
      <c r="B53" t="str">
        <f>IF(DSDV!G58&lt;&gt;"",DSDV!G58,"")</f>
        <v/>
      </c>
      <c r="C53" s="237" t="str">
        <f>IF(DSDV!K58&lt;&gt;"",DSDV!K58,"")</f>
        <v/>
      </c>
      <c r="D53" s="417" t="str">
        <f>IF(DSDV!W58&lt;&gt;"",DSDV!W58,"")</f>
        <v/>
      </c>
    </row>
    <row r="54" spans="1:4">
      <c r="A54" t="str">
        <f>IF(DSDV!B59&lt;&gt;"",DSDV!B59,"")</f>
        <v/>
      </c>
      <c r="B54" t="str">
        <f>IF(DSDV!G59&lt;&gt;"",DSDV!G59,"")</f>
        <v/>
      </c>
      <c r="C54" s="237" t="str">
        <f>IF(DSDV!K59&lt;&gt;"",DSDV!K59,"")</f>
        <v/>
      </c>
      <c r="D54" s="417" t="str">
        <f>IF(DSDV!W59&lt;&gt;"",DSDV!W59,"")</f>
        <v/>
      </c>
    </row>
    <row r="55" spans="1:4">
      <c r="A55" t="str">
        <f>IF(DSDV!B60&lt;&gt;"",DSDV!B60,"")</f>
        <v/>
      </c>
      <c r="B55" t="str">
        <f>IF(DSDV!G60&lt;&gt;"",DSDV!G60,"")</f>
        <v/>
      </c>
      <c r="C55" s="237" t="str">
        <f>IF(DSDV!K60&lt;&gt;"",DSDV!K60,"")</f>
        <v/>
      </c>
      <c r="D55" s="417" t="str">
        <f>IF(DSDV!W60&lt;&gt;"",DSDV!W60,"")</f>
        <v/>
      </c>
    </row>
    <row r="56" spans="1:4">
      <c r="A56" t="str">
        <f>IF(DSDV!B61&lt;&gt;"",DSDV!B61,"")</f>
        <v/>
      </c>
      <c r="B56" t="str">
        <f>IF(DSDV!G61&lt;&gt;"",DSDV!G61,"")</f>
        <v/>
      </c>
      <c r="C56" s="237" t="str">
        <f>IF(DSDV!K61&lt;&gt;"",DSDV!K61,"")</f>
        <v/>
      </c>
      <c r="D56" s="417" t="str">
        <f>IF(DSDV!W61&lt;&gt;"",DSDV!W61,"")</f>
        <v/>
      </c>
    </row>
    <row r="57" spans="1:4">
      <c r="A57" t="str">
        <f>IF(DSDV!B62&lt;&gt;"",DSDV!B62,"")</f>
        <v/>
      </c>
      <c r="B57" t="str">
        <f>IF(DSDV!G62&lt;&gt;"",DSDV!G62,"")</f>
        <v/>
      </c>
      <c r="C57" s="237" t="str">
        <f>IF(DSDV!K62&lt;&gt;"",DSDV!K62,"")</f>
        <v/>
      </c>
      <c r="D57" s="417" t="str">
        <f>IF(DSDV!W62&lt;&gt;"",DSDV!W62,"")</f>
        <v/>
      </c>
    </row>
    <row r="58" spans="1:4">
      <c r="A58" t="str">
        <f>IF(DSDV!B63&lt;&gt;"",DSDV!B63,"")</f>
        <v/>
      </c>
      <c r="B58" t="str">
        <f>IF(DSDV!G63&lt;&gt;"",DSDV!G63,"")</f>
        <v/>
      </c>
      <c r="C58" s="237" t="str">
        <f>IF(DSDV!K63&lt;&gt;"",DSDV!K63,"")</f>
        <v/>
      </c>
      <c r="D58" s="417" t="str">
        <f>IF(DSDV!W63&lt;&gt;"",DSDV!W63,"")</f>
        <v/>
      </c>
    </row>
    <row r="59" spans="1:4">
      <c r="A59" t="str">
        <f>IF(DSDV!B64&lt;&gt;"",DSDV!B64,"")</f>
        <v/>
      </c>
      <c r="B59" t="str">
        <f>IF(DSDV!G64&lt;&gt;"",DSDV!G64,"")</f>
        <v/>
      </c>
      <c r="C59" s="237" t="str">
        <f>IF(DSDV!K64&lt;&gt;"",DSDV!K64,"")</f>
        <v/>
      </c>
      <c r="D59" s="417" t="str">
        <f>IF(DSDV!W64&lt;&gt;"",DSDV!W64,"")</f>
        <v/>
      </c>
    </row>
    <row r="60" spans="1:4">
      <c r="A60" t="str">
        <f>IF(DSDV!B65&lt;&gt;"",DSDV!B65,"")</f>
        <v/>
      </c>
      <c r="B60" t="str">
        <f>IF(DSDV!G65&lt;&gt;"",DSDV!G65,"")</f>
        <v/>
      </c>
      <c r="C60" s="237" t="str">
        <f>IF(DSDV!K65&lt;&gt;"",DSDV!K65,"")</f>
        <v/>
      </c>
      <c r="D60" s="417" t="str">
        <f>IF(DSDV!W65&lt;&gt;"",DSDV!W65,"")</f>
        <v/>
      </c>
    </row>
    <row r="61" spans="1:4">
      <c r="A61" t="str">
        <f>IF(DSDV!B66&lt;&gt;"",DSDV!B66,"")</f>
        <v/>
      </c>
      <c r="B61" t="str">
        <f>IF(DSDV!G66&lt;&gt;"",DSDV!G66,"")</f>
        <v/>
      </c>
      <c r="C61" s="237" t="str">
        <f>IF(DSDV!K66&lt;&gt;"",DSDV!K66,"")</f>
        <v/>
      </c>
      <c r="D61" s="417" t="str">
        <f>IF(DSDV!W66&lt;&gt;"",DSDV!W66,"")</f>
        <v/>
      </c>
    </row>
    <row r="62" spans="1:4">
      <c r="A62" t="str">
        <f>IF(DSDV!B67&lt;&gt;"",DSDV!B67,"")</f>
        <v/>
      </c>
      <c r="B62" t="str">
        <f>IF(DSDV!G67&lt;&gt;"",DSDV!G67,"")</f>
        <v/>
      </c>
      <c r="C62" s="237" t="str">
        <f>IF(DSDV!K67&lt;&gt;"",DSDV!K67,"")</f>
        <v/>
      </c>
      <c r="D62" s="417" t="str">
        <f>IF(DSDV!W67&lt;&gt;"",DSDV!W67,"")</f>
        <v/>
      </c>
    </row>
    <row r="63" spans="1:4">
      <c r="A63" t="str">
        <f>IF(DSDV!B68&lt;&gt;"",DSDV!B68,"")</f>
        <v/>
      </c>
      <c r="B63" t="str">
        <f>IF(DSDV!G68&lt;&gt;"",DSDV!G68,"")</f>
        <v/>
      </c>
      <c r="C63" s="237" t="str">
        <f>IF(DSDV!K68&lt;&gt;"",DSDV!K68,"")</f>
        <v/>
      </c>
      <c r="D63" s="417" t="str">
        <f>IF(DSDV!W68&lt;&gt;"",DSDV!W68,"")</f>
        <v/>
      </c>
    </row>
    <row r="64" spans="1:4">
      <c r="A64" t="str">
        <f>IF(DSDV!B69&lt;&gt;"",DSDV!B69,"")</f>
        <v/>
      </c>
      <c r="B64" t="str">
        <f>IF(DSDV!G69&lt;&gt;"",DSDV!G69,"")</f>
        <v/>
      </c>
      <c r="C64" s="237" t="str">
        <f>IF(DSDV!K69&lt;&gt;"",DSDV!K69,"")</f>
        <v/>
      </c>
      <c r="D64" s="417" t="str">
        <f>IF(DSDV!W69&lt;&gt;"",DSDV!W69,"")</f>
        <v/>
      </c>
    </row>
    <row r="65" spans="1:4">
      <c r="A65" t="str">
        <f>IF(DSDV!B70&lt;&gt;"",DSDV!B70,"")</f>
        <v/>
      </c>
      <c r="B65" t="str">
        <f>IF(DSDV!G70&lt;&gt;"",DSDV!G70,"")</f>
        <v/>
      </c>
      <c r="C65" s="237" t="str">
        <f>IF(DSDV!K70&lt;&gt;"",DSDV!K70,"")</f>
        <v/>
      </c>
      <c r="D65" s="417" t="str">
        <f>IF(DSDV!W70&lt;&gt;"",DSDV!W70,"")</f>
        <v/>
      </c>
    </row>
    <row r="66" spans="1:4">
      <c r="A66" t="str">
        <f>IF(DSDV!B71&lt;&gt;"",DSDV!B71,"")</f>
        <v/>
      </c>
      <c r="B66" t="str">
        <f>IF(DSDV!G71&lt;&gt;"",DSDV!G71,"")</f>
        <v/>
      </c>
      <c r="C66" s="237" t="str">
        <f>IF(DSDV!K71&lt;&gt;"",DSDV!K71,"")</f>
        <v/>
      </c>
      <c r="D66" s="417" t="str">
        <f>IF(DSDV!W71&lt;&gt;"",DSDV!W71,"")</f>
        <v/>
      </c>
    </row>
    <row r="67" spans="1:4">
      <c r="A67" t="str">
        <f>IF(DSDV!B72&lt;&gt;"",DSDV!B72,"")</f>
        <v/>
      </c>
      <c r="B67" t="str">
        <f>IF(DSDV!G72&lt;&gt;"",DSDV!G72,"")</f>
        <v/>
      </c>
      <c r="C67" s="237" t="str">
        <f>IF(DSDV!K72&lt;&gt;"",DSDV!K72,"")</f>
        <v/>
      </c>
      <c r="D67" s="417" t="str">
        <f>IF(DSDV!W72&lt;&gt;"",DSDV!W72,"")</f>
        <v/>
      </c>
    </row>
    <row r="68" spans="1:4">
      <c r="A68" t="str">
        <f>IF(DSDV!B73&lt;&gt;"",DSDV!B73,"")</f>
        <v/>
      </c>
      <c r="B68" t="str">
        <f>IF(DSDV!G73&lt;&gt;"",DSDV!G73,"")</f>
        <v/>
      </c>
      <c r="C68" s="237" t="str">
        <f>IF(DSDV!K73&lt;&gt;"",DSDV!K73,"")</f>
        <v/>
      </c>
      <c r="D68" s="417" t="str">
        <f>IF(DSDV!W73&lt;&gt;"",DSDV!W73,"")</f>
        <v/>
      </c>
    </row>
    <row r="69" spans="1:4">
      <c r="A69" t="str">
        <f>IF(DSDV!B74&lt;&gt;"",DSDV!B74,"")</f>
        <v/>
      </c>
      <c r="B69" t="str">
        <f>IF(DSDV!G74&lt;&gt;"",DSDV!G74,"")</f>
        <v/>
      </c>
      <c r="C69" s="237" t="str">
        <f>IF(DSDV!K74&lt;&gt;"",DSDV!K74,"")</f>
        <v/>
      </c>
      <c r="D69" s="417" t="str">
        <f>IF(DSDV!W74&lt;&gt;"",DSDV!W74,"")</f>
        <v/>
      </c>
    </row>
    <row r="70" spans="1:4">
      <c r="A70" t="str">
        <f>IF(DSDV!B75&lt;&gt;"",DSDV!B75,"")</f>
        <v/>
      </c>
      <c r="B70" t="str">
        <f>IF(DSDV!G75&lt;&gt;"",DSDV!G75,"")</f>
        <v/>
      </c>
      <c r="C70" s="237" t="str">
        <f>IF(DSDV!K75&lt;&gt;"",DSDV!K75,"")</f>
        <v/>
      </c>
      <c r="D70" s="417" t="str">
        <f>IF(DSDV!W75&lt;&gt;"",DSDV!W75,"")</f>
        <v/>
      </c>
    </row>
    <row r="71" spans="1:4">
      <c r="A71" t="str">
        <f>IF(DSDV!B76&lt;&gt;"",DSDV!B76,"")</f>
        <v/>
      </c>
      <c r="B71" t="str">
        <f>IF(DSDV!G76&lt;&gt;"",DSDV!G76,"")</f>
        <v/>
      </c>
      <c r="C71" s="237" t="str">
        <f>IF(DSDV!K76&lt;&gt;"",DSDV!K76,"")</f>
        <v/>
      </c>
      <c r="D71" s="417" t="str">
        <f>IF(DSDV!W76&lt;&gt;"",DSDV!W76,"")</f>
        <v/>
      </c>
    </row>
    <row r="72" spans="1:4">
      <c r="A72" t="str">
        <f>IF(DSDV!B77&lt;&gt;"",DSDV!B77,"")</f>
        <v/>
      </c>
      <c r="B72" t="str">
        <f>IF(DSDV!G77&lt;&gt;"",DSDV!G77,"")</f>
        <v/>
      </c>
      <c r="C72" s="237" t="str">
        <f>IF(DSDV!K77&lt;&gt;"",DSDV!K77,"")</f>
        <v/>
      </c>
      <c r="D72" s="417" t="str">
        <f>IF(DSDV!W77&lt;&gt;"",DSDV!W77,"")</f>
        <v/>
      </c>
    </row>
    <row r="73" spans="1:4">
      <c r="A73" t="str">
        <f>IF(DSDV!B78&lt;&gt;"",DSDV!B78,"")</f>
        <v/>
      </c>
      <c r="B73" t="str">
        <f>IF(DSDV!G78&lt;&gt;"",DSDV!G78,"")</f>
        <v/>
      </c>
      <c r="C73" s="237" t="str">
        <f>IF(DSDV!K78&lt;&gt;"",DSDV!K78,"")</f>
        <v/>
      </c>
      <c r="D73" s="417" t="str">
        <f>IF(DSDV!W78&lt;&gt;"",DSDV!W78,"")</f>
        <v/>
      </c>
    </row>
    <row r="74" spans="1:4">
      <c r="A74" t="str">
        <f>IF(DSDV!B79&lt;&gt;"",DSDV!B79,"")</f>
        <v/>
      </c>
      <c r="B74" t="str">
        <f>IF(DSDV!G79&lt;&gt;"",DSDV!G79,"")</f>
        <v/>
      </c>
      <c r="C74" s="237" t="str">
        <f>IF(DSDV!K79&lt;&gt;"",DSDV!K79,"")</f>
        <v/>
      </c>
      <c r="D74" s="417" t="str">
        <f>IF(DSDV!W79&lt;&gt;"",DSDV!W79,"")</f>
        <v/>
      </c>
    </row>
    <row r="75" spans="1:4">
      <c r="A75" t="str">
        <f>IF(DSDV!B80&lt;&gt;"",DSDV!B80,"")</f>
        <v/>
      </c>
      <c r="B75" t="str">
        <f>IF(DSDV!G80&lt;&gt;"",DSDV!G80,"")</f>
        <v/>
      </c>
      <c r="C75" s="237" t="str">
        <f>IF(DSDV!K80&lt;&gt;"",DSDV!K80,"")</f>
        <v/>
      </c>
      <c r="D75" s="417" t="str">
        <f>IF(DSDV!W80&lt;&gt;"",DSDV!W80,"")</f>
        <v/>
      </c>
    </row>
    <row r="76" spans="1:4">
      <c r="A76" t="str">
        <f>IF(DSDV!B81&lt;&gt;"",DSDV!B81,"")</f>
        <v/>
      </c>
      <c r="B76" t="str">
        <f>IF(DSDV!G81&lt;&gt;"",DSDV!G81,"")</f>
        <v/>
      </c>
      <c r="C76" s="237" t="str">
        <f>IF(DSDV!K81&lt;&gt;"",DSDV!K81,"")</f>
        <v/>
      </c>
      <c r="D76" s="417" t="str">
        <f>IF(DSDV!W81&lt;&gt;"",DSDV!W81,"")</f>
        <v/>
      </c>
    </row>
    <row r="77" spans="1:4">
      <c r="A77" t="str">
        <f>IF(DSDV!B82&lt;&gt;"",DSDV!B82,"")</f>
        <v/>
      </c>
      <c r="B77" t="str">
        <f>IF(DSDV!G82&lt;&gt;"",DSDV!G82,"")</f>
        <v/>
      </c>
      <c r="C77" s="237" t="str">
        <f>IF(DSDV!K82&lt;&gt;"",DSDV!K82,"")</f>
        <v/>
      </c>
      <c r="D77" s="417" t="str">
        <f>IF(DSDV!W82&lt;&gt;"",DSDV!W82,"")</f>
        <v/>
      </c>
    </row>
    <row r="78" spans="1:4">
      <c r="A78" t="str">
        <f>IF(DSDV!B83&lt;&gt;"",DSDV!B83,"")</f>
        <v/>
      </c>
      <c r="B78" t="str">
        <f>IF(DSDV!G83&lt;&gt;"",DSDV!G83,"")</f>
        <v/>
      </c>
      <c r="C78" s="237" t="str">
        <f>IF(DSDV!K83&lt;&gt;"",DSDV!K83,"")</f>
        <v/>
      </c>
      <c r="D78" s="417" t="str">
        <f>IF(DSDV!W83&lt;&gt;"",DSDV!W83,"")</f>
        <v/>
      </c>
    </row>
    <row r="79" spans="1:4">
      <c r="A79" t="str">
        <f>IF(DSDV!B84&lt;&gt;"",DSDV!B84,"")</f>
        <v/>
      </c>
      <c r="B79" t="str">
        <f>IF(DSDV!G84&lt;&gt;"",DSDV!G84,"")</f>
        <v/>
      </c>
      <c r="C79" s="237" t="str">
        <f>IF(DSDV!K84&lt;&gt;"",DSDV!K84,"")</f>
        <v/>
      </c>
      <c r="D79" s="417" t="str">
        <f>IF(DSDV!W84&lt;&gt;"",DSDV!W84,"")</f>
        <v/>
      </c>
    </row>
    <row r="80" spans="1:4">
      <c r="A80" t="str">
        <f>IF(DSDV!B85&lt;&gt;"",DSDV!B85,"")</f>
        <v/>
      </c>
      <c r="B80" t="str">
        <f>IF(DSDV!G85&lt;&gt;"",DSDV!G85,"")</f>
        <v/>
      </c>
      <c r="C80" s="237" t="str">
        <f>IF(DSDV!K85&lt;&gt;"",DSDV!K85,"")</f>
        <v/>
      </c>
      <c r="D80" s="417" t="str">
        <f>IF(DSDV!W85&lt;&gt;"",DSDV!W85,"")</f>
        <v/>
      </c>
    </row>
    <row r="81" spans="1:4">
      <c r="A81" t="str">
        <f>IF(DSDV!B86&lt;&gt;"",DSDV!B86,"")</f>
        <v/>
      </c>
      <c r="B81" t="str">
        <f>IF(DSDV!G86&lt;&gt;"",DSDV!G86,"")</f>
        <v/>
      </c>
      <c r="C81" s="237" t="str">
        <f>IF(DSDV!K86&lt;&gt;"",DSDV!K86,"")</f>
        <v/>
      </c>
      <c r="D81" s="417" t="str">
        <f>IF(DSDV!W86&lt;&gt;"",DSDV!W86,"")</f>
        <v/>
      </c>
    </row>
    <row r="82" spans="1:4">
      <c r="A82" t="str">
        <f>IF(DSDV!B87&lt;&gt;"",DSDV!B87,"")</f>
        <v/>
      </c>
      <c r="B82" t="str">
        <f>IF(DSDV!G87&lt;&gt;"",DSDV!G87,"")</f>
        <v/>
      </c>
      <c r="C82" s="237" t="str">
        <f>IF(DSDV!K87&lt;&gt;"",DSDV!K87,"")</f>
        <v/>
      </c>
      <c r="D82" s="417" t="str">
        <f>IF(DSDV!W87&lt;&gt;"",DSDV!W87,"")</f>
        <v/>
      </c>
    </row>
    <row r="83" spans="1:4">
      <c r="A83" t="str">
        <f>IF(DSDV!B88&lt;&gt;"",DSDV!B88,"")</f>
        <v/>
      </c>
      <c r="B83" t="str">
        <f>IF(DSDV!G88&lt;&gt;"",DSDV!G88,"")</f>
        <v/>
      </c>
      <c r="C83" s="237" t="str">
        <f>IF(DSDV!K88&lt;&gt;"",DSDV!K88,"")</f>
        <v/>
      </c>
      <c r="D83" s="417" t="str">
        <f>IF(DSDV!W88&lt;&gt;"",DSDV!W88,"")</f>
        <v/>
      </c>
    </row>
    <row r="84" spans="1:4">
      <c r="A84" t="str">
        <f>IF(DSDV!B89&lt;&gt;"",DSDV!B89,"")</f>
        <v/>
      </c>
      <c r="B84" t="str">
        <f>IF(DSDV!G89&lt;&gt;"",DSDV!G89,"")</f>
        <v/>
      </c>
      <c r="C84" s="237" t="str">
        <f>IF(DSDV!K89&lt;&gt;"",DSDV!K89,"")</f>
        <v/>
      </c>
      <c r="D84" s="417" t="str">
        <f>IF(DSDV!W89&lt;&gt;"",DSDV!W89,"")</f>
        <v/>
      </c>
    </row>
    <row r="85" spans="1:4">
      <c r="A85" t="str">
        <f>IF(DSDV!B90&lt;&gt;"",DSDV!B90,"")</f>
        <v/>
      </c>
      <c r="B85" t="str">
        <f>IF(DSDV!G90&lt;&gt;"",DSDV!G90,"")</f>
        <v/>
      </c>
      <c r="C85" s="237" t="str">
        <f>IF(DSDV!K90&lt;&gt;"",DSDV!K90,"")</f>
        <v/>
      </c>
      <c r="D85" s="417" t="str">
        <f>IF(DSDV!W90&lt;&gt;"",DSDV!W90,"")</f>
        <v/>
      </c>
    </row>
    <row r="86" spans="1:4">
      <c r="A86" t="str">
        <f>IF(DSDV!B91&lt;&gt;"",DSDV!B91,"")</f>
        <v/>
      </c>
      <c r="B86" t="str">
        <f>IF(DSDV!G91&lt;&gt;"",DSDV!G91,"")</f>
        <v/>
      </c>
      <c r="C86" s="237" t="str">
        <f>IF(DSDV!K91&lt;&gt;"",DSDV!K91,"")</f>
        <v/>
      </c>
      <c r="D86" s="417" t="str">
        <f>IF(DSDV!W91&lt;&gt;"",DSDV!W91,"")</f>
        <v/>
      </c>
    </row>
    <row r="87" spans="1:4">
      <c r="A87" t="str">
        <f>IF(DSDV!B92&lt;&gt;"",DSDV!B92,"")</f>
        <v/>
      </c>
      <c r="B87" t="str">
        <f>IF(DSDV!G92&lt;&gt;"",DSDV!G92,"")</f>
        <v/>
      </c>
      <c r="C87" s="237" t="str">
        <f>IF(DSDV!K92&lt;&gt;"",DSDV!K92,"")</f>
        <v/>
      </c>
      <c r="D87" s="417" t="str">
        <f>IF(DSDV!W92&lt;&gt;"",DSDV!W92,"")</f>
        <v/>
      </c>
    </row>
    <row r="88" spans="1:4">
      <c r="A88" t="str">
        <f>IF(DSDV!B93&lt;&gt;"",DSDV!B93,"")</f>
        <v/>
      </c>
      <c r="B88" t="str">
        <f>IF(DSDV!G93&lt;&gt;"",DSDV!G93,"")</f>
        <v/>
      </c>
      <c r="C88" s="237" t="str">
        <f>IF(DSDV!K93&lt;&gt;"",DSDV!K93,"")</f>
        <v/>
      </c>
      <c r="D88" s="417" t="str">
        <f>IF(DSDV!W93&lt;&gt;"",DSDV!W93,"")</f>
        <v/>
      </c>
    </row>
    <row r="89" spans="1:4">
      <c r="A89" t="str">
        <f>IF(DSDV!B94&lt;&gt;"",DSDV!B94,"")</f>
        <v/>
      </c>
      <c r="B89" t="str">
        <f>IF(DSDV!G94&lt;&gt;"",DSDV!G94,"")</f>
        <v/>
      </c>
      <c r="C89" s="237" t="str">
        <f>IF(DSDV!K94&lt;&gt;"",DSDV!K94,"")</f>
        <v/>
      </c>
      <c r="D89" s="417" t="str">
        <f>IF(DSDV!W94&lt;&gt;"",DSDV!W94,"")</f>
        <v/>
      </c>
    </row>
    <row r="90" spans="1:4">
      <c r="A90" t="str">
        <f>IF(DSDV!B95&lt;&gt;"",DSDV!B95,"")</f>
        <v/>
      </c>
      <c r="B90" t="str">
        <f>IF(DSDV!G95&lt;&gt;"",DSDV!G95,"")</f>
        <v/>
      </c>
      <c r="C90" s="237" t="str">
        <f>IF(DSDV!K95&lt;&gt;"",DSDV!K95,"")</f>
        <v/>
      </c>
      <c r="D90" s="417" t="str">
        <f>IF(DSDV!W95&lt;&gt;"",DSDV!W95,"")</f>
        <v/>
      </c>
    </row>
    <row r="91" spans="1:4">
      <c r="A91" t="str">
        <f>IF(DSDV!B96&lt;&gt;"",DSDV!B96,"")</f>
        <v/>
      </c>
      <c r="B91" t="str">
        <f>IF(DSDV!G96&lt;&gt;"",DSDV!G96,"")</f>
        <v/>
      </c>
      <c r="C91" s="237" t="str">
        <f>IF(DSDV!K96&lt;&gt;"",DSDV!K96,"")</f>
        <v/>
      </c>
      <c r="D91" s="417" t="str">
        <f>IF(DSDV!W96&lt;&gt;"",DSDV!W96,"")</f>
        <v/>
      </c>
    </row>
    <row r="92" spans="1:4">
      <c r="A92" t="str">
        <f>IF(DSDV!B97&lt;&gt;"",DSDV!B97,"")</f>
        <v/>
      </c>
      <c r="B92" t="str">
        <f>IF(DSDV!G97&lt;&gt;"",DSDV!G97,"")</f>
        <v/>
      </c>
      <c r="C92" s="237" t="str">
        <f>IF(DSDV!K97&lt;&gt;"",DSDV!K97,"")</f>
        <v/>
      </c>
      <c r="D92" s="417" t="str">
        <f>IF(DSDV!W97&lt;&gt;"",DSDV!W97,"")</f>
        <v/>
      </c>
    </row>
    <row r="93" spans="1:4">
      <c r="A93" t="str">
        <f>IF(DSDV!B98&lt;&gt;"",DSDV!B98,"")</f>
        <v/>
      </c>
      <c r="B93" t="str">
        <f>IF(DSDV!G98&lt;&gt;"",DSDV!G98,"")</f>
        <v/>
      </c>
      <c r="C93" s="237" t="str">
        <f>IF(DSDV!K98&lt;&gt;"",DSDV!K98,"")</f>
        <v/>
      </c>
      <c r="D93" s="417" t="str">
        <f>IF(DSDV!W98&lt;&gt;"",DSDV!W98,"")</f>
        <v/>
      </c>
    </row>
    <row r="94" spans="1:4">
      <c r="A94" t="str">
        <f>IF(DSDV!B99&lt;&gt;"",DSDV!B99,"")</f>
        <v/>
      </c>
      <c r="B94" t="str">
        <f>IF(DSDV!G99&lt;&gt;"",DSDV!G99,"")</f>
        <v/>
      </c>
      <c r="C94" s="237" t="str">
        <f>IF(DSDV!K99&lt;&gt;"",DSDV!K99,"")</f>
        <v/>
      </c>
      <c r="D94" s="417" t="str">
        <f>IF(DSDV!W99&lt;&gt;"",DSDV!W99,"")</f>
        <v/>
      </c>
    </row>
    <row r="95" spans="1:4">
      <c r="A95" t="str">
        <f>IF(DSDV!B100&lt;&gt;"",DSDV!B100,"")</f>
        <v/>
      </c>
      <c r="B95" t="str">
        <f>IF(DSDV!G100&lt;&gt;"",DSDV!G100,"")</f>
        <v/>
      </c>
      <c r="C95" s="237" t="str">
        <f>IF(DSDV!K100&lt;&gt;"",DSDV!K100,"")</f>
        <v/>
      </c>
      <c r="D95" s="417" t="str">
        <f>IF(DSDV!W100&lt;&gt;"",DSDV!W100,"")</f>
        <v/>
      </c>
    </row>
    <row r="96" spans="1:4">
      <c r="A96" t="str">
        <f>IF(DSDV!B101&lt;&gt;"",DSDV!B101,"")</f>
        <v/>
      </c>
      <c r="B96" t="str">
        <f>IF(DSDV!G101&lt;&gt;"",DSDV!G101,"")</f>
        <v/>
      </c>
      <c r="C96" s="237" t="str">
        <f>IF(DSDV!K101&lt;&gt;"",DSDV!K101,"")</f>
        <v/>
      </c>
      <c r="D96" s="417" t="str">
        <f>IF(DSDV!W101&lt;&gt;"",DSDV!W101,"")</f>
        <v/>
      </c>
    </row>
    <row r="97" spans="1:4">
      <c r="A97" t="str">
        <f>IF(DSDV!B102&lt;&gt;"",DSDV!B102,"")</f>
        <v/>
      </c>
      <c r="B97" t="str">
        <f>IF(DSDV!G102&lt;&gt;"",DSDV!G102,"")</f>
        <v/>
      </c>
      <c r="C97" s="237" t="str">
        <f>IF(DSDV!K102&lt;&gt;"",DSDV!K102,"")</f>
        <v/>
      </c>
      <c r="D97" s="417" t="str">
        <f>IF(DSDV!W102&lt;&gt;"",DSDV!W102,"")</f>
        <v/>
      </c>
    </row>
    <row r="98" spans="1:4">
      <c r="A98" t="str">
        <f>IF(DSDV!B103&lt;&gt;"",DSDV!B103,"")</f>
        <v/>
      </c>
      <c r="B98" t="str">
        <f>IF(DSDV!G103&lt;&gt;"",DSDV!G103,"")</f>
        <v/>
      </c>
      <c r="C98" s="237" t="str">
        <f>IF(DSDV!K103&lt;&gt;"",DSDV!K103,"")</f>
        <v/>
      </c>
      <c r="D98" s="417" t="str">
        <f>IF(DSDV!W103&lt;&gt;"",DSDV!W103,"")</f>
        <v/>
      </c>
    </row>
    <row r="99" spans="1:4">
      <c r="A99" t="str">
        <f>IF(DSDV!B104&lt;&gt;"",DSDV!B104,"")</f>
        <v/>
      </c>
      <c r="B99" t="str">
        <f>IF(DSDV!G104&lt;&gt;"",DSDV!G104,"")</f>
        <v/>
      </c>
      <c r="C99" s="237" t="str">
        <f>IF(DSDV!K104&lt;&gt;"",DSDV!K104,"")</f>
        <v/>
      </c>
      <c r="D99" s="417" t="str">
        <f>IF(DSDV!W104&lt;&gt;"",DSDV!W104,"")</f>
        <v/>
      </c>
    </row>
    <row r="100" spans="1:4">
      <c r="A100" t="str">
        <f>IF(DSDV!B105&lt;&gt;"",DSDV!B105,"")</f>
        <v/>
      </c>
      <c r="B100" t="str">
        <f>IF(DSDV!G105&lt;&gt;"",DSDV!G105,"")</f>
        <v/>
      </c>
      <c r="C100" s="237" t="str">
        <f>IF(DSDV!K105&lt;&gt;"",DSDV!K105,"")</f>
        <v/>
      </c>
      <c r="D100" s="417" t="str">
        <f>IF(DSDV!W105&lt;&gt;"",DSDV!W105,"")</f>
        <v/>
      </c>
    </row>
    <row r="101" spans="1:4">
      <c r="A101" t="str">
        <f>IF(DSDV!B106&lt;&gt;"",DSDV!B106,"")</f>
        <v/>
      </c>
      <c r="B101" t="str">
        <f>IF(DSDV!G106&lt;&gt;"",DSDV!G106,"")</f>
        <v/>
      </c>
      <c r="C101" s="237" t="str">
        <f>IF(DSDV!K106&lt;&gt;"",DSDV!K106,"")</f>
        <v/>
      </c>
      <c r="D101" s="417" t="str">
        <f>IF(DSDV!W106&lt;&gt;"",DSDV!W106,"")</f>
        <v/>
      </c>
    </row>
    <row r="102" spans="1:4">
      <c r="A102" t="str">
        <f>IF(DSDV!B107&lt;&gt;"",DSDV!B107,"")</f>
        <v/>
      </c>
      <c r="B102" t="str">
        <f>IF(DSDV!G107&lt;&gt;"",DSDV!G107,"")</f>
        <v/>
      </c>
      <c r="C102" s="237" t="str">
        <f>IF(DSDV!K107&lt;&gt;"",DSDV!K107,"")</f>
        <v/>
      </c>
      <c r="D102" s="417" t="str">
        <f>IF(DSDV!W107&lt;&gt;"",DSDV!W107,"")</f>
        <v/>
      </c>
    </row>
    <row r="103" spans="1:4">
      <c r="A103" t="str">
        <f>IF(DSDV!B108&lt;&gt;"",DSDV!B108,"")</f>
        <v/>
      </c>
      <c r="B103" t="str">
        <f>IF(DSDV!G108&lt;&gt;"",DSDV!G108,"")</f>
        <v/>
      </c>
      <c r="C103" s="237" t="str">
        <f>IF(DSDV!K108&lt;&gt;"",DSDV!K108,"")</f>
        <v/>
      </c>
      <c r="D103" s="417" t="str">
        <f>IF(DSDV!W108&lt;&gt;"",DSDV!W108,"")</f>
        <v/>
      </c>
    </row>
    <row r="104" spans="1:4">
      <c r="A104" t="str">
        <f>IF(DSDV!B109&lt;&gt;"",DSDV!B109,"")</f>
        <v/>
      </c>
      <c r="B104" t="str">
        <f>IF(DSDV!G109&lt;&gt;"",DSDV!G109,"")</f>
        <v/>
      </c>
      <c r="C104" s="237" t="str">
        <f>IF(DSDV!K109&lt;&gt;"",DSDV!K109,"")</f>
        <v/>
      </c>
      <c r="D104" s="417" t="str">
        <f>IF(DSDV!W109&lt;&gt;"",DSDV!W109,"")</f>
        <v/>
      </c>
    </row>
    <row r="105" spans="1:4">
      <c r="A105" t="str">
        <f>IF(DSDV!B110&lt;&gt;"",DSDV!B110,"")</f>
        <v/>
      </c>
      <c r="B105" t="str">
        <f>IF(DSDV!G110&lt;&gt;"",DSDV!G110,"")</f>
        <v/>
      </c>
      <c r="C105" s="237" t="str">
        <f>IF(DSDV!K110&lt;&gt;"",DSDV!K110,"")</f>
        <v/>
      </c>
      <c r="D105" s="417" t="str">
        <f>IF(DSDV!W110&lt;&gt;"",DSDV!W110,"")</f>
        <v/>
      </c>
    </row>
    <row r="106" spans="1:4">
      <c r="A106" t="str">
        <f>IF(DSDV!B111&lt;&gt;"",DSDV!B111,"")</f>
        <v/>
      </c>
      <c r="B106" t="str">
        <f>IF(DSDV!G111&lt;&gt;"",DSDV!G111,"")</f>
        <v/>
      </c>
      <c r="C106" s="237" t="str">
        <f>IF(DSDV!K111&lt;&gt;"",DSDV!K111,"")</f>
        <v/>
      </c>
      <c r="D106" s="417" t="str">
        <f>IF(DSDV!W111&lt;&gt;"",DSDV!W111,"")</f>
        <v/>
      </c>
    </row>
    <row r="107" spans="1:4">
      <c r="A107" t="str">
        <f>IF(DSDV!B112&lt;&gt;"",DSDV!B112,"")</f>
        <v/>
      </c>
      <c r="B107" t="str">
        <f>IF(DSDV!G112&lt;&gt;"",DSDV!G112,"")</f>
        <v/>
      </c>
      <c r="C107" s="237" t="str">
        <f>IF(DSDV!K112&lt;&gt;"",DSDV!K112,"")</f>
        <v/>
      </c>
      <c r="D107" s="417" t="str">
        <f>IF(DSDV!W112&lt;&gt;"",DSDV!W112,"")</f>
        <v/>
      </c>
    </row>
    <row r="108" spans="1:4">
      <c r="A108" t="str">
        <f>IF(DSDV!B113&lt;&gt;"",DSDV!B113,"")</f>
        <v/>
      </c>
      <c r="B108" t="str">
        <f>IF(DSDV!G113&lt;&gt;"",DSDV!G113,"")</f>
        <v/>
      </c>
      <c r="C108" s="237" t="str">
        <f>IF(DSDV!K113&lt;&gt;"",DSDV!K113,"")</f>
        <v/>
      </c>
      <c r="D108" s="417" t="str">
        <f>IF(DSDV!W113&lt;&gt;"",DSDV!W113,"")</f>
        <v/>
      </c>
    </row>
    <row r="109" spans="1:4">
      <c r="A109" t="str">
        <f>IF(DSDV!B114&lt;&gt;"",DSDV!B114,"")</f>
        <v/>
      </c>
      <c r="B109" t="str">
        <f>IF(DSDV!G114&lt;&gt;"",DSDV!G114,"")</f>
        <v/>
      </c>
      <c r="C109" s="237" t="str">
        <f>IF(DSDV!K114&lt;&gt;"",DSDV!K114,"")</f>
        <v/>
      </c>
      <c r="D109" s="417" t="str">
        <f>IF(DSDV!W114&lt;&gt;"",DSDV!W114,"")</f>
        <v/>
      </c>
    </row>
    <row r="110" spans="1:4">
      <c r="A110" t="str">
        <f>IF(DSDV!B115&lt;&gt;"",DSDV!B115,"")</f>
        <v/>
      </c>
      <c r="B110" t="str">
        <f>IF(DSDV!G115&lt;&gt;"",DSDV!G115,"")</f>
        <v/>
      </c>
      <c r="C110" s="237" t="str">
        <f>IF(DSDV!K115&lt;&gt;"",DSDV!K115,"")</f>
        <v/>
      </c>
      <c r="D110" s="417" t="str">
        <f>IF(DSDV!W115&lt;&gt;"",DSDV!W115,"")</f>
        <v/>
      </c>
    </row>
    <row r="111" spans="1:4">
      <c r="A111" t="str">
        <f>IF(DSDV!B116&lt;&gt;"",DSDV!B116,"")</f>
        <v/>
      </c>
      <c r="B111" t="str">
        <f>IF(DSDV!G116&lt;&gt;"",DSDV!G116,"")</f>
        <v/>
      </c>
      <c r="C111" s="237" t="str">
        <f>IF(DSDV!K116&lt;&gt;"",DSDV!K116,"")</f>
        <v/>
      </c>
      <c r="D111" s="417" t="str">
        <f>IF(DSDV!W116&lt;&gt;"",DSDV!W116,"")</f>
        <v/>
      </c>
    </row>
    <row r="112" spans="1:4">
      <c r="A112" t="str">
        <f>IF(DSDV!B117&lt;&gt;"",DSDV!B117,"")</f>
        <v/>
      </c>
      <c r="B112" t="str">
        <f>IF(DSDV!G117&lt;&gt;"",DSDV!G117,"")</f>
        <v/>
      </c>
      <c r="C112" s="237" t="str">
        <f>IF(DSDV!K117&lt;&gt;"",DSDV!K117,"")</f>
        <v/>
      </c>
      <c r="D112" s="417" t="str">
        <f>IF(DSDV!W117&lt;&gt;"",DSDV!W117,"")</f>
        <v/>
      </c>
    </row>
    <row r="113" spans="1:4">
      <c r="A113" t="str">
        <f>IF(DSDV!B118&lt;&gt;"",DSDV!B118,"")</f>
        <v/>
      </c>
      <c r="B113" t="str">
        <f>IF(DSDV!G118&lt;&gt;"",DSDV!G118,"")</f>
        <v/>
      </c>
      <c r="C113" s="237" t="str">
        <f>IF(DSDV!K118&lt;&gt;"",DSDV!K118,"")</f>
        <v/>
      </c>
      <c r="D113" s="417" t="str">
        <f>IF(DSDV!W118&lt;&gt;"",DSDV!W118,"")</f>
        <v/>
      </c>
    </row>
    <row r="114" spans="1:4">
      <c r="A114" t="str">
        <f>IF(DSDV!B119&lt;&gt;"",DSDV!B119,"")</f>
        <v/>
      </c>
      <c r="B114" t="str">
        <f>IF(DSDV!G119&lt;&gt;"",DSDV!G119,"")</f>
        <v/>
      </c>
      <c r="C114" s="237" t="str">
        <f>IF(DSDV!K119&lt;&gt;"",DSDV!K119,"")</f>
        <v/>
      </c>
      <c r="D114" s="417" t="str">
        <f>IF(DSDV!W119&lt;&gt;"",DSDV!W119,"")</f>
        <v/>
      </c>
    </row>
    <row r="115" spans="1:4">
      <c r="A115" t="str">
        <f>IF(DSDV!B120&lt;&gt;"",DSDV!B120,"")</f>
        <v/>
      </c>
      <c r="B115" t="str">
        <f>IF(DSDV!G120&lt;&gt;"",DSDV!G120,"")</f>
        <v/>
      </c>
      <c r="C115" s="237" t="str">
        <f>IF(DSDV!K120&lt;&gt;"",DSDV!K120,"")</f>
        <v/>
      </c>
      <c r="D115" s="417" t="str">
        <f>IF(DSDV!W120&lt;&gt;"",DSDV!W120,"")</f>
        <v/>
      </c>
    </row>
    <row r="116" spans="1:4">
      <c r="A116" t="str">
        <f>IF(DSDV!B121&lt;&gt;"",DSDV!B121,"")</f>
        <v/>
      </c>
      <c r="B116" t="str">
        <f>IF(DSDV!G121&lt;&gt;"",DSDV!G121,"")</f>
        <v/>
      </c>
      <c r="C116" s="237" t="str">
        <f>IF(DSDV!K121&lt;&gt;"",DSDV!K121,"")</f>
        <v/>
      </c>
      <c r="D116" s="417" t="str">
        <f>IF(DSDV!W121&lt;&gt;"",DSDV!W121,"")</f>
        <v/>
      </c>
    </row>
    <row r="117" spans="1:4">
      <c r="A117" t="str">
        <f>IF(DSDV!B122&lt;&gt;"",DSDV!B122,"")</f>
        <v/>
      </c>
      <c r="B117" t="str">
        <f>IF(DSDV!G122&lt;&gt;"",DSDV!G122,"")</f>
        <v/>
      </c>
      <c r="C117" s="237" t="str">
        <f>IF(DSDV!K122&lt;&gt;"",DSDV!K122,"")</f>
        <v/>
      </c>
      <c r="D117" s="417" t="str">
        <f>IF(DSDV!W122&lt;&gt;"",DSDV!W122,"")</f>
        <v/>
      </c>
    </row>
    <row r="118" spans="1:4">
      <c r="A118" t="str">
        <f>IF(DSDV!B123&lt;&gt;"",DSDV!B123,"")</f>
        <v/>
      </c>
      <c r="B118" t="str">
        <f>IF(DSDV!G123&lt;&gt;"",DSDV!G123,"")</f>
        <v/>
      </c>
      <c r="C118" s="237" t="str">
        <f>IF(DSDV!K123&lt;&gt;"",DSDV!K123,"")</f>
        <v/>
      </c>
      <c r="D118" s="417" t="str">
        <f>IF(DSDV!W123&lt;&gt;"",DSDV!W123,"")</f>
        <v/>
      </c>
    </row>
    <row r="119" spans="1:4">
      <c r="A119" t="str">
        <f>IF(DSDV!B124&lt;&gt;"",DSDV!B124,"")</f>
        <v/>
      </c>
      <c r="B119" t="str">
        <f>IF(DSDV!G124&lt;&gt;"",DSDV!G124,"")</f>
        <v/>
      </c>
      <c r="C119" s="237" t="str">
        <f>IF(DSDV!K124&lt;&gt;"",DSDV!K124,"")</f>
        <v/>
      </c>
      <c r="D119" s="417" t="str">
        <f>IF(DSDV!W124&lt;&gt;"",DSDV!W124,"")</f>
        <v/>
      </c>
    </row>
    <row r="120" spans="1:4">
      <c r="A120" t="str">
        <f>IF(DSDV!B125&lt;&gt;"",DSDV!B125,"")</f>
        <v/>
      </c>
      <c r="B120" t="str">
        <f>IF(DSDV!G125&lt;&gt;"",DSDV!G125,"")</f>
        <v/>
      </c>
      <c r="C120" s="237" t="str">
        <f>IF(DSDV!K125&lt;&gt;"",DSDV!K125,"")</f>
        <v/>
      </c>
      <c r="D120" s="417" t="str">
        <f>IF(DSDV!W125&lt;&gt;"",DSDV!W125,"")</f>
        <v/>
      </c>
    </row>
    <row r="121" spans="1:4">
      <c r="A121" t="str">
        <f>IF(DSDV!B126&lt;&gt;"",DSDV!B126,"")</f>
        <v/>
      </c>
      <c r="B121" t="str">
        <f>IF(DSDV!G126&lt;&gt;"",DSDV!G126,"")</f>
        <v/>
      </c>
      <c r="C121" s="237" t="str">
        <f>IF(DSDV!K126&lt;&gt;"",DSDV!K126,"")</f>
        <v/>
      </c>
      <c r="D121" s="417" t="str">
        <f>IF(DSDV!W126&lt;&gt;"",DSDV!W126,"")</f>
        <v/>
      </c>
    </row>
    <row r="122" spans="1:4">
      <c r="A122" t="str">
        <f>IF(DSDV!B127&lt;&gt;"",DSDV!B127,"")</f>
        <v/>
      </c>
      <c r="B122" t="str">
        <f>IF(DSDV!G127&lt;&gt;"",DSDV!G127,"")</f>
        <v/>
      </c>
      <c r="C122" s="237" t="str">
        <f>IF(DSDV!K127&lt;&gt;"",DSDV!K127,"")</f>
        <v/>
      </c>
      <c r="D122" s="417" t="str">
        <f>IF(DSDV!W127&lt;&gt;"",DSDV!W127,"")</f>
        <v/>
      </c>
    </row>
    <row r="123" spans="1:4">
      <c r="A123" t="str">
        <f>IF(DSDV!B128&lt;&gt;"",DSDV!B128,"")</f>
        <v/>
      </c>
      <c r="B123" t="str">
        <f>IF(DSDV!G128&lt;&gt;"",DSDV!G128,"")</f>
        <v/>
      </c>
      <c r="C123" s="237" t="str">
        <f>IF(DSDV!K128&lt;&gt;"",DSDV!K128,"")</f>
        <v/>
      </c>
      <c r="D123" s="417" t="str">
        <f>IF(DSDV!W128&lt;&gt;"",DSDV!W128,"")</f>
        <v/>
      </c>
    </row>
    <row r="124" spans="1:4">
      <c r="A124" t="str">
        <f>IF(DSDV!B129&lt;&gt;"",DSDV!B129,"")</f>
        <v/>
      </c>
      <c r="B124" t="str">
        <f>IF(DSDV!G129&lt;&gt;"",DSDV!G129,"")</f>
        <v/>
      </c>
      <c r="C124" s="237" t="str">
        <f>IF(DSDV!K129&lt;&gt;"",DSDV!K129,"")</f>
        <v/>
      </c>
      <c r="D124" s="417" t="str">
        <f>IF(DSDV!W129&lt;&gt;"",DSDV!W129,"")</f>
        <v/>
      </c>
    </row>
    <row r="125" spans="1:4">
      <c r="A125" t="str">
        <f>IF(DSDV!B130&lt;&gt;"",DSDV!B130,"")</f>
        <v/>
      </c>
      <c r="B125" t="str">
        <f>IF(DSDV!G130&lt;&gt;"",DSDV!G130,"")</f>
        <v/>
      </c>
      <c r="C125" s="237" t="str">
        <f>IF(DSDV!K130&lt;&gt;"",DSDV!K130,"")</f>
        <v/>
      </c>
      <c r="D125" s="417" t="str">
        <f>IF(DSDV!W130&lt;&gt;"",DSDV!W130,"")</f>
        <v/>
      </c>
    </row>
    <row r="126" spans="1:4">
      <c r="A126" t="str">
        <f>IF(DSDV!B131&lt;&gt;"",DSDV!B131,"")</f>
        <v/>
      </c>
      <c r="B126" t="str">
        <f>IF(DSDV!G131&lt;&gt;"",DSDV!G131,"")</f>
        <v/>
      </c>
      <c r="C126" s="237" t="str">
        <f>IF(DSDV!K131&lt;&gt;"",DSDV!K131,"")</f>
        <v/>
      </c>
      <c r="D126" s="417" t="str">
        <f>IF(DSDV!W131&lt;&gt;"",DSDV!W131,"")</f>
        <v/>
      </c>
    </row>
    <row r="127" spans="1:4">
      <c r="A127" t="str">
        <f>IF(DSDV!B132&lt;&gt;"",DSDV!B132,"")</f>
        <v/>
      </c>
      <c r="B127" t="str">
        <f>IF(DSDV!G132&lt;&gt;"",DSDV!G132,"")</f>
        <v/>
      </c>
      <c r="C127" s="237" t="str">
        <f>IF(DSDV!K132&lt;&gt;"",DSDV!K132,"")</f>
        <v/>
      </c>
      <c r="D127" s="417" t="str">
        <f>IF(DSDV!W132&lt;&gt;"",DSDV!W132,"")</f>
        <v/>
      </c>
    </row>
    <row r="128" spans="1:4">
      <c r="A128" t="str">
        <f>IF(DSDV!B133&lt;&gt;"",DSDV!B133,"")</f>
        <v/>
      </c>
      <c r="B128" t="str">
        <f>IF(DSDV!G133&lt;&gt;"",DSDV!G133,"")</f>
        <v/>
      </c>
      <c r="C128" s="237" t="str">
        <f>IF(DSDV!K133&lt;&gt;"",DSDV!K133,"")</f>
        <v/>
      </c>
      <c r="D128" s="417" t="str">
        <f>IF(DSDV!W133&lt;&gt;"",DSDV!W133,"")</f>
        <v/>
      </c>
    </row>
    <row r="129" spans="1:4">
      <c r="A129" t="str">
        <f>IF(DSDV!B134&lt;&gt;"",DSDV!B134,"")</f>
        <v/>
      </c>
      <c r="B129" t="str">
        <f>IF(DSDV!G134&lt;&gt;"",DSDV!G134,"")</f>
        <v/>
      </c>
      <c r="C129" s="237" t="str">
        <f>IF(DSDV!K134&lt;&gt;"",DSDV!K134,"")</f>
        <v/>
      </c>
      <c r="D129" s="417" t="str">
        <f>IF(DSDV!W134&lt;&gt;"",DSDV!W134,"")</f>
        <v/>
      </c>
    </row>
    <row r="130" spans="1:4">
      <c r="A130" t="str">
        <f>IF(DSDV!B135&lt;&gt;"",DSDV!B135,"")</f>
        <v/>
      </c>
      <c r="B130" t="str">
        <f>IF(DSDV!G135&lt;&gt;"",DSDV!G135,"")</f>
        <v/>
      </c>
      <c r="C130" s="237" t="str">
        <f>IF(DSDV!K135&lt;&gt;"",DSDV!K135,"")</f>
        <v/>
      </c>
      <c r="D130" s="417" t="str">
        <f>IF(DSDV!W135&lt;&gt;"",DSDV!W135,"")</f>
        <v/>
      </c>
    </row>
    <row r="131" spans="1:4">
      <c r="A131" t="str">
        <f>IF(DSDV!B136&lt;&gt;"",DSDV!B136,"")</f>
        <v/>
      </c>
      <c r="B131" t="str">
        <f>IF(DSDV!G136&lt;&gt;"",DSDV!G136,"")</f>
        <v/>
      </c>
      <c r="C131" s="237" t="str">
        <f>IF(DSDV!K136&lt;&gt;"",DSDV!K136,"")</f>
        <v/>
      </c>
      <c r="D131" s="417" t="str">
        <f>IF(DSDV!W136&lt;&gt;"",DSDV!W136,"")</f>
        <v/>
      </c>
    </row>
    <row r="132" spans="1:4">
      <c r="A132" t="str">
        <f>IF(DSDV!B137&lt;&gt;"",DSDV!B137,"")</f>
        <v/>
      </c>
      <c r="B132" t="str">
        <f>IF(DSDV!G137&lt;&gt;"",DSDV!G137,"")</f>
        <v/>
      </c>
      <c r="C132" s="237" t="str">
        <f>IF(DSDV!K137&lt;&gt;"",DSDV!K137,"")</f>
        <v/>
      </c>
      <c r="D132" s="417" t="str">
        <f>IF(DSDV!W137&lt;&gt;"",DSDV!W137,"")</f>
        <v/>
      </c>
    </row>
    <row r="133" spans="1:4">
      <c r="A133" t="str">
        <f>IF(DSDV!B138&lt;&gt;"",DSDV!B138,"")</f>
        <v/>
      </c>
      <c r="B133" t="str">
        <f>IF(DSDV!G138&lt;&gt;"",DSDV!G138,"")</f>
        <v/>
      </c>
      <c r="C133" s="237" t="str">
        <f>IF(DSDV!K138&lt;&gt;"",DSDV!K138,"")</f>
        <v/>
      </c>
      <c r="D133" s="417" t="str">
        <f>IF(DSDV!W138&lt;&gt;"",DSDV!W138,"")</f>
        <v/>
      </c>
    </row>
    <row r="134" spans="1:4">
      <c r="A134" t="str">
        <f>IF(DSDV!B139&lt;&gt;"",DSDV!B139,"")</f>
        <v/>
      </c>
      <c r="B134" t="str">
        <f>IF(DSDV!G139&lt;&gt;"",DSDV!G139,"")</f>
        <v/>
      </c>
      <c r="C134" s="237" t="str">
        <f>IF(DSDV!K139&lt;&gt;"",DSDV!K139,"")</f>
        <v/>
      </c>
      <c r="D134" s="417" t="str">
        <f>IF(DSDV!W139&lt;&gt;"",DSDV!W139,"")</f>
        <v/>
      </c>
    </row>
    <row r="135" spans="1:4">
      <c r="A135" t="str">
        <f>IF(DSDV!B140&lt;&gt;"",DSDV!B140,"")</f>
        <v/>
      </c>
      <c r="B135" t="str">
        <f>IF(DSDV!G140&lt;&gt;"",DSDV!G140,"")</f>
        <v/>
      </c>
      <c r="C135" s="237" t="str">
        <f>IF(DSDV!K140&lt;&gt;"",DSDV!K140,"")</f>
        <v/>
      </c>
      <c r="D135" s="417" t="str">
        <f>IF(DSDV!W140&lt;&gt;"",DSDV!W140,"")</f>
        <v/>
      </c>
    </row>
    <row r="136" spans="1:4">
      <c r="A136" t="str">
        <f>IF(DSDV!B141&lt;&gt;"",DSDV!B141,"")</f>
        <v/>
      </c>
      <c r="B136" t="str">
        <f>IF(DSDV!G141&lt;&gt;"",DSDV!G141,"")</f>
        <v/>
      </c>
      <c r="C136" s="237" t="str">
        <f>IF(DSDV!K141&lt;&gt;"",DSDV!K141,"")</f>
        <v/>
      </c>
      <c r="D136" s="417" t="str">
        <f>IF(DSDV!W141&lt;&gt;"",DSDV!W141,"")</f>
        <v/>
      </c>
    </row>
    <row r="137" spans="1:4">
      <c r="A137" t="str">
        <f>IF(DSDV!B142&lt;&gt;"",DSDV!B142,"")</f>
        <v/>
      </c>
      <c r="B137" t="str">
        <f>IF(DSDV!G142&lt;&gt;"",DSDV!G142,"")</f>
        <v/>
      </c>
      <c r="C137" s="237" t="str">
        <f>IF(DSDV!K142&lt;&gt;"",DSDV!K142,"")</f>
        <v/>
      </c>
      <c r="D137" s="417" t="str">
        <f>IF(DSDV!W142&lt;&gt;"",DSDV!W142,"")</f>
        <v/>
      </c>
    </row>
    <row r="138" spans="1:4">
      <c r="A138" t="str">
        <f>IF(DSDV!B143&lt;&gt;"",DSDV!B143,"")</f>
        <v/>
      </c>
      <c r="B138" t="str">
        <f>IF(DSDV!G143&lt;&gt;"",DSDV!G143,"")</f>
        <v/>
      </c>
      <c r="C138" s="237" t="str">
        <f>IF(DSDV!K143&lt;&gt;"",DSDV!K143,"")</f>
        <v/>
      </c>
      <c r="D138" s="417" t="str">
        <f>IF(DSDV!W143&lt;&gt;"",DSDV!W143,"")</f>
        <v/>
      </c>
    </row>
    <row r="139" spans="1:4">
      <c r="A139" t="str">
        <f>IF(DSDV!B144&lt;&gt;"",DSDV!B144,"")</f>
        <v/>
      </c>
      <c r="B139" t="str">
        <f>IF(DSDV!G144&lt;&gt;"",DSDV!G144,"")</f>
        <v/>
      </c>
      <c r="C139" s="237" t="str">
        <f>IF(DSDV!K144&lt;&gt;"",DSDV!K144,"")</f>
        <v/>
      </c>
      <c r="D139" s="417" t="str">
        <f>IF(DSDV!W144&lt;&gt;"",DSDV!W144,"")</f>
        <v/>
      </c>
    </row>
    <row r="140" spans="1:4">
      <c r="A140" t="str">
        <f>IF(DSDV!B145&lt;&gt;"",DSDV!B145,"")</f>
        <v/>
      </c>
      <c r="B140" t="str">
        <f>IF(DSDV!G145&lt;&gt;"",DSDV!G145,"")</f>
        <v/>
      </c>
      <c r="C140" s="237" t="str">
        <f>IF(DSDV!K145&lt;&gt;"",DSDV!K145,"")</f>
        <v/>
      </c>
      <c r="D140" s="417" t="str">
        <f>IF(DSDV!W145&lt;&gt;"",DSDV!W145,"")</f>
        <v/>
      </c>
    </row>
    <row r="141" spans="1:4">
      <c r="A141" t="str">
        <f>IF(DSDV!B146&lt;&gt;"",DSDV!B146,"")</f>
        <v/>
      </c>
      <c r="B141" t="str">
        <f>IF(DSDV!G146&lt;&gt;"",DSDV!G146,"")</f>
        <v/>
      </c>
      <c r="C141" s="237" t="str">
        <f>IF(DSDV!K146&lt;&gt;"",DSDV!K146,"")</f>
        <v/>
      </c>
      <c r="D141" s="417" t="str">
        <f>IF(DSDV!W146&lt;&gt;"",DSDV!W146,"")</f>
        <v/>
      </c>
    </row>
    <row r="142" spans="1:4">
      <c r="A142" t="str">
        <f>IF(DSDV!B147&lt;&gt;"",DSDV!B147,"")</f>
        <v/>
      </c>
      <c r="B142" t="str">
        <f>IF(DSDV!G147&lt;&gt;"",DSDV!G147,"")</f>
        <v/>
      </c>
      <c r="C142" s="237" t="str">
        <f>IF(DSDV!K147&lt;&gt;"",DSDV!K147,"")</f>
        <v/>
      </c>
      <c r="D142" s="417" t="str">
        <f>IF(DSDV!W147&lt;&gt;"",DSDV!W147,"")</f>
        <v/>
      </c>
    </row>
    <row r="143" spans="1:4">
      <c r="A143" t="str">
        <f>IF(DSDV!B148&lt;&gt;"",DSDV!B148,"")</f>
        <v/>
      </c>
      <c r="B143" t="str">
        <f>IF(DSDV!G148&lt;&gt;"",DSDV!G148,"")</f>
        <v/>
      </c>
      <c r="C143" s="237" t="str">
        <f>IF(DSDV!K148&lt;&gt;"",DSDV!K148,"")</f>
        <v/>
      </c>
      <c r="D143" s="417" t="str">
        <f>IF(DSDV!W148&lt;&gt;"",DSDV!W148,"")</f>
        <v/>
      </c>
    </row>
    <row r="144" spans="1:4">
      <c r="A144" t="str">
        <f>IF(DSDV!B149&lt;&gt;"",DSDV!B149,"")</f>
        <v/>
      </c>
      <c r="B144" t="str">
        <f>IF(DSDV!G149&lt;&gt;"",DSDV!G149,"")</f>
        <v/>
      </c>
      <c r="C144" s="237" t="str">
        <f>IF(DSDV!K149&lt;&gt;"",DSDV!K149,"")</f>
        <v/>
      </c>
      <c r="D144" s="417" t="str">
        <f>IF(DSDV!W149&lt;&gt;"",DSDV!W149,"")</f>
        <v/>
      </c>
    </row>
    <row r="145" spans="1:4">
      <c r="A145" t="str">
        <f>IF(DSDV!B150&lt;&gt;"",DSDV!B150,"")</f>
        <v/>
      </c>
      <c r="B145" t="str">
        <f>IF(DSDV!G150&lt;&gt;"",DSDV!G150,"")</f>
        <v/>
      </c>
      <c r="C145" s="237" t="str">
        <f>IF(DSDV!K150&lt;&gt;"",DSDV!K150,"")</f>
        <v/>
      </c>
      <c r="D145" s="417" t="str">
        <f>IF(DSDV!W150&lt;&gt;"",DSDV!W150,"")</f>
        <v/>
      </c>
    </row>
    <row r="146" spans="1:4">
      <c r="A146" t="str">
        <f>IF(DSDV!B151&lt;&gt;"",DSDV!B151,"")</f>
        <v/>
      </c>
      <c r="B146" t="str">
        <f>IF(DSDV!G151&lt;&gt;"",DSDV!G151,"")</f>
        <v/>
      </c>
      <c r="C146" s="237" t="str">
        <f>IF(DSDV!K151&lt;&gt;"",DSDV!K151,"")</f>
        <v/>
      </c>
      <c r="D146" s="417" t="str">
        <f>IF(DSDV!W151&lt;&gt;"",DSDV!W151,"")</f>
        <v/>
      </c>
    </row>
    <row r="147" spans="1:4">
      <c r="A147" t="str">
        <f>IF(DSDV!B152&lt;&gt;"",DSDV!B152,"")</f>
        <v/>
      </c>
      <c r="B147" t="str">
        <f>IF(DSDV!G152&lt;&gt;"",DSDV!G152,"")</f>
        <v/>
      </c>
      <c r="C147" s="237" t="str">
        <f>IF(DSDV!K152&lt;&gt;"",DSDV!K152,"")</f>
        <v/>
      </c>
      <c r="D147" s="417" t="str">
        <f>IF(DSDV!W152&lt;&gt;"",DSDV!W152,"")</f>
        <v/>
      </c>
    </row>
    <row r="148" spans="1:4">
      <c r="A148" t="str">
        <f>IF(DSDV!B153&lt;&gt;"",DSDV!B153,"")</f>
        <v/>
      </c>
      <c r="B148" t="str">
        <f>IF(DSDV!G153&lt;&gt;"",DSDV!G153,"")</f>
        <v/>
      </c>
      <c r="C148" s="237" t="str">
        <f>IF(DSDV!K153&lt;&gt;"",DSDV!K153,"")</f>
        <v/>
      </c>
      <c r="D148" s="417" t="str">
        <f>IF(DSDV!W153&lt;&gt;"",DSDV!W153,"")</f>
        <v/>
      </c>
    </row>
    <row r="149" spans="1:4">
      <c r="A149" t="str">
        <f>IF(DSDV!B154&lt;&gt;"",DSDV!B154,"")</f>
        <v/>
      </c>
      <c r="B149" t="str">
        <f>IF(DSDV!G154&lt;&gt;"",DSDV!G154,"")</f>
        <v/>
      </c>
      <c r="C149" s="237" t="str">
        <f>IF(DSDV!K154&lt;&gt;"",DSDV!K154,"")</f>
        <v/>
      </c>
      <c r="D149" s="417" t="str">
        <f>IF(DSDV!W154&lt;&gt;"",DSDV!W154,"")</f>
        <v/>
      </c>
    </row>
    <row r="150" spans="1:4">
      <c r="A150" t="str">
        <f>IF(DSDV!B155&lt;&gt;"",DSDV!B155,"")</f>
        <v/>
      </c>
      <c r="B150" t="str">
        <f>IF(DSDV!G155&lt;&gt;"",DSDV!G155,"")</f>
        <v/>
      </c>
      <c r="C150" s="237" t="str">
        <f>IF(DSDV!K155&lt;&gt;"",DSDV!K155,"")</f>
        <v/>
      </c>
      <c r="D150" s="417" t="str">
        <f>IF(DSDV!W155&lt;&gt;"",DSDV!W155,"")</f>
        <v/>
      </c>
    </row>
    <row r="151" spans="1:4">
      <c r="A151" t="str">
        <f>IF(DSDV!B156&lt;&gt;"",DSDV!B156,"")</f>
        <v/>
      </c>
      <c r="B151" t="str">
        <f>IF(DSDV!G156&lt;&gt;"",DSDV!G156,"")</f>
        <v/>
      </c>
      <c r="C151" s="237" t="str">
        <f>IF(DSDV!K156&lt;&gt;"",DSDV!K156,"")</f>
        <v/>
      </c>
      <c r="D151" s="417" t="str">
        <f>IF(DSDV!W156&lt;&gt;"",DSDV!W156,"")</f>
        <v/>
      </c>
    </row>
    <row r="152" spans="1:4">
      <c r="A152" t="str">
        <f>IF(DSDV!B157&lt;&gt;"",DSDV!B157,"")</f>
        <v/>
      </c>
      <c r="B152" t="str">
        <f>IF(DSDV!G157&lt;&gt;"",DSDV!G157,"")</f>
        <v/>
      </c>
      <c r="C152" s="237" t="str">
        <f>IF(DSDV!K157&lt;&gt;"",DSDV!K157,"")</f>
        <v/>
      </c>
      <c r="D152" s="417" t="str">
        <f>IF(DSDV!W157&lt;&gt;"",DSDV!W157,"")</f>
        <v/>
      </c>
    </row>
    <row r="153" spans="1:4">
      <c r="A153" t="str">
        <f>IF(DSDV!B158&lt;&gt;"",DSDV!B158,"")</f>
        <v/>
      </c>
      <c r="B153" t="str">
        <f>IF(DSDV!G158&lt;&gt;"",DSDV!G158,"")</f>
        <v/>
      </c>
      <c r="C153" s="237" t="str">
        <f>IF(DSDV!K158&lt;&gt;"",DSDV!K158,"")</f>
        <v/>
      </c>
      <c r="D153" s="417" t="str">
        <f>IF(DSDV!W158&lt;&gt;"",DSDV!W158,"")</f>
        <v/>
      </c>
    </row>
    <row r="154" spans="1:4">
      <c r="A154" t="str">
        <f>IF(DSDV!B159&lt;&gt;"",DSDV!B159,"")</f>
        <v/>
      </c>
      <c r="B154" t="str">
        <f>IF(DSDV!G159&lt;&gt;"",DSDV!G159,"")</f>
        <v/>
      </c>
      <c r="C154" s="237" t="str">
        <f>IF(DSDV!K159&lt;&gt;"",DSDV!K159,"")</f>
        <v/>
      </c>
      <c r="D154" s="417" t="str">
        <f>IF(DSDV!W159&lt;&gt;"",DSDV!W159,"")</f>
        <v/>
      </c>
    </row>
    <row r="155" spans="1:4">
      <c r="A155" t="str">
        <f>IF(DSDV!B160&lt;&gt;"",DSDV!B160,"")</f>
        <v/>
      </c>
      <c r="B155" t="str">
        <f>IF(DSDV!G160&lt;&gt;"",DSDV!G160,"")</f>
        <v/>
      </c>
      <c r="C155" s="237" t="str">
        <f>IF(DSDV!K160&lt;&gt;"",DSDV!K160,"")</f>
        <v/>
      </c>
      <c r="D155" s="417" t="str">
        <f>IF(DSDV!W160&lt;&gt;"",DSDV!W160,"")</f>
        <v/>
      </c>
    </row>
    <row r="156" spans="1:4">
      <c r="A156" t="str">
        <f>IF(DSDV!B161&lt;&gt;"",DSDV!B161,"")</f>
        <v/>
      </c>
      <c r="B156" t="str">
        <f>IF(DSDV!G161&lt;&gt;"",DSDV!G161,"")</f>
        <v/>
      </c>
      <c r="C156" s="237" t="str">
        <f>IF(DSDV!K161&lt;&gt;"",DSDV!K161,"")</f>
        <v/>
      </c>
      <c r="D156" s="417" t="str">
        <f>IF(DSDV!W161&lt;&gt;"",DSDV!W161,"")</f>
        <v/>
      </c>
    </row>
    <row r="157" spans="1:4">
      <c r="A157" t="str">
        <f>IF(DSDV!B162&lt;&gt;"",DSDV!B162,"")</f>
        <v/>
      </c>
      <c r="B157" t="str">
        <f>IF(DSDV!G162&lt;&gt;"",DSDV!G162,"")</f>
        <v/>
      </c>
      <c r="C157" s="237" t="str">
        <f>IF(DSDV!K162&lt;&gt;"",DSDV!K162,"")</f>
        <v/>
      </c>
      <c r="D157" s="417" t="str">
        <f>IF(DSDV!W162&lt;&gt;"",DSDV!W162,"")</f>
        <v/>
      </c>
    </row>
    <row r="158" spans="1:4">
      <c r="A158" t="str">
        <f>IF(DSDV!B163&lt;&gt;"",DSDV!B163,"")</f>
        <v/>
      </c>
      <c r="B158" t="str">
        <f>IF(DSDV!G163&lt;&gt;"",DSDV!G163,"")</f>
        <v/>
      </c>
      <c r="C158" s="237" t="str">
        <f>IF(DSDV!K163&lt;&gt;"",DSDV!K163,"")</f>
        <v/>
      </c>
      <c r="D158" s="417" t="str">
        <f>IF(DSDV!W163&lt;&gt;"",DSDV!W163,"")</f>
        <v/>
      </c>
    </row>
    <row r="159" spans="1:4">
      <c r="A159" t="str">
        <f>IF(DSDV!B164&lt;&gt;"",DSDV!B164,"")</f>
        <v/>
      </c>
      <c r="B159" t="str">
        <f>IF(DSDV!G164&lt;&gt;"",DSDV!G164,"")</f>
        <v/>
      </c>
      <c r="C159" s="237" t="str">
        <f>IF(DSDV!K164&lt;&gt;"",DSDV!K164,"")</f>
        <v/>
      </c>
      <c r="D159" s="417" t="str">
        <f>IF(DSDV!W164&lt;&gt;"",DSDV!W164,"")</f>
        <v/>
      </c>
    </row>
    <row r="160" spans="1:4">
      <c r="A160" t="str">
        <f>IF(DSDV!B165&lt;&gt;"",DSDV!B165,"")</f>
        <v/>
      </c>
      <c r="B160" t="str">
        <f>IF(DSDV!G165&lt;&gt;"",DSDV!G165,"")</f>
        <v/>
      </c>
      <c r="C160" s="237" t="str">
        <f>IF(DSDV!K165&lt;&gt;"",DSDV!K165,"")</f>
        <v/>
      </c>
      <c r="D160" s="417" t="str">
        <f>IF(DSDV!W165&lt;&gt;"",DSDV!W165,"")</f>
        <v/>
      </c>
    </row>
    <row r="161" spans="1:4">
      <c r="A161" t="str">
        <f>IF(DSDV!B166&lt;&gt;"",DSDV!B166,"")</f>
        <v/>
      </c>
      <c r="B161" t="str">
        <f>IF(DSDV!G166&lt;&gt;"",DSDV!G166,"")</f>
        <v/>
      </c>
      <c r="C161" s="237" t="str">
        <f>IF(DSDV!K166&lt;&gt;"",DSDV!K166,"")</f>
        <v/>
      </c>
      <c r="D161" s="417" t="str">
        <f>IF(DSDV!W166&lt;&gt;"",DSDV!W166,"")</f>
        <v/>
      </c>
    </row>
    <row r="162" spans="1:4">
      <c r="A162" t="str">
        <f>IF(DSDV!B167&lt;&gt;"",DSDV!B167,"")</f>
        <v/>
      </c>
      <c r="B162" t="str">
        <f>IF(DSDV!G167&lt;&gt;"",DSDV!G167,"")</f>
        <v/>
      </c>
      <c r="C162" s="237" t="str">
        <f>IF(DSDV!K167&lt;&gt;"",DSDV!K167,"")</f>
        <v/>
      </c>
      <c r="D162" s="417" t="str">
        <f>IF(DSDV!W167&lt;&gt;"",DSDV!W167,"")</f>
        <v/>
      </c>
    </row>
    <row r="163" spans="1:4">
      <c r="A163" t="str">
        <f>IF(DSDV!B168&lt;&gt;"",DSDV!B168,"")</f>
        <v/>
      </c>
      <c r="B163" t="str">
        <f>IF(DSDV!G168&lt;&gt;"",DSDV!G168,"")</f>
        <v/>
      </c>
      <c r="C163" s="237" t="str">
        <f>IF(DSDV!K168&lt;&gt;"",DSDV!K168,"")</f>
        <v/>
      </c>
      <c r="D163" s="417" t="str">
        <f>IF(DSDV!W168&lt;&gt;"",DSDV!W168,"")</f>
        <v/>
      </c>
    </row>
    <row r="164" spans="1:4">
      <c r="A164" t="str">
        <f>IF(DSDV!B169&lt;&gt;"",DSDV!B169,"")</f>
        <v/>
      </c>
      <c r="B164" t="str">
        <f>IF(DSDV!G169&lt;&gt;"",DSDV!G169,"")</f>
        <v/>
      </c>
      <c r="C164" s="237" t="str">
        <f>IF(DSDV!K169&lt;&gt;"",DSDV!K169,"")</f>
        <v/>
      </c>
      <c r="D164" s="417" t="str">
        <f>IF(DSDV!W169&lt;&gt;"",DSDV!W169,"")</f>
        <v/>
      </c>
    </row>
    <row r="165" spans="1:4">
      <c r="A165" t="str">
        <f>IF(DSDV!B170&lt;&gt;"",DSDV!B170,"")</f>
        <v/>
      </c>
      <c r="B165" t="str">
        <f>IF(DSDV!G170&lt;&gt;"",DSDV!G170,"")</f>
        <v/>
      </c>
      <c r="C165" s="237" t="str">
        <f>IF(DSDV!K170&lt;&gt;"",DSDV!K170,"")</f>
        <v/>
      </c>
      <c r="D165" s="417" t="str">
        <f>IF(DSDV!W170&lt;&gt;"",DSDV!W170,"")</f>
        <v/>
      </c>
    </row>
    <row r="166" spans="1:4">
      <c r="A166" t="str">
        <f>IF(DSDV!B171&lt;&gt;"",DSDV!B171,"")</f>
        <v/>
      </c>
      <c r="B166" t="str">
        <f>IF(DSDV!G171&lt;&gt;"",DSDV!G171,"")</f>
        <v/>
      </c>
      <c r="C166" s="237" t="str">
        <f>IF(DSDV!K171&lt;&gt;"",DSDV!K171,"")</f>
        <v/>
      </c>
      <c r="D166" s="417" t="str">
        <f>IF(DSDV!W171&lt;&gt;"",DSDV!W171,"")</f>
        <v/>
      </c>
    </row>
    <row r="167" spans="1:4">
      <c r="A167" t="str">
        <f>IF(DSDV!B172&lt;&gt;"",DSDV!B172,"")</f>
        <v/>
      </c>
      <c r="B167" t="str">
        <f>IF(DSDV!G172&lt;&gt;"",DSDV!G172,"")</f>
        <v/>
      </c>
      <c r="C167" s="237" t="str">
        <f>IF(DSDV!K172&lt;&gt;"",DSDV!K172,"")</f>
        <v/>
      </c>
      <c r="D167" s="417" t="str">
        <f>IF(DSDV!W172&lt;&gt;"",DSDV!W172,"")</f>
        <v/>
      </c>
    </row>
    <row r="168" spans="1:4">
      <c r="A168" t="str">
        <f>IF(DSDV!B173&lt;&gt;"",DSDV!B173,"")</f>
        <v/>
      </c>
      <c r="B168" t="str">
        <f>IF(DSDV!G173&lt;&gt;"",DSDV!G173,"")</f>
        <v/>
      </c>
      <c r="C168" s="237" t="str">
        <f>IF(DSDV!K173&lt;&gt;"",DSDV!K173,"")</f>
        <v/>
      </c>
      <c r="D168" s="417" t="str">
        <f>IF(DSDV!W173&lt;&gt;"",DSDV!W173,"")</f>
        <v/>
      </c>
    </row>
    <row r="169" spans="1:4">
      <c r="A169" t="str">
        <f>IF(DSDV!B174&lt;&gt;"",DSDV!B174,"")</f>
        <v/>
      </c>
      <c r="B169" t="str">
        <f>IF(DSDV!G174&lt;&gt;"",DSDV!G174,"")</f>
        <v/>
      </c>
      <c r="C169" s="237" t="str">
        <f>IF(DSDV!K174&lt;&gt;"",DSDV!K174,"")</f>
        <v/>
      </c>
      <c r="D169" s="417" t="str">
        <f>IF(DSDV!W174&lt;&gt;"",DSDV!W174,"")</f>
        <v/>
      </c>
    </row>
    <row r="170" spans="1:4">
      <c r="A170" t="str">
        <f>IF(DSDV!B175&lt;&gt;"",DSDV!B175,"")</f>
        <v/>
      </c>
      <c r="B170" t="str">
        <f>IF(DSDV!G175&lt;&gt;"",DSDV!G175,"")</f>
        <v/>
      </c>
      <c r="C170" s="237" t="str">
        <f>IF(DSDV!K175&lt;&gt;"",DSDV!K175,"")</f>
        <v/>
      </c>
      <c r="D170" s="417" t="str">
        <f>IF(DSDV!W175&lt;&gt;"",DSDV!W175,"")</f>
        <v/>
      </c>
    </row>
    <row r="171" spans="1:4">
      <c r="A171" t="str">
        <f>IF(DSDV!B176&lt;&gt;"",DSDV!B176,"")</f>
        <v/>
      </c>
      <c r="B171" t="str">
        <f>IF(DSDV!G176&lt;&gt;"",DSDV!G176,"")</f>
        <v/>
      </c>
      <c r="C171" s="237" t="str">
        <f>IF(DSDV!K176&lt;&gt;"",DSDV!K176,"")</f>
        <v/>
      </c>
      <c r="D171" s="417" t="str">
        <f>IF(DSDV!W176&lt;&gt;"",DSDV!W176,"")</f>
        <v/>
      </c>
    </row>
    <row r="172" spans="1:4">
      <c r="A172" t="str">
        <f>IF(DSDV!B177&lt;&gt;"",DSDV!B177,"")</f>
        <v/>
      </c>
      <c r="B172" t="str">
        <f>IF(DSDV!G177&lt;&gt;"",DSDV!G177,"")</f>
        <v/>
      </c>
      <c r="C172" s="237" t="str">
        <f>IF(DSDV!K177&lt;&gt;"",DSDV!K177,"")</f>
        <v/>
      </c>
      <c r="D172" s="417" t="str">
        <f>IF(DSDV!W177&lt;&gt;"",DSDV!W177,"")</f>
        <v/>
      </c>
    </row>
    <row r="173" spans="1:4">
      <c r="A173" t="str">
        <f>IF(DSDV!B178&lt;&gt;"",DSDV!B178,"")</f>
        <v/>
      </c>
      <c r="B173" t="str">
        <f>IF(DSDV!G178&lt;&gt;"",DSDV!G178,"")</f>
        <v/>
      </c>
      <c r="C173" s="237" t="str">
        <f>IF(DSDV!K178&lt;&gt;"",DSDV!K178,"")</f>
        <v/>
      </c>
      <c r="D173" s="417" t="str">
        <f>IF(DSDV!W178&lt;&gt;"",DSDV!W178,"")</f>
        <v/>
      </c>
    </row>
    <row r="174" spans="1:4">
      <c r="A174" t="str">
        <f>IF(DSDV!B179&lt;&gt;"",DSDV!B179,"")</f>
        <v/>
      </c>
      <c r="B174" t="str">
        <f>IF(DSDV!G179&lt;&gt;"",DSDV!G179,"")</f>
        <v/>
      </c>
      <c r="C174" s="237" t="str">
        <f>IF(DSDV!K179&lt;&gt;"",DSDV!K179,"")</f>
        <v/>
      </c>
      <c r="D174" s="417" t="str">
        <f>IF(DSDV!W179&lt;&gt;"",DSDV!W179,"")</f>
        <v/>
      </c>
    </row>
    <row r="175" spans="1:4">
      <c r="A175" t="str">
        <f>IF(DSDV!B180&lt;&gt;"",DSDV!B180,"")</f>
        <v/>
      </c>
      <c r="B175" t="str">
        <f>IF(DSDV!G180&lt;&gt;"",DSDV!G180,"")</f>
        <v/>
      </c>
      <c r="C175" s="237" t="str">
        <f>IF(DSDV!K180&lt;&gt;"",DSDV!K180,"")</f>
        <v/>
      </c>
      <c r="D175" s="417" t="str">
        <f>IF(DSDV!W180&lt;&gt;"",DSDV!W180,"")</f>
        <v/>
      </c>
    </row>
    <row r="176" spans="1:4">
      <c r="A176" t="str">
        <f>IF(DSDV!B181&lt;&gt;"",DSDV!B181,"")</f>
        <v/>
      </c>
      <c r="B176" t="str">
        <f>IF(DSDV!G181&lt;&gt;"",DSDV!G181,"")</f>
        <v/>
      </c>
      <c r="C176" s="237" t="str">
        <f>IF(DSDV!K181&lt;&gt;"",DSDV!K181,"")</f>
        <v/>
      </c>
      <c r="D176" s="417" t="str">
        <f>IF(DSDV!W181&lt;&gt;"",DSDV!W181,"")</f>
        <v/>
      </c>
    </row>
    <row r="177" spans="1:4">
      <c r="A177" t="str">
        <f>IF(DSDV!B182&lt;&gt;"",DSDV!B182,"")</f>
        <v/>
      </c>
      <c r="B177" t="str">
        <f>IF(DSDV!G182&lt;&gt;"",DSDV!G182,"")</f>
        <v/>
      </c>
      <c r="C177" s="237" t="str">
        <f>IF(DSDV!K182&lt;&gt;"",DSDV!K182,"")</f>
        <v/>
      </c>
      <c r="D177" s="417" t="str">
        <f>IF(DSDV!W182&lt;&gt;"",DSDV!W182,"")</f>
        <v/>
      </c>
    </row>
    <row r="178" spans="1:4">
      <c r="A178" t="str">
        <f>IF(DSDV!B183&lt;&gt;"",DSDV!B183,"")</f>
        <v/>
      </c>
      <c r="B178" t="str">
        <f>IF(DSDV!G183&lt;&gt;"",DSDV!G183,"")</f>
        <v/>
      </c>
      <c r="C178" s="237" t="str">
        <f>IF(DSDV!K183&lt;&gt;"",DSDV!K183,"")</f>
        <v/>
      </c>
      <c r="D178" s="417" t="str">
        <f>IF(DSDV!W183&lt;&gt;"",DSDV!W183,"")</f>
        <v/>
      </c>
    </row>
    <row r="179" spans="1:4">
      <c r="A179" t="str">
        <f>IF(DSDV!B184&lt;&gt;"",DSDV!B184,"")</f>
        <v/>
      </c>
      <c r="B179" t="str">
        <f>IF(DSDV!G184&lt;&gt;"",DSDV!G184,"")</f>
        <v/>
      </c>
      <c r="C179" s="237" t="str">
        <f>IF(DSDV!K184&lt;&gt;"",DSDV!K184,"")</f>
        <v/>
      </c>
      <c r="D179" s="417" t="str">
        <f>IF(DSDV!W184&lt;&gt;"",DSDV!W184,"")</f>
        <v/>
      </c>
    </row>
    <row r="180" spans="1:4">
      <c r="A180" t="str">
        <f>IF(DSDV!B185&lt;&gt;"",DSDV!B185,"")</f>
        <v/>
      </c>
      <c r="B180" t="str">
        <f>IF(DSDV!G185&lt;&gt;"",DSDV!G185,"")</f>
        <v/>
      </c>
      <c r="C180" s="237" t="str">
        <f>IF(DSDV!K185&lt;&gt;"",DSDV!K185,"")</f>
        <v/>
      </c>
      <c r="D180" s="417" t="str">
        <f>IF(DSDV!W185&lt;&gt;"",DSDV!W185,"")</f>
        <v/>
      </c>
    </row>
    <row r="181" spans="1:4">
      <c r="A181" t="str">
        <f>IF(DSDV!B186&lt;&gt;"",DSDV!B186,"")</f>
        <v/>
      </c>
      <c r="B181" t="str">
        <f>IF(DSDV!G186&lt;&gt;"",DSDV!G186,"")</f>
        <v/>
      </c>
      <c r="C181" s="237" t="str">
        <f>IF(DSDV!K186&lt;&gt;"",DSDV!K186,"")</f>
        <v/>
      </c>
      <c r="D181" s="417" t="str">
        <f>IF(DSDV!W186&lt;&gt;"",DSDV!W186,"")</f>
        <v/>
      </c>
    </row>
    <row r="182" spans="1:4">
      <c r="A182" t="str">
        <f>IF(DSDV!B187&lt;&gt;"",DSDV!B187,"")</f>
        <v/>
      </c>
      <c r="B182" t="str">
        <f>IF(DSDV!G187&lt;&gt;"",DSDV!G187,"")</f>
        <v/>
      </c>
      <c r="C182" s="237" t="str">
        <f>IF(DSDV!K187&lt;&gt;"",DSDV!K187,"")</f>
        <v/>
      </c>
      <c r="D182" s="417" t="str">
        <f>IF(DSDV!W187&lt;&gt;"",DSDV!W187,"")</f>
        <v/>
      </c>
    </row>
    <row r="183" spans="1:4">
      <c r="A183" t="str">
        <f>IF(DSDV!B188&lt;&gt;"",DSDV!B188,"")</f>
        <v/>
      </c>
      <c r="B183" t="str">
        <f>IF(DSDV!G188&lt;&gt;"",DSDV!G188,"")</f>
        <v/>
      </c>
      <c r="C183" s="237" t="str">
        <f>IF(DSDV!K188&lt;&gt;"",DSDV!K188,"")</f>
        <v/>
      </c>
      <c r="D183" s="417" t="str">
        <f>IF(DSDV!W188&lt;&gt;"",DSDV!W188,"")</f>
        <v/>
      </c>
    </row>
    <row r="184" spans="1:4">
      <c r="A184" t="str">
        <f>IF(DSDV!B189&lt;&gt;"",DSDV!B189,"")</f>
        <v/>
      </c>
      <c r="B184" t="str">
        <f>IF(DSDV!G189&lt;&gt;"",DSDV!G189,"")</f>
        <v/>
      </c>
      <c r="C184" s="237" t="str">
        <f>IF(DSDV!K189&lt;&gt;"",DSDV!K189,"")</f>
        <v/>
      </c>
      <c r="D184" s="417" t="str">
        <f>IF(DSDV!W189&lt;&gt;"",DSDV!W189,"")</f>
        <v/>
      </c>
    </row>
    <row r="185" spans="1:4">
      <c r="A185" t="str">
        <f>IF(DSDV!B190&lt;&gt;"",DSDV!B190,"")</f>
        <v/>
      </c>
      <c r="B185" t="str">
        <f>IF(DSDV!G190&lt;&gt;"",DSDV!G190,"")</f>
        <v/>
      </c>
      <c r="C185" s="237" t="str">
        <f>IF(DSDV!K190&lt;&gt;"",DSDV!K190,"")</f>
        <v/>
      </c>
      <c r="D185" s="417" t="str">
        <f>IF(DSDV!W190&lt;&gt;"",DSDV!W190,"")</f>
        <v/>
      </c>
    </row>
    <row r="186" spans="1:4">
      <c r="A186" t="str">
        <f>IF(DSDV!B191&lt;&gt;"",DSDV!B191,"")</f>
        <v/>
      </c>
      <c r="B186" t="str">
        <f>IF(DSDV!G191&lt;&gt;"",DSDV!G191,"")</f>
        <v/>
      </c>
      <c r="C186" s="237" t="str">
        <f>IF(DSDV!K191&lt;&gt;"",DSDV!K191,"")</f>
        <v/>
      </c>
      <c r="D186" s="417" t="str">
        <f>IF(DSDV!W191&lt;&gt;"",DSDV!W191,"")</f>
        <v/>
      </c>
    </row>
    <row r="187" spans="1:4">
      <c r="A187" t="str">
        <f>IF(DSDV!B192&lt;&gt;"",DSDV!B192,"")</f>
        <v/>
      </c>
      <c r="B187" t="str">
        <f>IF(DSDV!G192&lt;&gt;"",DSDV!G192,"")</f>
        <v/>
      </c>
      <c r="C187" s="237" t="str">
        <f>IF(DSDV!K192&lt;&gt;"",DSDV!K192,"")</f>
        <v/>
      </c>
      <c r="D187" s="417" t="str">
        <f>IF(DSDV!W192&lt;&gt;"",DSDV!W192,"")</f>
        <v/>
      </c>
    </row>
    <row r="188" spans="1:4">
      <c r="A188" t="str">
        <f>IF(DSDV!B193&lt;&gt;"",DSDV!B193,"")</f>
        <v/>
      </c>
      <c r="B188" t="str">
        <f>IF(DSDV!G193&lt;&gt;"",DSDV!G193,"")</f>
        <v/>
      </c>
      <c r="C188" s="237" t="str">
        <f>IF(DSDV!K193&lt;&gt;"",DSDV!K193,"")</f>
        <v/>
      </c>
      <c r="D188" s="417" t="str">
        <f>IF(DSDV!W193&lt;&gt;"",DSDV!W193,"")</f>
        <v/>
      </c>
    </row>
    <row r="189" spans="1:4">
      <c r="A189" t="str">
        <f>IF(DSDV!B194&lt;&gt;"",DSDV!B194,"")</f>
        <v/>
      </c>
      <c r="B189" t="str">
        <f>IF(DSDV!G194&lt;&gt;"",DSDV!G194,"")</f>
        <v/>
      </c>
      <c r="C189" s="237" t="str">
        <f>IF(DSDV!K194&lt;&gt;"",DSDV!K194,"")</f>
        <v/>
      </c>
      <c r="D189" s="417" t="str">
        <f>IF(DSDV!W194&lt;&gt;"",DSDV!W194,"")</f>
        <v/>
      </c>
    </row>
    <row r="190" spans="1:4">
      <c r="A190" t="str">
        <f>IF(DSDV!B195&lt;&gt;"",DSDV!B195,"")</f>
        <v/>
      </c>
      <c r="B190" t="str">
        <f>IF(DSDV!G195&lt;&gt;"",DSDV!G195,"")</f>
        <v/>
      </c>
      <c r="C190" s="237" t="str">
        <f>IF(DSDV!K195&lt;&gt;"",DSDV!K195,"")</f>
        <v/>
      </c>
      <c r="D190" s="417" t="str">
        <f>IF(DSDV!W195&lt;&gt;"",DSDV!W195,"")</f>
        <v/>
      </c>
    </row>
    <row r="191" spans="1:4">
      <c r="A191" t="str">
        <f>IF(DSDV!B196&lt;&gt;"",DSDV!B196,"")</f>
        <v/>
      </c>
      <c r="B191" t="str">
        <f>IF(DSDV!G196&lt;&gt;"",DSDV!G196,"")</f>
        <v/>
      </c>
      <c r="C191" s="237" t="str">
        <f>IF(DSDV!K196&lt;&gt;"",DSDV!K196,"")</f>
        <v/>
      </c>
      <c r="D191" s="417" t="str">
        <f>IF(DSDV!W196&lt;&gt;"",DSDV!W196,"")</f>
        <v/>
      </c>
    </row>
    <row r="192" spans="1:4">
      <c r="A192" t="str">
        <f>IF(DSDV!B197&lt;&gt;"",DSDV!B197,"")</f>
        <v/>
      </c>
      <c r="B192" t="str">
        <f>IF(DSDV!G197&lt;&gt;"",DSDV!G197,"")</f>
        <v/>
      </c>
      <c r="C192" s="237" t="str">
        <f>IF(DSDV!K197&lt;&gt;"",DSDV!K197,"")</f>
        <v/>
      </c>
      <c r="D192" s="417" t="str">
        <f>IF(DSDV!W197&lt;&gt;"",DSDV!W197,"")</f>
        <v/>
      </c>
    </row>
    <row r="193" spans="1:4">
      <c r="A193" t="str">
        <f>IF(DSDV!B198&lt;&gt;"",DSDV!B198,"")</f>
        <v/>
      </c>
      <c r="B193" t="str">
        <f>IF(DSDV!G198&lt;&gt;"",DSDV!G198,"")</f>
        <v/>
      </c>
      <c r="C193" s="237" t="str">
        <f>IF(DSDV!K198&lt;&gt;"",DSDV!K198,"")</f>
        <v/>
      </c>
      <c r="D193" s="417" t="str">
        <f>IF(DSDV!W198&lt;&gt;"",DSDV!W198,"")</f>
        <v/>
      </c>
    </row>
    <row r="194" spans="1:4">
      <c r="A194" t="str">
        <f>IF(DSDV!B199&lt;&gt;"",DSDV!B199,"")</f>
        <v/>
      </c>
      <c r="B194" t="str">
        <f>IF(DSDV!G199&lt;&gt;"",DSDV!G199,"")</f>
        <v/>
      </c>
      <c r="C194" s="237" t="str">
        <f>IF(DSDV!K199&lt;&gt;"",DSDV!K199,"")</f>
        <v/>
      </c>
      <c r="D194" s="417" t="str">
        <f>IF(DSDV!W199&lt;&gt;"",DSDV!W199,"")</f>
        <v/>
      </c>
    </row>
    <row r="195" spans="1:4">
      <c r="A195" t="str">
        <f>IF(DSDV!B200&lt;&gt;"",DSDV!B200,"")</f>
        <v/>
      </c>
      <c r="B195" t="str">
        <f>IF(DSDV!G200&lt;&gt;"",DSDV!G200,"")</f>
        <v/>
      </c>
      <c r="C195" s="237" t="str">
        <f>IF(DSDV!K200&lt;&gt;"",DSDV!K200,"")</f>
        <v/>
      </c>
      <c r="D195" s="417" t="str">
        <f>IF(DSDV!W200&lt;&gt;"",DSDV!W200,"")</f>
        <v/>
      </c>
    </row>
    <row r="196" spans="1:4">
      <c r="A196" t="str">
        <f>IF(DSDV!B201&lt;&gt;"",DSDV!B201,"")</f>
        <v/>
      </c>
      <c r="B196" t="str">
        <f>IF(DSDV!G201&lt;&gt;"",DSDV!G201,"")</f>
        <v/>
      </c>
      <c r="C196" s="237" t="str">
        <f>IF(DSDV!K201&lt;&gt;"",DSDV!K201,"")</f>
        <v/>
      </c>
      <c r="D196" s="417" t="str">
        <f>IF(DSDV!W201&lt;&gt;"",DSDV!W201,"")</f>
        <v/>
      </c>
    </row>
    <row r="197" spans="1:4">
      <c r="A197" t="str">
        <f>IF(DSDV!B202&lt;&gt;"",DSDV!B202,"")</f>
        <v/>
      </c>
      <c r="B197" t="str">
        <f>IF(DSDV!G202&lt;&gt;"",DSDV!G202,"")</f>
        <v/>
      </c>
      <c r="C197" s="237" t="str">
        <f>IF(DSDV!K202&lt;&gt;"",DSDV!K202,"")</f>
        <v/>
      </c>
      <c r="D197" s="417" t="str">
        <f>IF(DSDV!W202&lt;&gt;"",DSDV!W202,"")</f>
        <v/>
      </c>
    </row>
    <row r="198" spans="1:4">
      <c r="A198" t="str">
        <f>IF(DSDV!B203&lt;&gt;"",DSDV!B203,"")</f>
        <v/>
      </c>
      <c r="B198" t="str">
        <f>IF(DSDV!G203&lt;&gt;"",DSDV!G203,"")</f>
        <v/>
      </c>
      <c r="C198" s="237" t="str">
        <f>IF(DSDV!K203&lt;&gt;"",DSDV!K203,"")</f>
        <v/>
      </c>
      <c r="D198" s="417" t="str">
        <f>IF(DSDV!W203&lt;&gt;"",DSDV!W203,"")</f>
        <v/>
      </c>
    </row>
    <row r="199" spans="1:4">
      <c r="A199" t="str">
        <f>IF(DSDV!B204&lt;&gt;"",DSDV!B204,"")</f>
        <v/>
      </c>
      <c r="B199" t="str">
        <f>IF(DSDV!G204&lt;&gt;"",DSDV!G204,"")</f>
        <v/>
      </c>
      <c r="C199" s="237" t="str">
        <f>IF(DSDV!K204&lt;&gt;"",DSDV!K204,"")</f>
        <v/>
      </c>
      <c r="D199" s="417" t="str">
        <f>IF(DSDV!W204&lt;&gt;"",DSDV!W204,"")</f>
        <v/>
      </c>
    </row>
    <row r="200" spans="1:4">
      <c r="A200" t="str">
        <f>IF(DSDV!B205&lt;&gt;"",DSDV!B205,"")</f>
        <v/>
      </c>
      <c r="B200" t="str">
        <f>IF(DSDV!G205&lt;&gt;"",DSDV!G205,"")</f>
        <v/>
      </c>
      <c r="C200" s="237" t="str">
        <f>IF(DSDV!K205&lt;&gt;"",DSDV!K205,"")</f>
        <v/>
      </c>
      <c r="D200" s="417" t="str">
        <f>IF(DSDV!W205&lt;&gt;"",DSDV!W205,"")</f>
        <v/>
      </c>
    </row>
    <row r="201" spans="1:4">
      <c r="A201" t="str">
        <f>IF(DSDV!B206&lt;&gt;"",DSDV!B206,"")</f>
        <v/>
      </c>
      <c r="B201" t="str">
        <f>IF(DSDV!G206&lt;&gt;"",DSDV!G206,"")</f>
        <v/>
      </c>
      <c r="C201" s="237" t="str">
        <f>IF(DSDV!K206&lt;&gt;"",DSDV!K206,"")</f>
        <v/>
      </c>
      <c r="D201" s="417" t="str">
        <f>IF(DSDV!W206&lt;&gt;"",DSDV!W206,"")</f>
        <v/>
      </c>
    </row>
    <row r="202" spans="1:4">
      <c r="A202" t="str">
        <f>IF(DSDV!B207&lt;&gt;"",DSDV!B207,"")</f>
        <v/>
      </c>
      <c r="B202" t="str">
        <f>IF(DSDV!G207&lt;&gt;"",DSDV!G207,"")</f>
        <v/>
      </c>
      <c r="C202" s="237" t="str">
        <f>IF(DSDV!K207&lt;&gt;"",DSDV!K207,"")</f>
        <v/>
      </c>
      <c r="D202" s="417" t="str">
        <f>IF(DSDV!W207&lt;&gt;"",DSDV!W207,"")</f>
        <v/>
      </c>
    </row>
    <row r="203" spans="1:4">
      <c r="A203" t="str">
        <f>IF(DSDV!B208&lt;&gt;"",DSDV!B208,"")</f>
        <v/>
      </c>
      <c r="B203" t="str">
        <f>IF(DSDV!G208&lt;&gt;"",DSDV!G208,"")</f>
        <v/>
      </c>
      <c r="C203" s="237" t="str">
        <f>IF(DSDV!K208&lt;&gt;"",DSDV!K208,"")</f>
        <v/>
      </c>
      <c r="D203" s="417" t="str">
        <f>IF(DSDV!W208&lt;&gt;"",DSDV!W208,"")</f>
        <v/>
      </c>
    </row>
    <row r="204" spans="1:4">
      <c r="A204" t="str">
        <f>IF(DSDV!B209&lt;&gt;"",DSDV!B209,"")</f>
        <v/>
      </c>
      <c r="B204" t="str">
        <f>IF(DSDV!G209&lt;&gt;"",DSDV!G209,"")</f>
        <v/>
      </c>
      <c r="C204" s="237" t="str">
        <f>IF(DSDV!K209&lt;&gt;"",DSDV!K209,"")</f>
        <v/>
      </c>
      <c r="D204" s="417" t="str">
        <f>IF(DSDV!W209&lt;&gt;"",DSDV!W209,"")</f>
        <v/>
      </c>
    </row>
    <row r="205" spans="1:4">
      <c r="A205" t="str">
        <f>IF(DSDV!B210&lt;&gt;"",DSDV!B210,"")</f>
        <v/>
      </c>
      <c r="B205" t="str">
        <f>IF(DSDV!G210&lt;&gt;"",DSDV!G210,"")</f>
        <v/>
      </c>
      <c r="C205" s="237" t="str">
        <f>IF(DSDV!K210&lt;&gt;"",DSDV!K210,"")</f>
        <v/>
      </c>
      <c r="D205" s="417" t="str">
        <f>IF(DSDV!W210&lt;&gt;"",DSDV!W210,"")</f>
        <v/>
      </c>
    </row>
    <row r="206" spans="1:4">
      <c r="A206" t="str">
        <f>IF(DSDV!B211&lt;&gt;"",DSDV!B211,"")</f>
        <v/>
      </c>
      <c r="B206" t="str">
        <f>IF(DSDV!G211&lt;&gt;"",DSDV!G211,"")</f>
        <v/>
      </c>
      <c r="C206" s="237" t="str">
        <f>IF(DSDV!K211&lt;&gt;"",DSDV!K211,"")</f>
        <v/>
      </c>
      <c r="D206" s="417" t="str">
        <f>IF(DSDV!W211&lt;&gt;"",DSDV!W211,"")</f>
        <v/>
      </c>
    </row>
    <row r="207" spans="1:4">
      <c r="A207" t="str">
        <f>IF(DSDV!B212&lt;&gt;"",DSDV!B212,"")</f>
        <v/>
      </c>
      <c r="B207" t="str">
        <f>IF(DSDV!G212&lt;&gt;"",DSDV!G212,"")</f>
        <v/>
      </c>
      <c r="C207" s="237" t="str">
        <f>IF(DSDV!K212&lt;&gt;"",DSDV!K212,"")</f>
        <v/>
      </c>
      <c r="D207" s="417" t="str">
        <f>IF(DSDV!W212&lt;&gt;"",DSDV!W212,"")</f>
        <v/>
      </c>
    </row>
    <row r="208" spans="1:4">
      <c r="A208" t="str">
        <f>IF(DSDV!B213&lt;&gt;"",DSDV!B213,"")</f>
        <v/>
      </c>
      <c r="B208" t="str">
        <f>IF(DSDV!G213&lt;&gt;"",DSDV!G213,"")</f>
        <v/>
      </c>
      <c r="C208" s="237" t="str">
        <f>IF(DSDV!K213&lt;&gt;"",DSDV!K213,"")</f>
        <v/>
      </c>
      <c r="D208" s="417" t="str">
        <f>IF(DSDV!W213&lt;&gt;"",DSDV!W213,"")</f>
        <v/>
      </c>
    </row>
    <row r="209" spans="1:4">
      <c r="A209" t="str">
        <f>IF(DSDV!B214&lt;&gt;"",DSDV!B214,"")</f>
        <v/>
      </c>
      <c r="B209" t="str">
        <f>IF(DSDV!G214&lt;&gt;"",DSDV!G214,"")</f>
        <v/>
      </c>
      <c r="C209" s="237" t="str">
        <f>IF(DSDV!K214&lt;&gt;"",DSDV!K214,"")</f>
        <v/>
      </c>
      <c r="D209" s="417" t="str">
        <f>IF(DSDV!W214&lt;&gt;"",DSDV!W214,"")</f>
        <v/>
      </c>
    </row>
    <row r="210" spans="1:4">
      <c r="A210" t="str">
        <f>IF(DSDV!B215&lt;&gt;"",DSDV!B215,"")</f>
        <v/>
      </c>
      <c r="B210" t="str">
        <f>IF(DSDV!G215&lt;&gt;"",DSDV!G215,"")</f>
        <v/>
      </c>
      <c r="C210" s="237" t="str">
        <f>IF(DSDV!K215&lt;&gt;"",DSDV!K215,"")</f>
        <v/>
      </c>
      <c r="D210" s="417" t="str">
        <f>IF(DSDV!W215&lt;&gt;"",DSDV!W215,"")</f>
        <v/>
      </c>
    </row>
    <row r="211" spans="1:4">
      <c r="A211" t="str">
        <f>IF(DSDV!B216&lt;&gt;"",DSDV!B216,"")</f>
        <v/>
      </c>
      <c r="B211" t="str">
        <f>IF(DSDV!G216&lt;&gt;"",DSDV!G216,"")</f>
        <v/>
      </c>
      <c r="C211" s="237" t="str">
        <f>IF(DSDV!K216&lt;&gt;"",DSDV!K216,"")</f>
        <v/>
      </c>
      <c r="D211" s="417" t="str">
        <f>IF(DSDV!W216&lt;&gt;"",DSDV!W216,"")</f>
        <v/>
      </c>
    </row>
    <row r="212" spans="1:4">
      <c r="A212" t="str">
        <f>IF(DSDV!B217&lt;&gt;"",DSDV!B217,"")</f>
        <v/>
      </c>
      <c r="B212" t="str">
        <f>IF(DSDV!G217&lt;&gt;"",DSDV!G217,"")</f>
        <v/>
      </c>
      <c r="C212" s="237" t="str">
        <f>IF(DSDV!K217&lt;&gt;"",DSDV!K217,"")</f>
        <v/>
      </c>
      <c r="D212" s="417" t="str">
        <f>IF(DSDV!W217&lt;&gt;"",DSDV!W217,"")</f>
        <v/>
      </c>
    </row>
    <row r="213" spans="1:4">
      <c r="A213" t="str">
        <f>IF(DSDV!B218&lt;&gt;"",DSDV!B218,"")</f>
        <v/>
      </c>
      <c r="B213" t="str">
        <f>IF(DSDV!G218&lt;&gt;"",DSDV!G218,"")</f>
        <v/>
      </c>
      <c r="C213" s="237" t="str">
        <f>IF(DSDV!K218&lt;&gt;"",DSDV!K218,"")</f>
        <v/>
      </c>
      <c r="D213" s="417" t="str">
        <f>IF(DSDV!W218&lt;&gt;"",DSDV!W218,"")</f>
        <v/>
      </c>
    </row>
    <row r="214" spans="1:4">
      <c r="A214" t="str">
        <f>IF(DSDV!B219&lt;&gt;"",DSDV!B219,"")</f>
        <v/>
      </c>
      <c r="B214" t="str">
        <f>IF(DSDV!G219&lt;&gt;"",DSDV!G219,"")</f>
        <v/>
      </c>
      <c r="C214" s="237" t="str">
        <f>IF(DSDV!K219&lt;&gt;"",DSDV!K219,"")</f>
        <v/>
      </c>
      <c r="D214" s="417" t="str">
        <f>IF(DSDV!W219&lt;&gt;"",DSDV!W219,"")</f>
        <v/>
      </c>
    </row>
    <row r="215" spans="1:4">
      <c r="A215" t="str">
        <f>IF(DSDV!B220&lt;&gt;"",DSDV!B220,"")</f>
        <v/>
      </c>
      <c r="B215" t="str">
        <f>IF(DSDV!G220&lt;&gt;"",DSDV!G220,"")</f>
        <v/>
      </c>
      <c r="C215" s="237" t="str">
        <f>IF(DSDV!K220&lt;&gt;"",DSDV!K220,"")</f>
        <v/>
      </c>
      <c r="D215" s="417" t="str">
        <f>IF(DSDV!W220&lt;&gt;"",DSDV!W220,"")</f>
        <v/>
      </c>
    </row>
    <row r="216" spans="1:4">
      <c r="A216" t="str">
        <f>IF(DSDV!B221&lt;&gt;"",DSDV!B221,"")</f>
        <v/>
      </c>
      <c r="B216" t="str">
        <f>IF(DSDV!G221&lt;&gt;"",DSDV!G221,"")</f>
        <v/>
      </c>
      <c r="C216" s="237" t="str">
        <f>IF(DSDV!K221&lt;&gt;"",DSDV!K221,"")</f>
        <v/>
      </c>
      <c r="D216" s="417" t="str">
        <f>IF(DSDV!W221&lt;&gt;"",DSDV!W221,"")</f>
        <v/>
      </c>
    </row>
    <row r="217" spans="1:4">
      <c r="A217" t="str">
        <f>IF(DSDV!B222&lt;&gt;"",DSDV!B222,"")</f>
        <v/>
      </c>
      <c r="B217" t="str">
        <f>IF(DSDV!G222&lt;&gt;"",DSDV!G222,"")</f>
        <v/>
      </c>
      <c r="C217" s="237" t="str">
        <f>IF(DSDV!K222&lt;&gt;"",DSDV!K222,"")</f>
        <v/>
      </c>
      <c r="D217" s="417" t="str">
        <f>IF(DSDV!W222&lt;&gt;"",DSDV!W222,"")</f>
        <v/>
      </c>
    </row>
    <row r="218" spans="1:4">
      <c r="A218" t="str">
        <f>IF(DSDV!B223&lt;&gt;"",DSDV!B223,"")</f>
        <v/>
      </c>
      <c r="B218" t="str">
        <f>IF(DSDV!G223&lt;&gt;"",DSDV!G223,"")</f>
        <v/>
      </c>
      <c r="C218" s="237" t="str">
        <f>IF(DSDV!K223&lt;&gt;"",DSDV!K223,"")</f>
        <v/>
      </c>
      <c r="D218" s="417" t="str">
        <f>IF(DSDV!W223&lt;&gt;"",DSDV!W223,"")</f>
        <v/>
      </c>
    </row>
    <row r="219" spans="1:4">
      <c r="A219" t="str">
        <f>IF(DSDV!B224&lt;&gt;"",DSDV!B224,"")</f>
        <v/>
      </c>
      <c r="B219" t="str">
        <f>IF(DSDV!G224&lt;&gt;"",DSDV!G224,"")</f>
        <v/>
      </c>
      <c r="C219" s="237" t="str">
        <f>IF(DSDV!K224&lt;&gt;"",DSDV!K224,"")</f>
        <v/>
      </c>
      <c r="D219" s="417" t="str">
        <f>IF(DSDV!W224&lt;&gt;"",DSDV!W224,"")</f>
        <v/>
      </c>
    </row>
    <row r="220" spans="1:4">
      <c r="A220" t="str">
        <f>IF(DSDV!B225&lt;&gt;"",DSDV!B225,"")</f>
        <v/>
      </c>
      <c r="B220" t="str">
        <f>IF(DSDV!G225&lt;&gt;"",DSDV!G225,"")</f>
        <v/>
      </c>
      <c r="C220" s="237" t="str">
        <f>IF(DSDV!K225&lt;&gt;"",DSDV!K225,"")</f>
        <v/>
      </c>
      <c r="D220" s="417" t="str">
        <f>IF(DSDV!W225&lt;&gt;"",DSDV!W225,"")</f>
        <v/>
      </c>
    </row>
    <row r="221" spans="1:4">
      <c r="A221" t="str">
        <f>IF(DSDV!B226&lt;&gt;"",DSDV!B226,"")</f>
        <v/>
      </c>
      <c r="B221" t="str">
        <f>IF(DSDV!G226&lt;&gt;"",DSDV!G226,"")</f>
        <v/>
      </c>
      <c r="C221" s="237" t="str">
        <f>IF(DSDV!K226&lt;&gt;"",DSDV!K226,"")</f>
        <v/>
      </c>
      <c r="D221" s="417" t="str">
        <f>IF(DSDV!W226&lt;&gt;"",DSDV!W226,"")</f>
        <v/>
      </c>
    </row>
    <row r="222" spans="1:4">
      <c r="A222" t="str">
        <f>IF(DSDV!B227&lt;&gt;"",DSDV!B227,"")</f>
        <v/>
      </c>
      <c r="B222" t="str">
        <f>IF(DSDV!G227&lt;&gt;"",DSDV!G227,"")</f>
        <v/>
      </c>
      <c r="C222" s="237" t="str">
        <f>IF(DSDV!K227&lt;&gt;"",DSDV!K227,"")</f>
        <v/>
      </c>
      <c r="D222" s="417" t="str">
        <f>IF(DSDV!W227&lt;&gt;"",DSDV!W227,"")</f>
        <v/>
      </c>
    </row>
    <row r="223" spans="1:4">
      <c r="A223" t="str">
        <f>IF(DSDV!B228&lt;&gt;"",DSDV!B228,"")</f>
        <v/>
      </c>
      <c r="B223" t="str">
        <f>IF(DSDV!G228&lt;&gt;"",DSDV!G228,"")</f>
        <v/>
      </c>
      <c r="C223" s="237" t="str">
        <f>IF(DSDV!K228&lt;&gt;"",DSDV!K228,"")</f>
        <v/>
      </c>
      <c r="D223" s="417" t="str">
        <f>IF(DSDV!W228&lt;&gt;"",DSDV!W228,"")</f>
        <v/>
      </c>
    </row>
    <row r="224" spans="1:4">
      <c r="A224" t="str">
        <f>IF(DSDV!B229&lt;&gt;"",DSDV!B229,"")</f>
        <v/>
      </c>
      <c r="B224" t="str">
        <f>IF(DSDV!G229&lt;&gt;"",DSDV!G229,"")</f>
        <v/>
      </c>
      <c r="C224" s="237" t="str">
        <f>IF(DSDV!K229&lt;&gt;"",DSDV!K229,"")</f>
        <v/>
      </c>
      <c r="D224" s="417" t="str">
        <f>IF(DSDV!W229&lt;&gt;"",DSDV!W229,"")</f>
        <v/>
      </c>
    </row>
    <row r="225" spans="1:4">
      <c r="A225" t="str">
        <f>IF(DSDV!B230&lt;&gt;"",DSDV!B230,"")</f>
        <v/>
      </c>
      <c r="B225" t="str">
        <f>IF(DSDV!G230&lt;&gt;"",DSDV!G230,"")</f>
        <v/>
      </c>
      <c r="C225" s="237" t="str">
        <f>IF(DSDV!K230&lt;&gt;"",DSDV!K230,"")</f>
        <v/>
      </c>
      <c r="D225" s="417" t="str">
        <f>IF(DSDV!W230&lt;&gt;"",DSDV!W230,"")</f>
        <v/>
      </c>
    </row>
    <row r="226" spans="1:4">
      <c r="A226" t="str">
        <f>IF(DSDV!B231&lt;&gt;"",DSDV!B231,"")</f>
        <v/>
      </c>
      <c r="B226" t="str">
        <f>IF(DSDV!G231&lt;&gt;"",DSDV!G231,"")</f>
        <v/>
      </c>
      <c r="C226" s="237" t="str">
        <f>IF(DSDV!K231&lt;&gt;"",DSDV!K231,"")</f>
        <v/>
      </c>
      <c r="D226" s="417" t="str">
        <f>IF(DSDV!W231&lt;&gt;"",DSDV!W231,"")</f>
        <v/>
      </c>
    </row>
    <row r="227" spans="1:4">
      <c r="A227" t="str">
        <f>IF(DSDV!B232&lt;&gt;"",DSDV!B232,"")</f>
        <v/>
      </c>
      <c r="B227" t="str">
        <f>IF(DSDV!G232&lt;&gt;"",DSDV!G232,"")</f>
        <v/>
      </c>
      <c r="C227" s="237" t="str">
        <f>IF(DSDV!K232&lt;&gt;"",DSDV!K232,"")</f>
        <v/>
      </c>
      <c r="D227" s="417" t="str">
        <f>IF(DSDV!W232&lt;&gt;"",DSDV!W232,"")</f>
        <v/>
      </c>
    </row>
    <row r="228" spans="1:4">
      <c r="A228" t="str">
        <f>IF(DSDV!B233&lt;&gt;"",DSDV!B233,"")</f>
        <v/>
      </c>
      <c r="B228" t="str">
        <f>IF(DSDV!G233&lt;&gt;"",DSDV!G233,"")</f>
        <v/>
      </c>
      <c r="C228" s="237" t="str">
        <f>IF(DSDV!K233&lt;&gt;"",DSDV!K233,"")</f>
        <v/>
      </c>
      <c r="D228" s="417" t="str">
        <f>IF(DSDV!W233&lt;&gt;"",DSDV!W233,"")</f>
        <v/>
      </c>
    </row>
    <row r="229" spans="1:4">
      <c r="A229" t="str">
        <f>IF(DSDV!B234&lt;&gt;"",DSDV!B234,"")</f>
        <v/>
      </c>
      <c r="B229" t="str">
        <f>IF(DSDV!G234&lt;&gt;"",DSDV!G234,"")</f>
        <v/>
      </c>
      <c r="C229" s="237" t="str">
        <f>IF(DSDV!K234&lt;&gt;"",DSDV!K234,"")</f>
        <v/>
      </c>
      <c r="D229" s="417" t="str">
        <f>IF(DSDV!W234&lt;&gt;"",DSDV!W234,"")</f>
        <v/>
      </c>
    </row>
    <row r="230" spans="1:4">
      <c r="A230" t="str">
        <f>IF(DSDV!B235&lt;&gt;"",DSDV!B235,"")</f>
        <v/>
      </c>
      <c r="B230" t="str">
        <f>IF(DSDV!G235&lt;&gt;"",DSDV!G235,"")</f>
        <v/>
      </c>
      <c r="C230" s="237" t="str">
        <f>IF(DSDV!K235&lt;&gt;"",DSDV!K235,"")</f>
        <v/>
      </c>
      <c r="D230" s="417" t="str">
        <f>IF(DSDV!W235&lt;&gt;"",DSDV!W235,"")</f>
        <v/>
      </c>
    </row>
    <row r="231" spans="1:4">
      <c r="A231" t="str">
        <f>IF(DSDV!B236&lt;&gt;"",DSDV!B236,"")</f>
        <v/>
      </c>
      <c r="B231" t="str">
        <f>IF(DSDV!G236&lt;&gt;"",DSDV!G236,"")</f>
        <v/>
      </c>
      <c r="C231" s="237" t="str">
        <f>IF(DSDV!K236&lt;&gt;"",DSDV!K236,"")</f>
        <v/>
      </c>
      <c r="D231" s="417" t="str">
        <f>IF(DSDV!W236&lt;&gt;"",DSDV!W236,"")</f>
        <v/>
      </c>
    </row>
    <row r="232" spans="1:4">
      <c r="A232" t="str">
        <f>IF(DSDV!B237&lt;&gt;"",DSDV!B237,"")</f>
        <v/>
      </c>
      <c r="B232" t="str">
        <f>IF(DSDV!G237&lt;&gt;"",DSDV!G237,"")</f>
        <v/>
      </c>
      <c r="C232" s="237" t="str">
        <f>IF(DSDV!K237&lt;&gt;"",DSDV!K237,"")</f>
        <v/>
      </c>
      <c r="D232" s="417" t="str">
        <f>IF(DSDV!W237&lt;&gt;"",DSDV!W237,"")</f>
        <v/>
      </c>
    </row>
    <row r="233" spans="1:4">
      <c r="A233" t="str">
        <f>IF(DSDV!B238&lt;&gt;"",DSDV!B238,"")</f>
        <v/>
      </c>
      <c r="B233" t="str">
        <f>IF(DSDV!G238&lt;&gt;"",DSDV!G238,"")</f>
        <v/>
      </c>
      <c r="C233" s="237" t="str">
        <f>IF(DSDV!K238&lt;&gt;"",DSDV!K238,"")</f>
        <v/>
      </c>
      <c r="D233" s="417" t="str">
        <f>IF(DSDV!W238&lt;&gt;"",DSDV!W238,"")</f>
        <v/>
      </c>
    </row>
    <row r="234" spans="1:4">
      <c r="A234" t="str">
        <f>IF(DSDV!B239&lt;&gt;"",DSDV!B239,"")</f>
        <v/>
      </c>
      <c r="B234" t="str">
        <f>IF(DSDV!G239&lt;&gt;"",DSDV!G239,"")</f>
        <v/>
      </c>
      <c r="C234" s="237" t="str">
        <f>IF(DSDV!K239&lt;&gt;"",DSDV!K239,"")</f>
        <v/>
      </c>
      <c r="D234" s="417" t="str">
        <f>IF(DSDV!W239&lt;&gt;"",DSDV!W239,"")</f>
        <v/>
      </c>
    </row>
    <row r="235" spans="1:4">
      <c r="A235" t="str">
        <f>IF(DSDV!B240&lt;&gt;"",DSDV!B240,"")</f>
        <v/>
      </c>
      <c r="B235" t="str">
        <f>IF(DSDV!G240&lt;&gt;"",DSDV!G240,"")</f>
        <v/>
      </c>
      <c r="C235" s="237" t="str">
        <f>IF(DSDV!K240&lt;&gt;"",DSDV!K240,"")</f>
        <v/>
      </c>
      <c r="D235" s="417" t="str">
        <f>IF(DSDV!W240&lt;&gt;"",DSDV!W240,"")</f>
        <v/>
      </c>
    </row>
    <row r="236" spans="1:4">
      <c r="A236" t="str">
        <f>IF(DSDV!B241&lt;&gt;"",DSDV!B241,"")</f>
        <v/>
      </c>
      <c r="B236" t="str">
        <f>IF(DSDV!G241&lt;&gt;"",DSDV!G241,"")</f>
        <v/>
      </c>
      <c r="C236" s="237" t="str">
        <f>IF(DSDV!K241&lt;&gt;"",DSDV!K241,"")</f>
        <v/>
      </c>
      <c r="D236" s="417" t="str">
        <f>IF(DSDV!W241&lt;&gt;"",DSDV!W241,"")</f>
        <v/>
      </c>
    </row>
    <row r="237" spans="1:4">
      <c r="A237" t="str">
        <f>IF(DSDV!B242&lt;&gt;"",DSDV!B242,"")</f>
        <v/>
      </c>
      <c r="B237" t="str">
        <f>IF(DSDV!G242&lt;&gt;"",DSDV!G242,"")</f>
        <v/>
      </c>
      <c r="C237" s="237" t="str">
        <f>IF(DSDV!K242&lt;&gt;"",DSDV!K242,"")</f>
        <v/>
      </c>
      <c r="D237" s="417" t="str">
        <f>IF(DSDV!W242&lt;&gt;"",DSDV!W242,"")</f>
        <v/>
      </c>
    </row>
    <row r="238" spans="1:4">
      <c r="A238" t="str">
        <f>IF(DSDV!B243&lt;&gt;"",DSDV!B243,"")</f>
        <v/>
      </c>
      <c r="B238" t="str">
        <f>IF(DSDV!G243&lt;&gt;"",DSDV!G243,"")</f>
        <v/>
      </c>
      <c r="C238" s="237" t="str">
        <f>IF(DSDV!K243&lt;&gt;"",DSDV!K243,"")</f>
        <v/>
      </c>
      <c r="D238" s="417" t="str">
        <f>IF(DSDV!W243&lt;&gt;"",DSDV!W243,"")</f>
        <v/>
      </c>
    </row>
    <row r="239" spans="1:4">
      <c r="A239" t="str">
        <f>IF(DSDV!B244&lt;&gt;"",DSDV!B244,"")</f>
        <v/>
      </c>
      <c r="B239" t="str">
        <f>IF(DSDV!G244&lt;&gt;"",DSDV!G244,"")</f>
        <v/>
      </c>
      <c r="C239" s="237" t="str">
        <f>IF(DSDV!K244&lt;&gt;"",DSDV!K244,"")</f>
        <v/>
      </c>
      <c r="D239" s="417" t="str">
        <f>IF(DSDV!W244&lt;&gt;"",DSDV!W244,"")</f>
        <v/>
      </c>
    </row>
    <row r="240" spans="1:4">
      <c r="A240" t="str">
        <f>IF(DSDV!B245&lt;&gt;"",DSDV!B245,"")</f>
        <v/>
      </c>
      <c r="B240" t="str">
        <f>IF(DSDV!G245&lt;&gt;"",DSDV!G245,"")</f>
        <v/>
      </c>
      <c r="C240" s="237" t="str">
        <f>IF(DSDV!K245&lt;&gt;"",DSDV!K245,"")</f>
        <v/>
      </c>
      <c r="D240" s="417" t="str">
        <f>IF(DSDV!W245&lt;&gt;"",DSDV!W245,"")</f>
        <v/>
      </c>
    </row>
    <row r="241" spans="1:4">
      <c r="A241" t="str">
        <f>IF(DSDV!B246&lt;&gt;"",DSDV!B246,"")</f>
        <v/>
      </c>
      <c r="B241" t="str">
        <f>IF(DSDV!G246&lt;&gt;"",DSDV!G246,"")</f>
        <v/>
      </c>
      <c r="C241" s="237" t="str">
        <f>IF(DSDV!K246&lt;&gt;"",DSDV!K246,"")</f>
        <v/>
      </c>
      <c r="D241" s="417" t="str">
        <f>IF(DSDV!W246&lt;&gt;"",DSDV!W246,"")</f>
        <v/>
      </c>
    </row>
    <row r="242" spans="1:4">
      <c r="A242" t="str">
        <f>IF(DSDV!B247&lt;&gt;"",DSDV!B247,"")</f>
        <v/>
      </c>
      <c r="B242" t="str">
        <f>IF(DSDV!G247&lt;&gt;"",DSDV!G247,"")</f>
        <v/>
      </c>
      <c r="C242" s="237" t="str">
        <f>IF(DSDV!K247&lt;&gt;"",DSDV!K247,"")</f>
        <v/>
      </c>
      <c r="D242" s="417" t="str">
        <f>IF(DSDV!W247&lt;&gt;"",DSDV!W247,"")</f>
        <v/>
      </c>
    </row>
    <row r="243" spans="1:4">
      <c r="A243" t="str">
        <f>IF(DSDV!B248&lt;&gt;"",DSDV!B248,"")</f>
        <v/>
      </c>
      <c r="B243" t="str">
        <f>IF(DSDV!G248&lt;&gt;"",DSDV!G248,"")</f>
        <v/>
      </c>
      <c r="C243" s="237" t="str">
        <f>IF(DSDV!K248&lt;&gt;"",DSDV!K248,"")</f>
        <v/>
      </c>
      <c r="D243" s="417" t="str">
        <f>IF(DSDV!W248&lt;&gt;"",DSDV!W248,"")</f>
        <v/>
      </c>
    </row>
    <row r="244" spans="1:4">
      <c r="A244" t="str">
        <f>IF(DSDV!B249&lt;&gt;"",DSDV!B249,"")</f>
        <v/>
      </c>
      <c r="B244" t="str">
        <f>IF(DSDV!G249&lt;&gt;"",DSDV!G249,"")</f>
        <v/>
      </c>
      <c r="C244" s="237" t="str">
        <f>IF(DSDV!K249&lt;&gt;"",DSDV!K249,"")</f>
        <v/>
      </c>
      <c r="D244" s="417" t="str">
        <f>IF(DSDV!W249&lt;&gt;"",DSDV!W249,"")</f>
        <v/>
      </c>
    </row>
    <row r="245" spans="1:4">
      <c r="A245" t="str">
        <f>IF(DSDV!B250&lt;&gt;"",DSDV!B250,"")</f>
        <v/>
      </c>
      <c r="B245" t="str">
        <f>IF(DSDV!G250&lt;&gt;"",DSDV!G250,"")</f>
        <v/>
      </c>
      <c r="C245" s="237" t="str">
        <f>IF(DSDV!K250&lt;&gt;"",DSDV!K250,"")</f>
        <v/>
      </c>
      <c r="D245" s="417" t="str">
        <f>IF(DSDV!W250&lt;&gt;"",DSDV!W250,"")</f>
        <v/>
      </c>
    </row>
    <row r="246" spans="1:4">
      <c r="A246" t="str">
        <f>IF(DSDV!B251&lt;&gt;"",DSDV!B251,"")</f>
        <v/>
      </c>
      <c r="B246" t="str">
        <f>IF(DSDV!G251&lt;&gt;"",DSDV!G251,"")</f>
        <v/>
      </c>
      <c r="C246" s="237" t="str">
        <f>IF(DSDV!K251&lt;&gt;"",DSDV!K251,"")</f>
        <v/>
      </c>
      <c r="D246" s="417" t="str">
        <f>IF(DSDV!W251&lt;&gt;"",DSDV!W251,"")</f>
        <v/>
      </c>
    </row>
    <row r="247" spans="1:4">
      <c r="A247" t="str">
        <f>IF(DSDV!B252&lt;&gt;"",DSDV!B252,"")</f>
        <v/>
      </c>
      <c r="B247" t="str">
        <f>IF(DSDV!G252&lt;&gt;"",DSDV!G252,"")</f>
        <v/>
      </c>
      <c r="C247" s="237" t="str">
        <f>IF(DSDV!K252&lt;&gt;"",DSDV!K252,"")</f>
        <v/>
      </c>
      <c r="D247" s="417" t="str">
        <f>IF(DSDV!W252&lt;&gt;"",DSDV!W252,"")</f>
        <v/>
      </c>
    </row>
    <row r="248" spans="1:4">
      <c r="A248" t="str">
        <f>IF(DSDV!B253&lt;&gt;"",DSDV!B253,"")</f>
        <v/>
      </c>
      <c r="B248" t="str">
        <f>IF(DSDV!G253&lt;&gt;"",DSDV!G253,"")</f>
        <v/>
      </c>
      <c r="C248" s="237" t="str">
        <f>IF(DSDV!K253&lt;&gt;"",DSDV!K253,"")</f>
        <v/>
      </c>
      <c r="D248" s="417" t="str">
        <f>IF(DSDV!W253&lt;&gt;"",DSDV!W253,"")</f>
        <v/>
      </c>
    </row>
    <row r="249" spans="1:4">
      <c r="A249" t="str">
        <f>IF(DSDV!B254&lt;&gt;"",DSDV!B254,"")</f>
        <v/>
      </c>
      <c r="B249" t="str">
        <f>IF(DSDV!G254&lt;&gt;"",DSDV!G254,"")</f>
        <v/>
      </c>
      <c r="C249" s="237" t="str">
        <f>IF(DSDV!K254&lt;&gt;"",DSDV!K254,"")</f>
        <v/>
      </c>
      <c r="D249" s="417" t="str">
        <f>IF(DSDV!W254&lt;&gt;"",DSDV!W254,"")</f>
        <v/>
      </c>
    </row>
    <row r="250" spans="1:4">
      <c r="A250" t="str">
        <f>IF(DSDV!B255&lt;&gt;"",DSDV!B255,"")</f>
        <v/>
      </c>
      <c r="B250" t="str">
        <f>IF(DSDV!G255&lt;&gt;"",DSDV!G255,"")</f>
        <v/>
      </c>
      <c r="C250" s="237" t="str">
        <f>IF(DSDV!K255&lt;&gt;"",DSDV!K255,"")</f>
        <v/>
      </c>
      <c r="D250" s="417" t="str">
        <f>IF(DSDV!W255&lt;&gt;"",DSDV!W255,"")</f>
        <v/>
      </c>
    </row>
    <row r="251" spans="1:4">
      <c r="A251" t="str">
        <f>IF(DSDV!B256&lt;&gt;"",DSDV!B256,"")</f>
        <v/>
      </c>
      <c r="B251" t="str">
        <f>IF(DSDV!G256&lt;&gt;"",DSDV!G256,"")</f>
        <v/>
      </c>
      <c r="C251" s="237" t="str">
        <f>IF(DSDV!K256&lt;&gt;"",DSDV!K256,"")</f>
        <v/>
      </c>
      <c r="D251" s="417" t="str">
        <f>IF(DSDV!W256&lt;&gt;"",DSDV!W256,"")</f>
        <v/>
      </c>
    </row>
    <row r="252" spans="1:4">
      <c r="A252" t="str">
        <f>IF(DSDV!B257&lt;&gt;"",DSDV!B257,"")</f>
        <v/>
      </c>
      <c r="B252" t="str">
        <f>IF(DSDV!G257&lt;&gt;"",DSDV!G257,"")</f>
        <v/>
      </c>
      <c r="C252" s="237" t="str">
        <f>IF(DSDV!K257&lt;&gt;"",DSDV!K257,"")</f>
        <v/>
      </c>
      <c r="D252" s="417" t="str">
        <f>IF(DSDV!W257&lt;&gt;"",DSDV!W257,"")</f>
        <v/>
      </c>
    </row>
    <row r="253" spans="1:4">
      <c r="A253" t="str">
        <f>IF(DSDV!B258&lt;&gt;"",DSDV!B258,"")</f>
        <v/>
      </c>
      <c r="B253" t="str">
        <f>IF(DSDV!G258&lt;&gt;"",DSDV!G258,"")</f>
        <v/>
      </c>
      <c r="C253" s="237" t="str">
        <f>IF(DSDV!K258&lt;&gt;"",DSDV!K258,"")</f>
        <v/>
      </c>
      <c r="D253" s="417" t="str">
        <f>IF(DSDV!W258&lt;&gt;"",DSDV!W258,"")</f>
        <v/>
      </c>
    </row>
    <row r="254" spans="1:4">
      <c r="A254" t="str">
        <f>IF(DSDV!B259&lt;&gt;"",DSDV!B259,"")</f>
        <v/>
      </c>
      <c r="B254" t="str">
        <f>IF(DSDV!G259&lt;&gt;"",DSDV!G259,"")</f>
        <v/>
      </c>
      <c r="C254" s="237" t="str">
        <f>IF(DSDV!K259&lt;&gt;"",DSDV!K259,"")</f>
        <v/>
      </c>
      <c r="D254" s="417" t="str">
        <f>IF(DSDV!W259&lt;&gt;"",DSDV!W259,"")</f>
        <v/>
      </c>
    </row>
    <row r="255" spans="1:4">
      <c r="A255" t="str">
        <f>IF(DSDV!B260&lt;&gt;"",DSDV!B260,"")</f>
        <v/>
      </c>
      <c r="B255" t="str">
        <f>IF(DSDV!G260&lt;&gt;"",DSDV!G260,"")</f>
        <v/>
      </c>
      <c r="C255" s="237" t="str">
        <f>IF(DSDV!K260&lt;&gt;"",DSDV!K260,"")</f>
        <v/>
      </c>
      <c r="D255" s="417" t="str">
        <f>IF(DSDV!W260&lt;&gt;"",DSDV!W260,"")</f>
        <v/>
      </c>
    </row>
    <row r="256" spans="1:4">
      <c r="A256" t="str">
        <f>IF(DSDV!B261&lt;&gt;"",DSDV!B261,"")</f>
        <v/>
      </c>
      <c r="B256" t="str">
        <f>IF(DSDV!G261&lt;&gt;"",DSDV!G261,"")</f>
        <v/>
      </c>
      <c r="C256" s="237" t="str">
        <f>IF(DSDV!K261&lt;&gt;"",DSDV!K261,"")</f>
        <v/>
      </c>
      <c r="D256" s="417" t="str">
        <f>IF(DSDV!W261&lt;&gt;"",DSDV!W261,"")</f>
        <v/>
      </c>
    </row>
    <row r="257" spans="1:4">
      <c r="A257" t="str">
        <f>IF(DSDV!B262&lt;&gt;"",DSDV!B262,"")</f>
        <v/>
      </c>
      <c r="B257" t="str">
        <f>IF(DSDV!G262&lt;&gt;"",DSDV!G262,"")</f>
        <v/>
      </c>
      <c r="C257" s="237" t="str">
        <f>IF(DSDV!K262&lt;&gt;"",DSDV!K262,"")</f>
        <v/>
      </c>
      <c r="D257" s="417" t="str">
        <f>IF(DSDV!W262&lt;&gt;"",DSDV!W262,"")</f>
        <v/>
      </c>
    </row>
    <row r="258" spans="1:4">
      <c r="A258" t="str">
        <f>IF(DSDV!B263&lt;&gt;"",DSDV!B263,"")</f>
        <v/>
      </c>
      <c r="B258" t="str">
        <f>IF(DSDV!G263&lt;&gt;"",DSDV!G263,"")</f>
        <v/>
      </c>
      <c r="C258" s="237" t="str">
        <f>IF(DSDV!K263&lt;&gt;"",DSDV!K263,"")</f>
        <v/>
      </c>
      <c r="D258" s="417" t="str">
        <f>IF(DSDV!W263&lt;&gt;"",DSDV!W263,"")</f>
        <v/>
      </c>
    </row>
    <row r="259" spans="1:4">
      <c r="A259" t="str">
        <f>IF(DSDV!B264&lt;&gt;"",DSDV!B264,"")</f>
        <v/>
      </c>
      <c r="B259" t="str">
        <f>IF(DSDV!G264&lt;&gt;"",DSDV!G264,"")</f>
        <v/>
      </c>
      <c r="C259" s="237" t="str">
        <f>IF(DSDV!K264&lt;&gt;"",DSDV!K264,"")</f>
        <v/>
      </c>
      <c r="D259" s="417" t="str">
        <f>IF(DSDV!W264&lt;&gt;"",DSDV!W264,"")</f>
        <v/>
      </c>
    </row>
    <row r="260" spans="1:4">
      <c r="A260" t="str">
        <f>IF(DSDV!B265&lt;&gt;"",DSDV!B265,"")</f>
        <v/>
      </c>
      <c r="B260" t="str">
        <f>IF(DSDV!G265&lt;&gt;"",DSDV!G265,"")</f>
        <v/>
      </c>
      <c r="C260" s="237" t="str">
        <f>IF(DSDV!K265&lt;&gt;"",DSDV!K265,"")</f>
        <v/>
      </c>
      <c r="D260" s="417" t="str">
        <f>IF(DSDV!W265&lt;&gt;"",DSDV!W265,"")</f>
        <v/>
      </c>
    </row>
    <row r="261" spans="1:4">
      <c r="A261" t="str">
        <f>IF(DSDV!B266&lt;&gt;"",DSDV!B266,"")</f>
        <v/>
      </c>
      <c r="B261" t="str">
        <f>IF(DSDV!G266&lt;&gt;"",DSDV!G266,"")</f>
        <v/>
      </c>
      <c r="C261" s="237" t="str">
        <f>IF(DSDV!K266&lt;&gt;"",DSDV!K266,"")</f>
        <v/>
      </c>
      <c r="D261" s="417" t="str">
        <f>IF(DSDV!W266&lt;&gt;"",DSDV!W266,"")</f>
        <v/>
      </c>
    </row>
    <row r="262" spans="1:4">
      <c r="A262" t="str">
        <f>IF(DSDV!B267&lt;&gt;"",DSDV!B267,"")</f>
        <v/>
      </c>
      <c r="B262" t="str">
        <f>IF(DSDV!G267&lt;&gt;"",DSDV!G267,"")</f>
        <v/>
      </c>
      <c r="C262" s="237" t="str">
        <f>IF(DSDV!K267&lt;&gt;"",DSDV!K267,"")</f>
        <v/>
      </c>
      <c r="D262" s="417" t="str">
        <f>IF(DSDV!W267&lt;&gt;"",DSDV!W267,"")</f>
        <v/>
      </c>
    </row>
    <row r="263" spans="1:4">
      <c r="A263" t="str">
        <f>IF(DSDV!B268&lt;&gt;"",DSDV!B268,"")</f>
        <v/>
      </c>
      <c r="B263" t="str">
        <f>IF(DSDV!G268&lt;&gt;"",DSDV!G268,"")</f>
        <v/>
      </c>
      <c r="C263" s="237" t="str">
        <f>IF(DSDV!K268&lt;&gt;"",DSDV!K268,"")</f>
        <v/>
      </c>
      <c r="D263" s="417" t="str">
        <f>IF(DSDV!W268&lt;&gt;"",DSDV!W268,"")</f>
        <v/>
      </c>
    </row>
    <row r="264" spans="1:4">
      <c r="A264" t="str">
        <f>IF(DSDV!B269&lt;&gt;"",DSDV!B269,"")</f>
        <v/>
      </c>
      <c r="B264" t="str">
        <f>IF(DSDV!G269&lt;&gt;"",DSDV!G269,"")</f>
        <v/>
      </c>
      <c r="C264" s="237" t="str">
        <f>IF(DSDV!K269&lt;&gt;"",DSDV!K269,"")</f>
        <v/>
      </c>
      <c r="D264" s="417" t="str">
        <f>IF(DSDV!W269&lt;&gt;"",DSDV!W269,"")</f>
        <v/>
      </c>
    </row>
    <row r="265" spans="1:4">
      <c r="A265" t="str">
        <f>IF(DSDV!B270&lt;&gt;"",DSDV!B270,"")</f>
        <v/>
      </c>
      <c r="B265" t="str">
        <f>IF(DSDV!G270&lt;&gt;"",DSDV!G270,"")</f>
        <v/>
      </c>
      <c r="C265" s="237" t="str">
        <f>IF(DSDV!K270&lt;&gt;"",DSDV!K270,"")</f>
        <v/>
      </c>
      <c r="D265" s="417" t="str">
        <f>IF(DSDV!W270&lt;&gt;"",DSDV!W270,"")</f>
        <v/>
      </c>
    </row>
    <row r="266" spans="1:4">
      <c r="A266" t="str">
        <f>IF(DSDV!B271&lt;&gt;"",DSDV!B271,"")</f>
        <v/>
      </c>
      <c r="B266" t="str">
        <f>IF(DSDV!G271&lt;&gt;"",DSDV!G271,"")</f>
        <v/>
      </c>
      <c r="C266" s="237" t="str">
        <f>IF(DSDV!K271&lt;&gt;"",DSDV!K271,"")</f>
        <v/>
      </c>
      <c r="D266" s="417" t="str">
        <f>IF(DSDV!W271&lt;&gt;"",DSDV!W271,"")</f>
        <v/>
      </c>
    </row>
    <row r="267" spans="1:4">
      <c r="A267" t="str">
        <f>IF(DSDV!B272&lt;&gt;"",DSDV!B272,"")</f>
        <v/>
      </c>
      <c r="B267" t="str">
        <f>IF(DSDV!G272&lt;&gt;"",DSDV!G272,"")</f>
        <v/>
      </c>
      <c r="C267" s="237" t="str">
        <f>IF(DSDV!K272&lt;&gt;"",DSDV!K272,"")</f>
        <v/>
      </c>
      <c r="D267" s="417" t="str">
        <f>IF(DSDV!W272&lt;&gt;"",DSDV!W272,"")</f>
        <v/>
      </c>
    </row>
    <row r="268" spans="1:4">
      <c r="A268" t="str">
        <f>IF(DSDV!B273&lt;&gt;"",DSDV!B273,"")</f>
        <v/>
      </c>
      <c r="B268" t="str">
        <f>IF(DSDV!G273&lt;&gt;"",DSDV!G273,"")</f>
        <v/>
      </c>
      <c r="C268" s="237" t="str">
        <f>IF(DSDV!K273&lt;&gt;"",DSDV!K273,"")</f>
        <v/>
      </c>
      <c r="D268" s="417" t="str">
        <f>IF(DSDV!W273&lt;&gt;"",DSDV!W273,"")</f>
        <v/>
      </c>
    </row>
    <row r="269" spans="1:4">
      <c r="A269" t="str">
        <f>IF(DSDV!B274&lt;&gt;"",DSDV!B274,"")</f>
        <v/>
      </c>
      <c r="B269" t="str">
        <f>IF(DSDV!G274&lt;&gt;"",DSDV!G274,"")</f>
        <v/>
      </c>
      <c r="C269" s="237" t="str">
        <f>IF(DSDV!K274&lt;&gt;"",DSDV!K274,"")</f>
        <v/>
      </c>
      <c r="D269" s="417" t="str">
        <f>IF(DSDV!W274&lt;&gt;"",DSDV!W274,"")</f>
        <v/>
      </c>
    </row>
    <row r="270" spans="1:4">
      <c r="A270" t="str">
        <f>IF(DSDV!B275&lt;&gt;"",DSDV!B275,"")</f>
        <v/>
      </c>
      <c r="B270" t="str">
        <f>IF(DSDV!G275&lt;&gt;"",DSDV!G275,"")</f>
        <v/>
      </c>
      <c r="C270" s="237" t="str">
        <f>IF(DSDV!K275&lt;&gt;"",DSDV!K275,"")</f>
        <v/>
      </c>
      <c r="D270" s="417" t="str">
        <f>IF(DSDV!W275&lt;&gt;"",DSDV!W275,"")</f>
        <v/>
      </c>
    </row>
    <row r="271" spans="1:4">
      <c r="A271" t="str">
        <f>IF(DSDV!B276&lt;&gt;"",DSDV!B276,"")</f>
        <v/>
      </c>
      <c r="B271" t="str">
        <f>IF(DSDV!G276&lt;&gt;"",DSDV!G276,"")</f>
        <v/>
      </c>
      <c r="C271" s="237" t="str">
        <f>IF(DSDV!K276&lt;&gt;"",DSDV!K276,"")</f>
        <v/>
      </c>
      <c r="D271" s="417" t="str">
        <f>IF(DSDV!W276&lt;&gt;"",DSDV!W276,"")</f>
        <v/>
      </c>
    </row>
    <row r="272" spans="1:4">
      <c r="A272" t="str">
        <f>IF(DSDV!B277&lt;&gt;"",DSDV!B277,"")</f>
        <v/>
      </c>
      <c r="B272" t="str">
        <f>IF(DSDV!G277&lt;&gt;"",DSDV!G277,"")</f>
        <v/>
      </c>
      <c r="C272" s="237" t="str">
        <f>IF(DSDV!K277&lt;&gt;"",DSDV!K277,"")</f>
        <v/>
      </c>
      <c r="D272" s="417" t="str">
        <f>IF(DSDV!W277&lt;&gt;"",DSDV!W277,"")</f>
        <v/>
      </c>
    </row>
    <row r="273" spans="1:4">
      <c r="A273" t="str">
        <f>IF(DSDV!B278&lt;&gt;"",DSDV!B278,"")</f>
        <v/>
      </c>
      <c r="B273" t="str">
        <f>IF(DSDV!G278&lt;&gt;"",DSDV!G278,"")</f>
        <v/>
      </c>
      <c r="C273" s="237" t="str">
        <f>IF(DSDV!K278&lt;&gt;"",DSDV!K278,"")</f>
        <v/>
      </c>
      <c r="D273" s="417" t="str">
        <f>IF(DSDV!W278&lt;&gt;"",DSDV!W278,"")</f>
        <v/>
      </c>
    </row>
    <row r="274" spans="1:4">
      <c r="A274" t="str">
        <f>IF(DSDV!B279&lt;&gt;"",DSDV!B279,"")</f>
        <v/>
      </c>
      <c r="B274" t="str">
        <f>IF(DSDV!G279&lt;&gt;"",DSDV!G279,"")</f>
        <v/>
      </c>
      <c r="C274" s="237" t="str">
        <f>IF(DSDV!K279&lt;&gt;"",DSDV!K279,"")</f>
        <v/>
      </c>
      <c r="D274" s="417" t="str">
        <f>IF(DSDV!W279&lt;&gt;"",DSDV!W279,"")</f>
        <v/>
      </c>
    </row>
    <row r="275" spans="1:4">
      <c r="A275" t="str">
        <f>IF(DSDV!B280&lt;&gt;"",DSDV!B280,"")</f>
        <v/>
      </c>
      <c r="B275" t="str">
        <f>IF(DSDV!G280&lt;&gt;"",DSDV!G280,"")</f>
        <v/>
      </c>
      <c r="C275" s="237" t="str">
        <f>IF(DSDV!K280&lt;&gt;"",DSDV!K280,"")</f>
        <v/>
      </c>
      <c r="D275" s="417" t="str">
        <f>IF(DSDV!W280&lt;&gt;"",DSDV!W280,"")</f>
        <v/>
      </c>
    </row>
    <row r="276" spans="1:4">
      <c r="A276" t="str">
        <f>IF(DSDV!B281&lt;&gt;"",DSDV!B281,"")</f>
        <v/>
      </c>
      <c r="B276" t="str">
        <f>IF(DSDV!G281&lt;&gt;"",DSDV!G281,"")</f>
        <v/>
      </c>
      <c r="C276" s="237" t="str">
        <f>IF(DSDV!K281&lt;&gt;"",DSDV!K281,"")</f>
        <v/>
      </c>
      <c r="D276" s="417" t="str">
        <f>IF(DSDV!W281&lt;&gt;"",DSDV!W281,"")</f>
        <v/>
      </c>
    </row>
    <row r="277" spans="1:4">
      <c r="A277" t="str">
        <f>IF(DSDV!B282&lt;&gt;"",DSDV!B282,"")</f>
        <v/>
      </c>
      <c r="B277" t="str">
        <f>IF(DSDV!G282&lt;&gt;"",DSDV!G282,"")</f>
        <v/>
      </c>
      <c r="C277" s="237" t="str">
        <f>IF(DSDV!K282&lt;&gt;"",DSDV!K282,"")</f>
        <v/>
      </c>
      <c r="D277" s="417" t="str">
        <f>IF(DSDV!W282&lt;&gt;"",DSDV!W282,"")</f>
        <v/>
      </c>
    </row>
    <row r="278" spans="1:4">
      <c r="A278" t="str">
        <f>IF(DSDV!B283&lt;&gt;"",DSDV!B283,"")</f>
        <v/>
      </c>
      <c r="B278" t="str">
        <f>IF(DSDV!G283&lt;&gt;"",DSDV!G283,"")</f>
        <v/>
      </c>
      <c r="C278" s="237" t="str">
        <f>IF(DSDV!K283&lt;&gt;"",DSDV!K283,"")</f>
        <v/>
      </c>
      <c r="D278" s="417" t="str">
        <f>IF(DSDV!W283&lt;&gt;"",DSDV!W283,"")</f>
        <v/>
      </c>
    </row>
    <row r="279" spans="1:4">
      <c r="A279" t="str">
        <f>IF(DSDV!B284&lt;&gt;"",DSDV!B284,"")</f>
        <v/>
      </c>
      <c r="B279" t="str">
        <f>IF(DSDV!G284&lt;&gt;"",DSDV!G284,"")</f>
        <v/>
      </c>
      <c r="C279" s="237" t="str">
        <f>IF(DSDV!K284&lt;&gt;"",DSDV!K284,"")</f>
        <v/>
      </c>
      <c r="D279" s="417" t="str">
        <f>IF(DSDV!W284&lt;&gt;"",DSDV!W284,"")</f>
        <v/>
      </c>
    </row>
    <row r="280" spans="1:4">
      <c r="A280" t="str">
        <f>IF(DSDV!B285&lt;&gt;"",DSDV!B285,"")</f>
        <v/>
      </c>
      <c r="B280" t="str">
        <f>IF(DSDV!G285&lt;&gt;"",DSDV!G285,"")</f>
        <v/>
      </c>
      <c r="C280" s="237" t="str">
        <f>IF(DSDV!K285&lt;&gt;"",DSDV!K285,"")</f>
        <v/>
      </c>
      <c r="D280" s="417" t="str">
        <f>IF(DSDV!W285&lt;&gt;"",DSDV!W285,"")</f>
        <v/>
      </c>
    </row>
    <row r="281" spans="1:4">
      <c r="A281" t="str">
        <f>IF(DSDV!B286&lt;&gt;"",DSDV!B286,"")</f>
        <v/>
      </c>
      <c r="B281" t="str">
        <f>IF(DSDV!G286&lt;&gt;"",DSDV!G286,"")</f>
        <v/>
      </c>
      <c r="C281" s="237" t="str">
        <f>IF(DSDV!K286&lt;&gt;"",DSDV!K286,"")</f>
        <v/>
      </c>
      <c r="D281" s="417" t="str">
        <f>IF(DSDV!W286&lt;&gt;"",DSDV!W286,"")</f>
        <v/>
      </c>
    </row>
    <row r="282" spans="1:4">
      <c r="A282" t="str">
        <f>IF(DSDV!B287&lt;&gt;"",DSDV!B287,"")</f>
        <v/>
      </c>
      <c r="B282" t="str">
        <f>IF(DSDV!G287&lt;&gt;"",DSDV!G287,"")</f>
        <v/>
      </c>
      <c r="C282" s="237" t="str">
        <f>IF(DSDV!K287&lt;&gt;"",DSDV!K287,"")</f>
        <v/>
      </c>
      <c r="D282" s="417" t="str">
        <f>IF(DSDV!W287&lt;&gt;"",DSDV!W287,"")</f>
        <v/>
      </c>
    </row>
    <row r="283" spans="1:4">
      <c r="A283" t="str">
        <f>IF(DSDV!B288&lt;&gt;"",DSDV!B288,"")</f>
        <v/>
      </c>
      <c r="B283" t="str">
        <f>IF(DSDV!G288&lt;&gt;"",DSDV!G288,"")</f>
        <v/>
      </c>
      <c r="C283" s="237" t="str">
        <f>IF(DSDV!K288&lt;&gt;"",DSDV!K288,"")</f>
        <v/>
      </c>
      <c r="D283" s="417" t="str">
        <f>IF(DSDV!W288&lt;&gt;"",DSDV!W288,"")</f>
        <v/>
      </c>
    </row>
    <row r="284" spans="1:4">
      <c r="A284" t="str">
        <f>IF(DSDV!B289&lt;&gt;"",DSDV!B289,"")</f>
        <v/>
      </c>
      <c r="B284" t="str">
        <f>IF(DSDV!G289&lt;&gt;"",DSDV!G289,"")</f>
        <v/>
      </c>
      <c r="C284" s="237" t="str">
        <f>IF(DSDV!K289&lt;&gt;"",DSDV!K289,"")</f>
        <v/>
      </c>
      <c r="D284" s="417" t="str">
        <f>IF(DSDV!W289&lt;&gt;"",DSDV!W289,"")</f>
        <v/>
      </c>
    </row>
    <row r="285" spans="1:4">
      <c r="A285" t="str">
        <f>IF(DSDV!B290&lt;&gt;"",DSDV!B290,"")</f>
        <v/>
      </c>
      <c r="B285" t="str">
        <f>IF(DSDV!G290&lt;&gt;"",DSDV!G290,"")</f>
        <v/>
      </c>
      <c r="C285" s="237" t="str">
        <f>IF(DSDV!K290&lt;&gt;"",DSDV!K290,"")</f>
        <v/>
      </c>
      <c r="D285" s="417" t="str">
        <f>IF(DSDV!W290&lt;&gt;"",DSDV!W290,"")</f>
        <v/>
      </c>
    </row>
    <row r="286" spans="1:4">
      <c r="A286" t="str">
        <f>IF(DSDV!B291&lt;&gt;"",DSDV!B291,"")</f>
        <v/>
      </c>
      <c r="B286" t="str">
        <f>IF(DSDV!G291&lt;&gt;"",DSDV!G291,"")</f>
        <v/>
      </c>
      <c r="C286" s="237" t="str">
        <f>IF(DSDV!K291&lt;&gt;"",DSDV!K291,"")</f>
        <v/>
      </c>
      <c r="D286" s="417" t="str">
        <f>IF(DSDV!W291&lt;&gt;"",DSDV!W291,"")</f>
        <v/>
      </c>
    </row>
    <row r="287" spans="1:4">
      <c r="A287" t="str">
        <f>IF(DSDV!B292&lt;&gt;"",DSDV!B292,"")</f>
        <v/>
      </c>
      <c r="B287" t="str">
        <f>IF(DSDV!G292&lt;&gt;"",DSDV!G292,"")</f>
        <v/>
      </c>
      <c r="C287" s="237" t="str">
        <f>IF(DSDV!K292&lt;&gt;"",DSDV!K292,"")</f>
        <v/>
      </c>
      <c r="D287" s="417" t="str">
        <f>IF(DSDV!W292&lt;&gt;"",DSDV!W292,"")</f>
        <v/>
      </c>
    </row>
    <row r="288" spans="1:4">
      <c r="A288" t="str">
        <f>IF(DSDV!B293&lt;&gt;"",DSDV!B293,"")</f>
        <v/>
      </c>
      <c r="B288" t="str">
        <f>IF(DSDV!G293&lt;&gt;"",DSDV!G293,"")</f>
        <v/>
      </c>
      <c r="C288" s="237" t="str">
        <f>IF(DSDV!K293&lt;&gt;"",DSDV!K293,"")</f>
        <v/>
      </c>
      <c r="D288" s="417" t="str">
        <f>IF(DSDV!W293&lt;&gt;"",DSDV!W293,"")</f>
        <v/>
      </c>
    </row>
    <row r="289" spans="1:4">
      <c r="A289" t="str">
        <f>IF(DSDV!B294&lt;&gt;"",DSDV!B294,"")</f>
        <v/>
      </c>
      <c r="B289" t="str">
        <f>IF(DSDV!G294&lt;&gt;"",DSDV!G294,"")</f>
        <v/>
      </c>
      <c r="C289" s="237" t="str">
        <f>IF(DSDV!K294&lt;&gt;"",DSDV!K294,"")</f>
        <v/>
      </c>
      <c r="D289" s="417" t="str">
        <f>IF(DSDV!W294&lt;&gt;"",DSDV!W294,"")</f>
        <v/>
      </c>
    </row>
    <row r="290" spans="1:4">
      <c r="A290" t="str">
        <f>IF(DSDV!B295&lt;&gt;"",DSDV!B295,"")</f>
        <v/>
      </c>
      <c r="B290" t="str">
        <f>IF(DSDV!G295&lt;&gt;"",DSDV!G295,"")</f>
        <v/>
      </c>
      <c r="C290" s="237" t="str">
        <f>IF(DSDV!K295&lt;&gt;"",DSDV!K295,"")</f>
        <v/>
      </c>
      <c r="D290" s="417" t="str">
        <f>IF(DSDV!W295&lt;&gt;"",DSDV!W295,"")</f>
        <v/>
      </c>
    </row>
    <row r="291" spans="1:4">
      <c r="A291" t="str">
        <f>IF(DSDV!B296&lt;&gt;"",DSDV!B296,"")</f>
        <v/>
      </c>
      <c r="B291" t="str">
        <f>IF(DSDV!G296&lt;&gt;"",DSDV!G296,"")</f>
        <v/>
      </c>
      <c r="C291" s="237" t="str">
        <f>IF(DSDV!K296&lt;&gt;"",DSDV!K296,"")</f>
        <v/>
      </c>
      <c r="D291" s="417" t="str">
        <f>IF(DSDV!W296&lt;&gt;"",DSDV!W296,"")</f>
        <v/>
      </c>
    </row>
    <row r="292" spans="1:4">
      <c r="A292" t="str">
        <f>IF(DSDV!B297&lt;&gt;"",DSDV!B297,"")</f>
        <v/>
      </c>
      <c r="B292" t="str">
        <f>IF(DSDV!G297&lt;&gt;"",DSDV!G297,"")</f>
        <v/>
      </c>
      <c r="C292" s="237" t="str">
        <f>IF(DSDV!K297&lt;&gt;"",DSDV!K297,"")</f>
        <v/>
      </c>
      <c r="D292" s="417" t="str">
        <f>IF(DSDV!W297&lt;&gt;"",DSDV!W297,"")</f>
        <v/>
      </c>
    </row>
    <row r="293" spans="1:4">
      <c r="A293" t="str">
        <f>IF(DSDV!B298&lt;&gt;"",DSDV!B298,"")</f>
        <v/>
      </c>
      <c r="B293" t="str">
        <f>IF(DSDV!G298&lt;&gt;"",DSDV!G298,"")</f>
        <v/>
      </c>
      <c r="C293" s="237" t="str">
        <f>IF(DSDV!K298&lt;&gt;"",DSDV!K298,"")</f>
        <v/>
      </c>
      <c r="D293" s="417" t="str">
        <f>IF(DSDV!W298&lt;&gt;"",DSDV!W298,"")</f>
        <v/>
      </c>
    </row>
    <row r="294" spans="1:4">
      <c r="A294" t="str">
        <f>IF(DSDV!B299&lt;&gt;"",DSDV!B299,"")</f>
        <v/>
      </c>
      <c r="B294" t="str">
        <f>IF(DSDV!G299&lt;&gt;"",DSDV!G299,"")</f>
        <v/>
      </c>
      <c r="C294" s="237" t="str">
        <f>IF(DSDV!K299&lt;&gt;"",DSDV!K299,"")</f>
        <v/>
      </c>
      <c r="D294" s="417" t="str">
        <f>IF(DSDV!W299&lt;&gt;"",DSDV!W299,"")</f>
        <v/>
      </c>
    </row>
    <row r="295" spans="1:4">
      <c r="A295" t="str">
        <f>IF(DSDV!B300&lt;&gt;"",DSDV!B300,"")</f>
        <v/>
      </c>
      <c r="B295" t="str">
        <f>IF(DSDV!G300&lt;&gt;"",DSDV!G300,"")</f>
        <v/>
      </c>
      <c r="C295" s="237" t="str">
        <f>IF(DSDV!K300&lt;&gt;"",DSDV!K300,"")</f>
        <v/>
      </c>
      <c r="D295" s="417" t="str">
        <f>IF(DSDV!W300&lt;&gt;"",DSDV!W300,"")</f>
        <v/>
      </c>
    </row>
    <row r="296" spans="1:4">
      <c r="A296" t="str">
        <f>IF(DSDV!B301&lt;&gt;"",DSDV!B301,"")</f>
        <v/>
      </c>
      <c r="B296" t="str">
        <f>IF(DSDV!G301&lt;&gt;"",DSDV!G301,"")</f>
        <v/>
      </c>
      <c r="C296" s="237" t="str">
        <f>IF(DSDV!K301&lt;&gt;"",DSDV!K301,"")</f>
        <v/>
      </c>
      <c r="D296" s="417" t="str">
        <f>IF(DSDV!W301&lt;&gt;"",DSDV!W301,"")</f>
        <v/>
      </c>
    </row>
    <row r="297" spans="1:4">
      <c r="A297" t="str">
        <f>IF(DSDV!B302&lt;&gt;"",DSDV!B302,"")</f>
        <v/>
      </c>
      <c r="B297" t="str">
        <f>IF(DSDV!G302&lt;&gt;"",DSDV!G302,"")</f>
        <v/>
      </c>
      <c r="C297" s="237" t="str">
        <f>IF(DSDV!K302&lt;&gt;"",DSDV!K302,"")</f>
        <v/>
      </c>
      <c r="D297" s="417" t="str">
        <f>IF(DSDV!W302&lt;&gt;"",DSDV!W302,"")</f>
        <v/>
      </c>
    </row>
    <row r="298" spans="1:4">
      <c r="A298" t="str">
        <f>IF(DSDV!B303&lt;&gt;"",DSDV!B303,"")</f>
        <v/>
      </c>
      <c r="B298" t="str">
        <f>IF(DSDV!G303&lt;&gt;"",DSDV!G303,"")</f>
        <v/>
      </c>
      <c r="C298" s="237" t="str">
        <f>IF(DSDV!K303&lt;&gt;"",DSDV!K303,"")</f>
        <v/>
      </c>
      <c r="D298" s="417" t="str">
        <f>IF(DSDV!W303&lt;&gt;"",DSDV!W303,"")</f>
        <v/>
      </c>
    </row>
    <row r="299" spans="1:4">
      <c r="A299" t="str">
        <f>IF(DSDV!B304&lt;&gt;"",DSDV!B304,"")</f>
        <v/>
      </c>
      <c r="B299" t="str">
        <f>IF(DSDV!G304&lt;&gt;"",DSDV!G304,"")</f>
        <v/>
      </c>
      <c r="C299" s="237" t="str">
        <f>IF(DSDV!K304&lt;&gt;"",DSDV!K304,"")</f>
        <v/>
      </c>
      <c r="D299" s="417" t="str">
        <f>IF(DSDV!W304&lt;&gt;"",DSDV!W304,"")</f>
        <v/>
      </c>
    </row>
    <row r="300" spans="1:4">
      <c r="A300" t="str">
        <f>IF(DSDV!B305&lt;&gt;"",DSDV!B305,"")</f>
        <v/>
      </c>
      <c r="B300" t="str">
        <f>IF(DSDV!G305&lt;&gt;"",DSDV!G305,"")</f>
        <v/>
      </c>
      <c r="C300" s="237" t="str">
        <f>IF(DSDV!K305&lt;&gt;"",DSDV!K305,"")</f>
        <v/>
      </c>
      <c r="D300" s="417" t="str">
        <f>IF(DSDV!W305&lt;&gt;"",DSDV!W305,"")</f>
        <v/>
      </c>
    </row>
    <row r="301" spans="1:4">
      <c r="A301" t="str">
        <f>IF(DSDV!B306&lt;&gt;"",DSDV!B306,"")</f>
        <v/>
      </c>
      <c r="B301" t="str">
        <f>IF(DSDV!G306&lt;&gt;"",DSDV!G306,"")</f>
        <v/>
      </c>
      <c r="C301" s="237" t="str">
        <f>IF(DSDV!K306&lt;&gt;"",DSDV!K306,"")</f>
        <v/>
      </c>
      <c r="D301" s="417" t="str">
        <f>IF(DSDV!W306&lt;&gt;"",DSDV!W306,"")</f>
        <v/>
      </c>
    </row>
    <row r="302" spans="1:4">
      <c r="A302" t="str">
        <f>IF(DSDV!B307&lt;&gt;"",DSDV!B307,"")</f>
        <v/>
      </c>
      <c r="B302" t="str">
        <f>IF(DSDV!G307&lt;&gt;"",DSDV!G307,"")</f>
        <v/>
      </c>
      <c r="C302" s="237" t="str">
        <f>IF(DSDV!K307&lt;&gt;"",DSDV!K307,"")</f>
        <v/>
      </c>
      <c r="D302" s="417" t="str">
        <f>IF(DSDV!W307&lt;&gt;"",DSDV!W307,"")</f>
        <v/>
      </c>
    </row>
    <row r="303" spans="1:4">
      <c r="A303" t="str">
        <f>IF(DSDV!B308&lt;&gt;"",DSDV!B308,"")</f>
        <v/>
      </c>
      <c r="B303" t="str">
        <f>IF(DSDV!G308&lt;&gt;"",DSDV!G308,"")</f>
        <v/>
      </c>
      <c r="C303" s="237" t="str">
        <f>IF(DSDV!K308&lt;&gt;"",DSDV!K308,"")</f>
        <v/>
      </c>
      <c r="D303" s="417" t="str">
        <f>IF(DSDV!W308&lt;&gt;"",DSDV!W308,"")</f>
        <v/>
      </c>
    </row>
    <row r="304" spans="1:4">
      <c r="A304" t="str">
        <f>IF(DSDV!B309&lt;&gt;"",DSDV!B309,"")</f>
        <v/>
      </c>
      <c r="B304" t="str">
        <f>IF(DSDV!G309&lt;&gt;"",DSDV!G309,"")</f>
        <v/>
      </c>
      <c r="C304" s="237" t="str">
        <f>IF(DSDV!K309&lt;&gt;"",DSDV!K309,"")</f>
        <v/>
      </c>
      <c r="D304" s="417" t="str">
        <f>IF(DSDV!W309&lt;&gt;"",DSDV!W309,"")</f>
        <v/>
      </c>
    </row>
    <row r="305" spans="1:4">
      <c r="A305" t="str">
        <f>IF(DSDV!B310&lt;&gt;"",DSDV!B310,"")</f>
        <v/>
      </c>
      <c r="B305" t="str">
        <f>IF(DSDV!G310&lt;&gt;"",DSDV!G310,"")</f>
        <v/>
      </c>
      <c r="C305" s="237" t="str">
        <f>IF(DSDV!K310&lt;&gt;"",DSDV!K310,"")</f>
        <v/>
      </c>
      <c r="D305" s="417" t="str">
        <f>IF(DSDV!W310&lt;&gt;"",DSDV!W310,"")</f>
        <v/>
      </c>
    </row>
    <row r="306" spans="1:4">
      <c r="A306" t="str">
        <f>IF(DSDV!B311&lt;&gt;"",DSDV!B311,"")</f>
        <v/>
      </c>
      <c r="B306" t="str">
        <f>IF(DSDV!G311&lt;&gt;"",DSDV!G311,"")</f>
        <v/>
      </c>
      <c r="C306" s="237" t="str">
        <f>IF(DSDV!K311&lt;&gt;"",DSDV!K311,"")</f>
        <v/>
      </c>
      <c r="D306" s="417" t="str">
        <f>IF(DSDV!W311&lt;&gt;"",DSDV!W311,"")</f>
        <v/>
      </c>
    </row>
    <row r="307" spans="1:4">
      <c r="A307" t="str">
        <f>IF(DSDV!B312&lt;&gt;"",DSDV!B312,"")</f>
        <v/>
      </c>
      <c r="B307" t="str">
        <f>IF(DSDV!G312&lt;&gt;"",DSDV!G312,"")</f>
        <v/>
      </c>
      <c r="C307" s="237" t="str">
        <f>IF(DSDV!K312&lt;&gt;"",DSDV!K312,"")</f>
        <v/>
      </c>
      <c r="D307" s="417" t="str">
        <f>IF(DSDV!W312&lt;&gt;"",DSDV!W312,"")</f>
        <v/>
      </c>
    </row>
    <row r="308" spans="1:4">
      <c r="A308" t="str">
        <f>IF(DSDV!B313&lt;&gt;"",DSDV!B313,"")</f>
        <v/>
      </c>
      <c r="B308" t="str">
        <f>IF(DSDV!G313&lt;&gt;"",DSDV!G313,"")</f>
        <v/>
      </c>
      <c r="C308" s="237" t="str">
        <f>IF(DSDV!K313&lt;&gt;"",DSDV!K313,"")</f>
        <v/>
      </c>
      <c r="D308" s="417" t="str">
        <f>IF(DSDV!W313&lt;&gt;"",DSDV!W313,"")</f>
        <v/>
      </c>
    </row>
    <row r="309" spans="1:4">
      <c r="A309" t="str">
        <f>IF(DSDV!B314&lt;&gt;"",DSDV!B314,"")</f>
        <v/>
      </c>
      <c r="B309" t="str">
        <f>IF(DSDV!G314&lt;&gt;"",DSDV!G314,"")</f>
        <v/>
      </c>
      <c r="C309" s="237" t="str">
        <f>IF(DSDV!K314&lt;&gt;"",DSDV!K314,"")</f>
        <v/>
      </c>
      <c r="D309" s="417" t="str">
        <f>IF(DSDV!W314&lt;&gt;"",DSDV!W314,"")</f>
        <v/>
      </c>
    </row>
    <row r="310" spans="1:4">
      <c r="A310" t="str">
        <f>IF(DSDV!B315&lt;&gt;"",DSDV!B315,"")</f>
        <v/>
      </c>
      <c r="B310" t="str">
        <f>IF(DSDV!G315&lt;&gt;"",DSDV!G315,"")</f>
        <v/>
      </c>
      <c r="C310" s="237" t="str">
        <f>IF(DSDV!K315&lt;&gt;"",DSDV!K315,"")</f>
        <v/>
      </c>
      <c r="D310" s="417" t="str">
        <f>IF(DSDV!W315&lt;&gt;"",DSDV!W315,"")</f>
        <v/>
      </c>
    </row>
    <row r="311" spans="1:4">
      <c r="A311" t="str">
        <f>IF(DSDV!B316&lt;&gt;"",DSDV!B316,"")</f>
        <v/>
      </c>
      <c r="B311" t="str">
        <f>IF(DSDV!G316&lt;&gt;"",DSDV!G316,"")</f>
        <v/>
      </c>
      <c r="C311" s="237" t="str">
        <f>IF(DSDV!K316&lt;&gt;"",DSDV!K316,"")</f>
        <v/>
      </c>
      <c r="D311" s="417" t="str">
        <f>IF(DSDV!W316&lt;&gt;"",DSDV!W316,"")</f>
        <v/>
      </c>
    </row>
    <row r="312" spans="1:4">
      <c r="A312" t="str">
        <f>IF(DSDV!B317&lt;&gt;"",DSDV!B317,"")</f>
        <v/>
      </c>
      <c r="B312" t="str">
        <f>IF(DSDV!G317&lt;&gt;"",DSDV!G317,"")</f>
        <v/>
      </c>
      <c r="C312" s="237" t="str">
        <f>IF(DSDV!K317&lt;&gt;"",DSDV!K317,"")</f>
        <v/>
      </c>
      <c r="D312" s="417" t="str">
        <f>IF(DSDV!W317&lt;&gt;"",DSDV!W317,"")</f>
        <v/>
      </c>
    </row>
    <row r="313" spans="1:4">
      <c r="A313" t="str">
        <f>IF(DSDV!B318&lt;&gt;"",DSDV!B318,"")</f>
        <v/>
      </c>
      <c r="B313" t="str">
        <f>IF(DSDV!G318&lt;&gt;"",DSDV!G318,"")</f>
        <v/>
      </c>
      <c r="C313" s="237" t="str">
        <f>IF(DSDV!K318&lt;&gt;"",DSDV!K318,"")</f>
        <v/>
      </c>
      <c r="D313" s="417" t="str">
        <f>IF(DSDV!W318&lt;&gt;"",DSDV!W318,"")</f>
        <v/>
      </c>
    </row>
    <row r="314" spans="1:4">
      <c r="A314" t="str">
        <f>IF(DSDV!B319&lt;&gt;"",DSDV!B319,"")</f>
        <v/>
      </c>
      <c r="B314" t="str">
        <f>IF(DSDV!G319&lt;&gt;"",DSDV!G319,"")</f>
        <v/>
      </c>
      <c r="C314" s="237" t="str">
        <f>IF(DSDV!K319&lt;&gt;"",DSDV!K319,"")</f>
        <v/>
      </c>
      <c r="D314" s="417" t="str">
        <f>IF(DSDV!W319&lt;&gt;"",DSDV!W319,"")</f>
        <v/>
      </c>
    </row>
    <row r="315" spans="1:4">
      <c r="A315" t="str">
        <f>IF(DSDV!B320&lt;&gt;"",DSDV!B320,"")</f>
        <v/>
      </c>
      <c r="B315" t="str">
        <f>IF(DSDV!G320&lt;&gt;"",DSDV!G320,"")</f>
        <v/>
      </c>
      <c r="C315" s="237" t="str">
        <f>IF(DSDV!K320&lt;&gt;"",DSDV!K320,"")</f>
        <v/>
      </c>
      <c r="D315" s="417" t="str">
        <f>IF(DSDV!W320&lt;&gt;"",DSDV!W320,"")</f>
        <v/>
      </c>
    </row>
    <row r="316" spans="1:4">
      <c r="A316" t="str">
        <f>IF(DSDV!B321&lt;&gt;"",DSDV!B321,"")</f>
        <v/>
      </c>
      <c r="B316" t="str">
        <f>IF(DSDV!G321&lt;&gt;"",DSDV!G321,"")</f>
        <v/>
      </c>
      <c r="C316" s="237" t="str">
        <f>IF(DSDV!K321&lt;&gt;"",DSDV!K321,"")</f>
        <v/>
      </c>
      <c r="D316" s="417" t="str">
        <f>IF(DSDV!W321&lt;&gt;"",DSDV!W321,"")</f>
        <v/>
      </c>
    </row>
    <row r="317" spans="1:4">
      <c r="A317" t="str">
        <f>IF(DSDV!B322&lt;&gt;"",DSDV!B322,"")</f>
        <v/>
      </c>
      <c r="B317" t="str">
        <f>IF(DSDV!G322&lt;&gt;"",DSDV!G322,"")</f>
        <v/>
      </c>
      <c r="C317" s="237" t="str">
        <f>IF(DSDV!K322&lt;&gt;"",DSDV!K322,"")</f>
        <v/>
      </c>
      <c r="D317" s="417" t="str">
        <f>IF(DSDV!W322&lt;&gt;"",DSDV!W322,"")</f>
        <v/>
      </c>
    </row>
    <row r="318" spans="1:4">
      <c r="A318" t="str">
        <f>IF(DSDV!B323&lt;&gt;"",DSDV!B323,"")</f>
        <v/>
      </c>
      <c r="B318" t="str">
        <f>IF(DSDV!G323&lt;&gt;"",DSDV!G323,"")</f>
        <v/>
      </c>
      <c r="C318" s="237" t="str">
        <f>IF(DSDV!K323&lt;&gt;"",DSDV!K323,"")</f>
        <v/>
      </c>
      <c r="D318" s="417" t="str">
        <f>IF(DSDV!W323&lt;&gt;"",DSDV!W323,"")</f>
        <v/>
      </c>
    </row>
    <row r="319" spans="1:4">
      <c r="A319" t="str">
        <f>IF(DSDV!B324&lt;&gt;"",DSDV!B324,"")</f>
        <v/>
      </c>
      <c r="B319" t="str">
        <f>IF(DSDV!G324&lt;&gt;"",DSDV!G324,"")</f>
        <v/>
      </c>
      <c r="C319" s="237" t="str">
        <f>IF(DSDV!K324&lt;&gt;"",DSDV!K324,"")</f>
        <v/>
      </c>
      <c r="D319" s="417" t="str">
        <f>IF(DSDV!W324&lt;&gt;"",DSDV!W324,"")</f>
        <v/>
      </c>
    </row>
    <row r="320" spans="1:4">
      <c r="A320" t="str">
        <f>IF(DSDV!B325&lt;&gt;"",DSDV!B325,"")</f>
        <v/>
      </c>
      <c r="B320" t="str">
        <f>IF(DSDV!G325&lt;&gt;"",DSDV!G325,"")</f>
        <v/>
      </c>
      <c r="C320" s="237" t="str">
        <f>IF(DSDV!K325&lt;&gt;"",DSDV!K325,"")</f>
        <v/>
      </c>
      <c r="D320" s="417" t="str">
        <f>IF(DSDV!W325&lt;&gt;"",DSDV!W325,"")</f>
        <v/>
      </c>
    </row>
    <row r="321" spans="1:4">
      <c r="A321" t="str">
        <f>IF(DSDV!B326&lt;&gt;"",DSDV!B326,"")</f>
        <v/>
      </c>
      <c r="B321" t="str">
        <f>IF(DSDV!G326&lt;&gt;"",DSDV!G326,"")</f>
        <v/>
      </c>
      <c r="C321" s="237" t="str">
        <f>IF(DSDV!K326&lt;&gt;"",DSDV!K326,"")</f>
        <v/>
      </c>
      <c r="D321" s="417" t="str">
        <f>IF(DSDV!W326&lt;&gt;"",DSDV!W326,"")</f>
        <v/>
      </c>
    </row>
    <row r="322" spans="1:4">
      <c r="A322" t="str">
        <f>IF(DSDV!B327&lt;&gt;"",DSDV!B327,"")</f>
        <v/>
      </c>
      <c r="B322" t="str">
        <f>IF(DSDV!G327&lt;&gt;"",DSDV!G327,"")</f>
        <v/>
      </c>
      <c r="C322" s="237" t="str">
        <f>IF(DSDV!K327&lt;&gt;"",DSDV!K327,"")</f>
        <v/>
      </c>
      <c r="D322" s="417" t="str">
        <f>IF(DSDV!W327&lt;&gt;"",DSDV!W327,"")</f>
        <v/>
      </c>
    </row>
    <row r="323" spans="1:4">
      <c r="A323" t="str">
        <f>IF(DSDV!B328&lt;&gt;"",DSDV!B328,"")</f>
        <v/>
      </c>
      <c r="B323" t="str">
        <f>IF(DSDV!G328&lt;&gt;"",DSDV!G328,"")</f>
        <v/>
      </c>
      <c r="C323" s="237" t="str">
        <f>IF(DSDV!K328&lt;&gt;"",DSDV!K328,"")</f>
        <v/>
      </c>
      <c r="D323" s="417" t="str">
        <f>IF(DSDV!W328&lt;&gt;"",DSDV!W328,"")</f>
        <v/>
      </c>
    </row>
    <row r="324" spans="1:4">
      <c r="A324" t="str">
        <f>IF(DSDV!B329&lt;&gt;"",DSDV!B329,"")</f>
        <v/>
      </c>
      <c r="B324" t="str">
        <f>IF(DSDV!G329&lt;&gt;"",DSDV!G329,"")</f>
        <v/>
      </c>
      <c r="C324" s="237" t="str">
        <f>IF(DSDV!K329&lt;&gt;"",DSDV!K329,"")</f>
        <v/>
      </c>
      <c r="D324" s="417" t="str">
        <f>IF(DSDV!W329&lt;&gt;"",DSDV!W329,"")</f>
        <v/>
      </c>
    </row>
    <row r="325" spans="1:4">
      <c r="A325" t="str">
        <f>IF(DSDV!B330&lt;&gt;"",DSDV!B330,"")</f>
        <v/>
      </c>
      <c r="B325" t="str">
        <f>IF(DSDV!G330&lt;&gt;"",DSDV!G330,"")</f>
        <v/>
      </c>
      <c r="C325" s="237" t="str">
        <f>IF(DSDV!K330&lt;&gt;"",DSDV!K330,"")</f>
        <v/>
      </c>
      <c r="D325" s="417" t="str">
        <f>IF(DSDV!W330&lt;&gt;"",DSDV!W330,"")</f>
        <v/>
      </c>
    </row>
    <row r="326" spans="1:4">
      <c r="A326" t="str">
        <f>IF(DSDV!B331&lt;&gt;"",DSDV!B331,"")</f>
        <v/>
      </c>
      <c r="B326" t="str">
        <f>IF(DSDV!G331&lt;&gt;"",DSDV!G331,"")</f>
        <v/>
      </c>
      <c r="C326" s="237" t="str">
        <f>IF(DSDV!K331&lt;&gt;"",DSDV!K331,"")</f>
        <v/>
      </c>
      <c r="D326" s="417" t="str">
        <f>IF(DSDV!W331&lt;&gt;"",DSDV!W331,"")</f>
        <v/>
      </c>
    </row>
    <row r="327" spans="1:4">
      <c r="A327" t="str">
        <f>IF(DSDV!B332&lt;&gt;"",DSDV!B332,"")</f>
        <v/>
      </c>
      <c r="B327" t="str">
        <f>IF(DSDV!G332&lt;&gt;"",DSDV!G332,"")</f>
        <v/>
      </c>
      <c r="C327" s="237" t="str">
        <f>IF(DSDV!K332&lt;&gt;"",DSDV!K332,"")</f>
        <v/>
      </c>
      <c r="D327" s="417" t="str">
        <f>IF(DSDV!W332&lt;&gt;"",DSDV!W332,"")</f>
        <v/>
      </c>
    </row>
    <row r="328" spans="1:4">
      <c r="A328" t="str">
        <f>IF(DSDV!B333&lt;&gt;"",DSDV!B333,"")</f>
        <v/>
      </c>
      <c r="B328" t="str">
        <f>IF(DSDV!G333&lt;&gt;"",DSDV!G333,"")</f>
        <v/>
      </c>
      <c r="C328" s="237" t="str">
        <f>IF(DSDV!K333&lt;&gt;"",DSDV!K333,"")</f>
        <v/>
      </c>
      <c r="D328" s="417" t="str">
        <f>IF(DSDV!W333&lt;&gt;"",DSDV!W333,"")</f>
        <v/>
      </c>
    </row>
    <row r="329" spans="1:4">
      <c r="A329" t="str">
        <f>IF(DSDV!B334&lt;&gt;"",DSDV!B334,"")</f>
        <v/>
      </c>
      <c r="B329" t="str">
        <f>IF(DSDV!G334&lt;&gt;"",DSDV!G334,"")</f>
        <v/>
      </c>
      <c r="C329" s="237" t="str">
        <f>IF(DSDV!K334&lt;&gt;"",DSDV!K334,"")</f>
        <v/>
      </c>
      <c r="D329" s="417" t="str">
        <f>IF(DSDV!W334&lt;&gt;"",DSDV!W334,"")</f>
        <v/>
      </c>
    </row>
    <row r="330" spans="1:4">
      <c r="A330" t="str">
        <f>IF(DSDV!B335&lt;&gt;"",DSDV!B335,"")</f>
        <v/>
      </c>
      <c r="B330" t="str">
        <f>IF(DSDV!G335&lt;&gt;"",DSDV!G335,"")</f>
        <v/>
      </c>
      <c r="C330" s="237" t="str">
        <f>IF(DSDV!K335&lt;&gt;"",DSDV!K335,"")</f>
        <v/>
      </c>
      <c r="D330" s="417" t="str">
        <f>IF(DSDV!W335&lt;&gt;"",DSDV!W335,"")</f>
        <v/>
      </c>
    </row>
    <row r="331" spans="1:4">
      <c r="A331" t="str">
        <f>IF(DSDV!B336&lt;&gt;"",DSDV!B336,"")</f>
        <v/>
      </c>
      <c r="B331" t="str">
        <f>IF(DSDV!G336&lt;&gt;"",DSDV!G336,"")</f>
        <v/>
      </c>
      <c r="C331" s="237" t="str">
        <f>IF(DSDV!K336&lt;&gt;"",DSDV!K336,"")</f>
        <v/>
      </c>
      <c r="D331" s="417" t="str">
        <f>IF(DSDV!W336&lt;&gt;"",DSDV!W336,"")</f>
        <v/>
      </c>
    </row>
    <row r="332" spans="1:4">
      <c r="A332" t="str">
        <f>IF(DSDV!B337&lt;&gt;"",DSDV!B337,"")</f>
        <v/>
      </c>
      <c r="B332" t="str">
        <f>IF(DSDV!G337&lt;&gt;"",DSDV!G337,"")</f>
        <v/>
      </c>
      <c r="C332" s="237" t="str">
        <f>IF(DSDV!K337&lt;&gt;"",DSDV!K337,"")</f>
        <v/>
      </c>
      <c r="D332" s="417" t="str">
        <f>IF(DSDV!W337&lt;&gt;"",DSDV!W337,"")</f>
        <v/>
      </c>
    </row>
    <row r="333" spans="1:4">
      <c r="A333" t="str">
        <f>IF(DSDV!B338&lt;&gt;"",DSDV!B338,"")</f>
        <v/>
      </c>
      <c r="B333" t="str">
        <f>IF(DSDV!G338&lt;&gt;"",DSDV!G338,"")</f>
        <v/>
      </c>
      <c r="C333" s="237" t="str">
        <f>IF(DSDV!K338&lt;&gt;"",DSDV!K338,"")</f>
        <v/>
      </c>
      <c r="D333" s="417" t="str">
        <f>IF(DSDV!W338&lt;&gt;"",DSDV!W338,"")</f>
        <v/>
      </c>
    </row>
    <row r="334" spans="1:4">
      <c r="A334" t="str">
        <f>IF(DSDV!B339&lt;&gt;"",DSDV!B339,"")</f>
        <v/>
      </c>
      <c r="B334" t="str">
        <f>IF(DSDV!G339&lt;&gt;"",DSDV!G339,"")</f>
        <v/>
      </c>
      <c r="C334" s="237" t="str">
        <f>IF(DSDV!K339&lt;&gt;"",DSDV!K339,"")</f>
        <v/>
      </c>
      <c r="D334" s="417" t="str">
        <f>IF(DSDV!W339&lt;&gt;"",DSDV!W339,"")</f>
        <v/>
      </c>
    </row>
    <row r="335" spans="1:4">
      <c r="A335" t="str">
        <f>IF(DSDV!B340&lt;&gt;"",DSDV!B340,"")</f>
        <v/>
      </c>
      <c r="B335" t="str">
        <f>IF(DSDV!G340&lt;&gt;"",DSDV!G340,"")</f>
        <v/>
      </c>
      <c r="C335" s="237" t="str">
        <f>IF(DSDV!K340&lt;&gt;"",DSDV!K340,"")</f>
        <v/>
      </c>
      <c r="D335" s="417" t="str">
        <f>IF(DSDV!W340&lt;&gt;"",DSDV!W340,"")</f>
        <v/>
      </c>
    </row>
    <row r="336" spans="1:4">
      <c r="A336" t="str">
        <f>IF(DSDV!B341&lt;&gt;"",DSDV!B341,"")</f>
        <v/>
      </c>
      <c r="B336" t="str">
        <f>IF(DSDV!G341&lt;&gt;"",DSDV!G341,"")</f>
        <v/>
      </c>
      <c r="C336" s="237" t="str">
        <f>IF(DSDV!K341&lt;&gt;"",DSDV!K341,"")</f>
        <v/>
      </c>
      <c r="D336" s="417" t="str">
        <f>IF(DSDV!W341&lt;&gt;"",DSDV!W341,"")</f>
        <v/>
      </c>
    </row>
    <row r="337" spans="1:4">
      <c r="A337" t="str">
        <f>IF(DSDV!B342&lt;&gt;"",DSDV!B342,"")</f>
        <v/>
      </c>
      <c r="B337" t="str">
        <f>IF(DSDV!G342&lt;&gt;"",DSDV!G342,"")</f>
        <v/>
      </c>
      <c r="C337" s="237" t="str">
        <f>IF(DSDV!K342&lt;&gt;"",DSDV!K342,"")</f>
        <v/>
      </c>
      <c r="D337" s="417" t="str">
        <f>IF(DSDV!W342&lt;&gt;"",DSDV!W342,"")</f>
        <v/>
      </c>
    </row>
    <row r="338" spans="1:4">
      <c r="A338" t="str">
        <f>IF(DSDV!B343&lt;&gt;"",DSDV!B343,"")</f>
        <v/>
      </c>
      <c r="B338" t="str">
        <f>IF(DSDV!G343&lt;&gt;"",DSDV!G343,"")</f>
        <v/>
      </c>
      <c r="C338" s="237" t="str">
        <f>IF(DSDV!K343&lt;&gt;"",DSDV!K343,"")</f>
        <v/>
      </c>
      <c r="D338" s="417" t="str">
        <f>IF(DSDV!W343&lt;&gt;"",DSDV!W343,"")</f>
        <v/>
      </c>
    </row>
    <row r="339" spans="1:4">
      <c r="A339" t="str">
        <f>IF(DSDV!B344&lt;&gt;"",DSDV!B344,"")</f>
        <v/>
      </c>
      <c r="B339" t="str">
        <f>IF(DSDV!G344&lt;&gt;"",DSDV!G344,"")</f>
        <v/>
      </c>
      <c r="C339" s="237" t="str">
        <f>IF(DSDV!K344&lt;&gt;"",DSDV!K344,"")</f>
        <v/>
      </c>
      <c r="D339" s="417" t="str">
        <f>IF(DSDV!W344&lt;&gt;"",DSDV!W344,"")</f>
        <v/>
      </c>
    </row>
    <row r="340" spans="1:4">
      <c r="A340" t="str">
        <f>IF(DSDV!B345&lt;&gt;"",DSDV!B345,"")</f>
        <v/>
      </c>
      <c r="B340" t="str">
        <f>IF(DSDV!G345&lt;&gt;"",DSDV!G345,"")</f>
        <v/>
      </c>
      <c r="C340" s="237" t="str">
        <f>IF(DSDV!K345&lt;&gt;"",DSDV!K345,"")</f>
        <v/>
      </c>
      <c r="D340" s="417" t="str">
        <f>IF(DSDV!W345&lt;&gt;"",DSDV!W345,"")</f>
        <v/>
      </c>
    </row>
    <row r="341" spans="1:4">
      <c r="A341" t="str">
        <f>IF(DSDV!B346&lt;&gt;"",DSDV!B346,"")</f>
        <v/>
      </c>
      <c r="B341" t="str">
        <f>IF(DSDV!G346&lt;&gt;"",DSDV!G346,"")</f>
        <v/>
      </c>
      <c r="C341" s="237" t="str">
        <f>IF(DSDV!K346&lt;&gt;"",DSDV!K346,"")</f>
        <v/>
      </c>
      <c r="D341" s="417" t="str">
        <f>IF(DSDV!W346&lt;&gt;"",DSDV!W346,"")</f>
        <v/>
      </c>
    </row>
    <row r="342" spans="1:4">
      <c r="A342" t="str">
        <f>IF(DSDV!B347&lt;&gt;"",DSDV!B347,"")</f>
        <v/>
      </c>
      <c r="B342" t="str">
        <f>IF(DSDV!G347&lt;&gt;"",DSDV!G347,"")</f>
        <v/>
      </c>
      <c r="C342" s="237" t="str">
        <f>IF(DSDV!K347&lt;&gt;"",DSDV!K347,"")</f>
        <v/>
      </c>
      <c r="D342" s="417" t="str">
        <f>IF(DSDV!W347&lt;&gt;"",DSDV!W347,"")</f>
        <v/>
      </c>
    </row>
    <row r="343" spans="1:4">
      <c r="A343" t="str">
        <f>IF(DSDV!B348&lt;&gt;"",DSDV!B348,"")</f>
        <v/>
      </c>
      <c r="B343" t="str">
        <f>IF(DSDV!G348&lt;&gt;"",DSDV!G348,"")</f>
        <v/>
      </c>
      <c r="C343" s="237" t="str">
        <f>IF(DSDV!K348&lt;&gt;"",DSDV!K348,"")</f>
        <v/>
      </c>
      <c r="D343" s="417" t="str">
        <f>IF(DSDV!W348&lt;&gt;"",DSDV!W348,"")</f>
        <v/>
      </c>
    </row>
    <row r="344" spans="1:4">
      <c r="A344" t="str">
        <f>IF(DSDV!B349&lt;&gt;"",DSDV!B349,"")</f>
        <v/>
      </c>
      <c r="B344" t="str">
        <f>IF(DSDV!G349&lt;&gt;"",DSDV!G349,"")</f>
        <v/>
      </c>
      <c r="C344" s="237" t="str">
        <f>IF(DSDV!K349&lt;&gt;"",DSDV!K349,"")</f>
        <v/>
      </c>
      <c r="D344" s="417" t="str">
        <f>IF(DSDV!W349&lt;&gt;"",DSDV!W349,"")</f>
        <v/>
      </c>
    </row>
    <row r="345" spans="1:4">
      <c r="A345" t="str">
        <f>IF(DSDV!B350&lt;&gt;"",DSDV!B350,"")</f>
        <v/>
      </c>
      <c r="B345" t="str">
        <f>IF(DSDV!G350&lt;&gt;"",DSDV!G350,"")</f>
        <v/>
      </c>
      <c r="C345" s="237" t="str">
        <f>IF(DSDV!K350&lt;&gt;"",DSDV!K350,"")</f>
        <v/>
      </c>
      <c r="D345" s="417" t="str">
        <f>IF(DSDV!W350&lt;&gt;"",DSDV!W350,"")</f>
        <v/>
      </c>
    </row>
    <row r="346" spans="1:4">
      <c r="A346" t="str">
        <f>IF(DSDV!B351&lt;&gt;"",DSDV!B351,"")</f>
        <v/>
      </c>
      <c r="B346" t="str">
        <f>IF(DSDV!G351&lt;&gt;"",DSDV!G351,"")</f>
        <v/>
      </c>
      <c r="C346" s="237" t="str">
        <f>IF(DSDV!K351&lt;&gt;"",DSDV!K351,"")</f>
        <v/>
      </c>
      <c r="D346" s="417" t="str">
        <f>IF(DSDV!W351&lt;&gt;"",DSDV!W351,"")</f>
        <v/>
      </c>
    </row>
    <row r="347" spans="1:4">
      <c r="A347" t="str">
        <f>IF(DSDV!B352&lt;&gt;"",DSDV!B352,"")</f>
        <v/>
      </c>
      <c r="B347" t="str">
        <f>IF(DSDV!G352&lt;&gt;"",DSDV!G352,"")</f>
        <v/>
      </c>
      <c r="C347" s="237" t="str">
        <f>IF(DSDV!K352&lt;&gt;"",DSDV!K352,"")</f>
        <v/>
      </c>
      <c r="D347" s="417" t="str">
        <f>IF(DSDV!W352&lt;&gt;"",DSDV!W352,"")</f>
        <v/>
      </c>
    </row>
    <row r="348" spans="1:4">
      <c r="A348" t="str">
        <f>IF(DSDV!B353&lt;&gt;"",DSDV!B353,"")</f>
        <v/>
      </c>
      <c r="B348" t="str">
        <f>IF(DSDV!G353&lt;&gt;"",DSDV!G353,"")</f>
        <v/>
      </c>
      <c r="C348" s="237" t="str">
        <f>IF(DSDV!K353&lt;&gt;"",DSDV!K353,"")</f>
        <v/>
      </c>
      <c r="D348" s="417" t="str">
        <f>IF(DSDV!W353&lt;&gt;"",DSDV!W353,"")</f>
        <v/>
      </c>
    </row>
    <row r="349" spans="1:4">
      <c r="A349" t="str">
        <f>IF(DSDV!B354&lt;&gt;"",DSDV!B354,"")</f>
        <v/>
      </c>
      <c r="B349" t="str">
        <f>IF(DSDV!G354&lt;&gt;"",DSDV!G354,"")</f>
        <v/>
      </c>
      <c r="C349" s="237" t="str">
        <f>IF(DSDV!K354&lt;&gt;"",DSDV!K354,"")</f>
        <v/>
      </c>
      <c r="D349" s="417" t="str">
        <f>IF(DSDV!W354&lt;&gt;"",DSDV!W354,"")</f>
        <v/>
      </c>
    </row>
    <row r="350" spans="1:4">
      <c r="A350" t="str">
        <f>IF(DSDV!B355&lt;&gt;"",DSDV!B355,"")</f>
        <v/>
      </c>
      <c r="B350" t="str">
        <f>IF(DSDV!G355&lt;&gt;"",DSDV!G355,"")</f>
        <v/>
      </c>
      <c r="C350" s="237" t="str">
        <f>IF(DSDV!K355&lt;&gt;"",DSDV!K355,"")</f>
        <v/>
      </c>
      <c r="D350" s="417" t="str">
        <f>IF(DSDV!W355&lt;&gt;"",DSDV!W355,"")</f>
        <v/>
      </c>
    </row>
    <row r="351" spans="1:4">
      <c r="A351" t="str">
        <f>IF(DSDV!B356&lt;&gt;"",DSDV!B356,"")</f>
        <v/>
      </c>
      <c r="B351" t="str">
        <f>IF(DSDV!G356&lt;&gt;"",DSDV!G356,"")</f>
        <v/>
      </c>
      <c r="C351" s="237" t="str">
        <f>IF(DSDV!K356&lt;&gt;"",DSDV!K356,"")</f>
        <v/>
      </c>
      <c r="D351" s="417" t="str">
        <f>IF(DSDV!W356&lt;&gt;"",DSDV!W356,"")</f>
        <v/>
      </c>
    </row>
    <row r="352" spans="1:4">
      <c r="A352" t="str">
        <f>IF(DSDV!B357&lt;&gt;"",DSDV!B357,"")</f>
        <v/>
      </c>
      <c r="B352" t="str">
        <f>IF(DSDV!G357&lt;&gt;"",DSDV!G357,"")</f>
        <v/>
      </c>
      <c r="C352" s="237" t="str">
        <f>IF(DSDV!K357&lt;&gt;"",DSDV!K357,"")</f>
        <v/>
      </c>
      <c r="D352" s="417" t="str">
        <f>IF(DSDV!W357&lt;&gt;"",DSDV!W357,"")</f>
        <v/>
      </c>
    </row>
    <row r="353" spans="1:4">
      <c r="A353" t="str">
        <f>IF(DSDV!B358&lt;&gt;"",DSDV!B358,"")</f>
        <v/>
      </c>
      <c r="B353" t="str">
        <f>IF(DSDV!G358&lt;&gt;"",DSDV!G358,"")</f>
        <v/>
      </c>
      <c r="C353" s="237" t="str">
        <f>IF(DSDV!K358&lt;&gt;"",DSDV!K358,"")</f>
        <v/>
      </c>
      <c r="D353" s="417" t="str">
        <f>IF(DSDV!W358&lt;&gt;"",DSDV!W358,"")</f>
        <v/>
      </c>
    </row>
    <row r="354" spans="1:4">
      <c r="A354" t="str">
        <f>IF(DSDV!B359&lt;&gt;"",DSDV!B359,"")</f>
        <v/>
      </c>
      <c r="B354" t="str">
        <f>IF(DSDV!G359&lt;&gt;"",DSDV!G359,"")</f>
        <v/>
      </c>
      <c r="C354" s="237" t="str">
        <f>IF(DSDV!K359&lt;&gt;"",DSDV!K359,"")</f>
        <v/>
      </c>
      <c r="D354" s="417" t="str">
        <f>IF(DSDV!W359&lt;&gt;"",DSDV!W359,"")</f>
        <v/>
      </c>
    </row>
    <row r="355" spans="1:4">
      <c r="A355" t="str">
        <f>IF(DSDV!B360&lt;&gt;"",DSDV!B360,"")</f>
        <v/>
      </c>
      <c r="B355" t="str">
        <f>IF(DSDV!G360&lt;&gt;"",DSDV!G360,"")</f>
        <v/>
      </c>
      <c r="C355" s="237" t="str">
        <f>IF(DSDV!K360&lt;&gt;"",DSDV!K360,"")</f>
        <v/>
      </c>
      <c r="D355" s="417" t="str">
        <f>IF(DSDV!W360&lt;&gt;"",DSDV!W360,"")</f>
        <v/>
      </c>
    </row>
    <row r="356" spans="1:4">
      <c r="A356" t="str">
        <f>IF(DSDV!B361&lt;&gt;"",DSDV!B361,"")</f>
        <v/>
      </c>
      <c r="B356" t="str">
        <f>IF(DSDV!G361&lt;&gt;"",DSDV!G361,"")</f>
        <v/>
      </c>
      <c r="C356" s="237" t="str">
        <f>IF(DSDV!K361&lt;&gt;"",DSDV!K361,"")</f>
        <v/>
      </c>
      <c r="D356" s="417" t="str">
        <f>IF(DSDV!W361&lt;&gt;"",DSDV!W361,"")</f>
        <v/>
      </c>
    </row>
    <row r="357" spans="1:4">
      <c r="A357" t="str">
        <f>IF(DSDV!B362&lt;&gt;"",DSDV!B362,"")</f>
        <v/>
      </c>
      <c r="B357" t="str">
        <f>IF(DSDV!G362&lt;&gt;"",DSDV!G362,"")</f>
        <v/>
      </c>
      <c r="C357" s="237" t="str">
        <f>IF(DSDV!K362&lt;&gt;"",DSDV!K362,"")</f>
        <v/>
      </c>
      <c r="D357" s="417" t="str">
        <f>IF(DSDV!W362&lt;&gt;"",DSDV!W362,"")</f>
        <v/>
      </c>
    </row>
    <row r="358" spans="1:4">
      <c r="A358" t="str">
        <f>IF(DSDV!B363&lt;&gt;"",DSDV!B363,"")</f>
        <v/>
      </c>
      <c r="B358" t="str">
        <f>IF(DSDV!G363&lt;&gt;"",DSDV!G363,"")</f>
        <v/>
      </c>
      <c r="C358" s="237" t="str">
        <f>IF(DSDV!K363&lt;&gt;"",DSDV!K363,"")</f>
        <v/>
      </c>
      <c r="D358" s="417" t="str">
        <f>IF(DSDV!W363&lt;&gt;"",DSDV!W363,"")</f>
        <v/>
      </c>
    </row>
    <row r="359" spans="1:4">
      <c r="A359" t="str">
        <f>IF(DSDV!B364&lt;&gt;"",DSDV!B364,"")</f>
        <v/>
      </c>
      <c r="B359" t="str">
        <f>IF(DSDV!G364&lt;&gt;"",DSDV!G364,"")</f>
        <v/>
      </c>
      <c r="C359" s="237" t="str">
        <f>IF(DSDV!K364&lt;&gt;"",DSDV!K364,"")</f>
        <v/>
      </c>
      <c r="D359" s="417" t="str">
        <f>IF(DSDV!W364&lt;&gt;"",DSDV!W364,"")</f>
        <v/>
      </c>
    </row>
    <row r="360" spans="1:4">
      <c r="A360" t="str">
        <f>IF(DSDV!B365&lt;&gt;"",DSDV!B365,"")</f>
        <v/>
      </c>
      <c r="B360" t="str">
        <f>IF(DSDV!G365&lt;&gt;"",DSDV!G365,"")</f>
        <v/>
      </c>
      <c r="C360" s="237" t="str">
        <f>IF(DSDV!K365&lt;&gt;"",DSDV!K365,"")</f>
        <v/>
      </c>
      <c r="D360" s="417" t="str">
        <f>IF(DSDV!W365&lt;&gt;"",DSDV!W365,"")</f>
        <v/>
      </c>
    </row>
    <row r="361" spans="1:4">
      <c r="A361" t="str">
        <f>IF(DSDV!B366&lt;&gt;"",DSDV!B366,"")</f>
        <v/>
      </c>
      <c r="B361" t="str">
        <f>IF(DSDV!G366&lt;&gt;"",DSDV!G366,"")</f>
        <v/>
      </c>
      <c r="C361" s="237" t="str">
        <f>IF(DSDV!K366&lt;&gt;"",DSDV!K366,"")</f>
        <v/>
      </c>
      <c r="D361" s="417" t="str">
        <f>IF(DSDV!W366&lt;&gt;"",DSDV!W366,"")</f>
        <v/>
      </c>
    </row>
    <row r="362" spans="1:4">
      <c r="A362" t="str">
        <f>IF(DSDV!B367&lt;&gt;"",DSDV!B367,"")</f>
        <v/>
      </c>
      <c r="B362" t="str">
        <f>IF(DSDV!G367&lt;&gt;"",DSDV!G367,"")</f>
        <v/>
      </c>
      <c r="C362" s="237" t="str">
        <f>IF(DSDV!K367&lt;&gt;"",DSDV!K367,"")</f>
        <v/>
      </c>
      <c r="D362" s="417" t="str">
        <f>IF(DSDV!W367&lt;&gt;"",DSDV!W367,"")</f>
        <v/>
      </c>
    </row>
    <row r="363" spans="1:4">
      <c r="A363" t="str">
        <f>IF(DSDV!B368&lt;&gt;"",DSDV!B368,"")</f>
        <v/>
      </c>
      <c r="B363" t="str">
        <f>IF(DSDV!G368&lt;&gt;"",DSDV!G368,"")</f>
        <v/>
      </c>
      <c r="C363" s="237" t="str">
        <f>IF(DSDV!K368&lt;&gt;"",DSDV!K368,"")</f>
        <v/>
      </c>
      <c r="D363" s="417" t="str">
        <f>IF(DSDV!W368&lt;&gt;"",DSDV!W368,"")</f>
        <v/>
      </c>
    </row>
    <row r="364" spans="1:4">
      <c r="A364" t="str">
        <f>IF(DSDV!B369&lt;&gt;"",DSDV!B369,"")</f>
        <v/>
      </c>
      <c r="B364" t="str">
        <f>IF(DSDV!G369&lt;&gt;"",DSDV!G369,"")</f>
        <v/>
      </c>
      <c r="C364" s="237" t="str">
        <f>IF(DSDV!K369&lt;&gt;"",DSDV!K369,"")</f>
        <v/>
      </c>
      <c r="D364" s="417" t="str">
        <f>IF(DSDV!W369&lt;&gt;"",DSDV!W369,"")</f>
        <v/>
      </c>
    </row>
    <row r="365" spans="1:4">
      <c r="A365" t="str">
        <f>IF(DSDV!B370&lt;&gt;"",DSDV!B370,"")</f>
        <v/>
      </c>
      <c r="B365" t="str">
        <f>IF(DSDV!G370&lt;&gt;"",DSDV!G370,"")</f>
        <v/>
      </c>
      <c r="C365" s="237" t="str">
        <f>IF(DSDV!K370&lt;&gt;"",DSDV!K370,"")</f>
        <v/>
      </c>
      <c r="D365" s="417" t="str">
        <f>IF(DSDV!W370&lt;&gt;"",DSDV!W370,"")</f>
        <v/>
      </c>
    </row>
    <row r="366" spans="1:4">
      <c r="A366" t="str">
        <f>IF(DSDV!B371&lt;&gt;"",DSDV!B371,"")</f>
        <v/>
      </c>
      <c r="B366" t="str">
        <f>IF(DSDV!G371&lt;&gt;"",DSDV!G371,"")</f>
        <v/>
      </c>
      <c r="C366" s="237" t="str">
        <f>IF(DSDV!K371&lt;&gt;"",DSDV!K371,"")</f>
        <v/>
      </c>
      <c r="D366" s="417" t="str">
        <f>IF(DSDV!W371&lt;&gt;"",DSDV!W371,"")</f>
        <v/>
      </c>
    </row>
    <row r="367" spans="1:4">
      <c r="A367" t="str">
        <f>IF(DSDV!B372&lt;&gt;"",DSDV!B372,"")</f>
        <v/>
      </c>
      <c r="B367" t="str">
        <f>IF(DSDV!G372&lt;&gt;"",DSDV!G372,"")</f>
        <v/>
      </c>
      <c r="C367" s="237" t="str">
        <f>IF(DSDV!K372&lt;&gt;"",DSDV!K372,"")</f>
        <v/>
      </c>
      <c r="D367" s="417" t="str">
        <f>IF(DSDV!W372&lt;&gt;"",DSDV!W372,"")</f>
        <v/>
      </c>
    </row>
    <row r="368" spans="1:4">
      <c r="A368" t="str">
        <f>IF(DSDV!B373&lt;&gt;"",DSDV!B373,"")</f>
        <v/>
      </c>
      <c r="B368" t="str">
        <f>IF(DSDV!G373&lt;&gt;"",DSDV!G373,"")</f>
        <v/>
      </c>
      <c r="C368" s="237" t="str">
        <f>IF(DSDV!K373&lt;&gt;"",DSDV!K373,"")</f>
        <v/>
      </c>
      <c r="D368" s="417" t="str">
        <f>IF(DSDV!W373&lt;&gt;"",DSDV!W373,"")</f>
        <v/>
      </c>
    </row>
    <row r="369" spans="1:4">
      <c r="A369" t="str">
        <f>IF(DSDV!B374&lt;&gt;"",DSDV!B374,"")</f>
        <v/>
      </c>
      <c r="B369" t="str">
        <f>IF(DSDV!G374&lt;&gt;"",DSDV!G374,"")</f>
        <v/>
      </c>
      <c r="C369" s="237" t="str">
        <f>IF(DSDV!K374&lt;&gt;"",DSDV!K374,"")</f>
        <v/>
      </c>
      <c r="D369" s="417" t="str">
        <f>IF(DSDV!W374&lt;&gt;"",DSDV!W374,"")</f>
        <v/>
      </c>
    </row>
    <row r="370" spans="1:4">
      <c r="A370" t="str">
        <f>IF(DSDV!B375&lt;&gt;"",DSDV!B375,"")</f>
        <v/>
      </c>
      <c r="B370" t="str">
        <f>IF(DSDV!G375&lt;&gt;"",DSDV!G375,"")</f>
        <v/>
      </c>
      <c r="C370" s="237" t="str">
        <f>IF(DSDV!K375&lt;&gt;"",DSDV!K375,"")</f>
        <v/>
      </c>
      <c r="D370" s="417" t="str">
        <f>IF(DSDV!W375&lt;&gt;"",DSDV!W375,"")</f>
        <v/>
      </c>
    </row>
    <row r="371" spans="1:4">
      <c r="A371" t="str">
        <f>IF(DSDV!B376&lt;&gt;"",DSDV!B376,"")</f>
        <v/>
      </c>
      <c r="B371" t="str">
        <f>IF(DSDV!G376&lt;&gt;"",DSDV!G376,"")</f>
        <v/>
      </c>
      <c r="C371" s="237" t="str">
        <f>IF(DSDV!K376&lt;&gt;"",DSDV!K376,"")</f>
        <v/>
      </c>
      <c r="D371" s="417" t="str">
        <f>IF(DSDV!W376&lt;&gt;"",DSDV!W376,"")</f>
        <v/>
      </c>
    </row>
    <row r="372" spans="1:4">
      <c r="A372" t="str">
        <f>IF(DSDV!B377&lt;&gt;"",DSDV!B377,"")</f>
        <v/>
      </c>
      <c r="B372" t="str">
        <f>IF(DSDV!G377&lt;&gt;"",DSDV!G377,"")</f>
        <v/>
      </c>
      <c r="C372" s="237" t="str">
        <f>IF(DSDV!K377&lt;&gt;"",DSDV!K377,"")</f>
        <v/>
      </c>
      <c r="D372" s="417" t="str">
        <f>IF(DSDV!W377&lt;&gt;"",DSDV!W377,"")</f>
        <v/>
      </c>
    </row>
    <row r="373" spans="1:4">
      <c r="A373" t="str">
        <f>IF(DSDV!B378&lt;&gt;"",DSDV!B378,"")</f>
        <v/>
      </c>
      <c r="B373" t="str">
        <f>IF(DSDV!G378&lt;&gt;"",DSDV!G378,"")</f>
        <v/>
      </c>
      <c r="C373" s="237" t="str">
        <f>IF(DSDV!K378&lt;&gt;"",DSDV!K378,"")</f>
        <v/>
      </c>
      <c r="D373" s="417" t="str">
        <f>IF(DSDV!W378&lt;&gt;"",DSDV!W378,"")</f>
        <v/>
      </c>
    </row>
    <row r="374" spans="1:4">
      <c r="A374" t="str">
        <f>IF(DSDV!B379&lt;&gt;"",DSDV!B379,"")</f>
        <v/>
      </c>
      <c r="B374" t="str">
        <f>IF(DSDV!G379&lt;&gt;"",DSDV!G379,"")</f>
        <v/>
      </c>
      <c r="C374" s="237" t="str">
        <f>IF(DSDV!K379&lt;&gt;"",DSDV!K379,"")</f>
        <v/>
      </c>
      <c r="D374" s="417" t="str">
        <f>IF(DSDV!W379&lt;&gt;"",DSDV!W379,"")</f>
        <v/>
      </c>
    </row>
    <row r="375" spans="1:4">
      <c r="A375" t="str">
        <f>IF(DSDV!B380&lt;&gt;"",DSDV!B380,"")</f>
        <v/>
      </c>
      <c r="B375" t="str">
        <f>IF(DSDV!G380&lt;&gt;"",DSDV!G380,"")</f>
        <v/>
      </c>
      <c r="C375" s="237" t="str">
        <f>IF(DSDV!K380&lt;&gt;"",DSDV!K380,"")</f>
        <v/>
      </c>
      <c r="D375" s="417" t="str">
        <f>IF(DSDV!W380&lt;&gt;"",DSDV!W380,"")</f>
        <v/>
      </c>
    </row>
    <row r="376" spans="1:4">
      <c r="A376" t="str">
        <f>IF(DSDV!B381&lt;&gt;"",DSDV!B381,"")</f>
        <v/>
      </c>
      <c r="B376" t="str">
        <f>IF(DSDV!G381&lt;&gt;"",DSDV!G381,"")</f>
        <v/>
      </c>
      <c r="C376" s="237" t="str">
        <f>IF(DSDV!K381&lt;&gt;"",DSDV!K381,"")</f>
        <v/>
      </c>
      <c r="D376" s="417" t="str">
        <f>IF(DSDV!W381&lt;&gt;"",DSDV!W381,"")</f>
        <v/>
      </c>
    </row>
    <row r="377" spans="1:4">
      <c r="A377" t="str">
        <f>IF(DSDV!B382&lt;&gt;"",DSDV!B382,"")</f>
        <v/>
      </c>
      <c r="B377" t="str">
        <f>IF(DSDV!G382&lt;&gt;"",DSDV!G382,"")</f>
        <v/>
      </c>
      <c r="C377" s="237" t="str">
        <f>IF(DSDV!K382&lt;&gt;"",DSDV!K382,"")</f>
        <v/>
      </c>
      <c r="D377" s="417" t="str">
        <f>IF(DSDV!W382&lt;&gt;"",DSDV!W382,"")</f>
        <v/>
      </c>
    </row>
    <row r="378" spans="1:4">
      <c r="A378" t="str">
        <f>IF(DSDV!B383&lt;&gt;"",DSDV!B383,"")</f>
        <v/>
      </c>
      <c r="B378" t="str">
        <f>IF(DSDV!G383&lt;&gt;"",DSDV!G383,"")</f>
        <v/>
      </c>
      <c r="C378" s="237" t="str">
        <f>IF(DSDV!K383&lt;&gt;"",DSDV!K383,"")</f>
        <v/>
      </c>
      <c r="D378" s="417" t="str">
        <f>IF(DSDV!W383&lt;&gt;"",DSDV!W383,"")</f>
        <v/>
      </c>
    </row>
    <row r="379" spans="1:4">
      <c r="A379" t="str">
        <f>IF(DSDV!B384&lt;&gt;"",DSDV!B384,"")</f>
        <v/>
      </c>
      <c r="B379" t="str">
        <f>IF(DSDV!G384&lt;&gt;"",DSDV!G384,"")</f>
        <v/>
      </c>
      <c r="C379" s="237" t="str">
        <f>IF(DSDV!K384&lt;&gt;"",DSDV!K384,"")</f>
        <v/>
      </c>
      <c r="D379" s="417" t="str">
        <f>IF(DSDV!W384&lt;&gt;"",DSDV!W384,"")</f>
        <v/>
      </c>
    </row>
    <row r="380" spans="1:4">
      <c r="A380" t="str">
        <f>IF(DSDV!B385&lt;&gt;"",DSDV!B385,"")</f>
        <v/>
      </c>
      <c r="B380" t="str">
        <f>IF(DSDV!G385&lt;&gt;"",DSDV!G385,"")</f>
        <v/>
      </c>
      <c r="C380" s="237" t="str">
        <f>IF(DSDV!K385&lt;&gt;"",DSDV!K385,"")</f>
        <v/>
      </c>
      <c r="D380" s="417" t="str">
        <f>IF(DSDV!W385&lt;&gt;"",DSDV!W385,"")</f>
        <v/>
      </c>
    </row>
    <row r="381" spans="1:4">
      <c r="A381" t="str">
        <f>IF(DSDV!B386&lt;&gt;"",DSDV!B386,"")</f>
        <v/>
      </c>
      <c r="B381" t="str">
        <f>IF(DSDV!G386&lt;&gt;"",DSDV!G386,"")</f>
        <v/>
      </c>
      <c r="C381" s="237" t="str">
        <f>IF(DSDV!K386&lt;&gt;"",DSDV!K386,"")</f>
        <v/>
      </c>
      <c r="D381" s="417" t="str">
        <f>IF(DSDV!W386&lt;&gt;"",DSDV!W386,"")</f>
        <v/>
      </c>
    </row>
    <row r="382" spans="1:4">
      <c r="A382" t="str">
        <f>IF(DSDV!B387&lt;&gt;"",DSDV!B387,"")</f>
        <v/>
      </c>
      <c r="B382" t="str">
        <f>IF(DSDV!G387&lt;&gt;"",DSDV!G387,"")</f>
        <v/>
      </c>
      <c r="C382" s="237" t="str">
        <f>IF(DSDV!K387&lt;&gt;"",DSDV!K387,"")</f>
        <v/>
      </c>
      <c r="D382" s="417" t="str">
        <f>IF(DSDV!W387&lt;&gt;"",DSDV!W387,"")</f>
        <v/>
      </c>
    </row>
    <row r="383" spans="1:4">
      <c r="A383" t="str">
        <f>IF(DSDV!B388&lt;&gt;"",DSDV!B388,"")</f>
        <v/>
      </c>
      <c r="B383" t="str">
        <f>IF(DSDV!G388&lt;&gt;"",DSDV!G388,"")</f>
        <v/>
      </c>
      <c r="C383" s="237" t="str">
        <f>IF(DSDV!K388&lt;&gt;"",DSDV!K388,"")</f>
        <v/>
      </c>
      <c r="D383" s="417" t="str">
        <f>IF(DSDV!W388&lt;&gt;"",DSDV!W388,"")</f>
        <v/>
      </c>
    </row>
    <row r="384" spans="1:4">
      <c r="A384" t="str">
        <f>IF(DSDV!B389&lt;&gt;"",DSDV!B389,"")</f>
        <v/>
      </c>
      <c r="B384" t="str">
        <f>IF(DSDV!G389&lt;&gt;"",DSDV!G389,"")</f>
        <v/>
      </c>
      <c r="C384" s="237" t="str">
        <f>IF(DSDV!K389&lt;&gt;"",DSDV!K389,"")</f>
        <v/>
      </c>
      <c r="D384" s="417" t="str">
        <f>IF(DSDV!W389&lt;&gt;"",DSDV!W389,"")</f>
        <v/>
      </c>
    </row>
    <row r="385" spans="1:4">
      <c r="A385" t="str">
        <f>IF(DSDV!B390&lt;&gt;"",DSDV!B390,"")</f>
        <v/>
      </c>
      <c r="B385" t="str">
        <f>IF(DSDV!G390&lt;&gt;"",DSDV!G390,"")</f>
        <v/>
      </c>
      <c r="C385" s="237" t="str">
        <f>IF(DSDV!K390&lt;&gt;"",DSDV!K390,"")</f>
        <v/>
      </c>
      <c r="D385" s="417" t="str">
        <f>IF(DSDV!W390&lt;&gt;"",DSDV!W390,"")</f>
        <v/>
      </c>
    </row>
    <row r="386" spans="1:4">
      <c r="A386" t="str">
        <f>IF(DSDV!B391&lt;&gt;"",DSDV!B391,"")</f>
        <v/>
      </c>
      <c r="B386" t="str">
        <f>IF(DSDV!G391&lt;&gt;"",DSDV!G391,"")</f>
        <v/>
      </c>
      <c r="C386" s="237" t="str">
        <f>IF(DSDV!K391&lt;&gt;"",DSDV!K391,"")</f>
        <v/>
      </c>
      <c r="D386" s="417" t="str">
        <f>IF(DSDV!W391&lt;&gt;"",DSDV!W391,"")</f>
        <v/>
      </c>
    </row>
    <row r="387" spans="1:4">
      <c r="A387" t="str">
        <f>IF(DSDV!B392&lt;&gt;"",DSDV!B392,"")</f>
        <v/>
      </c>
      <c r="B387" t="str">
        <f>IF(DSDV!G392&lt;&gt;"",DSDV!G392,"")</f>
        <v/>
      </c>
      <c r="C387" s="237" t="str">
        <f>IF(DSDV!K392&lt;&gt;"",DSDV!K392,"")</f>
        <v/>
      </c>
      <c r="D387" s="417" t="str">
        <f>IF(DSDV!W392&lt;&gt;"",DSDV!W392,"")</f>
        <v/>
      </c>
    </row>
    <row r="388" spans="1:4">
      <c r="A388" t="str">
        <f>IF(DSDV!B393&lt;&gt;"",DSDV!B393,"")</f>
        <v/>
      </c>
      <c r="B388" t="str">
        <f>IF(DSDV!G393&lt;&gt;"",DSDV!G393,"")</f>
        <v/>
      </c>
      <c r="C388" s="237" t="str">
        <f>IF(DSDV!K393&lt;&gt;"",DSDV!K393,"")</f>
        <v/>
      </c>
      <c r="D388" s="417" t="str">
        <f>IF(DSDV!W393&lt;&gt;"",DSDV!W393,"")</f>
        <v/>
      </c>
    </row>
    <row r="389" spans="1:4">
      <c r="A389" t="str">
        <f>IF(DSDV!B394&lt;&gt;"",DSDV!B394,"")</f>
        <v/>
      </c>
      <c r="B389" t="str">
        <f>IF(DSDV!G394&lt;&gt;"",DSDV!G394,"")</f>
        <v/>
      </c>
      <c r="C389" s="237" t="str">
        <f>IF(DSDV!K394&lt;&gt;"",DSDV!K394,"")</f>
        <v/>
      </c>
      <c r="D389" s="417" t="str">
        <f>IF(DSDV!W394&lt;&gt;"",DSDV!W394,"")</f>
        <v/>
      </c>
    </row>
    <row r="390" spans="1:4">
      <c r="A390" t="str">
        <f>IF(DSDV!B395&lt;&gt;"",DSDV!B395,"")</f>
        <v/>
      </c>
      <c r="B390" t="str">
        <f>IF(DSDV!G395&lt;&gt;"",DSDV!G395,"")</f>
        <v/>
      </c>
      <c r="C390" s="237" t="str">
        <f>IF(DSDV!K395&lt;&gt;"",DSDV!K395,"")</f>
        <v/>
      </c>
      <c r="D390" s="417" t="str">
        <f>IF(DSDV!W395&lt;&gt;"",DSDV!W395,"")</f>
        <v/>
      </c>
    </row>
    <row r="391" spans="1:4">
      <c r="A391" t="str">
        <f>IF(DSDV!B396&lt;&gt;"",DSDV!B396,"")</f>
        <v/>
      </c>
      <c r="B391" t="str">
        <f>IF(DSDV!G396&lt;&gt;"",DSDV!G396,"")</f>
        <v/>
      </c>
      <c r="C391" s="237" t="str">
        <f>IF(DSDV!K396&lt;&gt;"",DSDV!K396,"")</f>
        <v/>
      </c>
      <c r="D391" s="417" t="str">
        <f>IF(DSDV!W396&lt;&gt;"",DSDV!W396,"")</f>
        <v/>
      </c>
    </row>
    <row r="392" spans="1:4">
      <c r="A392" t="str">
        <f>IF(DSDV!B397&lt;&gt;"",DSDV!B397,"")</f>
        <v/>
      </c>
      <c r="B392" t="str">
        <f>IF(DSDV!G397&lt;&gt;"",DSDV!G397,"")</f>
        <v/>
      </c>
      <c r="C392" s="237" t="str">
        <f>IF(DSDV!K397&lt;&gt;"",DSDV!K397,"")</f>
        <v/>
      </c>
      <c r="D392" s="417" t="str">
        <f>IF(DSDV!W397&lt;&gt;"",DSDV!W397,"")</f>
        <v/>
      </c>
    </row>
    <row r="393" spans="1:4">
      <c r="A393" t="str">
        <f>IF(DSDV!B398&lt;&gt;"",DSDV!B398,"")</f>
        <v/>
      </c>
      <c r="B393" t="str">
        <f>IF(DSDV!G398&lt;&gt;"",DSDV!G398,"")</f>
        <v/>
      </c>
      <c r="C393" s="237" t="str">
        <f>IF(DSDV!K398&lt;&gt;"",DSDV!K398,"")</f>
        <v/>
      </c>
      <c r="D393" s="417" t="str">
        <f>IF(DSDV!W398&lt;&gt;"",DSDV!W398,"")</f>
        <v/>
      </c>
    </row>
    <row r="394" spans="1:4">
      <c r="A394" t="str">
        <f>IF(DSDV!B399&lt;&gt;"",DSDV!B399,"")</f>
        <v/>
      </c>
      <c r="B394" t="str">
        <f>IF(DSDV!G399&lt;&gt;"",DSDV!G399,"")</f>
        <v/>
      </c>
      <c r="C394" s="237" t="str">
        <f>IF(DSDV!K399&lt;&gt;"",DSDV!K399,"")</f>
        <v/>
      </c>
      <c r="D394" s="417" t="str">
        <f>IF(DSDV!W399&lt;&gt;"",DSDV!W399,"")</f>
        <v/>
      </c>
    </row>
    <row r="395" spans="1:4">
      <c r="A395" t="str">
        <f>IF(DSDV!B400&lt;&gt;"",DSDV!B400,"")</f>
        <v/>
      </c>
      <c r="B395" t="str">
        <f>IF(DSDV!G400&lt;&gt;"",DSDV!G400,"")</f>
        <v/>
      </c>
      <c r="C395" s="237" t="str">
        <f>IF(DSDV!K400&lt;&gt;"",DSDV!K400,"")</f>
        <v/>
      </c>
      <c r="D395" s="417" t="str">
        <f>IF(DSDV!W400&lt;&gt;"",DSDV!W400,"")</f>
        <v/>
      </c>
    </row>
    <row r="396" spans="1:4">
      <c r="A396" t="str">
        <f>IF(DSDV!B401&lt;&gt;"",DSDV!B401,"")</f>
        <v/>
      </c>
      <c r="B396" t="str">
        <f>IF(DSDV!G401&lt;&gt;"",DSDV!G401,"")</f>
        <v/>
      </c>
      <c r="C396" s="237" t="str">
        <f>IF(DSDV!K401&lt;&gt;"",DSDV!K401,"")</f>
        <v/>
      </c>
      <c r="D396" s="417" t="str">
        <f>IF(DSDV!W401&lt;&gt;"",DSDV!W401,"")</f>
        <v/>
      </c>
    </row>
    <row r="397" spans="1:4">
      <c r="A397" t="str">
        <f>IF(DSDV!B402&lt;&gt;"",DSDV!B402,"")</f>
        <v/>
      </c>
      <c r="B397" t="str">
        <f>IF(DSDV!G402&lt;&gt;"",DSDV!G402,"")</f>
        <v/>
      </c>
      <c r="C397" s="237" t="str">
        <f>IF(DSDV!K402&lt;&gt;"",DSDV!K402,"")</f>
        <v/>
      </c>
      <c r="D397" s="417" t="str">
        <f>IF(DSDV!W402&lt;&gt;"",DSDV!W402,"")</f>
        <v/>
      </c>
    </row>
    <row r="398" spans="1:4">
      <c r="A398" t="str">
        <f>IF(DSDV!B403&lt;&gt;"",DSDV!B403,"")</f>
        <v/>
      </c>
      <c r="B398" t="str">
        <f>IF(DSDV!G403&lt;&gt;"",DSDV!G403,"")</f>
        <v/>
      </c>
      <c r="C398" s="237" t="str">
        <f>IF(DSDV!K403&lt;&gt;"",DSDV!K403,"")</f>
        <v/>
      </c>
      <c r="D398" s="417" t="str">
        <f>IF(DSDV!W403&lt;&gt;"",DSDV!W403,"")</f>
        <v/>
      </c>
    </row>
    <row r="399" spans="1:4">
      <c r="A399" t="str">
        <f>IF(DSDV!B404&lt;&gt;"",DSDV!B404,"")</f>
        <v/>
      </c>
      <c r="B399" t="str">
        <f>IF(DSDV!G404&lt;&gt;"",DSDV!G404,"")</f>
        <v/>
      </c>
      <c r="C399" s="237" t="str">
        <f>IF(DSDV!K404&lt;&gt;"",DSDV!K404,"")</f>
        <v/>
      </c>
      <c r="D399" s="417" t="str">
        <f>IF(DSDV!W404&lt;&gt;"",DSDV!W404,"")</f>
        <v/>
      </c>
    </row>
    <row r="400" spans="1:4">
      <c r="A400" t="str">
        <f>IF(DSDV!B405&lt;&gt;"",DSDV!B405,"")</f>
        <v/>
      </c>
      <c r="B400" t="str">
        <f>IF(DSDV!G405&lt;&gt;"",DSDV!G405,"")</f>
        <v/>
      </c>
      <c r="C400" s="237" t="str">
        <f>IF(DSDV!K405&lt;&gt;"",DSDV!K405,"")</f>
        <v/>
      </c>
      <c r="D400" s="417" t="str">
        <f>IF(DSDV!W405&lt;&gt;"",DSDV!W405,"")</f>
        <v/>
      </c>
    </row>
    <row r="401" spans="1:4">
      <c r="A401" t="str">
        <f>IF(DSDV!B406&lt;&gt;"",DSDV!B406,"")</f>
        <v/>
      </c>
      <c r="B401" t="str">
        <f>IF(DSDV!G406&lt;&gt;"",DSDV!G406,"")</f>
        <v/>
      </c>
      <c r="C401" s="237" t="str">
        <f>IF(DSDV!K406&lt;&gt;"",DSDV!K406,"")</f>
        <v/>
      </c>
      <c r="D401" s="417" t="str">
        <f>IF(DSDV!W406&lt;&gt;"",DSDV!W406,"")</f>
        <v/>
      </c>
    </row>
    <row r="402" spans="1:4">
      <c r="A402" t="str">
        <f>IF(DSDV!B407&lt;&gt;"",DSDV!B407,"")</f>
        <v/>
      </c>
      <c r="B402" t="str">
        <f>IF(DSDV!G407&lt;&gt;"",DSDV!G407,"")</f>
        <v/>
      </c>
      <c r="C402" s="237" t="str">
        <f>IF(DSDV!K407&lt;&gt;"",DSDV!K407,"")</f>
        <v/>
      </c>
      <c r="D402" s="417" t="str">
        <f>IF(DSDV!W407&lt;&gt;"",DSDV!W407,"")</f>
        <v/>
      </c>
    </row>
    <row r="403" spans="1:4">
      <c r="A403" t="str">
        <f>IF(DSDV!B408&lt;&gt;"",DSDV!B408,"")</f>
        <v/>
      </c>
      <c r="B403" t="str">
        <f>IF(DSDV!G408&lt;&gt;"",DSDV!G408,"")</f>
        <v/>
      </c>
      <c r="C403" s="237" t="str">
        <f>IF(DSDV!K408&lt;&gt;"",DSDV!K408,"")</f>
        <v/>
      </c>
      <c r="D403" s="417" t="str">
        <f>IF(DSDV!W408&lt;&gt;"",DSDV!W408,"")</f>
        <v/>
      </c>
    </row>
    <row r="404" spans="1:4">
      <c r="A404" t="str">
        <f>IF(DSDV!B409&lt;&gt;"",DSDV!B409,"")</f>
        <v/>
      </c>
      <c r="B404" t="str">
        <f>IF(DSDV!G409&lt;&gt;"",DSDV!G409,"")</f>
        <v/>
      </c>
      <c r="C404" s="237" t="str">
        <f>IF(DSDV!K409&lt;&gt;"",DSDV!K409,"")</f>
        <v/>
      </c>
      <c r="D404" s="417" t="str">
        <f>IF(DSDV!W409&lt;&gt;"",DSDV!W409,"")</f>
        <v/>
      </c>
    </row>
    <row r="405" spans="1:4">
      <c r="A405" t="str">
        <f>IF(DSDV!B410&lt;&gt;"",DSDV!B410,"")</f>
        <v/>
      </c>
      <c r="B405" t="str">
        <f>IF(DSDV!G410&lt;&gt;"",DSDV!G410,"")</f>
        <v/>
      </c>
      <c r="C405" s="237" t="str">
        <f>IF(DSDV!K410&lt;&gt;"",DSDV!K410,"")</f>
        <v/>
      </c>
      <c r="D405" s="417" t="str">
        <f>IF(DSDV!W410&lt;&gt;"",DSDV!W410,"")</f>
        <v/>
      </c>
    </row>
    <row r="406" spans="1:4">
      <c r="A406" t="str">
        <f>IF(DSDV!B411&lt;&gt;"",DSDV!B411,"")</f>
        <v/>
      </c>
      <c r="B406" t="str">
        <f>IF(DSDV!G411&lt;&gt;"",DSDV!G411,"")</f>
        <v/>
      </c>
      <c r="C406" s="237" t="str">
        <f>IF(DSDV!K411&lt;&gt;"",DSDV!K411,"")</f>
        <v/>
      </c>
      <c r="D406" s="417" t="str">
        <f>IF(DSDV!W411&lt;&gt;"",DSDV!W411,"")</f>
        <v/>
      </c>
    </row>
    <row r="407" spans="1:4">
      <c r="A407" t="str">
        <f>IF(DSDV!B412&lt;&gt;"",DSDV!B412,"")</f>
        <v/>
      </c>
      <c r="B407" t="str">
        <f>IF(DSDV!G412&lt;&gt;"",DSDV!G412,"")</f>
        <v/>
      </c>
      <c r="C407" s="237" t="str">
        <f>IF(DSDV!K412&lt;&gt;"",DSDV!K412,"")</f>
        <v/>
      </c>
      <c r="D407" s="417" t="str">
        <f>IF(DSDV!W412&lt;&gt;"",DSDV!W412,"")</f>
        <v/>
      </c>
    </row>
    <row r="408" spans="1:4">
      <c r="A408" t="str">
        <f>IF(DSDV!B413&lt;&gt;"",DSDV!B413,"")</f>
        <v/>
      </c>
      <c r="B408" t="str">
        <f>IF(DSDV!G413&lt;&gt;"",DSDV!G413,"")</f>
        <v/>
      </c>
      <c r="C408" s="237" t="str">
        <f>IF(DSDV!K413&lt;&gt;"",DSDV!K413,"")</f>
        <v/>
      </c>
      <c r="D408" s="417" t="str">
        <f>IF(DSDV!W413&lt;&gt;"",DSDV!W413,"")</f>
        <v/>
      </c>
    </row>
    <row r="409" spans="1:4">
      <c r="A409" t="str">
        <f>IF(DSDV!B414&lt;&gt;"",DSDV!B414,"")</f>
        <v/>
      </c>
      <c r="B409" t="str">
        <f>IF(DSDV!G414&lt;&gt;"",DSDV!G414,"")</f>
        <v/>
      </c>
      <c r="C409" s="237" t="str">
        <f>IF(DSDV!K414&lt;&gt;"",DSDV!K414,"")</f>
        <v/>
      </c>
      <c r="D409" s="417" t="str">
        <f>IF(DSDV!W414&lt;&gt;"",DSDV!W414,"")</f>
        <v/>
      </c>
    </row>
    <row r="410" spans="1:4">
      <c r="A410" t="str">
        <f>IF(DSDV!B415&lt;&gt;"",DSDV!B415,"")</f>
        <v/>
      </c>
      <c r="B410" t="str">
        <f>IF(DSDV!G415&lt;&gt;"",DSDV!G415,"")</f>
        <v/>
      </c>
      <c r="C410" s="237" t="str">
        <f>IF(DSDV!K415&lt;&gt;"",DSDV!K415,"")</f>
        <v/>
      </c>
      <c r="D410" s="417" t="str">
        <f>IF(DSDV!W415&lt;&gt;"",DSDV!W415,"")</f>
        <v/>
      </c>
    </row>
    <row r="411" spans="1:4">
      <c r="A411" t="str">
        <f>IF(DSDV!B416&lt;&gt;"",DSDV!B416,"")</f>
        <v/>
      </c>
      <c r="B411" t="str">
        <f>IF(DSDV!G416&lt;&gt;"",DSDV!G416,"")</f>
        <v/>
      </c>
      <c r="C411" s="237" t="str">
        <f>IF(DSDV!K416&lt;&gt;"",DSDV!K416,"")</f>
        <v/>
      </c>
      <c r="D411" s="417" t="str">
        <f>IF(DSDV!W416&lt;&gt;"",DSDV!W416,"")</f>
        <v/>
      </c>
    </row>
    <row r="412" spans="1:4">
      <c r="A412" t="str">
        <f>IF(DSDV!B417&lt;&gt;"",DSDV!B417,"")</f>
        <v/>
      </c>
      <c r="B412" t="str">
        <f>IF(DSDV!G417&lt;&gt;"",DSDV!G417,"")</f>
        <v/>
      </c>
      <c r="C412" s="237" t="str">
        <f>IF(DSDV!K417&lt;&gt;"",DSDV!K417,"")</f>
        <v/>
      </c>
      <c r="D412" s="417" t="str">
        <f>IF(DSDV!W417&lt;&gt;"",DSDV!W417,"")</f>
        <v/>
      </c>
    </row>
    <row r="413" spans="1:4">
      <c r="A413" t="str">
        <f>IF(DSDV!B418&lt;&gt;"",DSDV!B418,"")</f>
        <v/>
      </c>
      <c r="B413" t="str">
        <f>IF(DSDV!G418&lt;&gt;"",DSDV!G418,"")</f>
        <v/>
      </c>
      <c r="C413" s="237" t="str">
        <f>IF(DSDV!K418&lt;&gt;"",DSDV!K418,"")</f>
        <v/>
      </c>
      <c r="D413" s="417" t="str">
        <f>IF(DSDV!W418&lt;&gt;"",DSDV!W418,"")</f>
        <v/>
      </c>
    </row>
    <row r="414" spans="1:4">
      <c r="A414" t="str">
        <f>IF(DSDV!B419&lt;&gt;"",DSDV!B419,"")</f>
        <v/>
      </c>
      <c r="B414" t="str">
        <f>IF(DSDV!G419&lt;&gt;"",DSDV!G419,"")</f>
        <v/>
      </c>
      <c r="C414" s="237" t="str">
        <f>IF(DSDV!K419&lt;&gt;"",DSDV!K419,"")</f>
        <v/>
      </c>
      <c r="D414" s="417" t="str">
        <f>IF(DSDV!W419&lt;&gt;"",DSDV!W419,"")</f>
        <v/>
      </c>
    </row>
    <row r="415" spans="1:4">
      <c r="A415" t="str">
        <f>IF(DSDV!B420&lt;&gt;"",DSDV!B420,"")</f>
        <v/>
      </c>
      <c r="B415" t="str">
        <f>IF(DSDV!G420&lt;&gt;"",DSDV!G420,"")</f>
        <v/>
      </c>
      <c r="C415" s="237" t="str">
        <f>IF(DSDV!K420&lt;&gt;"",DSDV!K420,"")</f>
        <v/>
      </c>
      <c r="D415" s="417" t="str">
        <f>IF(DSDV!W420&lt;&gt;"",DSDV!W420,"")</f>
        <v/>
      </c>
    </row>
    <row r="416" spans="1:4">
      <c r="A416" t="str">
        <f>IF(DSDV!B421&lt;&gt;"",DSDV!B421,"")</f>
        <v/>
      </c>
      <c r="B416" t="str">
        <f>IF(DSDV!G421&lt;&gt;"",DSDV!G421,"")</f>
        <v/>
      </c>
      <c r="C416" s="237" t="str">
        <f>IF(DSDV!K421&lt;&gt;"",DSDV!K421,"")</f>
        <v/>
      </c>
      <c r="D416" s="417" t="str">
        <f>IF(DSDV!W421&lt;&gt;"",DSDV!W421,"")</f>
        <v/>
      </c>
    </row>
    <row r="417" spans="1:4">
      <c r="A417" t="str">
        <f>IF(DSDV!B422&lt;&gt;"",DSDV!B422,"")</f>
        <v/>
      </c>
      <c r="B417" t="str">
        <f>IF(DSDV!G422&lt;&gt;"",DSDV!G422,"")</f>
        <v/>
      </c>
      <c r="C417" s="237" t="str">
        <f>IF(DSDV!K422&lt;&gt;"",DSDV!K422,"")</f>
        <v/>
      </c>
      <c r="D417" s="417" t="str">
        <f>IF(DSDV!W422&lt;&gt;"",DSDV!W422,"")</f>
        <v/>
      </c>
    </row>
    <row r="418" spans="1:4">
      <c r="A418" t="str">
        <f>IF(DSDV!B423&lt;&gt;"",DSDV!B423,"")</f>
        <v/>
      </c>
      <c r="B418" t="str">
        <f>IF(DSDV!G423&lt;&gt;"",DSDV!G423,"")</f>
        <v/>
      </c>
      <c r="C418" s="237" t="str">
        <f>IF(DSDV!K423&lt;&gt;"",DSDV!K423,"")</f>
        <v/>
      </c>
      <c r="D418" s="417" t="str">
        <f>IF(DSDV!W423&lt;&gt;"",DSDV!W423,"")</f>
        <v/>
      </c>
    </row>
    <row r="419" spans="1:4">
      <c r="A419" t="str">
        <f>IF(DSDV!B424&lt;&gt;"",DSDV!B424,"")</f>
        <v/>
      </c>
      <c r="B419" t="str">
        <f>IF(DSDV!G424&lt;&gt;"",DSDV!G424,"")</f>
        <v/>
      </c>
      <c r="C419" s="237" t="str">
        <f>IF(DSDV!K424&lt;&gt;"",DSDV!K424,"")</f>
        <v/>
      </c>
      <c r="D419" s="417" t="str">
        <f>IF(DSDV!W424&lt;&gt;"",DSDV!W424,"")</f>
        <v/>
      </c>
    </row>
    <row r="420" spans="1:4">
      <c r="A420" t="str">
        <f>IF(DSDV!B425&lt;&gt;"",DSDV!B425,"")</f>
        <v/>
      </c>
      <c r="B420" t="str">
        <f>IF(DSDV!G425&lt;&gt;"",DSDV!G425,"")</f>
        <v/>
      </c>
      <c r="C420" s="237" t="str">
        <f>IF(DSDV!K425&lt;&gt;"",DSDV!K425,"")</f>
        <v/>
      </c>
      <c r="D420" s="417" t="str">
        <f>IF(DSDV!W425&lt;&gt;"",DSDV!W425,"")</f>
        <v/>
      </c>
    </row>
    <row r="421" spans="1:4">
      <c r="A421" t="str">
        <f>IF(DSDV!B426&lt;&gt;"",DSDV!B426,"")</f>
        <v/>
      </c>
      <c r="B421" t="str">
        <f>IF(DSDV!G426&lt;&gt;"",DSDV!G426,"")</f>
        <v/>
      </c>
      <c r="C421" s="237" t="str">
        <f>IF(DSDV!K426&lt;&gt;"",DSDV!K426,"")</f>
        <v/>
      </c>
      <c r="D421" s="417" t="str">
        <f>IF(DSDV!W426&lt;&gt;"",DSDV!W426,"")</f>
        <v/>
      </c>
    </row>
    <row r="422" spans="1:4">
      <c r="A422" t="str">
        <f>IF(DSDV!B427&lt;&gt;"",DSDV!B427,"")</f>
        <v/>
      </c>
      <c r="B422" t="str">
        <f>IF(DSDV!G427&lt;&gt;"",DSDV!G427,"")</f>
        <v/>
      </c>
      <c r="C422" s="237" t="str">
        <f>IF(DSDV!K427&lt;&gt;"",DSDV!K427,"")</f>
        <v/>
      </c>
      <c r="D422" s="417" t="str">
        <f>IF(DSDV!W427&lt;&gt;"",DSDV!W427,"")</f>
        <v/>
      </c>
    </row>
    <row r="423" spans="1:4">
      <c r="A423" t="str">
        <f>IF(DSDV!B428&lt;&gt;"",DSDV!B428,"")</f>
        <v/>
      </c>
      <c r="B423" t="str">
        <f>IF(DSDV!G428&lt;&gt;"",DSDV!G428,"")</f>
        <v/>
      </c>
      <c r="C423" s="237" t="str">
        <f>IF(DSDV!K428&lt;&gt;"",DSDV!K428,"")</f>
        <v/>
      </c>
      <c r="D423" s="417" t="str">
        <f>IF(DSDV!W428&lt;&gt;"",DSDV!W428,"")</f>
        <v/>
      </c>
    </row>
    <row r="424" spans="1:4">
      <c r="A424" t="str">
        <f>IF(DSDV!B429&lt;&gt;"",DSDV!B429,"")</f>
        <v/>
      </c>
      <c r="B424" t="str">
        <f>IF(DSDV!G429&lt;&gt;"",DSDV!G429,"")</f>
        <v/>
      </c>
      <c r="C424" s="237" t="str">
        <f>IF(DSDV!K429&lt;&gt;"",DSDV!K429,"")</f>
        <v/>
      </c>
      <c r="D424" s="417" t="str">
        <f>IF(DSDV!W429&lt;&gt;"",DSDV!W429,"")</f>
        <v/>
      </c>
    </row>
    <row r="425" spans="1:4">
      <c r="A425" t="str">
        <f>IF(DSDV!B430&lt;&gt;"",DSDV!B430,"")</f>
        <v/>
      </c>
      <c r="B425" t="str">
        <f>IF(DSDV!G430&lt;&gt;"",DSDV!G430,"")</f>
        <v/>
      </c>
      <c r="C425" s="237" t="str">
        <f>IF(DSDV!K430&lt;&gt;"",DSDV!K430,"")</f>
        <v/>
      </c>
      <c r="D425" s="417" t="str">
        <f>IF(DSDV!W430&lt;&gt;"",DSDV!W430,"")</f>
        <v/>
      </c>
    </row>
    <row r="426" spans="1:4">
      <c r="A426" t="str">
        <f>IF(DSDV!B431&lt;&gt;"",DSDV!B431,"")</f>
        <v/>
      </c>
      <c r="B426" t="str">
        <f>IF(DSDV!G431&lt;&gt;"",DSDV!G431,"")</f>
        <v/>
      </c>
      <c r="C426" s="237" t="str">
        <f>IF(DSDV!K431&lt;&gt;"",DSDV!K431,"")</f>
        <v/>
      </c>
      <c r="D426" s="417" t="str">
        <f>IF(DSDV!W431&lt;&gt;"",DSDV!W431,"")</f>
        <v/>
      </c>
    </row>
    <row r="427" spans="1:4">
      <c r="A427" t="str">
        <f>IF(DSDV!B432&lt;&gt;"",DSDV!B432,"")</f>
        <v/>
      </c>
      <c r="B427" t="str">
        <f>IF(DSDV!G432&lt;&gt;"",DSDV!G432,"")</f>
        <v/>
      </c>
      <c r="C427" s="237" t="str">
        <f>IF(DSDV!K432&lt;&gt;"",DSDV!K432,"")</f>
        <v/>
      </c>
      <c r="D427" s="417" t="str">
        <f>IF(DSDV!W432&lt;&gt;"",DSDV!W432,"")</f>
        <v/>
      </c>
    </row>
    <row r="428" spans="1:4">
      <c r="A428" t="str">
        <f>IF(DSDV!B433&lt;&gt;"",DSDV!B433,"")</f>
        <v/>
      </c>
      <c r="B428" t="str">
        <f>IF(DSDV!G433&lt;&gt;"",DSDV!G433,"")</f>
        <v/>
      </c>
      <c r="C428" s="237" t="str">
        <f>IF(DSDV!K433&lt;&gt;"",DSDV!K433,"")</f>
        <v/>
      </c>
      <c r="D428" s="417" t="str">
        <f>IF(DSDV!W433&lt;&gt;"",DSDV!W433,"")</f>
        <v/>
      </c>
    </row>
    <row r="429" spans="1:4">
      <c r="A429" t="str">
        <f>IF(DSDV!B434&lt;&gt;"",DSDV!B434,"")</f>
        <v/>
      </c>
      <c r="B429" t="str">
        <f>IF(DSDV!G434&lt;&gt;"",DSDV!G434,"")</f>
        <v/>
      </c>
      <c r="C429" s="237" t="str">
        <f>IF(DSDV!K434&lt;&gt;"",DSDV!K434,"")</f>
        <v/>
      </c>
      <c r="D429" s="417" t="str">
        <f>IF(DSDV!W434&lt;&gt;"",DSDV!W434,"")</f>
        <v/>
      </c>
    </row>
    <row r="430" spans="1:4">
      <c r="A430" t="str">
        <f>IF(DSDV!B435&lt;&gt;"",DSDV!B435,"")</f>
        <v/>
      </c>
      <c r="B430" t="str">
        <f>IF(DSDV!G435&lt;&gt;"",DSDV!G435,"")</f>
        <v/>
      </c>
      <c r="C430" s="237" t="str">
        <f>IF(DSDV!K435&lt;&gt;"",DSDV!K435,"")</f>
        <v/>
      </c>
      <c r="D430" s="417" t="str">
        <f>IF(DSDV!W435&lt;&gt;"",DSDV!W435,"")</f>
        <v/>
      </c>
    </row>
    <row r="431" spans="1:4">
      <c r="A431" t="str">
        <f>IF(DSDV!B436&lt;&gt;"",DSDV!B436,"")</f>
        <v/>
      </c>
      <c r="B431" t="str">
        <f>IF(DSDV!G436&lt;&gt;"",DSDV!G436,"")</f>
        <v/>
      </c>
      <c r="C431" s="237" t="str">
        <f>IF(DSDV!K436&lt;&gt;"",DSDV!K436,"")</f>
        <v/>
      </c>
      <c r="D431" s="417" t="str">
        <f>IF(DSDV!W436&lt;&gt;"",DSDV!W436,"")</f>
        <v/>
      </c>
    </row>
    <row r="432" spans="1:4">
      <c r="A432" t="str">
        <f>IF(DSDV!B437&lt;&gt;"",DSDV!B437,"")</f>
        <v/>
      </c>
      <c r="B432" t="str">
        <f>IF(DSDV!G437&lt;&gt;"",DSDV!G437,"")</f>
        <v/>
      </c>
      <c r="C432" s="237" t="str">
        <f>IF(DSDV!K437&lt;&gt;"",DSDV!K437,"")</f>
        <v/>
      </c>
      <c r="D432" s="417" t="str">
        <f>IF(DSDV!W437&lt;&gt;"",DSDV!W437,"")</f>
        <v/>
      </c>
    </row>
    <row r="433" spans="1:4">
      <c r="A433" t="str">
        <f>IF(DSDV!B438&lt;&gt;"",DSDV!B438,"")</f>
        <v/>
      </c>
      <c r="B433" t="str">
        <f>IF(DSDV!G438&lt;&gt;"",DSDV!G438,"")</f>
        <v/>
      </c>
      <c r="C433" s="237" t="str">
        <f>IF(DSDV!K438&lt;&gt;"",DSDV!K438,"")</f>
        <v/>
      </c>
      <c r="D433" s="417" t="str">
        <f>IF(DSDV!W438&lt;&gt;"",DSDV!W438,"")</f>
        <v/>
      </c>
    </row>
    <row r="434" spans="1:4">
      <c r="A434" t="str">
        <f>IF(DSDV!B439&lt;&gt;"",DSDV!B439,"")</f>
        <v/>
      </c>
      <c r="B434" t="str">
        <f>IF(DSDV!G439&lt;&gt;"",DSDV!G439,"")</f>
        <v/>
      </c>
      <c r="C434" s="237" t="str">
        <f>IF(DSDV!K439&lt;&gt;"",DSDV!K439,"")</f>
        <v/>
      </c>
      <c r="D434" s="417" t="str">
        <f>IF(DSDV!W439&lt;&gt;"",DSDV!W439,"")</f>
        <v/>
      </c>
    </row>
    <row r="435" spans="1:4">
      <c r="A435" t="str">
        <f>IF(DSDV!B440&lt;&gt;"",DSDV!B440,"")</f>
        <v/>
      </c>
      <c r="B435" t="str">
        <f>IF(DSDV!G440&lt;&gt;"",DSDV!G440,"")</f>
        <v/>
      </c>
      <c r="C435" s="237" t="str">
        <f>IF(DSDV!K440&lt;&gt;"",DSDV!K440,"")</f>
        <v/>
      </c>
      <c r="D435" s="417" t="str">
        <f>IF(DSDV!W440&lt;&gt;"",DSDV!W440,"")</f>
        <v/>
      </c>
    </row>
    <row r="436" spans="1:4">
      <c r="A436" t="str">
        <f>IF(DSDV!B441&lt;&gt;"",DSDV!B441,"")</f>
        <v/>
      </c>
      <c r="B436" t="str">
        <f>IF(DSDV!G441&lt;&gt;"",DSDV!G441,"")</f>
        <v/>
      </c>
      <c r="C436" s="237" t="str">
        <f>IF(DSDV!K441&lt;&gt;"",DSDV!K441,"")</f>
        <v/>
      </c>
      <c r="D436" s="417" t="str">
        <f>IF(DSDV!W441&lt;&gt;"",DSDV!W441,"")</f>
        <v/>
      </c>
    </row>
    <row r="437" spans="1:4">
      <c r="A437" t="str">
        <f>IF(DSDV!B442&lt;&gt;"",DSDV!B442,"")</f>
        <v/>
      </c>
      <c r="B437" t="str">
        <f>IF(DSDV!G442&lt;&gt;"",DSDV!G442,"")</f>
        <v/>
      </c>
      <c r="C437" s="237" t="str">
        <f>IF(DSDV!K442&lt;&gt;"",DSDV!K442,"")</f>
        <v/>
      </c>
      <c r="D437" s="417" t="str">
        <f>IF(DSDV!W442&lt;&gt;"",DSDV!W442,"")</f>
        <v/>
      </c>
    </row>
    <row r="438" spans="1:4">
      <c r="A438" t="str">
        <f>IF(DSDV!B443&lt;&gt;"",DSDV!B443,"")</f>
        <v/>
      </c>
      <c r="B438" t="str">
        <f>IF(DSDV!G443&lt;&gt;"",DSDV!G443,"")</f>
        <v/>
      </c>
      <c r="C438" s="237" t="str">
        <f>IF(DSDV!K443&lt;&gt;"",DSDV!K443,"")</f>
        <v/>
      </c>
      <c r="D438" s="417" t="str">
        <f>IF(DSDV!W443&lt;&gt;"",DSDV!W443,"")</f>
        <v/>
      </c>
    </row>
    <row r="439" spans="1:4">
      <c r="A439" t="str">
        <f>IF(DSDV!B444&lt;&gt;"",DSDV!B444,"")</f>
        <v/>
      </c>
      <c r="B439" t="str">
        <f>IF(DSDV!G444&lt;&gt;"",DSDV!G444,"")</f>
        <v/>
      </c>
      <c r="C439" s="237" t="str">
        <f>IF(DSDV!K444&lt;&gt;"",DSDV!K444,"")</f>
        <v/>
      </c>
      <c r="D439" s="417" t="str">
        <f>IF(DSDV!W444&lt;&gt;"",DSDV!W444,"")</f>
        <v/>
      </c>
    </row>
    <row r="440" spans="1:4">
      <c r="A440" t="str">
        <f>IF(DSDV!B445&lt;&gt;"",DSDV!B445,"")</f>
        <v/>
      </c>
      <c r="B440" t="str">
        <f>IF(DSDV!G445&lt;&gt;"",DSDV!G445,"")</f>
        <v/>
      </c>
      <c r="C440" s="237" t="str">
        <f>IF(DSDV!K445&lt;&gt;"",DSDV!K445,"")</f>
        <v/>
      </c>
      <c r="D440" s="417" t="str">
        <f>IF(DSDV!W445&lt;&gt;"",DSDV!W445,"")</f>
        <v/>
      </c>
    </row>
    <row r="441" spans="1:4">
      <c r="A441" t="str">
        <f>IF(DSDV!B446&lt;&gt;"",DSDV!B446,"")</f>
        <v/>
      </c>
      <c r="B441" t="str">
        <f>IF(DSDV!G446&lt;&gt;"",DSDV!G446,"")</f>
        <v/>
      </c>
      <c r="C441" s="237" t="str">
        <f>IF(DSDV!K446&lt;&gt;"",DSDV!K446,"")</f>
        <v/>
      </c>
      <c r="D441" s="417" t="str">
        <f>IF(DSDV!W446&lt;&gt;"",DSDV!W446,"")</f>
        <v/>
      </c>
    </row>
    <row r="442" spans="1:4">
      <c r="A442" t="str">
        <f>IF(DSDV!B447&lt;&gt;"",DSDV!B447,"")</f>
        <v/>
      </c>
      <c r="B442" t="str">
        <f>IF(DSDV!G447&lt;&gt;"",DSDV!G447,"")</f>
        <v/>
      </c>
      <c r="C442" s="237" t="str">
        <f>IF(DSDV!K447&lt;&gt;"",DSDV!K447,"")</f>
        <v/>
      </c>
      <c r="D442" s="417" t="str">
        <f>IF(DSDV!W447&lt;&gt;"",DSDV!W447,"")</f>
        <v/>
      </c>
    </row>
    <row r="443" spans="1:4">
      <c r="A443" t="str">
        <f>IF(DSDV!B448&lt;&gt;"",DSDV!B448,"")</f>
        <v/>
      </c>
      <c r="B443" t="str">
        <f>IF(DSDV!G448&lt;&gt;"",DSDV!G448,"")</f>
        <v/>
      </c>
      <c r="C443" s="237" t="str">
        <f>IF(DSDV!K448&lt;&gt;"",DSDV!K448,"")</f>
        <v/>
      </c>
      <c r="D443" s="417" t="str">
        <f>IF(DSDV!W448&lt;&gt;"",DSDV!W448,"")</f>
        <v/>
      </c>
    </row>
    <row r="444" spans="1:4">
      <c r="A444" t="str">
        <f>IF(DSDV!B449&lt;&gt;"",DSDV!B449,"")</f>
        <v/>
      </c>
      <c r="B444" t="str">
        <f>IF(DSDV!G449&lt;&gt;"",DSDV!G449,"")</f>
        <v/>
      </c>
      <c r="C444" s="237" t="str">
        <f>IF(DSDV!K449&lt;&gt;"",DSDV!K449,"")</f>
        <v/>
      </c>
      <c r="D444" s="417" t="str">
        <f>IF(DSDV!W449&lt;&gt;"",DSDV!W449,"")</f>
        <v/>
      </c>
    </row>
    <row r="445" spans="1:4">
      <c r="A445" t="str">
        <f>IF(DSDV!B450&lt;&gt;"",DSDV!B450,"")</f>
        <v/>
      </c>
      <c r="B445" t="str">
        <f>IF(DSDV!G450&lt;&gt;"",DSDV!G450,"")</f>
        <v/>
      </c>
      <c r="C445" s="237" t="str">
        <f>IF(DSDV!K450&lt;&gt;"",DSDV!K450,"")</f>
        <v/>
      </c>
      <c r="D445" s="417" t="str">
        <f>IF(DSDV!W450&lt;&gt;"",DSDV!W450,"")</f>
        <v/>
      </c>
    </row>
    <row r="446" spans="1:4">
      <c r="A446" t="str">
        <f>IF(DSDV!B451&lt;&gt;"",DSDV!B451,"")</f>
        <v/>
      </c>
      <c r="B446" t="str">
        <f>IF(DSDV!G451&lt;&gt;"",DSDV!G451,"")</f>
        <v/>
      </c>
      <c r="C446" s="237" t="str">
        <f>IF(DSDV!K451&lt;&gt;"",DSDV!K451,"")</f>
        <v/>
      </c>
      <c r="D446" s="417" t="str">
        <f>IF(DSDV!W451&lt;&gt;"",DSDV!W451,"")</f>
        <v/>
      </c>
    </row>
    <row r="447" spans="1:4">
      <c r="A447" t="str">
        <f>IF(DSDV!B452&lt;&gt;"",DSDV!B452,"")</f>
        <v/>
      </c>
      <c r="B447" t="str">
        <f>IF(DSDV!G452&lt;&gt;"",DSDV!G452,"")</f>
        <v/>
      </c>
      <c r="C447" s="237" t="str">
        <f>IF(DSDV!K452&lt;&gt;"",DSDV!K452,"")</f>
        <v/>
      </c>
      <c r="D447" s="417" t="str">
        <f>IF(DSDV!W452&lt;&gt;"",DSDV!W452,"")</f>
        <v/>
      </c>
    </row>
    <row r="448" spans="1:4">
      <c r="A448" t="str">
        <f>IF(DSDV!B453&lt;&gt;"",DSDV!B453,"")</f>
        <v/>
      </c>
      <c r="B448" t="str">
        <f>IF(DSDV!G453&lt;&gt;"",DSDV!G453,"")</f>
        <v/>
      </c>
      <c r="C448" s="237" t="str">
        <f>IF(DSDV!K453&lt;&gt;"",DSDV!K453,"")</f>
        <v/>
      </c>
      <c r="D448" s="417" t="str">
        <f>IF(DSDV!W453&lt;&gt;"",DSDV!W453,"")</f>
        <v/>
      </c>
    </row>
    <row r="449" spans="1:4">
      <c r="A449" t="str">
        <f>IF(DSDV!B454&lt;&gt;"",DSDV!B454,"")</f>
        <v/>
      </c>
      <c r="B449" t="str">
        <f>IF(DSDV!G454&lt;&gt;"",DSDV!G454,"")</f>
        <v/>
      </c>
      <c r="C449" s="237" t="str">
        <f>IF(DSDV!K454&lt;&gt;"",DSDV!K454,"")</f>
        <v/>
      </c>
      <c r="D449" s="417" t="str">
        <f>IF(DSDV!W454&lt;&gt;"",DSDV!W454,"")</f>
        <v/>
      </c>
    </row>
    <row r="450" spans="1:4">
      <c r="A450" t="str">
        <f>IF(DSDV!B455&lt;&gt;"",DSDV!B455,"")</f>
        <v/>
      </c>
      <c r="B450" t="str">
        <f>IF(DSDV!G455&lt;&gt;"",DSDV!G455,"")</f>
        <v/>
      </c>
      <c r="C450" s="237" t="str">
        <f>IF(DSDV!K455&lt;&gt;"",DSDV!K455,"")</f>
        <v/>
      </c>
      <c r="D450" s="417" t="str">
        <f>IF(DSDV!W455&lt;&gt;"",DSDV!W455,"")</f>
        <v/>
      </c>
    </row>
    <row r="451" spans="1:4">
      <c r="A451" t="str">
        <f>IF(DSDV!B456&lt;&gt;"",DSDV!B456,"")</f>
        <v/>
      </c>
      <c r="B451" t="str">
        <f>IF(DSDV!G456&lt;&gt;"",DSDV!G456,"")</f>
        <v/>
      </c>
      <c r="C451" s="237" t="str">
        <f>IF(DSDV!K456&lt;&gt;"",DSDV!K456,"")</f>
        <v/>
      </c>
      <c r="D451" s="417" t="str">
        <f>IF(DSDV!W456&lt;&gt;"",DSDV!W456,"")</f>
        <v/>
      </c>
    </row>
    <row r="452" spans="1:4">
      <c r="A452" t="str">
        <f>IF(DSDV!B457&lt;&gt;"",DSDV!B457,"")</f>
        <v/>
      </c>
      <c r="B452" t="str">
        <f>IF(DSDV!G457&lt;&gt;"",DSDV!G457,"")</f>
        <v/>
      </c>
      <c r="C452" s="237" t="str">
        <f>IF(DSDV!K457&lt;&gt;"",DSDV!K457,"")</f>
        <v/>
      </c>
      <c r="D452" s="417" t="str">
        <f>IF(DSDV!W457&lt;&gt;"",DSDV!W457,"")</f>
        <v/>
      </c>
    </row>
    <row r="453" spans="1:4">
      <c r="A453" t="str">
        <f>IF(DSDV!B458&lt;&gt;"",DSDV!B458,"")</f>
        <v/>
      </c>
      <c r="B453" t="str">
        <f>IF(DSDV!G458&lt;&gt;"",DSDV!G458,"")</f>
        <v/>
      </c>
      <c r="C453" s="237" t="str">
        <f>IF(DSDV!K458&lt;&gt;"",DSDV!K458,"")</f>
        <v/>
      </c>
      <c r="D453" s="417" t="str">
        <f>IF(DSDV!W458&lt;&gt;"",DSDV!W458,"")</f>
        <v/>
      </c>
    </row>
    <row r="454" spans="1:4">
      <c r="A454" t="str">
        <f>IF(DSDV!B459&lt;&gt;"",DSDV!B459,"")</f>
        <v/>
      </c>
      <c r="B454" t="str">
        <f>IF(DSDV!G459&lt;&gt;"",DSDV!G459,"")</f>
        <v/>
      </c>
      <c r="C454" s="237" t="str">
        <f>IF(DSDV!K459&lt;&gt;"",DSDV!K459,"")</f>
        <v/>
      </c>
      <c r="D454" s="417" t="str">
        <f>IF(DSDV!W459&lt;&gt;"",DSDV!W459,"")</f>
        <v/>
      </c>
    </row>
    <row r="455" spans="1:4">
      <c r="A455" t="str">
        <f>IF(DSDV!B460&lt;&gt;"",DSDV!B460,"")</f>
        <v/>
      </c>
      <c r="B455" t="str">
        <f>IF(DSDV!G460&lt;&gt;"",DSDV!G460,"")</f>
        <v/>
      </c>
      <c r="C455" s="237" t="str">
        <f>IF(DSDV!K460&lt;&gt;"",DSDV!K460,"")</f>
        <v/>
      </c>
      <c r="D455" s="417" t="str">
        <f>IF(DSDV!W460&lt;&gt;"",DSDV!W460,"")</f>
        <v/>
      </c>
    </row>
    <row r="456" spans="1:4">
      <c r="A456" t="str">
        <f>IF(DSDV!B461&lt;&gt;"",DSDV!B461,"")</f>
        <v/>
      </c>
      <c r="B456" t="str">
        <f>IF(DSDV!G461&lt;&gt;"",DSDV!G461,"")</f>
        <v/>
      </c>
      <c r="C456" s="237" t="str">
        <f>IF(DSDV!K461&lt;&gt;"",DSDV!K461,"")</f>
        <v/>
      </c>
      <c r="D456" s="417" t="str">
        <f>IF(DSDV!W461&lt;&gt;"",DSDV!W461,"")</f>
        <v/>
      </c>
    </row>
    <row r="457" spans="1:4">
      <c r="A457" t="str">
        <f>IF(DSDV!B462&lt;&gt;"",DSDV!B462,"")</f>
        <v/>
      </c>
      <c r="B457" t="str">
        <f>IF(DSDV!G462&lt;&gt;"",DSDV!G462,"")</f>
        <v/>
      </c>
      <c r="C457" s="237" t="str">
        <f>IF(DSDV!K462&lt;&gt;"",DSDV!K462,"")</f>
        <v/>
      </c>
      <c r="D457" s="417" t="str">
        <f>IF(DSDV!W462&lt;&gt;"",DSDV!W462,"")</f>
        <v/>
      </c>
    </row>
    <row r="458" spans="1:4">
      <c r="A458" t="str">
        <f>IF(DSDV!B463&lt;&gt;"",DSDV!B463,"")</f>
        <v/>
      </c>
      <c r="B458" t="str">
        <f>IF(DSDV!G463&lt;&gt;"",DSDV!G463,"")</f>
        <v/>
      </c>
      <c r="C458" s="237" t="str">
        <f>IF(DSDV!K463&lt;&gt;"",DSDV!K463,"")</f>
        <v/>
      </c>
      <c r="D458" s="417" t="str">
        <f>IF(DSDV!W463&lt;&gt;"",DSDV!W463,"")</f>
        <v/>
      </c>
    </row>
    <row r="459" spans="1:4">
      <c r="A459" t="str">
        <f>IF(DSDV!B464&lt;&gt;"",DSDV!B464,"")</f>
        <v/>
      </c>
      <c r="B459" t="str">
        <f>IF(DSDV!G464&lt;&gt;"",DSDV!G464,"")</f>
        <v/>
      </c>
      <c r="C459" s="237" t="str">
        <f>IF(DSDV!K464&lt;&gt;"",DSDV!K464,"")</f>
        <v/>
      </c>
      <c r="D459" s="417" t="str">
        <f>IF(DSDV!W464&lt;&gt;"",DSDV!W464,"")</f>
        <v/>
      </c>
    </row>
    <row r="460" spans="1:4">
      <c r="A460" t="str">
        <f>IF(DSDV!B465&lt;&gt;"",DSDV!B465,"")</f>
        <v/>
      </c>
      <c r="B460" t="str">
        <f>IF(DSDV!G465&lt;&gt;"",DSDV!G465,"")</f>
        <v/>
      </c>
      <c r="C460" s="237" t="str">
        <f>IF(DSDV!K465&lt;&gt;"",DSDV!K465,"")</f>
        <v/>
      </c>
      <c r="D460" s="417" t="str">
        <f>IF(DSDV!W465&lt;&gt;"",DSDV!W465,"")</f>
        <v/>
      </c>
    </row>
    <row r="461" spans="1:4">
      <c r="A461" t="str">
        <f>IF(DSDV!B466&lt;&gt;"",DSDV!B466,"")</f>
        <v/>
      </c>
      <c r="B461" t="str">
        <f>IF(DSDV!G466&lt;&gt;"",DSDV!G466,"")</f>
        <v/>
      </c>
      <c r="C461" s="237" t="str">
        <f>IF(DSDV!K466&lt;&gt;"",DSDV!K466,"")</f>
        <v/>
      </c>
      <c r="D461" s="417" t="str">
        <f>IF(DSDV!W466&lt;&gt;"",DSDV!W466,"")</f>
        <v/>
      </c>
    </row>
    <row r="462" spans="1:4">
      <c r="A462" t="str">
        <f>IF(DSDV!B467&lt;&gt;"",DSDV!B467,"")</f>
        <v/>
      </c>
      <c r="B462" t="str">
        <f>IF(DSDV!G467&lt;&gt;"",DSDV!G467,"")</f>
        <v/>
      </c>
      <c r="C462" s="237" t="str">
        <f>IF(DSDV!K467&lt;&gt;"",DSDV!K467,"")</f>
        <v/>
      </c>
      <c r="D462" s="417" t="str">
        <f>IF(DSDV!W467&lt;&gt;"",DSDV!W467,"")</f>
        <v/>
      </c>
    </row>
    <row r="463" spans="1:4">
      <c r="A463" t="str">
        <f>IF(DSDV!B468&lt;&gt;"",DSDV!B468,"")</f>
        <v/>
      </c>
      <c r="B463" t="str">
        <f>IF(DSDV!G468&lt;&gt;"",DSDV!G468,"")</f>
        <v/>
      </c>
      <c r="C463" s="237" t="str">
        <f>IF(DSDV!K468&lt;&gt;"",DSDV!K468,"")</f>
        <v/>
      </c>
      <c r="D463" s="417" t="str">
        <f>IF(DSDV!W468&lt;&gt;"",DSDV!W468,"")</f>
        <v/>
      </c>
    </row>
    <row r="464" spans="1:4">
      <c r="A464" t="str">
        <f>IF(DSDV!B469&lt;&gt;"",DSDV!B469,"")</f>
        <v/>
      </c>
      <c r="B464" t="str">
        <f>IF(DSDV!G469&lt;&gt;"",DSDV!G469,"")</f>
        <v/>
      </c>
      <c r="C464" s="237" t="str">
        <f>IF(DSDV!K469&lt;&gt;"",DSDV!K469,"")</f>
        <v/>
      </c>
      <c r="D464" s="417" t="str">
        <f>IF(DSDV!W469&lt;&gt;"",DSDV!W469,"")</f>
        <v/>
      </c>
    </row>
    <row r="465" spans="1:4">
      <c r="A465" t="str">
        <f>IF(DSDV!B470&lt;&gt;"",DSDV!B470,"")</f>
        <v/>
      </c>
      <c r="B465" t="str">
        <f>IF(DSDV!G470&lt;&gt;"",DSDV!G470,"")</f>
        <v/>
      </c>
      <c r="C465" s="237" t="str">
        <f>IF(DSDV!K470&lt;&gt;"",DSDV!K470,"")</f>
        <v/>
      </c>
      <c r="D465" s="417" t="str">
        <f>IF(DSDV!W470&lt;&gt;"",DSDV!W470,"")</f>
        <v/>
      </c>
    </row>
    <row r="466" spans="1:4">
      <c r="A466" t="str">
        <f>IF(DSDV!B471&lt;&gt;"",DSDV!B471,"")</f>
        <v/>
      </c>
      <c r="B466" t="str">
        <f>IF(DSDV!G471&lt;&gt;"",DSDV!G471,"")</f>
        <v/>
      </c>
      <c r="C466" s="237" t="str">
        <f>IF(DSDV!K471&lt;&gt;"",DSDV!K471,"")</f>
        <v/>
      </c>
      <c r="D466" s="417" t="str">
        <f>IF(DSDV!W471&lt;&gt;"",DSDV!W471,"")</f>
        <v/>
      </c>
    </row>
    <row r="467" spans="1:4">
      <c r="A467" t="str">
        <f>IF(DSDV!B472&lt;&gt;"",DSDV!B472,"")</f>
        <v/>
      </c>
      <c r="B467" t="str">
        <f>IF(DSDV!G472&lt;&gt;"",DSDV!G472,"")</f>
        <v/>
      </c>
      <c r="C467" s="237" t="str">
        <f>IF(DSDV!K472&lt;&gt;"",DSDV!K472,"")</f>
        <v/>
      </c>
      <c r="D467" s="417" t="str">
        <f>IF(DSDV!W472&lt;&gt;"",DSDV!W472,"")</f>
        <v/>
      </c>
    </row>
    <row r="468" spans="1:4">
      <c r="A468" t="str">
        <f>IF(DSDV!B473&lt;&gt;"",DSDV!B473,"")</f>
        <v/>
      </c>
      <c r="B468" t="str">
        <f>IF(DSDV!G473&lt;&gt;"",DSDV!G473,"")</f>
        <v/>
      </c>
      <c r="C468" s="237" t="str">
        <f>IF(DSDV!K473&lt;&gt;"",DSDV!K473,"")</f>
        <v/>
      </c>
      <c r="D468" s="417" t="str">
        <f>IF(DSDV!W473&lt;&gt;"",DSDV!W473,"")</f>
        <v/>
      </c>
    </row>
    <row r="469" spans="1:4">
      <c r="A469" t="str">
        <f>IF(DSDV!B474&lt;&gt;"",DSDV!B474,"")</f>
        <v/>
      </c>
      <c r="B469" t="str">
        <f>IF(DSDV!G474&lt;&gt;"",DSDV!G474,"")</f>
        <v/>
      </c>
      <c r="C469" s="237" t="str">
        <f>IF(DSDV!K474&lt;&gt;"",DSDV!K474,"")</f>
        <v/>
      </c>
      <c r="D469" s="417" t="str">
        <f>IF(DSDV!W474&lt;&gt;"",DSDV!W474,"")</f>
        <v/>
      </c>
    </row>
    <row r="470" spans="1:4">
      <c r="A470" t="str">
        <f>IF(DSDV!B475&lt;&gt;"",DSDV!B475,"")</f>
        <v/>
      </c>
      <c r="B470" t="str">
        <f>IF(DSDV!G475&lt;&gt;"",DSDV!G475,"")</f>
        <v/>
      </c>
      <c r="C470" s="237" t="str">
        <f>IF(DSDV!K475&lt;&gt;"",DSDV!K475,"")</f>
        <v/>
      </c>
      <c r="D470" s="417" t="str">
        <f>IF(DSDV!W475&lt;&gt;"",DSDV!W475,"")</f>
        <v/>
      </c>
    </row>
    <row r="471" spans="1:4">
      <c r="A471" t="str">
        <f>IF(DSDV!B476&lt;&gt;"",DSDV!B476,"")</f>
        <v/>
      </c>
      <c r="B471" t="str">
        <f>IF(DSDV!G476&lt;&gt;"",DSDV!G476,"")</f>
        <v/>
      </c>
      <c r="C471" s="237" t="str">
        <f>IF(DSDV!K476&lt;&gt;"",DSDV!K476,"")</f>
        <v/>
      </c>
      <c r="D471" s="417" t="str">
        <f>IF(DSDV!W476&lt;&gt;"",DSDV!W476,"")</f>
        <v/>
      </c>
    </row>
    <row r="472" spans="1:4">
      <c r="A472" t="str">
        <f>IF(DSDV!B477&lt;&gt;"",DSDV!B477,"")</f>
        <v/>
      </c>
      <c r="B472" t="str">
        <f>IF(DSDV!G477&lt;&gt;"",DSDV!G477,"")</f>
        <v/>
      </c>
      <c r="C472" s="237" t="str">
        <f>IF(DSDV!K477&lt;&gt;"",DSDV!K477,"")</f>
        <v/>
      </c>
      <c r="D472" s="417" t="str">
        <f>IF(DSDV!W477&lt;&gt;"",DSDV!W477,"")</f>
        <v/>
      </c>
    </row>
    <row r="473" spans="1:4">
      <c r="A473" t="str">
        <f>IF(DSDV!B478&lt;&gt;"",DSDV!B478,"")</f>
        <v/>
      </c>
      <c r="B473" t="str">
        <f>IF(DSDV!G478&lt;&gt;"",DSDV!G478,"")</f>
        <v/>
      </c>
      <c r="C473" s="237" t="str">
        <f>IF(DSDV!K478&lt;&gt;"",DSDV!K478,"")</f>
        <v/>
      </c>
      <c r="D473" s="417" t="str">
        <f>IF(DSDV!W478&lt;&gt;"",DSDV!W478,"")</f>
        <v/>
      </c>
    </row>
    <row r="474" spans="1:4">
      <c r="A474" t="str">
        <f>IF(DSDV!B479&lt;&gt;"",DSDV!B479,"")</f>
        <v/>
      </c>
      <c r="B474" t="str">
        <f>IF(DSDV!G479&lt;&gt;"",DSDV!G479,"")</f>
        <v/>
      </c>
      <c r="C474" s="237" t="str">
        <f>IF(DSDV!K479&lt;&gt;"",DSDV!K479,"")</f>
        <v/>
      </c>
      <c r="D474" s="417" t="str">
        <f>IF(DSDV!W479&lt;&gt;"",DSDV!W479,"")</f>
        <v/>
      </c>
    </row>
    <row r="475" spans="1:4">
      <c r="A475" t="str">
        <f>IF(DSDV!B480&lt;&gt;"",DSDV!B480,"")</f>
        <v/>
      </c>
      <c r="B475" t="str">
        <f>IF(DSDV!G480&lt;&gt;"",DSDV!G480,"")</f>
        <v/>
      </c>
      <c r="C475" s="237" t="str">
        <f>IF(DSDV!K480&lt;&gt;"",DSDV!K480,"")</f>
        <v/>
      </c>
      <c r="D475" s="417" t="str">
        <f>IF(DSDV!W480&lt;&gt;"",DSDV!W480,"")</f>
        <v/>
      </c>
    </row>
    <row r="476" spans="1:4">
      <c r="A476" t="str">
        <f>IF(DSDV!B481&lt;&gt;"",DSDV!B481,"")</f>
        <v/>
      </c>
      <c r="B476" t="str">
        <f>IF(DSDV!G481&lt;&gt;"",DSDV!G481,"")</f>
        <v/>
      </c>
      <c r="C476" s="237" t="str">
        <f>IF(DSDV!K481&lt;&gt;"",DSDV!K481,"")</f>
        <v/>
      </c>
      <c r="D476" s="417" t="str">
        <f>IF(DSDV!W481&lt;&gt;"",DSDV!W481,"")</f>
        <v/>
      </c>
    </row>
    <row r="477" spans="1:4">
      <c r="A477" t="str">
        <f>IF(DSDV!B482&lt;&gt;"",DSDV!B482,"")</f>
        <v/>
      </c>
      <c r="B477" t="str">
        <f>IF(DSDV!G482&lt;&gt;"",DSDV!G482,"")</f>
        <v/>
      </c>
      <c r="C477" s="237" t="str">
        <f>IF(DSDV!K482&lt;&gt;"",DSDV!K482,"")</f>
        <v/>
      </c>
      <c r="D477" s="417" t="str">
        <f>IF(DSDV!W482&lt;&gt;"",DSDV!W482,"")</f>
        <v/>
      </c>
    </row>
    <row r="478" spans="1:4">
      <c r="A478" t="str">
        <f>IF(DSDV!B483&lt;&gt;"",DSDV!B483,"")</f>
        <v/>
      </c>
      <c r="B478" t="str">
        <f>IF(DSDV!G483&lt;&gt;"",DSDV!G483,"")</f>
        <v/>
      </c>
      <c r="C478" s="237" t="str">
        <f>IF(DSDV!K483&lt;&gt;"",DSDV!K483,"")</f>
        <v/>
      </c>
      <c r="D478" s="417" t="str">
        <f>IF(DSDV!W483&lt;&gt;"",DSDV!W483,"")</f>
        <v/>
      </c>
    </row>
    <row r="479" spans="1:4">
      <c r="A479" t="str">
        <f>IF(DSDV!B484&lt;&gt;"",DSDV!B484,"")</f>
        <v/>
      </c>
      <c r="B479" t="str">
        <f>IF(DSDV!G484&lt;&gt;"",DSDV!G484,"")</f>
        <v/>
      </c>
      <c r="C479" s="237" t="str">
        <f>IF(DSDV!K484&lt;&gt;"",DSDV!K484,"")</f>
        <v/>
      </c>
      <c r="D479" s="417" t="str">
        <f>IF(DSDV!W484&lt;&gt;"",DSDV!W484,"")</f>
        <v/>
      </c>
    </row>
    <row r="480" spans="1:4">
      <c r="A480" t="str">
        <f>IF(DSDV!B485&lt;&gt;"",DSDV!B485,"")</f>
        <v/>
      </c>
      <c r="B480" t="str">
        <f>IF(DSDV!G485&lt;&gt;"",DSDV!G485,"")</f>
        <v/>
      </c>
      <c r="C480" s="237" t="str">
        <f>IF(DSDV!K485&lt;&gt;"",DSDV!K485,"")</f>
        <v/>
      </c>
      <c r="D480" s="417" t="str">
        <f>IF(DSDV!W485&lt;&gt;"",DSDV!W485,"")</f>
        <v/>
      </c>
    </row>
    <row r="481" spans="1:4">
      <c r="A481" t="str">
        <f>IF(DSDV!B486&lt;&gt;"",DSDV!B486,"")</f>
        <v/>
      </c>
      <c r="B481" t="str">
        <f>IF(DSDV!G486&lt;&gt;"",DSDV!G486,"")</f>
        <v/>
      </c>
      <c r="C481" s="237" t="str">
        <f>IF(DSDV!K486&lt;&gt;"",DSDV!K486,"")</f>
        <v/>
      </c>
      <c r="D481" s="417" t="str">
        <f>IF(DSDV!W486&lt;&gt;"",DSDV!W486,"")</f>
        <v/>
      </c>
    </row>
    <row r="482" spans="1:4">
      <c r="A482" t="str">
        <f>IF(DSDV!B487&lt;&gt;"",DSDV!B487,"")</f>
        <v/>
      </c>
      <c r="B482" t="str">
        <f>IF(DSDV!G487&lt;&gt;"",DSDV!G487,"")</f>
        <v/>
      </c>
      <c r="C482" s="237" t="str">
        <f>IF(DSDV!K487&lt;&gt;"",DSDV!K487,"")</f>
        <v/>
      </c>
      <c r="D482" s="417" t="str">
        <f>IF(DSDV!W487&lt;&gt;"",DSDV!W487,"")</f>
        <v/>
      </c>
    </row>
    <row r="483" spans="1:4">
      <c r="A483" t="str">
        <f>IF(DSDV!B488&lt;&gt;"",DSDV!B488,"")</f>
        <v/>
      </c>
      <c r="B483" t="str">
        <f>IF(DSDV!G488&lt;&gt;"",DSDV!G488,"")</f>
        <v/>
      </c>
      <c r="C483" s="237" t="str">
        <f>IF(DSDV!K488&lt;&gt;"",DSDV!K488,"")</f>
        <v/>
      </c>
      <c r="D483" s="417" t="str">
        <f>IF(DSDV!W488&lt;&gt;"",DSDV!W488,"")</f>
        <v/>
      </c>
    </row>
    <row r="484" spans="1:4">
      <c r="A484" t="str">
        <f>IF(DSDV!B489&lt;&gt;"",DSDV!B489,"")</f>
        <v/>
      </c>
      <c r="B484" t="str">
        <f>IF(DSDV!G489&lt;&gt;"",DSDV!G489,"")</f>
        <v/>
      </c>
      <c r="C484" s="237" t="str">
        <f>IF(DSDV!K489&lt;&gt;"",DSDV!K489,"")</f>
        <v/>
      </c>
      <c r="D484" s="417" t="str">
        <f>IF(DSDV!W489&lt;&gt;"",DSDV!W489,"")</f>
        <v/>
      </c>
    </row>
    <row r="485" spans="1:4">
      <c r="A485" t="str">
        <f>IF(DSDV!B490&lt;&gt;"",DSDV!B490,"")</f>
        <v/>
      </c>
      <c r="B485" t="str">
        <f>IF(DSDV!G490&lt;&gt;"",DSDV!G490,"")</f>
        <v/>
      </c>
      <c r="C485" s="237" t="str">
        <f>IF(DSDV!K490&lt;&gt;"",DSDV!K490,"")</f>
        <v/>
      </c>
      <c r="D485" s="417" t="str">
        <f>IF(DSDV!W490&lt;&gt;"",DSDV!W490,"")</f>
        <v/>
      </c>
    </row>
    <row r="486" spans="1:4">
      <c r="A486" t="str">
        <f>IF(DSDV!B491&lt;&gt;"",DSDV!B491,"")</f>
        <v/>
      </c>
      <c r="B486" t="str">
        <f>IF(DSDV!G491&lt;&gt;"",DSDV!G491,"")</f>
        <v/>
      </c>
      <c r="C486" s="237" t="str">
        <f>IF(DSDV!K491&lt;&gt;"",DSDV!K491,"")</f>
        <v/>
      </c>
      <c r="D486" s="417" t="str">
        <f>IF(DSDV!W491&lt;&gt;"",DSDV!W491,"")</f>
        <v/>
      </c>
    </row>
    <row r="487" spans="1:4">
      <c r="A487" t="str">
        <f>IF(DSDV!B492&lt;&gt;"",DSDV!B492,"")</f>
        <v/>
      </c>
      <c r="B487" t="str">
        <f>IF(DSDV!G492&lt;&gt;"",DSDV!G492,"")</f>
        <v/>
      </c>
      <c r="C487" s="237" t="str">
        <f>IF(DSDV!K492&lt;&gt;"",DSDV!K492,"")</f>
        <v/>
      </c>
      <c r="D487" s="417" t="str">
        <f>IF(DSDV!W492&lt;&gt;"",DSDV!W492,"")</f>
        <v/>
      </c>
    </row>
    <row r="488" spans="1:4">
      <c r="A488" t="str">
        <f>IF(DSDV!B493&lt;&gt;"",DSDV!B493,"")</f>
        <v/>
      </c>
      <c r="B488" t="str">
        <f>IF(DSDV!G493&lt;&gt;"",DSDV!G493,"")</f>
        <v/>
      </c>
      <c r="C488" s="237" t="str">
        <f>IF(DSDV!K493&lt;&gt;"",DSDV!K493,"")</f>
        <v/>
      </c>
      <c r="D488" s="417" t="str">
        <f>IF(DSDV!W493&lt;&gt;"",DSDV!W493,"")</f>
        <v/>
      </c>
    </row>
    <row r="489" spans="1:4">
      <c r="A489" t="str">
        <f>IF(DSDV!B494&lt;&gt;"",DSDV!B494,"")</f>
        <v/>
      </c>
      <c r="B489" t="str">
        <f>IF(DSDV!G494&lt;&gt;"",DSDV!G494,"")</f>
        <v/>
      </c>
      <c r="C489" s="237" t="str">
        <f>IF(DSDV!K494&lt;&gt;"",DSDV!K494,"")</f>
        <v/>
      </c>
      <c r="D489" s="417" t="str">
        <f>IF(DSDV!W494&lt;&gt;"",DSDV!W494,"")</f>
        <v/>
      </c>
    </row>
    <row r="490" spans="1:4">
      <c r="A490" t="str">
        <f>IF(DSDV!B495&lt;&gt;"",DSDV!B495,"")</f>
        <v/>
      </c>
      <c r="B490" t="str">
        <f>IF(DSDV!G495&lt;&gt;"",DSDV!G495,"")</f>
        <v/>
      </c>
      <c r="C490" s="237" t="str">
        <f>IF(DSDV!K495&lt;&gt;"",DSDV!K495,"")</f>
        <v/>
      </c>
      <c r="D490" s="417" t="str">
        <f>IF(DSDV!W495&lt;&gt;"",DSDV!W495,"")</f>
        <v/>
      </c>
    </row>
    <row r="491" spans="1:4">
      <c r="A491" t="str">
        <f>IF(DSDV!B496&lt;&gt;"",DSDV!B496,"")</f>
        <v/>
      </c>
      <c r="B491" t="str">
        <f>IF(DSDV!G496&lt;&gt;"",DSDV!G496,"")</f>
        <v/>
      </c>
      <c r="C491" s="237" t="str">
        <f>IF(DSDV!K496&lt;&gt;"",DSDV!K496,"")</f>
        <v/>
      </c>
      <c r="D491" s="417" t="str">
        <f>IF(DSDV!W496&lt;&gt;"",DSDV!W496,"")</f>
        <v/>
      </c>
    </row>
    <row r="492" spans="1:4">
      <c r="A492" t="str">
        <f>IF(DSDV!B497&lt;&gt;"",DSDV!B497,"")</f>
        <v/>
      </c>
      <c r="B492" t="str">
        <f>IF(DSDV!G497&lt;&gt;"",DSDV!G497,"")</f>
        <v/>
      </c>
      <c r="C492" s="237" t="str">
        <f>IF(DSDV!K497&lt;&gt;"",DSDV!K497,"")</f>
        <v/>
      </c>
      <c r="D492" s="417" t="str">
        <f>IF(DSDV!W497&lt;&gt;"",DSDV!W497,"")</f>
        <v/>
      </c>
    </row>
    <row r="493" spans="1:4">
      <c r="A493" t="str">
        <f>IF(DSDV!B498&lt;&gt;"",DSDV!B498,"")</f>
        <v/>
      </c>
      <c r="B493" t="str">
        <f>IF(DSDV!G498&lt;&gt;"",DSDV!G498,"")</f>
        <v/>
      </c>
      <c r="C493" s="237" t="str">
        <f>IF(DSDV!K498&lt;&gt;"",DSDV!K498,"")</f>
        <v/>
      </c>
      <c r="D493" s="417" t="str">
        <f>IF(DSDV!W498&lt;&gt;"",DSDV!W498,"")</f>
        <v/>
      </c>
    </row>
    <row r="494" spans="1:4">
      <c r="A494" t="str">
        <f>IF(DSDV!B499&lt;&gt;"",DSDV!B499,"")</f>
        <v/>
      </c>
      <c r="B494" t="str">
        <f>IF(DSDV!G499&lt;&gt;"",DSDV!G499,"")</f>
        <v/>
      </c>
      <c r="C494" s="237" t="str">
        <f>IF(DSDV!K499&lt;&gt;"",DSDV!K499,"")</f>
        <v/>
      </c>
      <c r="D494" s="417" t="str">
        <f>IF(DSDV!W499&lt;&gt;"",DSDV!W499,"")</f>
        <v/>
      </c>
    </row>
    <row r="495" spans="1:4">
      <c r="A495" t="str">
        <f>IF(DSDV!B500&lt;&gt;"",DSDV!B500,"")</f>
        <v/>
      </c>
      <c r="B495" t="str">
        <f>IF(DSDV!G500&lt;&gt;"",DSDV!G500,"")</f>
        <v/>
      </c>
      <c r="C495" s="237" t="str">
        <f>IF(DSDV!K500&lt;&gt;"",DSDV!K500,"")</f>
        <v/>
      </c>
      <c r="D495" s="417" t="str">
        <f>IF(DSDV!W500&lt;&gt;"",DSDV!W500,"")</f>
        <v/>
      </c>
    </row>
    <row r="496" spans="1:4">
      <c r="A496" t="str">
        <f>IF(DSDV!B501&lt;&gt;"",DSDV!B501,"")</f>
        <v/>
      </c>
      <c r="B496" t="str">
        <f>IF(DSDV!G501&lt;&gt;"",DSDV!G501,"")</f>
        <v/>
      </c>
      <c r="C496" s="237" t="str">
        <f>IF(DSDV!K501&lt;&gt;"",DSDV!K501,"")</f>
        <v/>
      </c>
      <c r="D496" s="417" t="str">
        <f>IF(DSDV!W501&lt;&gt;"",DSDV!W501,"")</f>
        <v/>
      </c>
    </row>
    <row r="497" spans="1:4">
      <c r="A497" t="str">
        <f>IF(DSDV!B502&lt;&gt;"",DSDV!B502,"")</f>
        <v/>
      </c>
      <c r="B497" t="str">
        <f>IF(DSDV!G502&lt;&gt;"",DSDV!G502,"")</f>
        <v/>
      </c>
      <c r="C497" s="237" t="str">
        <f>IF(DSDV!K502&lt;&gt;"",DSDV!K502,"")</f>
        <v/>
      </c>
      <c r="D497" s="417" t="str">
        <f>IF(DSDV!W502&lt;&gt;"",DSDV!W502,"")</f>
        <v/>
      </c>
    </row>
    <row r="498" spans="1:4">
      <c r="A498" t="str">
        <f>IF(DSDV!B503&lt;&gt;"",DSDV!B503,"")</f>
        <v/>
      </c>
      <c r="B498" t="str">
        <f>IF(DSDV!G503&lt;&gt;"",DSDV!G503,"")</f>
        <v/>
      </c>
      <c r="C498" s="237" t="str">
        <f>IF(DSDV!K503&lt;&gt;"",DSDV!K503,"")</f>
        <v/>
      </c>
      <c r="D498" s="417" t="str">
        <f>IF(DSDV!W503&lt;&gt;"",DSDV!W503,"")</f>
        <v/>
      </c>
    </row>
    <row r="499" spans="1:4">
      <c r="A499" t="str">
        <f>IF(DSDV!B504&lt;&gt;"",DSDV!B504,"")</f>
        <v/>
      </c>
      <c r="B499" t="str">
        <f>IF(DSDV!G504&lt;&gt;"",DSDV!G504,"")</f>
        <v/>
      </c>
      <c r="C499" s="237" t="str">
        <f>IF(DSDV!K504&lt;&gt;"",DSDV!K504,"")</f>
        <v/>
      </c>
      <c r="D499" s="417" t="str">
        <f>IF(DSDV!W504&lt;&gt;"",DSDV!W504,"")</f>
        <v/>
      </c>
    </row>
    <row r="500" spans="1:4">
      <c r="A500" t="str">
        <f>IF(DSDV!B505&lt;&gt;"",DSDV!B505,"")</f>
        <v/>
      </c>
      <c r="B500" t="str">
        <f>IF(DSDV!G505&lt;&gt;"",DSDV!G505,"")</f>
        <v/>
      </c>
      <c r="C500" s="237" t="str">
        <f>IF(DSDV!K505&lt;&gt;"",DSDV!K505,"")</f>
        <v/>
      </c>
      <c r="D500" s="417" t="str">
        <f>IF(DSDV!W505&lt;&gt;"",DSDV!W505,"")</f>
        <v/>
      </c>
    </row>
    <row r="501" spans="1:4">
      <c r="A501" t="str">
        <f>IF(DSDV!B506&lt;&gt;"",DSDV!B506,"")</f>
        <v/>
      </c>
      <c r="B501" t="str">
        <f>IF(DSDV!G506&lt;&gt;"",DSDV!G506,"")</f>
        <v/>
      </c>
      <c r="C501" s="237" t="str">
        <f>IF(DSDV!K506&lt;&gt;"",DSDV!K506,"")</f>
        <v/>
      </c>
      <c r="D501" s="417" t="str">
        <f>IF(DSDV!W506&lt;&gt;"",DSDV!W506,"")</f>
        <v/>
      </c>
    </row>
    <row r="502" spans="1:4">
      <c r="A502" t="str">
        <f>IF(DSDV!B507&lt;&gt;"",DSDV!B507,"")</f>
        <v/>
      </c>
      <c r="B502" t="str">
        <f>IF(DSDV!G507&lt;&gt;"",DSDV!G507,"")</f>
        <v/>
      </c>
      <c r="C502" s="237" t="str">
        <f>IF(DSDV!K507&lt;&gt;"",DSDV!K507,"")</f>
        <v/>
      </c>
      <c r="D502" s="417" t="str">
        <f>IF(DSDV!W507&lt;&gt;"",DSDV!W507,"")</f>
        <v/>
      </c>
    </row>
    <row r="503" spans="1:4">
      <c r="A503" t="str">
        <f>IF(DSDV!B508&lt;&gt;"",DSDV!B508,"")</f>
        <v/>
      </c>
      <c r="B503" t="str">
        <f>IF(DSDV!G508&lt;&gt;"",DSDV!G508,"")</f>
        <v/>
      </c>
      <c r="C503" s="237" t="str">
        <f>IF(DSDV!K508&lt;&gt;"",DSDV!K508,"")</f>
        <v/>
      </c>
      <c r="D503" s="417" t="str">
        <f>IF(DSDV!W508&lt;&gt;"",DSDV!W508,"")</f>
        <v/>
      </c>
    </row>
    <row r="504" spans="1:4">
      <c r="A504" t="str">
        <f>IF(DSDV!B509&lt;&gt;"",DSDV!B509,"")</f>
        <v/>
      </c>
      <c r="B504" t="str">
        <f>IF(DSDV!G509&lt;&gt;"",DSDV!G509,"")</f>
        <v/>
      </c>
      <c r="C504" s="237" t="str">
        <f>IF(DSDV!K509&lt;&gt;"",DSDV!K509,"")</f>
        <v/>
      </c>
      <c r="D504" s="417" t="str">
        <f>IF(DSDV!W509&lt;&gt;"",DSDV!W509,"")</f>
        <v/>
      </c>
    </row>
    <row r="505" spans="1:4">
      <c r="A505" t="str">
        <f>IF(DSDV!B510&lt;&gt;"",DSDV!B510,"")</f>
        <v/>
      </c>
      <c r="B505" t="str">
        <f>IF(DSDV!G510&lt;&gt;"",DSDV!G510,"")</f>
        <v/>
      </c>
      <c r="C505" s="237" t="str">
        <f>IF(DSDV!K510&lt;&gt;"",DSDV!K510,"")</f>
        <v/>
      </c>
      <c r="D505" s="417" t="str">
        <f>IF(DSDV!W510&lt;&gt;"",DSDV!W510,"")</f>
        <v/>
      </c>
    </row>
    <row r="506" spans="1:4">
      <c r="A506" t="str">
        <f>IF(DSDV!B511&lt;&gt;"",DSDV!B511,"")</f>
        <v/>
      </c>
      <c r="B506" t="str">
        <f>IF(DSDV!G511&lt;&gt;"",DSDV!G511,"")</f>
        <v/>
      </c>
      <c r="C506" s="237" t="str">
        <f>IF(DSDV!K511&lt;&gt;"",DSDV!K511,"")</f>
        <v/>
      </c>
      <c r="D506" s="417" t="str">
        <f>IF(DSDV!W511&lt;&gt;"",DSDV!W511,"")</f>
        <v/>
      </c>
    </row>
    <row r="507" spans="1:4">
      <c r="A507" t="str">
        <f>IF(DSDV!B512&lt;&gt;"",DSDV!B512,"")</f>
        <v/>
      </c>
      <c r="B507" t="str">
        <f>IF(DSDV!G512&lt;&gt;"",DSDV!G512,"")</f>
        <v/>
      </c>
      <c r="C507" s="237" t="str">
        <f>IF(DSDV!K512&lt;&gt;"",DSDV!K512,"")</f>
        <v/>
      </c>
      <c r="D507" s="417" t="str">
        <f>IF(DSDV!W512&lt;&gt;"",DSDV!W512,"")</f>
        <v/>
      </c>
    </row>
    <row r="508" spans="1:4">
      <c r="A508" t="str">
        <f>IF(DSDV!B513&lt;&gt;"",DSDV!B513,"")</f>
        <v/>
      </c>
      <c r="B508" t="str">
        <f>IF(DSDV!G513&lt;&gt;"",DSDV!G513,"")</f>
        <v/>
      </c>
      <c r="C508" s="237" t="str">
        <f>IF(DSDV!K513&lt;&gt;"",DSDV!K513,"")</f>
        <v/>
      </c>
      <c r="D508" s="417" t="str">
        <f>IF(DSDV!W513&lt;&gt;"",DSDV!W513,"")</f>
        <v/>
      </c>
    </row>
    <row r="509" spans="1:4">
      <c r="A509" t="str">
        <f>IF(DSDV!B514&lt;&gt;"",DSDV!B514,"")</f>
        <v/>
      </c>
      <c r="B509" t="str">
        <f>IF(DSDV!G514&lt;&gt;"",DSDV!G514,"")</f>
        <v/>
      </c>
      <c r="C509" s="237" t="str">
        <f>IF(DSDV!K514&lt;&gt;"",DSDV!K514,"")</f>
        <v/>
      </c>
      <c r="D509" s="417" t="str">
        <f>IF(DSDV!W514&lt;&gt;"",DSDV!W514,"")</f>
        <v/>
      </c>
    </row>
    <row r="510" spans="1:4">
      <c r="A510" t="str">
        <f>IF(DSDV!B515&lt;&gt;"",DSDV!B515,"")</f>
        <v/>
      </c>
      <c r="B510" t="str">
        <f>IF(DSDV!G515&lt;&gt;"",DSDV!G515,"")</f>
        <v/>
      </c>
      <c r="C510" s="237" t="str">
        <f>IF(DSDV!K515&lt;&gt;"",DSDV!K515,"")</f>
        <v/>
      </c>
      <c r="D510" s="417" t="str">
        <f>IF(DSDV!W515&lt;&gt;"",DSDV!W515,"")</f>
        <v/>
      </c>
    </row>
    <row r="511" spans="1:4">
      <c r="A511" t="str">
        <f>IF(DSDV!B516&lt;&gt;"",DSDV!B516,"")</f>
        <v/>
      </c>
      <c r="B511" t="str">
        <f>IF(DSDV!G516&lt;&gt;"",DSDV!G516,"")</f>
        <v/>
      </c>
      <c r="C511" s="237" t="str">
        <f>IF(DSDV!K516&lt;&gt;"",DSDV!K516,"")</f>
        <v/>
      </c>
      <c r="D511" s="417" t="str">
        <f>IF(DSDV!W516&lt;&gt;"",DSDV!W516,"")</f>
        <v/>
      </c>
    </row>
    <row r="512" spans="1:4">
      <c r="A512" t="str">
        <f>IF(DSDV!B517&lt;&gt;"",DSDV!B517,"")</f>
        <v/>
      </c>
      <c r="B512" t="str">
        <f>IF(DSDV!G517&lt;&gt;"",DSDV!G517,"")</f>
        <v/>
      </c>
      <c r="C512" s="237" t="str">
        <f>IF(DSDV!K517&lt;&gt;"",DSDV!K517,"")</f>
        <v/>
      </c>
      <c r="D512" s="417" t="str">
        <f>IF(DSDV!W517&lt;&gt;"",DSDV!W517,"")</f>
        <v/>
      </c>
    </row>
    <row r="513" spans="1:4">
      <c r="A513" t="str">
        <f>IF(DSDV!B518&lt;&gt;"",DSDV!B518,"")</f>
        <v/>
      </c>
      <c r="B513" t="str">
        <f>IF(DSDV!G518&lt;&gt;"",DSDV!G518,"")</f>
        <v/>
      </c>
      <c r="C513" s="237" t="str">
        <f>IF(DSDV!K518&lt;&gt;"",DSDV!K518,"")</f>
        <v/>
      </c>
      <c r="D513" s="417" t="str">
        <f>IF(DSDV!W518&lt;&gt;"",DSDV!W518,"")</f>
        <v/>
      </c>
    </row>
    <row r="514" spans="1:4">
      <c r="A514" t="str">
        <f>IF(DSDV!B519&lt;&gt;"",DSDV!B519,"")</f>
        <v/>
      </c>
      <c r="B514" t="str">
        <f>IF(DSDV!G519&lt;&gt;"",DSDV!G519,"")</f>
        <v/>
      </c>
      <c r="C514" s="237" t="str">
        <f>IF(DSDV!K519&lt;&gt;"",DSDV!K519,"")</f>
        <v/>
      </c>
      <c r="D514" s="417" t="str">
        <f>IF(DSDV!W519&lt;&gt;"",DSDV!W519,"")</f>
        <v/>
      </c>
    </row>
    <row r="515" spans="1:4">
      <c r="A515" t="str">
        <f>IF(DSDV!B520&lt;&gt;"",DSDV!B520,"")</f>
        <v/>
      </c>
      <c r="B515" t="str">
        <f>IF(DSDV!G520&lt;&gt;"",DSDV!G520,"")</f>
        <v/>
      </c>
      <c r="C515" s="237" t="str">
        <f>IF(DSDV!K520&lt;&gt;"",DSDV!K520,"")</f>
        <v/>
      </c>
      <c r="D515" s="417" t="str">
        <f>IF(DSDV!W520&lt;&gt;"",DSDV!W520,"")</f>
        <v/>
      </c>
    </row>
    <row r="516" spans="1:4">
      <c r="A516" t="str">
        <f>IF(DSDV!B521&lt;&gt;"",DSDV!B521,"")</f>
        <v/>
      </c>
      <c r="B516" t="str">
        <f>IF(DSDV!G521&lt;&gt;"",DSDV!G521,"")</f>
        <v/>
      </c>
      <c r="C516" s="237" t="str">
        <f>IF(DSDV!K521&lt;&gt;"",DSDV!K521,"")</f>
        <v/>
      </c>
      <c r="D516" s="417" t="str">
        <f>IF(DSDV!W521&lt;&gt;"",DSDV!W521,"")</f>
        <v/>
      </c>
    </row>
    <row r="517" spans="1:4">
      <c r="A517" t="str">
        <f>IF(DSDV!B522&lt;&gt;"",DSDV!B522,"")</f>
        <v/>
      </c>
      <c r="B517" t="str">
        <f>IF(DSDV!G522&lt;&gt;"",DSDV!G522,"")</f>
        <v/>
      </c>
      <c r="C517" s="237" t="str">
        <f>IF(DSDV!K522&lt;&gt;"",DSDV!K522,"")</f>
        <v/>
      </c>
      <c r="D517" s="417" t="str">
        <f>IF(DSDV!W522&lt;&gt;"",DSDV!W522,"")</f>
        <v/>
      </c>
    </row>
    <row r="518" spans="1:4">
      <c r="A518" t="str">
        <f>IF(DSDV!B523&lt;&gt;"",DSDV!B523,"")</f>
        <v/>
      </c>
      <c r="B518" t="str">
        <f>IF(DSDV!G523&lt;&gt;"",DSDV!G523,"")</f>
        <v/>
      </c>
      <c r="C518" s="237" t="str">
        <f>IF(DSDV!K523&lt;&gt;"",DSDV!K523,"")</f>
        <v/>
      </c>
      <c r="D518" s="417" t="str">
        <f>IF(DSDV!W523&lt;&gt;"",DSDV!W523,"")</f>
        <v/>
      </c>
    </row>
    <row r="519" spans="1:4">
      <c r="A519" t="str">
        <f>IF(DSDV!B524&lt;&gt;"",DSDV!B524,"")</f>
        <v/>
      </c>
      <c r="B519" t="str">
        <f>IF(DSDV!G524&lt;&gt;"",DSDV!G524,"")</f>
        <v/>
      </c>
      <c r="C519" s="237" t="str">
        <f>IF(DSDV!K524&lt;&gt;"",DSDV!K524,"")</f>
        <v/>
      </c>
      <c r="D519" s="417" t="str">
        <f>IF(DSDV!W524&lt;&gt;"",DSDV!W524,"")</f>
        <v/>
      </c>
    </row>
    <row r="520" spans="1:4">
      <c r="A520" t="str">
        <f>IF(DSDV!B525&lt;&gt;"",DSDV!B525,"")</f>
        <v/>
      </c>
      <c r="B520" t="str">
        <f>IF(DSDV!G525&lt;&gt;"",DSDV!G525,"")</f>
        <v/>
      </c>
      <c r="C520" s="237" t="str">
        <f>IF(DSDV!K525&lt;&gt;"",DSDV!K525,"")</f>
        <v/>
      </c>
      <c r="D520" s="417" t="str">
        <f>IF(DSDV!W525&lt;&gt;"",DSDV!W525,"")</f>
        <v/>
      </c>
    </row>
    <row r="521" spans="1:4">
      <c r="A521" t="str">
        <f>IF(DSDV!B526&lt;&gt;"",DSDV!B526,"")</f>
        <v/>
      </c>
      <c r="B521" t="str">
        <f>IF(DSDV!G526&lt;&gt;"",DSDV!G526,"")</f>
        <v/>
      </c>
      <c r="C521" s="237" t="str">
        <f>IF(DSDV!K526&lt;&gt;"",DSDV!K526,"")</f>
        <v/>
      </c>
      <c r="D521" s="417" t="str">
        <f>IF(DSDV!W526&lt;&gt;"",DSDV!W526,"")</f>
        <v/>
      </c>
    </row>
    <row r="522" spans="1:4">
      <c r="A522" t="str">
        <f>IF(DSDV!B527&lt;&gt;"",DSDV!B527,"")</f>
        <v/>
      </c>
      <c r="B522" t="str">
        <f>IF(DSDV!G527&lt;&gt;"",DSDV!G527,"")</f>
        <v/>
      </c>
      <c r="C522" s="237" t="str">
        <f>IF(DSDV!K527&lt;&gt;"",DSDV!K527,"")</f>
        <v/>
      </c>
      <c r="D522" s="417" t="str">
        <f>IF(DSDV!W527&lt;&gt;"",DSDV!W527,"")</f>
        <v/>
      </c>
    </row>
    <row r="523" spans="1:4">
      <c r="A523" t="str">
        <f>IF(DSDV!B528&lt;&gt;"",DSDV!B528,"")</f>
        <v/>
      </c>
      <c r="B523" t="str">
        <f>IF(DSDV!G528&lt;&gt;"",DSDV!G528,"")</f>
        <v/>
      </c>
      <c r="C523" s="237" t="str">
        <f>IF(DSDV!K528&lt;&gt;"",DSDV!K528,"")</f>
        <v/>
      </c>
      <c r="D523" s="417" t="str">
        <f>IF(DSDV!W528&lt;&gt;"",DSDV!W528,"")</f>
        <v/>
      </c>
    </row>
    <row r="524" spans="1:4">
      <c r="A524" t="str">
        <f>IF(DSDV!B529&lt;&gt;"",DSDV!B529,"")</f>
        <v/>
      </c>
      <c r="B524" t="str">
        <f>IF(DSDV!G529&lt;&gt;"",DSDV!G529,"")</f>
        <v/>
      </c>
      <c r="C524" s="237" t="str">
        <f>IF(DSDV!K529&lt;&gt;"",DSDV!K529,"")</f>
        <v/>
      </c>
      <c r="D524" s="417" t="str">
        <f>IF(DSDV!W529&lt;&gt;"",DSDV!W529,"")</f>
        <v/>
      </c>
    </row>
    <row r="525" spans="1:4">
      <c r="A525" t="str">
        <f>IF(DSDV!B530&lt;&gt;"",DSDV!B530,"")</f>
        <v/>
      </c>
      <c r="B525" t="str">
        <f>IF(DSDV!G530&lt;&gt;"",DSDV!G530,"")</f>
        <v/>
      </c>
      <c r="C525" s="237" t="str">
        <f>IF(DSDV!K530&lt;&gt;"",DSDV!K530,"")</f>
        <v/>
      </c>
      <c r="D525" s="417" t="str">
        <f>IF(DSDV!W530&lt;&gt;"",DSDV!W530,"")</f>
        <v/>
      </c>
    </row>
    <row r="526" spans="1:4">
      <c r="A526" t="str">
        <f>IF(DSDV!B531&lt;&gt;"",DSDV!B531,"")</f>
        <v/>
      </c>
      <c r="B526" t="str">
        <f>IF(DSDV!G531&lt;&gt;"",DSDV!G531,"")</f>
        <v/>
      </c>
      <c r="C526" s="237" t="str">
        <f>IF(DSDV!K531&lt;&gt;"",DSDV!K531,"")</f>
        <v/>
      </c>
      <c r="D526" s="417" t="str">
        <f>IF(DSDV!W531&lt;&gt;"",DSDV!W531,"")</f>
        <v/>
      </c>
    </row>
    <row r="527" spans="1:4">
      <c r="A527" t="str">
        <f>IF(DSDV!B532&lt;&gt;"",DSDV!B532,"")</f>
        <v/>
      </c>
      <c r="B527" t="str">
        <f>IF(DSDV!G532&lt;&gt;"",DSDV!G532,"")</f>
        <v/>
      </c>
      <c r="C527" s="237" t="str">
        <f>IF(DSDV!K532&lt;&gt;"",DSDV!K532,"")</f>
        <v/>
      </c>
      <c r="D527" s="417" t="str">
        <f>IF(DSDV!W532&lt;&gt;"",DSDV!W532,"")</f>
        <v/>
      </c>
    </row>
    <row r="528" spans="1:4">
      <c r="A528" t="str">
        <f>IF(DSDV!B533&lt;&gt;"",DSDV!B533,"")</f>
        <v/>
      </c>
      <c r="B528" t="str">
        <f>IF(DSDV!G533&lt;&gt;"",DSDV!G533,"")</f>
        <v/>
      </c>
      <c r="C528" s="237" t="str">
        <f>IF(DSDV!K533&lt;&gt;"",DSDV!K533,"")</f>
        <v/>
      </c>
      <c r="D528" s="417" t="str">
        <f>IF(DSDV!W533&lt;&gt;"",DSDV!W533,"")</f>
        <v/>
      </c>
    </row>
    <row r="529" spans="1:4">
      <c r="A529" t="str">
        <f>IF(DSDV!B534&lt;&gt;"",DSDV!B534,"")</f>
        <v/>
      </c>
      <c r="B529" t="str">
        <f>IF(DSDV!G534&lt;&gt;"",DSDV!G534,"")</f>
        <v/>
      </c>
      <c r="C529" s="237" t="str">
        <f>IF(DSDV!K534&lt;&gt;"",DSDV!K534,"")</f>
        <v/>
      </c>
      <c r="D529" s="417" t="str">
        <f>IF(DSDV!W534&lt;&gt;"",DSDV!W534,"")</f>
        <v/>
      </c>
    </row>
    <row r="530" spans="1:4">
      <c r="A530" t="str">
        <f>IF(DSDV!B535&lt;&gt;"",DSDV!B535,"")</f>
        <v/>
      </c>
      <c r="B530" t="str">
        <f>IF(DSDV!G535&lt;&gt;"",DSDV!G535,"")</f>
        <v/>
      </c>
      <c r="C530" s="237" t="str">
        <f>IF(DSDV!K535&lt;&gt;"",DSDV!K535,"")</f>
        <v/>
      </c>
      <c r="D530" s="417" t="str">
        <f>IF(DSDV!W535&lt;&gt;"",DSDV!W535,"")</f>
        <v/>
      </c>
    </row>
    <row r="531" spans="1:4">
      <c r="A531" t="str">
        <f>IF(DSDV!B536&lt;&gt;"",DSDV!B536,"")</f>
        <v/>
      </c>
      <c r="B531" t="str">
        <f>IF(DSDV!G536&lt;&gt;"",DSDV!G536,"")</f>
        <v/>
      </c>
      <c r="C531" s="237" t="str">
        <f>IF(DSDV!K536&lt;&gt;"",DSDV!K536,"")</f>
        <v/>
      </c>
      <c r="D531" s="417" t="str">
        <f>IF(DSDV!W536&lt;&gt;"",DSDV!W536,"")</f>
        <v/>
      </c>
    </row>
    <row r="532" spans="1:4">
      <c r="A532" t="str">
        <f>IF(DSDV!B537&lt;&gt;"",DSDV!B537,"")</f>
        <v/>
      </c>
      <c r="B532" t="str">
        <f>IF(DSDV!G537&lt;&gt;"",DSDV!G537,"")</f>
        <v/>
      </c>
      <c r="C532" s="237" t="str">
        <f>IF(DSDV!K537&lt;&gt;"",DSDV!K537,"")</f>
        <v/>
      </c>
      <c r="D532" s="417" t="str">
        <f>IF(DSDV!W537&lt;&gt;"",DSDV!W537,"")</f>
        <v/>
      </c>
    </row>
    <row r="533" spans="1:4">
      <c r="A533" t="str">
        <f>IF(DSDV!B538&lt;&gt;"",DSDV!B538,"")</f>
        <v/>
      </c>
      <c r="B533" t="str">
        <f>IF(DSDV!G538&lt;&gt;"",DSDV!G538,"")</f>
        <v/>
      </c>
      <c r="C533" s="237" t="str">
        <f>IF(DSDV!K538&lt;&gt;"",DSDV!K538,"")</f>
        <v/>
      </c>
      <c r="D533" s="417" t="str">
        <f>IF(DSDV!W538&lt;&gt;"",DSDV!W538,"")</f>
        <v/>
      </c>
    </row>
    <row r="534" spans="1:4">
      <c r="A534" t="str">
        <f>IF(DSDV!B539&lt;&gt;"",DSDV!B539,"")</f>
        <v/>
      </c>
      <c r="B534" t="str">
        <f>IF(DSDV!G539&lt;&gt;"",DSDV!G539,"")</f>
        <v/>
      </c>
      <c r="C534" s="237" t="str">
        <f>IF(DSDV!K539&lt;&gt;"",DSDV!K539,"")</f>
        <v/>
      </c>
      <c r="D534" s="417" t="str">
        <f>IF(DSDV!W539&lt;&gt;"",DSDV!W539,"")</f>
        <v/>
      </c>
    </row>
    <row r="535" spans="1:4">
      <c r="A535" t="str">
        <f>IF(DSDV!B540&lt;&gt;"",DSDV!B540,"")</f>
        <v/>
      </c>
      <c r="B535" t="str">
        <f>IF(DSDV!G540&lt;&gt;"",DSDV!G540,"")</f>
        <v/>
      </c>
      <c r="C535" s="237" t="str">
        <f>IF(DSDV!K540&lt;&gt;"",DSDV!K540,"")</f>
        <v/>
      </c>
      <c r="D535" s="417" t="str">
        <f>IF(DSDV!W540&lt;&gt;"",DSDV!W540,"")</f>
        <v/>
      </c>
    </row>
    <row r="536" spans="1:4">
      <c r="A536" t="str">
        <f>IF(DSDV!B541&lt;&gt;"",DSDV!B541,"")</f>
        <v/>
      </c>
      <c r="B536" t="str">
        <f>IF(DSDV!G541&lt;&gt;"",DSDV!G541,"")</f>
        <v/>
      </c>
      <c r="C536" s="237" t="str">
        <f>IF(DSDV!K541&lt;&gt;"",DSDV!K541,"")</f>
        <v/>
      </c>
      <c r="D536" s="417" t="str">
        <f>IF(DSDV!W541&lt;&gt;"",DSDV!W541,"")</f>
        <v/>
      </c>
    </row>
    <row r="537" spans="1:4">
      <c r="A537" t="str">
        <f>IF(DSDV!B542&lt;&gt;"",DSDV!B542,"")</f>
        <v/>
      </c>
      <c r="B537" t="str">
        <f>IF(DSDV!G542&lt;&gt;"",DSDV!G542,"")</f>
        <v/>
      </c>
      <c r="C537" s="237" t="str">
        <f>IF(DSDV!K542&lt;&gt;"",DSDV!K542,"")</f>
        <v/>
      </c>
      <c r="D537" s="417" t="str">
        <f>IF(DSDV!W542&lt;&gt;"",DSDV!W542,"")</f>
        <v/>
      </c>
    </row>
    <row r="538" spans="1:4">
      <c r="A538" t="str">
        <f>IF(DSDV!B543&lt;&gt;"",DSDV!B543,"")</f>
        <v/>
      </c>
      <c r="B538" t="str">
        <f>IF(DSDV!G543&lt;&gt;"",DSDV!G543,"")</f>
        <v/>
      </c>
      <c r="C538" s="237" t="str">
        <f>IF(DSDV!K543&lt;&gt;"",DSDV!K543,"")</f>
        <v/>
      </c>
      <c r="D538" s="417" t="str">
        <f>IF(DSDV!W543&lt;&gt;"",DSDV!W543,"")</f>
        <v/>
      </c>
    </row>
    <row r="539" spans="1:4">
      <c r="A539" t="str">
        <f>IF(DSDV!B544&lt;&gt;"",DSDV!B544,"")</f>
        <v/>
      </c>
      <c r="B539" t="str">
        <f>IF(DSDV!G544&lt;&gt;"",DSDV!G544,"")</f>
        <v/>
      </c>
      <c r="C539" s="237" t="str">
        <f>IF(DSDV!K544&lt;&gt;"",DSDV!K544,"")</f>
        <v/>
      </c>
      <c r="D539" s="417" t="str">
        <f>IF(DSDV!W544&lt;&gt;"",DSDV!W544,"")</f>
        <v/>
      </c>
    </row>
    <row r="540" spans="1:4">
      <c r="A540" t="str">
        <f>IF(DSDV!B545&lt;&gt;"",DSDV!B545,"")</f>
        <v/>
      </c>
      <c r="B540" t="str">
        <f>IF(DSDV!G545&lt;&gt;"",DSDV!G545,"")</f>
        <v/>
      </c>
      <c r="C540" s="237" t="str">
        <f>IF(DSDV!K545&lt;&gt;"",DSDV!K545,"")</f>
        <v/>
      </c>
      <c r="D540" s="417" t="str">
        <f>IF(DSDV!W545&lt;&gt;"",DSDV!W545,"")</f>
        <v/>
      </c>
    </row>
    <row r="541" spans="1:4">
      <c r="A541" t="str">
        <f>IF(DSDV!B546&lt;&gt;"",DSDV!B546,"")</f>
        <v/>
      </c>
      <c r="B541" t="str">
        <f>IF(DSDV!G546&lt;&gt;"",DSDV!G546,"")</f>
        <v/>
      </c>
      <c r="C541" s="237" t="str">
        <f>IF(DSDV!K546&lt;&gt;"",DSDV!K546,"")</f>
        <v/>
      </c>
      <c r="D541" s="417" t="str">
        <f>IF(DSDV!W546&lt;&gt;"",DSDV!W546,"")</f>
        <v/>
      </c>
    </row>
    <row r="542" spans="1:4">
      <c r="A542" t="str">
        <f>IF(DSDV!B547&lt;&gt;"",DSDV!B547,"")</f>
        <v/>
      </c>
      <c r="B542" t="str">
        <f>IF(DSDV!G547&lt;&gt;"",DSDV!G547,"")</f>
        <v/>
      </c>
      <c r="C542" s="237" t="str">
        <f>IF(DSDV!K547&lt;&gt;"",DSDV!K547,"")</f>
        <v/>
      </c>
      <c r="D542" s="417" t="str">
        <f>IF(DSDV!W547&lt;&gt;"",DSDV!W547,"")</f>
        <v/>
      </c>
    </row>
    <row r="543" spans="1:4">
      <c r="A543" t="str">
        <f>IF(DSDV!B548&lt;&gt;"",DSDV!B548,"")</f>
        <v/>
      </c>
      <c r="B543" t="str">
        <f>IF(DSDV!G548&lt;&gt;"",DSDV!G548,"")</f>
        <v/>
      </c>
      <c r="C543" s="237" t="str">
        <f>IF(DSDV!K548&lt;&gt;"",DSDV!K548,"")</f>
        <v/>
      </c>
      <c r="D543" s="417" t="str">
        <f>IF(DSDV!W548&lt;&gt;"",DSDV!W548,"")</f>
        <v/>
      </c>
    </row>
    <row r="544" spans="1:4">
      <c r="A544" t="str">
        <f>IF(DSDV!B549&lt;&gt;"",DSDV!B549,"")</f>
        <v/>
      </c>
      <c r="B544" t="str">
        <f>IF(DSDV!G549&lt;&gt;"",DSDV!G549,"")</f>
        <v/>
      </c>
      <c r="C544" s="237" t="str">
        <f>IF(DSDV!K549&lt;&gt;"",DSDV!K549,"")</f>
        <v/>
      </c>
      <c r="D544" s="417" t="str">
        <f>IF(DSDV!W549&lt;&gt;"",DSDV!W549,"")</f>
        <v/>
      </c>
    </row>
    <row r="545" spans="1:4">
      <c r="A545" t="str">
        <f>IF(DSDV!B550&lt;&gt;"",DSDV!B550,"")</f>
        <v/>
      </c>
      <c r="B545" t="str">
        <f>IF(DSDV!G550&lt;&gt;"",DSDV!G550,"")</f>
        <v/>
      </c>
      <c r="C545" s="237" t="str">
        <f>IF(DSDV!K550&lt;&gt;"",DSDV!K550,"")</f>
        <v/>
      </c>
      <c r="D545" s="417" t="str">
        <f>IF(DSDV!W550&lt;&gt;"",DSDV!W550,"")</f>
        <v/>
      </c>
    </row>
    <row r="546" spans="1:4">
      <c r="A546" t="str">
        <f>IF(DSDV!B551&lt;&gt;"",DSDV!B551,"")</f>
        <v/>
      </c>
      <c r="B546" t="str">
        <f>IF(DSDV!G551&lt;&gt;"",DSDV!G551,"")</f>
        <v/>
      </c>
      <c r="C546" s="237" t="str">
        <f>IF(DSDV!K551&lt;&gt;"",DSDV!K551,"")</f>
        <v/>
      </c>
      <c r="D546" s="417" t="str">
        <f>IF(DSDV!W551&lt;&gt;"",DSDV!W551,"")</f>
        <v/>
      </c>
    </row>
    <row r="547" spans="1:4">
      <c r="A547" t="str">
        <f>IF(DSDV!B552&lt;&gt;"",DSDV!B552,"")</f>
        <v/>
      </c>
      <c r="B547" t="str">
        <f>IF(DSDV!G552&lt;&gt;"",DSDV!G552,"")</f>
        <v/>
      </c>
      <c r="C547" s="237" t="str">
        <f>IF(DSDV!K552&lt;&gt;"",DSDV!K552,"")</f>
        <v/>
      </c>
      <c r="D547" s="417" t="str">
        <f>IF(DSDV!W552&lt;&gt;"",DSDV!W552,"")</f>
        <v/>
      </c>
    </row>
    <row r="548" spans="1:4">
      <c r="A548" t="str">
        <f>IF(DSDV!B553&lt;&gt;"",DSDV!B553,"")</f>
        <v/>
      </c>
      <c r="B548" t="str">
        <f>IF(DSDV!G553&lt;&gt;"",DSDV!G553,"")</f>
        <v/>
      </c>
      <c r="C548" s="237" t="str">
        <f>IF(DSDV!K553&lt;&gt;"",DSDV!K553,"")</f>
        <v/>
      </c>
      <c r="D548" s="417" t="str">
        <f>IF(DSDV!W553&lt;&gt;"",DSDV!W553,"")</f>
        <v/>
      </c>
    </row>
    <row r="549" spans="1:4">
      <c r="A549" t="str">
        <f>IF(DSDV!B554&lt;&gt;"",DSDV!B554,"")</f>
        <v/>
      </c>
      <c r="B549" t="str">
        <f>IF(DSDV!G554&lt;&gt;"",DSDV!G554,"")</f>
        <v/>
      </c>
      <c r="C549" s="237" t="str">
        <f>IF(DSDV!K554&lt;&gt;"",DSDV!K554,"")</f>
        <v/>
      </c>
      <c r="D549" s="417" t="str">
        <f>IF(DSDV!W554&lt;&gt;"",DSDV!W554,"")</f>
        <v/>
      </c>
    </row>
    <row r="550" spans="1:4">
      <c r="A550" t="str">
        <f>IF(DSDV!B555&lt;&gt;"",DSDV!B555,"")</f>
        <v/>
      </c>
      <c r="B550" t="str">
        <f>IF(DSDV!G555&lt;&gt;"",DSDV!G555,"")</f>
        <v/>
      </c>
      <c r="C550" s="237" t="str">
        <f>IF(DSDV!K555&lt;&gt;"",DSDV!K555,"")</f>
        <v/>
      </c>
      <c r="D550" s="417" t="str">
        <f>IF(DSDV!W555&lt;&gt;"",DSDV!W555,"")</f>
        <v/>
      </c>
    </row>
    <row r="551" spans="1:4">
      <c r="A551" t="str">
        <f>IF(DSDV!B556&lt;&gt;"",DSDV!B556,"")</f>
        <v/>
      </c>
      <c r="B551" t="str">
        <f>IF(DSDV!G556&lt;&gt;"",DSDV!G556,"")</f>
        <v/>
      </c>
      <c r="C551" s="237" t="str">
        <f>IF(DSDV!K556&lt;&gt;"",DSDV!K556,"")</f>
        <v/>
      </c>
      <c r="D551" s="417" t="str">
        <f>IF(DSDV!W556&lt;&gt;"",DSDV!W556,"")</f>
        <v/>
      </c>
    </row>
    <row r="552" spans="1:4">
      <c r="A552" t="str">
        <f>IF(DSDV!B557&lt;&gt;"",DSDV!B557,"")</f>
        <v/>
      </c>
      <c r="B552" t="str">
        <f>IF(DSDV!G557&lt;&gt;"",DSDV!G557,"")</f>
        <v/>
      </c>
      <c r="C552" s="237" t="str">
        <f>IF(DSDV!K557&lt;&gt;"",DSDV!K557,"")</f>
        <v/>
      </c>
      <c r="D552" s="417" t="str">
        <f>IF(DSDV!W557&lt;&gt;"",DSDV!W557,"")</f>
        <v/>
      </c>
    </row>
    <row r="553" spans="1:4">
      <c r="A553" t="str">
        <f>IF(DSDV!B558&lt;&gt;"",DSDV!B558,"")</f>
        <v/>
      </c>
      <c r="B553" t="str">
        <f>IF(DSDV!G558&lt;&gt;"",DSDV!G558,"")</f>
        <v/>
      </c>
      <c r="C553" s="237" t="str">
        <f>IF(DSDV!K558&lt;&gt;"",DSDV!K558,"")</f>
        <v/>
      </c>
      <c r="D553" s="417" t="str">
        <f>IF(DSDV!W558&lt;&gt;"",DSDV!W558,"")</f>
        <v/>
      </c>
    </row>
    <row r="554" spans="1:4">
      <c r="A554" t="str">
        <f>IF(DSDV!B559&lt;&gt;"",DSDV!B559,"")</f>
        <v/>
      </c>
      <c r="B554" t="str">
        <f>IF(DSDV!G559&lt;&gt;"",DSDV!G559,"")</f>
        <v/>
      </c>
      <c r="C554" s="237" t="str">
        <f>IF(DSDV!K559&lt;&gt;"",DSDV!K559,"")</f>
        <v/>
      </c>
      <c r="D554" s="417" t="str">
        <f>IF(DSDV!W559&lt;&gt;"",DSDV!W559,"")</f>
        <v/>
      </c>
    </row>
    <row r="555" spans="1:4">
      <c r="A555" t="str">
        <f>IF(DSDV!B560&lt;&gt;"",DSDV!B560,"")</f>
        <v/>
      </c>
      <c r="B555" t="str">
        <f>IF(DSDV!G560&lt;&gt;"",DSDV!G560,"")</f>
        <v/>
      </c>
      <c r="C555" s="237" t="str">
        <f>IF(DSDV!K560&lt;&gt;"",DSDV!K560,"")</f>
        <v/>
      </c>
      <c r="D555" s="417" t="str">
        <f>IF(DSDV!W560&lt;&gt;"",DSDV!W560,"")</f>
        <v/>
      </c>
    </row>
    <row r="556" spans="1:4">
      <c r="A556" t="str">
        <f>IF(DSDV!B561&lt;&gt;"",DSDV!B561,"")</f>
        <v/>
      </c>
      <c r="B556" t="str">
        <f>IF(DSDV!G561&lt;&gt;"",DSDV!G561,"")</f>
        <v/>
      </c>
      <c r="C556" s="237" t="str">
        <f>IF(DSDV!K561&lt;&gt;"",DSDV!K561,"")</f>
        <v/>
      </c>
      <c r="D556" s="417" t="str">
        <f>IF(DSDV!W561&lt;&gt;"",DSDV!W561,"")</f>
        <v/>
      </c>
    </row>
    <row r="557" spans="1:4">
      <c r="A557" t="str">
        <f>IF(DSDV!B562&lt;&gt;"",DSDV!B562,"")</f>
        <v/>
      </c>
      <c r="B557" t="str">
        <f>IF(DSDV!G562&lt;&gt;"",DSDV!G562,"")</f>
        <v/>
      </c>
      <c r="C557" s="237" t="str">
        <f>IF(DSDV!K562&lt;&gt;"",DSDV!K562,"")</f>
        <v/>
      </c>
      <c r="D557" s="417" t="str">
        <f>IF(DSDV!W562&lt;&gt;"",DSDV!W562,"")</f>
        <v/>
      </c>
    </row>
    <row r="558" spans="1:4">
      <c r="A558" t="str">
        <f>IF(DSDV!B563&lt;&gt;"",DSDV!B563,"")</f>
        <v/>
      </c>
      <c r="B558" t="str">
        <f>IF(DSDV!G563&lt;&gt;"",DSDV!G563,"")</f>
        <v/>
      </c>
      <c r="C558" s="237" t="str">
        <f>IF(DSDV!K563&lt;&gt;"",DSDV!K563,"")</f>
        <v/>
      </c>
      <c r="D558" s="417" t="str">
        <f>IF(DSDV!W563&lt;&gt;"",DSDV!W563,"")</f>
        <v/>
      </c>
    </row>
    <row r="559" spans="1:4">
      <c r="A559" t="str">
        <f>IF(DSDV!B564&lt;&gt;"",DSDV!B564,"")</f>
        <v/>
      </c>
      <c r="B559" t="str">
        <f>IF(DSDV!G564&lt;&gt;"",DSDV!G564,"")</f>
        <v/>
      </c>
      <c r="C559" s="237" t="str">
        <f>IF(DSDV!K564&lt;&gt;"",DSDV!K564,"")</f>
        <v/>
      </c>
      <c r="D559" s="417" t="str">
        <f>IF(DSDV!W564&lt;&gt;"",DSDV!W564,"")</f>
        <v/>
      </c>
    </row>
    <row r="560" spans="1:4">
      <c r="A560" t="str">
        <f>IF(DSDV!B565&lt;&gt;"",DSDV!B565,"")</f>
        <v/>
      </c>
      <c r="B560" t="str">
        <f>IF(DSDV!G565&lt;&gt;"",DSDV!G565,"")</f>
        <v/>
      </c>
      <c r="C560" s="237" t="str">
        <f>IF(DSDV!K565&lt;&gt;"",DSDV!K565,"")</f>
        <v/>
      </c>
      <c r="D560" s="417" t="str">
        <f>IF(DSDV!W565&lt;&gt;"",DSDV!W565,"")</f>
        <v/>
      </c>
    </row>
    <row r="561" spans="1:4">
      <c r="A561" t="str">
        <f>IF(DSDV!B566&lt;&gt;"",DSDV!B566,"")</f>
        <v/>
      </c>
      <c r="B561" t="str">
        <f>IF(DSDV!G566&lt;&gt;"",DSDV!G566,"")</f>
        <v/>
      </c>
      <c r="C561" s="237" t="str">
        <f>IF(DSDV!K566&lt;&gt;"",DSDV!K566,"")</f>
        <v/>
      </c>
      <c r="D561" s="417" t="str">
        <f>IF(DSDV!W566&lt;&gt;"",DSDV!W566,"")</f>
        <v/>
      </c>
    </row>
    <row r="562" spans="1:4">
      <c r="A562" t="str">
        <f>IF(DSDV!B567&lt;&gt;"",DSDV!B567,"")</f>
        <v/>
      </c>
      <c r="B562" t="str">
        <f>IF(DSDV!G567&lt;&gt;"",DSDV!G567,"")</f>
        <v/>
      </c>
      <c r="C562" s="237" t="str">
        <f>IF(DSDV!K567&lt;&gt;"",DSDV!K567,"")</f>
        <v/>
      </c>
      <c r="D562" s="417" t="str">
        <f>IF(DSDV!W567&lt;&gt;"",DSDV!W567,"")</f>
        <v/>
      </c>
    </row>
    <row r="563" spans="1:4">
      <c r="A563" t="str">
        <f>IF(DSDV!B568&lt;&gt;"",DSDV!B568,"")</f>
        <v/>
      </c>
      <c r="B563" t="str">
        <f>IF(DSDV!G568&lt;&gt;"",DSDV!G568,"")</f>
        <v/>
      </c>
      <c r="C563" s="237" t="str">
        <f>IF(DSDV!K568&lt;&gt;"",DSDV!K568,"")</f>
        <v/>
      </c>
      <c r="D563" s="417" t="str">
        <f>IF(DSDV!W568&lt;&gt;"",DSDV!W568,"")</f>
        <v/>
      </c>
    </row>
    <row r="564" spans="1:4">
      <c r="A564" t="str">
        <f>IF(DSDV!B569&lt;&gt;"",DSDV!B569,"")</f>
        <v/>
      </c>
      <c r="B564" t="str">
        <f>IF(DSDV!G569&lt;&gt;"",DSDV!G569,"")</f>
        <v/>
      </c>
      <c r="C564" s="237" t="str">
        <f>IF(DSDV!K569&lt;&gt;"",DSDV!K569,"")</f>
        <v/>
      </c>
      <c r="D564" s="417" t="str">
        <f>IF(DSDV!W569&lt;&gt;"",DSDV!W569,"")</f>
        <v/>
      </c>
    </row>
    <row r="565" spans="1:4">
      <c r="A565" t="str">
        <f>IF(DSDV!B570&lt;&gt;"",DSDV!B570,"")</f>
        <v/>
      </c>
      <c r="B565" t="str">
        <f>IF(DSDV!G570&lt;&gt;"",DSDV!G570,"")</f>
        <v/>
      </c>
      <c r="C565" s="237" t="str">
        <f>IF(DSDV!K570&lt;&gt;"",DSDV!K570,"")</f>
        <v/>
      </c>
      <c r="D565" s="417" t="str">
        <f>IF(DSDV!W570&lt;&gt;"",DSDV!W570,"")</f>
        <v/>
      </c>
    </row>
    <row r="566" spans="1:4">
      <c r="A566" t="str">
        <f>IF(DSDV!B571&lt;&gt;"",DSDV!B571,"")</f>
        <v/>
      </c>
      <c r="B566" t="str">
        <f>IF(DSDV!G571&lt;&gt;"",DSDV!G571,"")</f>
        <v/>
      </c>
      <c r="C566" s="237" t="str">
        <f>IF(DSDV!K571&lt;&gt;"",DSDV!K571,"")</f>
        <v/>
      </c>
      <c r="D566" s="417" t="str">
        <f>IF(DSDV!W571&lt;&gt;"",DSDV!W571,"")</f>
        <v/>
      </c>
    </row>
    <row r="567" spans="1:4">
      <c r="A567" t="str">
        <f>IF(DSDV!B572&lt;&gt;"",DSDV!B572,"")</f>
        <v/>
      </c>
      <c r="B567" t="str">
        <f>IF(DSDV!G572&lt;&gt;"",DSDV!G572,"")</f>
        <v/>
      </c>
      <c r="C567" s="237" t="str">
        <f>IF(DSDV!K572&lt;&gt;"",DSDV!K572,"")</f>
        <v/>
      </c>
      <c r="D567" s="417" t="str">
        <f>IF(DSDV!W572&lt;&gt;"",DSDV!W572,"")</f>
        <v/>
      </c>
    </row>
    <row r="568" spans="1:4">
      <c r="A568" t="str">
        <f>IF(DSDV!B573&lt;&gt;"",DSDV!B573,"")</f>
        <v/>
      </c>
      <c r="B568" t="str">
        <f>IF(DSDV!G573&lt;&gt;"",DSDV!G573,"")</f>
        <v/>
      </c>
      <c r="C568" s="237" t="str">
        <f>IF(DSDV!K573&lt;&gt;"",DSDV!K573,"")</f>
        <v/>
      </c>
      <c r="D568" s="417" t="str">
        <f>IF(DSDV!W573&lt;&gt;"",DSDV!W573,"")</f>
        <v/>
      </c>
    </row>
    <row r="569" spans="1:4">
      <c r="A569" t="str">
        <f>IF(DSDV!B574&lt;&gt;"",DSDV!B574,"")</f>
        <v/>
      </c>
      <c r="B569" t="str">
        <f>IF(DSDV!G574&lt;&gt;"",DSDV!G574,"")</f>
        <v/>
      </c>
      <c r="C569" s="237" t="str">
        <f>IF(DSDV!K574&lt;&gt;"",DSDV!K574,"")</f>
        <v/>
      </c>
      <c r="D569" s="417" t="str">
        <f>IF(DSDV!W574&lt;&gt;"",DSDV!W574,"")</f>
        <v/>
      </c>
    </row>
    <row r="570" spans="1:4">
      <c r="A570" t="str">
        <f>IF(DSDV!B575&lt;&gt;"",DSDV!B575,"")</f>
        <v/>
      </c>
      <c r="B570" t="str">
        <f>IF(DSDV!G575&lt;&gt;"",DSDV!G575,"")</f>
        <v/>
      </c>
      <c r="C570" s="237" t="str">
        <f>IF(DSDV!K575&lt;&gt;"",DSDV!K575,"")</f>
        <v/>
      </c>
      <c r="D570" s="417" t="str">
        <f>IF(DSDV!W575&lt;&gt;"",DSDV!W575,"")</f>
        <v/>
      </c>
    </row>
    <row r="571" spans="1:4">
      <c r="A571" t="str">
        <f>IF(DSDV!B576&lt;&gt;"",DSDV!B576,"")</f>
        <v/>
      </c>
      <c r="B571" t="str">
        <f>IF(DSDV!G576&lt;&gt;"",DSDV!G576,"")</f>
        <v/>
      </c>
      <c r="C571" s="237" t="str">
        <f>IF(DSDV!K576&lt;&gt;"",DSDV!K576,"")</f>
        <v/>
      </c>
      <c r="D571" s="417" t="str">
        <f>IF(DSDV!W576&lt;&gt;"",DSDV!W576,"")</f>
        <v/>
      </c>
    </row>
    <row r="572" spans="1:4">
      <c r="A572" t="str">
        <f>IF(DSDV!B577&lt;&gt;"",DSDV!B577,"")</f>
        <v/>
      </c>
      <c r="B572" t="str">
        <f>IF(DSDV!G577&lt;&gt;"",DSDV!G577,"")</f>
        <v/>
      </c>
      <c r="C572" s="237" t="str">
        <f>IF(DSDV!K577&lt;&gt;"",DSDV!K577,"")</f>
        <v/>
      </c>
      <c r="D572" s="417" t="str">
        <f>IF(DSDV!W577&lt;&gt;"",DSDV!W577,"")</f>
        <v/>
      </c>
    </row>
    <row r="573" spans="1:4">
      <c r="A573" t="str">
        <f>IF(DSDV!B578&lt;&gt;"",DSDV!B578,"")</f>
        <v/>
      </c>
      <c r="B573" t="str">
        <f>IF(DSDV!G578&lt;&gt;"",DSDV!G578,"")</f>
        <v/>
      </c>
      <c r="C573" s="237" t="str">
        <f>IF(DSDV!K578&lt;&gt;"",DSDV!K578,"")</f>
        <v/>
      </c>
      <c r="D573" s="417" t="str">
        <f>IF(DSDV!W578&lt;&gt;"",DSDV!W578,"")</f>
        <v/>
      </c>
    </row>
    <row r="574" spans="1:4">
      <c r="A574" t="str">
        <f>IF(DSDV!B579&lt;&gt;"",DSDV!B579,"")</f>
        <v/>
      </c>
      <c r="B574" t="str">
        <f>IF(DSDV!G579&lt;&gt;"",DSDV!G579,"")</f>
        <v/>
      </c>
      <c r="C574" s="237" t="str">
        <f>IF(DSDV!K579&lt;&gt;"",DSDV!K579,"")</f>
        <v/>
      </c>
      <c r="D574" s="417" t="str">
        <f>IF(DSDV!W579&lt;&gt;"",DSDV!W579,"")</f>
        <v/>
      </c>
    </row>
    <row r="575" spans="1:4">
      <c r="A575" t="str">
        <f>IF(DSDV!B580&lt;&gt;"",DSDV!B580,"")</f>
        <v/>
      </c>
      <c r="B575" t="str">
        <f>IF(DSDV!G580&lt;&gt;"",DSDV!G580,"")</f>
        <v/>
      </c>
      <c r="C575" s="237" t="str">
        <f>IF(DSDV!K580&lt;&gt;"",DSDV!K580,"")</f>
        <v/>
      </c>
      <c r="D575" s="417" t="str">
        <f>IF(DSDV!W580&lt;&gt;"",DSDV!W580,"")</f>
        <v/>
      </c>
    </row>
    <row r="576" spans="1:4">
      <c r="A576" t="str">
        <f>IF(DSDV!B581&lt;&gt;"",DSDV!B581,"")</f>
        <v/>
      </c>
      <c r="B576" t="str">
        <f>IF(DSDV!G581&lt;&gt;"",DSDV!G581,"")</f>
        <v/>
      </c>
      <c r="C576" s="237" t="str">
        <f>IF(DSDV!K581&lt;&gt;"",DSDV!K581,"")</f>
        <v/>
      </c>
      <c r="D576" s="417" t="str">
        <f>IF(DSDV!W581&lt;&gt;"",DSDV!W581,"")</f>
        <v/>
      </c>
    </row>
    <row r="577" spans="1:4">
      <c r="A577" t="str">
        <f>IF(DSDV!B582&lt;&gt;"",DSDV!B582,"")</f>
        <v/>
      </c>
      <c r="B577" t="str">
        <f>IF(DSDV!G582&lt;&gt;"",DSDV!G582,"")</f>
        <v/>
      </c>
      <c r="C577" s="237" t="str">
        <f>IF(DSDV!K582&lt;&gt;"",DSDV!K582,"")</f>
        <v/>
      </c>
      <c r="D577" s="417" t="str">
        <f>IF(DSDV!W582&lt;&gt;"",DSDV!W582,"")</f>
        <v/>
      </c>
    </row>
    <row r="578" spans="1:4">
      <c r="A578" t="str">
        <f>IF(DSDV!B583&lt;&gt;"",DSDV!B583,"")</f>
        <v/>
      </c>
      <c r="B578" t="str">
        <f>IF(DSDV!G583&lt;&gt;"",DSDV!G583,"")</f>
        <v/>
      </c>
      <c r="C578" s="237" t="str">
        <f>IF(DSDV!K583&lt;&gt;"",DSDV!K583,"")</f>
        <v/>
      </c>
      <c r="D578" s="417" t="str">
        <f>IF(DSDV!W583&lt;&gt;"",DSDV!W583,"")</f>
        <v/>
      </c>
    </row>
    <row r="579" spans="1:4">
      <c r="A579" t="str">
        <f>IF(DSDV!B584&lt;&gt;"",DSDV!B584,"")</f>
        <v/>
      </c>
      <c r="B579" t="str">
        <f>IF(DSDV!G584&lt;&gt;"",DSDV!G584,"")</f>
        <v/>
      </c>
      <c r="C579" s="237" t="str">
        <f>IF(DSDV!K584&lt;&gt;"",DSDV!K584,"")</f>
        <v/>
      </c>
      <c r="D579" s="417" t="str">
        <f>IF(DSDV!W584&lt;&gt;"",DSDV!W584,"")</f>
        <v/>
      </c>
    </row>
    <row r="580" spans="1:4">
      <c r="A580" t="str">
        <f>IF(DSDV!B585&lt;&gt;"",DSDV!B585,"")</f>
        <v/>
      </c>
      <c r="B580" t="str">
        <f>IF(DSDV!G585&lt;&gt;"",DSDV!G585,"")</f>
        <v/>
      </c>
      <c r="C580" s="237" t="str">
        <f>IF(DSDV!K585&lt;&gt;"",DSDV!K585,"")</f>
        <v/>
      </c>
      <c r="D580" s="417" t="str">
        <f>IF(DSDV!W585&lt;&gt;"",DSDV!W585,"")</f>
        <v/>
      </c>
    </row>
    <row r="581" spans="1:4">
      <c r="A581" t="str">
        <f>IF(DSDV!B586&lt;&gt;"",DSDV!B586,"")</f>
        <v/>
      </c>
      <c r="B581" t="str">
        <f>IF(DSDV!G586&lt;&gt;"",DSDV!G586,"")</f>
        <v/>
      </c>
      <c r="C581" s="237" t="str">
        <f>IF(DSDV!K586&lt;&gt;"",DSDV!K586,"")</f>
        <v/>
      </c>
      <c r="D581" s="417" t="str">
        <f>IF(DSDV!W586&lt;&gt;"",DSDV!W586,"")</f>
        <v/>
      </c>
    </row>
    <row r="582" spans="1:4">
      <c r="A582" t="str">
        <f>IF(DSDV!B587&lt;&gt;"",DSDV!B587,"")</f>
        <v/>
      </c>
      <c r="B582" t="str">
        <f>IF(DSDV!G587&lt;&gt;"",DSDV!G587,"")</f>
        <v/>
      </c>
      <c r="C582" s="237" t="str">
        <f>IF(DSDV!K587&lt;&gt;"",DSDV!K587,"")</f>
        <v/>
      </c>
      <c r="D582" s="417" t="str">
        <f>IF(DSDV!W587&lt;&gt;"",DSDV!W587,"")</f>
        <v/>
      </c>
    </row>
    <row r="583" spans="1:4">
      <c r="A583" t="str">
        <f>IF(DSDV!B588&lt;&gt;"",DSDV!B588,"")</f>
        <v/>
      </c>
      <c r="B583" t="str">
        <f>IF(DSDV!G588&lt;&gt;"",DSDV!G588,"")</f>
        <v/>
      </c>
      <c r="C583" s="237" t="str">
        <f>IF(DSDV!K588&lt;&gt;"",DSDV!K588,"")</f>
        <v/>
      </c>
      <c r="D583" s="417" t="str">
        <f>IF(DSDV!W588&lt;&gt;"",DSDV!W588,"")</f>
        <v/>
      </c>
    </row>
    <row r="584" spans="1:4">
      <c r="A584" t="str">
        <f>IF(DSDV!B589&lt;&gt;"",DSDV!B589,"")</f>
        <v/>
      </c>
      <c r="B584" t="str">
        <f>IF(DSDV!G589&lt;&gt;"",DSDV!G589,"")</f>
        <v/>
      </c>
      <c r="C584" s="237" t="str">
        <f>IF(DSDV!K589&lt;&gt;"",DSDV!K589,"")</f>
        <v/>
      </c>
      <c r="D584" s="417" t="str">
        <f>IF(DSDV!W589&lt;&gt;"",DSDV!W589,"")</f>
        <v/>
      </c>
    </row>
    <row r="585" spans="1:4">
      <c r="A585" t="str">
        <f>IF(DSDV!B590&lt;&gt;"",DSDV!B590,"")</f>
        <v/>
      </c>
      <c r="B585" t="str">
        <f>IF(DSDV!G590&lt;&gt;"",DSDV!G590,"")</f>
        <v/>
      </c>
      <c r="C585" s="237" t="str">
        <f>IF(DSDV!K590&lt;&gt;"",DSDV!K590,"")</f>
        <v/>
      </c>
      <c r="D585" s="417" t="str">
        <f>IF(DSDV!W590&lt;&gt;"",DSDV!W590,"")</f>
        <v/>
      </c>
    </row>
    <row r="586" spans="1:4">
      <c r="A586" t="str">
        <f>IF(DSDV!B591&lt;&gt;"",DSDV!B591,"")</f>
        <v/>
      </c>
      <c r="B586" t="str">
        <f>IF(DSDV!G591&lt;&gt;"",DSDV!G591,"")</f>
        <v/>
      </c>
      <c r="C586" s="237" t="str">
        <f>IF(DSDV!K591&lt;&gt;"",DSDV!K591,"")</f>
        <v/>
      </c>
      <c r="D586" s="417" t="str">
        <f>IF(DSDV!W591&lt;&gt;"",DSDV!W591,"")</f>
        <v/>
      </c>
    </row>
    <row r="587" spans="1:4">
      <c r="A587" t="str">
        <f>IF(DSDV!B592&lt;&gt;"",DSDV!B592,"")</f>
        <v/>
      </c>
      <c r="B587" t="str">
        <f>IF(DSDV!G592&lt;&gt;"",DSDV!G592,"")</f>
        <v/>
      </c>
      <c r="C587" s="237" t="str">
        <f>IF(DSDV!K592&lt;&gt;"",DSDV!K592,"")</f>
        <v/>
      </c>
      <c r="D587" s="417" t="str">
        <f>IF(DSDV!W592&lt;&gt;"",DSDV!W592,"")</f>
        <v/>
      </c>
    </row>
    <row r="588" spans="1:4">
      <c r="A588" t="str">
        <f>IF(DSDV!B593&lt;&gt;"",DSDV!B593,"")</f>
        <v/>
      </c>
      <c r="B588" t="str">
        <f>IF(DSDV!G593&lt;&gt;"",DSDV!G593,"")</f>
        <v/>
      </c>
      <c r="C588" s="237" t="str">
        <f>IF(DSDV!K593&lt;&gt;"",DSDV!K593,"")</f>
        <v/>
      </c>
      <c r="D588" s="417" t="str">
        <f>IF(DSDV!W593&lt;&gt;"",DSDV!W593,"")</f>
        <v/>
      </c>
    </row>
    <row r="589" spans="1:4">
      <c r="A589" t="str">
        <f>IF(DSDV!B594&lt;&gt;"",DSDV!B594,"")</f>
        <v/>
      </c>
      <c r="B589" t="str">
        <f>IF(DSDV!G594&lt;&gt;"",DSDV!G594,"")</f>
        <v/>
      </c>
      <c r="C589" s="237" t="str">
        <f>IF(DSDV!K594&lt;&gt;"",DSDV!K594,"")</f>
        <v/>
      </c>
      <c r="D589" s="417" t="str">
        <f>IF(DSDV!W594&lt;&gt;"",DSDV!W594,"")</f>
        <v/>
      </c>
    </row>
    <row r="590" spans="1:4">
      <c r="A590" t="str">
        <f>IF(DSDV!B595&lt;&gt;"",DSDV!B595,"")</f>
        <v/>
      </c>
      <c r="B590" t="str">
        <f>IF(DSDV!G595&lt;&gt;"",DSDV!G595,"")</f>
        <v/>
      </c>
      <c r="C590" s="237" t="str">
        <f>IF(DSDV!K595&lt;&gt;"",DSDV!K595,"")</f>
        <v/>
      </c>
      <c r="D590" s="417" t="str">
        <f>IF(DSDV!W595&lt;&gt;"",DSDV!W595,"")</f>
        <v/>
      </c>
    </row>
    <row r="591" spans="1:4">
      <c r="A591" t="str">
        <f>IF(DSDV!B596&lt;&gt;"",DSDV!B596,"")</f>
        <v/>
      </c>
      <c r="B591" t="str">
        <f>IF(DSDV!G596&lt;&gt;"",DSDV!G596,"")</f>
        <v/>
      </c>
      <c r="C591" s="237" t="str">
        <f>IF(DSDV!K596&lt;&gt;"",DSDV!K596,"")</f>
        <v/>
      </c>
      <c r="D591" s="417" t="str">
        <f>IF(DSDV!W596&lt;&gt;"",DSDV!W596,"")</f>
        <v/>
      </c>
    </row>
    <row r="592" spans="1:4">
      <c r="A592" t="str">
        <f>IF(DSDV!B597&lt;&gt;"",DSDV!B597,"")</f>
        <v/>
      </c>
      <c r="B592" t="str">
        <f>IF(DSDV!G597&lt;&gt;"",DSDV!G597,"")</f>
        <v/>
      </c>
      <c r="C592" s="237" t="str">
        <f>IF(DSDV!K597&lt;&gt;"",DSDV!K597,"")</f>
        <v/>
      </c>
      <c r="D592" s="417" t="str">
        <f>IF(DSDV!W597&lt;&gt;"",DSDV!W597,"")</f>
        <v/>
      </c>
    </row>
    <row r="593" spans="1:4">
      <c r="A593" t="str">
        <f>IF(DSDV!B598&lt;&gt;"",DSDV!B598,"")</f>
        <v/>
      </c>
      <c r="B593" t="str">
        <f>IF(DSDV!G598&lt;&gt;"",DSDV!G598,"")</f>
        <v/>
      </c>
      <c r="C593" s="237" t="str">
        <f>IF(DSDV!K598&lt;&gt;"",DSDV!K598,"")</f>
        <v/>
      </c>
      <c r="D593" s="417" t="str">
        <f>IF(DSDV!W598&lt;&gt;"",DSDV!W598,"")</f>
        <v/>
      </c>
    </row>
    <row r="594" spans="1:4">
      <c r="A594" t="str">
        <f>IF(DSDV!B599&lt;&gt;"",DSDV!B599,"")</f>
        <v/>
      </c>
      <c r="B594" t="str">
        <f>IF(DSDV!G599&lt;&gt;"",DSDV!G599,"")</f>
        <v/>
      </c>
      <c r="C594" s="237" t="str">
        <f>IF(DSDV!K599&lt;&gt;"",DSDV!K599,"")</f>
        <v/>
      </c>
      <c r="D594" s="417" t="str">
        <f>IF(DSDV!W599&lt;&gt;"",DSDV!W599,"")</f>
        <v/>
      </c>
    </row>
    <row r="595" spans="1:4">
      <c r="A595" t="str">
        <f>IF(DSDV!B600&lt;&gt;"",DSDV!B600,"")</f>
        <v/>
      </c>
      <c r="B595" t="str">
        <f>IF(DSDV!G600&lt;&gt;"",DSDV!G600,"")</f>
        <v/>
      </c>
      <c r="C595" s="237" t="str">
        <f>IF(DSDV!K600&lt;&gt;"",DSDV!K600,"")</f>
        <v/>
      </c>
      <c r="D595" s="417" t="str">
        <f>IF(DSDV!W600&lt;&gt;"",DSDV!W600,"")</f>
        <v/>
      </c>
    </row>
    <row r="596" spans="1:4">
      <c r="A596" t="str">
        <f>IF(DSDV!B601&lt;&gt;"",DSDV!B601,"")</f>
        <v/>
      </c>
      <c r="B596" t="str">
        <f>IF(DSDV!G601&lt;&gt;"",DSDV!G601,"")</f>
        <v/>
      </c>
      <c r="C596" s="237" t="str">
        <f>IF(DSDV!K601&lt;&gt;"",DSDV!K601,"")</f>
        <v/>
      </c>
      <c r="D596" s="417" t="str">
        <f>IF(DSDV!W601&lt;&gt;"",DSDV!W601,"")</f>
        <v/>
      </c>
    </row>
    <row r="597" spans="1:4">
      <c r="A597" t="str">
        <f>IF(DSDV!B602&lt;&gt;"",DSDV!B602,"")</f>
        <v/>
      </c>
      <c r="B597" t="str">
        <f>IF(DSDV!G602&lt;&gt;"",DSDV!G602,"")</f>
        <v/>
      </c>
      <c r="C597" s="237" t="str">
        <f>IF(DSDV!K602&lt;&gt;"",DSDV!K602,"")</f>
        <v/>
      </c>
      <c r="D597" s="417" t="str">
        <f>IF(DSDV!W602&lt;&gt;"",DSDV!W602,"")</f>
        <v/>
      </c>
    </row>
    <row r="598" spans="1:4">
      <c r="A598" t="str">
        <f>IF(DSDV!B603&lt;&gt;"",DSDV!B603,"")</f>
        <v/>
      </c>
      <c r="B598" t="str">
        <f>IF(DSDV!G603&lt;&gt;"",DSDV!G603,"")</f>
        <v/>
      </c>
      <c r="C598" s="237" t="str">
        <f>IF(DSDV!K603&lt;&gt;"",DSDV!K603,"")</f>
        <v/>
      </c>
      <c r="D598" s="417" t="str">
        <f>IF(DSDV!W603&lt;&gt;"",DSDV!W603,"")</f>
        <v/>
      </c>
    </row>
    <row r="599" spans="1:4">
      <c r="A599" t="str">
        <f>IF(DSDV!B604&lt;&gt;"",DSDV!B604,"")</f>
        <v/>
      </c>
      <c r="B599" t="str">
        <f>IF(DSDV!G604&lt;&gt;"",DSDV!G604,"")</f>
        <v/>
      </c>
      <c r="C599" s="237" t="str">
        <f>IF(DSDV!K604&lt;&gt;"",DSDV!K604,"")</f>
        <v/>
      </c>
      <c r="D599" s="417" t="str">
        <f>IF(DSDV!W604&lt;&gt;"",DSDV!W604,"")</f>
        <v/>
      </c>
    </row>
    <row r="600" spans="1:4">
      <c r="A600" t="str">
        <f>IF(DSDV!B605&lt;&gt;"",DSDV!B605,"")</f>
        <v/>
      </c>
      <c r="B600" t="str">
        <f>IF(DSDV!G605&lt;&gt;"",DSDV!G605,"")</f>
        <v/>
      </c>
      <c r="C600" s="237" t="str">
        <f>IF(DSDV!K605&lt;&gt;"",DSDV!K605,"")</f>
        <v/>
      </c>
      <c r="D600" s="417" t="str">
        <f>IF(DSDV!W605&lt;&gt;"",DSDV!W605,"")</f>
        <v/>
      </c>
    </row>
    <row r="601" spans="1:4">
      <c r="A601" t="str">
        <f>IF(DSDV!B606&lt;&gt;"",DSDV!B606,"")</f>
        <v/>
      </c>
      <c r="B601" t="str">
        <f>IF(DSDV!G606&lt;&gt;"",DSDV!G606,"")</f>
        <v/>
      </c>
      <c r="C601" s="237" t="str">
        <f>IF(DSDV!K606&lt;&gt;"",DSDV!K606,"")</f>
        <v/>
      </c>
      <c r="D601" s="417" t="str">
        <f>IF(DSDV!W606&lt;&gt;"",DSDV!W606,"")</f>
        <v/>
      </c>
    </row>
    <row r="602" spans="1:4">
      <c r="A602" t="str">
        <f>IF(DSDV!B607&lt;&gt;"",DSDV!B607,"")</f>
        <v/>
      </c>
      <c r="B602" t="str">
        <f>IF(DSDV!G607&lt;&gt;"",DSDV!G607,"")</f>
        <v/>
      </c>
      <c r="C602" s="237" t="str">
        <f>IF(DSDV!K607&lt;&gt;"",DSDV!K607,"")</f>
        <v/>
      </c>
      <c r="D602" s="417" t="str">
        <f>IF(DSDV!W607&lt;&gt;"",DSDV!W607,"")</f>
        <v/>
      </c>
    </row>
    <row r="603" spans="1:4">
      <c r="A603" t="str">
        <f>IF(DSDV!B608&lt;&gt;"",DSDV!B608,"")</f>
        <v/>
      </c>
      <c r="B603" t="str">
        <f>IF(DSDV!G608&lt;&gt;"",DSDV!G608,"")</f>
        <v/>
      </c>
      <c r="C603" s="237" t="str">
        <f>IF(DSDV!K608&lt;&gt;"",DSDV!K608,"")</f>
        <v/>
      </c>
      <c r="D603" s="417" t="str">
        <f>IF(DSDV!W608&lt;&gt;"",DSDV!W608,"")</f>
        <v/>
      </c>
    </row>
    <row r="604" spans="1:4">
      <c r="A604" t="str">
        <f>IF(DSDV!B609&lt;&gt;"",DSDV!B609,"")</f>
        <v/>
      </c>
      <c r="B604" t="str">
        <f>IF(DSDV!G609&lt;&gt;"",DSDV!G609,"")</f>
        <v/>
      </c>
      <c r="C604" s="237" t="str">
        <f>IF(DSDV!K609&lt;&gt;"",DSDV!K609,"")</f>
        <v/>
      </c>
      <c r="D604" s="417" t="str">
        <f>IF(DSDV!W609&lt;&gt;"",DSDV!W609,"")</f>
        <v/>
      </c>
    </row>
    <row r="605" spans="1:4">
      <c r="A605" t="str">
        <f>IF(DSDV!B610&lt;&gt;"",DSDV!B610,"")</f>
        <v/>
      </c>
      <c r="B605" t="str">
        <f>IF(DSDV!G610&lt;&gt;"",DSDV!G610,"")</f>
        <v/>
      </c>
      <c r="C605" s="237" t="str">
        <f>IF(DSDV!K610&lt;&gt;"",DSDV!K610,"")</f>
        <v/>
      </c>
      <c r="D605" s="417" t="str">
        <f>IF(DSDV!W610&lt;&gt;"",DSDV!W610,"")</f>
        <v/>
      </c>
    </row>
    <row r="606" spans="1:4">
      <c r="A606" t="str">
        <f>IF(DSDV!B611&lt;&gt;"",DSDV!B611,"")</f>
        <v/>
      </c>
      <c r="B606" t="str">
        <f>IF(DSDV!G611&lt;&gt;"",DSDV!G611,"")</f>
        <v/>
      </c>
      <c r="C606" s="237" t="str">
        <f>IF(DSDV!K611&lt;&gt;"",DSDV!K611,"")</f>
        <v/>
      </c>
      <c r="D606" s="417" t="str">
        <f>IF(DSDV!W611&lt;&gt;"",DSDV!W611,"")</f>
        <v/>
      </c>
    </row>
    <row r="607" spans="1:4">
      <c r="A607" t="str">
        <f>IF(DSDV!B612&lt;&gt;"",DSDV!B612,"")</f>
        <v/>
      </c>
      <c r="B607" t="str">
        <f>IF(DSDV!G612&lt;&gt;"",DSDV!G612,"")</f>
        <v/>
      </c>
      <c r="C607" s="237" t="str">
        <f>IF(DSDV!K612&lt;&gt;"",DSDV!K612,"")</f>
        <v/>
      </c>
      <c r="D607" s="417" t="str">
        <f>IF(DSDV!W612&lt;&gt;"",DSDV!W612,"")</f>
        <v/>
      </c>
    </row>
    <row r="608" spans="1:4">
      <c r="A608" t="str">
        <f>IF(DSDV!B613&lt;&gt;"",DSDV!B613,"")</f>
        <v/>
      </c>
      <c r="B608" t="str">
        <f>IF(DSDV!G613&lt;&gt;"",DSDV!G613,"")</f>
        <v/>
      </c>
      <c r="C608" s="237" t="str">
        <f>IF(DSDV!K613&lt;&gt;"",DSDV!K613,"")</f>
        <v/>
      </c>
      <c r="D608" s="417" t="str">
        <f>IF(DSDV!W613&lt;&gt;"",DSDV!W613,"")</f>
        <v/>
      </c>
    </row>
    <row r="609" spans="1:4">
      <c r="A609" t="str">
        <f>IF(DSDV!B614&lt;&gt;"",DSDV!B614,"")</f>
        <v/>
      </c>
      <c r="B609" t="str">
        <f>IF(DSDV!G614&lt;&gt;"",DSDV!G614,"")</f>
        <v/>
      </c>
      <c r="C609" s="237" t="str">
        <f>IF(DSDV!K614&lt;&gt;"",DSDV!K614,"")</f>
        <v/>
      </c>
      <c r="D609" s="417" t="str">
        <f>IF(DSDV!W614&lt;&gt;"",DSDV!W614,"")</f>
        <v/>
      </c>
    </row>
    <row r="610" spans="1:4">
      <c r="A610" t="str">
        <f>IF(DSDV!B615&lt;&gt;"",DSDV!B615,"")</f>
        <v/>
      </c>
      <c r="B610" t="str">
        <f>IF(DSDV!G615&lt;&gt;"",DSDV!G615,"")</f>
        <v/>
      </c>
      <c r="C610" s="237" t="str">
        <f>IF(DSDV!K615&lt;&gt;"",DSDV!K615,"")</f>
        <v/>
      </c>
      <c r="D610" s="417" t="str">
        <f>IF(DSDV!W615&lt;&gt;"",DSDV!W615,"")</f>
        <v/>
      </c>
    </row>
    <row r="611" spans="1:4">
      <c r="A611" t="str">
        <f>IF(DSDV!B616&lt;&gt;"",DSDV!B616,"")</f>
        <v/>
      </c>
      <c r="B611" t="str">
        <f>IF(DSDV!G616&lt;&gt;"",DSDV!G616,"")</f>
        <v/>
      </c>
      <c r="C611" s="237" t="str">
        <f>IF(DSDV!K616&lt;&gt;"",DSDV!K616,"")</f>
        <v/>
      </c>
      <c r="D611" s="417" t="str">
        <f>IF(DSDV!W616&lt;&gt;"",DSDV!W616,"")</f>
        <v/>
      </c>
    </row>
    <row r="612" spans="1:4">
      <c r="A612" t="str">
        <f>IF(DSDV!B617&lt;&gt;"",DSDV!B617,"")</f>
        <v/>
      </c>
      <c r="B612" t="str">
        <f>IF(DSDV!G617&lt;&gt;"",DSDV!G617,"")</f>
        <v/>
      </c>
      <c r="C612" s="237" t="str">
        <f>IF(DSDV!K617&lt;&gt;"",DSDV!K617,"")</f>
        <v/>
      </c>
      <c r="D612" s="417" t="str">
        <f>IF(DSDV!W617&lt;&gt;"",DSDV!W617,"")</f>
        <v/>
      </c>
    </row>
    <row r="613" spans="1:4">
      <c r="A613" t="str">
        <f>IF(DSDV!B618&lt;&gt;"",DSDV!B618,"")</f>
        <v/>
      </c>
      <c r="B613" t="str">
        <f>IF(DSDV!G618&lt;&gt;"",DSDV!G618,"")</f>
        <v/>
      </c>
      <c r="C613" s="237" t="str">
        <f>IF(DSDV!K618&lt;&gt;"",DSDV!K618,"")</f>
        <v/>
      </c>
      <c r="D613" s="417" t="str">
        <f>IF(DSDV!W618&lt;&gt;"",DSDV!W618,"")</f>
        <v/>
      </c>
    </row>
    <row r="614" spans="1:4">
      <c r="A614" t="str">
        <f>IF(DSDV!B619&lt;&gt;"",DSDV!B619,"")</f>
        <v/>
      </c>
      <c r="B614" t="str">
        <f>IF(DSDV!G619&lt;&gt;"",DSDV!G619,"")</f>
        <v/>
      </c>
      <c r="C614" s="237" t="str">
        <f>IF(DSDV!K619&lt;&gt;"",DSDV!K619,"")</f>
        <v/>
      </c>
      <c r="D614" s="417" t="str">
        <f>IF(DSDV!W619&lt;&gt;"",DSDV!W619,"")</f>
        <v/>
      </c>
    </row>
    <row r="615" spans="1:4">
      <c r="A615" t="str">
        <f>IF(DSDV!B620&lt;&gt;"",DSDV!B620,"")</f>
        <v/>
      </c>
      <c r="B615" t="str">
        <f>IF(DSDV!G620&lt;&gt;"",DSDV!G620,"")</f>
        <v/>
      </c>
      <c r="C615" s="237" t="str">
        <f>IF(DSDV!K620&lt;&gt;"",DSDV!K620,"")</f>
        <v/>
      </c>
      <c r="D615" s="417" t="str">
        <f>IF(DSDV!W620&lt;&gt;"",DSDV!W620,"")</f>
        <v/>
      </c>
    </row>
    <row r="616" spans="1:4">
      <c r="A616" t="str">
        <f>IF(DSDV!B621&lt;&gt;"",DSDV!B621,"")</f>
        <v/>
      </c>
      <c r="B616" t="str">
        <f>IF(DSDV!G621&lt;&gt;"",DSDV!G621,"")</f>
        <v/>
      </c>
      <c r="C616" s="237" t="str">
        <f>IF(DSDV!K621&lt;&gt;"",DSDV!K621,"")</f>
        <v/>
      </c>
      <c r="D616" s="417" t="str">
        <f>IF(DSDV!W621&lt;&gt;"",DSDV!W621,"")</f>
        <v/>
      </c>
    </row>
    <row r="617" spans="1:4">
      <c r="A617" t="str">
        <f>IF(DSDV!B622&lt;&gt;"",DSDV!B622,"")</f>
        <v/>
      </c>
      <c r="B617" t="str">
        <f>IF(DSDV!G622&lt;&gt;"",DSDV!G622,"")</f>
        <v/>
      </c>
      <c r="C617" s="237" t="str">
        <f>IF(DSDV!K622&lt;&gt;"",DSDV!K622,"")</f>
        <v/>
      </c>
      <c r="D617" s="417" t="str">
        <f>IF(DSDV!W622&lt;&gt;"",DSDV!W622,"")</f>
        <v/>
      </c>
    </row>
    <row r="618" spans="1:4">
      <c r="A618" t="str">
        <f>IF(DSDV!B623&lt;&gt;"",DSDV!B623,"")</f>
        <v/>
      </c>
      <c r="B618" t="str">
        <f>IF(DSDV!G623&lt;&gt;"",DSDV!G623,"")</f>
        <v/>
      </c>
      <c r="C618" s="237" t="str">
        <f>IF(DSDV!K623&lt;&gt;"",DSDV!K623,"")</f>
        <v/>
      </c>
      <c r="D618" s="417" t="str">
        <f>IF(DSDV!W623&lt;&gt;"",DSDV!W623,"")</f>
        <v/>
      </c>
    </row>
    <row r="619" spans="1:4">
      <c r="A619" t="str">
        <f>IF(DSDV!B624&lt;&gt;"",DSDV!B624,"")</f>
        <v/>
      </c>
      <c r="B619" t="str">
        <f>IF(DSDV!G624&lt;&gt;"",DSDV!G624,"")</f>
        <v/>
      </c>
      <c r="C619" s="237" t="str">
        <f>IF(DSDV!K624&lt;&gt;"",DSDV!K624,"")</f>
        <v/>
      </c>
      <c r="D619" s="417" t="str">
        <f>IF(DSDV!W624&lt;&gt;"",DSDV!W624,"")</f>
        <v/>
      </c>
    </row>
    <row r="620" spans="1:4">
      <c r="A620" t="str">
        <f>IF(DSDV!B625&lt;&gt;"",DSDV!B625,"")</f>
        <v/>
      </c>
      <c r="B620" t="str">
        <f>IF(DSDV!G625&lt;&gt;"",DSDV!G625,"")</f>
        <v/>
      </c>
      <c r="C620" s="237" t="str">
        <f>IF(DSDV!K625&lt;&gt;"",DSDV!K625,"")</f>
        <v/>
      </c>
      <c r="D620" s="417" t="str">
        <f>IF(DSDV!W625&lt;&gt;"",DSDV!W625,"")</f>
        <v/>
      </c>
    </row>
    <row r="621" spans="1:4">
      <c r="A621" t="str">
        <f>IF(DSDV!B626&lt;&gt;"",DSDV!B626,"")</f>
        <v/>
      </c>
      <c r="B621" t="str">
        <f>IF(DSDV!G626&lt;&gt;"",DSDV!G626,"")</f>
        <v/>
      </c>
      <c r="C621" s="237" t="str">
        <f>IF(DSDV!K626&lt;&gt;"",DSDV!K626,"")</f>
        <v/>
      </c>
      <c r="D621" s="417" t="str">
        <f>IF(DSDV!W626&lt;&gt;"",DSDV!W626,"")</f>
        <v/>
      </c>
    </row>
    <row r="622" spans="1:4">
      <c r="A622" t="str">
        <f>IF(DSDV!B627&lt;&gt;"",DSDV!B627,"")</f>
        <v/>
      </c>
      <c r="B622" t="str">
        <f>IF(DSDV!G627&lt;&gt;"",DSDV!G627,"")</f>
        <v/>
      </c>
      <c r="C622" s="237" t="str">
        <f>IF(DSDV!K627&lt;&gt;"",DSDV!K627,"")</f>
        <v/>
      </c>
      <c r="D622" s="417" t="str">
        <f>IF(DSDV!W627&lt;&gt;"",DSDV!W627,"")</f>
        <v/>
      </c>
    </row>
    <row r="623" spans="1:4">
      <c r="A623" t="str">
        <f>IF(DSDV!B628&lt;&gt;"",DSDV!B628,"")</f>
        <v/>
      </c>
      <c r="B623" t="str">
        <f>IF(DSDV!G628&lt;&gt;"",DSDV!G628,"")</f>
        <v/>
      </c>
      <c r="C623" s="237" t="str">
        <f>IF(DSDV!K628&lt;&gt;"",DSDV!K628,"")</f>
        <v/>
      </c>
      <c r="D623" s="417" t="str">
        <f>IF(DSDV!W628&lt;&gt;"",DSDV!W628,"")</f>
        <v/>
      </c>
    </row>
    <row r="624" spans="1:4">
      <c r="A624" t="str">
        <f>IF(DSDV!B629&lt;&gt;"",DSDV!B629,"")</f>
        <v/>
      </c>
      <c r="B624" t="str">
        <f>IF(DSDV!G629&lt;&gt;"",DSDV!G629,"")</f>
        <v/>
      </c>
      <c r="C624" s="237" t="str">
        <f>IF(DSDV!K629&lt;&gt;"",DSDV!K629,"")</f>
        <v/>
      </c>
      <c r="D624" s="417" t="str">
        <f>IF(DSDV!W629&lt;&gt;"",DSDV!W629,"")</f>
        <v/>
      </c>
    </row>
    <row r="625" spans="1:4">
      <c r="A625" t="str">
        <f>IF(DSDV!B630&lt;&gt;"",DSDV!B630,"")</f>
        <v/>
      </c>
      <c r="B625" t="str">
        <f>IF(DSDV!G630&lt;&gt;"",DSDV!G630,"")</f>
        <v/>
      </c>
      <c r="C625" s="237" t="str">
        <f>IF(DSDV!K630&lt;&gt;"",DSDV!K630,"")</f>
        <v/>
      </c>
      <c r="D625" s="417" t="str">
        <f>IF(DSDV!W630&lt;&gt;"",DSDV!W630,"")</f>
        <v/>
      </c>
    </row>
    <row r="626" spans="1:4">
      <c r="A626" t="str">
        <f>IF(DSDV!B631&lt;&gt;"",DSDV!B631,"")</f>
        <v/>
      </c>
      <c r="B626" t="str">
        <f>IF(DSDV!G631&lt;&gt;"",DSDV!G631,"")</f>
        <v/>
      </c>
      <c r="C626" s="237" t="str">
        <f>IF(DSDV!K631&lt;&gt;"",DSDV!K631,"")</f>
        <v/>
      </c>
      <c r="D626" s="417" t="str">
        <f>IF(DSDV!W631&lt;&gt;"",DSDV!W631,"")</f>
        <v/>
      </c>
    </row>
    <row r="627" spans="1:4">
      <c r="A627" t="str">
        <f>IF(DSDV!B632&lt;&gt;"",DSDV!B632,"")</f>
        <v/>
      </c>
      <c r="B627" t="str">
        <f>IF(DSDV!G632&lt;&gt;"",DSDV!G632,"")</f>
        <v/>
      </c>
      <c r="C627" s="237" t="str">
        <f>IF(DSDV!K632&lt;&gt;"",DSDV!K632,"")</f>
        <v/>
      </c>
      <c r="D627" s="417" t="str">
        <f>IF(DSDV!W632&lt;&gt;"",DSDV!W632,"")</f>
        <v/>
      </c>
    </row>
    <row r="628" spans="1:4">
      <c r="A628" t="str">
        <f>IF(DSDV!B633&lt;&gt;"",DSDV!B633,"")</f>
        <v/>
      </c>
      <c r="B628" t="str">
        <f>IF(DSDV!G633&lt;&gt;"",DSDV!G633,"")</f>
        <v/>
      </c>
      <c r="C628" s="237" t="str">
        <f>IF(DSDV!K633&lt;&gt;"",DSDV!K633,"")</f>
        <v/>
      </c>
      <c r="D628" s="417" t="str">
        <f>IF(DSDV!W633&lt;&gt;"",DSDV!W633,"")</f>
        <v/>
      </c>
    </row>
    <row r="629" spans="1:4">
      <c r="A629" t="str">
        <f>IF(DSDV!B634&lt;&gt;"",DSDV!B634,"")</f>
        <v/>
      </c>
      <c r="B629" t="str">
        <f>IF(DSDV!G634&lt;&gt;"",DSDV!G634,"")</f>
        <v/>
      </c>
      <c r="C629" s="237" t="str">
        <f>IF(DSDV!K634&lt;&gt;"",DSDV!K634,"")</f>
        <v/>
      </c>
      <c r="D629" s="417" t="str">
        <f>IF(DSDV!W634&lt;&gt;"",DSDV!W634,"")</f>
        <v/>
      </c>
    </row>
    <row r="630" spans="1:4">
      <c r="A630" t="str">
        <f>IF(DSDV!B635&lt;&gt;"",DSDV!B635,"")</f>
        <v/>
      </c>
      <c r="B630" t="str">
        <f>IF(DSDV!G635&lt;&gt;"",DSDV!G635,"")</f>
        <v/>
      </c>
      <c r="C630" s="237" t="str">
        <f>IF(DSDV!K635&lt;&gt;"",DSDV!K635,"")</f>
        <v/>
      </c>
      <c r="D630" s="417" t="str">
        <f>IF(DSDV!W635&lt;&gt;"",DSDV!W635,"")</f>
        <v/>
      </c>
    </row>
    <row r="631" spans="1:4">
      <c r="A631" t="str">
        <f>IF(DSDV!B636&lt;&gt;"",DSDV!B636,"")</f>
        <v/>
      </c>
      <c r="B631" t="str">
        <f>IF(DSDV!G636&lt;&gt;"",DSDV!G636,"")</f>
        <v/>
      </c>
      <c r="C631" s="237" t="str">
        <f>IF(DSDV!K636&lt;&gt;"",DSDV!K636,"")</f>
        <v/>
      </c>
      <c r="D631" s="417" t="str">
        <f>IF(DSDV!W636&lt;&gt;"",DSDV!W636,"")</f>
        <v/>
      </c>
    </row>
    <row r="632" spans="1:4">
      <c r="A632" t="str">
        <f>IF(DSDV!B637&lt;&gt;"",DSDV!B637,"")</f>
        <v/>
      </c>
      <c r="B632" t="str">
        <f>IF(DSDV!G637&lt;&gt;"",DSDV!G637,"")</f>
        <v/>
      </c>
      <c r="C632" s="237" t="str">
        <f>IF(DSDV!K637&lt;&gt;"",DSDV!K637,"")</f>
        <v/>
      </c>
      <c r="D632" s="417" t="str">
        <f>IF(DSDV!W637&lt;&gt;"",DSDV!W637,"")</f>
        <v/>
      </c>
    </row>
    <row r="633" spans="1:4">
      <c r="A633" t="str">
        <f>IF(DSDV!B638&lt;&gt;"",DSDV!B638,"")</f>
        <v/>
      </c>
      <c r="B633" t="str">
        <f>IF(DSDV!G638&lt;&gt;"",DSDV!G638,"")</f>
        <v/>
      </c>
      <c r="C633" s="237" t="str">
        <f>IF(DSDV!K638&lt;&gt;"",DSDV!K638,"")</f>
        <v/>
      </c>
      <c r="D633" s="417" t="str">
        <f>IF(DSDV!W638&lt;&gt;"",DSDV!W638,"")</f>
        <v/>
      </c>
    </row>
    <row r="634" spans="1:4">
      <c r="A634" t="str">
        <f>IF(DSDV!B639&lt;&gt;"",DSDV!B639,"")</f>
        <v/>
      </c>
      <c r="B634" t="str">
        <f>IF(DSDV!G639&lt;&gt;"",DSDV!G639,"")</f>
        <v/>
      </c>
      <c r="C634" s="237" t="str">
        <f>IF(DSDV!K639&lt;&gt;"",DSDV!K639,"")</f>
        <v/>
      </c>
      <c r="D634" s="417" t="str">
        <f>IF(DSDV!W639&lt;&gt;"",DSDV!W639,"")</f>
        <v/>
      </c>
    </row>
    <row r="635" spans="1:4">
      <c r="A635" t="str">
        <f>IF(DSDV!B640&lt;&gt;"",DSDV!B640,"")</f>
        <v/>
      </c>
      <c r="B635" t="str">
        <f>IF(DSDV!G640&lt;&gt;"",DSDV!G640,"")</f>
        <v/>
      </c>
      <c r="C635" s="237" t="str">
        <f>IF(DSDV!K640&lt;&gt;"",DSDV!K640,"")</f>
        <v/>
      </c>
      <c r="D635" s="417" t="str">
        <f>IF(DSDV!W640&lt;&gt;"",DSDV!W640,"")</f>
        <v/>
      </c>
    </row>
    <row r="636" spans="1:4">
      <c r="A636" t="str">
        <f>IF(DSDV!B641&lt;&gt;"",DSDV!B641,"")</f>
        <v/>
      </c>
      <c r="B636" t="str">
        <f>IF(DSDV!G641&lt;&gt;"",DSDV!G641,"")</f>
        <v/>
      </c>
      <c r="C636" s="237" t="str">
        <f>IF(DSDV!K641&lt;&gt;"",DSDV!K641,"")</f>
        <v/>
      </c>
      <c r="D636" s="417" t="str">
        <f>IF(DSDV!W641&lt;&gt;"",DSDV!W641,"")</f>
        <v/>
      </c>
    </row>
    <row r="637" spans="1:4">
      <c r="A637" t="str">
        <f>IF(DSDV!B642&lt;&gt;"",DSDV!B642,"")</f>
        <v/>
      </c>
      <c r="B637" t="str">
        <f>IF(DSDV!G642&lt;&gt;"",DSDV!G642,"")</f>
        <v/>
      </c>
      <c r="C637" s="237" t="str">
        <f>IF(DSDV!K642&lt;&gt;"",DSDV!K642,"")</f>
        <v/>
      </c>
      <c r="D637" s="417" t="str">
        <f>IF(DSDV!W642&lt;&gt;"",DSDV!W642,"")</f>
        <v/>
      </c>
    </row>
    <row r="638" spans="1:4">
      <c r="A638" t="str">
        <f>IF(DSDV!B643&lt;&gt;"",DSDV!B643,"")</f>
        <v/>
      </c>
      <c r="B638" t="str">
        <f>IF(DSDV!G643&lt;&gt;"",DSDV!G643,"")</f>
        <v/>
      </c>
      <c r="C638" s="237" t="str">
        <f>IF(DSDV!K643&lt;&gt;"",DSDV!K643,"")</f>
        <v/>
      </c>
      <c r="D638" s="417" t="str">
        <f>IF(DSDV!W643&lt;&gt;"",DSDV!W643,"")</f>
        <v/>
      </c>
    </row>
    <row r="639" spans="1:4">
      <c r="A639" t="str">
        <f>IF(DSDV!B644&lt;&gt;"",DSDV!B644,"")</f>
        <v/>
      </c>
      <c r="B639" t="str">
        <f>IF(DSDV!G644&lt;&gt;"",DSDV!G644,"")</f>
        <v/>
      </c>
      <c r="C639" s="237" t="str">
        <f>IF(DSDV!K644&lt;&gt;"",DSDV!K644,"")</f>
        <v/>
      </c>
      <c r="D639" s="417" t="str">
        <f>IF(DSDV!W644&lt;&gt;"",DSDV!W644,"")</f>
        <v/>
      </c>
    </row>
    <row r="640" spans="1:4">
      <c r="A640" t="str">
        <f>IF(DSDV!B645&lt;&gt;"",DSDV!B645,"")</f>
        <v/>
      </c>
      <c r="B640" t="str">
        <f>IF(DSDV!G645&lt;&gt;"",DSDV!G645,"")</f>
        <v/>
      </c>
      <c r="C640" s="237" t="str">
        <f>IF(DSDV!K645&lt;&gt;"",DSDV!K645,"")</f>
        <v/>
      </c>
      <c r="D640" s="417" t="str">
        <f>IF(DSDV!W645&lt;&gt;"",DSDV!W645,"")</f>
        <v/>
      </c>
    </row>
    <row r="641" spans="1:4">
      <c r="A641" t="str">
        <f>IF(DSDV!B646&lt;&gt;"",DSDV!B646,"")</f>
        <v/>
      </c>
      <c r="B641" t="str">
        <f>IF(DSDV!G646&lt;&gt;"",DSDV!G646,"")</f>
        <v/>
      </c>
      <c r="C641" s="237" t="str">
        <f>IF(DSDV!K646&lt;&gt;"",DSDV!K646,"")</f>
        <v/>
      </c>
      <c r="D641" s="417" t="str">
        <f>IF(DSDV!W646&lt;&gt;"",DSDV!W646,"")</f>
        <v/>
      </c>
    </row>
    <row r="642" spans="1:4">
      <c r="A642" t="str">
        <f>IF(DSDV!B647&lt;&gt;"",DSDV!B647,"")</f>
        <v/>
      </c>
      <c r="B642" t="str">
        <f>IF(DSDV!G647&lt;&gt;"",DSDV!G647,"")</f>
        <v/>
      </c>
      <c r="C642" s="237" t="str">
        <f>IF(DSDV!K647&lt;&gt;"",DSDV!K647,"")</f>
        <v/>
      </c>
      <c r="D642" s="417" t="str">
        <f>IF(DSDV!W647&lt;&gt;"",DSDV!W647,"")</f>
        <v/>
      </c>
    </row>
    <row r="643" spans="1:4">
      <c r="A643" t="str">
        <f>IF(DSDV!B648&lt;&gt;"",DSDV!B648,"")</f>
        <v/>
      </c>
      <c r="B643" t="str">
        <f>IF(DSDV!G648&lt;&gt;"",DSDV!G648,"")</f>
        <v/>
      </c>
      <c r="C643" s="237" t="str">
        <f>IF(DSDV!K648&lt;&gt;"",DSDV!K648,"")</f>
        <v/>
      </c>
      <c r="D643" s="417" t="str">
        <f>IF(DSDV!W648&lt;&gt;"",DSDV!W648,"")</f>
        <v/>
      </c>
    </row>
    <row r="644" spans="1:4">
      <c r="A644" t="str">
        <f>IF(DSDV!B649&lt;&gt;"",DSDV!B649,"")</f>
        <v/>
      </c>
      <c r="B644" t="str">
        <f>IF(DSDV!G649&lt;&gt;"",DSDV!G649,"")</f>
        <v/>
      </c>
      <c r="C644" s="237" t="str">
        <f>IF(DSDV!K649&lt;&gt;"",DSDV!K649,"")</f>
        <v/>
      </c>
      <c r="D644" s="417" t="str">
        <f>IF(DSDV!W649&lt;&gt;"",DSDV!W649,"")</f>
        <v/>
      </c>
    </row>
    <row r="645" spans="1:4">
      <c r="A645" t="str">
        <f>IF(DSDV!B650&lt;&gt;"",DSDV!B650,"")</f>
        <v/>
      </c>
      <c r="B645" t="str">
        <f>IF(DSDV!G650&lt;&gt;"",DSDV!G650,"")</f>
        <v/>
      </c>
      <c r="C645" s="237" t="str">
        <f>IF(DSDV!K650&lt;&gt;"",DSDV!K650,"")</f>
        <v/>
      </c>
      <c r="D645" s="417" t="str">
        <f>IF(DSDV!W650&lt;&gt;"",DSDV!W650,"")</f>
        <v/>
      </c>
    </row>
    <row r="646" spans="1:4">
      <c r="A646" t="str">
        <f>IF(DSDV!B651&lt;&gt;"",DSDV!B651,"")</f>
        <v/>
      </c>
      <c r="B646" t="str">
        <f>IF(DSDV!G651&lt;&gt;"",DSDV!G651,"")</f>
        <v/>
      </c>
      <c r="C646" s="237" t="str">
        <f>IF(DSDV!K651&lt;&gt;"",DSDV!K651,"")</f>
        <v/>
      </c>
      <c r="D646" s="417" t="str">
        <f>IF(DSDV!W651&lt;&gt;"",DSDV!W651,"")</f>
        <v/>
      </c>
    </row>
    <row r="647" spans="1:4">
      <c r="A647" t="str">
        <f>IF(DSDV!B652&lt;&gt;"",DSDV!B652,"")</f>
        <v/>
      </c>
      <c r="B647" t="str">
        <f>IF(DSDV!G652&lt;&gt;"",DSDV!G652,"")</f>
        <v/>
      </c>
      <c r="C647" s="237" t="str">
        <f>IF(DSDV!K652&lt;&gt;"",DSDV!K652,"")</f>
        <v/>
      </c>
      <c r="D647" s="417" t="str">
        <f>IF(DSDV!W652&lt;&gt;"",DSDV!W652,"")</f>
        <v/>
      </c>
    </row>
    <row r="648" spans="1:4">
      <c r="A648" t="str">
        <f>IF(DSDV!B653&lt;&gt;"",DSDV!B653,"")</f>
        <v/>
      </c>
      <c r="B648" t="str">
        <f>IF(DSDV!G653&lt;&gt;"",DSDV!G653,"")</f>
        <v/>
      </c>
      <c r="C648" s="237" t="str">
        <f>IF(DSDV!K653&lt;&gt;"",DSDV!K653,"")</f>
        <v/>
      </c>
      <c r="D648" s="417" t="str">
        <f>IF(DSDV!W653&lt;&gt;"",DSDV!W653,"")</f>
        <v/>
      </c>
    </row>
    <row r="649" spans="1:4">
      <c r="A649" t="str">
        <f>IF(DSDV!B654&lt;&gt;"",DSDV!B654,"")</f>
        <v/>
      </c>
      <c r="B649" t="str">
        <f>IF(DSDV!G654&lt;&gt;"",DSDV!G654,"")</f>
        <v/>
      </c>
      <c r="C649" s="237" t="str">
        <f>IF(DSDV!K654&lt;&gt;"",DSDV!K654,"")</f>
        <v/>
      </c>
      <c r="D649" s="417" t="str">
        <f>IF(DSDV!W654&lt;&gt;"",DSDV!W654,"")</f>
        <v/>
      </c>
    </row>
    <row r="650" spans="1:4">
      <c r="A650" t="str">
        <f>IF(DSDV!B655&lt;&gt;"",DSDV!B655,"")</f>
        <v/>
      </c>
      <c r="B650" t="str">
        <f>IF(DSDV!G655&lt;&gt;"",DSDV!G655,"")</f>
        <v/>
      </c>
      <c r="C650" s="237" t="str">
        <f>IF(DSDV!K655&lt;&gt;"",DSDV!K655,"")</f>
        <v/>
      </c>
      <c r="D650" s="417" t="str">
        <f>IF(DSDV!W655&lt;&gt;"",DSDV!W655,"")</f>
        <v/>
      </c>
    </row>
    <row r="651" spans="1:4">
      <c r="A651" t="str">
        <f>IF(DSDV!B656&lt;&gt;"",DSDV!B656,"")</f>
        <v/>
      </c>
      <c r="B651" t="str">
        <f>IF(DSDV!G656&lt;&gt;"",DSDV!G656,"")</f>
        <v/>
      </c>
      <c r="C651" s="237" t="str">
        <f>IF(DSDV!K656&lt;&gt;"",DSDV!K656,"")</f>
        <v/>
      </c>
      <c r="D651" s="417" t="str">
        <f>IF(DSDV!W656&lt;&gt;"",DSDV!W656,"")</f>
        <v/>
      </c>
    </row>
    <row r="652" spans="1:4">
      <c r="A652" t="str">
        <f>IF(DSDV!B657&lt;&gt;"",DSDV!B657,"")</f>
        <v/>
      </c>
      <c r="B652" t="str">
        <f>IF(DSDV!G657&lt;&gt;"",DSDV!G657,"")</f>
        <v/>
      </c>
      <c r="C652" s="237" t="str">
        <f>IF(DSDV!K657&lt;&gt;"",DSDV!K657,"")</f>
        <v/>
      </c>
      <c r="D652" s="417" t="str">
        <f>IF(DSDV!W657&lt;&gt;"",DSDV!W657,"")</f>
        <v/>
      </c>
    </row>
    <row r="653" spans="1:4">
      <c r="A653" t="str">
        <f>IF(DSDV!B658&lt;&gt;"",DSDV!B658,"")</f>
        <v/>
      </c>
      <c r="B653" t="str">
        <f>IF(DSDV!G658&lt;&gt;"",DSDV!G658,"")</f>
        <v/>
      </c>
      <c r="C653" s="237" t="str">
        <f>IF(DSDV!K658&lt;&gt;"",DSDV!K658,"")</f>
        <v/>
      </c>
      <c r="D653" s="417" t="str">
        <f>IF(DSDV!W658&lt;&gt;"",DSDV!W658,"")</f>
        <v/>
      </c>
    </row>
    <row r="654" spans="1:4">
      <c r="A654" t="str">
        <f>IF(DSDV!B659&lt;&gt;"",DSDV!B659,"")</f>
        <v/>
      </c>
      <c r="B654" t="str">
        <f>IF(DSDV!G659&lt;&gt;"",DSDV!G659,"")</f>
        <v/>
      </c>
      <c r="C654" s="237" t="str">
        <f>IF(DSDV!K659&lt;&gt;"",DSDV!K659,"")</f>
        <v/>
      </c>
      <c r="D654" s="417" t="str">
        <f>IF(DSDV!W659&lt;&gt;"",DSDV!W659,"")</f>
        <v/>
      </c>
    </row>
    <row r="655" spans="1:4">
      <c r="A655" t="str">
        <f>IF(DSDV!B660&lt;&gt;"",DSDV!B660,"")</f>
        <v/>
      </c>
      <c r="B655" t="str">
        <f>IF(DSDV!G660&lt;&gt;"",DSDV!G660,"")</f>
        <v/>
      </c>
      <c r="C655" s="237" t="str">
        <f>IF(DSDV!K660&lt;&gt;"",DSDV!K660,"")</f>
        <v/>
      </c>
      <c r="D655" s="417" t="str">
        <f>IF(DSDV!W660&lt;&gt;"",DSDV!W660,"")</f>
        <v/>
      </c>
    </row>
    <row r="656" spans="1:4">
      <c r="A656" t="str">
        <f>IF(DSDV!B661&lt;&gt;"",DSDV!B661,"")</f>
        <v/>
      </c>
      <c r="B656" t="str">
        <f>IF(DSDV!G661&lt;&gt;"",DSDV!G661,"")</f>
        <v/>
      </c>
      <c r="C656" s="237" t="str">
        <f>IF(DSDV!K661&lt;&gt;"",DSDV!K661,"")</f>
        <v/>
      </c>
      <c r="D656" s="417" t="str">
        <f>IF(DSDV!W661&lt;&gt;"",DSDV!W661,"")</f>
        <v/>
      </c>
    </row>
    <row r="657" spans="1:4">
      <c r="A657" t="str">
        <f>IF(DSDV!B662&lt;&gt;"",DSDV!B662,"")</f>
        <v/>
      </c>
      <c r="B657" t="str">
        <f>IF(DSDV!G662&lt;&gt;"",DSDV!G662,"")</f>
        <v/>
      </c>
      <c r="C657" s="237" t="str">
        <f>IF(DSDV!K662&lt;&gt;"",DSDV!K662,"")</f>
        <v/>
      </c>
      <c r="D657" s="417" t="str">
        <f>IF(DSDV!W662&lt;&gt;"",DSDV!W662,"")</f>
        <v/>
      </c>
    </row>
    <row r="658" spans="1:4">
      <c r="A658" t="str">
        <f>IF(DSDV!B663&lt;&gt;"",DSDV!B663,"")</f>
        <v/>
      </c>
      <c r="B658" t="str">
        <f>IF(DSDV!G663&lt;&gt;"",DSDV!G663,"")</f>
        <v/>
      </c>
      <c r="C658" s="237" t="str">
        <f>IF(DSDV!K663&lt;&gt;"",DSDV!K663,"")</f>
        <v/>
      </c>
      <c r="D658" s="417" t="str">
        <f>IF(DSDV!W663&lt;&gt;"",DSDV!W663,"")</f>
        <v/>
      </c>
    </row>
    <row r="659" spans="1:4">
      <c r="A659" t="str">
        <f>IF(DSDV!B664&lt;&gt;"",DSDV!B664,"")</f>
        <v/>
      </c>
      <c r="B659" t="str">
        <f>IF(DSDV!G664&lt;&gt;"",DSDV!G664,"")</f>
        <v/>
      </c>
      <c r="C659" s="237" t="str">
        <f>IF(DSDV!K664&lt;&gt;"",DSDV!K664,"")</f>
        <v/>
      </c>
      <c r="D659" s="417" t="str">
        <f>IF(DSDV!W664&lt;&gt;"",DSDV!W664,"")</f>
        <v/>
      </c>
    </row>
    <row r="660" spans="1:4">
      <c r="A660" t="str">
        <f>IF(DSDV!B665&lt;&gt;"",DSDV!B665,"")</f>
        <v/>
      </c>
      <c r="B660" t="str">
        <f>IF(DSDV!G665&lt;&gt;"",DSDV!G665,"")</f>
        <v/>
      </c>
      <c r="C660" s="237" t="str">
        <f>IF(DSDV!K665&lt;&gt;"",DSDV!K665,"")</f>
        <v/>
      </c>
      <c r="D660" s="417" t="str">
        <f>IF(DSDV!W665&lt;&gt;"",DSDV!W665,"")</f>
        <v/>
      </c>
    </row>
    <row r="661" spans="1:4">
      <c r="A661" t="str">
        <f>IF(DSDV!B666&lt;&gt;"",DSDV!B666,"")</f>
        <v/>
      </c>
      <c r="B661" t="str">
        <f>IF(DSDV!G666&lt;&gt;"",DSDV!G666,"")</f>
        <v/>
      </c>
      <c r="C661" s="237" t="str">
        <f>IF(DSDV!K666&lt;&gt;"",DSDV!K666,"")</f>
        <v/>
      </c>
      <c r="D661" s="417" t="str">
        <f>IF(DSDV!W666&lt;&gt;"",DSDV!W666,"")</f>
        <v/>
      </c>
    </row>
    <row r="662" spans="1:4">
      <c r="A662" t="str">
        <f>IF(DSDV!B667&lt;&gt;"",DSDV!B667,"")</f>
        <v/>
      </c>
      <c r="B662" t="str">
        <f>IF(DSDV!G667&lt;&gt;"",DSDV!G667,"")</f>
        <v/>
      </c>
      <c r="C662" s="237" t="str">
        <f>IF(DSDV!K667&lt;&gt;"",DSDV!K667,"")</f>
        <v/>
      </c>
      <c r="D662" s="417" t="str">
        <f>IF(DSDV!W667&lt;&gt;"",DSDV!W667,"")</f>
        <v/>
      </c>
    </row>
    <row r="663" spans="1:4">
      <c r="A663" t="str">
        <f>IF(DSDV!B668&lt;&gt;"",DSDV!B668,"")</f>
        <v/>
      </c>
      <c r="B663" t="str">
        <f>IF(DSDV!G668&lt;&gt;"",DSDV!G668,"")</f>
        <v/>
      </c>
      <c r="C663" s="237" t="str">
        <f>IF(DSDV!K668&lt;&gt;"",DSDV!K668,"")</f>
        <v/>
      </c>
      <c r="D663" s="417" t="str">
        <f>IF(DSDV!W668&lt;&gt;"",DSDV!W668,"")</f>
        <v/>
      </c>
    </row>
    <row r="664" spans="1:4">
      <c r="A664" t="str">
        <f>IF(DSDV!B669&lt;&gt;"",DSDV!B669,"")</f>
        <v/>
      </c>
      <c r="B664" t="str">
        <f>IF(DSDV!G669&lt;&gt;"",DSDV!G669,"")</f>
        <v/>
      </c>
      <c r="C664" s="237" t="str">
        <f>IF(DSDV!K669&lt;&gt;"",DSDV!K669,"")</f>
        <v/>
      </c>
      <c r="D664" s="417" t="str">
        <f>IF(DSDV!W669&lt;&gt;"",DSDV!W669,"")</f>
        <v/>
      </c>
    </row>
    <row r="665" spans="1:4">
      <c r="A665" t="str">
        <f>IF(DSDV!B670&lt;&gt;"",DSDV!B670,"")</f>
        <v/>
      </c>
      <c r="B665" t="str">
        <f>IF(DSDV!G670&lt;&gt;"",DSDV!G670,"")</f>
        <v/>
      </c>
      <c r="C665" s="237" t="str">
        <f>IF(DSDV!K670&lt;&gt;"",DSDV!K670,"")</f>
        <v/>
      </c>
      <c r="D665" s="417" t="str">
        <f>IF(DSDV!W670&lt;&gt;"",DSDV!W670,"")</f>
        <v/>
      </c>
    </row>
    <row r="666" spans="1:4">
      <c r="A666" t="str">
        <f>IF(DSDV!B671&lt;&gt;"",DSDV!B671,"")</f>
        <v/>
      </c>
      <c r="B666" t="str">
        <f>IF(DSDV!G671&lt;&gt;"",DSDV!G671,"")</f>
        <v/>
      </c>
      <c r="C666" s="237" t="str">
        <f>IF(DSDV!K671&lt;&gt;"",DSDV!K671,"")</f>
        <v/>
      </c>
      <c r="D666" s="417" t="str">
        <f>IF(DSDV!W671&lt;&gt;"",DSDV!W671,"")</f>
        <v/>
      </c>
    </row>
    <row r="667" spans="1:4">
      <c r="A667" t="str">
        <f>IF(DSDV!B672&lt;&gt;"",DSDV!B672,"")</f>
        <v/>
      </c>
      <c r="B667" t="str">
        <f>IF(DSDV!G672&lt;&gt;"",DSDV!G672,"")</f>
        <v/>
      </c>
      <c r="C667" s="237" t="str">
        <f>IF(DSDV!K672&lt;&gt;"",DSDV!K672,"")</f>
        <v/>
      </c>
      <c r="D667" s="417" t="str">
        <f>IF(DSDV!W672&lt;&gt;"",DSDV!W672,"")</f>
        <v/>
      </c>
    </row>
    <row r="668" spans="1:4">
      <c r="A668" t="str">
        <f>IF(DSDV!B673&lt;&gt;"",DSDV!B673,"")</f>
        <v/>
      </c>
      <c r="B668" t="str">
        <f>IF(DSDV!G673&lt;&gt;"",DSDV!G673,"")</f>
        <v/>
      </c>
      <c r="C668" s="237" t="str">
        <f>IF(DSDV!K673&lt;&gt;"",DSDV!K673,"")</f>
        <v/>
      </c>
      <c r="D668" s="417" t="str">
        <f>IF(DSDV!W673&lt;&gt;"",DSDV!W673,"")</f>
        <v/>
      </c>
    </row>
    <row r="669" spans="1:4">
      <c r="A669" t="str">
        <f>IF(DSDV!B674&lt;&gt;"",DSDV!B674,"")</f>
        <v/>
      </c>
      <c r="B669" t="str">
        <f>IF(DSDV!G674&lt;&gt;"",DSDV!G674,"")</f>
        <v/>
      </c>
      <c r="C669" s="237" t="str">
        <f>IF(DSDV!K674&lt;&gt;"",DSDV!K674,"")</f>
        <v/>
      </c>
      <c r="D669" s="417" t="str">
        <f>IF(DSDV!W674&lt;&gt;"",DSDV!W674,"")</f>
        <v/>
      </c>
    </row>
    <row r="670" spans="1:4">
      <c r="A670" t="str">
        <f>IF(DSDV!B675&lt;&gt;"",DSDV!B675,"")</f>
        <v/>
      </c>
      <c r="B670" t="str">
        <f>IF(DSDV!G675&lt;&gt;"",DSDV!G675,"")</f>
        <v/>
      </c>
      <c r="C670" s="237" t="str">
        <f>IF(DSDV!K675&lt;&gt;"",DSDV!K675,"")</f>
        <v/>
      </c>
      <c r="D670" s="417" t="str">
        <f>IF(DSDV!W675&lt;&gt;"",DSDV!W675,"")</f>
        <v/>
      </c>
    </row>
    <row r="671" spans="1:4">
      <c r="A671" t="str">
        <f>IF(DSDV!B676&lt;&gt;"",DSDV!B676,"")</f>
        <v/>
      </c>
      <c r="B671" t="str">
        <f>IF(DSDV!G676&lt;&gt;"",DSDV!G676,"")</f>
        <v/>
      </c>
      <c r="C671" s="237" t="str">
        <f>IF(DSDV!K676&lt;&gt;"",DSDV!K676,"")</f>
        <v/>
      </c>
      <c r="D671" s="417" t="str">
        <f>IF(DSDV!W676&lt;&gt;"",DSDV!W676,"")</f>
        <v/>
      </c>
    </row>
    <row r="672" spans="1:4">
      <c r="A672" t="str">
        <f>IF(DSDV!B677&lt;&gt;"",DSDV!B677,"")</f>
        <v/>
      </c>
      <c r="B672" t="str">
        <f>IF(DSDV!G677&lt;&gt;"",DSDV!G677,"")</f>
        <v/>
      </c>
      <c r="C672" s="237" t="str">
        <f>IF(DSDV!K677&lt;&gt;"",DSDV!K677,"")</f>
        <v/>
      </c>
      <c r="D672" s="417" t="str">
        <f>IF(DSDV!W677&lt;&gt;"",DSDV!W677,"")</f>
        <v/>
      </c>
    </row>
    <row r="673" spans="1:4">
      <c r="A673" t="str">
        <f>IF(DSDV!B678&lt;&gt;"",DSDV!B678,"")</f>
        <v/>
      </c>
      <c r="B673" t="str">
        <f>IF(DSDV!G678&lt;&gt;"",DSDV!G678,"")</f>
        <v/>
      </c>
      <c r="C673" s="237" t="str">
        <f>IF(DSDV!K678&lt;&gt;"",DSDV!K678,"")</f>
        <v/>
      </c>
      <c r="D673" s="417" t="str">
        <f>IF(DSDV!W678&lt;&gt;"",DSDV!W678,"")</f>
        <v/>
      </c>
    </row>
    <row r="674" spans="1:4">
      <c r="A674" t="str">
        <f>IF(DSDV!B679&lt;&gt;"",DSDV!B679,"")</f>
        <v/>
      </c>
      <c r="B674" t="str">
        <f>IF(DSDV!G679&lt;&gt;"",DSDV!G679,"")</f>
        <v/>
      </c>
      <c r="C674" s="237" t="str">
        <f>IF(DSDV!K679&lt;&gt;"",DSDV!K679,"")</f>
        <v/>
      </c>
      <c r="D674" s="417" t="str">
        <f>IF(DSDV!W679&lt;&gt;"",DSDV!W679,"")</f>
        <v/>
      </c>
    </row>
    <row r="675" spans="1:4">
      <c r="A675" t="str">
        <f>IF(DSDV!B680&lt;&gt;"",DSDV!B680,"")</f>
        <v/>
      </c>
      <c r="B675" t="str">
        <f>IF(DSDV!G680&lt;&gt;"",DSDV!G680,"")</f>
        <v/>
      </c>
      <c r="C675" s="237" t="str">
        <f>IF(DSDV!K680&lt;&gt;"",DSDV!K680,"")</f>
        <v/>
      </c>
      <c r="D675" s="417" t="str">
        <f>IF(DSDV!W680&lt;&gt;"",DSDV!W680,"")</f>
        <v/>
      </c>
    </row>
    <row r="676" spans="1:4">
      <c r="A676" t="str">
        <f>IF(DSDV!B681&lt;&gt;"",DSDV!B681,"")</f>
        <v/>
      </c>
      <c r="B676" t="str">
        <f>IF(DSDV!G681&lt;&gt;"",DSDV!G681,"")</f>
        <v/>
      </c>
      <c r="C676" s="237" t="str">
        <f>IF(DSDV!K681&lt;&gt;"",DSDV!K681,"")</f>
        <v/>
      </c>
      <c r="D676" s="417" t="str">
        <f>IF(DSDV!W681&lt;&gt;"",DSDV!W681,"")</f>
        <v/>
      </c>
    </row>
    <row r="677" spans="1:4">
      <c r="A677" t="str">
        <f>IF(DSDV!B682&lt;&gt;"",DSDV!B682,"")</f>
        <v/>
      </c>
      <c r="B677" t="str">
        <f>IF(DSDV!G682&lt;&gt;"",DSDV!G682,"")</f>
        <v/>
      </c>
      <c r="C677" s="237" t="str">
        <f>IF(DSDV!K682&lt;&gt;"",DSDV!K682,"")</f>
        <v/>
      </c>
      <c r="D677" s="417" t="str">
        <f>IF(DSDV!W682&lt;&gt;"",DSDV!W682,"")</f>
        <v/>
      </c>
    </row>
    <row r="678" spans="1:4">
      <c r="A678" t="str">
        <f>IF(DSDV!B683&lt;&gt;"",DSDV!B683,"")</f>
        <v/>
      </c>
      <c r="B678" t="str">
        <f>IF(DSDV!G683&lt;&gt;"",DSDV!G683,"")</f>
        <v/>
      </c>
      <c r="C678" s="237" t="str">
        <f>IF(DSDV!K683&lt;&gt;"",DSDV!K683,"")</f>
        <v/>
      </c>
      <c r="D678" s="417" t="str">
        <f>IF(DSDV!W683&lt;&gt;"",DSDV!W683,"")</f>
        <v/>
      </c>
    </row>
    <row r="679" spans="1:4">
      <c r="A679" t="str">
        <f>IF(DSDV!B684&lt;&gt;"",DSDV!B684,"")</f>
        <v/>
      </c>
      <c r="B679" t="str">
        <f>IF(DSDV!G684&lt;&gt;"",DSDV!G684,"")</f>
        <v/>
      </c>
      <c r="C679" s="237" t="str">
        <f>IF(DSDV!K684&lt;&gt;"",DSDV!K684,"")</f>
        <v/>
      </c>
      <c r="D679" s="417" t="str">
        <f>IF(DSDV!W684&lt;&gt;"",DSDV!W684,"")</f>
        <v/>
      </c>
    </row>
    <row r="680" spans="1:4">
      <c r="A680" t="str">
        <f>IF(DSDV!B685&lt;&gt;"",DSDV!B685,"")</f>
        <v/>
      </c>
      <c r="B680" t="str">
        <f>IF(DSDV!G685&lt;&gt;"",DSDV!G685,"")</f>
        <v/>
      </c>
      <c r="C680" s="237" t="str">
        <f>IF(DSDV!K685&lt;&gt;"",DSDV!K685,"")</f>
        <v/>
      </c>
      <c r="D680" s="417" t="str">
        <f>IF(DSDV!W685&lt;&gt;"",DSDV!W685,"")</f>
        <v/>
      </c>
    </row>
    <row r="681" spans="1:4">
      <c r="A681" t="str">
        <f>IF(DSDV!B686&lt;&gt;"",DSDV!B686,"")</f>
        <v/>
      </c>
      <c r="B681" t="str">
        <f>IF(DSDV!G686&lt;&gt;"",DSDV!G686,"")</f>
        <v/>
      </c>
      <c r="C681" s="237" t="str">
        <f>IF(DSDV!K686&lt;&gt;"",DSDV!K686,"")</f>
        <v/>
      </c>
      <c r="D681" s="417" t="str">
        <f>IF(DSDV!W686&lt;&gt;"",DSDV!W686,"")</f>
        <v/>
      </c>
    </row>
    <row r="682" spans="1:4">
      <c r="A682" t="str">
        <f>IF(DSDV!B687&lt;&gt;"",DSDV!B687,"")</f>
        <v/>
      </c>
      <c r="B682" t="str">
        <f>IF(DSDV!G687&lt;&gt;"",DSDV!G687,"")</f>
        <v/>
      </c>
      <c r="C682" s="237" t="str">
        <f>IF(DSDV!K687&lt;&gt;"",DSDV!K687,"")</f>
        <v/>
      </c>
      <c r="D682" s="417" t="str">
        <f>IF(DSDV!W687&lt;&gt;"",DSDV!W687,"")</f>
        <v/>
      </c>
    </row>
    <row r="683" spans="1:4">
      <c r="A683" t="str">
        <f>IF(DSDV!B688&lt;&gt;"",DSDV!B688,"")</f>
        <v/>
      </c>
      <c r="B683" t="str">
        <f>IF(DSDV!G688&lt;&gt;"",DSDV!G688,"")</f>
        <v/>
      </c>
      <c r="C683" s="237" t="str">
        <f>IF(DSDV!K688&lt;&gt;"",DSDV!K688,"")</f>
        <v/>
      </c>
      <c r="D683" s="417" t="str">
        <f>IF(DSDV!W688&lt;&gt;"",DSDV!W688,"")</f>
        <v/>
      </c>
    </row>
    <row r="684" spans="1:4">
      <c r="A684" t="str">
        <f>IF(DSDV!B689&lt;&gt;"",DSDV!B689,"")</f>
        <v/>
      </c>
      <c r="B684" t="str">
        <f>IF(DSDV!G689&lt;&gt;"",DSDV!G689,"")</f>
        <v/>
      </c>
      <c r="C684" s="237" t="str">
        <f>IF(DSDV!K689&lt;&gt;"",DSDV!K689,"")</f>
        <v/>
      </c>
      <c r="D684" s="417" t="str">
        <f>IF(DSDV!W689&lt;&gt;"",DSDV!W689,"")</f>
        <v/>
      </c>
    </row>
    <row r="685" spans="1:4">
      <c r="A685" t="str">
        <f>IF(DSDV!B690&lt;&gt;"",DSDV!B690,"")</f>
        <v/>
      </c>
      <c r="B685" t="str">
        <f>IF(DSDV!G690&lt;&gt;"",DSDV!G690,"")</f>
        <v/>
      </c>
      <c r="C685" s="237" t="str">
        <f>IF(DSDV!K690&lt;&gt;"",DSDV!K690,"")</f>
        <v/>
      </c>
      <c r="D685" s="417" t="str">
        <f>IF(DSDV!W690&lt;&gt;"",DSDV!W690,"")</f>
        <v/>
      </c>
    </row>
    <row r="686" spans="1:4">
      <c r="A686" t="str">
        <f>IF(DSDV!B691&lt;&gt;"",DSDV!B691,"")</f>
        <v/>
      </c>
      <c r="B686" t="str">
        <f>IF(DSDV!G691&lt;&gt;"",DSDV!G691,"")</f>
        <v/>
      </c>
      <c r="C686" s="237" t="str">
        <f>IF(DSDV!K691&lt;&gt;"",DSDV!K691,"")</f>
        <v/>
      </c>
      <c r="D686" s="417" t="str">
        <f>IF(DSDV!W691&lt;&gt;"",DSDV!W691,"")</f>
        <v/>
      </c>
    </row>
    <row r="687" spans="1:4">
      <c r="A687" t="str">
        <f>IF(DSDV!B692&lt;&gt;"",DSDV!B692,"")</f>
        <v/>
      </c>
      <c r="B687" t="str">
        <f>IF(DSDV!G692&lt;&gt;"",DSDV!G692,"")</f>
        <v/>
      </c>
      <c r="C687" s="237" t="str">
        <f>IF(DSDV!K692&lt;&gt;"",DSDV!K692,"")</f>
        <v/>
      </c>
      <c r="D687" s="417" t="str">
        <f>IF(DSDV!W692&lt;&gt;"",DSDV!W692,"")</f>
        <v/>
      </c>
    </row>
    <row r="688" spans="1:4">
      <c r="A688" t="str">
        <f>IF(DSDV!B693&lt;&gt;"",DSDV!B693,"")</f>
        <v/>
      </c>
      <c r="B688" t="str">
        <f>IF(DSDV!G693&lt;&gt;"",DSDV!G693,"")</f>
        <v/>
      </c>
      <c r="C688" s="237" t="str">
        <f>IF(DSDV!K693&lt;&gt;"",DSDV!K693,"")</f>
        <v/>
      </c>
      <c r="D688" s="417" t="str">
        <f>IF(DSDV!W693&lt;&gt;"",DSDV!W693,"")</f>
        <v/>
      </c>
    </row>
    <row r="689" spans="1:4">
      <c r="A689" t="str">
        <f>IF(DSDV!B694&lt;&gt;"",DSDV!B694,"")</f>
        <v/>
      </c>
      <c r="B689" t="str">
        <f>IF(DSDV!G694&lt;&gt;"",DSDV!G694,"")</f>
        <v/>
      </c>
      <c r="C689" s="237" t="str">
        <f>IF(DSDV!K694&lt;&gt;"",DSDV!K694,"")</f>
        <v/>
      </c>
      <c r="D689" s="417" t="str">
        <f>IF(DSDV!W694&lt;&gt;"",DSDV!W694,"")</f>
        <v/>
      </c>
    </row>
    <row r="690" spans="1:4">
      <c r="A690" t="str">
        <f>IF(DSDV!B695&lt;&gt;"",DSDV!B695,"")</f>
        <v/>
      </c>
      <c r="B690" t="str">
        <f>IF(DSDV!G695&lt;&gt;"",DSDV!G695,"")</f>
        <v/>
      </c>
      <c r="C690" s="237" t="str">
        <f>IF(DSDV!K695&lt;&gt;"",DSDV!K695,"")</f>
        <v/>
      </c>
      <c r="D690" s="417" t="str">
        <f>IF(DSDV!W695&lt;&gt;"",DSDV!W695,"")</f>
        <v/>
      </c>
    </row>
    <row r="691" spans="1:4">
      <c r="A691" t="str">
        <f>IF(DSDV!B696&lt;&gt;"",DSDV!B696,"")</f>
        <v/>
      </c>
      <c r="B691" t="str">
        <f>IF(DSDV!G696&lt;&gt;"",DSDV!G696,"")</f>
        <v/>
      </c>
      <c r="C691" s="237" t="str">
        <f>IF(DSDV!K696&lt;&gt;"",DSDV!K696,"")</f>
        <v/>
      </c>
      <c r="D691" s="417" t="str">
        <f>IF(DSDV!W696&lt;&gt;"",DSDV!W696,"")</f>
        <v/>
      </c>
    </row>
    <row r="692" spans="1:4">
      <c r="A692" t="str">
        <f>IF(DSDV!B697&lt;&gt;"",DSDV!B697,"")</f>
        <v/>
      </c>
      <c r="B692" t="str">
        <f>IF(DSDV!G697&lt;&gt;"",DSDV!G697,"")</f>
        <v/>
      </c>
      <c r="C692" s="237" t="str">
        <f>IF(DSDV!K697&lt;&gt;"",DSDV!K697,"")</f>
        <v/>
      </c>
      <c r="D692" s="417" t="str">
        <f>IF(DSDV!W697&lt;&gt;"",DSDV!W697,"")</f>
        <v/>
      </c>
    </row>
    <row r="693" spans="1:4">
      <c r="A693" t="str">
        <f>IF(DSDV!B698&lt;&gt;"",DSDV!B698,"")</f>
        <v/>
      </c>
      <c r="B693" t="str">
        <f>IF(DSDV!G698&lt;&gt;"",DSDV!G698,"")</f>
        <v/>
      </c>
      <c r="C693" s="237" t="str">
        <f>IF(DSDV!K698&lt;&gt;"",DSDV!K698,"")</f>
        <v/>
      </c>
      <c r="D693" s="417" t="str">
        <f>IF(DSDV!W698&lt;&gt;"",DSDV!W698,"")</f>
        <v/>
      </c>
    </row>
    <row r="694" spans="1:4">
      <c r="A694" t="str">
        <f>IF(DSDV!B699&lt;&gt;"",DSDV!B699,"")</f>
        <v/>
      </c>
      <c r="B694" t="str">
        <f>IF(DSDV!G699&lt;&gt;"",DSDV!G699,"")</f>
        <v/>
      </c>
      <c r="C694" s="237" t="str">
        <f>IF(DSDV!K699&lt;&gt;"",DSDV!K699,"")</f>
        <v/>
      </c>
      <c r="D694" s="417" t="str">
        <f>IF(DSDV!W699&lt;&gt;"",DSDV!W699,"")</f>
        <v/>
      </c>
    </row>
    <row r="695" spans="1:4">
      <c r="A695" t="str">
        <f>IF(DSDV!B700&lt;&gt;"",DSDV!B700,"")</f>
        <v/>
      </c>
      <c r="B695" t="str">
        <f>IF(DSDV!G700&lt;&gt;"",DSDV!G700,"")</f>
        <v/>
      </c>
      <c r="C695" s="237" t="str">
        <f>IF(DSDV!K700&lt;&gt;"",DSDV!K700,"")</f>
        <v/>
      </c>
      <c r="D695" s="417" t="str">
        <f>IF(DSDV!W700&lt;&gt;"",DSDV!W700,"")</f>
        <v/>
      </c>
    </row>
    <row r="696" spans="1:4">
      <c r="A696" t="str">
        <f>IF(DSDV!B701&lt;&gt;"",DSDV!B701,"")</f>
        <v/>
      </c>
      <c r="B696" t="str">
        <f>IF(DSDV!G701&lt;&gt;"",DSDV!G701,"")</f>
        <v/>
      </c>
      <c r="C696" s="237" t="str">
        <f>IF(DSDV!K701&lt;&gt;"",DSDV!K701,"")</f>
        <v/>
      </c>
      <c r="D696" s="417" t="str">
        <f>IF(DSDV!W701&lt;&gt;"",DSDV!W701,"")</f>
        <v/>
      </c>
    </row>
    <row r="697" spans="1:4">
      <c r="A697" t="str">
        <f>IF(DSDV!B702&lt;&gt;"",DSDV!B702,"")</f>
        <v/>
      </c>
      <c r="B697" t="str">
        <f>IF(DSDV!G702&lt;&gt;"",DSDV!G702,"")</f>
        <v/>
      </c>
      <c r="C697" s="237" t="str">
        <f>IF(DSDV!K702&lt;&gt;"",DSDV!K702,"")</f>
        <v/>
      </c>
      <c r="D697" s="417" t="str">
        <f>IF(DSDV!W702&lt;&gt;"",DSDV!W702,"")</f>
        <v/>
      </c>
    </row>
    <row r="698" spans="1:4">
      <c r="A698" t="str">
        <f>IF(DSDV!B703&lt;&gt;"",DSDV!B703,"")</f>
        <v/>
      </c>
      <c r="B698" t="str">
        <f>IF(DSDV!G703&lt;&gt;"",DSDV!G703,"")</f>
        <v/>
      </c>
      <c r="C698" s="237" t="str">
        <f>IF(DSDV!K703&lt;&gt;"",DSDV!K703,"")</f>
        <v/>
      </c>
      <c r="D698" s="417" t="str">
        <f>IF(DSDV!W703&lt;&gt;"",DSDV!W703,"")</f>
        <v/>
      </c>
    </row>
    <row r="699" spans="1:4">
      <c r="A699" t="str">
        <f>IF(DSDV!B704&lt;&gt;"",DSDV!B704,"")</f>
        <v/>
      </c>
      <c r="B699" t="str">
        <f>IF(DSDV!G704&lt;&gt;"",DSDV!G704,"")</f>
        <v/>
      </c>
      <c r="C699" s="237" t="str">
        <f>IF(DSDV!K704&lt;&gt;"",DSDV!K704,"")</f>
        <v/>
      </c>
      <c r="D699" s="417" t="str">
        <f>IF(DSDV!W704&lt;&gt;"",DSDV!W704,"")</f>
        <v/>
      </c>
    </row>
    <row r="700" spans="1:4">
      <c r="A700" t="str">
        <f>IF(DSDV!B705&lt;&gt;"",DSDV!B705,"")</f>
        <v/>
      </c>
      <c r="B700" t="str">
        <f>IF(DSDV!G705&lt;&gt;"",DSDV!G705,"")</f>
        <v/>
      </c>
      <c r="C700" s="237" t="str">
        <f>IF(DSDV!K705&lt;&gt;"",DSDV!K705,"")</f>
        <v/>
      </c>
      <c r="D700" s="417" t="str">
        <f>IF(DSDV!W705&lt;&gt;"",DSDV!W705,"")</f>
        <v/>
      </c>
    </row>
    <row r="701" spans="1:4">
      <c r="A701" t="str">
        <f>IF(DSDV!B706&lt;&gt;"",DSDV!B706,"")</f>
        <v/>
      </c>
      <c r="B701" t="str">
        <f>IF(DSDV!G706&lt;&gt;"",DSDV!G706,"")</f>
        <v/>
      </c>
      <c r="C701" s="237" t="str">
        <f>IF(DSDV!K706&lt;&gt;"",DSDV!K706,"")</f>
        <v/>
      </c>
      <c r="D701" s="417" t="str">
        <f>IF(DSDV!W706&lt;&gt;"",DSDV!W706,"")</f>
        <v/>
      </c>
    </row>
    <row r="702" spans="1:4">
      <c r="A702" t="str">
        <f>IF(DSDV!B707&lt;&gt;"",DSDV!B707,"")</f>
        <v/>
      </c>
      <c r="B702" t="str">
        <f>IF(DSDV!G707&lt;&gt;"",DSDV!G707,"")</f>
        <v/>
      </c>
      <c r="C702" s="237" t="str">
        <f>IF(DSDV!K707&lt;&gt;"",DSDV!K707,"")</f>
        <v/>
      </c>
      <c r="D702" s="417" t="str">
        <f>IF(DSDV!W707&lt;&gt;"",DSDV!W707,"")</f>
        <v/>
      </c>
    </row>
    <row r="703" spans="1:4">
      <c r="A703" t="str">
        <f>IF(DSDV!B708&lt;&gt;"",DSDV!B708,"")</f>
        <v/>
      </c>
      <c r="B703" t="str">
        <f>IF(DSDV!G708&lt;&gt;"",DSDV!G708,"")</f>
        <v/>
      </c>
      <c r="C703" s="237" t="str">
        <f>IF(DSDV!K708&lt;&gt;"",DSDV!K708,"")</f>
        <v/>
      </c>
      <c r="D703" s="417" t="str">
        <f>IF(DSDV!W708&lt;&gt;"",DSDV!W708,"")</f>
        <v/>
      </c>
    </row>
    <row r="704" spans="1:4">
      <c r="A704" t="str">
        <f>IF(DSDV!B709&lt;&gt;"",DSDV!B709,"")</f>
        <v/>
      </c>
      <c r="B704" t="str">
        <f>IF(DSDV!G709&lt;&gt;"",DSDV!G709,"")</f>
        <v/>
      </c>
      <c r="C704" s="237" t="str">
        <f>IF(DSDV!K709&lt;&gt;"",DSDV!K709,"")</f>
        <v/>
      </c>
      <c r="D704" s="417" t="str">
        <f>IF(DSDV!W709&lt;&gt;"",DSDV!W709,"")</f>
        <v/>
      </c>
    </row>
    <row r="705" spans="1:4">
      <c r="A705" t="str">
        <f>IF(DSDV!B710&lt;&gt;"",DSDV!B710,"")</f>
        <v/>
      </c>
      <c r="B705" t="str">
        <f>IF(DSDV!G710&lt;&gt;"",DSDV!G710,"")</f>
        <v/>
      </c>
      <c r="C705" s="237" t="str">
        <f>IF(DSDV!K710&lt;&gt;"",DSDV!K710,"")</f>
        <v/>
      </c>
      <c r="D705" s="417" t="str">
        <f>IF(DSDV!W710&lt;&gt;"",DSDV!W710,"")</f>
        <v/>
      </c>
    </row>
    <row r="706" spans="1:4">
      <c r="A706" t="str">
        <f>IF(DSDV!B711&lt;&gt;"",DSDV!B711,"")</f>
        <v/>
      </c>
      <c r="B706" t="str">
        <f>IF(DSDV!G711&lt;&gt;"",DSDV!G711,"")</f>
        <v/>
      </c>
      <c r="C706" s="237" t="str">
        <f>IF(DSDV!K711&lt;&gt;"",DSDV!K711,"")</f>
        <v/>
      </c>
      <c r="D706" s="417" t="str">
        <f>IF(DSDV!W711&lt;&gt;"",DSDV!W711,"")</f>
        <v/>
      </c>
    </row>
    <row r="707" spans="1:4">
      <c r="A707" t="str">
        <f>IF(DSDV!B712&lt;&gt;"",DSDV!B712,"")</f>
        <v/>
      </c>
      <c r="B707" t="str">
        <f>IF(DSDV!G712&lt;&gt;"",DSDV!G712,"")</f>
        <v/>
      </c>
      <c r="C707" s="237" t="str">
        <f>IF(DSDV!K712&lt;&gt;"",DSDV!K712,"")</f>
        <v/>
      </c>
      <c r="D707" s="417" t="str">
        <f>IF(DSDV!W712&lt;&gt;"",DSDV!W712,"")</f>
        <v/>
      </c>
    </row>
    <row r="708" spans="1:4">
      <c r="A708" t="str">
        <f>IF(DSDV!B713&lt;&gt;"",DSDV!B713,"")</f>
        <v/>
      </c>
      <c r="B708" t="str">
        <f>IF(DSDV!G713&lt;&gt;"",DSDV!G713,"")</f>
        <v/>
      </c>
      <c r="C708" s="237" t="str">
        <f>IF(DSDV!K713&lt;&gt;"",DSDV!K713,"")</f>
        <v/>
      </c>
      <c r="D708" s="417" t="str">
        <f>IF(DSDV!W713&lt;&gt;"",DSDV!W713,"")</f>
        <v/>
      </c>
    </row>
    <row r="709" spans="1:4">
      <c r="A709" t="str">
        <f>IF(DSDV!B714&lt;&gt;"",DSDV!B714,"")</f>
        <v/>
      </c>
      <c r="B709" t="str">
        <f>IF(DSDV!G714&lt;&gt;"",DSDV!G714,"")</f>
        <v/>
      </c>
      <c r="C709" s="237" t="str">
        <f>IF(DSDV!K714&lt;&gt;"",DSDV!K714,"")</f>
        <v/>
      </c>
      <c r="D709" s="417" t="str">
        <f>IF(DSDV!W714&lt;&gt;"",DSDV!W714,"")</f>
        <v/>
      </c>
    </row>
    <row r="710" spans="1:4">
      <c r="A710" t="str">
        <f>IF(DSDV!B715&lt;&gt;"",DSDV!B715,"")</f>
        <v/>
      </c>
      <c r="B710" t="str">
        <f>IF(DSDV!G715&lt;&gt;"",DSDV!G715,"")</f>
        <v/>
      </c>
      <c r="C710" s="237" t="str">
        <f>IF(DSDV!K715&lt;&gt;"",DSDV!K715,"")</f>
        <v/>
      </c>
      <c r="D710" s="417" t="str">
        <f>IF(DSDV!W715&lt;&gt;"",DSDV!W715,"")</f>
        <v/>
      </c>
    </row>
    <row r="711" spans="1:4">
      <c r="A711" t="str">
        <f>IF(DSDV!B716&lt;&gt;"",DSDV!B716,"")</f>
        <v/>
      </c>
      <c r="B711" t="str">
        <f>IF(DSDV!G716&lt;&gt;"",DSDV!G716,"")</f>
        <v/>
      </c>
      <c r="C711" s="237" t="str">
        <f>IF(DSDV!K716&lt;&gt;"",DSDV!K716,"")</f>
        <v/>
      </c>
      <c r="D711" s="417" t="str">
        <f>IF(DSDV!W716&lt;&gt;"",DSDV!W716,"")</f>
        <v/>
      </c>
    </row>
    <row r="712" spans="1:4">
      <c r="A712" t="str">
        <f>IF(DSDV!B717&lt;&gt;"",DSDV!B717,"")</f>
        <v/>
      </c>
      <c r="B712" t="str">
        <f>IF(DSDV!G717&lt;&gt;"",DSDV!G717,"")</f>
        <v/>
      </c>
      <c r="C712" s="237" t="str">
        <f>IF(DSDV!K717&lt;&gt;"",DSDV!K717,"")</f>
        <v/>
      </c>
      <c r="D712" s="417" t="str">
        <f>IF(DSDV!W717&lt;&gt;"",DSDV!W717,"")</f>
        <v/>
      </c>
    </row>
    <row r="713" spans="1:4">
      <c r="A713" t="str">
        <f>IF(DSDV!B718&lt;&gt;"",DSDV!B718,"")</f>
        <v/>
      </c>
      <c r="B713" t="str">
        <f>IF(DSDV!G718&lt;&gt;"",DSDV!G718,"")</f>
        <v/>
      </c>
      <c r="C713" s="237" t="str">
        <f>IF(DSDV!K718&lt;&gt;"",DSDV!K718,"")</f>
        <v/>
      </c>
      <c r="D713" s="417" t="str">
        <f>IF(DSDV!W718&lt;&gt;"",DSDV!W718,"")</f>
        <v/>
      </c>
    </row>
    <row r="714" spans="1:4">
      <c r="A714" t="str">
        <f>IF(DSDV!B719&lt;&gt;"",DSDV!B719,"")</f>
        <v/>
      </c>
      <c r="B714" t="str">
        <f>IF(DSDV!G719&lt;&gt;"",DSDV!G719,"")</f>
        <v/>
      </c>
      <c r="C714" s="237" t="str">
        <f>IF(DSDV!K719&lt;&gt;"",DSDV!K719,"")</f>
        <v/>
      </c>
      <c r="D714" s="417" t="str">
        <f>IF(DSDV!W719&lt;&gt;"",DSDV!W719,"")</f>
        <v/>
      </c>
    </row>
    <row r="715" spans="1:4">
      <c r="A715" t="str">
        <f>IF(DSDV!B720&lt;&gt;"",DSDV!B720,"")</f>
        <v/>
      </c>
      <c r="B715" t="str">
        <f>IF(DSDV!G720&lt;&gt;"",DSDV!G720,"")</f>
        <v/>
      </c>
      <c r="C715" s="237" t="str">
        <f>IF(DSDV!K720&lt;&gt;"",DSDV!K720,"")</f>
        <v/>
      </c>
      <c r="D715" s="417" t="str">
        <f>IF(DSDV!W720&lt;&gt;"",DSDV!W720,"")</f>
        <v/>
      </c>
    </row>
    <row r="716" spans="1:4">
      <c r="A716" t="str">
        <f>IF(DSDV!B721&lt;&gt;"",DSDV!B721,"")</f>
        <v/>
      </c>
      <c r="B716" t="str">
        <f>IF(DSDV!G721&lt;&gt;"",DSDV!G721,"")</f>
        <v/>
      </c>
      <c r="C716" s="237" t="str">
        <f>IF(DSDV!K721&lt;&gt;"",DSDV!K721,"")</f>
        <v/>
      </c>
      <c r="D716" s="417" t="str">
        <f>IF(DSDV!W721&lt;&gt;"",DSDV!W721,"")</f>
        <v/>
      </c>
    </row>
    <row r="717" spans="1:4">
      <c r="A717" t="str">
        <f>IF(DSDV!B722&lt;&gt;"",DSDV!B722,"")</f>
        <v/>
      </c>
      <c r="B717" t="str">
        <f>IF(DSDV!G722&lt;&gt;"",DSDV!G722,"")</f>
        <v/>
      </c>
      <c r="C717" s="237" t="str">
        <f>IF(DSDV!K722&lt;&gt;"",DSDV!K722,"")</f>
        <v/>
      </c>
      <c r="D717" s="417" t="str">
        <f>IF(DSDV!W722&lt;&gt;"",DSDV!W722,"")</f>
        <v/>
      </c>
    </row>
    <row r="718" spans="1:4">
      <c r="A718" t="str">
        <f>IF(DSDV!B723&lt;&gt;"",DSDV!B723,"")</f>
        <v/>
      </c>
      <c r="B718" t="str">
        <f>IF(DSDV!G723&lt;&gt;"",DSDV!G723,"")</f>
        <v/>
      </c>
      <c r="C718" s="237" t="str">
        <f>IF(DSDV!K723&lt;&gt;"",DSDV!K723,"")</f>
        <v/>
      </c>
      <c r="D718" s="417" t="str">
        <f>IF(DSDV!W723&lt;&gt;"",DSDV!W723,"")</f>
        <v/>
      </c>
    </row>
    <row r="719" spans="1:4">
      <c r="A719" t="str">
        <f>IF(DSDV!B724&lt;&gt;"",DSDV!B724,"")</f>
        <v/>
      </c>
      <c r="B719" t="str">
        <f>IF(DSDV!G724&lt;&gt;"",DSDV!G724,"")</f>
        <v/>
      </c>
      <c r="C719" s="237" t="str">
        <f>IF(DSDV!K724&lt;&gt;"",DSDV!K724,"")</f>
        <v/>
      </c>
      <c r="D719" s="417" t="str">
        <f>IF(DSDV!W724&lt;&gt;"",DSDV!W724,"")</f>
        <v/>
      </c>
    </row>
    <row r="720" spans="1:4">
      <c r="A720" t="str">
        <f>IF(DSDV!B725&lt;&gt;"",DSDV!B725,"")</f>
        <v/>
      </c>
      <c r="B720" t="str">
        <f>IF(DSDV!G725&lt;&gt;"",DSDV!G725,"")</f>
        <v/>
      </c>
      <c r="C720" s="237" t="str">
        <f>IF(DSDV!K725&lt;&gt;"",DSDV!K725,"")</f>
        <v/>
      </c>
      <c r="D720" s="417" t="str">
        <f>IF(DSDV!W725&lt;&gt;"",DSDV!W725,"")</f>
        <v/>
      </c>
    </row>
    <row r="721" spans="1:4">
      <c r="A721" t="str">
        <f>IF(DSDV!B726&lt;&gt;"",DSDV!B726,"")</f>
        <v/>
      </c>
      <c r="B721" t="str">
        <f>IF(DSDV!G726&lt;&gt;"",DSDV!G726,"")</f>
        <v/>
      </c>
      <c r="C721" s="237" t="str">
        <f>IF(DSDV!K726&lt;&gt;"",DSDV!K726,"")</f>
        <v/>
      </c>
      <c r="D721" s="417" t="str">
        <f>IF(DSDV!W726&lt;&gt;"",DSDV!W726,"")</f>
        <v/>
      </c>
    </row>
    <row r="722" spans="1:4">
      <c r="A722" t="str">
        <f>IF(DSDV!B727&lt;&gt;"",DSDV!B727,"")</f>
        <v/>
      </c>
      <c r="B722" t="str">
        <f>IF(DSDV!G727&lt;&gt;"",DSDV!G727,"")</f>
        <v/>
      </c>
      <c r="C722" s="237" t="str">
        <f>IF(DSDV!K727&lt;&gt;"",DSDV!K727,"")</f>
        <v/>
      </c>
      <c r="D722" s="417" t="str">
        <f>IF(DSDV!W727&lt;&gt;"",DSDV!W727,"")</f>
        <v/>
      </c>
    </row>
    <row r="723" spans="1:4">
      <c r="A723" t="str">
        <f>IF(DSDV!B728&lt;&gt;"",DSDV!B728,"")</f>
        <v/>
      </c>
      <c r="B723" t="str">
        <f>IF(DSDV!G728&lt;&gt;"",DSDV!G728,"")</f>
        <v/>
      </c>
      <c r="C723" s="237" t="str">
        <f>IF(DSDV!K728&lt;&gt;"",DSDV!K728,"")</f>
        <v/>
      </c>
      <c r="D723" s="417" t="str">
        <f>IF(DSDV!W728&lt;&gt;"",DSDV!W728,"")</f>
        <v/>
      </c>
    </row>
    <row r="724" spans="1:4">
      <c r="A724" t="str">
        <f>IF(DSDV!B729&lt;&gt;"",DSDV!B729,"")</f>
        <v/>
      </c>
      <c r="B724" t="str">
        <f>IF(DSDV!G729&lt;&gt;"",DSDV!G729,"")</f>
        <v/>
      </c>
      <c r="C724" s="237" t="str">
        <f>IF(DSDV!K729&lt;&gt;"",DSDV!K729,"")</f>
        <v/>
      </c>
      <c r="D724" s="417" t="str">
        <f>IF(DSDV!W729&lt;&gt;"",DSDV!W729,"")</f>
        <v/>
      </c>
    </row>
    <row r="725" spans="1:4">
      <c r="A725" t="str">
        <f>IF(DSDV!B730&lt;&gt;"",DSDV!B730,"")</f>
        <v/>
      </c>
      <c r="B725" t="str">
        <f>IF(DSDV!G730&lt;&gt;"",DSDV!G730,"")</f>
        <v/>
      </c>
      <c r="C725" s="237" t="str">
        <f>IF(DSDV!K730&lt;&gt;"",DSDV!K730,"")</f>
        <v/>
      </c>
      <c r="D725" s="417" t="str">
        <f>IF(DSDV!W730&lt;&gt;"",DSDV!W730,"")</f>
        <v/>
      </c>
    </row>
    <row r="726" spans="1:4">
      <c r="A726" t="str">
        <f>IF(DSDV!B731&lt;&gt;"",DSDV!B731,"")</f>
        <v/>
      </c>
      <c r="B726" t="str">
        <f>IF(DSDV!G731&lt;&gt;"",DSDV!G731,"")</f>
        <v/>
      </c>
      <c r="C726" s="237" t="str">
        <f>IF(DSDV!K731&lt;&gt;"",DSDV!K731,"")</f>
        <v/>
      </c>
      <c r="D726" s="417" t="str">
        <f>IF(DSDV!W731&lt;&gt;"",DSDV!W731,"")</f>
        <v/>
      </c>
    </row>
    <row r="727" spans="1:4">
      <c r="A727" t="str">
        <f>IF(DSDV!B732&lt;&gt;"",DSDV!B732,"")</f>
        <v/>
      </c>
      <c r="B727" t="str">
        <f>IF(DSDV!G732&lt;&gt;"",DSDV!G732,"")</f>
        <v/>
      </c>
      <c r="C727" s="237" t="str">
        <f>IF(DSDV!K732&lt;&gt;"",DSDV!K732,"")</f>
        <v/>
      </c>
      <c r="D727" s="417" t="str">
        <f>IF(DSDV!W732&lt;&gt;"",DSDV!W732,"")</f>
        <v/>
      </c>
    </row>
    <row r="728" spans="1:4">
      <c r="A728" t="str">
        <f>IF(DSDV!B733&lt;&gt;"",DSDV!B733,"")</f>
        <v/>
      </c>
      <c r="B728" t="str">
        <f>IF(DSDV!G733&lt;&gt;"",DSDV!G733,"")</f>
        <v/>
      </c>
      <c r="C728" s="237" t="str">
        <f>IF(DSDV!K733&lt;&gt;"",DSDV!K733,"")</f>
        <v/>
      </c>
      <c r="D728" s="417" t="str">
        <f>IF(DSDV!W733&lt;&gt;"",DSDV!W733,"")</f>
        <v/>
      </c>
    </row>
    <row r="729" spans="1:4">
      <c r="A729" t="str">
        <f>IF(DSDV!B734&lt;&gt;"",DSDV!B734,"")</f>
        <v/>
      </c>
      <c r="B729" t="str">
        <f>IF(DSDV!G734&lt;&gt;"",DSDV!G734,"")</f>
        <v/>
      </c>
      <c r="C729" s="237" t="str">
        <f>IF(DSDV!K734&lt;&gt;"",DSDV!K734,"")</f>
        <v/>
      </c>
      <c r="D729" s="417" t="str">
        <f>IF(DSDV!W734&lt;&gt;"",DSDV!W734,"")</f>
        <v/>
      </c>
    </row>
    <row r="730" spans="1:4">
      <c r="A730" t="str">
        <f>IF(DSDV!B735&lt;&gt;"",DSDV!B735,"")</f>
        <v/>
      </c>
      <c r="B730" t="str">
        <f>IF(DSDV!G735&lt;&gt;"",DSDV!G735,"")</f>
        <v/>
      </c>
      <c r="C730" s="237" t="str">
        <f>IF(DSDV!K735&lt;&gt;"",DSDV!K735,"")</f>
        <v/>
      </c>
      <c r="D730" s="417" t="str">
        <f>IF(DSDV!W735&lt;&gt;"",DSDV!W735,"")</f>
        <v/>
      </c>
    </row>
    <row r="731" spans="1:4">
      <c r="A731" t="str">
        <f>IF(DSDV!B736&lt;&gt;"",DSDV!B736,"")</f>
        <v/>
      </c>
      <c r="B731" t="str">
        <f>IF(DSDV!G736&lt;&gt;"",DSDV!G736,"")</f>
        <v/>
      </c>
      <c r="C731" s="237" t="str">
        <f>IF(DSDV!K736&lt;&gt;"",DSDV!K736,"")</f>
        <v/>
      </c>
      <c r="D731" s="417" t="str">
        <f>IF(DSDV!W736&lt;&gt;"",DSDV!W736,"")</f>
        <v/>
      </c>
    </row>
    <row r="732" spans="1:4">
      <c r="A732" t="str">
        <f>IF(DSDV!B737&lt;&gt;"",DSDV!B737,"")</f>
        <v/>
      </c>
      <c r="B732" t="str">
        <f>IF(DSDV!G737&lt;&gt;"",DSDV!G737,"")</f>
        <v/>
      </c>
      <c r="C732" s="237" t="str">
        <f>IF(DSDV!K737&lt;&gt;"",DSDV!K737,"")</f>
        <v/>
      </c>
      <c r="D732" s="417" t="str">
        <f>IF(DSDV!W737&lt;&gt;"",DSDV!W737,"")</f>
        <v/>
      </c>
    </row>
    <row r="733" spans="1:4">
      <c r="A733" t="str">
        <f>IF(DSDV!B738&lt;&gt;"",DSDV!B738,"")</f>
        <v/>
      </c>
      <c r="B733" t="str">
        <f>IF(DSDV!G738&lt;&gt;"",DSDV!G738,"")</f>
        <v/>
      </c>
      <c r="C733" s="237" t="str">
        <f>IF(DSDV!K738&lt;&gt;"",DSDV!K738,"")</f>
        <v/>
      </c>
      <c r="D733" s="417" t="str">
        <f>IF(DSDV!W738&lt;&gt;"",DSDV!W738,"")</f>
        <v/>
      </c>
    </row>
    <row r="734" spans="1:4">
      <c r="A734" t="str">
        <f>IF(DSDV!B739&lt;&gt;"",DSDV!B739,"")</f>
        <v/>
      </c>
      <c r="B734" t="str">
        <f>IF(DSDV!G739&lt;&gt;"",DSDV!G739,"")</f>
        <v/>
      </c>
      <c r="C734" s="237" t="str">
        <f>IF(DSDV!K739&lt;&gt;"",DSDV!K739,"")</f>
        <v/>
      </c>
      <c r="D734" s="417" t="str">
        <f>IF(DSDV!W739&lt;&gt;"",DSDV!W739,"")</f>
        <v/>
      </c>
    </row>
    <row r="735" spans="1:4">
      <c r="A735" t="str">
        <f>IF(DSDV!B740&lt;&gt;"",DSDV!B740,"")</f>
        <v/>
      </c>
      <c r="B735" t="str">
        <f>IF(DSDV!G740&lt;&gt;"",DSDV!G740,"")</f>
        <v/>
      </c>
      <c r="C735" s="237" t="str">
        <f>IF(DSDV!K740&lt;&gt;"",DSDV!K740,"")</f>
        <v/>
      </c>
      <c r="D735" s="417" t="str">
        <f>IF(DSDV!W740&lt;&gt;"",DSDV!W740,"")</f>
        <v/>
      </c>
    </row>
    <row r="736" spans="1:4">
      <c r="A736" t="str">
        <f>IF(DSDV!B741&lt;&gt;"",DSDV!B741,"")</f>
        <v/>
      </c>
      <c r="B736" t="str">
        <f>IF(DSDV!G741&lt;&gt;"",DSDV!G741,"")</f>
        <v/>
      </c>
      <c r="C736" s="237" t="str">
        <f>IF(DSDV!K741&lt;&gt;"",DSDV!K741,"")</f>
        <v/>
      </c>
      <c r="D736" s="417" t="str">
        <f>IF(DSDV!W741&lt;&gt;"",DSDV!W741,"")</f>
        <v/>
      </c>
    </row>
    <row r="737" spans="1:4">
      <c r="A737" t="str">
        <f>IF(DSDV!B742&lt;&gt;"",DSDV!B742,"")</f>
        <v/>
      </c>
      <c r="B737" t="str">
        <f>IF(DSDV!G742&lt;&gt;"",DSDV!G742,"")</f>
        <v/>
      </c>
      <c r="C737" s="237" t="str">
        <f>IF(DSDV!K742&lt;&gt;"",DSDV!K742,"")</f>
        <v/>
      </c>
      <c r="D737" s="417" t="str">
        <f>IF(DSDV!W742&lt;&gt;"",DSDV!W742,"")</f>
        <v/>
      </c>
    </row>
    <row r="738" spans="1:4">
      <c r="A738" t="str">
        <f>IF(DSDV!B743&lt;&gt;"",DSDV!B743,"")</f>
        <v/>
      </c>
      <c r="B738" t="str">
        <f>IF(DSDV!G743&lt;&gt;"",DSDV!G743,"")</f>
        <v/>
      </c>
      <c r="C738" s="237" t="str">
        <f>IF(DSDV!K743&lt;&gt;"",DSDV!K743,"")</f>
        <v/>
      </c>
      <c r="D738" s="417" t="str">
        <f>IF(DSDV!W743&lt;&gt;"",DSDV!W743,"")</f>
        <v/>
      </c>
    </row>
    <row r="739" spans="1:4">
      <c r="A739" t="str">
        <f>IF(DSDV!B744&lt;&gt;"",DSDV!B744,"")</f>
        <v/>
      </c>
      <c r="B739" t="str">
        <f>IF(DSDV!G744&lt;&gt;"",DSDV!G744,"")</f>
        <v/>
      </c>
      <c r="C739" s="237" t="str">
        <f>IF(DSDV!K744&lt;&gt;"",DSDV!K744,"")</f>
        <v/>
      </c>
      <c r="D739" s="417" t="str">
        <f>IF(DSDV!W744&lt;&gt;"",DSDV!W744,"")</f>
        <v/>
      </c>
    </row>
    <row r="740" spans="1:4">
      <c r="A740" t="str">
        <f>IF(DSDV!B745&lt;&gt;"",DSDV!B745,"")</f>
        <v/>
      </c>
      <c r="B740" t="str">
        <f>IF(DSDV!G745&lt;&gt;"",DSDV!G745,"")</f>
        <v/>
      </c>
      <c r="C740" s="237" t="str">
        <f>IF(DSDV!K745&lt;&gt;"",DSDV!K745,"")</f>
        <v/>
      </c>
      <c r="D740" s="417" t="str">
        <f>IF(DSDV!W745&lt;&gt;"",DSDV!W745,"")</f>
        <v/>
      </c>
    </row>
    <row r="741" spans="1:4">
      <c r="A741" t="str">
        <f>IF(DSDV!B746&lt;&gt;"",DSDV!B746,"")</f>
        <v/>
      </c>
      <c r="B741" t="str">
        <f>IF(DSDV!G746&lt;&gt;"",DSDV!G746,"")</f>
        <v/>
      </c>
      <c r="C741" s="237" t="str">
        <f>IF(DSDV!K746&lt;&gt;"",DSDV!K746,"")</f>
        <v/>
      </c>
      <c r="D741" s="417" t="str">
        <f>IF(DSDV!W746&lt;&gt;"",DSDV!W746,"")</f>
        <v/>
      </c>
    </row>
    <row r="742" spans="1:4">
      <c r="A742" t="str">
        <f>IF(DSDV!B747&lt;&gt;"",DSDV!B747,"")</f>
        <v/>
      </c>
      <c r="B742" t="str">
        <f>IF(DSDV!G747&lt;&gt;"",DSDV!G747,"")</f>
        <v/>
      </c>
      <c r="C742" s="237" t="str">
        <f>IF(DSDV!K747&lt;&gt;"",DSDV!K747,"")</f>
        <v/>
      </c>
      <c r="D742" s="417" t="str">
        <f>IF(DSDV!W747&lt;&gt;"",DSDV!W747,"")</f>
        <v/>
      </c>
    </row>
    <row r="743" spans="1:4">
      <c r="A743" t="str">
        <f>IF(DSDV!B748&lt;&gt;"",DSDV!B748,"")</f>
        <v/>
      </c>
      <c r="B743" t="str">
        <f>IF(DSDV!G748&lt;&gt;"",DSDV!G748,"")</f>
        <v/>
      </c>
      <c r="C743" s="237" t="str">
        <f>IF(DSDV!K748&lt;&gt;"",DSDV!K748,"")</f>
        <v/>
      </c>
      <c r="D743" s="417" t="str">
        <f>IF(DSDV!W748&lt;&gt;"",DSDV!W748,"")</f>
        <v/>
      </c>
    </row>
    <row r="744" spans="1:4">
      <c r="A744" t="str">
        <f>IF(DSDV!B749&lt;&gt;"",DSDV!B749,"")</f>
        <v/>
      </c>
      <c r="B744" t="str">
        <f>IF(DSDV!G749&lt;&gt;"",DSDV!G749,"")</f>
        <v/>
      </c>
      <c r="C744" s="237" t="str">
        <f>IF(DSDV!K749&lt;&gt;"",DSDV!K749,"")</f>
        <v/>
      </c>
      <c r="D744" s="417" t="str">
        <f>IF(DSDV!W749&lt;&gt;"",DSDV!W749,"")</f>
        <v/>
      </c>
    </row>
    <row r="745" spans="1:4">
      <c r="A745" t="str">
        <f>IF(DSDV!B750&lt;&gt;"",DSDV!B750,"")</f>
        <v/>
      </c>
      <c r="B745" t="str">
        <f>IF(DSDV!G750&lt;&gt;"",DSDV!G750,"")</f>
        <v/>
      </c>
      <c r="C745" s="237" t="str">
        <f>IF(DSDV!K750&lt;&gt;"",DSDV!K750,"")</f>
        <v/>
      </c>
      <c r="D745" s="417" t="str">
        <f>IF(DSDV!W750&lt;&gt;"",DSDV!W750,"")</f>
        <v/>
      </c>
    </row>
    <row r="746" spans="1:4">
      <c r="A746" t="str">
        <f>IF(DSDV!B751&lt;&gt;"",DSDV!B751,"")</f>
        <v/>
      </c>
      <c r="B746" t="str">
        <f>IF(DSDV!G751&lt;&gt;"",DSDV!G751,"")</f>
        <v/>
      </c>
      <c r="C746" s="237" t="str">
        <f>IF(DSDV!K751&lt;&gt;"",DSDV!K751,"")</f>
        <v/>
      </c>
      <c r="D746" s="417" t="str">
        <f>IF(DSDV!W751&lt;&gt;"",DSDV!W751,"")</f>
        <v/>
      </c>
    </row>
    <row r="747" spans="1:4">
      <c r="A747" t="str">
        <f>IF(DSDV!B752&lt;&gt;"",DSDV!B752,"")</f>
        <v/>
      </c>
      <c r="B747" t="str">
        <f>IF(DSDV!G752&lt;&gt;"",DSDV!G752,"")</f>
        <v/>
      </c>
      <c r="C747" s="237" t="str">
        <f>IF(DSDV!K752&lt;&gt;"",DSDV!K752,"")</f>
        <v/>
      </c>
      <c r="D747" s="417" t="str">
        <f>IF(DSDV!W752&lt;&gt;"",DSDV!W752,"")</f>
        <v/>
      </c>
    </row>
    <row r="748" spans="1:4">
      <c r="A748" t="str">
        <f>IF(DSDV!B753&lt;&gt;"",DSDV!B753,"")</f>
        <v/>
      </c>
      <c r="B748" t="str">
        <f>IF(DSDV!G753&lt;&gt;"",DSDV!G753,"")</f>
        <v/>
      </c>
      <c r="C748" s="237" t="str">
        <f>IF(DSDV!K753&lt;&gt;"",DSDV!K753,"")</f>
        <v/>
      </c>
      <c r="D748" s="417" t="str">
        <f>IF(DSDV!W753&lt;&gt;"",DSDV!W753,"")</f>
        <v/>
      </c>
    </row>
    <row r="749" spans="1:4">
      <c r="A749" t="str">
        <f>IF(DSDV!B754&lt;&gt;"",DSDV!B754,"")</f>
        <v/>
      </c>
      <c r="B749" t="str">
        <f>IF(DSDV!G754&lt;&gt;"",DSDV!G754,"")</f>
        <v/>
      </c>
      <c r="C749" s="237" t="str">
        <f>IF(DSDV!K754&lt;&gt;"",DSDV!K754,"")</f>
        <v/>
      </c>
      <c r="D749" s="417" t="str">
        <f>IF(DSDV!W754&lt;&gt;"",DSDV!W754,"")</f>
        <v/>
      </c>
    </row>
    <row r="750" spans="1:4">
      <c r="A750" t="str">
        <f>IF(DSDV!B755&lt;&gt;"",DSDV!B755,"")</f>
        <v/>
      </c>
      <c r="B750" t="str">
        <f>IF(DSDV!G755&lt;&gt;"",DSDV!G755,"")</f>
        <v/>
      </c>
      <c r="C750" s="237" t="str">
        <f>IF(DSDV!K755&lt;&gt;"",DSDV!K755,"")</f>
        <v/>
      </c>
      <c r="D750" s="417" t="str">
        <f>IF(DSDV!W755&lt;&gt;"",DSDV!W755,"")</f>
        <v/>
      </c>
    </row>
    <row r="751" spans="1:4">
      <c r="A751" t="str">
        <f>IF(DSDV!B756&lt;&gt;"",DSDV!B756,"")</f>
        <v/>
      </c>
      <c r="B751" t="str">
        <f>IF(DSDV!G756&lt;&gt;"",DSDV!G756,"")</f>
        <v/>
      </c>
      <c r="C751" s="237" t="str">
        <f>IF(DSDV!K756&lt;&gt;"",DSDV!K756,"")</f>
        <v/>
      </c>
      <c r="D751" s="417" t="str">
        <f>IF(DSDV!W756&lt;&gt;"",DSDV!W756,"")</f>
        <v/>
      </c>
    </row>
    <row r="752" spans="1:4">
      <c r="A752" t="str">
        <f>IF(DSDV!B757&lt;&gt;"",DSDV!B757,"")</f>
        <v/>
      </c>
      <c r="B752" t="str">
        <f>IF(DSDV!G757&lt;&gt;"",DSDV!G757,"")</f>
        <v/>
      </c>
      <c r="C752" s="237" t="str">
        <f>IF(DSDV!K757&lt;&gt;"",DSDV!K757,"")</f>
        <v/>
      </c>
      <c r="D752" s="417" t="str">
        <f>IF(DSDV!W757&lt;&gt;"",DSDV!W757,"")</f>
        <v/>
      </c>
    </row>
    <row r="753" spans="1:4">
      <c r="A753" t="str">
        <f>IF(DSDV!B758&lt;&gt;"",DSDV!B758,"")</f>
        <v/>
      </c>
      <c r="B753" t="str">
        <f>IF(DSDV!G758&lt;&gt;"",DSDV!G758,"")</f>
        <v/>
      </c>
      <c r="C753" s="237" t="str">
        <f>IF(DSDV!K758&lt;&gt;"",DSDV!K758,"")</f>
        <v/>
      </c>
      <c r="D753" s="417" t="str">
        <f>IF(DSDV!W758&lt;&gt;"",DSDV!W758,"")</f>
        <v/>
      </c>
    </row>
    <row r="754" spans="1:4">
      <c r="A754" t="str">
        <f>IF(DSDV!B759&lt;&gt;"",DSDV!B759,"")</f>
        <v/>
      </c>
      <c r="B754" t="str">
        <f>IF(DSDV!G759&lt;&gt;"",DSDV!G759,"")</f>
        <v/>
      </c>
      <c r="C754" s="237" t="str">
        <f>IF(DSDV!K759&lt;&gt;"",DSDV!K759,"")</f>
        <v/>
      </c>
      <c r="D754" s="417" t="str">
        <f>IF(DSDV!W759&lt;&gt;"",DSDV!W759,"")</f>
        <v/>
      </c>
    </row>
    <row r="755" spans="1:4">
      <c r="A755" t="str">
        <f>IF(DSDV!B760&lt;&gt;"",DSDV!B760,"")</f>
        <v/>
      </c>
      <c r="B755" t="str">
        <f>IF(DSDV!G760&lt;&gt;"",DSDV!G760,"")</f>
        <v/>
      </c>
      <c r="C755" s="237" t="str">
        <f>IF(DSDV!K760&lt;&gt;"",DSDV!K760,"")</f>
        <v/>
      </c>
      <c r="D755" s="417" t="str">
        <f>IF(DSDV!W760&lt;&gt;"",DSDV!W760,"")</f>
        <v/>
      </c>
    </row>
    <row r="756" spans="1:4">
      <c r="A756" t="str">
        <f>IF(DSDV!B761&lt;&gt;"",DSDV!B761,"")</f>
        <v/>
      </c>
      <c r="B756" t="str">
        <f>IF(DSDV!G761&lt;&gt;"",DSDV!G761,"")</f>
        <v/>
      </c>
      <c r="C756" s="237" t="str">
        <f>IF(DSDV!K761&lt;&gt;"",DSDV!K761,"")</f>
        <v/>
      </c>
      <c r="D756" s="417" t="str">
        <f>IF(DSDV!W761&lt;&gt;"",DSDV!W761,"")</f>
        <v/>
      </c>
    </row>
    <row r="757" spans="1:4">
      <c r="A757" t="str">
        <f>IF(DSDV!B762&lt;&gt;"",DSDV!B762,"")</f>
        <v/>
      </c>
      <c r="B757" t="str">
        <f>IF(DSDV!G762&lt;&gt;"",DSDV!G762,"")</f>
        <v/>
      </c>
      <c r="C757" s="237" t="str">
        <f>IF(DSDV!K762&lt;&gt;"",DSDV!K762,"")</f>
        <v/>
      </c>
      <c r="D757" s="417" t="str">
        <f>IF(DSDV!W762&lt;&gt;"",DSDV!W762,"")</f>
        <v/>
      </c>
    </row>
    <row r="758" spans="1:4">
      <c r="A758" t="str">
        <f>IF(DSDV!B763&lt;&gt;"",DSDV!B763,"")</f>
        <v/>
      </c>
      <c r="B758" t="str">
        <f>IF(DSDV!G763&lt;&gt;"",DSDV!G763,"")</f>
        <v/>
      </c>
      <c r="C758" s="237" t="str">
        <f>IF(DSDV!K763&lt;&gt;"",DSDV!K763,"")</f>
        <v/>
      </c>
      <c r="D758" s="417" t="str">
        <f>IF(DSDV!W763&lt;&gt;"",DSDV!W763,"")</f>
        <v/>
      </c>
    </row>
    <row r="759" spans="1:4">
      <c r="A759" t="str">
        <f>IF(DSDV!B764&lt;&gt;"",DSDV!B764,"")</f>
        <v/>
      </c>
      <c r="B759" t="str">
        <f>IF(DSDV!G764&lt;&gt;"",DSDV!G764,"")</f>
        <v/>
      </c>
      <c r="C759" s="237" t="str">
        <f>IF(DSDV!K764&lt;&gt;"",DSDV!K764,"")</f>
        <v/>
      </c>
      <c r="D759" s="417" t="str">
        <f>IF(DSDV!W764&lt;&gt;"",DSDV!W764,"")</f>
        <v/>
      </c>
    </row>
    <row r="760" spans="1:4">
      <c r="A760" t="str">
        <f>IF(DSDV!B765&lt;&gt;"",DSDV!B765,"")</f>
        <v/>
      </c>
      <c r="B760" t="str">
        <f>IF(DSDV!G765&lt;&gt;"",DSDV!G765,"")</f>
        <v/>
      </c>
      <c r="C760" s="237" t="str">
        <f>IF(DSDV!K765&lt;&gt;"",DSDV!K765,"")</f>
        <v/>
      </c>
      <c r="D760" s="417" t="str">
        <f>IF(DSDV!W765&lt;&gt;"",DSDV!W765,"")</f>
        <v/>
      </c>
    </row>
    <row r="761" spans="1:4">
      <c r="A761" t="str">
        <f>IF(DSDV!B766&lt;&gt;"",DSDV!B766,"")</f>
        <v/>
      </c>
      <c r="B761" t="str">
        <f>IF(DSDV!G766&lt;&gt;"",DSDV!G766,"")</f>
        <v/>
      </c>
      <c r="C761" s="237" t="str">
        <f>IF(DSDV!K766&lt;&gt;"",DSDV!K766,"")</f>
        <v/>
      </c>
      <c r="D761" s="417" t="str">
        <f>IF(DSDV!W766&lt;&gt;"",DSDV!W766,"")</f>
        <v/>
      </c>
    </row>
    <row r="762" spans="1:4">
      <c r="A762" t="str">
        <f>IF(DSDV!B767&lt;&gt;"",DSDV!B767,"")</f>
        <v/>
      </c>
      <c r="B762" t="str">
        <f>IF(DSDV!G767&lt;&gt;"",DSDV!G767,"")</f>
        <v/>
      </c>
      <c r="C762" s="237" t="str">
        <f>IF(DSDV!K767&lt;&gt;"",DSDV!K767,"")</f>
        <v/>
      </c>
      <c r="D762" s="417" t="str">
        <f>IF(DSDV!W767&lt;&gt;"",DSDV!W767,"")</f>
        <v/>
      </c>
    </row>
    <row r="763" spans="1:4">
      <c r="A763" t="str">
        <f>IF(DSDV!B768&lt;&gt;"",DSDV!B768,"")</f>
        <v/>
      </c>
      <c r="B763" t="str">
        <f>IF(DSDV!G768&lt;&gt;"",DSDV!G768,"")</f>
        <v/>
      </c>
      <c r="C763" s="237" t="str">
        <f>IF(DSDV!K768&lt;&gt;"",DSDV!K768,"")</f>
        <v/>
      </c>
      <c r="D763" s="417" t="str">
        <f>IF(DSDV!W768&lt;&gt;"",DSDV!W768,"")</f>
        <v/>
      </c>
    </row>
    <row r="764" spans="1:4">
      <c r="A764" t="str">
        <f>IF(DSDV!B769&lt;&gt;"",DSDV!B769,"")</f>
        <v/>
      </c>
      <c r="B764" t="str">
        <f>IF(DSDV!G769&lt;&gt;"",DSDV!G769,"")</f>
        <v/>
      </c>
      <c r="C764" s="237" t="str">
        <f>IF(DSDV!K769&lt;&gt;"",DSDV!K769,"")</f>
        <v/>
      </c>
      <c r="D764" s="417" t="str">
        <f>IF(DSDV!W769&lt;&gt;"",DSDV!W769,"")</f>
        <v/>
      </c>
    </row>
    <row r="765" spans="1:4">
      <c r="A765" t="str">
        <f>IF(DSDV!B770&lt;&gt;"",DSDV!B770,"")</f>
        <v/>
      </c>
      <c r="B765" t="str">
        <f>IF(DSDV!G770&lt;&gt;"",DSDV!G770,"")</f>
        <v/>
      </c>
      <c r="C765" s="237" t="str">
        <f>IF(DSDV!K770&lt;&gt;"",DSDV!K770,"")</f>
        <v/>
      </c>
      <c r="D765" s="417" t="str">
        <f>IF(DSDV!W770&lt;&gt;"",DSDV!W770,"")</f>
        <v/>
      </c>
    </row>
    <row r="766" spans="1:4">
      <c r="A766" t="str">
        <f>IF(DSDV!B771&lt;&gt;"",DSDV!B771,"")</f>
        <v/>
      </c>
      <c r="B766" t="str">
        <f>IF(DSDV!G771&lt;&gt;"",DSDV!G771,"")</f>
        <v/>
      </c>
      <c r="C766" s="237" t="str">
        <f>IF(DSDV!K771&lt;&gt;"",DSDV!K771,"")</f>
        <v/>
      </c>
      <c r="D766" s="417" t="str">
        <f>IF(DSDV!W771&lt;&gt;"",DSDV!W771,"")</f>
        <v/>
      </c>
    </row>
    <row r="767" spans="1:4">
      <c r="A767" t="str">
        <f>IF(DSDV!B772&lt;&gt;"",DSDV!B772,"")</f>
        <v/>
      </c>
      <c r="B767" t="str">
        <f>IF(DSDV!G772&lt;&gt;"",DSDV!G772,"")</f>
        <v/>
      </c>
      <c r="C767" s="237" t="str">
        <f>IF(DSDV!K772&lt;&gt;"",DSDV!K772,"")</f>
        <v/>
      </c>
      <c r="D767" s="417" t="str">
        <f>IF(DSDV!W772&lt;&gt;"",DSDV!W772,"")</f>
        <v/>
      </c>
    </row>
    <row r="768" spans="1:4">
      <c r="A768" t="str">
        <f>IF(DSDV!B773&lt;&gt;"",DSDV!B773,"")</f>
        <v/>
      </c>
      <c r="B768" t="str">
        <f>IF(DSDV!G773&lt;&gt;"",DSDV!G773,"")</f>
        <v/>
      </c>
      <c r="C768" s="237" t="str">
        <f>IF(DSDV!K773&lt;&gt;"",DSDV!K773,"")</f>
        <v/>
      </c>
      <c r="D768" s="417" t="str">
        <f>IF(DSDV!W773&lt;&gt;"",DSDV!W773,"")</f>
        <v/>
      </c>
    </row>
    <row r="769" spans="1:4">
      <c r="A769" t="str">
        <f>IF(DSDV!B774&lt;&gt;"",DSDV!B774,"")</f>
        <v/>
      </c>
      <c r="B769" t="str">
        <f>IF(DSDV!G774&lt;&gt;"",DSDV!G774,"")</f>
        <v/>
      </c>
      <c r="C769" s="237" t="str">
        <f>IF(DSDV!K774&lt;&gt;"",DSDV!K774,"")</f>
        <v/>
      </c>
      <c r="D769" s="417" t="str">
        <f>IF(DSDV!W774&lt;&gt;"",DSDV!W774,"")</f>
        <v/>
      </c>
    </row>
    <row r="770" spans="1:4">
      <c r="A770" t="str">
        <f>IF(DSDV!B775&lt;&gt;"",DSDV!B775,"")</f>
        <v/>
      </c>
      <c r="B770" t="str">
        <f>IF(DSDV!G775&lt;&gt;"",DSDV!G775,"")</f>
        <v/>
      </c>
      <c r="C770" s="237" t="str">
        <f>IF(DSDV!K775&lt;&gt;"",DSDV!K775,"")</f>
        <v/>
      </c>
      <c r="D770" s="417" t="str">
        <f>IF(DSDV!W775&lt;&gt;"",DSDV!W775,"")</f>
        <v/>
      </c>
    </row>
    <row r="771" spans="1:4">
      <c r="A771" t="str">
        <f>IF(DSDV!B776&lt;&gt;"",DSDV!B776,"")</f>
        <v/>
      </c>
      <c r="B771" t="str">
        <f>IF(DSDV!G776&lt;&gt;"",DSDV!G776,"")</f>
        <v/>
      </c>
      <c r="C771" s="237" t="str">
        <f>IF(DSDV!K776&lt;&gt;"",DSDV!K776,"")</f>
        <v/>
      </c>
      <c r="D771" s="417" t="str">
        <f>IF(DSDV!W776&lt;&gt;"",DSDV!W776,"")</f>
        <v/>
      </c>
    </row>
    <row r="772" spans="1:4">
      <c r="A772" t="str">
        <f>IF(DSDV!B777&lt;&gt;"",DSDV!B777,"")</f>
        <v/>
      </c>
      <c r="B772" t="str">
        <f>IF(DSDV!G777&lt;&gt;"",DSDV!G777,"")</f>
        <v/>
      </c>
      <c r="C772" s="237" t="str">
        <f>IF(DSDV!K777&lt;&gt;"",DSDV!K777,"")</f>
        <v/>
      </c>
      <c r="D772" s="417" t="str">
        <f>IF(DSDV!W777&lt;&gt;"",DSDV!W777,"")</f>
        <v/>
      </c>
    </row>
    <row r="773" spans="1:4">
      <c r="A773" t="str">
        <f>IF(DSDV!B778&lt;&gt;"",DSDV!B778,"")</f>
        <v/>
      </c>
      <c r="B773" t="str">
        <f>IF(DSDV!G778&lt;&gt;"",DSDV!G778,"")</f>
        <v/>
      </c>
      <c r="C773" s="237" t="str">
        <f>IF(DSDV!K778&lt;&gt;"",DSDV!K778,"")</f>
        <v/>
      </c>
      <c r="D773" s="417" t="str">
        <f>IF(DSDV!W778&lt;&gt;"",DSDV!W778,"")</f>
        <v/>
      </c>
    </row>
    <row r="774" spans="1:4">
      <c r="A774" t="str">
        <f>IF(DSDV!B779&lt;&gt;"",DSDV!B779,"")</f>
        <v/>
      </c>
      <c r="B774" t="str">
        <f>IF(DSDV!G779&lt;&gt;"",DSDV!G779,"")</f>
        <v/>
      </c>
      <c r="C774" s="237" t="str">
        <f>IF(DSDV!K779&lt;&gt;"",DSDV!K779,"")</f>
        <v/>
      </c>
      <c r="D774" s="417" t="str">
        <f>IF(DSDV!W779&lt;&gt;"",DSDV!W779,"")</f>
        <v/>
      </c>
    </row>
    <row r="775" spans="1:4">
      <c r="A775" t="str">
        <f>IF(DSDV!B780&lt;&gt;"",DSDV!B780,"")</f>
        <v/>
      </c>
      <c r="B775" t="str">
        <f>IF(DSDV!G780&lt;&gt;"",DSDV!G780,"")</f>
        <v/>
      </c>
      <c r="C775" s="237" t="str">
        <f>IF(DSDV!K780&lt;&gt;"",DSDV!K780,"")</f>
        <v/>
      </c>
      <c r="D775" s="417" t="str">
        <f>IF(DSDV!W780&lt;&gt;"",DSDV!W780,"")</f>
        <v/>
      </c>
    </row>
    <row r="776" spans="1:4">
      <c r="A776" t="str">
        <f>IF(DSDV!B781&lt;&gt;"",DSDV!B781,"")</f>
        <v/>
      </c>
      <c r="B776" t="str">
        <f>IF(DSDV!G781&lt;&gt;"",DSDV!G781,"")</f>
        <v/>
      </c>
      <c r="C776" s="237" t="str">
        <f>IF(DSDV!K781&lt;&gt;"",DSDV!K781,"")</f>
        <v/>
      </c>
      <c r="D776" s="417" t="str">
        <f>IF(DSDV!W781&lt;&gt;"",DSDV!W781,"")</f>
        <v/>
      </c>
    </row>
    <row r="777" spans="1:4">
      <c r="A777" t="str">
        <f>IF(DSDV!B782&lt;&gt;"",DSDV!B782,"")</f>
        <v/>
      </c>
      <c r="B777" t="str">
        <f>IF(DSDV!G782&lt;&gt;"",DSDV!G782,"")</f>
        <v/>
      </c>
      <c r="C777" s="237" t="str">
        <f>IF(DSDV!K782&lt;&gt;"",DSDV!K782,"")</f>
        <v/>
      </c>
      <c r="D777" s="417" t="str">
        <f>IF(DSDV!W782&lt;&gt;"",DSDV!W782,"")</f>
        <v/>
      </c>
    </row>
    <row r="778" spans="1:4">
      <c r="A778" t="str">
        <f>IF(DSDV!B783&lt;&gt;"",DSDV!B783,"")</f>
        <v/>
      </c>
      <c r="B778" t="str">
        <f>IF(DSDV!G783&lt;&gt;"",DSDV!G783,"")</f>
        <v/>
      </c>
      <c r="C778" s="237" t="str">
        <f>IF(DSDV!K783&lt;&gt;"",DSDV!K783,"")</f>
        <v/>
      </c>
      <c r="D778" s="417" t="str">
        <f>IF(DSDV!W783&lt;&gt;"",DSDV!W783,"")</f>
        <v/>
      </c>
    </row>
    <row r="779" spans="1:4">
      <c r="A779" t="str">
        <f>IF(DSDV!B784&lt;&gt;"",DSDV!B784,"")</f>
        <v/>
      </c>
      <c r="B779" t="str">
        <f>IF(DSDV!G784&lt;&gt;"",DSDV!G784,"")</f>
        <v/>
      </c>
      <c r="C779" s="237" t="str">
        <f>IF(DSDV!K784&lt;&gt;"",DSDV!K784,"")</f>
        <v/>
      </c>
      <c r="D779" s="417" t="str">
        <f>IF(DSDV!W784&lt;&gt;"",DSDV!W784,"")</f>
        <v/>
      </c>
    </row>
    <row r="780" spans="1:4">
      <c r="A780" t="str">
        <f>IF(DSDV!B785&lt;&gt;"",DSDV!B785,"")</f>
        <v/>
      </c>
      <c r="B780" t="str">
        <f>IF(DSDV!G785&lt;&gt;"",DSDV!G785,"")</f>
        <v/>
      </c>
      <c r="C780" s="237" t="str">
        <f>IF(DSDV!K785&lt;&gt;"",DSDV!K785,"")</f>
        <v/>
      </c>
      <c r="D780" s="417" t="str">
        <f>IF(DSDV!W785&lt;&gt;"",DSDV!W785,"")</f>
        <v/>
      </c>
    </row>
    <row r="781" spans="1:4">
      <c r="A781" t="str">
        <f>IF(DSDV!B786&lt;&gt;"",DSDV!B786,"")</f>
        <v/>
      </c>
      <c r="B781" t="str">
        <f>IF(DSDV!G786&lt;&gt;"",DSDV!G786,"")</f>
        <v/>
      </c>
      <c r="C781" s="237" t="str">
        <f>IF(DSDV!K786&lt;&gt;"",DSDV!K786,"")</f>
        <v/>
      </c>
      <c r="D781" s="417" t="str">
        <f>IF(DSDV!W786&lt;&gt;"",DSDV!W786,"")</f>
        <v/>
      </c>
    </row>
    <row r="782" spans="1:4">
      <c r="A782" t="str">
        <f>IF(DSDV!B787&lt;&gt;"",DSDV!B787,"")</f>
        <v/>
      </c>
      <c r="B782" t="str">
        <f>IF(DSDV!G787&lt;&gt;"",DSDV!G787,"")</f>
        <v/>
      </c>
      <c r="C782" s="237" t="str">
        <f>IF(DSDV!K787&lt;&gt;"",DSDV!K787,"")</f>
        <v/>
      </c>
      <c r="D782" s="417" t="str">
        <f>IF(DSDV!W787&lt;&gt;"",DSDV!W787,"")</f>
        <v/>
      </c>
    </row>
    <row r="783" spans="1:4">
      <c r="A783" t="str">
        <f>IF(DSDV!B788&lt;&gt;"",DSDV!B788,"")</f>
        <v/>
      </c>
      <c r="B783" t="str">
        <f>IF(DSDV!G788&lt;&gt;"",DSDV!G788,"")</f>
        <v/>
      </c>
      <c r="C783" s="237" t="str">
        <f>IF(DSDV!K788&lt;&gt;"",DSDV!K788,"")</f>
        <v/>
      </c>
      <c r="D783" s="417" t="str">
        <f>IF(DSDV!W788&lt;&gt;"",DSDV!W788,"")</f>
        <v/>
      </c>
    </row>
    <row r="784" spans="1:4">
      <c r="A784" t="str">
        <f>IF(DSDV!B789&lt;&gt;"",DSDV!B789,"")</f>
        <v/>
      </c>
      <c r="B784" t="str">
        <f>IF(DSDV!G789&lt;&gt;"",DSDV!G789,"")</f>
        <v/>
      </c>
      <c r="C784" s="237" t="str">
        <f>IF(DSDV!K789&lt;&gt;"",DSDV!K789,"")</f>
        <v/>
      </c>
      <c r="D784" s="417" t="str">
        <f>IF(DSDV!W789&lt;&gt;"",DSDV!W789,"")</f>
        <v/>
      </c>
    </row>
    <row r="785" spans="1:4">
      <c r="A785" t="str">
        <f>IF(DSDV!B790&lt;&gt;"",DSDV!B790,"")</f>
        <v/>
      </c>
      <c r="B785" t="str">
        <f>IF(DSDV!G790&lt;&gt;"",DSDV!G790,"")</f>
        <v/>
      </c>
      <c r="C785" s="237" t="str">
        <f>IF(DSDV!K790&lt;&gt;"",DSDV!K790,"")</f>
        <v/>
      </c>
      <c r="D785" s="417" t="str">
        <f>IF(DSDV!W790&lt;&gt;"",DSDV!W790,"")</f>
        <v/>
      </c>
    </row>
    <row r="786" spans="1:4">
      <c r="A786" t="str">
        <f>IF(DSDV!B791&lt;&gt;"",DSDV!B791,"")</f>
        <v/>
      </c>
      <c r="B786" t="str">
        <f>IF(DSDV!G791&lt;&gt;"",DSDV!G791,"")</f>
        <v/>
      </c>
      <c r="C786" s="237" t="str">
        <f>IF(DSDV!K791&lt;&gt;"",DSDV!K791,"")</f>
        <v/>
      </c>
      <c r="D786" s="417" t="str">
        <f>IF(DSDV!W791&lt;&gt;"",DSDV!W791,"")</f>
        <v/>
      </c>
    </row>
    <row r="787" spans="1:4">
      <c r="A787" t="str">
        <f>IF(DSDV!B792&lt;&gt;"",DSDV!B792,"")</f>
        <v/>
      </c>
      <c r="B787" t="str">
        <f>IF(DSDV!G792&lt;&gt;"",DSDV!G792,"")</f>
        <v/>
      </c>
      <c r="C787" s="237" t="str">
        <f>IF(DSDV!K792&lt;&gt;"",DSDV!K792,"")</f>
        <v/>
      </c>
      <c r="D787" s="417" t="str">
        <f>IF(DSDV!W792&lt;&gt;"",DSDV!W792,"")</f>
        <v/>
      </c>
    </row>
    <row r="788" spans="1:4">
      <c r="A788" t="str">
        <f>IF(DSDV!B793&lt;&gt;"",DSDV!B793,"")</f>
        <v/>
      </c>
      <c r="B788" t="str">
        <f>IF(DSDV!G793&lt;&gt;"",DSDV!G793,"")</f>
        <v/>
      </c>
      <c r="C788" s="237" t="str">
        <f>IF(DSDV!K793&lt;&gt;"",DSDV!K793,"")</f>
        <v/>
      </c>
      <c r="D788" s="417" t="str">
        <f>IF(DSDV!W793&lt;&gt;"",DSDV!W793,"")</f>
        <v/>
      </c>
    </row>
    <row r="789" spans="1:4">
      <c r="A789" t="str">
        <f>IF(DSDV!B794&lt;&gt;"",DSDV!B794,"")</f>
        <v/>
      </c>
      <c r="B789" t="str">
        <f>IF(DSDV!G794&lt;&gt;"",DSDV!G794,"")</f>
        <v/>
      </c>
      <c r="C789" s="237" t="str">
        <f>IF(DSDV!K794&lt;&gt;"",DSDV!K794,"")</f>
        <v/>
      </c>
      <c r="D789" s="417" t="str">
        <f>IF(DSDV!W794&lt;&gt;"",DSDV!W794,"")</f>
        <v/>
      </c>
    </row>
    <row r="790" spans="1:4">
      <c r="A790" t="str">
        <f>IF(DSDV!B795&lt;&gt;"",DSDV!B795,"")</f>
        <v/>
      </c>
      <c r="B790" t="str">
        <f>IF(DSDV!G795&lt;&gt;"",DSDV!G795,"")</f>
        <v/>
      </c>
      <c r="C790" s="237" t="str">
        <f>IF(DSDV!K795&lt;&gt;"",DSDV!K795,"")</f>
        <v/>
      </c>
      <c r="D790" s="417" t="str">
        <f>IF(DSDV!W795&lt;&gt;"",DSDV!W795,"")</f>
        <v/>
      </c>
    </row>
    <row r="791" spans="1:4">
      <c r="A791" t="str">
        <f>IF(DSDV!B796&lt;&gt;"",DSDV!B796,"")</f>
        <v/>
      </c>
      <c r="B791" t="str">
        <f>IF(DSDV!G796&lt;&gt;"",DSDV!G796,"")</f>
        <v/>
      </c>
      <c r="C791" s="237" t="str">
        <f>IF(DSDV!K796&lt;&gt;"",DSDV!K796,"")</f>
        <v/>
      </c>
      <c r="D791" s="417" t="str">
        <f>IF(DSDV!W796&lt;&gt;"",DSDV!W796,"")</f>
        <v/>
      </c>
    </row>
    <row r="792" spans="1:4">
      <c r="A792" t="str">
        <f>IF(DSDV!B797&lt;&gt;"",DSDV!B797,"")</f>
        <v/>
      </c>
      <c r="B792" t="str">
        <f>IF(DSDV!G797&lt;&gt;"",DSDV!G797,"")</f>
        <v/>
      </c>
      <c r="C792" s="237" t="str">
        <f>IF(DSDV!K797&lt;&gt;"",DSDV!K797,"")</f>
        <v/>
      </c>
      <c r="D792" s="417" t="str">
        <f>IF(DSDV!W797&lt;&gt;"",DSDV!W797,"")</f>
        <v/>
      </c>
    </row>
    <row r="793" spans="1:4">
      <c r="A793" t="str">
        <f>IF(DSDV!B798&lt;&gt;"",DSDV!B798,"")</f>
        <v/>
      </c>
      <c r="B793" t="str">
        <f>IF(DSDV!G798&lt;&gt;"",DSDV!G798,"")</f>
        <v/>
      </c>
      <c r="C793" s="237" t="str">
        <f>IF(DSDV!K798&lt;&gt;"",DSDV!K798,"")</f>
        <v/>
      </c>
      <c r="D793" s="417" t="str">
        <f>IF(DSDV!W798&lt;&gt;"",DSDV!W798,"")</f>
        <v/>
      </c>
    </row>
    <row r="794" spans="1:4">
      <c r="A794" t="str">
        <f>IF(DSDV!B799&lt;&gt;"",DSDV!B799,"")</f>
        <v/>
      </c>
      <c r="B794" t="str">
        <f>IF(DSDV!G799&lt;&gt;"",DSDV!G799,"")</f>
        <v/>
      </c>
      <c r="C794" s="237" t="str">
        <f>IF(DSDV!K799&lt;&gt;"",DSDV!K799,"")</f>
        <v/>
      </c>
      <c r="D794" s="417" t="str">
        <f>IF(DSDV!W799&lt;&gt;"",DSDV!W799,"")</f>
        <v/>
      </c>
    </row>
    <row r="795" spans="1:4">
      <c r="A795" t="str">
        <f>IF(DSDV!B800&lt;&gt;"",DSDV!B800,"")</f>
        <v/>
      </c>
      <c r="B795" t="str">
        <f>IF(DSDV!G800&lt;&gt;"",DSDV!G800,"")</f>
        <v/>
      </c>
      <c r="C795" s="237" t="str">
        <f>IF(DSDV!K800&lt;&gt;"",DSDV!K800,"")</f>
        <v/>
      </c>
      <c r="D795" s="417" t="str">
        <f>IF(DSDV!W800&lt;&gt;"",DSDV!W800,"")</f>
        <v/>
      </c>
    </row>
    <row r="796" spans="1:4">
      <c r="A796" t="str">
        <f>IF(DSDV!B801&lt;&gt;"",DSDV!B801,"")</f>
        <v/>
      </c>
      <c r="B796" t="str">
        <f>IF(DSDV!G801&lt;&gt;"",DSDV!G801,"")</f>
        <v/>
      </c>
      <c r="C796" s="237" t="str">
        <f>IF(DSDV!K801&lt;&gt;"",DSDV!K801,"")</f>
        <v/>
      </c>
      <c r="D796" s="417" t="str">
        <f>IF(DSDV!W801&lt;&gt;"",DSDV!W801,"")</f>
        <v/>
      </c>
    </row>
    <row r="797" spans="1:4">
      <c r="A797" t="str">
        <f>IF(DSDV!B802&lt;&gt;"",DSDV!B802,"")</f>
        <v/>
      </c>
      <c r="B797" t="str">
        <f>IF(DSDV!G802&lt;&gt;"",DSDV!G802,"")</f>
        <v/>
      </c>
      <c r="C797" s="237" t="str">
        <f>IF(DSDV!K802&lt;&gt;"",DSDV!K802,"")</f>
        <v/>
      </c>
      <c r="D797" s="417" t="str">
        <f>IF(DSDV!W802&lt;&gt;"",DSDV!W802,"")</f>
        <v/>
      </c>
    </row>
    <row r="798" spans="1:4">
      <c r="A798" t="str">
        <f>IF(DSDV!B803&lt;&gt;"",DSDV!B803,"")</f>
        <v/>
      </c>
      <c r="B798" t="str">
        <f>IF(DSDV!G803&lt;&gt;"",DSDV!G803,"")</f>
        <v/>
      </c>
      <c r="C798" s="237" t="str">
        <f>IF(DSDV!K803&lt;&gt;"",DSDV!K803,"")</f>
        <v/>
      </c>
      <c r="D798" s="417" t="str">
        <f>IF(DSDV!W803&lt;&gt;"",DSDV!W803,"")</f>
        <v/>
      </c>
    </row>
    <row r="799" spans="1:4">
      <c r="A799" t="str">
        <f>IF(DSDV!B804&lt;&gt;"",DSDV!B804,"")</f>
        <v/>
      </c>
      <c r="B799" t="str">
        <f>IF(DSDV!G804&lt;&gt;"",DSDV!G804,"")</f>
        <v/>
      </c>
      <c r="C799" s="237" t="str">
        <f>IF(DSDV!K804&lt;&gt;"",DSDV!K804,"")</f>
        <v/>
      </c>
      <c r="D799" s="417" t="str">
        <f>IF(DSDV!W804&lt;&gt;"",DSDV!W804,"")</f>
        <v/>
      </c>
    </row>
    <row r="800" spans="1:4">
      <c r="A800" t="str">
        <f>IF(DSDV!B805&lt;&gt;"",DSDV!B805,"")</f>
        <v/>
      </c>
      <c r="B800" t="str">
        <f>IF(DSDV!G805&lt;&gt;"",DSDV!G805,"")</f>
        <v/>
      </c>
      <c r="C800" s="237" t="str">
        <f>IF(DSDV!K805&lt;&gt;"",DSDV!K805,"")</f>
        <v/>
      </c>
      <c r="D800" s="417" t="str">
        <f>IF(DSDV!W805&lt;&gt;"",DSDV!W805,"")</f>
        <v/>
      </c>
    </row>
    <row r="801" spans="1:4">
      <c r="A801" t="str">
        <f>IF(DSDV!B806&lt;&gt;"",DSDV!B806,"")</f>
        <v/>
      </c>
      <c r="B801" t="str">
        <f>IF(DSDV!G806&lt;&gt;"",DSDV!G806,"")</f>
        <v/>
      </c>
      <c r="C801" s="237" t="str">
        <f>IF(DSDV!K806&lt;&gt;"",DSDV!K806,"")</f>
        <v/>
      </c>
      <c r="D801" s="417" t="str">
        <f>IF(DSDV!W806&lt;&gt;"",DSDV!W806,"")</f>
        <v/>
      </c>
    </row>
    <row r="802" spans="1:4">
      <c r="A802" t="str">
        <f>IF(DSDV!B807&lt;&gt;"",DSDV!B807,"")</f>
        <v/>
      </c>
      <c r="B802" t="str">
        <f>IF(DSDV!G807&lt;&gt;"",DSDV!G807,"")</f>
        <v/>
      </c>
      <c r="C802" s="237" t="str">
        <f>IF(DSDV!K807&lt;&gt;"",DSDV!K807,"")</f>
        <v/>
      </c>
      <c r="D802" s="417" t="str">
        <f>IF(DSDV!W807&lt;&gt;"",DSDV!W807,"")</f>
        <v/>
      </c>
    </row>
    <row r="803" spans="1:4">
      <c r="A803" t="str">
        <f>IF(DSDV!B808&lt;&gt;"",DSDV!B808,"")</f>
        <v/>
      </c>
      <c r="B803" t="str">
        <f>IF(DSDV!G808&lt;&gt;"",DSDV!G808,"")</f>
        <v/>
      </c>
      <c r="C803" s="237" t="str">
        <f>IF(DSDV!K808&lt;&gt;"",DSDV!K808,"")</f>
        <v/>
      </c>
      <c r="D803" s="417" t="str">
        <f>IF(DSDV!W808&lt;&gt;"",DSDV!W808,"")</f>
        <v/>
      </c>
    </row>
    <row r="804" spans="1:4">
      <c r="A804" t="str">
        <f>IF(DSDV!B809&lt;&gt;"",DSDV!B809,"")</f>
        <v/>
      </c>
      <c r="B804" t="str">
        <f>IF(DSDV!G809&lt;&gt;"",DSDV!G809,"")</f>
        <v/>
      </c>
      <c r="C804" s="237" t="str">
        <f>IF(DSDV!K809&lt;&gt;"",DSDV!K809,"")</f>
        <v/>
      </c>
      <c r="D804" s="417" t="str">
        <f>IF(DSDV!W809&lt;&gt;"",DSDV!W809,"")</f>
        <v/>
      </c>
    </row>
    <row r="805" spans="1:4">
      <c r="A805" t="str">
        <f>IF(DSDV!B810&lt;&gt;"",DSDV!B810,"")</f>
        <v/>
      </c>
      <c r="B805" t="str">
        <f>IF(DSDV!G810&lt;&gt;"",DSDV!G810,"")</f>
        <v/>
      </c>
      <c r="C805" s="237" t="str">
        <f>IF(DSDV!K810&lt;&gt;"",DSDV!K810,"")</f>
        <v/>
      </c>
      <c r="D805" s="417" t="str">
        <f>IF(DSDV!W810&lt;&gt;"",DSDV!W810,"")</f>
        <v/>
      </c>
    </row>
    <row r="806" spans="1:4">
      <c r="A806" t="str">
        <f>IF(DSDV!B811&lt;&gt;"",DSDV!B811,"")</f>
        <v/>
      </c>
      <c r="B806" t="str">
        <f>IF(DSDV!G811&lt;&gt;"",DSDV!G811,"")</f>
        <v/>
      </c>
      <c r="C806" s="237" t="str">
        <f>IF(DSDV!K811&lt;&gt;"",DSDV!K811,"")</f>
        <v/>
      </c>
      <c r="D806" s="417" t="str">
        <f>IF(DSDV!W811&lt;&gt;"",DSDV!W811,"")</f>
        <v/>
      </c>
    </row>
    <row r="807" spans="1:4">
      <c r="A807" t="str">
        <f>IF(DSDV!B812&lt;&gt;"",DSDV!B812,"")</f>
        <v/>
      </c>
      <c r="B807" t="str">
        <f>IF(DSDV!G812&lt;&gt;"",DSDV!G812,"")</f>
        <v/>
      </c>
      <c r="C807" s="237" t="str">
        <f>IF(DSDV!K812&lt;&gt;"",DSDV!K812,"")</f>
        <v/>
      </c>
      <c r="D807" s="417" t="str">
        <f>IF(DSDV!W812&lt;&gt;"",DSDV!W812,"")</f>
        <v/>
      </c>
    </row>
    <row r="808" spans="1:4">
      <c r="A808" t="str">
        <f>IF(DSDV!B813&lt;&gt;"",DSDV!B813,"")</f>
        <v/>
      </c>
      <c r="B808" t="str">
        <f>IF(DSDV!G813&lt;&gt;"",DSDV!G813,"")</f>
        <v/>
      </c>
      <c r="C808" s="237" t="str">
        <f>IF(DSDV!K813&lt;&gt;"",DSDV!K813,"")</f>
        <v/>
      </c>
      <c r="D808" s="417" t="str">
        <f>IF(DSDV!W813&lt;&gt;"",DSDV!W813,"")</f>
        <v/>
      </c>
    </row>
    <row r="809" spans="1:4">
      <c r="A809" t="str">
        <f>IF(DSDV!B814&lt;&gt;"",DSDV!B814,"")</f>
        <v/>
      </c>
      <c r="B809" t="str">
        <f>IF(DSDV!G814&lt;&gt;"",DSDV!G814,"")</f>
        <v/>
      </c>
      <c r="C809" s="237" t="str">
        <f>IF(DSDV!K814&lt;&gt;"",DSDV!K814,"")</f>
        <v/>
      </c>
      <c r="D809" s="417" t="str">
        <f>IF(DSDV!W814&lt;&gt;"",DSDV!W814,"")</f>
        <v/>
      </c>
    </row>
    <row r="810" spans="1:4">
      <c r="A810" t="str">
        <f>IF(DSDV!B815&lt;&gt;"",DSDV!B815,"")</f>
        <v/>
      </c>
      <c r="B810" t="str">
        <f>IF(DSDV!G815&lt;&gt;"",DSDV!G815,"")</f>
        <v/>
      </c>
      <c r="C810" s="237" t="str">
        <f>IF(DSDV!K815&lt;&gt;"",DSDV!K815,"")</f>
        <v/>
      </c>
      <c r="D810" s="417" t="str">
        <f>IF(DSDV!W815&lt;&gt;"",DSDV!W815,"")</f>
        <v/>
      </c>
    </row>
    <row r="811" spans="1:4">
      <c r="A811" t="str">
        <f>IF(DSDV!B816&lt;&gt;"",DSDV!B816,"")</f>
        <v/>
      </c>
      <c r="B811" t="str">
        <f>IF(DSDV!G816&lt;&gt;"",DSDV!G816,"")</f>
        <v/>
      </c>
      <c r="C811" s="237" t="str">
        <f>IF(DSDV!K816&lt;&gt;"",DSDV!K816,"")</f>
        <v/>
      </c>
      <c r="D811" s="417" t="str">
        <f>IF(DSDV!W816&lt;&gt;"",DSDV!W816,"")</f>
        <v/>
      </c>
    </row>
    <row r="812" spans="1:4">
      <c r="A812" t="str">
        <f>IF(DSDV!B817&lt;&gt;"",DSDV!B817,"")</f>
        <v/>
      </c>
      <c r="B812" t="str">
        <f>IF(DSDV!G817&lt;&gt;"",DSDV!G817,"")</f>
        <v/>
      </c>
      <c r="C812" s="237" t="str">
        <f>IF(DSDV!K817&lt;&gt;"",DSDV!K817,"")</f>
        <v/>
      </c>
      <c r="D812" s="417" t="str">
        <f>IF(DSDV!W817&lt;&gt;"",DSDV!W817,"")</f>
        <v/>
      </c>
    </row>
    <row r="813" spans="1:4">
      <c r="A813" t="str">
        <f>IF(DSDV!B818&lt;&gt;"",DSDV!B818,"")</f>
        <v/>
      </c>
      <c r="B813" t="str">
        <f>IF(DSDV!G818&lt;&gt;"",DSDV!G818,"")</f>
        <v/>
      </c>
      <c r="C813" s="237" t="str">
        <f>IF(DSDV!K818&lt;&gt;"",DSDV!K818,"")</f>
        <v/>
      </c>
      <c r="D813" s="417" t="str">
        <f>IF(DSDV!W818&lt;&gt;"",DSDV!W818,"")</f>
        <v/>
      </c>
    </row>
    <row r="814" spans="1:4">
      <c r="A814" t="str">
        <f>IF(DSDV!B819&lt;&gt;"",DSDV!B819,"")</f>
        <v/>
      </c>
      <c r="B814" t="str">
        <f>IF(DSDV!G819&lt;&gt;"",DSDV!G819,"")</f>
        <v/>
      </c>
      <c r="C814" s="237" t="str">
        <f>IF(DSDV!K819&lt;&gt;"",DSDV!K819,"")</f>
        <v/>
      </c>
      <c r="D814" s="417" t="str">
        <f>IF(DSDV!W819&lt;&gt;"",DSDV!W819,"")</f>
        <v/>
      </c>
    </row>
    <row r="815" spans="1:4">
      <c r="A815" t="str">
        <f>IF(DSDV!B820&lt;&gt;"",DSDV!B820,"")</f>
        <v/>
      </c>
      <c r="B815" t="str">
        <f>IF(DSDV!G820&lt;&gt;"",DSDV!G820,"")</f>
        <v/>
      </c>
      <c r="C815" s="237" t="str">
        <f>IF(DSDV!K820&lt;&gt;"",DSDV!K820,"")</f>
        <v/>
      </c>
      <c r="D815" s="417" t="str">
        <f>IF(DSDV!W820&lt;&gt;"",DSDV!W820,"")</f>
        <v/>
      </c>
    </row>
    <row r="816" spans="1:4">
      <c r="A816" t="str">
        <f>IF(DSDV!B821&lt;&gt;"",DSDV!B821,"")</f>
        <v/>
      </c>
      <c r="B816" t="str">
        <f>IF(DSDV!G821&lt;&gt;"",DSDV!G821,"")</f>
        <v/>
      </c>
      <c r="C816" s="237" t="str">
        <f>IF(DSDV!K821&lt;&gt;"",DSDV!K821,"")</f>
        <v/>
      </c>
      <c r="D816" s="417" t="str">
        <f>IF(DSDV!W821&lt;&gt;"",DSDV!W821,"")</f>
        <v/>
      </c>
    </row>
    <row r="817" spans="1:4">
      <c r="A817" t="str">
        <f>IF(DSDV!B822&lt;&gt;"",DSDV!B822,"")</f>
        <v/>
      </c>
      <c r="B817" t="str">
        <f>IF(DSDV!G822&lt;&gt;"",DSDV!G822,"")</f>
        <v/>
      </c>
      <c r="C817" s="237" t="str">
        <f>IF(DSDV!K822&lt;&gt;"",DSDV!K822,"")</f>
        <v/>
      </c>
      <c r="D817" s="417" t="str">
        <f>IF(DSDV!W822&lt;&gt;"",DSDV!W822,"")</f>
        <v/>
      </c>
    </row>
    <row r="818" spans="1:4">
      <c r="A818" t="str">
        <f>IF(DSDV!B823&lt;&gt;"",DSDV!B823,"")</f>
        <v/>
      </c>
      <c r="B818" t="str">
        <f>IF(DSDV!G823&lt;&gt;"",DSDV!G823,"")</f>
        <v/>
      </c>
      <c r="C818" s="237" t="str">
        <f>IF(DSDV!K823&lt;&gt;"",DSDV!K823,"")</f>
        <v/>
      </c>
      <c r="D818" s="417" t="str">
        <f>IF(DSDV!W823&lt;&gt;"",DSDV!W823,"")</f>
        <v/>
      </c>
    </row>
    <row r="819" spans="1:4">
      <c r="A819" t="str">
        <f>IF(DSDV!B824&lt;&gt;"",DSDV!B824,"")</f>
        <v/>
      </c>
      <c r="B819" t="str">
        <f>IF(DSDV!G824&lt;&gt;"",DSDV!G824,"")</f>
        <v/>
      </c>
      <c r="C819" s="237" t="str">
        <f>IF(DSDV!K824&lt;&gt;"",DSDV!K824,"")</f>
        <v/>
      </c>
      <c r="D819" s="417" t="str">
        <f>IF(DSDV!W824&lt;&gt;"",DSDV!W824,"")</f>
        <v/>
      </c>
    </row>
    <row r="820" spans="1:4">
      <c r="A820" t="str">
        <f>IF(DSDV!B825&lt;&gt;"",DSDV!B825,"")</f>
        <v/>
      </c>
      <c r="B820" t="str">
        <f>IF(DSDV!G825&lt;&gt;"",DSDV!G825,"")</f>
        <v/>
      </c>
      <c r="C820" s="237" t="str">
        <f>IF(DSDV!K825&lt;&gt;"",DSDV!K825,"")</f>
        <v/>
      </c>
      <c r="D820" s="417" t="str">
        <f>IF(DSDV!W825&lt;&gt;"",DSDV!W825,"")</f>
        <v/>
      </c>
    </row>
    <row r="821" spans="1:4">
      <c r="A821" t="str">
        <f>IF(DSDV!B826&lt;&gt;"",DSDV!B826,"")</f>
        <v/>
      </c>
      <c r="B821" t="str">
        <f>IF(DSDV!G826&lt;&gt;"",DSDV!G826,"")</f>
        <v/>
      </c>
      <c r="C821" s="237" t="str">
        <f>IF(DSDV!K826&lt;&gt;"",DSDV!K826,"")</f>
        <v/>
      </c>
      <c r="D821" s="417" t="str">
        <f>IF(DSDV!W826&lt;&gt;"",DSDV!W826,"")</f>
        <v/>
      </c>
    </row>
    <row r="822" spans="1:4">
      <c r="A822" t="str">
        <f>IF(DSDV!B827&lt;&gt;"",DSDV!B827,"")</f>
        <v/>
      </c>
      <c r="B822" t="str">
        <f>IF(DSDV!G827&lt;&gt;"",DSDV!G827,"")</f>
        <v/>
      </c>
      <c r="C822" s="237" t="str">
        <f>IF(DSDV!K827&lt;&gt;"",DSDV!K827,"")</f>
        <v/>
      </c>
      <c r="D822" s="417" t="str">
        <f>IF(DSDV!W827&lt;&gt;"",DSDV!W827,"")</f>
        <v/>
      </c>
    </row>
    <row r="823" spans="1:4">
      <c r="A823" t="str">
        <f>IF(DSDV!B828&lt;&gt;"",DSDV!B828,"")</f>
        <v/>
      </c>
      <c r="B823" t="str">
        <f>IF(DSDV!G828&lt;&gt;"",DSDV!G828,"")</f>
        <v/>
      </c>
      <c r="C823" s="237" t="str">
        <f>IF(DSDV!K828&lt;&gt;"",DSDV!K828,"")</f>
        <v/>
      </c>
      <c r="D823" s="417" t="str">
        <f>IF(DSDV!W828&lt;&gt;"",DSDV!W828,"")</f>
        <v/>
      </c>
    </row>
    <row r="824" spans="1:4">
      <c r="A824" t="str">
        <f>IF(DSDV!B829&lt;&gt;"",DSDV!B829,"")</f>
        <v/>
      </c>
      <c r="B824" t="str">
        <f>IF(DSDV!G829&lt;&gt;"",DSDV!G829,"")</f>
        <v/>
      </c>
      <c r="C824" s="237" t="str">
        <f>IF(DSDV!K829&lt;&gt;"",DSDV!K829,"")</f>
        <v/>
      </c>
      <c r="D824" s="417" t="str">
        <f>IF(DSDV!W829&lt;&gt;"",DSDV!W829,"")</f>
        <v/>
      </c>
    </row>
    <row r="825" spans="1:4">
      <c r="A825" t="str">
        <f>IF(DSDV!B830&lt;&gt;"",DSDV!B830,"")</f>
        <v/>
      </c>
      <c r="B825" t="str">
        <f>IF(DSDV!G830&lt;&gt;"",DSDV!G830,"")</f>
        <v/>
      </c>
      <c r="C825" s="237" t="str">
        <f>IF(DSDV!K830&lt;&gt;"",DSDV!K830,"")</f>
        <v/>
      </c>
      <c r="D825" s="417" t="str">
        <f>IF(DSDV!W830&lt;&gt;"",DSDV!W830,"")</f>
        <v/>
      </c>
    </row>
    <row r="826" spans="1:4">
      <c r="A826" t="str">
        <f>IF(DSDV!B831&lt;&gt;"",DSDV!B831,"")</f>
        <v/>
      </c>
      <c r="B826" t="str">
        <f>IF(DSDV!G831&lt;&gt;"",DSDV!G831,"")</f>
        <v/>
      </c>
      <c r="C826" s="237" t="str">
        <f>IF(DSDV!K831&lt;&gt;"",DSDV!K831,"")</f>
        <v/>
      </c>
      <c r="D826" s="417" t="str">
        <f>IF(DSDV!W831&lt;&gt;"",DSDV!W831,"")</f>
        <v/>
      </c>
    </row>
    <row r="827" spans="1:4">
      <c r="A827" t="str">
        <f>IF(DSDV!B832&lt;&gt;"",DSDV!B832,"")</f>
        <v/>
      </c>
      <c r="B827" t="str">
        <f>IF(DSDV!G832&lt;&gt;"",DSDV!G832,"")</f>
        <v/>
      </c>
      <c r="C827" s="237" t="str">
        <f>IF(DSDV!K832&lt;&gt;"",DSDV!K832,"")</f>
        <v/>
      </c>
      <c r="D827" s="417" t="str">
        <f>IF(DSDV!W832&lt;&gt;"",DSDV!W832,"")</f>
        <v/>
      </c>
    </row>
    <row r="828" spans="1:4">
      <c r="A828" t="str">
        <f>IF(DSDV!B833&lt;&gt;"",DSDV!B833,"")</f>
        <v/>
      </c>
      <c r="B828" t="str">
        <f>IF(DSDV!G833&lt;&gt;"",DSDV!G833,"")</f>
        <v/>
      </c>
      <c r="C828" s="237" t="str">
        <f>IF(DSDV!K833&lt;&gt;"",DSDV!K833,"")</f>
        <v/>
      </c>
      <c r="D828" s="417" t="str">
        <f>IF(DSDV!W833&lt;&gt;"",DSDV!W833,"")</f>
        <v/>
      </c>
    </row>
    <row r="829" spans="1:4">
      <c r="A829" t="str">
        <f>IF(DSDV!B834&lt;&gt;"",DSDV!B834,"")</f>
        <v/>
      </c>
      <c r="B829" t="str">
        <f>IF(DSDV!G834&lt;&gt;"",DSDV!G834,"")</f>
        <v/>
      </c>
      <c r="C829" s="237" t="str">
        <f>IF(DSDV!K834&lt;&gt;"",DSDV!K834,"")</f>
        <v/>
      </c>
      <c r="D829" s="417" t="str">
        <f>IF(DSDV!W834&lt;&gt;"",DSDV!W834,"")</f>
        <v/>
      </c>
    </row>
    <row r="830" spans="1:4">
      <c r="A830" t="str">
        <f>IF(DSDV!B835&lt;&gt;"",DSDV!B835,"")</f>
        <v/>
      </c>
      <c r="B830" t="str">
        <f>IF(DSDV!G835&lt;&gt;"",DSDV!G835,"")</f>
        <v/>
      </c>
      <c r="C830" s="237" t="str">
        <f>IF(DSDV!K835&lt;&gt;"",DSDV!K835,"")</f>
        <v/>
      </c>
      <c r="D830" s="417" t="str">
        <f>IF(DSDV!W835&lt;&gt;"",DSDV!W835,"")</f>
        <v/>
      </c>
    </row>
    <row r="831" spans="1:4">
      <c r="A831" t="str">
        <f>IF(DSDV!B836&lt;&gt;"",DSDV!B836,"")</f>
        <v/>
      </c>
      <c r="B831" t="str">
        <f>IF(DSDV!G836&lt;&gt;"",DSDV!G836,"")</f>
        <v/>
      </c>
      <c r="C831" s="237" t="str">
        <f>IF(DSDV!K836&lt;&gt;"",DSDV!K836,"")</f>
        <v/>
      </c>
      <c r="D831" s="417" t="str">
        <f>IF(DSDV!W836&lt;&gt;"",DSDV!W836,"")</f>
        <v/>
      </c>
    </row>
    <row r="832" spans="1:4">
      <c r="A832" t="str">
        <f>IF(DSDV!B837&lt;&gt;"",DSDV!B837,"")</f>
        <v/>
      </c>
      <c r="B832" t="str">
        <f>IF(DSDV!G837&lt;&gt;"",DSDV!G837,"")</f>
        <v/>
      </c>
      <c r="C832" s="237" t="str">
        <f>IF(DSDV!K837&lt;&gt;"",DSDV!K837,"")</f>
        <v/>
      </c>
      <c r="D832" s="417" t="str">
        <f>IF(DSDV!W837&lt;&gt;"",DSDV!W837,"")</f>
        <v/>
      </c>
    </row>
    <row r="833" spans="1:4">
      <c r="A833" t="str">
        <f>IF(DSDV!B838&lt;&gt;"",DSDV!B838,"")</f>
        <v/>
      </c>
      <c r="B833" t="str">
        <f>IF(DSDV!G838&lt;&gt;"",DSDV!G838,"")</f>
        <v/>
      </c>
      <c r="C833" s="237" t="str">
        <f>IF(DSDV!K838&lt;&gt;"",DSDV!K838,"")</f>
        <v/>
      </c>
      <c r="D833" s="417" t="str">
        <f>IF(DSDV!W838&lt;&gt;"",DSDV!W838,"")</f>
        <v/>
      </c>
    </row>
    <row r="834" spans="1:4">
      <c r="A834" t="str">
        <f>IF(DSDV!B839&lt;&gt;"",DSDV!B839,"")</f>
        <v/>
      </c>
      <c r="B834" t="str">
        <f>IF(DSDV!G839&lt;&gt;"",DSDV!G839,"")</f>
        <v/>
      </c>
      <c r="C834" s="237" t="str">
        <f>IF(DSDV!K839&lt;&gt;"",DSDV!K839,"")</f>
        <v/>
      </c>
      <c r="D834" s="417" t="str">
        <f>IF(DSDV!W839&lt;&gt;"",DSDV!W839,"")</f>
        <v/>
      </c>
    </row>
    <row r="835" spans="1:4">
      <c r="A835" t="str">
        <f>IF(DSDV!B840&lt;&gt;"",DSDV!B840,"")</f>
        <v/>
      </c>
      <c r="B835" t="str">
        <f>IF(DSDV!G840&lt;&gt;"",DSDV!G840,"")</f>
        <v/>
      </c>
      <c r="C835" s="237" t="str">
        <f>IF(DSDV!K840&lt;&gt;"",DSDV!K840,"")</f>
        <v/>
      </c>
      <c r="D835" s="417" t="str">
        <f>IF(DSDV!W840&lt;&gt;"",DSDV!W840,"")</f>
        <v/>
      </c>
    </row>
    <row r="836" spans="1:4">
      <c r="A836" t="str">
        <f>IF(DSDV!B841&lt;&gt;"",DSDV!B841,"")</f>
        <v/>
      </c>
      <c r="B836" t="str">
        <f>IF(DSDV!G841&lt;&gt;"",DSDV!G841,"")</f>
        <v/>
      </c>
      <c r="C836" s="237" t="str">
        <f>IF(DSDV!K841&lt;&gt;"",DSDV!K841,"")</f>
        <v/>
      </c>
      <c r="D836" s="417" t="str">
        <f>IF(DSDV!W841&lt;&gt;"",DSDV!W841,"")</f>
        <v/>
      </c>
    </row>
    <row r="837" spans="1:4">
      <c r="A837" t="str">
        <f>IF(DSDV!B842&lt;&gt;"",DSDV!B842,"")</f>
        <v/>
      </c>
      <c r="B837" t="str">
        <f>IF(DSDV!G842&lt;&gt;"",DSDV!G842,"")</f>
        <v/>
      </c>
      <c r="C837" s="237" t="str">
        <f>IF(DSDV!K842&lt;&gt;"",DSDV!K842,"")</f>
        <v/>
      </c>
      <c r="D837" s="417" t="str">
        <f>IF(DSDV!W842&lt;&gt;"",DSDV!W842,"")</f>
        <v/>
      </c>
    </row>
    <row r="838" spans="1:4">
      <c r="A838" t="str">
        <f>IF(DSDV!B843&lt;&gt;"",DSDV!B843,"")</f>
        <v/>
      </c>
      <c r="B838" t="str">
        <f>IF(DSDV!G843&lt;&gt;"",DSDV!G843,"")</f>
        <v/>
      </c>
      <c r="C838" s="237" t="str">
        <f>IF(DSDV!K843&lt;&gt;"",DSDV!K843,"")</f>
        <v/>
      </c>
      <c r="D838" s="417" t="str">
        <f>IF(DSDV!W843&lt;&gt;"",DSDV!W843,"")</f>
        <v/>
      </c>
    </row>
    <row r="839" spans="1:4">
      <c r="A839" t="str">
        <f>IF(DSDV!B844&lt;&gt;"",DSDV!B844,"")</f>
        <v/>
      </c>
      <c r="B839" t="str">
        <f>IF(DSDV!G844&lt;&gt;"",DSDV!G844,"")</f>
        <v/>
      </c>
      <c r="C839" s="237" t="str">
        <f>IF(DSDV!K844&lt;&gt;"",DSDV!K844,"")</f>
        <v/>
      </c>
      <c r="D839" s="417" t="str">
        <f>IF(DSDV!W844&lt;&gt;"",DSDV!W844,"")</f>
        <v/>
      </c>
    </row>
    <row r="840" spans="1:4">
      <c r="A840" t="str">
        <f>IF(DSDV!B845&lt;&gt;"",DSDV!B845,"")</f>
        <v/>
      </c>
      <c r="B840" t="str">
        <f>IF(DSDV!G845&lt;&gt;"",DSDV!G845,"")</f>
        <v/>
      </c>
      <c r="C840" s="237" t="str">
        <f>IF(DSDV!K845&lt;&gt;"",DSDV!K845,"")</f>
        <v/>
      </c>
      <c r="D840" s="417" t="str">
        <f>IF(DSDV!W845&lt;&gt;"",DSDV!W845,"")</f>
        <v/>
      </c>
    </row>
    <row r="841" spans="1:4">
      <c r="A841" t="str">
        <f>IF(DSDV!B846&lt;&gt;"",DSDV!B846,"")</f>
        <v/>
      </c>
      <c r="B841" t="str">
        <f>IF(DSDV!G846&lt;&gt;"",DSDV!G846,"")</f>
        <v/>
      </c>
      <c r="C841" s="237" t="str">
        <f>IF(DSDV!K846&lt;&gt;"",DSDV!K846,"")</f>
        <v/>
      </c>
      <c r="D841" s="417" t="str">
        <f>IF(DSDV!W846&lt;&gt;"",DSDV!W846,"")</f>
        <v/>
      </c>
    </row>
    <row r="842" spans="1:4">
      <c r="A842" t="str">
        <f>IF(DSDV!B847&lt;&gt;"",DSDV!B847,"")</f>
        <v/>
      </c>
      <c r="B842" t="str">
        <f>IF(DSDV!G847&lt;&gt;"",DSDV!G847,"")</f>
        <v/>
      </c>
      <c r="C842" s="237" t="str">
        <f>IF(DSDV!K847&lt;&gt;"",DSDV!K847,"")</f>
        <v/>
      </c>
      <c r="D842" s="417" t="str">
        <f>IF(DSDV!W847&lt;&gt;"",DSDV!W847,"")</f>
        <v/>
      </c>
    </row>
    <row r="843" spans="1:4">
      <c r="A843" t="str">
        <f>IF(DSDV!B848&lt;&gt;"",DSDV!B848,"")</f>
        <v/>
      </c>
      <c r="B843" t="str">
        <f>IF(DSDV!G848&lt;&gt;"",DSDV!G848,"")</f>
        <v/>
      </c>
      <c r="C843" s="237" t="str">
        <f>IF(DSDV!K848&lt;&gt;"",DSDV!K848,"")</f>
        <v/>
      </c>
      <c r="D843" s="417" t="str">
        <f>IF(DSDV!W848&lt;&gt;"",DSDV!W848,"")</f>
        <v/>
      </c>
    </row>
    <row r="844" spans="1:4">
      <c r="A844" t="str">
        <f>IF(DSDV!B849&lt;&gt;"",DSDV!B849,"")</f>
        <v/>
      </c>
      <c r="B844" t="str">
        <f>IF(DSDV!G849&lt;&gt;"",DSDV!G849,"")</f>
        <v/>
      </c>
      <c r="C844" s="237" t="str">
        <f>IF(DSDV!K849&lt;&gt;"",DSDV!K849,"")</f>
        <v/>
      </c>
      <c r="D844" s="417" t="str">
        <f>IF(DSDV!W849&lt;&gt;"",DSDV!W849,"")</f>
        <v/>
      </c>
    </row>
    <row r="845" spans="1:4">
      <c r="A845" t="str">
        <f>IF(DSDV!B850&lt;&gt;"",DSDV!B850,"")</f>
        <v/>
      </c>
      <c r="B845" t="str">
        <f>IF(DSDV!G850&lt;&gt;"",DSDV!G850,"")</f>
        <v/>
      </c>
      <c r="C845" s="237" t="str">
        <f>IF(DSDV!K850&lt;&gt;"",DSDV!K850,"")</f>
        <v/>
      </c>
      <c r="D845" s="417" t="str">
        <f>IF(DSDV!W850&lt;&gt;"",DSDV!W850,"")</f>
        <v/>
      </c>
    </row>
    <row r="846" spans="1:4">
      <c r="A846" t="str">
        <f>IF(DSDV!B851&lt;&gt;"",DSDV!B851,"")</f>
        <v/>
      </c>
      <c r="B846" t="str">
        <f>IF(DSDV!G851&lt;&gt;"",DSDV!G851,"")</f>
        <v/>
      </c>
      <c r="C846" s="237" t="str">
        <f>IF(DSDV!K851&lt;&gt;"",DSDV!K851,"")</f>
        <v/>
      </c>
      <c r="D846" s="417" t="str">
        <f>IF(DSDV!W851&lt;&gt;"",DSDV!W851,"")</f>
        <v/>
      </c>
    </row>
    <row r="847" spans="1:4">
      <c r="A847" t="str">
        <f>IF(DSDV!B852&lt;&gt;"",DSDV!B852,"")</f>
        <v/>
      </c>
      <c r="B847" t="str">
        <f>IF(DSDV!G852&lt;&gt;"",DSDV!G852,"")</f>
        <v/>
      </c>
      <c r="C847" s="237" t="str">
        <f>IF(DSDV!K852&lt;&gt;"",DSDV!K852,"")</f>
        <v/>
      </c>
      <c r="D847" s="417" t="str">
        <f>IF(DSDV!W852&lt;&gt;"",DSDV!W852,"")</f>
        <v/>
      </c>
    </row>
    <row r="848" spans="1:4">
      <c r="A848" t="str">
        <f>IF(DSDV!B853&lt;&gt;"",DSDV!B853,"")</f>
        <v/>
      </c>
      <c r="B848" t="str">
        <f>IF(DSDV!G853&lt;&gt;"",DSDV!G853,"")</f>
        <v/>
      </c>
      <c r="C848" s="237" t="str">
        <f>IF(DSDV!K853&lt;&gt;"",DSDV!K853,"")</f>
        <v/>
      </c>
      <c r="D848" s="417" t="str">
        <f>IF(DSDV!W853&lt;&gt;"",DSDV!W853,"")</f>
        <v/>
      </c>
    </row>
    <row r="849" spans="1:4">
      <c r="A849" t="str">
        <f>IF(DSDV!B854&lt;&gt;"",DSDV!B854,"")</f>
        <v/>
      </c>
      <c r="B849" t="str">
        <f>IF(DSDV!G854&lt;&gt;"",DSDV!G854,"")</f>
        <v/>
      </c>
      <c r="C849" s="237" t="str">
        <f>IF(DSDV!K854&lt;&gt;"",DSDV!K854,"")</f>
        <v/>
      </c>
      <c r="D849" s="417" t="str">
        <f>IF(DSDV!W854&lt;&gt;"",DSDV!W854,"")</f>
        <v/>
      </c>
    </row>
    <row r="850" spans="1:4">
      <c r="A850" t="str">
        <f>IF(DSDV!B855&lt;&gt;"",DSDV!B855,"")</f>
        <v/>
      </c>
      <c r="B850" t="str">
        <f>IF(DSDV!G855&lt;&gt;"",DSDV!G855,"")</f>
        <v/>
      </c>
      <c r="C850" s="237" t="str">
        <f>IF(DSDV!K855&lt;&gt;"",DSDV!K855,"")</f>
        <v/>
      </c>
      <c r="D850" s="417" t="str">
        <f>IF(DSDV!W855&lt;&gt;"",DSDV!W855,"")</f>
        <v/>
      </c>
    </row>
    <row r="851" spans="1:4">
      <c r="A851" t="str">
        <f>IF(DSDV!B856&lt;&gt;"",DSDV!B856,"")</f>
        <v/>
      </c>
      <c r="B851" t="str">
        <f>IF(DSDV!G856&lt;&gt;"",DSDV!G856,"")</f>
        <v/>
      </c>
      <c r="C851" s="237" t="str">
        <f>IF(DSDV!K856&lt;&gt;"",DSDV!K856,"")</f>
        <v/>
      </c>
      <c r="D851" s="417" t="str">
        <f>IF(DSDV!W856&lt;&gt;"",DSDV!W856,"")</f>
        <v/>
      </c>
    </row>
    <row r="852" spans="1:4">
      <c r="A852" t="str">
        <f>IF(DSDV!B857&lt;&gt;"",DSDV!B857,"")</f>
        <v/>
      </c>
      <c r="B852" t="str">
        <f>IF(DSDV!G857&lt;&gt;"",DSDV!G857,"")</f>
        <v/>
      </c>
      <c r="C852" s="237" t="str">
        <f>IF(DSDV!K857&lt;&gt;"",DSDV!K857,"")</f>
        <v/>
      </c>
      <c r="D852" s="417" t="str">
        <f>IF(DSDV!W857&lt;&gt;"",DSDV!W857,"")</f>
        <v/>
      </c>
    </row>
    <row r="853" spans="1:4">
      <c r="A853" t="str">
        <f>IF(DSDV!B858&lt;&gt;"",DSDV!B858,"")</f>
        <v/>
      </c>
      <c r="B853" t="str">
        <f>IF(DSDV!G858&lt;&gt;"",DSDV!G858,"")</f>
        <v/>
      </c>
      <c r="C853" s="237" t="str">
        <f>IF(DSDV!K858&lt;&gt;"",DSDV!K858,"")</f>
        <v/>
      </c>
      <c r="D853" s="417" t="str">
        <f>IF(DSDV!W858&lt;&gt;"",DSDV!W858,"")</f>
        <v/>
      </c>
    </row>
    <row r="854" spans="1:4">
      <c r="A854" t="str">
        <f>IF(DSDV!B859&lt;&gt;"",DSDV!B859,"")</f>
        <v/>
      </c>
      <c r="B854" t="str">
        <f>IF(DSDV!G859&lt;&gt;"",DSDV!G859,"")</f>
        <v/>
      </c>
      <c r="C854" s="237" t="str">
        <f>IF(DSDV!K859&lt;&gt;"",DSDV!K859,"")</f>
        <v/>
      </c>
      <c r="D854" s="417" t="str">
        <f>IF(DSDV!W859&lt;&gt;"",DSDV!W859,"")</f>
        <v/>
      </c>
    </row>
    <row r="855" spans="1:4">
      <c r="A855" t="str">
        <f>IF(DSDV!B860&lt;&gt;"",DSDV!B860,"")</f>
        <v/>
      </c>
      <c r="B855" t="str">
        <f>IF(DSDV!G860&lt;&gt;"",DSDV!G860,"")</f>
        <v/>
      </c>
      <c r="C855" s="237" t="str">
        <f>IF(DSDV!K860&lt;&gt;"",DSDV!K860,"")</f>
        <v/>
      </c>
      <c r="D855" s="417" t="str">
        <f>IF(DSDV!W860&lt;&gt;"",DSDV!W860,"")</f>
        <v/>
      </c>
    </row>
    <row r="856" spans="1:4">
      <c r="A856" t="str">
        <f>IF(DSDV!B861&lt;&gt;"",DSDV!B861,"")</f>
        <v/>
      </c>
      <c r="B856" t="str">
        <f>IF(DSDV!G861&lt;&gt;"",DSDV!G861,"")</f>
        <v/>
      </c>
      <c r="C856" s="237" t="str">
        <f>IF(DSDV!K861&lt;&gt;"",DSDV!K861,"")</f>
        <v/>
      </c>
      <c r="D856" s="417" t="str">
        <f>IF(DSDV!W861&lt;&gt;"",DSDV!W861,"")</f>
        <v/>
      </c>
    </row>
    <row r="857" spans="1:4">
      <c r="A857" t="str">
        <f>IF(DSDV!B862&lt;&gt;"",DSDV!B862,"")</f>
        <v/>
      </c>
      <c r="B857" t="str">
        <f>IF(DSDV!G862&lt;&gt;"",DSDV!G862,"")</f>
        <v/>
      </c>
      <c r="C857" s="237" t="str">
        <f>IF(DSDV!K862&lt;&gt;"",DSDV!K862,"")</f>
        <v/>
      </c>
      <c r="D857" s="417" t="str">
        <f>IF(DSDV!W862&lt;&gt;"",DSDV!W862,"")</f>
        <v/>
      </c>
    </row>
    <row r="858" spans="1:4">
      <c r="A858" t="str">
        <f>IF(DSDV!B863&lt;&gt;"",DSDV!B863,"")</f>
        <v/>
      </c>
      <c r="B858" t="str">
        <f>IF(DSDV!G863&lt;&gt;"",DSDV!G863,"")</f>
        <v/>
      </c>
      <c r="C858" s="237" t="str">
        <f>IF(DSDV!K863&lt;&gt;"",DSDV!K863,"")</f>
        <v/>
      </c>
      <c r="D858" s="417" t="str">
        <f>IF(DSDV!W863&lt;&gt;"",DSDV!W863,"")</f>
        <v/>
      </c>
    </row>
    <row r="859" spans="1:4">
      <c r="A859" t="str">
        <f>IF(DSDV!B864&lt;&gt;"",DSDV!B864,"")</f>
        <v/>
      </c>
      <c r="B859" t="str">
        <f>IF(DSDV!G864&lt;&gt;"",DSDV!G864,"")</f>
        <v/>
      </c>
      <c r="C859" s="237" t="str">
        <f>IF(DSDV!K864&lt;&gt;"",DSDV!K864,"")</f>
        <v/>
      </c>
      <c r="D859" s="417" t="str">
        <f>IF(DSDV!W864&lt;&gt;"",DSDV!W864,"")</f>
        <v/>
      </c>
    </row>
    <row r="860" spans="1:4">
      <c r="A860" t="str">
        <f>IF(DSDV!B865&lt;&gt;"",DSDV!B865,"")</f>
        <v/>
      </c>
      <c r="B860" t="str">
        <f>IF(DSDV!G865&lt;&gt;"",DSDV!G865,"")</f>
        <v/>
      </c>
      <c r="C860" s="237" t="str">
        <f>IF(DSDV!K865&lt;&gt;"",DSDV!K865,"")</f>
        <v/>
      </c>
      <c r="D860" s="417" t="str">
        <f>IF(DSDV!W865&lt;&gt;"",DSDV!W865,"")</f>
        <v/>
      </c>
    </row>
    <row r="861" spans="1:4">
      <c r="A861" t="str">
        <f>IF(DSDV!B866&lt;&gt;"",DSDV!B866,"")</f>
        <v/>
      </c>
      <c r="B861" t="str">
        <f>IF(DSDV!G866&lt;&gt;"",DSDV!G866,"")</f>
        <v/>
      </c>
      <c r="C861" s="237" t="str">
        <f>IF(DSDV!K866&lt;&gt;"",DSDV!K866,"")</f>
        <v/>
      </c>
      <c r="D861" s="417" t="str">
        <f>IF(DSDV!W866&lt;&gt;"",DSDV!W866,"")</f>
        <v/>
      </c>
    </row>
    <row r="862" spans="1:4">
      <c r="A862" t="str">
        <f>IF(DSDV!B867&lt;&gt;"",DSDV!B867,"")</f>
        <v/>
      </c>
      <c r="B862" t="str">
        <f>IF(DSDV!G867&lt;&gt;"",DSDV!G867,"")</f>
        <v/>
      </c>
      <c r="C862" s="237" t="str">
        <f>IF(DSDV!K867&lt;&gt;"",DSDV!K867,"")</f>
        <v/>
      </c>
      <c r="D862" s="417" t="str">
        <f>IF(DSDV!W867&lt;&gt;"",DSDV!W867,"")</f>
        <v/>
      </c>
    </row>
    <row r="863" spans="1:4">
      <c r="A863" t="str">
        <f>IF(DSDV!B868&lt;&gt;"",DSDV!B868,"")</f>
        <v/>
      </c>
      <c r="B863" t="str">
        <f>IF(DSDV!G868&lt;&gt;"",DSDV!G868,"")</f>
        <v/>
      </c>
      <c r="C863" s="237" t="str">
        <f>IF(DSDV!K868&lt;&gt;"",DSDV!K868,"")</f>
        <v/>
      </c>
      <c r="D863" s="417" t="str">
        <f>IF(DSDV!W868&lt;&gt;"",DSDV!W868,"")</f>
        <v/>
      </c>
    </row>
    <row r="864" spans="1:4">
      <c r="A864" t="str">
        <f>IF(DSDV!B869&lt;&gt;"",DSDV!B869,"")</f>
        <v/>
      </c>
      <c r="B864" t="str">
        <f>IF(DSDV!G869&lt;&gt;"",DSDV!G869,"")</f>
        <v/>
      </c>
      <c r="C864" s="237" t="str">
        <f>IF(DSDV!K869&lt;&gt;"",DSDV!K869,"")</f>
        <v/>
      </c>
      <c r="D864" s="417" t="str">
        <f>IF(DSDV!W869&lt;&gt;"",DSDV!W869,"")</f>
        <v/>
      </c>
    </row>
    <row r="865" spans="1:4">
      <c r="A865" t="str">
        <f>IF(DSDV!B870&lt;&gt;"",DSDV!B870,"")</f>
        <v/>
      </c>
      <c r="B865" t="str">
        <f>IF(DSDV!G870&lt;&gt;"",DSDV!G870,"")</f>
        <v/>
      </c>
      <c r="C865" s="237" t="str">
        <f>IF(DSDV!K870&lt;&gt;"",DSDV!K870,"")</f>
        <v/>
      </c>
      <c r="D865" s="417" t="str">
        <f>IF(DSDV!W870&lt;&gt;"",DSDV!W870,"")</f>
        <v/>
      </c>
    </row>
    <row r="866" spans="1:4">
      <c r="A866" t="str">
        <f>IF(DSDV!B871&lt;&gt;"",DSDV!B871,"")</f>
        <v/>
      </c>
      <c r="B866" t="str">
        <f>IF(DSDV!G871&lt;&gt;"",DSDV!G871,"")</f>
        <v/>
      </c>
      <c r="C866" s="237" t="str">
        <f>IF(DSDV!K871&lt;&gt;"",DSDV!K871,"")</f>
        <v/>
      </c>
      <c r="D866" s="417" t="str">
        <f>IF(DSDV!W871&lt;&gt;"",DSDV!W871,"")</f>
        <v/>
      </c>
    </row>
    <row r="867" spans="1:4">
      <c r="A867" t="str">
        <f>IF(DSDV!B872&lt;&gt;"",DSDV!B872,"")</f>
        <v/>
      </c>
      <c r="B867" t="str">
        <f>IF(DSDV!G872&lt;&gt;"",DSDV!G872,"")</f>
        <v/>
      </c>
      <c r="C867" s="237" t="str">
        <f>IF(DSDV!K872&lt;&gt;"",DSDV!K872,"")</f>
        <v/>
      </c>
      <c r="D867" s="417" t="str">
        <f>IF(DSDV!W872&lt;&gt;"",DSDV!W872,"")</f>
        <v/>
      </c>
    </row>
    <row r="868" spans="1:4">
      <c r="A868" t="str">
        <f>IF(DSDV!B873&lt;&gt;"",DSDV!B873,"")</f>
        <v/>
      </c>
      <c r="B868" t="str">
        <f>IF(DSDV!G873&lt;&gt;"",DSDV!G873,"")</f>
        <v/>
      </c>
      <c r="C868" s="237" t="str">
        <f>IF(DSDV!K873&lt;&gt;"",DSDV!K873,"")</f>
        <v/>
      </c>
      <c r="D868" s="417" t="str">
        <f>IF(DSDV!W873&lt;&gt;"",DSDV!W873,"")</f>
        <v/>
      </c>
    </row>
    <row r="869" spans="1:4">
      <c r="A869" t="str">
        <f>IF(DSDV!B874&lt;&gt;"",DSDV!B874,"")</f>
        <v/>
      </c>
      <c r="B869" t="str">
        <f>IF(DSDV!G874&lt;&gt;"",DSDV!G874,"")</f>
        <v/>
      </c>
      <c r="C869" s="237" t="str">
        <f>IF(DSDV!K874&lt;&gt;"",DSDV!K874,"")</f>
        <v/>
      </c>
      <c r="D869" s="417" t="str">
        <f>IF(DSDV!W874&lt;&gt;"",DSDV!W874,"")</f>
        <v/>
      </c>
    </row>
    <row r="870" spans="1:4">
      <c r="A870" t="str">
        <f>IF(DSDV!B875&lt;&gt;"",DSDV!B875,"")</f>
        <v/>
      </c>
      <c r="B870" t="str">
        <f>IF(DSDV!G875&lt;&gt;"",DSDV!G875,"")</f>
        <v/>
      </c>
      <c r="C870" s="237" t="str">
        <f>IF(DSDV!K875&lt;&gt;"",DSDV!K875,"")</f>
        <v/>
      </c>
      <c r="D870" s="417" t="str">
        <f>IF(DSDV!W875&lt;&gt;"",DSDV!W875,"")</f>
        <v/>
      </c>
    </row>
    <row r="871" spans="1:4">
      <c r="A871" t="str">
        <f>IF(DSDV!B876&lt;&gt;"",DSDV!B876,"")</f>
        <v/>
      </c>
      <c r="B871" t="str">
        <f>IF(DSDV!G876&lt;&gt;"",DSDV!G876,"")</f>
        <v/>
      </c>
      <c r="C871" s="237" t="str">
        <f>IF(DSDV!K876&lt;&gt;"",DSDV!K876,"")</f>
        <v/>
      </c>
      <c r="D871" s="417" t="str">
        <f>IF(DSDV!W876&lt;&gt;"",DSDV!W876,"")</f>
        <v/>
      </c>
    </row>
    <row r="872" spans="1:4">
      <c r="A872" t="str">
        <f>IF(DSDV!B877&lt;&gt;"",DSDV!B877,"")</f>
        <v/>
      </c>
      <c r="B872" t="str">
        <f>IF(DSDV!G877&lt;&gt;"",DSDV!G877,"")</f>
        <v/>
      </c>
      <c r="C872" s="237" t="str">
        <f>IF(DSDV!K877&lt;&gt;"",DSDV!K877,"")</f>
        <v/>
      </c>
      <c r="D872" s="417" t="str">
        <f>IF(DSDV!W877&lt;&gt;"",DSDV!W877,"")</f>
        <v/>
      </c>
    </row>
    <row r="873" spans="1:4">
      <c r="A873" t="str">
        <f>IF(DSDV!B878&lt;&gt;"",DSDV!B878,"")</f>
        <v/>
      </c>
      <c r="B873" t="str">
        <f>IF(DSDV!G878&lt;&gt;"",DSDV!G878,"")</f>
        <v/>
      </c>
      <c r="C873" s="237" t="str">
        <f>IF(DSDV!K878&lt;&gt;"",DSDV!K878,"")</f>
        <v/>
      </c>
      <c r="D873" s="417" t="str">
        <f>IF(DSDV!W878&lt;&gt;"",DSDV!W878,"")</f>
        <v/>
      </c>
    </row>
    <row r="874" spans="1:4">
      <c r="A874" t="str">
        <f>IF(DSDV!B879&lt;&gt;"",DSDV!B879,"")</f>
        <v/>
      </c>
      <c r="B874" t="str">
        <f>IF(DSDV!G879&lt;&gt;"",DSDV!G879,"")</f>
        <v/>
      </c>
      <c r="C874" s="237" t="str">
        <f>IF(DSDV!K879&lt;&gt;"",DSDV!K879,"")</f>
        <v/>
      </c>
      <c r="D874" s="417" t="str">
        <f>IF(DSDV!W879&lt;&gt;"",DSDV!W879,"")</f>
        <v/>
      </c>
    </row>
    <row r="875" spans="1:4">
      <c r="A875" t="str">
        <f>IF(DSDV!B880&lt;&gt;"",DSDV!B880,"")</f>
        <v/>
      </c>
      <c r="B875" t="str">
        <f>IF(DSDV!G880&lt;&gt;"",DSDV!G880,"")</f>
        <v/>
      </c>
      <c r="C875" s="237" t="str">
        <f>IF(DSDV!K880&lt;&gt;"",DSDV!K880,"")</f>
        <v/>
      </c>
      <c r="D875" s="417" t="str">
        <f>IF(DSDV!W880&lt;&gt;"",DSDV!W880,"")</f>
        <v/>
      </c>
    </row>
    <row r="876" spans="1:4">
      <c r="A876" t="str">
        <f>IF(DSDV!B881&lt;&gt;"",DSDV!B881,"")</f>
        <v/>
      </c>
      <c r="B876" t="str">
        <f>IF(DSDV!G881&lt;&gt;"",DSDV!G881,"")</f>
        <v/>
      </c>
      <c r="C876" s="237" t="str">
        <f>IF(DSDV!K881&lt;&gt;"",DSDV!K881,"")</f>
        <v/>
      </c>
      <c r="D876" s="417" t="str">
        <f>IF(DSDV!W881&lt;&gt;"",DSDV!W881,"")</f>
        <v/>
      </c>
    </row>
    <row r="877" spans="1:4">
      <c r="A877" t="str">
        <f>IF(DSDV!B882&lt;&gt;"",DSDV!B882,"")</f>
        <v/>
      </c>
      <c r="B877" t="str">
        <f>IF(DSDV!G882&lt;&gt;"",DSDV!G882,"")</f>
        <v/>
      </c>
      <c r="C877" s="237" t="str">
        <f>IF(DSDV!K882&lt;&gt;"",DSDV!K882,"")</f>
        <v/>
      </c>
      <c r="D877" s="417" t="str">
        <f>IF(DSDV!W882&lt;&gt;"",DSDV!W882,"")</f>
        <v/>
      </c>
    </row>
    <row r="878" spans="1:4">
      <c r="A878" t="str">
        <f>IF(DSDV!B883&lt;&gt;"",DSDV!B883,"")</f>
        <v/>
      </c>
      <c r="B878" t="str">
        <f>IF(DSDV!G883&lt;&gt;"",DSDV!G883,"")</f>
        <v/>
      </c>
      <c r="C878" s="237" t="str">
        <f>IF(DSDV!K883&lt;&gt;"",DSDV!K883,"")</f>
        <v/>
      </c>
      <c r="D878" s="417" t="str">
        <f>IF(DSDV!W883&lt;&gt;"",DSDV!W883,"")</f>
        <v/>
      </c>
    </row>
    <row r="879" spans="1:4">
      <c r="A879" t="str">
        <f>IF(DSDV!B884&lt;&gt;"",DSDV!B884,"")</f>
        <v/>
      </c>
      <c r="B879" t="str">
        <f>IF(DSDV!G884&lt;&gt;"",DSDV!G884,"")</f>
        <v/>
      </c>
      <c r="C879" s="237" t="str">
        <f>IF(DSDV!K884&lt;&gt;"",DSDV!K884,"")</f>
        <v/>
      </c>
      <c r="D879" s="417" t="str">
        <f>IF(DSDV!W884&lt;&gt;"",DSDV!W884,"")</f>
        <v/>
      </c>
    </row>
    <row r="880" spans="1:4">
      <c r="A880" t="str">
        <f>IF(DSDV!B885&lt;&gt;"",DSDV!B885,"")</f>
        <v/>
      </c>
      <c r="B880" t="str">
        <f>IF(DSDV!G885&lt;&gt;"",DSDV!G885,"")</f>
        <v/>
      </c>
      <c r="C880" s="237" t="str">
        <f>IF(DSDV!K885&lt;&gt;"",DSDV!K885,"")</f>
        <v/>
      </c>
      <c r="D880" s="417" t="str">
        <f>IF(DSDV!W885&lt;&gt;"",DSDV!W885,"")</f>
        <v/>
      </c>
    </row>
    <row r="881" spans="1:4">
      <c r="A881" t="str">
        <f>IF(DSDV!B886&lt;&gt;"",DSDV!B886,"")</f>
        <v/>
      </c>
      <c r="B881" t="str">
        <f>IF(DSDV!G886&lt;&gt;"",DSDV!G886,"")</f>
        <v/>
      </c>
      <c r="C881" s="237" t="str">
        <f>IF(DSDV!K886&lt;&gt;"",DSDV!K886,"")</f>
        <v/>
      </c>
      <c r="D881" s="417" t="str">
        <f>IF(DSDV!W886&lt;&gt;"",DSDV!W886,"")</f>
        <v/>
      </c>
    </row>
    <row r="882" spans="1:4">
      <c r="A882" t="str">
        <f>IF(DSDV!B887&lt;&gt;"",DSDV!B887,"")</f>
        <v/>
      </c>
      <c r="B882" t="str">
        <f>IF(DSDV!G887&lt;&gt;"",DSDV!G887,"")</f>
        <v/>
      </c>
      <c r="C882" s="237" t="str">
        <f>IF(DSDV!K887&lt;&gt;"",DSDV!K887,"")</f>
        <v/>
      </c>
      <c r="D882" s="417" t="str">
        <f>IF(DSDV!W887&lt;&gt;"",DSDV!W887,"")</f>
        <v/>
      </c>
    </row>
    <row r="883" spans="1:4">
      <c r="A883" t="str">
        <f>IF(DSDV!B888&lt;&gt;"",DSDV!B888,"")</f>
        <v/>
      </c>
      <c r="B883" t="str">
        <f>IF(DSDV!G888&lt;&gt;"",DSDV!G888,"")</f>
        <v/>
      </c>
      <c r="C883" s="237" t="str">
        <f>IF(DSDV!K888&lt;&gt;"",DSDV!K888,"")</f>
        <v/>
      </c>
      <c r="D883" s="417" t="str">
        <f>IF(DSDV!W888&lt;&gt;"",DSDV!W888,"")</f>
        <v/>
      </c>
    </row>
    <row r="884" spans="1:4">
      <c r="A884" t="str">
        <f>IF(DSDV!B889&lt;&gt;"",DSDV!B889,"")</f>
        <v/>
      </c>
      <c r="B884" t="str">
        <f>IF(DSDV!G889&lt;&gt;"",DSDV!G889,"")</f>
        <v/>
      </c>
      <c r="C884" s="237" t="str">
        <f>IF(DSDV!K889&lt;&gt;"",DSDV!K889,"")</f>
        <v/>
      </c>
      <c r="D884" s="417" t="str">
        <f>IF(DSDV!W889&lt;&gt;"",DSDV!W889,"")</f>
        <v/>
      </c>
    </row>
    <row r="885" spans="1:4">
      <c r="A885" t="str">
        <f>IF(DSDV!B890&lt;&gt;"",DSDV!B890,"")</f>
        <v/>
      </c>
      <c r="B885" t="str">
        <f>IF(DSDV!G890&lt;&gt;"",DSDV!G890,"")</f>
        <v/>
      </c>
      <c r="C885" s="237" t="str">
        <f>IF(DSDV!K890&lt;&gt;"",DSDV!K890,"")</f>
        <v/>
      </c>
      <c r="D885" s="417" t="str">
        <f>IF(DSDV!W890&lt;&gt;"",DSDV!W890,"")</f>
        <v/>
      </c>
    </row>
    <row r="886" spans="1:4">
      <c r="A886" t="str">
        <f>IF(DSDV!B891&lt;&gt;"",DSDV!B891,"")</f>
        <v/>
      </c>
      <c r="B886" t="str">
        <f>IF(DSDV!G891&lt;&gt;"",DSDV!G891,"")</f>
        <v/>
      </c>
      <c r="C886" s="237" t="str">
        <f>IF(DSDV!K891&lt;&gt;"",DSDV!K891,"")</f>
        <v/>
      </c>
      <c r="D886" s="417" t="str">
        <f>IF(DSDV!W891&lt;&gt;"",DSDV!W891,"")</f>
        <v/>
      </c>
    </row>
    <row r="887" spans="1:4">
      <c r="A887" t="str">
        <f>IF(DSDV!B892&lt;&gt;"",DSDV!B892,"")</f>
        <v/>
      </c>
      <c r="B887" t="str">
        <f>IF(DSDV!G892&lt;&gt;"",DSDV!G892,"")</f>
        <v/>
      </c>
      <c r="C887" s="237" t="str">
        <f>IF(DSDV!K892&lt;&gt;"",DSDV!K892,"")</f>
        <v/>
      </c>
      <c r="D887" s="417" t="str">
        <f>IF(DSDV!W892&lt;&gt;"",DSDV!W892,"")</f>
        <v/>
      </c>
    </row>
    <row r="888" spans="1:4">
      <c r="A888" t="str">
        <f>IF(DSDV!B893&lt;&gt;"",DSDV!B893,"")</f>
        <v/>
      </c>
      <c r="B888" t="str">
        <f>IF(DSDV!G893&lt;&gt;"",DSDV!G893,"")</f>
        <v/>
      </c>
      <c r="C888" s="237" t="str">
        <f>IF(DSDV!K893&lt;&gt;"",DSDV!K893,"")</f>
        <v/>
      </c>
      <c r="D888" s="417" t="str">
        <f>IF(DSDV!W893&lt;&gt;"",DSDV!W893,"")</f>
        <v/>
      </c>
    </row>
    <row r="889" spans="1:4">
      <c r="A889" t="str">
        <f>IF(DSDV!B894&lt;&gt;"",DSDV!B894,"")</f>
        <v/>
      </c>
      <c r="B889" t="str">
        <f>IF(DSDV!G894&lt;&gt;"",DSDV!G894,"")</f>
        <v/>
      </c>
      <c r="C889" s="237" t="str">
        <f>IF(DSDV!K894&lt;&gt;"",DSDV!K894,"")</f>
        <v/>
      </c>
      <c r="D889" s="417" t="str">
        <f>IF(DSDV!W894&lt;&gt;"",DSDV!W894,"")</f>
        <v/>
      </c>
    </row>
    <row r="890" spans="1:4">
      <c r="A890" t="str">
        <f>IF(DSDV!B895&lt;&gt;"",DSDV!B895,"")</f>
        <v/>
      </c>
      <c r="B890" t="str">
        <f>IF(DSDV!G895&lt;&gt;"",DSDV!G895,"")</f>
        <v/>
      </c>
      <c r="C890" s="237" t="str">
        <f>IF(DSDV!K895&lt;&gt;"",DSDV!K895,"")</f>
        <v/>
      </c>
      <c r="D890" s="417" t="str">
        <f>IF(DSDV!W895&lt;&gt;"",DSDV!W895,"")</f>
        <v/>
      </c>
    </row>
    <row r="891" spans="1:4">
      <c r="A891" t="str">
        <f>IF(DSDV!B896&lt;&gt;"",DSDV!B896,"")</f>
        <v/>
      </c>
      <c r="B891" t="str">
        <f>IF(DSDV!G896&lt;&gt;"",DSDV!G896,"")</f>
        <v/>
      </c>
      <c r="C891" s="237" t="str">
        <f>IF(DSDV!K896&lt;&gt;"",DSDV!K896,"")</f>
        <v/>
      </c>
      <c r="D891" s="417" t="str">
        <f>IF(DSDV!W896&lt;&gt;"",DSDV!W896,"")</f>
        <v/>
      </c>
    </row>
    <row r="892" spans="1:4">
      <c r="A892" t="str">
        <f>IF(DSDV!B897&lt;&gt;"",DSDV!B897,"")</f>
        <v/>
      </c>
      <c r="B892" t="str">
        <f>IF(DSDV!G897&lt;&gt;"",DSDV!G897,"")</f>
        <v/>
      </c>
      <c r="C892" s="237" t="str">
        <f>IF(DSDV!K897&lt;&gt;"",DSDV!K897,"")</f>
        <v/>
      </c>
      <c r="D892" s="417" t="str">
        <f>IF(DSDV!W897&lt;&gt;"",DSDV!W897,"")</f>
        <v/>
      </c>
    </row>
    <row r="893" spans="1:4">
      <c r="A893" t="str">
        <f>IF(DSDV!B898&lt;&gt;"",DSDV!B898,"")</f>
        <v/>
      </c>
      <c r="B893" t="str">
        <f>IF(DSDV!G898&lt;&gt;"",DSDV!G898,"")</f>
        <v/>
      </c>
      <c r="C893" s="237" t="str">
        <f>IF(DSDV!K898&lt;&gt;"",DSDV!K898,"")</f>
        <v/>
      </c>
      <c r="D893" s="417" t="str">
        <f>IF(DSDV!W898&lt;&gt;"",DSDV!W898,"")</f>
        <v/>
      </c>
    </row>
    <row r="894" spans="1:4">
      <c r="A894" t="str">
        <f>IF(DSDV!B899&lt;&gt;"",DSDV!B899,"")</f>
        <v/>
      </c>
      <c r="B894" t="str">
        <f>IF(DSDV!G899&lt;&gt;"",DSDV!G899,"")</f>
        <v/>
      </c>
      <c r="C894" s="237" t="str">
        <f>IF(DSDV!K899&lt;&gt;"",DSDV!K899,"")</f>
        <v/>
      </c>
      <c r="D894" s="417" t="str">
        <f>IF(DSDV!W899&lt;&gt;"",DSDV!W899,"")</f>
        <v/>
      </c>
    </row>
    <row r="895" spans="1:4">
      <c r="A895" t="str">
        <f>IF(DSDV!B900&lt;&gt;"",DSDV!B900,"")</f>
        <v/>
      </c>
      <c r="B895" t="str">
        <f>IF(DSDV!G900&lt;&gt;"",DSDV!G900,"")</f>
        <v/>
      </c>
      <c r="C895" s="237" t="str">
        <f>IF(DSDV!K900&lt;&gt;"",DSDV!K900,"")</f>
        <v/>
      </c>
      <c r="D895" s="417" t="str">
        <f>IF(DSDV!W900&lt;&gt;"",DSDV!W900,"")</f>
        <v/>
      </c>
    </row>
    <row r="896" spans="1:4">
      <c r="A896" t="str">
        <f>IF(DSDV!B901&lt;&gt;"",DSDV!B901,"")</f>
        <v/>
      </c>
      <c r="B896" t="str">
        <f>IF(DSDV!G901&lt;&gt;"",DSDV!G901,"")</f>
        <v/>
      </c>
      <c r="C896" s="237" t="str">
        <f>IF(DSDV!K901&lt;&gt;"",DSDV!K901,"")</f>
        <v/>
      </c>
      <c r="D896" s="417" t="str">
        <f>IF(DSDV!W901&lt;&gt;"",DSDV!W901,"")</f>
        <v/>
      </c>
    </row>
    <row r="897" spans="1:4">
      <c r="A897" t="str">
        <f>IF(DSDV!B902&lt;&gt;"",DSDV!B902,"")</f>
        <v/>
      </c>
      <c r="B897" t="str">
        <f>IF(DSDV!G902&lt;&gt;"",DSDV!G902,"")</f>
        <v/>
      </c>
      <c r="C897" s="237" t="str">
        <f>IF(DSDV!K902&lt;&gt;"",DSDV!K902,"")</f>
        <v/>
      </c>
      <c r="D897" s="417" t="str">
        <f>IF(DSDV!W902&lt;&gt;"",DSDV!W902,"")</f>
        <v/>
      </c>
    </row>
    <row r="898" spans="1:4">
      <c r="A898" t="str">
        <f>IF(DSDV!B903&lt;&gt;"",DSDV!B903,"")</f>
        <v/>
      </c>
      <c r="B898" t="str">
        <f>IF(DSDV!G903&lt;&gt;"",DSDV!G903,"")</f>
        <v/>
      </c>
      <c r="C898" s="237" t="str">
        <f>IF(DSDV!K903&lt;&gt;"",DSDV!K903,"")</f>
        <v/>
      </c>
      <c r="D898" s="417" t="str">
        <f>IF(DSDV!W903&lt;&gt;"",DSDV!W903,"")</f>
        <v/>
      </c>
    </row>
    <row r="899" spans="1:4">
      <c r="A899" t="str">
        <f>IF(DSDV!B904&lt;&gt;"",DSDV!B904,"")</f>
        <v/>
      </c>
      <c r="B899" t="str">
        <f>IF(DSDV!G904&lt;&gt;"",DSDV!G904,"")</f>
        <v/>
      </c>
      <c r="C899" s="237" t="str">
        <f>IF(DSDV!K904&lt;&gt;"",DSDV!K904,"")</f>
        <v/>
      </c>
      <c r="D899" s="417" t="str">
        <f>IF(DSDV!W904&lt;&gt;"",DSDV!W904,"")</f>
        <v/>
      </c>
    </row>
    <row r="900" spans="1:4">
      <c r="A900" t="str">
        <f>IF(DSDV!B905&lt;&gt;"",DSDV!B905,"")</f>
        <v/>
      </c>
      <c r="B900" t="str">
        <f>IF(DSDV!G905&lt;&gt;"",DSDV!G905,"")</f>
        <v/>
      </c>
      <c r="C900" s="237" t="str">
        <f>IF(DSDV!K905&lt;&gt;"",DSDV!K905,"")</f>
        <v/>
      </c>
      <c r="D900" s="417" t="str">
        <f>IF(DSDV!W905&lt;&gt;"",DSDV!W905,"")</f>
        <v/>
      </c>
    </row>
    <row r="901" spans="1:4">
      <c r="A901" t="str">
        <f>IF(DSDV!B906&lt;&gt;"",DSDV!B906,"")</f>
        <v/>
      </c>
      <c r="B901" t="str">
        <f>IF(DSDV!G906&lt;&gt;"",DSDV!G906,"")</f>
        <v/>
      </c>
      <c r="C901" s="237" t="str">
        <f>IF(DSDV!K906&lt;&gt;"",DSDV!K906,"")</f>
        <v/>
      </c>
      <c r="D901" s="417" t="str">
        <f>IF(DSDV!W906&lt;&gt;"",DSDV!W906,"")</f>
        <v/>
      </c>
    </row>
    <row r="902" spans="1:4">
      <c r="A902" t="str">
        <f>IF(DSDV!B907&lt;&gt;"",DSDV!B907,"")</f>
        <v/>
      </c>
      <c r="B902" t="str">
        <f>IF(DSDV!G907&lt;&gt;"",DSDV!G907,"")</f>
        <v/>
      </c>
      <c r="C902" s="237" t="str">
        <f>IF(DSDV!K907&lt;&gt;"",DSDV!K907,"")</f>
        <v/>
      </c>
      <c r="D902" s="417" t="str">
        <f>IF(DSDV!W907&lt;&gt;"",DSDV!W907,"")</f>
        <v/>
      </c>
    </row>
    <row r="903" spans="1:4">
      <c r="A903" t="str">
        <f>IF(DSDV!B908&lt;&gt;"",DSDV!B908,"")</f>
        <v/>
      </c>
      <c r="B903" t="str">
        <f>IF(DSDV!G908&lt;&gt;"",DSDV!G908,"")</f>
        <v/>
      </c>
      <c r="C903" s="237" t="str">
        <f>IF(DSDV!K908&lt;&gt;"",DSDV!K908,"")</f>
        <v/>
      </c>
      <c r="D903" s="417" t="str">
        <f>IF(DSDV!W908&lt;&gt;"",DSDV!W908,"")</f>
        <v/>
      </c>
    </row>
    <row r="904" spans="1:4">
      <c r="A904" t="str">
        <f>IF(DSDV!B909&lt;&gt;"",DSDV!B909,"")</f>
        <v/>
      </c>
      <c r="B904" t="str">
        <f>IF(DSDV!G909&lt;&gt;"",DSDV!G909,"")</f>
        <v/>
      </c>
      <c r="C904" s="237" t="str">
        <f>IF(DSDV!K909&lt;&gt;"",DSDV!K909,"")</f>
        <v/>
      </c>
      <c r="D904" s="417" t="str">
        <f>IF(DSDV!W909&lt;&gt;"",DSDV!W909,"")</f>
        <v/>
      </c>
    </row>
    <row r="905" spans="1:4">
      <c r="A905" t="str">
        <f>IF(DSDV!B910&lt;&gt;"",DSDV!B910,"")</f>
        <v/>
      </c>
      <c r="B905" t="str">
        <f>IF(DSDV!G910&lt;&gt;"",DSDV!G910,"")</f>
        <v/>
      </c>
      <c r="C905" s="237" t="str">
        <f>IF(DSDV!K910&lt;&gt;"",DSDV!K910,"")</f>
        <v/>
      </c>
      <c r="D905" s="417" t="str">
        <f>IF(DSDV!W910&lt;&gt;"",DSDV!W910,"")</f>
        <v/>
      </c>
    </row>
    <row r="906" spans="1:4">
      <c r="A906" t="str">
        <f>IF(DSDV!B911&lt;&gt;"",DSDV!B911,"")</f>
        <v/>
      </c>
      <c r="B906" t="str">
        <f>IF(DSDV!G911&lt;&gt;"",DSDV!G911,"")</f>
        <v/>
      </c>
      <c r="C906" s="237" t="str">
        <f>IF(DSDV!K911&lt;&gt;"",DSDV!K911,"")</f>
        <v/>
      </c>
      <c r="D906" s="417" t="str">
        <f>IF(DSDV!W911&lt;&gt;"",DSDV!W911,"")</f>
        <v/>
      </c>
    </row>
    <row r="907" spans="1:4">
      <c r="A907" t="str">
        <f>IF(DSDV!B912&lt;&gt;"",DSDV!B912,"")</f>
        <v/>
      </c>
      <c r="B907" t="str">
        <f>IF(DSDV!G912&lt;&gt;"",DSDV!G912,"")</f>
        <v/>
      </c>
      <c r="C907" s="237" t="str">
        <f>IF(DSDV!K912&lt;&gt;"",DSDV!K912,"")</f>
        <v/>
      </c>
      <c r="D907" s="417" t="str">
        <f>IF(DSDV!W912&lt;&gt;"",DSDV!W912,"")</f>
        <v/>
      </c>
    </row>
    <row r="908" spans="1:4">
      <c r="A908" t="str">
        <f>IF(DSDV!B913&lt;&gt;"",DSDV!B913,"")</f>
        <v/>
      </c>
      <c r="B908" t="str">
        <f>IF(DSDV!G913&lt;&gt;"",DSDV!G913,"")</f>
        <v/>
      </c>
      <c r="C908" s="237" t="str">
        <f>IF(DSDV!K913&lt;&gt;"",DSDV!K913,"")</f>
        <v/>
      </c>
      <c r="D908" s="417" t="str">
        <f>IF(DSDV!W913&lt;&gt;"",DSDV!W913,"")</f>
        <v/>
      </c>
    </row>
    <row r="909" spans="1:4">
      <c r="A909" t="str">
        <f>IF(DSDV!B914&lt;&gt;"",DSDV!B914,"")</f>
        <v/>
      </c>
      <c r="B909" t="str">
        <f>IF(DSDV!G914&lt;&gt;"",DSDV!G914,"")</f>
        <v/>
      </c>
      <c r="C909" s="237" t="str">
        <f>IF(DSDV!K914&lt;&gt;"",DSDV!K914,"")</f>
        <v/>
      </c>
      <c r="D909" s="417" t="str">
        <f>IF(DSDV!W914&lt;&gt;"",DSDV!W914,"")</f>
        <v/>
      </c>
    </row>
    <row r="910" spans="1:4">
      <c r="A910" t="str">
        <f>IF(DSDV!B915&lt;&gt;"",DSDV!B915,"")</f>
        <v/>
      </c>
      <c r="B910" t="str">
        <f>IF(DSDV!G915&lt;&gt;"",DSDV!G915,"")</f>
        <v/>
      </c>
      <c r="C910" s="237" t="str">
        <f>IF(DSDV!K915&lt;&gt;"",DSDV!K915,"")</f>
        <v/>
      </c>
      <c r="D910" s="417" t="str">
        <f>IF(DSDV!W915&lt;&gt;"",DSDV!W915,"")</f>
        <v/>
      </c>
    </row>
    <row r="911" spans="1:4">
      <c r="A911" t="str">
        <f>IF(DSDV!B916&lt;&gt;"",DSDV!B916,"")</f>
        <v/>
      </c>
      <c r="B911" t="str">
        <f>IF(DSDV!G916&lt;&gt;"",DSDV!G916,"")</f>
        <v/>
      </c>
      <c r="C911" s="237" t="str">
        <f>IF(DSDV!K916&lt;&gt;"",DSDV!K916,"")</f>
        <v/>
      </c>
      <c r="D911" s="417" t="str">
        <f>IF(DSDV!W916&lt;&gt;"",DSDV!W916,"")</f>
        <v/>
      </c>
    </row>
    <row r="912" spans="1:4">
      <c r="A912" t="str">
        <f>IF(DSDV!B917&lt;&gt;"",DSDV!B917,"")</f>
        <v/>
      </c>
      <c r="B912" t="str">
        <f>IF(DSDV!G917&lt;&gt;"",DSDV!G917,"")</f>
        <v/>
      </c>
      <c r="C912" s="237" t="str">
        <f>IF(DSDV!K917&lt;&gt;"",DSDV!K917,"")</f>
        <v/>
      </c>
      <c r="D912" s="417" t="str">
        <f>IF(DSDV!W917&lt;&gt;"",DSDV!W917,"")</f>
        <v/>
      </c>
    </row>
    <row r="913" spans="1:4">
      <c r="A913" t="str">
        <f>IF(DSDV!B918&lt;&gt;"",DSDV!B918,"")</f>
        <v/>
      </c>
      <c r="B913" t="str">
        <f>IF(DSDV!G918&lt;&gt;"",DSDV!G918,"")</f>
        <v/>
      </c>
      <c r="C913" s="237" t="str">
        <f>IF(DSDV!K918&lt;&gt;"",DSDV!K918,"")</f>
        <v/>
      </c>
      <c r="D913" s="417" t="str">
        <f>IF(DSDV!W918&lt;&gt;"",DSDV!W918,"")</f>
        <v/>
      </c>
    </row>
    <row r="914" spans="1:4">
      <c r="A914" t="str">
        <f>IF(DSDV!B919&lt;&gt;"",DSDV!B919,"")</f>
        <v/>
      </c>
      <c r="B914" t="str">
        <f>IF(DSDV!G919&lt;&gt;"",DSDV!G919,"")</f>
        <v/>
      </c>
      <c r="C914" s="237" t="str">
        <f>IF(DSDV!K919&lt;&gt;"",DSDV!K919,"")</f>
        <v/>
      </c>
      <c r="D914" s="417" t="str">
        <f>IF(DSDV!W919&lt;&gt;"",DSDV!W919,"")</f>
        <v/>
      </c>
    </row>
    <row r="915" spans="1:4">
      <c r="A915" t="str">
        <f>IF(DSDV!B920&lt;&gt;"",DSDV!B920,"")</f>
        <v/>
      </c>
      <c r="B915" t="str">
        <f>IF(DSDV!G920&lt;&gt;"",DSDV!G920,"")</f>
        <v/>
      </c>
      <c r="C915" s="237" t="str">
        <f>IF(DSDV!K920&lt;&gt;"",DSDV!K920,"")</f>
        <v/>
      </c>
      <c r="D915" s="417" t="str">
        <f>IF(DSDV!W920&lt;&gt;"",DSDV!W920,"")</f>
        <v/>
      </c>
    </row>
    <row r="916" spans="1:4">
      <c r="A916" t="str">
        <f>IF(DSDV!B921&lt;&gt;"",DSDV!B921,"")</f>
        <v/>
      </c>
      <c r="B916" t="str">
        <f>IF(DSDV!G921&lt;&gt;"",DSDV!G921,"")</f>
        <v/>
      </c>
      <c r="C916" s="237" t="str">
        <f>IF(DSDV!K921&lt;&gt;"",DSDV!K921,"")</f>
        <v/>
      </c>
      <c r="D916" s="417" t="str">
        <f>IF(DSDV!W921&lt;&gt;"",DSDV!W921,"")</f>
        <v/>
      </c>
    </row>
    <row r="917" spans="1:4">
      <c r="A917" t="str">
        <f>IF(DSDV!B922&lt;&gt;"",DSDV!B922,"")</f>
        <v/>
      </c>
      <c r="B917" t="str">
        <f>IF(DSDV!G922&lt;&gt;"",DSDV!G922,"")</f>
        <v/>
      </c>
      <c r="C917" s="237" t="str">
        <f>IF(DSDV!K922&lt;&gt;"",DSDV!K922,"")</f>
        <v/>
      </c>
      <c r="D917" s="417" t="str">
        <f>IF(DSDV!W922&lt;&gt;"",DSDV!W922,"")</f>
        <v/>
      </c>
    </row>
    <row r="918" spans="1:4">
      <c r="A918" t="str">
        <f>IF(DSDV!B923&lt;&gt;"",DSDV!B923,"")</f>
        <v/>
      </c>
      <c r="B918" t="str">
        <f>IF(DSDV!G923&lt;&gt;"",DSDV!G923,"")</f>
        <v/>
      </c>
      <c r="C918" s="237" t="str">
        <f>IF(DSDV!K923&lt;&gt;"",DSDV!K923,"")</f>
        <v/>
      </c>
      <c r="D918" s="417" t="str">
        <f>IF(DSDV!W923&lt;&gt;"",DSDV!W923,"")</f>
        <v/>
      </c>
    </row>
    <row r="919" spans="1:4">
      <c r="A919" t="str">
        <f>IF(DSDV!B924&lt;&gt;"",DSDV!B924,"")</f>
        <v/>
      </c>
      <c r="B919" t="str">
        <f>IF(DSDV!G924&lt;&gt;"",DSDV!G924,"")</f>
        <v/>
      </c>
      <c r="C919" s="237" t="str">
        <f>IF(DSDV!K924&lt;&gt;"",DSDV!K924,"")</f>
        <v/>
      </c>
      <c r="D919" s="417" t="str">
        <f>IF(DSDV!W924&lt;&gt;"",DSDV!W924,"")</f>
        <v/>
      </c>
    </row>
    <row r="920" spans="1:4">
      <c r="A920" t="str">
        <f>IF(DSDV!B925&lt;&gt;"",DSDV!B925,"")</f>
        <v/>
      </c>
      <c r="B920" t="str">
        <f>IF(DSDV!G925&lt;&gt;"",DSDV!G925,"")</f>
        <v/>
      </c>
      <c r="C920" s="237" t="str">
        <f>IF(DSDV!K925&lt;&gt;"",DSDV!K925,"")</f>
        <v/>
      </c>
      <c r="D920" s="417" t="str">
        <f>IF(DSDV!W925&lt;&gt;"",DSDV!W925,"")</f>
        <v/>
      </c>
    </row>
    <row r="921" spans="1:4">
      <c r="A921" t="str">
        <f>IF(DSDV!B926&lt;&gt;"",DSDV!B926,"")</f>
        <v/>
      </c>
      <c r="B921" t="str">
        <f>IF(DSDV!G926&lt;&gt;"",DSDV!G926,"")</f>
        <v/>
      </c>
      <c r="C921" s="237" t="str">
        <f>IF(DSDV!K926&lt;&gt;"",DSDV!K926,"")</f>
        <v/>
      </c>
      <c r="D921" s="417" t="str">
        <f>IF(DSDV!W926&lt;&gt;"",DSDV!W926,"")</f>
        <v/>
      </c>
    </row>
    <row r="922" spans="1:4">
      <c r="A922" t="str">
        <f>IF(DSDV!B927&lt;&gt;"",DSDV!B927,"")</f>
        <v/>
      </c>
      <c r="B922" t="str">
        <f>IF(DSDV!G927&lt;&gt;"",DSDV!G927,"")</f>
        <v/>
      </c>
      <c r="C922" s="237" t="str">
        <f>IF(DSDV!K927&lt;&gt;"",DSDV!K927,"")</f>
        <v/>
      </c>
      <c r="D922" s="417" t="str">
        <f>IF(DSDV!W927&lt;&gt;"",DSDV!W927,"")</f>
        <v/>
      </c>
    </row>
    <row r="923" spans="1:4">
      <c r="A923" t="str">
        <f>IF(DSDV!B928&lt;&gt;"",DSDV!B928,"")</f>
        <v/>
      </c>
      <c r="B923" t="str">
        <f>IF(DSDV!G928&lt;&gt;"",DSDV!G928,"")</f>
        <v/>
      </c>
      <c r="C923" s="237" t="str">
        <f>IF(DSDV!K928&lt;&gt;"",DSDV!K928,"")</f>
        <v/>
      </c>
      <c r="D923" s="417" t="str">
        <f>IF(DSDV!W928&lt;&gt;"",DSDV!W928,"")</f>
        <v/>
      </c>
    </row>
    <row r="924" spans="1:4">
      <c r="A924" t="str">
        <f>IF(DSDV!B929&lt;&gt;"",DSDV!B929,"")</f>
        <v/>
      </c>
      <c r="B924" t="str">
        <f>IF(DSDV!G929&lt;&gt;"",DSDV!G929,"")</f>
        <v/>
      </c>
      <c r="C924" s="237" t="str">
        <f>IF(DSDV!K929&lt;&gt;"",DSDV!K929,"")</f>
        <v/>
      </c>
      <c r="D924" s="417" t="str">
        <f>IF(DSDV!W929&lt;&gt;"",DSDV!W929,"")</f>
        <v/>
      </c>
    </row>
    <row r="925" spans="1:4">
      <c r="A925" t="str">
        <f>IF(DSDV!B930&lt;&gt;"",DSDV!B930,"")</f>
        <v/>
      </c>
      <c r="B925" t="str">
        <f>IF(DSDV!G930&lt;&gt;"",DSDV!G930,"")</f>
        <v/>
      </c>
      <c r="C925" s="237" t="str">
        <f>IF(DSDV!K930&lt;&gt;"",DSDV!K930,"")</f>
        <v/>
      </c>
      <c r="D925" s="417" t="str">
        <f>IF(DSDV!W930&lt;&gt;"",DSDV!W930,"")</f>
        <v/>
      </c>
    </row>
    <row r="926" spans="1:4">
      <c r="A926" t="str">
        <f>IF(DSDV!B931&lt;&gt;"",DSDV!B931,"")</f>
        <v/>
      </c>
      <c r="B926" t="str">
        <f>IF(DSDV!G931&lt;&gt;"",DSDV!G931,"")</f>
        <v/>
      </c>
      <c r="C926" s="237" t="str">
        <f>IF(DSDV!K931&lt;&gt;"",DSDV!K931,"")</f>
        <v/>
      </c>
      <c r="D926" s="417" t="str">
        <f>IF(DSDV!W931&lt;&gt;"",DSDV!W931,"")</f>
        <v/>
      </c>
    </row>
    <row r="927" spans="1:4">
      <c r="A927" t="str">
        <f>IF(DSDV!B932&lt;&gt;"",DSDV!B932,"")</f>
        <v/>
      </c>
      <c r="B927" t="str">
        <f>IF(DSDV!G932&lt;&gt;"",DSDV!G932,"")</f>
        <v/>
      </c>
      <c r="C927" s="237" t="str">
        <f>IF(DSDV!K932&lt;&gt;"",DSDV!K932,"")</f>
        <v/>
      </c>
      <c r="D927" s="417" t="str">
        <f>IF(DSDV!W932&lt;&gt;"",DSDV!W932,"")</f>
        <v/>
      </c>
    </row>
    <row r="928" spans="1:4">
      <c r="A928" t="str">
        <f>IF(DSDV!B933&lt;&gt;"",DSDV!B933,"")</f>
        <v/>
      </c>
      <c r="B928" t="str">
        <f>IF(DSDV!G933&lt;&gt;"",DSDV!G933,"")</f>
        <v/>
      </c>
      <c r="C928" s="237" t="str">
        <f>IF(DSDV!K933&lt;&gt;"",DSDV!K933,"")</f>
        <v/>
      </c>
      <c r="D928" s="417" t="str">
        <f>IF(DSDV!W933&lt;&gt;"",DSDV!W933,"")</f>
        <v/>
      </c>
    </row>
    <row r="929" spans="1:4">
      <c r="A929" t="str">
        <f>IF(DSDV!B934&lt;&gt;"",DSDV!B934,"")</f>
        <v/>
      </c>
      <c r="B929" t="str">
        <f>IF(DSDV!G934&lt;&gt;"",DSDV!G934,"")</f>
        <v/>
      </c>
      <c r="C929" s="237" t="str">
        <f>IF(DSDV!K934&lt;&gt;"",DSDV!K934,"")</f>
        <v/>
      </c>
      <c r="D929" s="417" t="str">
        <f>IF(DSDV!W934&lt;&gt;"",DSDV!W934,"")</f>
        <v/>
      </c>
    </row>
    <row r="930" spans="1:4">
      <c r="A930" t="str">
        <f>IF(DSDV!B935&lt;&gt;"",DSDV!B935,"")</f>
        <v/>
      </c>
      <c r="B930" t="str">
        <f>IF(DSDV!G935&lt;&gt;"",DSDV!G935,"")</f>
        <v/>
      </c>
      <c r="C930" s="237" t="str">
        <f>IF(DSDV!K935&lt;&gt;"",DSDV!K935,"")</f>
        <v/>
      </c>
      <c r="D930" s="417" t="str">
        <f>IF(DSDV!W935&lt;&gt;"",DSDV!W935,"")</f>
        <v/>
      </c>
    </row>
    <row r="931" spans="1:4">
      <c r="A931" t="str">
        <f>IF(DSDV!B936&lt;&gt;"",DSDV!B936,"")</f>
        <v/>
      </c>
      <c r="B931" t="str">
        <f>IF(DSDV!G936&lt;&gt;"",DSDV!G936,"")</f>
        <v/>
      </c>
      <c r="C931" s="237" t="str">
        <f>IF(DSDV!K936&lt;&gt;"",DSDV!K936,"")</f>
        <v/>
      </c>
      <c r="D931" s="417" t="str">
        <f>IF(DSDV!W936&lt;&gt;"",DSDV!W936,"")</f>
        <v/>
      </c>
    </row>
    <row r="932" spans="1:4">
      <c r="A932" t="str">
        <f>IF(DSDV!B937&lt;&gt;"",DSDV!B937,"")</f>
        <v/>
      </c>
      <c r="B932" t="str">
        <f>IF(DSDV!G937&lt;&gt;"",DSDV!G937,"")</f>
        <v/>
      </c>
      <c r="C932" s="237" t="str">
        <f>IF(DSDV!K937&lt;&gt;"",DSDV!K937,"")</f>
        <v/>
      </c>
      <c r="D932" s="417" t="str">
        <f>IF(DSDV!W937&lt;&gt;"",DSDV!W937,"")</f>
        <v/>
      </c>
    </row>
    <row r="933" spans="1:4">
      <c r="A933" t="str">
        <f>IF(DSDV!B938&lt;&gt;"",DSDV!B938,"")</f>
        <v/>
      </c>
      <c r="B933" t="str">
        <f>IF(DSDV!G938&lt;&gt;"",DSDV!G938,"")</f>
        <v/>
      </c>
      <c r="C933" s="237" t="str">
        <f>IF(DSDV!K938&lt;&gt;"",DSDV!K938,"")</f>
        <v/>
      </c>
      <c r="D933" s="417" t="str">
        <f>IF(DSDV!W938&lt;&gt;"",DSDV!W938,"")</f>
        <v/>
      </c>
    </row>
    <row r="934" spans="1:4">
      <c r="A934" t="str">
        <f>IF(DSDV!B939&lt;&gt;"",DSDV!B939,"")</f>
        <v/>
      </c>
      <c r="B934" t="str">
        <f>IF(DSDV!G939&lt;&gt;"",DSDV!G939,"")</f>
        <v/>
      </c>
      <c r="C934" s="237" t="str">
        <f>IF(DSDV!K939&lt;&gt;"",DSDV!K939,"")</f>
        <v/>
      </c>
      <c r="D934" s="417" t="str">
        <f>IF(DSDV!W939&lt;&gt;"",DSDV!W939,"")</f>
        <v/>
      </c>
    </row>
    <row r="935" spans="1:4">
      <c r="A935" t="str">
        <f>IF(DSDV!B940&lt;&gt;"",DSDV!B940,"")</f>
        <v/>
      </c>
      <c r="B935" t="str">
        <f>IF(DSDV!G940&lt;&gt;"",DSDV!G940,"")</f>
        <v/>
      </c>
      <c r="C935" s="237" t="str">
        <f>IF(DSDV!K940&lt;&gt;"",DSDV!K940,"")</f>
        <v/>
      </c>
      <c r="D935" s="417" t="str">
        <f>IF(DSDV!W940&lt;&gt;"",DSDV!W940,"")</f>
        <v/>
      </c>
    </row>
    <row r="936" spans="1:4">
      <c r="A936" t="str">
        <f>IF(DSDV!B941&lt;&gt;"",DSDV!B941,"")</f>
        <v/>
      </c>
      <c r="B936" t="str">
        <f>IF(DSDV!G941&lt;&gt;"",DSDV!G941,"")</f>
        <v/>
      </c>
      <c r="C936" s="237" t="str">
        <f>IF(DSDV!K941&lt;&gt;"",DSDV!K941,"")</f>
        <v/>
      </c>
      <c r="D936" s="417" t="str">
        <f>IF(DSDV!W941&lt;&gt;"",DSDV!W941,"")</f>
        <v/>
      </c>
    </row>
    <row r="937" spans="1:4">
      <c r="A937" t="str">
        <f>IF(DSDV!B942&lt;&gt;"",DSDV!B942,"")</f>
        <v/>
      </c>
      <c r="B937" t="str">
        <f>IF(DSDV!G942&lt;&gt;"",DSDV!G942,"")</f>
        <v/>
      </c>
      <c r="C937" s="237" t="str">
        <f>IF(DSDV!K942&lt;&gt;"",DSDV!K942,"")</f>
        <v/>
      </c>
      <c r="D937" s="417" t="str">
        <f>IF(DSDV!W942&lt;&gt;"",DSDV!W942,"")</f>
        <v/>
      </c>
    </row>
    <row r="938" spans="1:4">
      <c r="A938" t="str">
        <f>IF(DSDV!B943&lt;&gt;"",DSDV!B943,"")</f>
        <v/>
      </c>
      <c r="B938" t="str">
        <f>IF(DSDV!G943&lt;&gt;"",DSDV!G943,"")</f>
        <v/>
      </c>
      <c r="C938" s="237" t="str">
        <f>IF(DSDV!K943&lt;&gt;"",DSDV!K943,"")</f>
        <v/>
      </c>
      <c r="D938" s="417" t="str">
        <f>IF(DSDV!W943&lt;&gt;"",DSDV!W943,"")</f>
        <v/>
      </c>
    </row>
    <row r="939" spans="1:4">
      <c r="A939" t="str">
        <f>IF(DSDV!B944&lt;&gt;"",DSDV!B944,"")</f>
        <v/>
      </c>
      <c r="B939" t="str">
        <f>IF(DSDV!G944&lt;&gt;"",DSDV!G944,"")</f>
        <v/>
      </c>
      <c r="C939" s="237" t="str">
        <f>IF(DSDV!K944&lt;&gt;"",DSDV!K944,"")</f>
        <v/>
      </c>
      <c r="D939" s="417" t="str">
        <f>IF(DSDV!W944&lt;&gt;"",DSDV!W944,"")</f>
        <v/>
      </c>
    </row>
    <row r="940" spans="1:4">
      <c r="A940" t="str">
        <f>IF(DSDV!B945&lt;&gt;"",DSDV!B945,"")</f>
        <v/>
      </c>
      <c r="B940" t="str">
        <f>IF(DSDV!G945&lt;&gt;"",DSDV!G945,"")</f>
        <v/>
      </c>
      <c r="C940" s="237" t="str">
        <f>IF(DSDV!K945&lt;&gt;"",DSDV!K945,"")</f>
        <v/>
      </c>
      <c r="D940" s="417" t="str">
        <f>IF(DSDV!W945&lt;&gt;"",DSDV!W945,"")</f>
        <v/>
      </c>
    </row>
    <row r="941" spans="1:4">
      <c r="A941" t="str">
        <f>IF(DSDV!B946&lt;&gt;"",DSDV!B946,"")</f>
        <v/>
      </c>
      <c r="B941" t="str">
        <f>IF(DSDV!G946&lt;&gt;"",DSDV!G946,"")</f>
        <v/>
      </c>
      <c r="C941" s="237" t="str">
        <f>IF(DSDV!K946&lt;&gt;"",DSDV!K946,"")</f>
        <v/>
      </c>
      <c r="D941" s="417" t="str">
        <f>IF(DSDV!W946&lt;&gt;"",DSDV!W946,"")</f>
        <v/>
      </c>
    </row>
    <row r="942" spans="1:4">
      <c r="A942" t="str">
        <f>IF(DSDV!B947&lt;&gt;"",DSDV!B947,"")</f>
        <v/>
      </c>
      <c r="B942" t="str">
        <f>IF(DSDV!G947&lt;&gt;"",DSDV!G947,"")</f>
        <v/>
      </c>
      <c r="C942" s="237" t="str">
        <f>IF(DSDV!K947&lt;&gt;"",DSDV!K947,"")</f>
        <v/>
      </c>
      <c r="D942" s="417" t="str">
        <f>IF(DSDV!W947&lt;&gt;"",DSDV!W947,"")</f>
        <v/>
      </c>
    </row>
    <row r="943" spans="1:4">
      <c r="A943" t="str">
        <f>IF(DSDV!B948&lt;&gt;"",DSDV!B948,"")</f>
        <v/>
      </c>
      <c r="B943" t="str">
        <f>IF(DSDV!G948&lt;&gt;"",DSDV!G948,"")</f>
        <v/>
      </c>
      <c r="C943" s="237" t="str">
        <f>IF(DSDV!K948&lt;&gt;"",DSDV!K948,"")</f>
        <v/>
      </c>
      <c r="D943" s="417" t="str">
        <f>IF(DSDV!W948&lt;&gt;"",DSDV!W948,"")</f>
        <v/>
      </c>
    </row>
    <row r="944" spans="1:4">
      <c r="A944" t="str">
        <f>IF(DSDV!B949&lt;&gt;"",DSDV!B949,"")</f>
        <v/>
      </c>
      <c r="B944" t="str">
        <f>IF(DSDV!G949&lt;&gt;"",DSDV!G949,"")</f>
        <v/>
      </c>
      <c r="C944" s="237" t="str">
        <f>IF(DSDV!K949&lt;&gt;"",DSDV!K949,"")</f>
        <v/>
      </c>
      <c r="D944" s="417" t="str">
        <f>IF(DSDV!W949&lt;&gt;"",DSDV!W949,"")</f>
        <v/>
      </c>
    </row>
    <row r="945" spans="1:4">
      <c r="A945" t="str">
        <f>IF(DSDV!B950&lt;&gt;"",DSDV!B950,"")</f>
        <v/>
      </c>
      <c r="B945" t="str">
        <f>IF(DSDV!G950&lt;&gt;"",DSDV!G950,"")</f>
        <v/>
      </c>
      <c r="C945" s="237" t="str">
        <f>IF(DSDV!K950&lt;&gt;"",DSDV!K950,"")</f>
        <v/>
      </c>
      <c r="D945" s="417" t="str">
        <f>IF(DSDV!W950&lt;&gt;"",DSDV!W950,"")</f>
        <v/>
      </c>
    </row>
    <row r="946" spans="1:4">
      <c r="A946" t="str">
        <f>IF(DSDV!B951&lt;&gt;"",DSDV!B951,"")</f>
        <v/>
      </c>
      <c r="B946" t="str">
        <f>IF(DSDV!G951&lt;&gt;"",DSDV!G951,"")</f>
        <v/>
      </c>
      <c r="C946" s="237" t="str">
        <f>IF(DSDV!K951&lt;&gt;"",DSDV!K951,"")</f>
        <v/>
      </c>
      <c r="D946" s="417" t="str">
        <f>IF(DSDV!W951&lt;&gt;"",DSDV!W951,"")</f>
        <v/>
      </c>
    </row>
    <row r="947" spans="1:4">
      <c r="A947" t="str">
        <f>IF(DSDV!B952&lt;&gt;"",DSDV!B952,"")</f>
        <v/>
      </c>
      <c r="B947" t="str">
        <f>IF(DSDV!G952&lt;&gt;"",DSDV!G952,"")</f>
        <v/>
      </c>
      <c r="C947" s="237" t="str">
        <f>IF(DSDV!K952&lt;&gt;"",DSDV!K952,"")</f>
        <v/>
      </c>
      <c r="D947" s="417" t="str">
        <f>IF(DSDV!W952&lt;&gt;"",DSDV!W952,"")</f>
        <v/>
      </c>
    </row>
    <row r="948" spans="1:4">
      <c r="A948" t="str">
        <f>IF(DSDV!B953&lt;&gt;"",DSDV!B953,"")</f>
        <v/>
      </c>
      <c r="B948" t="str">
        <f>IF(DSDV!G953&lt;&gt;"",DSDV!G953,"")</f>
        <v/>
      </c>
      <c r="C948" s="237" t="str">
        <f>IF(DSDV!K953&lt;&gt;"",DSDV!K953,"")</f>
        <v/>
      </c>
      <c r="D948" s="417" t="str">
        <f>IF(DSDV!W953&lt;&gt;"",DSDV!W953,"")</f>
        <v/>
      </c>
    </row>
    <row r="949" spans="1:4">
      <c r="A949" t="str">
        <f>IF(DSDV!B954&lt;&gt;"",DSDV!B954,"")</f>
        <v/>
      </c>
      <c r="B949" t="str">
        <f>IF(DSDV!G954&lt;&gt;"",DSDV!G954,"")</f>
        <v/>
      </c>
      <c r="C949" s="237" t="str">
        <f>IF(DSDV!K954&lt;&gt;"",DSDV!K954,"")</f>
        <v/>
      </c>
      <c r="D949" s="417" t="str">
        <f>IF(DSDV!W954&lt;&gt;"",DSDV!W954,"")</f>
        <v/>
      </c>
    </row>
    <row r="950" spans="1:4">
      <c r="A950" t="str">
        <f>IF(DSDV!B955&lt;&gt;"",DSDV!B955,"")</f>
        <v/>
      </c>
      <c r="B950" t="str">
        <f>IF(DSDV!G955&lt;&gt;"",DSDV!G955,"")</f>
        <v/>
      </c>
      <c r="C950" s="237" t="str">
        <f>IF(DSDV!K955&lt;&gt;"",DSDV!K955,"")</f>
        <v/>
      </c>
      <c r="D950" s="417" t="str">
        <f>IF(DSDV!W955&lt;&gt;"",DSDV!W955,"")</f>
        <v/>
      </c>
    </row>
    <row r="951" spans="1:4">
      <c r="A951" t="str">
        <f>IF(DSDV!B956&lt;&gt;"",DSDV!B956,"")</f>
        <v/>
      </c>
      <c r="B951" t="str">
        <f>IF(DSDV!G956&lt;&gt;"",DSDV!G956,"")</f>
        <v/>
      </c>
      <c r="C951" s="237" t="str">
        <f>IF(DSDV!K956&lt;&gt;"",DSDV!K956,"")</f>
        <v/>
      </c>
      <c r="D951" s="417" t="str">
        <f>IF(DSDV!W956&lt;&gt;"",DSDV!W956,"")</f>
        <v/>
      </c>
    </row>
    <row r="952" spans="1:4">
      <c r="A952" t="str">
        <f>IF(DSDV!B957&lt;&gt;"",DSDV!B957,"")</f>
        <v/>
      </c>
      <c r="B952" t="str">
        <f>IF(DSDV!G957&lt;&gt;"",DSDV!G957,"")</f>
        <v/>
      </c>
      <c r="C952" s="237" t="str">
        <f>IF(DSDV!K957&lt;&gt;"",DSDV!K957,"")</f>
        <v/>
      </c>
      <c r="D952" s="417" t="str">
        <f>IF(DSDV!W957&lt;&gt;"",DSDV!W957,"")</f>
        <v/>
      </c>
    </row>
    <row r="953" spans="1:4">
      <c r="A953" t="str">
        <f>IF(DSDV!B958&lt;&gt;"",DSDV!B958,"")</f>
        <v/>
      </c>
      <c r="B953" t="str">
        <f>IF(DSDV!G958&lt;&gt;"",DSDV!G958,"")</f>
        <v/>
      </c>
      <c r="C953" s="237" t="str">
        <f>IF(DSDV!K958&lt;&gt;"",DSDV!K958,"")</f>
        <v/>
      </c>
      <c r="D953" s="417" t="str">
        <f>IF(DSDV!W958&lt;&gt;"",DSDV!W958,"")</f>
        <v/>
      </c>
    </row>
    <row r="954" spans="1:4">
      <c r="A954" t="str">
        <f>IF(DSDV!B959&lt;&gt;"",DSDV!B959,"")</f>
        <v/>
      </c>
      <c r="B954" t="str">
        <f>IF(DSDV!G959&lt;&gt;"",DSDV!G959,"")</f>
        <v/>
      </c>
      <c r="C954" s="237" t="str">
        <f>IF(DSDV!K959&lt;&gt;"",DSDV!K959,"")</f>
        <v/>
      </c>
      <c r="D954" s="417" t="str">
        <f>IF(DSDV!W959&lt;&gt;"",DSDV!W959,"")</f>
        <v/>
      </c>
    </row>
    <row r="955" spans="1:4">
      <c r="A955" t="str">
        <f>IF(DSDV!B960&lt;&gt;"",DSDV!B960,"")</f>
        <v/>
      </c>
      <c r="B955" t="str">
        <f>IF(DSDV!G960&lt;&gt;"",DSDV!G960,"")</f>
        <v/>
      </c>
      <c r="C955" s="237" t="str">
        <f>IF(DSDV!K960&lt;&gt;"",DSDV!K960,"")</f>
        <v/>
      </c>
      <c r="D955" s="417" t="str">
        <f>IF(DSDV!W960&lt;&gt;"",DSDV!W960,"")</f>
        <v/>
      </c>
    </row>
    <row r="956" spans="1:4">
      <c r="A956" t="str">
        <f>IF(DSDV!B961&lt;&gt;"",DSDV!B961,"")</f>
        <v/>
      </c>
      <c r="B956" t="str">
        <f>IF(DSDV!G961&lt;&gt;"",DSDV!G961,"")</f>
        <v/>
      </c>
      <c r="C956" s="237" t="str">
        <f>IF(DSDV!K961&lt;&gt;"",DSDV!K961,"")</f>
        <v/>
      </c>
      <c r="D956" s="417" t="str">
        <f>IF(DSDV!W961&lt;&gt;"",DSDV!W961,"")</f>
        <v/>
      </c>
    </row>
    <row r="957" spans="1:4">
      <c r="A957" t="str">
        <f>IF(DSDV!B962&lt;&gt;"",DSDV!B962,"")</f>
        <v/>
      </c>
      <c r="B957" t="str">
        <f>IF(DSDV!G962&lt;&gt;"",DSDV!G962,"")</f>
        <v/>
      </c>
      <c r="C957" s="237" t="str">
        <f>IF(DSDV!K962&lt;&gt;"",DSDV!K962,"")</f>
        <v/>
      </c>
      <c r="D957" s="417" t="str">
        <f>IF(DSDV!W962&lt;&gt;"",DSDV!W962,"")</f>
        <v/>
      </c>
    </row>
    <row r="958" spans="1:4">
      <c r="A958" t="str">
        <f>IF(DSDV!B963&lt;&gt;"",DSDV!B963,"")</f>
        <v/>
      </c>
      <c r="B958" t="str">
        <f>IF(DSDV!G963&lt;&gt;"",DSDV!G963,"")</f>
        <v/>
      </c>
      <c r="C958" s="237" t="str">
        <f>IF(DSDV!K963&lt;&gt;"",DSDV!K963,"")</f>
        <v/>
      </c>
      <c r="D958" s="417" t="str">
        <f>IF(DSDV!W963&lt;&gt;"",DSDV!W963,"")</f>
        <v/>
      </c>
    </row>
    <row r="959" spans="1:4">
      <c r="A959" t="str">
        <f>IF(DSDV!B964&lt;&gt;"",DSDV!B964,"")</f>
        <v/>
      </c>
      <c r="B959" t="str">
        <f>IF(DSDV!G964&lt;&gt;"",DSDV!G964,"")</f>
        <v/>
      </c>
      <c r="C959" s="237" t="str">
        <f>IF(DSDV!K964&lt;&gt;"",DSDV!K964,"")</f>
        <v/>
      </c>
      <c r="D959" s="417" t="str">
        <f>IF(DSDV!W964&lt;&gt;"",DSDV!W964,"")</f>
        <v/>
      </c>
    </row>
    <row r="960" spans="1:4">
      <c r="A960" t="str">
        <f>IF(DSDV!B965&lt;&gt;"",DSDV!B965,"")</f>
        <v/>
      </c>
      <c r="B960" t="str">
        <f>IF(DSDV!G965&lt;&gt;"",DSDV!G965,"")</f>
        <v/>
      </c>
      <c r="C960" s="237" t="str">
        <f>IF(DSDV!K965&lt;&gt;"",DSDV!K965,"")</f>
        <v/>
      </c>
      <c r="D960" s="417" t="str">
        <f>IF(DSDV!W965&lt;&gt;"",DSDV!W965,"")</f>
        <v/>
      </c>
    </row>
    <row r="961" spans="1:4">
      <c r="A961" t="str">
        <f>IF(DSDV!B966&lt;&gt;"",DSDV!B966,"")</f>
        <v/>
      </c>
      <c r="B961" t="str">
        <f>IF(DSDV!G966&lt;&gt;"",DSDV!G966,"")</f>
        <v/>
      </c>
      <c r="C961" s="237" t="str">
        <f>IF(DSDV!K966&lt;&gt;"",DSDV!K966,"")</f>
        <v/>
      </c>
      <c r="D961" s="417" t="str">
        <f>IF(DSDV!W966&lt;&gt;"",DSDV!W966,"")</f>
        <v/>
      </c>
    </row>
    <row r="962" spans="1:4">
      <c r="A962" t="str">
        <f>IF(DSDV!B967&lt;&gt;"",DSDV!B967,"")</f>
        <v/>
      </c>
      <c r="B962" t="str">
        <f>IF(DSDV!G967&lt;&gt;"",DSDV!G967,"")</f>
        <v/>
      </c>
      <c r="C962" s="237" t="str">
        <f>IF(DSDV!K967&lt;&gt;"",DSDV!K967,"")</f>
        <v/>
      </c>
      <c r="D962" s="417" t="str">
        <f>IF(DSDV!W967&lt;&gt;"",DSDV!W967,"")</f>
        <v/>
      </c>
    </row>
    <row r="963" spans="1:4">
      <c r="A963" t="str">
        <f>IF(DSDV!B968&lt;&gt;"",DSDV!B968,"")</f>
        <v/>
      </c>
      <c r="B963" t="str">
        <f>IF(DSDV!G968&lt;&gt;"",DSDV!G968,"")</f>
        <v/>
      </c>
      <c r="C963" s="237" t="str">
        <f>IF(DSDV!K968&lt;&gt;"",DSDV!K968,"")</f>
        <v/>
      </c>
      <c r="D963" s="417" t="str">
        <f>IF(DSDV!W968&lt;&gt;"",DSDV!W968,"")</f>
        <v/>
      </c>
    </row>
    <row r="964" spans="1:4">
      <c r="A964" t="str">
        <f>IF(DSDV!B969&lt;&gt;"",DSDV!B969,"")</f>
        <v/>
      </c>
      <c r="B964" t="str">
        <f>IF(DSDV!G969&lt;&gt;"",DSDV!G969,"")</f>
        <v/>
      </c>
      <c r="C964" s="237" t="str">
        <f>IF(DSDV!K969&lt;&gt;"",DSDV!K969,"")</f>
        <v/>
      </c>
      <c r="D964" s="417" t="str">
        <f>IF(DSDV!W969&lt;&gt;"",DSDV!W969,"")</f>
        <v/>
      </c>
    </row>
    <row r="965" spans="1:4">
      <c r="A965" t="str">
        <f>IF(DSDV!B970&lt;&gt;"",DSDV!B970,"")</f>
        <v/>
      </c>
      <c r="B965" t="str">
        <f>IF(DSDV!G970&lt;&gt;"",DSDV!G970,"")</f>
        <v/>
      </c>
      <c r="C965" s="237" t="str">
        <f>IF(DSDV!K970&lt;&gt;"",DSDV!K970,"")</f>
        <v/>
      </c>
      <c r="D965" s="417" t="str">
        <f>IF(DSDV!W970&lt;&gt;"",DSDV!W970,"")</f>
        <v/>
      </c>
    </row>
    <row r="966" spans="1:4">
      <c r="A966" t="str">
        <f>IF(DSDV!B971&lt;&gt;"",DSDV!B971,"")</f>
        <v/>
      </c>
      <c r="B966" t="str">
        <f>IF(DSDV!G971&lt;&gt;"",DSDV!G971,"")</f>
        <v/>
      </c>
      <c r="C966" s="237" t="str">
        <f>IF(DSDV!K971&lt;&gt;"",DSDV!K971,"")</f>
        <v/>
      </c>
      <c r="D966" s="417" t="str">
        <f>IF(DSDV!W971&lt;&gt;"",DSDV!W971,"")</f>
        <v/>
      </c>
    </row>
    <row r="967" spans="1:4">
      <c r="A967" t="str">
        <f>IF(DSDV!B972&lt;&gt;"",DSDV!B972,"")</f>
        <v/>
      </c>
      <c r="B967" t="str">
        <f>IF(DSDV!G972&lt;&gt;"",DSDV!G972,"")</f>
        <v/>
      </c>
      <c r="C967" s="237" t="str">
        <f>IF(DSDV!K972&lt;&gt;"",DSDV!K972,"")</f>
        <v/>
      </c>
      <c r="D967" s="417" t="str">
        <f>IF(DSDV!W972&lt;&gt;"",DSDV!W972,"")</f>
        <v/>
      </c>
    </row>
    <row r="968" spans="1:4">
      <c r="A968" t="str">
        <f>IF(DSDV!B973&lt;&gt;"",DSDV!B973,"")</f>
        <v/>
      </c>
      <c r="B968" t="str">
        <f>IF(DSDV!G973&lt;&gt;"",DSDV!G973,"")</f>
        <v/>
      </c>
      <c r="C968" s="237" t="str">
        <f>IF(DSDV!K973&lt;&gt;"",DSDV!K973,"")</f>
        <v/>
      </c>
      <c r="D968" s="417" t="str">
        <f>IF(DSDV!W973&lt;&gt;"",DSDV!W973,"")</f>
        <v/>
      </c>
    </row>
    <row r="969" spans="1:4">
      <c r="A969" t="str">
        <f>IF(DSDV!B974&lt;&gt;"",DSDV!B974,"")</f>
        <v/>
      </c>
      <c r="B969" t="str">
        <f>IF(DSDV!G974&lt;&gt;"",DSDV!G974,"")</f>
        <v/>
      </c>
      <c r="C969" s="237" t="str">
        <f>IF(DSDV!K974&lt;&gt;"",DSDV!K974,"")</f>
        <v/>
      </c>
      <c r="D969" s="417" t="str">
        <f>IF(DSDV!W974&lt;&gt;"",DSDV!W974,"")</f>
        <v/>
      </c>
    </row>
    <row r="970" spans="1:4">
      <c r="A970" t="str">
        <f>IF(DSDV!B975&lt;&gt;"",DSDV!B975,"")</f>
        <v/>
      </c>
      <c r="B970" t="str">
        <f>IF(DSDV!G975&lt;&gt;"",DSDV!G975,"")</f>
        <v/>
      </c>
      <c r="C970" s="237" t="str">
        <f>IF(DSDV!K975&lt;&gt;"",DSDV!K975,"")</f>
        <v/>
      </c>
      <c r="D970" s="417" t="str">
        <f>IF(DSDV!W975&lt;&gt;"",DSDV!W975,"")</f>
        <v/>
      </c>
    </row>
    <row r="971" spans="1:4">
      <c r="A971" t="str">
        <f>IF(DSDV!B976&lt;&gt;"",DSDV!B976,"")</f>
        <v/>
      </c>
      <c r="B971" t="str">
        <f>IF(DSDV!G976&lt;&gt;"",DSDV!G976,"")</f>
        <v/>
      </c>
      <c r="C971" s="237" t="str">
        <f>IF(DSDV!K976&lt;&gt;"",DSDV!K976,"")</f>
        <v/>
      </c>
      <c r="D971" s="417" t="str">
        <f>IF(DSDV!W976&lt;&gt;"",DSDV!W976,"")</f>
        <v/>
      </c>
    </row>
    <row r="972" spans="1:4">
      <c r="A972" t="str">
        <f>IF(DSDV!B977&lt;&gt;"",DSDV!B977,"")</f>
        <v/>
      </c>
      <c r="B972" t="str">
        <f>IF(DSDV!G977&lt;&gt;"",DSDV!G977,"")</f>
        <v/>
      </c>
      <c r="C972" s="237" t="str">
        <f>IF(DSDV!K977&lt;&gt;"",DSDV!K977,"")</f>
        <v/>
      </c>
      <c r="D972" s="417" t="str">
        <f>IF(DSDV!W977&lt;&gt;"",DSDV!W977,"")</f>
        <v/>
      </c>
    </row>
    <row r="973" spans="1:4">
      <c r="A973" t="str">
        <f>IF(DSDV!B978&lt;&gt;"",DSDV!B978,"")</f>
        <v/>
      </c>
      <c r="B973" t="str">
        <f>IF(DSDV!G978&lt;&gt;"",DSDV!G978,"")</f>
        <v/>
      </c>
      <c r="C973" s="237" t="str">
        <f>IF(DSDV!K978&lt;&gt;"",DSDV!K978,"")</f>
        <v/>
      </c>
      <c r="D973" s="417" t="str">
        <f>IF(DSDV!W978&lt;&gt;"",DSDV!W978,"")</f>
        <v/>
      </c>
    </row>
    <row r="974" spans="1:4">
      <c r="A974" t="str">
        <f>IF(DSDV!B979&lt;&gt;"",DSDV!B979,"")</f>
        <v/>
      </c>
      <c r="B974" t="str">
        <f>IF(DSDV!G979&lt;&gt;"",DSDV!G979,"")</f>
        <v/>
      </c>
      <c r="C974" s="237" t="str">
        <f>IF(DSDV!K979&lt;&gt;"",DSDV!K979,"")</f>
        <v/>
      </c>
      <c r="D974" s="417" t="str">
        <f>IF(DSDV!W979&lt;&gt;"",DSDV!W979,"")</f>
        <v/>
      </c>
    </row>
    <row r="975" spans="1:4">
      <c r="A975" t="str">
        <f>IF(DSDV!B980&lt;&gt;"",DSDV!B980,"")</f>
        <v/>
      </c>
      <c r="B975" t="str">
        <f>IF(DSDV!G980&lt;&gt;"",DSDV!G980,"")</f>
        <v/>
      </c>
      <c r="C975" s="237" t="str">
        <f>IF(DSDV!K980&lt;&gt;"",DSDV!K980,"")</f>
        <v/>
      </c>
      <c r="D975" s="417" t="str">
        <f>IF(DSDV!W980&lt;&gt;"",DSDV!W980,"")</f>
        <v/>
      </c>
    </row>
    <row r="976" spans="1:4">
      <c r="A976" t="str">
        <f>IF(DSDV!B981&lt;&gt;"",DSDV!B981,"")</f>
        <v/>
      </c>
      <c r="B976" t="str">
        <f>IF(DSDV!G981&lt;&gt;"",DSDV!G981,"")</f>
        <v/>
      </c>
      <c r="C976" s="237" t="str">
        <f>IF(DSDV!K981&lt;&gt;"",DSDV!K981,"")</f>
        <v/>
      </c>
      <c r="D976" s="417" t="str">
        <f>IF(DSDV!W981&lt;&gt;"",DSDV!W981,"")</f>
        <v/>
      </c>
    </row>
    <row r="977" spans="1:4">
      <c r="A977" t="str">
        <f>IF(DSDV!B982&lt;&gt;"",DSDV!B982,"")</f>
        <v/>
      </c>
      <c r="B977" t="str">
        <f>IF(DSDV!G982&lt;&gt;"",DSDV!G982,"")</f>
        <v/>
      </c>
      <c r="C977" s="237" t="str">
        <f>IF(DSDV!K982&lt;&gt;"",DSDV!K982,"")</f>
        <v/>
      </c>
      <c r="D977" s="417" t="str">
        <f>IF(DSDV!W982&lt;&gt;"",DSDV!W982,"")</f>
        <v/>
      </c>
    </row>
    <row r="978" spans="1:4">
      <c r="A978" t="str">
        <f>IF(DSDV!B983&lt;&gt;"",DSDV!B983,"")</f>
        <v/>
      </c>
      <c r="B978" t="str">
        <f>IF(DSDV!G983&lt;&gt;"",DSDV!G983,"")</f>
        <v/>
      </c>
      <c r="C978" s="237" t="str">
        <f>IF(DSDV!K983&lt;&gt;"",DSDV!K983,"")</f>
        <v/>
      </c>
      <c r="D978" s="417" t="str">
        <f>IF(DSDV!W983&lt;&gt;"",DSDV!W983,"")</f>
        <v/>
      </c>
    </row>
    <row r="979" spans="1:4">
      <c r="A979" t="str">
        <f>IF(DSDV!B984&lt;&gt;"",DSDV!B984,"")</f>
        <v/>
      </c>
      <c r="B979" t="str">
        <f>IF(DSDV!G984&lt;&gt;"",DSDV!G984,"")</f>
        <v/>
      </c>
      <c r="C979" s="237" t="str">
        <f>IF(DSDV!K984&lt;&gt;"",DSDV!K984,"")</f>
        <v/>
      </c>
      <c r="D979" s="417" t="str">
        <f>IF(DSDV!W984&lt;&gt;"",DSDV!W984,"")</f>
        <v/>
      </c>
    </row>
    <row r="980" spans="1:4">
      <c r="A980" t="str">
        <f>IF(DSDV!B985&lt;&gt;"",DSDV!B985,"")</f>
        <v/>
      </c>
      <c r="B980" t="str">
        <f>IF(DSDV!G985&lt;&gt;"",DSDV!G985,"")</f>
        <v/>
      </c>
      <c r="C980" s="237" t="str">
        <f>IF(DSDV!K985&lt;&gt;"",DSDV!K985,"")</f>
        <v/>
      </c>
      <c r="D980" s="417" t="str">
        <f>IF(DSDV!W985&lt;&gt;"",DSDV!W985,"")</f>
        <v/>
      </c>
    </row>
    <row r="981" spans="1:4">
      <c r="A981" t="str">
        <f>IF(DSDV!B986&lt;&gt;"",DSDV!B986,"")</f>
        <v/>
      </c>
      <c r="B981" t="str">
        <f>IF(DSDV!G986&lt;&gt;"",DSDV!G986,"")</f>
        <v/>
      </c>
      <c r="C981" s="237" t="str">
        <f>IF(DSDV!K986&lt;&gt;"",DSDV!K986,"")</f>
        <v/>
      </c>
      <c r="D981" s="417" t="str">
        <f>IF(DSDV!W986&lt;&gt;"",DSDV!W986,"")</f>
        <v/>
      </c>
    </row>
    <row r="982" spans="1:4">
      <c r="A982" t="str">
        <f>IF(DSDV!B987&lt;&gt;"",DSDV!B987,"")</f>
        <v/>
      </c>
      <c r="B982" t="str">
        <f>IF(DSDV!G987&lt;&gt;"",DSDV!G987,"")</f>
        <v/>
      </c>
      <c r="C982" s="237" t="str">
        <f>IF(DSDV!K987&lt;&gt;"",DSDV!K987,"")</f>
        <v/>
      </c>
      <c r="D982" s="417" t="str">
        <f>IF(DSDV!W987&lt;&gt;"",DSDV!W987,"")</f>
        <v/>
      </c>
    </row>
    <row r="983" spans="1:4">
      <c r="A983" t="str">
        <f>IF(DSDV!B988&lt;&gt;"",DSDV!B988,"")</f>
        <v/>
      </c>
      <c r="B983" t="str">
        <f>IF(DSDV!G988&lt;&gt;"",DSDV!G988,"")</f>
        <v/>
      </c>
      <c r="C983" s="237" t="str">
        <f>IF(DSDV!K988&lt;&gt;"",DSDV!K988,"")</f>
        <v/>
      </c>
      <c r="D983" s="417" t="str">
        <f>IF(DSDV!W988&lt;&gt;"",DSDV!W988,"")</f>
        <v/>
      </c>
    </row>
    <row r="984" spans="1:4">
      <c r="A984" t="str">
        <f>IF(DSDV!B989&lt;&gt;"",DSDV!B989,"")</f>
        <v/>
      </c>
      <c r="B984" t="str">
        <f>IF(DSDV!G989&lt;&gt;"",DSDV!G989,"")</f>
        <v/>
      </c>
      <c r="C984" s="237" t="str">
        <f>IF(DSDV!K989&lt;&gt;"",DSDV!K989,"")</f>
        <v/>
      </c>
      <c r="D984" s="417" t="str">
        <f>IF(DSDV!W989&lt;&gt;"",DSDV!W989,"")</f>
        <v/>
      </c>
    </row>
    <row r="985" spans="1:4">
      <c r="A985" t="str">
        <f>IF(DSDV!B990&lt;&gt;"",DSDV!B990,"")</f>
        <v/>
      </c>
      <c r="B985" t="str">
        <f>IF(DSDV!G990&lt;&gt;"",DSDV!G990,"")</f>
        <v/>
      </c>
      <c r="C985" s="237" t="str">
        <f>IF(DSDV!K990&lt;&gt;"",DSDV!K990,"")</f>
        <v/>
      </c>
      <c r="D985" s="417" t="str">
        <f>IF(DSDV!W990&lt;&gt;"",DSDV!W990,"")</f>
        <v/>
      </c>
    </row>
    <row r="986" spans="1:4">
      <c r="A986" t="str">
        <f>IF(DSDV!B991&lt;&gt;"",DSDV!B991,"")</f>
        <v/>
      </c>
      <c r="B986" t="str">
        <f>IF(DSDV!G991&lt;&gt;"",DSDV!G991,"")</f>
        <v/>
      </c>
      <c r="C986" s="237" t="str">
        <f>IF(DSDV!K991&lt;&gt;"",DSDV!K991,"")</f>
        <v/>
      </c>
      <c r="D986" s="417" t="str">
        <f>IF(DSDV!W991&lt;&gt;"",DSDV!W991,"")</f>
        <v/>
      </c>
    </row>
    <row r="987" spans="1:4">
      <c r="A987" t="str">
        <f>IF(DSDV!B992&lt;&gt;"",DSDV!B992,"")</f>
        <v/>
      </c>
      <c r="B987" t="str">
        <f>IF(DSDV!G992&lt;&gt;"",DSDV!G992,"")</f>
        <v/>
      </c>
      <c r="C987" s="237" t="str">
        <f>IF(DSDV!K992&lt;&gt;"",DSDV!K992,"")</f>
        <v/>
      </c>
      <c r="D987" s="417" t="str">
        <f>IF(DSDV!W992&lt;&gt;"",DSDV!W992,"")</f>
        <v/>
      </c>
    </row>
    <row r="988" spans="1:4">
      <c r="A988" t="str">
        <f>IF(DSDV!B993&lt;&gt;"",DSDV!B993,"")</f>
        <v/>
      </c>
      <c r="B988" t="str">
        <f>IF(DSDV!G993&lt;&gt;"",DSDV!G993,"")</f>
        <v/>
      </c>
      <c r="C988" s="237" t="str">
        <f>IF(DSDV!K993&lt;&gt;"",DSDV!K993,"")</f>
        <v/>
      </c>
      <c r="D988" s="417" t="str">
        <f>IF(DSDV!W993&lt;&gt;"",DSDV!W993,"")</f>
        <v/>
      </c>
    </row>
    <row r="989" spans="1:4">
      <c r="A989" t="str">
        <f>IF(DSDV!B994&lt;&gt;"",DSDV!B994,"")</f>
        <v/>
      </c>
      <c r="B989" t="str">
        <f>IF(DSDV!G994&lt;&gt;"",DSDV!G994,"")</f>
        <v/>
      </c>
      <c r="C989" s="237" t="str">
        <f>IF(DSDV!K994&lt;&gt;"",DSDV!K994,"")</f>
        <v/>
      </c>
      <c r="D989" s="417" t="str">
        <f>IF(DSDV!W994&lt;&gt;"",DSDV!W994,"")</f>
        <v/>
      </c>
    </row>
    <row r="990" spans="1:4">
      <c r="A990" t="str">
        <f>IF(DSDV!B995&lt;&gt;"",DSDV!B995,"")</f>
        <v/>
      </c>
      <c r="B990" t="str">
        <f>IF(DSDV!G995&lt;&gt;"",DSDV!G995,"")</f>
        <v/>
      </c>
      <c r="C990" s="237" t="str">
        <f>IF(DSDV!K995&lt;&gt;"",DSDV!K995,"")</f>
        <v/>
      </c>
      <c r="D990" s="417" t="str">
        <f>IF(DSDV!W995&lt;&gt;"",DSDV!W995,"")</f>
        <v/>
      </c>
    </row>
    <row r="991" spans="1:4">
      <c r="A991" t="str">
        <f>IF(DSDV!B996&lt;&gt;"",DSDV!B996,"")</f>
        <v/>
      </c>
      <c r="B991" t="str">
        <f>IF(DSDV!G996&lt;&gt;"",DSDV!G996,"")</f>
        <v/>
      </c>
      <c r="C991" s="237" t="str">
        <f>IF(DSDV!K996&lt;&gt;"",DSDV!K996,"")</f>
        <v/>
      </c>
      <c r="D991" s="417" t="str">
        <f>IF(DSDV!W996&lt;&gt;"",DSDV!W996,"")</f>
        <v/>
      </c>
    </row>
    <row r="992" spans="1:4">
      <c r="A992" t="str">
        <f>IF(DSDV!B997&lt;&gt;"",DSDV!B997,"")</f>
        <v/>
      </c>
      <c r="B992" t="str">
        <f>IF(DSDV!G997&lt;&gt;"",DSDV!G997,"")</f>
        <v/>
      </c>
      <c r="C992" s="237" t="str">
        <f>IF(DSDV!K997&lt;&gt;"",DSDV!K997,"")</f>
        <v/>
      </c>
      <c r="D992" s="417" t="str">
        <f>IF(DSDV!W997&lt;&gt;"",DSDV!W997,"")</f>
        <v/>
      </c>
    </row>
    <row r="993" spans="1:4">
      <c r="A993" t="str">
        <f>IF(DSDV!B998&lt;&gt;"",DSDV!B998,"")</f>
        <v/>
      </c>
      <c r="B993" t="str">
        <f>IF(DSDV!G998&lt;&gt;"",DSDV!G998,"")</f>
        <v/>
      </c>
      <c r="C993" s="237" t="str">
        <f>IF(DSDV!K998&lt;&gt;"",DSDV!K998,"")</f>
        <v/>
      </c>
      <c r="D993" s="417" t="str">
        <f>IF(DSDV!W998&lt;&gt;"",DSDV!W998,"")</f>
        <v/>
      </c>
    </row>
    <row r="994" spans="1:4">
      <c r="A994" t="str">
        <f>IF(DSDV!B999&lt;&gt;"",DSDV!B999,"")</f>
        <v/>
      </c>
      <c r="B994" t="str">
        <f>IF(DSDV!G999&lt;&gt;"",DSDV!G999,"")</f>
        <v/>
      </c>
      <c r="C994" s="237" t="str">
        <f>IF(DSDV!K999&lt;&gt;"",DSDV!K999,"")</f>
        <v/>
      </c>
      <c r="D994" s="417" t="str">
        <f>IF(DSDV!W999&lt;&gt;"",DSDV!W999,"")</f>
        <v/>
      </c>
    </row>
    <row r="995" spans="1:4">
      <c r="A995" t="str">
        <f>IF(DSDV!B1000&lt;&gt;"",DSDV!B1000,"")</f>
        <v/>
      </c>
      <c r="B995" t="str">
        <f>IF(DSDV!G1000&lt;&gt;"",DSDV!G1000,"")</f>
        <v/>
      </c>
      <c r="C995" s="237" t="str">
        <f>IF(DSDV!K1000&lt;&gt;"",DSDV!K1000,"")</f>
        <v/>
      </c>
      <c r="D995" s="417" t="str">
        <f>IF(DSDV!W1000&lt;&gt;"",DSDV!W1000,"")</f>
        <v/>
      </c>
    </row>
    <row r="996" spans="1:4">
      <c r="A996" t="str">
        <f>IF(DSDV!B1001&lt;&gt;"",DSDV!B1001,"")</f>
        <v/>
      </c>
      <c r="B996" t="str">
        <f>IF(DSDV!G1001&lt;&gt;"",DSDV!G1001,"")</f>
        <v/>
      </c>
      <c r="C996" s="237" t="str">
        <f>IF(DSDV!K1001&lt;&gt;"",DSDV!K1001,"")</f>
        <v/>
      </c>
      <c r="D996" s="417" t="str">
        <f>IF(DSDV!W1001&lt;&gt;"",DSDV!W1001,"")</f>
        <v/>
      </c>
    </row>
    <row r="997" spans="1:4">
      <c r="A997" t="str">
        <f>IF(DSDV!B1002&lt;&gt;"",DSDV!B1002,"")</f>
        <v/>
      </c>
      <c r="B997" t="str">
        <f>IF(DSDV!G1002&lt;&gt;"",DSDV!G1002,"")</f>
        <v/>
      </c>
      <c r="C997" s="237" t="str">
        <f>IF(DSDV!K1002&lt;&gt;"",DSDV!K1002,"")</f>
        <v/>
      </c>
      <c r="D997" s="417" t="str">
        <f>IF(DSDV!W1002&lt;&gt;"",DSDV!W1002,"")</f>
        <v/>
      </c>
    </row>
    <row r="998" spans="1:4">
      <c r="A998" t="str">
        <f>IF(DSDV!B1003&lt;&gt;"",DSDV!B1003,"")</f>
        <v/>
      </c>
      <c r="B998" t="str">
        <f>IF(DSDV!G1003&lt;&gt;"",DSDV!G1003,"")</f>
        <v/>
      </c>
      <c r="C998" s="237" t="str">
        <f>IF(DSDV!K1003&lt;&gt;"",DSDV!K1003,"")</f>
        <v/>
      </c>
      <c r="D998" s="417" t="str">
        <f>IF(DSDV!W1003&lt;&gt;"",DSDV!W1003,"")</f>
        <v/>
      </c>
    </row>
    <row r="999" spans="1:4">
      <c r="A999" t="str">
        <f>IF(DSDV!B1004&lt;&gt;"",DSDV!B1004,"")</f>
        <v/>
      </c>
      <c r="B999" t="str">
        <f>IF(DSDV!G1004&lt;&gt;"",DSDV!G1004,"")</f>
        <v/>
      </c>
      <c r="C999" s="237" t="str">
        <f>IF(DSDV!K1004&lt;&gt;"",DSDV!K1004,"")</f>
        <v/>
      </c>
      <c r="D999" s="417" t="str">
        <f>IF(DSDV!W1004&lt;&gt;"",DSDV!W1004,"")</f>
        <v/>
      </c>
    </row>
    <row r="1000" spans="1:4">
      <c r="A1000" t="str">
        <f>IF(DSDV!B1005&lt;&gt;"",DSDV!B1005,"")</f>
        <v/>
      </c>
      <c r="B1000" t="str">
        <f>IF(DSDV!G1005&lt;&gt;"",DSDV!G1005,"")</f>
        <v/>
      </c>
      <c r="C1000" s="237" t="str">
        <f>IF(DSDV!K1005&lt;&gt;"",DSDV!K1005,"")</f>
        <v/>
      </c>
      <c r="D1000" s="417" t="str">
        <f>IF(DSDV!W1005&lt;&gt;"",DSDV!W1005,"")</f>
        <v/>
      </c>
    </row>
    <row r="1001" spans="1:4">
      <c r="A1001" t="str">
        <f>IF(DSDV!B1006&lt;&gt;"",DSDV!B1006,"")</f>
        <v/>
      </c>
      <c r="B1001" t="str">
        <f>IF(DSDV!G1006&lt;&gt;"",DSDV!G1006,"")</f>
        <v/>
      </c>
      <c r="C1001" s="237" t="str">
        <f>IF(DSDV!K1006&lt;&gt;"",DSDV!K1006,"")</f>
        <v/>
      </c>
      <c r="D1001" s="417" t="str">
        <f>IF(DSDV!W1006&lt;&gt;"",DSDV!W1006,"")</f>
        <v/>
      </c>
    </row>
    <row r="1002" spans="1:4">
      <c r="A1002" t="str">
        <f>IF(DSDV!B1007&lt;&gt;"",DSDV!B1007,"")</f>
        <v/>
      </c>
      <c r="B1002" t="str">
        <f>IF(DSDV!G1007&lt;&gt;"",DSDV!G1007,"")</f>
        <v/>
      </c>
      <c r="C1002" s="237" t="str">
        <f>IF(DSDV!K1007&lt;&gt;"",DSDV!K1007,"")</f>
        <v/>
      </c>
      <c r="D1002" s="417" t="str">
        <f>IF(DSDV!W1007&lt;&gt;"",DSDV!W1007,"")</f>
        <v/>
      </c>
    </row>
    <row r="1003" spans="1:4">
      <c r="A1003" t="str">
        <f>IF(DSDV!B1008&lt;&gt;"",DSDV!B1008,"")</f>
        <v/>
      </c>
      <c r="B1003" t="str">
        <f>IF(DSDV!G1008&lt;&gt;"",DSDV!G1008,"")</f>
        <v/>
      </c>
      <c r="C1003" s="237" t="str">
        <f>IF(DSDV!K1008&lt;&gt;"",DSDV!K1008,"")</f>
        <v/>
      </c>
      <c r="D1003" s="417" t="str">
        <f>IF(DSDV!W1008&lt;&gt;"",DSDV!W1008,"")</f>
        <v/>
      </c>
    </row>
    <row r="1004" spans="1:4">
      <c r="A1004" t="str">
        <f>IF(DSDV!B1009&lt;&gt;"",DSDV!B1009,"")</f>
        <v/>
      </c>
      <c r="B1004" t="str">
        <f>IF(DSDV!G1009&lt;&gt;"",DSDV!G1009,"")</f>
        <v/>
      </c>
      <c r="C1004" s="237" t="str">
        <f>IF(DSDV!K1009&lt;&gt;"",DSDV!K1009,"")</f>
        <v/>
      </c>
      <c r="D1004" s="417" t="str">
        <f>IF(DSDV!W1009&lt;&gt;"",DSDV!W1009,"")</f>
        <v/>
      </c>
    </row>
    <row r="1005" spans="1:4">
      <c r="A1005" t="str">
        <f>IF(DSDV!B1010&lt;&gt;"",DSDV!B1010,"")</f>
        <v/>
      </c>
      <c r="B1005" t="str">
        <f>IF(DSDV!G1010&lt;&gt;"",DSDV!G1010,"")</f>
        <v/>
      </c>
      <c r="C1005" s="237" t="str">
        <f>IF(DSDV!K1010&lt;&gt;"",DSDV!K1010,"")</f>
        <v/>
      </c>
      <c r="D1005" s="417" t="str">
        <f>IF(DSDV!W1010&lt;&gt;"",DSDV!W1010,"")</f>
        <v/>
      </c>
    </row>
    <row r="1006" spans="1:4">
      <c r="A1006" t="str">
        <f>IF(DSDV!B1011&lt;&gt;"",DSDV!B1011,"")</f>
        <v/>
      </c>
      <c r="B1006" t="str">
        <f>IF(DSDV!G1011&lt;&gt;"",DSDV!G1011,"")</f>
        <v/>
      </c>
      <c r="C1006" s="237" t="str">
        <f>IF(DSDV!K1011&lt;&gt;"",DSDV!K1011,"")</f>
        <v/>
      </c>
      <c r="D1006" s="417" t="str">
        <f>IF(DSDV!W1011&lt;&gt;"",DSDV!W1011,"")</f>
        <v/>
      </c>
    </row>
    <row r="1007" spans="1:4">
      <c r="A1007" t="str">
        <f>IF(DSDV!B1012&lt;&gt;"",DSDV!B1012,"")</f>
        <v/>
      </c>
      <c r="B1007" t="str">
        <f>IF(DSDV!G1012&lt;&gt;"",DSDV!G1012,"")</f>
        <v/>
      </c>
      <c r="C1007" s="237" t="str">
        <f>IF(DSDV!K1012&lt;&gt;"",DSDV!K1012,"")</f>
        <v/>
      </c>
      <c r="D1007" s="417" t="str">
        <f>IF(DSDV!W1012&lt;&gt;"",DSDV!W1012,"")</f>
        <v/>
      </c>
    </row>
    <row r="1008" spans="1:4">
      <c r="A1008" t="str">
        <f>IF(DSDV!B1013&lt;&gt;"",DSDV!B1013,"")</f>
        <v/>
      </c>
      <c r="B1008" t="str">
        <f>IF(DSDV!G1013&lt;&gt;"",DSDV!G1013,"")</f>
        <v/>
      </c>
      <c r="C1008" s="237" t="str">
        <f>IF(DSDV!K1013&lt;&gt;"",DSDV!K1013,"")</f>
        <v/>
      </c>
      <c r="D1008" s="417" t="str">
        <f>IF(DSDV!W1013&lt;&gt;"",DSDV!W1013,"")</f>
        <v/>
      </c>
    </row>
    <row r="1009" spans="1:4">
      <c r="A1009" t="str">
        <f>IF(DSDV!B1014&lt;&gt;"",DSDV!B1014,"")</f>
        <v/>
      </c>
      <c r="B1009" t="str">
        <f>IF(DSDV!G1014&lt;&gt;"",DSDV!G1014,"")</f>
        <v/>
      </c>
      <c r="C1009" s="237" t="str">
        <f>IF(DSDV!K1014&lt;&gt;"",DSDV!K1014,"")</f>
        <v/>
      </c>
      <c r="D1009" s="417" t="str">
        <f>IF(DSDV!W1014&lt;&gt;"",DSDV!W1014,"")</f>
        <v/>
      </c>
    </row>
    <row r="1010" spans="1:4">
      <c r="A1010" t="str">
        <f>IF(DSDV!B1015&lt;&gt;"",DSDV!B1015,"")</f>
        <v/>
      </c>
      <c r="B1010" t="str">
        <f>IF(DSDV!G1015&lt;&gt;"",DSDV!G1015,"")</f>
        <v/>
      </c>
      <c r="C1010" s="237" t="str">
        <f>IF(DSDV!K1015&lt;&gt;"",DSDV!K1015,"")</f>
        <v/>
      </c>
      <c r="D1010" s="417" t="str">
        <f>IF(DSDV!W1015&lt;&gt;"",DSDV!W1015,"")</f>
        <v/>
      </c>
    </row>
    <row r="1011" spans="1:4">
      <c r="A1011" t="str">
        <f>IF(DSDV!B1016&lt;&gt;"",DSDV!B1016,"")</f>
        <v/>
      </c>
      <c r="B1011" t="str">
        <f>IF(DSDV!G1016&lt;&gt;"",DSDV!G1016,"")</f>
        <v/>
      </c>
      <c r="C1011" s="237" t="str">
        <f>IF(DSDV!K1016&lt;&gt;"",DSDV!K1016,"")</f>
        <v/>
      </c>
      <c r="D1011" s="417" t="str">
        <f>IF(DSDV!W1016&lt;&gt;"",DSDV!W1016,"")</f>
        <v/>
      </c>
    </row>
    <row r="1012" spans="1:4">
      <c r="A1012" t="str">
        <f>IF(DSDV!B1017&lt;&gt;"",DSDV!B1017,"")</f>
        <v/>
      </c>
      <c r="B1012" t="str">
        <f>IF(DSDV!G1017&lt;&gt;"",DSDV!G1017,"")</f>
        <v/>
      </c>
      <c r="C1012" s="237" t="str">
        <f>IF(DSDV!K1017&lt;&gt;"",DSDV!K1017,"")</f>
        <v/>
      </c>
      <c r="D1012" s="417" t="str">
        <f>IF(DSDV!W1017&lt;&gt;"",DSDV!W1017,"")</f>
        <v/>
      </c>
    </row>
    <row r="1013" spans="1:4">
      <c r="A1013" t="str">
        <f>IF(DSDV!B1018&lt;&gt;"",DSDV!B1018,"")</f>
        <v/>
      </c>
      <c r="B1013" t="str">
        <f>IF(DSDV!G1018&lt;&gt;"",DSDV!G1018,"")</f>
        <v/>
      </c>
      <c r="C1013" s="237" t="str">
        <f>IF(DSDV!K1018&lt;&gt;"",DSDV!K1018,"")</f>
        <v/>
      </c>
      <c r="D1013" s="417" t="str">
        <f>IF(DSDV!W1018&lt;&gt;"",DSDV!W1018,"")</f>
        <v/>
      </c>
    </row>
    <row r="1014" spans="1:4">
      <c r="A1014" t="str">
        <f>IF(DSDV!B1019&lt;&gt;"",DSDV!B1019,"")</f>
        <v/>
      </c>
      <c r="B1014" t="str">
        <f>IF(DSDV!G1019&lt;&gt;"",DSDV!G1019,"")</f>
        <v/>
      </c>
      <c r="C1014" s="237" t="str">
        <f>IF(DSDV!K1019&lt;&gt;"",DSDV!K1019,"")</f>
        <v/>
      </c>
      <c r="D1014" s="417" t="str">
        <f>IF(DSDV!W1019&lt;&gt;"",DSDV!W1019,"")</f>
        <v/>
      </c>
    </row>
    <row r="1015" spans="1:4">
      <c r="A1015" t="str">
        <f>IF(DSDV!B1020&lt;&gt;"",DSDV!B1020,"")</f>
        <v/>
      </c>
      <c r="B1015" t="str">
        <f>IF(DSDV!G1020&lt;&gt;"",DSDV!G1020,"")</f>
        <v/>
      </c>
      <c r="C1015" s="237" t="str">
        <f>IF(DSDV!K1020&lt;&gt;"",DSDV!K1020,"")</f>
        <v/>
      </c>
      <c r="D1015" s="417" t="str">
        <f>IF(DSDV!W1020&lt;&gt;"",DSDV!W1020,"")</f>
        <v/>
      </c>
    </row>
    <row r="1016" spans="1:4">
      <c r="A1016" t="str">
        <f>IF(DSDV!B1021&lt;&gt;"",DSDV!B1021,"")</f>
        <v/>
      </c>
      <c r="B1016" t="str">
        <f>IF(DSDV!G1021&lt;&gt;"",DSDV!G1021,"")</f>
        <v/>
      </c>
      <c r="C1016" s="237" t="str">
        <f>IF(DSDV!K1021&lt;&gt;"",DSDV!K1021,"")</f>
        <v/>
      </c>
      <c r="D1016" s="417" t="str">
        <f>IF(DSDV!W1021&lt;&gt;"",DSDV!W1021,"")</f>
        <v/>
      </c>
    </row>
    <row r="1017" spans="1:4">
      <c r="A1017" t="str">
        <f>IF(DSDV!B1022&lt;&gt;"",DSDV!B1022,"")</f>
        <v/>
      </c>
      <c r="B1017" t="str">
        <f>IF(DSDV!G1022&lt;&gt;"",DSDV!G1022,"")</f>
        <v/>
      </c>
      <c r="C1017" s="237" t="str">
        <f>IF(DSDV!K1022&lt;&gt;"",DSDV!K1022,"")</f>
        <v/>
      </c>
      <c r="D1017" s="417" t="str">
        <f>IF(DSDV!W1022&lt;&gt;"",DSDV!W1022,"")</f>
        <v/>
      </c>
    </row>
    <row r="1018" spans="1:4">
      <c r="A1018" t="str">
        <f>IF(DSDV!B1023&lt;&gt;"",DSDV!B1023,"")</f>
        <v/>
      </c>
      <c r="B1018" t="str">
        <f>IF(DSDV!G1023&lt;&gt;"",DSDV!G1023,"")</f>
        <v/>
      </c>
      <c r="C1018" s="237" t="str">
        <f>IF(DSDV!K1023&lt;&gt;"",DSDV!K1023,"")</f>
        <v/>
      </c>
      <c r="D1018" s="417" t="str">
        <f>IF(DSDV!W1023&lt;&gt;"",DSDV!W1023,"")</f>
        <v/>
      </c>
    </row>
    <row r="1019" spans="1:4">
      <c r="A1019" t="str">
        <f>IF(DSDV!B1024&lt;&gt;"",DSDV!B1024,"")</f>
        <v/>
      </c>
      <c r="B1019" t="str">
        <f>IF(DSDV!G1024&lt;&gt;"",DSDV!G1024,"")</f>
        <v/>
      </c>
      <c r="C1019" s="237" t="str">
        <f>IF(DSDV!K1024&lt;&gt;"",DSDV!K1024,"")</f>
        <v/>
      </c>
      <c r="D1019" s="417" t="str">
        <f>IF(DSDV!W1024&lt;&gt;"",DSDV!W1024,"")</f>
        <v/>
      </c>
    </row>
    <row r="1020" spans="1:4">
      <c r="A1020" t="str">
        <f>IF(DSDV!B1025&lt;&gt;"",DSDV!B1025,"")</f>
        <v/>
      </c>
      <c r="B1020" t="str">
        <f>IF(DSDV!G1025&lt;&gt;"",DSDV!G1025,"")</f>
        <v/>
      </c>
      <c r="C1020" s="237" t="str">
        <f>IF(DSDV!K1025&lt;&gt;"",DSDV!K1025,"")</f>
        <v/>
      </c>
      <c r="D1020" s="417" t="str">
        <f>IF(DSDV!W1025&lt;&gt;"",DSDV!W1025,"")</f>
        <v/>
      </c>
    </row>
    <row r="1021" spans="1:4">
      <c r="A1021" t="str">
        <f>IF(DSDV!B1026&lt;&gt;"",DSDV!B1026,"")</f>
        <v/>
      </c>
      <c r="B1021" t="str">
        <f>IF(DSDV!G1026&lt;&gt;"",DSDV!G1026,"")</f>
        <v/>
      </c>
      <c r="C1021" s="237" t="str">
        <f>IF(DSDV!K1026&lt;&gt;"",DSDV!K1026,"")</f>
        <v/>
      </c>
      <c r="D1021" s="417" t="str">
        <f>IF(DSDV!W1026&lt;&gt;"",DSDV!W1026,"")</f>
        <v/>
      </c>
    </row>
    <row r="1022" spans="1:4">
      <c r="A1022" t="str">
        <f>IF(DSDV!B1027&lt;&gt;"",DSDV!B1027,"")</f>
        <v/>
      </c>
      <c r="B1022" t="str">
        <f>IF(DSDV!G1027&lt;&gt;"",DSDV!G1027,"")</f>
        <v/>
      </c>
      <c r="C1022" s="237" t="str">
        <f>IF(DSDV!K1027&lt;&gt;"",DSDV!K1027,"")</f>
        <v/>
      </c>
      <c r="D1022" s="417" t="str">
        <f>IF(DSDV!W1027&lt;&gt;"",DSDV!W1027,"")</f>
        <v/>
      </c>
    </row>
    <row r="1023" spans="1:4">
      <c r="A1023" t="str">
        <f>IF(DSDV!B1028&lt;&gt;"",DSDV!B1028,"")</f>
        <v/>
      </c>
      <c r="B1023" t="str">
        <f>IF(DSDV!G1028&lt;&gt;"",DSDV!G1028,"")</f>
        <v/>
      </c>
      <c r="C1023" s="237" t="str">
        <f>IF(DSDV!K1028&lt;&gt;"",DSDV!K1028,"")</f>
        <v/>
      </c>
      <c r="D1023" s="417" t="str">
        <f>IF(DSDV!W1028&lt;&gt;"",DSDV!W1028,"")</f>
        <v/>
      </c>
    </row>
    <row r="1024" spans="1:4">
      <c r="A1024" t="str">
        <f>IF(DSDV!B1029&lt;&gt;"",DSDV!B1029,"")</f>
        <v/>
      </c>
      <c r="B1024" t="str">
        <f>IF(DSDV!G1029&lt;&gt;"",DSDV!G1029,"")</f>
        <v/>
      </c>
      <c r="C1024" s="237" t="str">
        <f>IF(DSDV!K1029&lt;&gt;"",DSDV!K1029,"")</f>
        <v/>
      </c>
      <c r="D1024" s="417" t="str">
        <f>IF(DSDV!W1029&lt;&gt;"",DSDV!W1029,"")</f>
        <v/>
      </c>
    </row>
    <row r="1025" spans="1:4">
      <c r="A1025" t="str">
        <f>IF(DSDV!B1030&lt;&gt;"",DSDV!B1030,"")</f>
        <v/>
      </c>
      <c r="B1025" t="str">
        <f>IF(DSDV!G1030&lt;&gt;"",DSDV!G1030,"")</f>
        <v/>
      </c>
      <c r="C1025" s="237" t="str">
        <f>IF(DSDV!K1030&lt;&gt;"",DSDV!K1030,"")</f>
        <v/>
      </c>
      <c r="D1025" s="417" t="str">
        <f>IF(DSDV!W1030&lt;&gt;"",DSDV!W1030,"")</f>
        <v/>
      </c>
    </row>
    <row r="1026" spans="1:4">
      <c r="A1026" t="str">
        <f>IF(DSDV!B1031&lt;&gt;"",DSDV!B1031,"")</f>
        <v/>
      </c>
      <c r="B1026" t="str">
        <f>IF(DSDV!G1031&lt;&gt;"",DSDV!G1031,"")</f>
        <v/>
      </c>
      <c r="C1026" s="237" t="str">
        <f>IF(DSDV!K1031&lt;&gt;"",DSDV!K1031,"")</f>
        <v/>
      </c>
      <c r="D1026" s="417" t="str">
        <f>IF(DSDV!W1031&lt;&gt;"",DSDV!W1031,"")</f>
        <v/>
      </c>
    </row>
    <row r="1027" spans="1:4">
      <c r="A1027" t="str">
        <f>IF(DSDV!B1032&lt;&gt;"",DSDV!B1032,"")</f>
        <v/>
      </c>
      <c r="B1027" t="str">
        <f>IF(DSDV!G1032&lt;&gt;"",DSDV!G1032,"")</f>
        <v/>
      </c>
      <c r="C1027" s="237" t="str">
        <f>IF(DSDV!K1032&lt;&gt;"",DSDV!K1032,"")</f>
        <v/>
      </c>
      <c r="D1027" s="417" t="str">
        <f>IF(DSDV!W1032&lt;&gt;"",DSDV!W1032,"")</f>
        <v/>
      </c>
    </row>
    <row r="1028" spans="1:4">
      <c r="A1028" t="str">
        <f>IF(DSDV!B1033&lt;&gt;"",DSDV!B1033,"")</f>
        <v/>
      </c>
      <c r="B1028" t="str">
        <f>IF(DSDV!G1033&lt;&gt;"",DSDV!G1033,"")</f>
        <v/>
      </c>
      <c r="C1028" s="237" t="str">
        <f>IF(DSDV!K1033&lt;&gt;"",DSDV!K1033,"")</f>
        <v/>
      </c>
      <c r="D1028" s="417" t="str">
        <f>IF(DSDV!W1033&lt;&gt;"",DSDV!W1033,"")</f>
        <v/>
      </c>
    </row>
    <row r="1029" spans="1:4">
      <c r="A1029" t="str">
        <f>IF(DSDV!B1034&lt;&gt;"",DSDV!B1034,"")</f>
        <v/>
      </c>
      <c r="B1029" t="str">
        <f>IF(DSDV!G1034&lt;&gt;"",DSDV!G1034,"")</f>
        <v/>
      </c>
      <c r="C1029" s="237" t="str">
        <f>IF(DSDV!K1034&lt;&gt;"",DSDV!K1034,"")</f>
        <v/>
      </c>
      <c r="D1029" s="417" t="str">
        <f>IF(DSDV!W1034&lt;&gt;"",DSDV!W1034,"")</f>
        <v/>
      </c>
    </row>
    <row r="1030" spans="1:4">
      <c r="A1030" t="str">
        <f>IF(DSDV!B1035&lt;&gt;"",DSDV!B1035,"")</f>
        <v/>
      </c>
      <c r="B1030" t="str">
        <f>IF(DSDV!G1035&lt;&gt;"",DSDV!G1035,"")</f>
        <v/>
      </c>
      <c r="C1030" s="237" t="str">
        <f>IF(DSDV!K1035&lt;&gt;"",DSDV!K1035,"")</f>
        <v/>
      </c>
      <c r="D1030" s="417" t="str">
        <f>IF(DSDV!W1035&lt;&gt;"",DSDV!W1035,"")</f>
        <v/>
      </c>
    </row>
    <row r="1031" spans="1:4">
      <c r="A1031" t="str">
        <f>IF(DSDV!B1036&lt;&gt;"",DSDV!B1036,"")</f>
        <v/>
      </c>
      <c r="B1031" t="str">
        <f>IF(DSDV!G1036&lt;&gt;"",DSDV!G1036,"")</f>
        <v/>
      </c>
      <c r="C1031" s="237" t="str">
        <f>IF(DSDV!K1036&lt;&gt;"",DSDV!K1036,"")</f>
        <v/>
      </c>
      <c r="D1031" s="417" t="str">
        <f>IF(DSDV!W1036&lt;&gt;"",DSDV!W1036,"")</f>
        <v/>
      </c>
    </row>
    <row r="1032" spans="1:4">
      <c r="A1032" t="str">
        <f>IF(DSDV!B1037&lt;&gt;"",DSDV!B1037,"")</f>
        <v/>
      </c>
      <c r="B1032" t="str">
        <f>IF(DSDV!G1037&lt;&gt;"",DSDV!G1037,"")</f>
        <v/>
      </c>
      <c r="C1032" s="237" t="str">
        <f>IF(DSDV!K1037&lt;&gt;"",DSDV!K1037,"")</f>
        <v/>
      </c>
      <c r="D1032" s="417" t="str">
        <f>IF(DSDV!W1037&lt;&gt;"",DSDV!W1037,"")</f>
        <v/>
      </c>
    </row>
    <row r="1033" spans="1:4">
      <c r="A1033" t="str">
        <f>IF(DSDV!B1038&lt;&gt;"",DSDV!B1038,"")</f>
        <v/>
      </c>
      <c r="B1033" t="str">
        <f>IF(DSDV!G1038&lt;&gt;"",DSDV!G1038,"")</f>
        <v/>
      </c>
      <c r="C1033" s="237" t="str">
        <f>IF(DSDV!K1038&lt;&gt;"",DSDV!K1038,"")</f>
        <v/>
      </c>
      <c r="D1033" s="417" t="str">
        <f>IF(DSDV!W1038&lt;&gt;"",DSDV!W1038,"")</f>
        <v/>
      </c>
    </row>
    <row r="1034" spans="1:4">
      <c r="A1034" t="str">
        <f>IF(DSDV!B1039&lt;&gt;"",DSDV!B1039,"")</f>
        <v/>
      </c>
      <c r="B1034" t="str">
        <f>IF(DSDV!G1039&lt;&gt;"",DSDV!G1039,"")</f>
        <v/>
      </c>
      <c r="C1034" s="237" t="str">
        <f>IF(DSDV!K1039&lt;&gt;"",DSDV!K1039,"")</f>
        <v/>
      </c>
      <c r="D1034" s="417" t="str">
        <f>IF(DSDV!W1039&lt;&gt;"",DSDV!W1039,"")</f>
        <v/>
      </c>
    </row>
    <row r="1035" spans="1:4">
      <c r="A1035" t="str">
        <f>IF(DSDV!B1040&lt;&gt;"",DSDV!B1040,"")</f>
        <v/>
      </c>
      <c r="B1035" t="str">
        <f>IF(DSDV!G1040&lt;&gt;"",DSDV!G1040,"")</f>
        <v/>
      </c>
      <c r="C1035" s="237" t="str">
        <f>IF(DSDV!K1040&lt;&gt;"",DSDV!K1040,"")</f>
        <v/>
      </c>
      <c r="D1035" s="417" t="str">
        <f>IF(DSDV!W1040&lt;&gt;"",DSDV!W1040,"")</f>
        <v/>
      </c>
    </row>
    <row r="1036" spans="1:4">
      <c r="A1036" t="str">
        <f>IF(DSDV!B1041&lt;&gt;"",DSDV!B1041,"")</f>
        <v/>
      </c>
      <c r="B1036" t="str">
        <f>IF(DSDV!G1041&lt;&gt;"",DSDV!G1041,"")</f>
        <v/>
      </c>
      <c r="C1036" s="237" t="str">
        <f>IF(DSDV!K1041&lt;&gt;"",DSDV!K1041,"")</f>
        <v/>
      </c>
      <c r="D1036" s="417" t="str">
        <f>IF(DSDV!W1041&lt;&gt;"",DSDV!W1041,"")</f>
        <v/>
      </c>
    </row>
    <row r="1037" spans="1:4">
      <c r="A1037" t="str">
        <f>IF(DSDV!B1042&lt;&gt;"",DSDV!B1042,"")</f>
        <v/>
      </c>
      <c r="B1037" t="str">
        <f>IF(DSDV!G1042&lt;&gt;"",DSDV!G1042,"")</f>
        <v/>
      </c>
      <c r="C1037" s="237" t="str">
        <f>IF(DSDV!K1042&lt;&gt;"",DSDV!K1042,"")</f>
        <v/>
      </c>
      <c r="D1037" s="417" t="str">
        <f>IF(DSDV!W1042&lt;&gt;"",DSDV!W1042,"")</f>
        <v/>
      </c>
    </row>
    <row r="1038" spans="1:4">
      <c r="A1038" t="str">
        <f>IF(DSDV!B1043&lt;&gt;"",DSDV!B1043,"")</f>
        <v/>
      </c>
      <c r="B1038" t="str">
        <f>IF(DSDV!G1043&lt;&gt;"",DSDV!G1043,"")</f>
        <v/>
      </c>
      <c r="C1038" s="237" t="str">
        <f>IF(DSDV!K1043&lt;&gt;"",DSDV!K1043,"")</f>
        <v/>
      </c>
      <c r="D1038" s="417" t="str">
        <f>IF(DSDV!W1043&lt;&gt;"",DSDV!W1043,"")</f>
        <v/>
      </c>
    </row>
    <row r="1039" spans="1:4">
      <c r="A1039" t="str">
        <f>IF(DSDV!B1044&lt;&gt;"",DSDV!B1044,"")</f>
        <v/>
      </c>
      <c r="B1039" t="str">
        <f>IF(DSDV!G1044&lt;&gt;"",DSDV!G1044,"")</f>
        <v/>
      </c>
      <c r="C1039" s="237" t="str">
        <f>IF(DSDV!K1044&lt;&gt;"",DSDV!K1044,"")</f>
        <v/>
      </c>
      <c r="D1039" s="417" t="str">
        <f>IF(DSDV!W1044&lt;&gt;"",DSDV!W1044,"")</f>
        <v/>
      </c>
    </row>
    <row r="1040" spans="1:4">
      <c r="A1040" t="str">
        <f>IF(DSDV!B1045&lt;&gt;"",DSDV!B1045,"")</f>
        <v/>
      </c>
      <c r="B1040" t="str">
        <f>IF(DSDV!G1045&lt;&gt;"",DSDV!G1045,"")</f>
        <v/>
      </c>
      <c r="C1040" s="237" t="str">
        <f>IF(DSDV!K1045&lt;&gt;"",DSDV!K1045,"")</f>
        <v/>
      </c>
      <c r="D1040" s="417" t="str">
        <f>IF(DSDV!W1045&lt;&gt;"",DSDV!W1045,"")</f>
        <v/>
      </c>
    </row>
    <row r="1041" spans="1:4">
      <c r="A1041" t="str">
        <f>IF(DSDV!B1046&lt;&gt;"",DSDV!B1046,"")</f>
        <v/>
      </c>
      <c r="B1041" t="str">
        <f>IF(DSDV!G1046&lt;&gt;"",DSDV!G1046,"")</f>
        <v/>
      </c>
      <c r="C1041" s="237" t="str">
        <f>IF(DSDV!K1046&lt;&gt;"",DSDV!K1046,"")</f>
        <v/>
      </c>
      <c r="D1041" s="417" t="str">
        <f>IF(DSDV!W1046&lt;&gt;"",DSDV!W1046,"")</f>
        <v/>
      </c>
    </row>
    <row r="1042" spans="1:4">
      <c r="A1042" t="str">
        <f>IF(DSDV!B1047&lt;&gt;"",DSDV!B1047,"")</f>
        <v/>
      </c>
      <c r="B1042" t="str">
        <f>IF(DSDV!G1047&lt;&gt;"",DSDV!G1047,"")</f>
        <v/>
      </c>
      <c r="C1042" s="237" t="str">
        <f>IF(DSDV!K1047&lt;&gt;"",DSDV!K1047,"")</f>
        <v/>
      </c>
      <c r="D1042" s="417" t="str">
        <f>IF(DSDV!W1047&lt;&gt;"",DSDV!W1047,"")</f>
        <v/>
      </c>
    </row>
    <row r="1043" spans="1:4">
      <c r="A1043" t="str">
        <f>IF(DSDV!B1048&lt;&gt;"",DSDV!B1048,"")</f>
        <v/>
      </c>
      <c r="B1043" t="str">
        <f>IF(DSDV!G1048&lt;&gt;"",DSDV!G1048,"")</f>
        <v/>
      </c>
      <c r="C1043" s="237" t="str">
        <f>IF(DSDV!K1048&lt;&gt;"",DSDV!K1048,"")</f>
        <v/>
      </c>
      <c r="D1043" s="417" t="str">
        <f>IF(DSDV!W1048&lt;&gt;"",DSDV!W1048,"")</f>
        <v/>
      </c>
    </row>
    <row r="1044" spans="1:4">
      <c r="A1044" t="str">
        <f>IF(DSDV!B1049&lt;&gt;"",DSDV!B1049,"")</f>
        <v/>
      </c>
      <c r="B1044" t="str">
        <f>IF(DSDV!G1049&lt;&gt;"",DSDV!G1049,"")</f>
        <v/>
      </c>
      <c r="C1044" s="237" t="str">
        <f>IF(DSDV!K1049&lt;&gt;"",DSDV!K1049,"")</f>
        <v/>
      </c>
      <c r="D1044" s="417" t="str">
        <f>IF(DSDV!W1049&lt;&gt;"",DSDV!W1049,"")</f>
        <v/>
      </c>
    </row>
    <row r="1045" spans="1:4">
      <c r="A1045" t="str">
        <f>IF(DSDV!B1050&lt;&gt;"",DSDV!B1050,"")</f>
        <v/>
      </c>
      <c r="B1045" t="str">
        <f>IF(DSDV!G1050&lt;&gt;"",DSDV!G1050,"")</f>
        <v/>
      </c>
      <c r="C1045" s="237" t="str">
        <f>IF(DSDV!K1050&lt;&gt;"",DSDV!K1050,"")</f>
        <v/>
      </c>
      <c r="D1045" s="417" t="str">
        <f>IF(DSDV!W1050&lt;&gt;"",DSDV!W1050,"")</f>
        <v/>
      </c>
    </row>
    <row r="1046" spans="1:4">
      <c r="A1046" t="str">
        <f>IF(DSDV!B1051&lt;&gt;"",DSDV!B1051,"")</f>
        <v/>
      </c>
      <c r="B1046" t="str">
        <f>IF(DSDV!G1051&lt;&gt;"",DSDV!G1051,"")</f>
        <v/>
      </c>
      <c r="C1046" s="237" t="str">
        <f>IF(DSDV!K1051&lt;&gt;"",DSDV!K1051,"")</f>
        <v/>
      </c>
      <c r="D1046" s="417" t="str">
        <f>IF(DSDV!W1051&lt;&gt;"",DSDV!W1051,"")</f>
        <v/>
      </c>
    </row>
    <row r="1047" spans="1:4">
      <c r="A1047" t="str">
        <f>IF(DSDV!B1052&lt;&gt;"",DSDV!B1052,"")</f>
        <v/>
      </c>
      <c r="B1047" t="str">
        <f>IF(DSDV!G1052&lt;&gt;"",DSDV!G1052,"")</f>
        <v/>
      </c>
      <c r="C1047" s="237" t="str">
        <f>IF(DSDV!K1052&lt;&gt;"",DSDV!K1052,"")</f>
        <v/>
      </c>
      <c r="D1047" s="417" t="str">
        <f>IF(DSDV!W1052&lt;&gt;"",DSDV!W1052,"")</f>
        <v/>
      </c>
    </row>
    <row r="1048" spans="1:4">
      <c r="A1048" t="str">
        <f>IF(DSDV!B1053&lt;&gt;"",DSDV!B1053,"")</f>
        <v/>
      </c>
      <c r="B1048" t="str">
        <f>IF(DSDV!G1053&lt;&gt;"",DSDV!G1053,"")</f>
        <v/>
      </c>
      <c r="C1048" s="237" t="str">
        <f>IF(DSDV!K1053&lt;&gt;"",DSDV!K1053,"")</f>
        <v/>
      </c>
      <c r="D1048" s="417" t="str">
        <f>IF(DSDV!W1053&lt;&gt;"",DSDV!W1053,"")</f>
        <v/>
      </c>
    </row>
    <row r="1049" spans="1:4">
      <c r="A1049" t="str">
        <f>IF(DSDV!B1054&lt;&gt;"",DSDV!B1054,"")</f>
        <v/>
      </c>
      <c r="B1049" t="str">
        <f>IF(DSDV!G1054&lt;&gt;"",DSDV!G1054,"")</f>
        <v/>
      </c>
      <c r="C1049" s="237" t="str">
        <f>IF(DSDV!K1054&lt;&gt;"",DSDV!K1054,"")</f>
        <v/>
      </c>
      <c r="D1049" s="417" t="str">
        <f>IF(DSDV!W1054&lt;&gt;"",DSDV!W1054,"")</f>
        <v/>
      </c>
    </row>
    <row r="1050" spans="1:4">
      <c r="A1050" t="str">
        <f>IF(DSDV!B1055&lt;&gt;"",DSDV!B1055,"")</f>
        <v/>
      </c>
      <c r="B1050" t="str">
        <f>IF(DSDV!G1055&lt;&gt;"",DSDV!G1055,"")</f>
        <v/>
      </c>
      <c r="C1050" s="237" t="str">
        <f>IF(DSDV!K1055&lt;&gt;"",DSDV!K1055,"")</f>
        <v/>
      </c>
      <c r="D1050" s="417" t="str">
        <f>IF(DSDV!W1055&lt;&gt;"",DSDV!W1055,"")</f>
        <v/>
      </c>
    </row>
    <row r="1051" spans="1:4">
      <c r="A1051" t="str">
        <f>IF(DSDV!B1056&lt;&gt;"",DSDV!B1056,"")</f>
        <v/>
      </c>
      <c r="B1051" t="str">
        <f>IF(DSDV!G1056&lt;&gt;"",DSDV!G1056,"")</f>
        <v/>
      </c>
      <c r="C1051" s="237" t="str">
        <f>IF(DSDV!K1056&lt;&gt;"",DSDV!K1056,"")</f>
        <v/>
      </c>
      <c r="D1051" s="417" t="str">
        <f>IF(DSDV!W1056&lt;&gt;"",DSDV!W1056,"")</f>
        <v/>
      </c>
    </row>
    <row r="1052" spans="1:4">
      <c r="A1052" t="str">
        <f>IF(DSDV!B1057&lt;&gt;"",DSDV!B1057,"")</f>
        <v/>
      </c>
      <c r="B1052" t="str">
        <f>IF(DSDV!G1057&lt;&gt;"",DSDV!G1057,"")</f>
        <v/>
      </c>
      <c r="C1052" s="237" t="str">
        <f>IF(DSDV!K1057&lt;&gt;"",DSDV!K1057,"")</f>
        <v/>
      </c>
      <c r="D1052" s="417" t="str">
        <f>IF(DSDV!W1057&lt;&gt;"",DSDV!W1057,"")</f>
        <v/>
      </c>
    </row>
    <row r="1053" spans="1:4">
      <c r="A1053" t="str">
        <f>IF(DSDV!B1058&lt;&gt;"",DSDV!B1058,"")</f>
        <v/>
      </c>
      <c r="B1053" t="str">
        <f>IF(DSDV!G1058&lt;&gt;"",DSDV!G1058,"")</f>
        <v/>
      </c>
      <c r="C1053" s="237" t="str">
        <f>IF(DSDV!K1058&lt;&gt;"",DSDV!K1058,"")</f>
        <v/>
      </c>
      <c r="D1053" s="417" t="str">
        <f>IF(DSDV!W1058&lt;&gt;"",DSDV!W1058,"")</f>
        <v/>
      </c>
    </row>
    <row r="1054" spans="1:4">
      <c r="A1054" t="str">
        <f>IF(DSDV!B1059&lt;&gt;"",DSDV!B1059,"")</f>
        <v/>
      </c>
      <c r="B1054" t="str">
        <f>IF(DSDV!G1059&lt;&gt;"",DSDV!G1059,"")</f>
        <v/>
      </c>
      <c r="C1054" s="237" t="str">
        <f>IF(DSDV!K1059&lt;&gt;"",DSDV!K1059,"")</f>
        <v/>
      </c>
      <c r="D1054" s="417" t="str">
        <f>IF(DSDV!W1059&lt;&gt;"",DSDV!W1059,"")</f>
        <v/>
      </c>
    </row>
    <row r="1055" spans="1:4">
      <c r="A1055" t="str">
        <f>IF(DSDV!B1060&lt;&gt;"",DSDV!B1060,"")</f>
        <v/>
      </c>
      <c r="B1055" t="str">
        <f>IF(DSDV!G1060&lt;&gt;"",DSDV!G1060,"")</f>
        <v/>
      </c>
      <c r="C1055" s="237" t="str">
        <f>IF(DSDV!K1060&lt;&gt;"",DSDV!K1060,"")</f>
        <v/>
      </c>
      <c r="D1055" s="417" t="str">
        <f>IF(DSDV!W1060&lt;&gt;"",DSDV!W1060,"")</f>
        <v/>
      </c>
    </row>
    <row r="1056" spans="1:4">
      <c r="A1056" t="str">
        <f>IF(DSDV!B1061&lt;&gt;"",DSDV!B1061,"")</f>
        <v/>
      </c>
      <c r="B1056" t="str">
        <f>IF(DSDV!G1061&lt;&gt;"",DSDV!G1061,"")</f>
        <v/>
      </c>
      <c r="C1056" s="237" t="str">
        <f>IF(DSDV!K1061&lt;&gt;"",DSDV!K1061,"")</f>
        <v/>
      </c>
      <c r="D1056" s="417" t="str">
        <f>IF(DSDV!W1061&lt;&gt;"",DSDV!W1061,"")</f>
        <v/>
      </c>
    </row>
    <row r="1057" spans="1:4">
      <c r="A1057" t="str">
        <f>IF(DSDV!B1062&lt;&gt;"",DSDV!B1062,"")</f>
        <v/>
      </c>
      <c r="B1057" t="str">
        <f>IF(DSDV!G1062&lt;&gt;"",DSDV!G1062,"")</f>
        <v/>
      </c>
      <c r="C1057" s="237" t="str">
        <f>IF(DSDV!K1062&lt;&gt;"",DSDV!K1062,"")</f>
        <v/>
      </c>
      <c r="D1057" s="417" t="str">
        <f>IF(DSDV!W1062&lt;&gt;"",DSDV!W1062,"")</f>
        <v/>
      </c>
    </row>
    <row r="1058" spans="1:4">
      <c r="A1058" t="str">
        <f>IF(DSDV!B1063&lt;&gt;"",DSDV!B1063,"")</f>
        <v/>
      </c>
      <c r="B1058" t="str">
        <f>IF(DSDV!G1063&lt;&gt;"",DSDV!G1063,"")</f>
        <v/>
      </c>
      <c r="C1058" s="237" t="str">
        <f>IF(DSDV!K1063&lt;&gt;"",DSDV!K1063,"")</f>
        <v/>
      </c>
      <c r="D1058" s="417" t="str">
        <f>IF(DSDV!W1063&lt;&gt;"",DSDV!W1063,"")</f>
        <v/>
      </c>
    </row>
    <row r="1059" spans="1:4">
      <c r="A1059" t="str">
        <f>IF(DSDV!B1064&lt;&gt;"",DSDV!B1064,"")</f>
        <v/>
      </c>
      <c r="B1059" t="str">
        <f>IF(DSDV!G1064&lt;&gt;"",DSDV!G1064,"")</f>
        <v/>
      </c>
      <c r="C1059" s="237" t="str">
        <f>IF(DSDV!K1064&lt;&gt;"",DSDV!K1064,"")</f>
        <v/>
      </c>
      <c r="D1059" s="417" t="str">
        <f>IF(DSDV!W1064&lt;&gt;"",DSDV!W1064,"")</f>
        <v/>
      </c>
    </row>
    <row r="1060" spans="1:4">
      <c r="A1060" t="str">
        <f>IF(DSDV!B1065&lt;&gt;"",DSDV!B1065,"")</f>
        <v/>
      </c>
      <c r="B1060" t="str">
        <f>IF(DSDV!G1065&lt;&gt;"",DSDV!G1065,"")</f>
        <v/>
      </c>
      <c r="C1060" s="237" t="str">
        <f>IF(DSDV!K1065&lt;&gt;"",DSDV!K1065,"")</f>
        <v/>
      </c>
      <c r="D1060" s="417" t="str">
        <f>IF(DSDV!W1065&lt;&gt;"",DSDV!W1065,"")</f>
        <v/>
      </c>
    </row>
    <row r="1061" spans="1:4">
      <c r="A1061" t="str">
        <f>IF(DSDV!B1066&lt;&gt;"",DSDV!B1066,"")</f>
        <v/>
      </c>
      <c r="B1061" t="str">
        <f>IF(DSDV!G1066&lt;&gt;"",DSDV!G1066,"")</f>
        <v/>
      </c>
      <c r="C1061" s="237" t="str">
        <f>IF(DSDV!K1066&lt;&gt;"",DSDV!K1066,"")</f>
        <v/>
      </c>
      <c r="D1061" s="417" t="str">
        <f>IF(DSDV!W1066&lt;&gt;"",DSDV!W1066,"")</f>
        <v/>
      </c>
    </row>
    <row r="1062" spans="1:4">
      <c r="A1062" t="str">
        <f>IF(DSDV!B1067&lt;&gt;"",DSDV!B1067,"")</f>
        <v/>
      </c>
      <c r="B1062" t="str">
        <f>IF(DSDV!G1067&lt;&gt;"",DSDV!G1067,"")</f>
        <v/>
      </c>
      <c r="C1062" s="237" t="str">
        <f>IF(DSDV!K1067&lt;&gt;"",DSDV!K1067,"")</f>
        <v/>
      </c>
      <c r="D1062" s="417" t="str">
        <f>IF(DSDV!W1067&lt;&gt;"",DSDV!W1067,"")</f>
        <v/>
      </c>
    </row>
    <row r="1063" spans="1:4">
      <c r="A1063" t="str">
        <f>IF(DSDV!B1068&lt;&gt;"",DSDV!B1068,"")</f>
        <v/>
      </c>
      <c r="B1063" t="str">
        <f>IF(DSDV!G1068&lt;&gt;"",DSDV!G1068,"")</f>
        <v/>
      </c>
      <c r="C1063" s="237" t="str">
        <f>IF(DSDV!K1068&lt;&gt;"",DSDV!K1068,"")</f>
        <v/>
      </c>
      <c r="D1063" s="417" t="str">
        <f>IF(DSDV!W1068&lt;&gt;"",DSDV!W1068,"")</f>
        <v/>
      </c>
    </row>
    <row r="1064" spans="1:4">
      <c r="A1064" t="str">
        <f>IF(DSDV!B1069&lt;&gt;"",DSDV!B1069,"")</f>
        <v/>
      </c>
      <c r="B1064" t="str">
        <f>IF(DSDV!G1069&lt;&gt;"",DSDV!G1069,"")</f>
        <v/>
      </c>
      <c r="C1064" s="237" t="str">
        <f>IF(DSDV!K1069&lt;&gt;"",DSDV!K1069,"")</f>
        <v/>
      </c>
      <c r="D1064" s="417" t="str">
        <f>IF(DSDV!W1069&lt;&gt;"",DSDV!W1069,"")</f>
        <v/>
      </c>
    </row>
    <row r="1065" spans="1:4">
      <c r="A1065" t="str">
        <f>IF(DSDV!B1070&lt;&gt;"",DSDV!B1070,"")</f>
        <v/>
      </c>
      <c r="B1065" t="str">
        <f>IF(DSDV!G1070&lt;&gt;"",DSDV!G1070,"")</f>
        <v/>
      </c>
      <c r="C1065" s="237" t="str">
        <f>IF(DSDV!K1070&lt;&gt;"",DSDV!K1070,"")</f>
        <v/>
      </c>
      <c r="D1065" s="417" t="str">
        <f>IF(DSDV!W1070&lt;&gt;"",DSDV!W1070,"")</f>
        <v/>
      </c>
    </row>
    <row r="1066" spans="1:4">
      <c r="A1066" t="str">
        <f>IF(DSDV!B1071&lt;&gt;"",DSDV!B1071,"")</f>
        <v/>
      </c>
      <c r="B1066" t="str">
        <f>IF(DSDV!G1071&lt;&gt;"",DSDV!G1071,"")</f>
        <v/>
      </c>
      <c r="C1066" s="237" t="str">
        <f>IF(DSDV!K1071&lt;&gt;"",DSDV!K1071,"")</f>
        <v/>
      </c>
      <c r="D1066" s="417" t="str">
        <f>IF(DSDV!W1071&lt;&gt;"",DSDV!W1071,"")</f>
        <v/>
      </c>
    </row>
    <row r="1067" spans="1:4">
      <c r="A1067" t="str">
        <f>IF(DSDV!B1072&lt;&gt;"",DSDV!B1072,"")</f>
        <v/>
      </c>
      <c r="B1067" t="str">
        <f>IF(DSDV!G1072&lt;&gt;"",DSDV!G1072,"")</f>
        <v/>
      </c>
      <c r="C1067" s="237" t="str">
        <f>IF(DSDV!K1072&lt;&gt;"",DSDV!K1072,"")</f>
        <v/>
      </c>
      <c r="D1067" s="417" t="str">
        <f>IF(DSDV!W1072&lt;&gt;"",DSDV!W1072,"")</f>
        <v/>
      </c>
    </row>
    <row r="1068" spans="1:4">
      <c r="A1068" t="str">
        <f>IF(DSDV!B1073&lt;&gt;"",DSDV!B1073,"")</f>
        <v/>
      </c>
      <c r="B1068" t="str">
        <f>IF(DSDV!G1073&lt;&gt;"",DSDV!G1073,"")</f>
        <v/>
      </c>
      <c r="C1068" s="237" t="str">
        <f>IF(DSDV!K1073&lt;&gt;"",DSDV!K1073,"")</f>
        <v/>
      </c>
      <c r="D1068" s="417" t="str">
        <f>IF(DSDV!W1073&lt;&gt;"",DSDV!W1073,"")</f>
        <v/>
      </c>
    </row>
    <row r="1069" spans="1:4">
      <c r="A1069" t="str">
        <f>IF(DSDV!B1074&lt;&gt;"",DSDV!B1074,"")</f>
        <v/>
      </c>
      <c r="B1069" t="str">
        <f>IF(DSDV!G1074&lt;&gt;"",DSDV!G1074,"")</f>
        <v/>
      </c>
      <c r="C1069" s="237" t="str">
        <f>IF(DSDV!K1074&lt;&gt;"",DSDV!K1074,"")</f>
        <v/>
      </c>
      <c r="D1069" s="417" t="str">
        <f>IF(DSDV!W1074&lt;&gt;"",DSDV!W1074,"")</f>
        <v/>
      </c>
    </row>
    <row r="1070" spans="1:4">
      <c r="A1070" t="str">
        <f>IF(DSDV!B1075&lt;&gt;"",DSDV!B1075,"")</f>
        <v/>
      </c>
      <c r="B1070" t="str">
        <f>IF(DSDV!G1075&lt;&gt;"",DSDV!G1075,"")</f>
        <v/>
      </c>
      <c r="C1070" s="237" t="str">
        <f>IF(DSDV!K1075&lt;&gt;"",DSDV!K1075,"")</f>
        <v/>
      </c>
      <c r="D1070" s="417" t="str">
        <f>IF(DSDV!W1075&lt;&gt;"",DSDV!W1075,"")</f>
        <v/>
      </c>
    </row>
    <row r="1071" spans="1:4">
      <c r="A1071" t="str">
        <f>IF(DSDV!B1076&lt;&gt;"",DSDV!B1076,"")</f>
        <v/>
      </c>
      <c r="B1071" t="str">
        <f>IF(DSDV!G1076&lt;&gt;"",DSDV!G1076,"")</f>
        <v/>
      </c>
      <c r="C1071" s="237" t="str">
        <f>IF(DSDV!K1076&lt;&gt;"",DSDV!K1076,"")</f>
        <v/>
      </c>
      <c r="D1071" s="417" t="str">
        <f>IF(DSDV!W1076&lt;&gt;"",DSDV!W1076,"")</f>
        <v/>
      </c>
    </row>
    <row r="1072" spans="1:4">
      <c r="A1072" t="str">
        <f>IF(DSDV!B1077&lt;&gt;"",DSDV!B1077,"")</f>
        <v/>
      </c>
      <c r="B1072" t="str">
        <f>IF(DSDV!G1077&lt;&gt;"",DSDV!G1077,"")</f>
        <v/>
      </c>
      <c r="C1072" s="237" t="str">
        <f>IF(DSDV!K1077&lt;&gt;"",DSDV!K1077,"")</f>
        <v/>
      </c>
      <c r="D1072" s="417" t="str">
        <f>IF(DSDV!W1077&lt;&gt;"",DSDV!W1077,"")</f>
        <v/>
      </c>
    </row>
    <row r="1073" spans="1:4">
      <c r="A1073" t="str">
        <f>IF(DSDV!B1078&lt;&gt;"",DSDV!B1078,"")</f>
        <v/>
      </c>
      <c r="B1073" t="str">
        <f>IF(DSDV!G1078&lt;&gt;"",DSDV!G1078,"")</f>
        <v/>
      </c>
      <c r="C1073" s="237" t="str">
        <f>IF(DSDV!K1078&lt;&gt;"",DSDV!K1078,"")</f>
        <v/>
      </c>
      <c r="D1073" s="417" t="str">
        <f>IF(DSDV!W1078&lt;&gt;"",DSDV!W1078,"")</f>
        <v/>
      </c>
    </row>
    <row r="1074" spans="1:4">
      <c r="A1074" t="str">
        <f>IF(DSDV!B1079&lt;&gt;"",DSDV!B1079,"")</f>
        <v/>
      </c>
      <c r="B1074" t="str">
        <f>IF(DSDV!G1079&lt;&gt;"",DSDV!G1079,"")</f>
        <v/>
      </c>
      <c r="C1074" s="237" t="str">
        <f>IF(DSDV!K1079&lt;&gt;"",DSDV!K1079,"")</f>
        <v/>
      </c>
      <c r="D1074" s="417" t="str">
        <f>IF(DSDV!W1079&lt;&gt;"",DSDV!W1079,"")</f>
        <v/>
      </c>
    </row>
    <row r="1075" spans="1:4">
      <c r="A1075" t="str">
        <f>IF(DSDV!B1080&lt;&gt;"",DSDV!B1080,"")</f>
        <v/>
      </c>
      <c r="B1075" t="str">
        <f>IF(DSDV!G1080&lt;&gt;"",DSDV!G1080,"")</f>
        <v/>
      </c>
      <c r="C1075" s="237" t="str">
        <f>IF(DSDV!K1080&lt;&gt;"",DSDV!K1080,"")</f>
        <v/>
      </c>
      <c r="D1075" s="417" t="str">
        <f>IF(DSDV!W1080&lt;&gt;"",DSDV!W1080,"")</f>
        <v/>
      </c>
    </row>
    <row r="1076" spans="1:4">
      <c r="A1076" t="str">
        <f>IF(DSDV!B1081&lt;&gt;"",DSDV!B1081,"")</f>
        <v/>
      </c>
      <c r="B1076" t="str">
        <f>IF(DSDV!G1081&lt;&gt;"",DSDV!G1081,"")</f>
        <v/>
      </c>
      <c r="C1076" s="237" t="str">
        <f>IF(DSDV!K1081&lt;&gt;"",DSDV!K1081,"")</f>
        <v/>
      </c>
      <c r="D1076" s="417" t="str">
        <f>IF(DSDV!W1081&lt;&gt;"",DSDV!W1081,"")</f>
        <v/>
      </c>
    </row>
    <row r="1077" spans="1:4">
      <c r="A1077" t="str">
        <f>IF(DSDV!B1082&lt;&gt;"",DSDV!B1082,"")</f>
        <v/>
      </c>
      <c r="B1077" t="str">
        <f>IF(DSDV!G1082&lt;&gt;"",DSDV!G1082,"")</f>
        <v/>
      </c>
      <c r="C1077" s="237" t="str">
        <f>IF(DSDV!K1082&lt;&gt;"",DSDV!K1082,"")</f>
        <v/>
      </c>
      <c r="D1077" s="417" t="str">
        <f>IF(DSDV!W1082&lt;&gt;"",DSDV!W1082,"")</f>
        <v/>
      </c>
    </row>
    <row r="1078" spans="1:4">
      <c r="A1078" t="str">
        <f>IF(DSDV!B1083&lt;&gt;"",DSDV!B1083,"")</f>
        <v/>
      </c>
      <c r="B1078" t="str">
        <f>IF(DSDV!G1083&lt;&gt;"",DSDV!G1083,"")</f>
        <v/>
      </c>
      <c r="C1078" s="237" t="str">
        <f>IF(DSDV!K1083&lt;&gt;"",DSDV!K1083,"")</f>
        <v/>
      </c>
      <c r="D1078" s="417" t="str">
        <f>IF(DSDV!W1083&lt;&gt;"",DSDV!W1083,"")</f>
        <v/>
      </c>
    </row>
    <row r="1079" spans="1:4">
      <c r="A1079" t="str">
        <f>IF(DSDV!B1084&lt;&gt;"",DSDV!B1084,"")</f>
        <v/>
      </c>
      <c r="B1079" t="str">
        <f>IF(DSDV!G1084&lt;&gt;"",DSDV!G1084,"")</f>
        <v/>
      </c>
      <c r="C1079" s="237" t="str">
        <f>IF(DSDV!K1084&lt;&gt;"",DSDV!K1084,"")</f>
        <v/>
      </c>
      <c r="D1079" s="417" t="str">
        <f>IF(DSDV!W1084&lt;&gt;"",DSDV!W1084,"")</f>
        <v/>
      </c>
    </row>
    <row r="1080" spans="1:4">
      <c r="A1080" t="str">
        <f>IF(DSDV!B1085&lt;&gt;"",DSDV!B1085,"")</f>
        <v/>
      </c>
      <c r="B1080" t="str">
        <f>IF(DSDV!G1085&lt;&gt;"",DSDV!G1085,"")</f>
        <v/>
      </c>
      <c r="C1080" s="237" t="str">
        <f>IF(DSDV!K1085&lt;&gt;"",DSDV!K1085,"")</f>
        <v/>
      </c>
      <c r="D1080" s="417" t="str">
        <f>IF(DSDV!W1085&lt;&gt;"",DSDV!W1085,"")</f>
        <v/>
      </c>
    </row>
    <row r="1081" spans="1:4">
      <c r="A1081" t="str">
        <f>IF(DSDV!B1086&lt;&gt;"",DSDV!B1086,"")</f>
        <v/>
      </c>
      <c r="B1081" t="str">
        <f>IF(DSDV!G1086&lt;&gt;"",DSDV!G1086,"")</f>
        <v/>
      </c>
      <c r="C1081" s="237" t="str">
        <f>IF(DSDV!K1086&lt;&gt;"",DSDV!K1086,"")</f>
        <v/>
      </c>
      <c r="D1081" s="417" t="str">
        <f>IF(DSDV!W1086&lt;&gt;"",DSDV!W1086,"")</f>
        <v/>
      </c>
    </row>
    <row r="1082" spans="1:4">
      <c r="A1082" t="str">
        <f>IF(DSDV!B1087&lt;&gt;"",DSDV!B1087,"")</f>
        <v/>
      </c>
      <c r="B1082" t="str">
        <f>IF(DSDV!G1087&lt;&gt;"",DSDV!G1087,"")</f>
        <v/>
      </c>
      <c r="C1082" s="237" t="str">
        <f>IF(DSDV!K1087&lt;&gt;"",DSDV!K1087,"")</f>
        <v/>
      </c>
      <c r="D1082" s="417" t="str">
        <f>IF(DSDV!W1087&lt;&gt;"",DSDV!W1087,"")</f>
        <v/>
      </c>
    </row>
    <row r="1083" spans="1:4">
      <c r="A1083" t="str">
        <f>IF(DSDV!B1088&lt;&gt;"",DSDV!B1088,"")</f>
        <v/>
      </c>
      <c r="B1083" t="str">
        <f>IF(DSDV!G1088&lt;&gt;"",DSDV!G1088,"")</f>
        <v/>
      </c>
      <c r="C1083" s="237" t="str">
        <f>IF(DSDV!K1088&lt;&gt;"",DSDV!K1088,"")</f>
        <v/>
      </c>
      <c r="D1083" s="417" t="str">
        <f>IF(DSDV!W1088&lt;&gt;"",DSDV!W1088,"")</f>
        <v/>
      </c>
    </row>
    <row r="1084" spans="1:4">
      <c r="A1084" t="str">
        <f>IF(DSDV!B1089&lt;&gt;"",DSDV!B1089,"")</f>
        <v/>
      </c>
      <c r="B1084" t="str">
        <f>IF(DSDV!G1089&lt;&gt;"",DSDV!G1089,"")</f>
        <v/>
      </c>
      <c r="C1084" s="237" t="str">
        <f>IF(DSDV!K1089&lt;&gt;"",DSDV!K1089,"")</f>
        <v/>
      </c>
      <c r="D1084" s="417" t="str">
        <f>IF(DSDV!W1089&lt;&gt;"",DSDV!W1089,"")</f>
        <v/>
      </c>
    </row>
    <row r="1085" spans="1:4">
      <c r="A1085" t="str">
        <f>IF(DSDV!B1090&lt;&gt;"",DSDV!B1090,"")</f>
        <v/>
      </c>
      <c r="B1085" t="str">
        <f>IF(DSDV!G1090&lt;&gt;"",DSDV!G1090,"")</f>
        <v/>
      </c>
      <c r="C1085" s="237" t="str">
        <f>IF(DSDV!K1090&lt;&gt;"",DSDV!K1090,"")</f>
        <v/>
      </c>
      <c r="D1085" s="417" t="str">
        <f>IF(DSDV!W1090&lt;&gt;"",DSDV!W1090,"")</f>
        <v/>
      </c>
    </row>
    <row r="1086" spans="1:4">
      <c r="A1086" t="str">
        <f>IF(DSDV!B1091&lt;&gt;"",DSDV!B1091,"")</f>
        <v/>
      </c>
      <c r="B1086" t="str">
        <f>IF(DSDV!G1091&lt;&gt;"",DSDV!G1091,"")</f>
        <v/>
      </c>
      <c r="C1086" s="237" t="str">
        <f>IF(DSDV!K1091&lt;&gt;"",DSDV!K1091,"")</f>
        <v/>
      </c>
      <c r="D1086" s="417" t="str">
        <f>IF(DSDV!W1091&lt;&gt;"",DSDV!W1091,"")</f>
        <v/>
      </c>
    </row>
    <row r="1087" spans="1:4">
      <c r="A1087" t="str">
        <f>IF(DSDV!B1092&lt;&gt;"",DSDV!B1092,"")</f>
        <v/>
      </c>
      <c r="B1087" t="str">
        <f>IF(DSDV!G1092&lt;&gt;"",DSDV!G1092,"")</f>
        <v/>
      </c>
      <c r="C1087" s="237" t="str">
        <f>IF(DSDV!K1092&lt;&gt;"",DSDV!K1092,"")</f>
        <v/>
      </c>
      <c r="D1087" s="417" t="str">
        <f>IF(DSDV!W1092&lt;&gt;"",DSDV!W1092,"")</f>
        <v/>
      </c>
    </row>
    <row r="1088" spans="1:4">
      <c r="A1088" t="str">
        <f>IF(DSDV!B1093&lt;&gt;"",DSDV!B1093,"")</f>
        <v/>
      </c>
      <c r="B1088" t="str">
        <f>IF(DSDV!G1093&lt;&gt;"",DSDV!G1093,"")</f>
        <v/>
      </c>
      <c r="C1088" s="237" t="str">
        <f>IF(DSDV!K1093&lt;&gt;"",DSDV!K1093,"")</f>
        <v/>
      </c>
      <c r="D1088" s="417" t="str">
        <f>IF(DSDV!W1093&lt;&gt;"",DSDV!W1093,"")</f>
        <v/>
      </c>
    </row>
    <row r="1089" spans="1:4">
      <c r="A1089" t="str">
        <f>IF(DSDV!B1094&lt;&gt;"",DSDV!B1094,"")</f>
        <v/>
      </c>
      <c r="B1089" t="str">
        <f>IF(DSDV!G1094&lt;&gt;"",DSDV!G1094,"")</f>
        <v/>
      </c>
      <c r="C1089" s="237" t="str">
        <f>IF(DSDV!K1094&lt;&gt;"",DSDV!K1094,"")</f>
        <v/>
      </c>
      <c r="D1089" s="417" t="str">
        <f>IF(DSDV!W1094&lt;&gt;"",DSDV!W1094,"")</f>
        <v/>
      </c>
    </row>
    <row r="1090" spans="1:4">
      <c r="A1090" t="str">
        <f>IF(DSDV!B1095&lt;&gt;"",DSDV!B1095,"")</f>
        <v/>
      </c>
      <c r="B1090" t="str">
        <f>IF(DSDV!G1095&lt;&gt;"",DSDV!G1095,"")</f>
        <v/>
      </c>
      <c r="C1090" s="237" t="str">
        <f>IF(DSDV!K1095&lt;&gt;"",DSDV!K1095,"")</f>
        <v/>
      </c>
      <c r="D1090" s="417" t="str">
        <f>IF(DSDV!W1095&lt;&gt;"",DSDV!W1095,"")</f>
        <v/>
      </c>
    </row>
    <row r="1091" spans="1:4">
      <c r="A1091" t="str">
        <f>IF(DSDV!B1096&lt;&gt;"",DSDV!B1096,"")</f>
        <v/>
      </c>
      <c r="B1091" t="str">
        <f>IF(DSDV!G1096&lt;&gt;"",DSDV!G1096,"")</f>
        <v/>
      </c>
      <c r="C1091" s="237" t="str">
        <f>IF(DSDV!K1096&lt;&gt;"",DSDV!K1096,"")</f>
        <v/>
      </c>
      <c r="D1091" s="417" t="str">
        <f>IF(DSDV!W1096&lt;&gt;"",DSDV!W1096,"")</f>
        <v/>
      </c>
    </row>
    <row r="1092" spans="1:4">
      <c r="A1092" t="str">
        <f>IF(DSDV!B1097&lt;&gt;"",DSDV!B1097,"")</f>
        <v/>
      </c>
      <c r="B1092" t="str">
        <f>IF(DSDV!G1097&lt;&gt;"",DSDV!G1097,"")</f>
        <v/>
      </c>
      <c r="C1092" s="237" t="str">
        <f>IF(DSDV!K1097&lt;&gt;"",DSDV!K1097,"")</f>
        <v/>
      </c>
      <c r="D1092" s="417" t="str">
        <f>IF(DSDV!W1097&lt;&gt;"",DSDV!W1097,"")</f>
        <v/>
      </c>
    </row>
    <row r="1093" spans="1:4">
      <c r="A1093" t="str">
        <f>IF(DSDV!B1098&lt;&gt;"",DSDV!B1098,"")</f>
        <v/>
      </c>
      <c r="B1093" t="str">
        <f>IF(DSDV!G1098&lt;&gt;"",DSDV!G1098,"")</f>
        <v/>
      </c>
      <c r="C1093" s="237" t="str">
        <f>IF(DSDV!K1098&lt;&gt;"",DSDV!K1098,"")</f>
        <v/>
      </c>
      <c r="D1093" s="417" t="str">
        <f>IF(DSDV!W1098&lt;&gt;"",DSDV!W1098,"")</f>
        <v/>
      </c>
    </row>
    <row r="1094" spans="1:4">
      <c r="A1094" t="str">
        <f>IF(DSDV!B1099&lt;&gt;"",DSDV!B1099,"")</f>
        <v/>
      </c>
      <c r="B1094" t="str">
        <f>IF(DSDV!G1099&lt;&gt;"",DSDV!G1099,"")</f>
        <v/>
      </c>
      <c r="C1094" s="237" t="str">
        <f>IF(DSDV!K1099&lt;&gt;"",DSDV!K1099,"")</f>
        <v/>
      </c>
      <c r="D1094" s="417" t="str">
        <f>IF(DSDV!W1099&lt;&gt;"",DSDV!W1099,"")</f>
        <v/>
      </c>
    </row>
    <row r="1095" spans="1:4">
      <c r="A1095" t="str">
        <f>IF(DSDV!B1100&lt;&gt;"",DSDV!B1100,"")</f>
        <v/>
      </c>
      <c r="B1095" t="str">
        <f>IF(DSDV!G1100&lt;&gt;"",DSDV!G1100,"")</f>
        <v/>
      </c>
      <c r="C1095" s="237" t="str">
        <f>IF(DSDV!K1100&lt;&gt;"",DSDV!K1100,"")</f>
        <v/>
      </c>
      <c r="D1095" s="417" t="str">
        <f>IF(DSDV!W1100&lt;&gt;"",DSDV!W1100,"")</f>
        <v/>
      </c>
    </row>
    <row r="1096" spans="1:4">
      <c r="A1096" t="str">
        <f>IF(DSDV!B1101&lt;&gt;"",DSDV!B1101,"")</f>
        <v/>
      </c>
      <c r="B1096" t="str">
        <f>IF(DSDV!G1101&lt;&gt;"",DSDV!G1101,"")</f>
        <v/>
      </c>
      <c r="C1096" s="237" t="str">
        <f>IF(DSDV!K1101&lt;&gt;"",DSDV!K1101,"")</f>
        <v/>
      </c>
      <c r="D1096" s="417" t="str">
        <f>IF(DSDV!W1101&lt;&gt;"",DSDV!W1101,"")</f>
        <v/>
      </c>
    </row>
    <row r="1097" spans="1:4">
      <c r="A1097" t="str">
        <f>IF(DSDV!B1102&lt;&gt;"",DSDV!B1102,"")</f>
        <v/>
      </c>
      <c r="B1097" t="str">
        <f>IF(DSDV!G1102&lt;&gt;"",DSDV!G1102,"")</f>
        <v/>
      </c>
      <c r="C1097" s="237" t="str">
        <f>IF(DSDV!K1102&lt;&gt;"",DSDV!K1102,"")</f>
        <v/>
      </c>
      <c r="D1097" s="417" t="str">
        <f>IF(DSDV!W1102&lt;&gt;"",DSDV!W1102,"")</f>
        <v/>
      </c>
    </row>
    <row r="1098" spans="1:4">
      <c r="A1098" t="str">
        <f>IF(DSDV!B1103&lt;&gt;"",DSDV!B1103,"")</f>
        <v/>
      </c>
      <c r="B1098" t="str">
        <f>IF(DSDV!G1103&lt;&gt;"",DSDV!G1103,"")</f>
        <v/>
      </c>
      <c r="C1098" s="237" t="str">
        <f>IF(DSDV!K1103&lt;&gt;"",DSDV!K1103,"")</f>
        <v/>
      </c>
      <c r="D1098" s="417" t="str">
        <f>IF(DSDV!W1103&lt;&gt;"",DSDV!W1103,"")</f>
        <v/>
      </c>
    </row>
    <row r="1099" spans="1:4">
      <c r="A1099" t="str">
        <f>IF(DSDV!B1104&lt;&gt;"",DSDV!B1104,"")</f>
        <v/>
      </c>
      <c r="B1099" t="str">
        <f>IF(DSDV!G1104&lt;&gt;"",DSDV!G1104,"")</f>
        <v/>
      </c>
      <c r="C1099" s="237" t="str">
        <f>IF(DSDV!K1104&lt;&gt;"",DSDV!K1104,"")</f>
        <v/>
      </c>
      <c r="D1099" s="417" t="str">
        <f>IF(DSDV!W1104&lt;&gt;"",DSDV!W1104,"")</f>
        <v/>
      </c>
    </row>
    <row r="1100" spans="1:4">
      <c r="A1100" t="str">
        <f>IF(DSDV!B1105&lt;&gt;"",DSDV!B1105,"")</f>
        <v/>
      </c>
      <c r="B1100" t="str">
        <f>IF(DSDV!G1105&lt;&gt;"",DSDV!G1105,"")</f>
        <v/>
      </c>
      <c r="C1100" s="237" t="str">
        <f>IF(DSDV!K1105&lt;&gt;"",DSDV!K1105,"")</f>
        <v/>
      </c>
      <c r="D1100" s="417" t="str">
        <f>IF(DSDV!W1105&lt;&gt;"",DSDV!W1105,"")</f>
        <v/>
      </c>
    </row>
    <row r="1101" spans="1:4">
      <c r="A1101" t="str">
        <f>IF(DSDV!B1106&lt;&gt;"",DSDV!B1106,"")</f>
        <v/>
      </c>
      <c r="B1101" t="str">
        <f>IF(DSDV!G1106&lt;&gt;"",DSDV!G1106,"")</f>
        <v/>
      </c>
      <c r="C1101" s="237" t="str">
        <f>IF(DSDV!K1106&lt;&gt;"",DSDV!K1106,"")</f>
        <v/>
      </c>
      <c r="D1101" s="417" t="str">
        <f>IF(DSDV!W1106&lt;&gt;"",DSDV!W1106,"")</f>
        <v/>
      </c>
    </row>
    <row r="1102" spans="1:4">
      <c r="A1102" t="str">
        <f>IF(DSDV!B1107&lt;&gt;"",DSDV!B1107,"")</f>
        <v/>
      </c>
      <c r="B1102" t="str">
        <f>IF(DSDV!G1107&lt;&gt;"",DSDV!G1107,"")</f>
        <v/>
      </c>
      <c r="C1102" s="237" t="str">
        <f>IF(DSDV!K1107&lt;&gt;"",DSDV!K1107,"")</f>
        <v/>
      </c>
      <c r="D1102" s="417" t="str">
        <f>IF(DSDV!W1107&lt;&gt;"",DSDV!W1107,"")</f>
        <v/>
      </c>
    </row>
    <row r="1103" spans="1:4">
      <c r="A1103" t="str">
        <f>IF(DSDV!B1108&lt;&gt;"",DSDV!B1108,"")</f>
        <v/>
      </c>
      <c r="B1103" t="str">
        <f>IF(DSDV!G1108&lt;&gt;"",DSDV!G1108,"")</f>
        <v/>
      </c>
      <c r="C1103" s="237" t="str">
        <f>IF(DSDV!K1108&lt;&gt;"",DSDV!K1108,"")</f>
        <v/>
      </c>
      <c r="D1103" s="417" t="str">
        <f>IF(DSDV!W1108&lt;&gt;"",DSDV!W1108,"")</f>
        <v/>
      </c>
    </row>
    <row r="1104" spans="1:4">
      <c r="A1104" t="str">
        <f>IF(DSDV!B1109&lt;&gt;"",DSDV!B1109,"")</f>
        <v/>
      </c>
      <c r="B1104" t="str">
        <f>IF(DSDV!G1109&lt;&gt;"",DSDV!G1109,"")</f>
        <v/>
      </c>
      <c r="C1104" s="237" t="str">
        <f>IF(DSDV!K1109&lt;&gt;"",DSDV!K1109,"")</f>
        <v/>
      </c>
      <c r="D1104" s="417" t="str">
        <f>IF(DSDV!W1109&lt;&gt;"",DSDV!W1109,"")</f>
        <v/>
      </c>
    </row>
    <row r="1105" spans="1:4">
      <c r="A1105" t="str">
        <f>IF(DSDV!B1110&lt;&gt;"",DSDV!B1110,"")</f>
        <v/>
      </c>
      <c r="B1105" t="str">
        <f>IF(DSDV!G1110&lt;&gt;"",DSDV!G1110,"")</f>
        <v/>
      </c>
      <c r="C1105" s="237" t="str">
        <f>IF(DSDV!K1110&lt;&gt;"",DSDV!K1110,"")</f>
        <v/>
      </c>
      <c r="D1105" s="417" t="str">
        <f>IF(DSDV!W1110&lt;&gt;"",DSDV!W1110,"")</f>
        <v/>
      </c>
    </row>
    <row r="1106" spans="1:4">
      <c r="A1106" t="str">
        <f>IF(DSDV!B1111&lt;&gt;"",DSDV!B1111,"")</f>
        <v/>
      </c>
      <c r="B1106" t="str">
        <f>IF(DSDV!G1111&lt;&gt;"",DSDV!G1111,"")</f>
        <v/>
      </c>
      <c r="C1106" s="237" t="str">
        <f>IF(DSDV!K1111&lt;&gt;"",DSDV!K1111,"")</f>
        <v/>
      </c>
      <c r="D1106" s="417" t="str">
        <f>IF(DSDV!W1111&lt;&gt;"",DSDV!W1111,"")</f>
        <v/>
      </c>
    </row>
    <row r="1107" spans="1:4">
      <c r="A1107" t="str">
        <f>IF(DSDV!B1112&lt;&gt;"",DSDV!B1112,"")</f>
        <v/>
      </c>
      <c r="B1107" t="str">
        <f>IF(DSDV!G1112&lt;&gt;"",DSDV!G1112,"")</f>
        <v/>
      </c>
      <c r="C1107" s="237" t="str">
        <f>IF(DSDV!K1112&lt;&gt;"",DSDV!K1112,"")</f>
        <v/>
      </c>
      <c r="D1107" s="417" t="str">
        <f>IF(DSDV!W1112&lt;&gt;"",DSDV!W1112,"")</f>
        <v/>
      </c>
    </row>
    <row r="1108" spans="1:4">
      <c r="A1108" t="str">
        <f>IF(DSDV!B1113&lt;&gt;"",DSDV!B1113,"")</f>
        <v/>
      </c>
      <c r="B1108" t="str">
        <f>IF(DSDV!G1113&lt;&gt;"",DSDV!G1113,"")</f>
        <v/>
      </c>
      <c r="C1108" s="237" t="str">
        <f>IF(DSDV!K1113&lt;&gt;"",DSDV!K1113,"")</f>
        <v/>
      </c>
      <c r="D1108" s="417" t="str">
        <f>IF(DSDV!W1113&lt;&gt;"",DSDV!W1113,"")</f>
        <v/>
      </c>
    </row>
    <row r="1109" spans="1:4">
      <c r="A1109" t="str">
        <f>IF(DSDV!B1114&lt;&gt;"",DSDV!B1114,"")</f>
        <v/>
      </c>
      <c r="B1109" t="str">
        <f>IF(DSDV!G1114&lt;&gt;"",DSDV!G1114,"")</f>
        <v/>
      </c>
      <c r="C1109" s="237" t="str">
        <f>IF(DSDV!K1114&lt;&gt;"",DSDV!K1114,"")</f>
        <v/>
      </c>
      <c r="D1109" s="417" t="str">
        <f>IF(DSDV!W1114&lt;&gt;"",DSDV!W1114,"")</f>
        <v/>
      </c>
    </row>
    <row r="1110" spans="1:4">
      <c r="A1110" t="str">
        <f>IF(DSDV!B1115&lt;&gt;"",DSDV!B1115,"")</f>
        <v/>
      </c>
      <c r="B1110" t="str">
        <f>IF(DSDV!G1115&lt;&gt;"",DSDV!G1115,"")</f>
        <v/>
      </c>
      <c r="C1110" s="237" t="str">
        <f>IF(DSDV!K1115&lt;&gt;"",DSDV!K1115,"")</f>
        <v/>
      </c>
      <c r="D1110" s="417" t="str">
        <f>IF(DSDV!W1115&lt;&gt;"",DSDV!W1115,"")</f>
        <v/>
      </c>
    </row>
    <row r="1111" spans="1:4">
      <c r="A1111" t="str">
        <f>IF(DSDV!B1116&lt;&gt;"",DSDV!B1116,"")</f>
        <v/>
      </c>
      <c r="B1111" t="str">
        <f>IF(DSDV!G1116&lt;&gt;"",DSDV!G1116,"")</f>
        <v/>
      </c>
      <c r="C1111" s="237" t="str">
        <f>IF(DSDV!K1116&lt;&gt;"",DSDV!K1116,"")</f>
        <v/>
      </c>
      <c r="D1111" s="417" t="str">
        <f>IF(DSDV!W1116&lt;&gt;"",DSDV!W1116,"")</f>
        <v/>
      </c>
    </row>
    <row r="1112" spans="1:4">
      <c r="A1112" t="str">
        <f>IF(DSDV!B1117&lt;&gt;"",DSDV!B1117,"")</f>
        <v/>
      </c>
      <c r="B1112" t="str">
        <f>IF(DSDV!G1117&lt;&gt;"",DSDV!G1117,"")</f>
        <v/>
      </c>
      <c r="C1112" s="237" t="str">
        <f>IF(DSDV!K1117&lt;&gt;"",DSDV!K1117,"")</f>
        <v/>
      </c>
      <c r="D1112" s="417" t="str">
        <f>IF(DSDV!W1117&lt;&gt;"",DSDV!W1117,"")</f>
        <v/>
      </c>
    </row>
    <row r="1113" spans="1:4">
      <c r="A1113" t="str">
        <f>IF(DSDV!B1118&lt;&gt;"",DSDV!B1118,"")</f>
        <v/>
      </c>
      <c r="B1113" t="str">
        <f>IF(DSDV!G1118&lt;&gt;"",DSDV!G1118,"")</f>
        <v/>
      </c>
      <c r="C1113" s="237" t="str">
        <f>IF(DSDV!K1118&lt;&gt;"",DSDV!K1118,"")</f>
        <v/>
      </c>
      <c r="D1113" s="417" t="str">
        <f>IF(DSDV!W1118&lt;&gt;"",DSDV!W1118,"")</f>
        <v/>
      </c>
    </row>
    <row r="1114" spans="1:4">
      <c r="A1114" t="str">
        <f>IF(DSDV!B1119&lt;&gt;"",DSDV!B1119,"")</f>
        <v/>
      </c>
      <c r="B1114" t="str">
        <f>IF(DSDV!G1119&lt;&gt;"",DSDV!G1119,"")</f>
        <v/>
      </c>
      <c r="C1114" s="237" t="str">
        <f>IF(DSDV!K1119&lt;&gt;"",DSDV!K1119,"")</f>
        <v/>
      </c>
      <c r="D1114" s="417" t="str">
        <f>IF(DSDV!W1119&lt;&gt;"",DSDV!W1119,"")</f>
        <v/>
      </c>
    </row>
    <row r="1115" spans="1:4">
      <c r="A1115" t="str">
        <f>IF(DSDV!B1120&lt;&gt;"",DSDV!B1120,"")</f>
        <v/>
      </c>
      <c r="B1115" t="str">
        <f>IF(DSDV!G1120&lt;&gt;"",DSDV!G1120,"")</f>
        <v/>
      </c>
      <c r="C1115" s="237" t="str">
        <f>IF(DSDV!K1120&lt;&gt;"",DSDV!K1120,"")</f>
        <v/>
      </c>
      <c r="D1115" s="417" t="str">
        <f>IF(DSDV!W1120&lt;&gt;"",DSDV!W1120,"")</f>
        <v/>
      </c>
    </row>
    <row r="1116" spans="1:4">
      <c r="A1116" t="str">
        <f>IF(DSDV!B1121&lt;&gt;"",DSDV!B1121,"")</f>
        <v/>
      </c>
      <c r="B1116" t="str">
        <f>IF(DSDV!G1121&lt;&gt;"",DSDV!G1121,"")</f>
        <v/>
      </c>
      <c r="C1116" s="237" t="str">
        <f>IF(DSDV!K1121&lt;&gt;"",DSDV!K1121,"")</f>
        <v/>
      </c>
      <c r="D1116" s="417" t="str">
        <f>IF(DSDV!W1121&lt;&gt;"",DSDV!W1121,"")</f>
        <v/>
      </c>
    </row>
    <row r="1117" spans="1:4">
      <c r="A1117" t="str">
        <f>IF(DSDV!B1122&lt;&gt;"",DSDV!B1122,"")</f>
        <v/>
      </c>
      <c r="B1117" t="str">
        <f>IF(DSDV!G1122&lt;&gt;"",DSDV!G1122,"")</f>
        <v/>
      </c>
      <c r="C1117" s="237" t="str">
        <f>IF(DSDV!K1122&lt;&gt;"",DSDV!K1122,"")</f>
        <v/>
      </c>
      <c r="D1117" s="417" t="str">
        <f>IF(DSDV!W1122&lt;&gt;"",DSDV!W1122,"")</f>
        <v/>
      </c>
    </row>
    <row r="1118" spans="1:4">
      <c r="A1118" t="str">
        <f>IF(DSDV!B1123&lt;&gt;"",DSDV!B1123,"")</f>
        <v/>
      </c>
      <c r="B1118" t="str">
        <f>IF(DSDV!G1123&lt;&gt;"",DSDV!G1123,"")</f>
        <v/>
      </c>
      <c r="C1118" s="237" t="str">
        <f>IF(DSDV!K1123&lt;&gt;"",DSDV!K1123,"")</f>
        <v/>
      </c>
      <c r="D1118" s="417" t="str">
        <f>IF(DSDV!W1123&lt;&gt;"",DSDV!W1123,"")</f>
        <v/>
      </c>
    </row>
    <row r="1119" spans="1:4">
      <c r="A1119" t="str">
        <f>IF(DSDV!B1124&lt;&gt;"",DSDV!B1124,"")</f>
        <v/>
      </c>
      <c r="B1119" t="str">
        <f>IF(DSDV!G1124&lt;&gt;"",DSDV!G1124,"")</f>
        <v/>
      </c>
      <c r="C1119" s="237" t="str">
        <f>IF(DSDV!K1124&lt;&gt;"",DSDV!K1124,"")</f>
        <v/>
      </c>
      <c r="D1119" s="417" t="str">
        <f>IF(DSDV!W1124&lt;&gt;"",DSDV!W1124,"")</f>
        <v/>
      </c>
    </row>
    <row r="1120" spans="1:4">
      <c r="A1120" t="str">
        <f>IF(DSDV!B1125&lt;&gt;"",DSDV!B1125,"")</f>
        <v/>
      </c>
      <c r="B1120" t="str">
        <f>IF(DSDV!G1125&lt;&gt;"",DSDV!G1125,"")</f>
        <v/>
      </c>
      <c r="C1120" s="237" t="str">
        <f>IF(DSDV!K1125&lt;&gt;"",DSDV!K1125,"")</f>
        <v/>
      </c>
      <c r="D1120" s="417" t="str">
        <f>IF(DSDV!W1125&lt;&gt;"",DSDV!W1125,"")</f>
        <v/>
      </c>
    </row>
    <row r="1121" spans="1:4">
      <c r="A1121" t="str">
        <f>IF(DSDV!B1126&lt;&gt;"",DSDV!B1126,"")</f>
        <v/>
      </c>
      <c r="B1121" t="str">
        <f>IF(DSDV!G1126&lt;&gt;"",DSDV!G1126,"")</f>
        <v/>
      </c>
      <c r="C1121" s="237" t="str">
        <f>IF(DSDV!K1126&lt;&gt;"",DSDV!K1126,"")</f>
        <v/>
      </c>
      <c r="D1121" s="417" t="str">
        <f>IF(DSDV!W1126&lt;&gt;"",DSDV!W1126,"")</f>
        <v/>
      </c>
    </row>
    <row r="1122" spans="1:4">
      <c r="A1122" t="str">
        <f>IF(DSDV!B1127&lt;&gt;"",DSDV!B1127,"")</f>
        <v/>
      </c>
      <c r="B1122" t="str">
        <f>IF(DSDV!G1127&lt;&gt;"",DSDV!G1127,"")</f>
        <v/>
      </c>
      <c r="C1122" s="237" t="str">
        <f>IF(DSDV!K1127&lt;&gt;"",DSDV!K1127,"")</f>
        <v/>
      </c>
      <c r="D1122" s="417" t="str">
        <f>IF(DSDV!W1127&lt;&gt;"",DSDV!W1127,"")</f>
        <v/>
      </c>
    </row>
    <row r="1123" spans="1:4">
      <c r="A1123" t="str">
        <f>IF(DSDV!B1128&lt;&gt;"",DSDV!B1128,"")</f>
        <v/>
      </c>
      <c r="B1123" t="str">
        <f>IF(DSDV!G1128&lt;&gt;"",DSDV!G1128,"")</f>
        <v/>
      </c>
      <c r="C1123" s="237" t="str">
        <f>IF(DSDV!K1128&lt;&gt;"",DSDV!K1128,"")</f>
        <v/>
      </c>
      <c r="D1123" s="417" t="str">
        <f>IF(DSDV!W1128&lt;&gt;"",DSDV!W1128,"")</f>
        <v/>
      </c>
    </row>
    <row r="1124" spans="1:4">
      <c r="A1124" t="str">
        <f>IF(DSDV!B1129&lt;&gt;"",DSDV!B1129,"")</f>
        <v/>
      </c>
      <c r="B1124" t="str">
        <f>IF(DSDV!G1129&lt;&gt;"",DSDV!G1129,"")</f>
        <v/>
      </c>
      <c r="C1124" s="237" t="str">
        <f>IF(DSDV!K1129&lt;&gt;"",DSDV!K1129,"")</f>
        <v/>
      </c>
      <c r="D1124" s="417" t="str">
        <f>IF(DSDV!W1129&lt;&gt;"",DSDV!W1129,"")</f>
        <v/>
      </c>
    </row>
    <row r="1125" spans="1:4">
      <c r="A1125" t="str">
        <f>IF(DSDV!B1130&lt;&gt;"",DSDV!B1130,"")</f>
        <v/>
      </c>
      <c r="B1125" t="str">
        <f>IF(DSDV!G1130&lt;&gt;"",DSDV!G1130,"")</f>
        <v/>
      </c>
      <c r="C1125" s="237" t="str">
        <f>IF(DSDV!K1130&lt;&gt;"",DSDV!K1130,"")</f>
        <v/>
      </c>
      <c r="D1125" s="417" t="str">
        <f>IF(DSDV!W1130&lt;&gt;"",DSDV!W1130,"")</f>
        <v/>
      </c>
    </row>
    <row r="1126" spans="1:4">
      <c r="A1126" t="str">
        <f>IF(DSDV!B1131&lt;&gt;"",DSDV!B1131,"")</f>
        <v/>
      </c>
      <c r="B1126" t="str">
        <f>IF(DSDV!G1131&lt;&gt;"",DSDV!G1131,"")</f>
        <v/>
      </c>
      <c r="C1126" s="237" t="str">
        <f>IF(DSDV!K1131&lt;&gt;"",DSDV!K1131,"")</f>
        <v/>
      </c>
      <c r="D1126" s="417" t="str">
        <f>IF(DSDV!W1131&lt;&gt;"",DSDV!W1131,"")</f>
        <v/>
      </c>
    </row>
    <row r="1127" spans="1:4">
      <c r="A1127" t="str">
        <f>IF(DSDV!B1132&lt;&gt;"",DSDV!B1132,"")</f>
        <v/>
      </c>
      <c r="B1127" t="str">
        <f>IF(DSDV!G1132&lt;&gt;"",DSDV!G1132,"")</f>
        <v/>
      </c>
      <c r="C1127" s="237" t="str">
        <f>IF(DSDV!K1132&lt;&gt;"",DSDV!K1132,"")</f>
        <v/>
      </c>
      <c r="D1127" s="417" t="str">
        <f>IF(DSDV!W1132&lt;&gt;"",DSDV!W1132,"")</f>
        <v/>
      </c>
    </row>
    <row r="1128" spans="1:4">
      <c r="A1128" t="str">
        <f>IF(DSDV!B1133&lt;&gt;"",DSDV!B1133,"")</f>
        <v/>
      </c>
      <c r="B1128" t="str">
        <f>IF(DSDV!G1133&lt;&gt;"",DSDV!G1133,"")</f>
        <v/>
      </c>
      <c r="C1128" s="237" t="str">
        <f>IF(DSDV!K1133&lt;&gt;"",DSDV!K1133,"")</f>
        <v/>
      </c>
      <c r="D1128" s="417" t="str">
        <f>IF(DSDV!W1133&lt;&gt;"",DSDV!W1133,"")</f>
        <v/>
      </c>
    </row>
    <row r="1129" spans="1:4">
      <c r="A1129" t="str">
        <f>IF(DSDV!B1134&lt;&gt;"",DSDV!B1134,"")</f>
        <v/>
      </c>
      <c r="B1129" t="str">
        <f>IF(DSDV!G1134&lt;&gt;"",DSDV!G1134,"")</f>
        <v/>
      </c>
      <c r="C1129" s="237" t="str">
        <f>IF(DSDV!K1134&lt;&gt;"",DSDV!K1134,"")</f>
        <v/>
      </c>
      <c r="D1129" s="417" t="str">
        <f>IF(DSDV!W1134&lt;&gt;"",DSDV!W1134,"")</f>
        <v/>
      </c>
    </row>
    <row r="1130" spans="1:4">
      <c r="A1130" t="str">
        <f>IF(DSDV!B1135&lt;&gt;"",DSDV!B1135,"")</f>
        <v/>
      </c>
      <c r="B1130" t="str">
        <f>IF(DSDV!G1135&lt;&gt;"",DSDV!G1135,"")</f>
        <v/>
      </c>
      <c r="C1130" s="237" t="str">
        <f>IF(DSDV!K1135&lt;&gt;"",DSDV!K1135,"")</f>
        <v/>
      </c>
      <c r="D1130" s="417" t="str">
        <f>IF(DSDV!W1135&lt;&gt;"",DSDV!W1135,"")</f>
        <v/>
      </c>
    </row>
    <row r="1131" spans="1:4">
      <c r="A1131" t="str">
        <f>IF(DSDV!B1136&lt;&gt;"",DSDV!B1136,"")</f>
        <v/>
      </c>
      <c r="B1131" t="str">
        <f>IF(DSDV!G1136&lt;&gt;"",DSDV!G1136,"")</f>
        <v/>
      </c>
      <c r="C1131" s="237" t="str">
        <f>IF(DSDV!K1136&lt;&gt;"",DSDV!K1136,"")</f>
        <v/>
      </c>
      <c r="D1131" s="417" t="str">
        <f>IF(DSDV!W1136&lt;&gt;"",DSDV!W1136,"")</f>
        <v/>
      </c>
    </row>
    <row r="1132" spans="1:4">
      <c r="A1132" t="str">
        <f>IF(DSDV!B1137&lt;&gt;"",DSDV!B1137,"")</f>
        <v/>
      </c>
      <c r="B1132" t="str">
        <f>IF(DSDV!G1137&lt;&gt;"",DSDV!G1137,"")</f>
        <v/>
      </c>
      <c r="C1132" s="237" t="str">
        <f>IF(DSDV!K1137&lt;&gt;"",DSDV!K1137,"")</f>
        <v/>
      </c>
      <c r="D1132" s="417" t="str">
        <f>IF(DSDV!W1137&lt;&gt;"",DSDV!W1137,"")</f>
        <v/>
      </c>
    </row>
    <row r="1133" spans="1:4">
      <c r="A1133" t="str">
        <f>IF(DSDV!B1138&lt;&gt;"",DSDV!B1138,"")</f>
        <v/>
      </c>
      <c r="B1133" t="str">
        <f>IF(DSDV!G1138&lt;&gt;"",DSDV!G1138,"")</f>
        <v/>
      </c>
      <c r="C1133" s="237" t="str">
        <f>IF(DSDV!K1138&lt;&gt;"",DSDV!K1138,"")</f>
        <v/>
      </c>
      <c r="D1133" s="417" t="str">
        <f>IF(DSDV!W1138&lt;&gt;"",DSDV!W1138,"")</f>
        <v/>
      </c>
    </row>
    <row r="1134" spans="1:4">
      <c r="A1134" t="str">
        <f>IF(DSDV!B1139&lt;&gt;"",DSDV!B1139,"")</f>
        <v/>
      </c>
      <c r="B1134" t="str">
        <f>IF(DSDV!G1139&lt;&gt;"",DSDV!G1139,"")</f>
        <v/>
      </c>
      <c r="C1134" s="237" t="str">
        <f>IF(DSDV!K1139&lt;&gt;"",DSDV!K1139,"")</f>
        <v/>
      </c>
      <c r="D1134" s="417" t="str">
        <f>IF(DSDV!W1139&lt;&gt;"",DSDV!W1139,"")</f>
        <v/>
      </c>
    </row>
    <row r="1135" spans="1:4">
      <c r="A1135" t="str">
        <f>IF(DSDV!B1140&lt;&gt;"",DSDV!B1140,"")</f>
        <v/>
      </c>
      <c r="B1135" t="str">
        <f>IF(DSDV!G1140&lt;&gt;"",DSDV!G1140,"")</f>
        <v/>
      </c>
      <c r="C1135" s="237" t="str">
        <f>IF(DSDV!K1140&lt;&gt;"",DSDV!K1140,"")</f>
        <v/>
      </c>
      <c r="D1135" s="417" t="str">
        <f>IF(DSDV!W1140&lt;&gt;"",DSDV!W1140,"")</f>
        <v/>
      </c>
    </row>
    <row r="1136" spans="1:4">
      <c r="A1136" t="str">
        <f>IF(DSDV!B1141&lt;&gt;"",DSDV!B1141,"")</f>
        <v/>
      </c>
      <c r="B1136" t="str">
        <f>IF(DSDV!G1141&lt;&gt;"",DSDV!G1141,"")</f>
        <v/>
      </c>
      <c r="C1136" s="237" t="str">
        <f>IF(DSDV!K1141&lt;&gt;"",DSDV!K1141,"")</f>
        <v/>
      </c>
      <c r="D1136" s="417" t="str">
        <f>IF(DSDV!W1141&lt;&gt;"",DSDV!W1141,"")</f>
        <v/>
      </c>
    </row>
    <row r="1137" spans="1:4">
      <c r="A1137" t="str">
        <f>IF(DSDV!B1142&lt;&gt;"",DSDV!B1142,"")</f>
        <v/>
      </c>
      <c r="B1137" t="str">
        <f>IF(DSDV!G1142&lt;&gt;"",DSDV!G1142,"")</f>
        <v/>
      </c>
      <c r="C1137" s="237" t="str">
        <f>IF(DSDV!K1142&lt;&gt;"",DSDV!K1142,"")</f>
        <v/>
      </c>
      <c r="D1137" s="417" t="str">
        <f>IF(DSDV!W1142&lt;&gt;"",DSDV!W1142,"")</f>
        <v/>
      </c>
    </row>
    <row r="1138" spans="1:4">
      <c r="A1138" t="str">
        <f>IF(DSDV!B1143&lt;&gt;"",DSDV!B1143,"")</f>
        <v/>
      </c>
      <c r="B1138" t="str">
        <f>IF(DSDV!G1143&lt;&gt;"",DSDV!G1143,"")</f>
        <v/>
      </c>
      <c r="C1138" s="237" t="str">
        <f>IF(DSDV!K1143&lt;&gt;"",DSDV!K1143,"")</f>
        <v/>
      </c>
      <c r="D1138" s="417" t="str">
        <f>IF(DSDV!W1143&lt;&gt;"",DSDV!W1143,"")</f>
        <v/>
      </c>
    </row>
    <row r="1139" spans="1:4">
      <c r="A1139" t="str">
        <f>IF(DSDV!B1144&lt;&gt;"",DSDV!B1144,"")</f>
        <v/>
      </c>
      <c r="B1139" t="str">
        <f>IF(DSDV!G1144&lt;&gt;"",DSDV!G1144,"")</f>
        <v/>
      </c>
      <c r="C1139" s="237" t="str">
        <f>IF(DSDV!K1144&lt;&gt;"",DSDV!K1144,"")</f>
        <v/>
      </c>
      <c r="D1139" s="417" t="str">
        <f>IF(DSDV!W1144&lt;&gt;"",DSDV!W1144,"")</f>
        <v/>
      </c>
    </row>
    <row r="1140" spans="1:4">
      <c r="A1140" t="str">
        <f>IF(DSDV!B1145&lt;&gt;"",DSDV!B1145,"")</f>
        <v/>
      </c>
      <c r="B1140" t="str">
        <f>IF(DSDV!G1145&lt;&gt;"",DSDV!G1145,"")</f>
        <v/>
      </c>
      <c r="C1140" s="237" t="str">
        <f>IF(DSDV!K1145&lt;&gt;"",DSDV!K1145,"")</f>
        <v/>
      </c>
      <c r="D1140" s="417" t="str">
        <f>IF(DSDV!W1145&lt;&gt;"",DSDV!W1145,"")</f>
        <v/>
      </c>
    </row>
    <row r="1141" spans="1:4">
      <c r="A1141" t="str">
        <f>IF(DSDV!B1146&lt;&gt;"",DSDV!B1146,"")</f>
        <v/>
      </c>
      <c r="B1141" t="str">
        <f>IF(DSDV!G1146&lt;&gt;"",DSDV!G1146,"")</f>
        <v/>
      </c>
      <c r="C1141" s="237" t="str">
        <f>IF(DSDV!K1146&lt;&gt;"",DSDV!K1146,"")</f>
        <v/>
      </c>
      <c r="D1141" s="417" t="str">
        <f>IF(DSDV!W1146&lt;&gt;"",DSDV!W1146,"")</f>
        <v/>
      </c>
    </row>
    <row r="1142" spans="1:4">
      <c r="A1142" t="str">
        <f>IF(DSDV!B1147&lt;&gt;"",DSDV!B1147,"")</f>
        <v/>
      </c>
      <c r="B1142" t="str">
        <f>IF(DSDV!G1147&lt;&gt;"",DSDV!G1147,"")</f>
        <v/>
      </c>
      <c r="C1142" s="237" t="str">
        <f>IF(DSDV!K1147&lt;&gt;"",DSDV!K1147,"")</f>
        <v/>
      </c>
      <c r="D1142" s="417" t="str">
        <f>IF(DSDV!W1147&lt;&gt;"",DSDV!W1147,"")</f>
        <v/>
      </c>
    </row>
    <row r="1143" spans="1:4">
      <c r="A1143" t="str">
        <f>IF(DSDV!B1148&lt;&gt;"",DSDV!B1148,"")</f>
        <v/>
      </c>
      <c r="B1143" t="str">
        <f>IF(DSDV!G1148&lt;&gt;"",DSDV!G1148,"")</f>
        <v/>
      </c>
      <c r="C1143" s="237" t="str">
        <f>IF(DSDV!K1148&lt;&gt;"",DSDV!K1148,"")</f>
        <v/>
      </c>
      <c r="D1143" s="417" t="str">
        <f>IF(DSDV!W1148&lt;&gt;"",DSDV!W1148,"")</f>
        <v/>
      </c>
    </row>
    <row r="1144" spans="1:4">
      <c r="A1144" t="str">
        <f>IF(DSDV!B1149&lt;&gt;"",DSDV!B1149,"")</f>
        <v/>
      </c>
      <c r="B1144" t="str">
        <f>IF(DSDV!G1149&lt;&gt;"",DSDV!G1149,"")</f>
        <v/>
      </c>
      <c r="C1144" s="237" t="str">
        <f>IF(DSDV!K1149&lt;&gt;"",DSDV!K1149,"")</f>
        <v/>
      </c>
      <c r="D1144" s="417" t="str">
        <f>IF(DSDV!W1149&lt;&gt;"",DSDV!W1149,"")</f>
        <v/>
      </c>
    </row>
    <row r="1145" spans="1:4">
      <c r="A1145" t="str">
        <f>IF(DSDV!B1150&lt;&gt;"",DSDV!B1150,"")</f>
        <v/>
      </c>
      <c r="B1145" t="str">
        <f>IF(DSDV!G1150&lt;&gt;"",DSDV!G1150,"")</f>
        <v/>
      </c>
      <c r="C1145" s="237" t="str">
        <f>IF(DSDV!K1150&lt;&gt;"",DSDV!K1150,"")</f>
        <v/>
      </c>
      <c r="D1145" s="417" t="str">
        <f>IF(DSDV!W1150&lt;&gt;"",DSDV!W1150,"")</f>
        <v/>
      </c>
    </row>
    <row r="1146" spans="1:4">
      <c r="A1146" t="str">
        <f>IF(DSDV!B1151&lt;&gt;"",DSDV!B1151,"")</f>
        <v/>
      </c>
      <c r="B1146" t="str">
        <f>IF(DSDV!G1151&lt;&gt;"",DSDV!G1151,"")</f>
        <v/>
      </c>
      <c r="C1146" s="237" t="str">
        <f>IF(DSDV!K1151&lt;&gt;"",DSDV!K1151,"")</f>
        <v/>
      </c>
      <c r="D1146" s="417" t="str">
        <f>IF(DSDV!W1151&lt;&gt;"",DSDV!W1151,"")</f>
        <v/>
      </c>
    </row>
    <row r="1147" spans="1:4">
      <c r="A1147" t="str">
        <f>IF(DSDV!B1152&lt;&gt;"",DSDV!B1152,"")</f>
        <v/>
      </c>
      <c r="B1147" t="str">
        <f>IF(DSDV!G1152&lt;&gt;"",DSDV!G1152,"")</f>
        <v/>
      </c>
      <c r="C1147" s="237" t="str">
        <f>IF(DSDV!K1152&lt;&gt;"",DSDV!K1152,"")</f>
        <v/>
      </c>
      <c r="D1147" s="417" t="str">
        <f>IF(DSDV!W1152&lt;&gt;"",DSDV!W1152,"")</f>
        <v/>
      </c>
    </row>
    <row r="1148" spans="1:4">
      <c r="A1148" t="str">
        <f>IF(DSDV!B1153&lt;&gt;"",DSDV!B1153,"")</f>
        <v/>
      </c>
      <c r="B1148" t="str">
        <f>IF(DSDV!G1153&lt;&gt;"",DSDV!G1153,"")</f>
        <v/>
      </c>
      <c r="C1148" s="237" t="str">
        <f>IF(DSDV!K1153&lt;&gt;"",DSDV!K1153,"")</f>
        <v/>
      </c>
      <c r="D1148" s="417" t="str">
        <f>IF(DSDV!W1153&lt;&gt;"",DSDV!W1153,"")</f>
        <v/>
      </c>
    </row>
    <row r="1149" spans="1:4">
      <c r="A1149" t="str">
        <f>IF(DSDV!B1154&lt;&gt;"",DSDV!B1154,"")</f>
        <v/>
      </c>
      <c r="B1149" t="str">
        <f>IF(DSDV!G1154&lt;&gt;"",DSDV!G1154,"")</f>
        <v/>
      </c>
      <c r="C1149" s="237" t="str">
        <f>IF(DSDV!K1154&lt;&gt;"",DSDV!K1154,"")</f>
        <v/>
      </c>
      <c r="D1149" s="417" t="str">
        <f>IF(DSDV!W1154&lt;&gt;"",DSDV!W1154,"")</f>
        <v/>
      </c>
    </row>
    <row r="1150" spans="1:4">
      <c r="A1150" t="str">
        <f>IF(DSDV!B1155&lt;&gt;"",DSDV!B1155,"")</f>
        <v/>
      </c>
      <c r="B1150" t="str">
        <f>IF(DSDV!G1155&lt;&gt;"",DSDV!G1155,"")</f>
        <v/>
      </c>
      <c r="C1150" s="237" t="str">
        <f>IF(DSDV!K1155&lt;&gt;"",DSDV!K1155,"")</f>
        <v/>
      </c>
      <c r="D1150" s="417" t="str">
        <f>IF(DSDV!W1155&lt;&gt;"",DSDV!W1155,"")</f>
        <v/>
      </c>
    </row>
    <row r="1151" spans="1:4">
      <c r="A1151" t="str">
        <f>IF(DSDV!B1156&lt;&gt;"",DSDV!B1156,"")</f>
        <v/>
      </c>
      <c r="B1151" t="str">
        <f>IF(DSDV!G1156&lt;&gt;"",DSDV!G1156,"")</f>
        <v/>
      </c>
      <c r="C1151" s="237" t="str">
        <f>IF(DSDV!K1156&lt;&gt;"",DSDV!K1156,"")</f>
        <v/>
      </c>
      <c r="D1151" s="417" t="str">
        <f>IF(DSDV!W1156&lt;&gt;"",DSDV!W1156,"")</f>
        <v/>
      </c>
    </row>
    <row r="1152" spans="1:4">
      <c r="A1152" t="str">
        <f>IF(DSDV!B1157&lt;&gt;"",DSDV!B1157,"")</f>
        <v/>
      </c>
      <c r="B1152" t="str">
        <f>IF(DSDV!G1157&lt;&gt;"",DSDV!G1157,"")</f>
        <v/>
      </c>
      <c r="C1152" s="237" t="str">
        <f>IF(DSDV!K1157&lt;&gt;"",DSDV!K1157,"")</f>
        <v/>
      </c>
      <c r="D1152" s="417" t="str">
        <f>IF(DSDV!W1157&lt;&gt;"",DSDV!W1157,"")</f>
        <v/>
      </c>
    </row>
    <row r="1153" spans="1:4">
      <c r="A1153" t="str">
        <f>IF(DSDV!B1158&lt;&gt;"",DSDV!B1158,"")</f>
        <v/>
      </c>
      <c r="B1153" t="str">
        <f>IF(DSDV!G1158&lt;&gt;"",DSDV!G1158,"")</f>
        <v/>
      </c>
      <c r="C1153" s="237" t="str">
        <f>IF(DSDV!K1158&lt;&gt;"",DSDV!K1158,"")</f>
        <v/>
      </c>
      <c r="D1153" s="417" t="str">
        <f>IF(DSDV!W1158&lt;&gt;"",DSDV!W1158,"")</f>
        <v/>
      </c>
    </row>
    <row r="1154" spans="1:4">
      <c r="A1154" t="str">
        <f>IF(DSDV!B1159&lt;&gt;"",DSDV!B1159,"")</f>
        <v/>
      </c>
      <c r="B1154" t="str">
        <f>IF(DSDV!G1159&lt;&gt;"",DSDV!G1159,"")</f>
        <v/>
      </c>
      <c r="C1154" s="237" t="str">
        <f>IF(DSDV!K1159&lt;&gt;"",DSDV!K1159,"")</f>
        <v/>
      </c>
      <c r="D1154" s="417" t="str">
        <f>IF(DSDV!W1159&lt;&gt;"",DSDV!W1159,"")</f>
        <v/>
      </c>
    </row>
    <row r="1155" spans="1:4">
      <c r="A1155" t="str">
        <f>IF(DSDV!B1160&lt;&gt;"",DSDV!B1160,"")</f>
        <v/>
      </c>
      <c r="B1155" t="str">
        <f>IF(DSDV!G1160&lt;&gt;"",DSDV!G1160,"")</f>
        <v/>
      </c>
      <c r="C1155" s="237" t="str">
        <f>IF(DSDV!K1160&lt;&gt;"",DSDV!K1160,"")</f>
        <v/>
      </c>
      <c r="D1155" s="417" t="str">
        <f>IF(DSDV!W1160&lt;&gt;"",DSDV!W1160,"")</f>
        <v/>
      </c>
    </row>
    <row r="1156" spans="1:4">
      <c r="A1156" t="str">
        <f>IF(DSDV!B1161&lt;&gt;"",DSDV!B1161,"")</f>
        <v/>
      </c>
      <c r="B1156" t="str">
        <f>IF(DSDV!G1161&lt;&gt;"",DSDV!G1161,"")</f>
        <v/>
      </c>
      <c r="C1156" s="237" t="str">
        <f>IF(DSDV!K1161&lt;&gt;"",DSDV!K1161,"")</f>
        <v/>
      </c>
      <c r="D1156" s="417" t="str">
        <f>IF(DSDV!W1161&lt;&gt;"",DSDV!W1161,"")</f>
        <v/>
      </c>
    </row>
    <row r="1157" spans="1:4">
      <c r="A1157" t="str">
        <f>IF(DSDV!B1162&lt;&gt;"",DSDV!B1162,"")</f>
        <v/>
      </c>
      <c r="B1157" t="str">
        <f>IF(DSDV!G1162&lt;&gt;"",DSDV!G1162,"")</f>
        <v/>
      </c>
      <c r="C1157" s="237" t="str">
        <f>IF(DSDV!K1162&lt;&gt;"",DSDV!K1162,"")</f>
        <v/>
      </c>
      <c r="D1157" s="417" t="str">
        <f>IF(DSDV!W1162&lt;&gt;"",DSDV!W1162,"")</f>
        <v/>
      </c>
    </row>
    <row r="1158" spans="1:4">
      <c r="A1158" t="str">
        <f>IF(DSDV!B1163&lt;&gt;"",DSDV!B1163,"")</f>
        <v/>
      </c>
      <c r="B1158" t="str">
        <f>IF(DSDV!G1163&lt;&gt;"",DSDV!G1163,"")</f>
        <v/>
      </c>
      <c r="C1158" s="237" t="str">
        <f>IF(DSDV!K1163&lt;&gt;"",DSDV!K1163,"")</f>
        <v/>
      </c>
      <c r="D1158" s="417" t="str">
        <f>IF(DSDV!W1163&lt;&gt;"",DSDV!W1163,"")</f>
        <v/>
      </c>
    </row>
    <row r="1159" spans="1:4">
      <c r="A1159" t="str">
        <f>IF(DSDV!B1164&lt;&gt;"",DSDV!B1164,"")</f>
        <v/>
      </c>
      <c r="B1159" t="str">
        <f>IF(DSDV!G1164&lt;&gt;"",DSDV!G1164,"")</f>
        <v/>
      </c>
      <c r="C1159" s="237" t="str">
        <f>IF(DSDV!K1164&lt;&gt;"",DSDV!K1164,"")</f>
        <v/>
      </c>
      <c r="D1159" s="417" t="str">
        <f>IF(DSDV!W1164&lt;&gt;"",DSDV!W1164,"")</f>
        <v/>
      </c>
    </row>
    <row r="1160" spans="1:4">
      <c r="A1160" t="str">
        <f>IF(DSDV!B1165&lt;&gt;"",DSDV!B1165,"")</f>
        <v/>
      </c>
      <c r="B1160" t="str">
        <f>IF(DSDV!G1165&lt;&gt;"",DSDV!G1165,"")</f>
        <v/>
      </c>
      <c r="C1160" s="237" t="str">
        <f>IF(DSDV!K1165&lt;&gt;"",DSDV!K1165,"")</f>
        <v/>
      </c>
      <c r="D1160" s="417" t="str">
        <f>IF(DSDV!W1165&lt;&gt;"",DSDV!W1165,"")</f>
        <v/>
      </c>
    </row>
    <row r="1161" spans="1:4">
      <c r="A1161" t="str">
        <f>IF(DSDV!B1166&lt;&gt;"",DSDV!B1166,"")</f>
        <v/>
      </c>
      <c r="B1161" t="str">
        <f>IF(DSDV!G1166&lt;&gt;"",DSDV!G1166,"")</f>
        <v/>
      </c>
      <c r="C1161" s="237" t="str">
        <f>IF(DSDV!K1166&lt;&gt;"",DSDV!K1166,"")</f>
        <v/>
      </c>
      <c r="D1161" s="417" t="str">
        <f>IF(DSDV!W1166&lt;&gt;"",DSDV!W1166,"")</f>
        <v/>
      </c>
    </row>
    <row r="1162" spans="1:4">
      <c r="A1162" t="str">
        <f>IF(DSDV!B1167&lt;&gt;"",DSDV!B1167,"")</f>
        <v/>
      </c>
      <c r="B1162" t="str">
        <f>IF(DSDV!G1167&lt;&gt;"",DSDV!G1167,"")</f>
        <v/>
      </c>
      <c r="C1162" s="237" t="str">
        <f>IF(DSDV!K1167&lt;&gt;"",DSDV!K1167,"")</f>
        <v/>
      </c>
      <c r="D1162" s="417" t="str">
        <f>IF(DSDV!W1167&lt;&gt;"",DSDV!W1167,"")</f>
        <v/>
      </c>
    </row>
    <row r="1163" spans="1:4">
      <c r="A1163" t="str">
        <f>IF(DSDV!B1168&lt;&gt;"",DSDV!B1168,"")</f>
        <v/>
      </c>
      <c r="B1163" t="str">
        <f>IF(DSDV!G1168&lt;&gt;"",DSDV!G1168,"")</f>
        <v/>
      </c>
      <c r="C1163" s="237" t="str">
        <f>IF(DSDV!K1168&lt;&gt;"",DSDV!K1168,"")</f>
        <v/>
      </c>
      <c r="D1163" s="417" t="str">
        <f>IF(DSDV!W1168&lt;&gt;"",DSDV!W1168,"")</f>
        <v/>
      </c>
    </row>
    <row r="1164" spans="1:4">
      <c r="A1164" t="str">
        <f>IF(DSDV!B1169&lt;&gt;"",DSDV!B1169,"")</f>
        <v/>
      </c>
      <c r="B1164" t="str">
        <f>IF(DSDV!G1169&lt;&gt;"",DSDV!G1169,"")</f>
        <v/>
      </c>
      <c r="C1164" s="237" t="str">
        <f>IF(DSDV!K1169&lt;&gt;"",DSDV!K1169,"")</f>
        <v/>
      </c>
      <c r="D1164" s="417" t="str">
        <f>IF(DSDV!W1169&lt;&gt;"",DSDV!W1169,"")</f>
        <v/>
      </c>
    </row>
    <row r="1165" spans="1:4">
      <c r="A1165" t="str">
        <f>IF(DSDV!B1170&lt;&gt;"",DSDV!B1170,"")</f>
        <v/>
      </c>
      <c r="B1165" t="str">
        <f>IF(DSDV!G1170&lt;&gt;"",DSDV!G1170,"")</f>
        <v/>
      </c>
      <c r="C1165" s="237" t="str">
        <f>IF(DSDV!K1170&lt;&gt;"",DSDV!K1170,"")</f>
        <v/>
      </c>
      <c r="D1165" s="417" t="str">
        <f>IF(DSDV!W1170&lt;&gt;"",DSDV!W1170,"")</f>
        <v/>
      </c>
    </row>
    <row r="1166" spans="1:4">
      <c r="A1166" t="str">
        <f>IF(DSDV!B1171&lt;&gt;"",DSDV!B1171,"")</f>
        <v/>
      </c>
      <c r="B1166" t="str">
        <f>IF(DSDV!G1171&lt;&gt;"",DSDV!G1171,"")</f>
        <v/>
      </c>
      <c r="C1166" s="237" t="str">
        <f>IF(DSDV!K1171&lt;&gt;"",DSDV!K1171,"")</f>
        <v/>
      </c>
      <c r="D1166" s="417" t="str">
        <f>IF(DSDV!W1171&lt;&gt;"",DSDV!W1171,"")</f>
        <v/>
      </c>
    </row>
    <row r="1167" spans="1:4">
      <c r="A1167" t="str">
        <f>IF(DSDV!B1172&lt;&gt;"",DSDV!B1172,"")</f>
        <v/>
      </c>
      <c r="B1167" t="str">
        <f>IF(DSDV!G1172&lt;&gt;"",DSDV!G1172,"")</f>
        <v/>
      </c>
      <c r="C1167" s="237" t="str">
        <f>IF(DSDV!K1172&lt;&gt;"",DSDV!K1172,"")</f>
        <v/>
      </c>
      <c r="D1167" s="417" t="str">
        <f>IF(DSDV!W1172&lt;&gt;"",DSDV!W1172,"")</f>
        <v/>
      </c>
    </row>
    <row r="1168" spans="1:4">
      <c r="A1168" t="str">
        <f>IF(DSDV!B1173&lt;&gt;"",DSDV!B1173,"")</f>
        <v/>
      </c>
      <c r="B1168" t="str">
        <f>IF(DSDV!G1173&lt;&gt;"",DSDV!G1173,"")</f>
        <v/>
      </c>
      <c r="C1168" s="237" t="str">
        <f>IF(DSDV!K1173&lt;&gt;"",DSDV!K1173,"")</f>
        <v/>
      </c>
      <c r="D1168" s="417" t="str">
        <f>IF(DSDV!W1173&lt;&gt;"",DSDV!W1173,"")</f>
        <v/>
      </c>
    </row>
    <row r="1169" spans="1:4">
      <c r="A1169" t="str">
        <f>IF(DSDV!B1174&lt;&gt;"",DSDV!B1174,"")</f>
        <v/>
      </c>
      <c r="B1169" t="str">
        <f>IF(DSDV!G1174&lt;&gt;"",DSDV!G1174,"")</f>
        <v/>
      </c>
      <c r="C1169" s="237" t="str">
        <f>IF(DSDV!K1174&lt;&gt;"",DSDV!K1174,"")</f>
        <v/>
      </c>
      <c r="D1169" s="417" t="str">
        <f>IF(DSDV!W1174&lt;&gt;"",DSDV!W1174,"")</f>
        <v/>
      </c>
    </row>
    <row r="1170" spans="1:4">
      <c r="A1170" t="str">
        <f>IF(DSDV!B1175&lt;&gt;"",DSDV!B1175,"")</f>
        <v/>
      </c>
      <c r="B1170" t="str">
        <f>IF(DSDV!G1175&lt;&gt;"",DSDV!G1175,"")</f>
        <v/>
      </c>
      <c r="C1170" s="237" t="str">
        <f>IF(DSDV!K1175&lt;&gt;"",DSDV!K1175,"")</f>
        <v/>
      </c>
      <c r="D1170" s="417" t="str">
        <f>IF(DSDV!W1175&lt;&gt;"",DSDV!W1175,"")</f>
        <v/>
      </c>
    </row>
    <row r="1171" spans="1:4">
      <c r="A1171" t="str">
        <f>IF(DSDV!B1176&lt;&gt;"",DSDV!B1176,"")</f>
        <v/>
      </c>
      <c r="B1171" t="str">
        <f>IF(DSDV!G1176&lt;&gt;"",DSDV!G1176,"")</f>
        <v/>
      </c>
      <c r="C1171" s="237" t="str">
        <f>IF(DSDV!K1176&lt;&gt;"",DSDV!K1176,"")</f>
        <v/>
      </c>
      <c r="D1171" s="417" t="str">
        <f>IF(DSDV!W1176&lt;&gt;"",DSDV!W1176,"")</f>
        <v/>
      </c>
    </row>
    <row r="1172" spans="1:4">
      <c r="A1172" t="str">
        <f>IF(DSDV!B1177&lt;&gt;"",DSDV!B1177,"")</f>
        <v/>
      </c>
      <c r="B1172" t="str">
        <f>IF(DSDV!G1177&lt;&gt;"",DSDV!G1177,"")</f>
        <v/>
      </c>
      <c r="C1172" s="237" t="str">
        <f>IF(DSDV!K1177&lt;&gt;"",DSDV!K1177,"")</f>
        <v/>
      </c>
      <c r="D1172" s="417" t="str">
        <f>IF(DSDV!W1177&lt;&gt;"",DSDV!W1177,"")</f>
        <v/>
      </c>
    </row>
    <row r="1173" spans="1:4">
      <c r="A1173" t="str">
        <f>IF(DSDV!B1178&lt;&gt;"",DSDV!B1178,"")</f>
        <v/>
      </c>
      <c r="B1173" t="str">
        <f>IF(DSDV!G1178&lt;&gt;"",DSDV!G1178,"")</f>
        <v/>
      </c>
      <c r="C1173" s="237" t="str">
        <f>IF(DSDV!K1178&lt;&gt;"",DSDV!K1178,"")</f>
        <v/>
      </c>
      <c r="D1173" s="417" t="str">
        <f>IF(DSDV!W1178&lt;&gt;"",DSDV!W1178,"")</f>
        <v/>
      </c>
    </row>
    <row r="1174" spans="1:4">
      <c r="A1174" t="str">
        <f>IF(DSDV!B1179&lt;&gt;"",DSDV!B1179,"")</f>
        <v/>
      </c>
      <c r="B1174" t="str">
        <f>IF(DSDV!G1179&lt;&gt;"",DSDV!G1179,"")</f>
        <v/>
      </c>
      <c r="C1174" s="237" t="str">
        <f>IF(DSDV!K1179&lt;&gt;"",DSDV!K1179,"")</f>
        <v/>
      </c>
      <c r="D1174" s="417" t="str">
        <f>IF(DSDV!W1179&lt;&gt;"",DSDV!W1179,"")</f>
        <v/>
      </c>
    </row>
    <row r="1175" spans="1:4">
      <c r="A1175" t="str">
        <f>IF(DSDV!B1180&lt;&gt;"",DSDV!B1180,"")</f>
        <v/>
      </c>
      <c r="B1175" t="str">
        <f>IF(DSDV!G1180&lt;&gt;"",DSDV!G1180,"")</f>
        <v/>
      </c>
      <c r="C1175" s="237" t="str">
        <f>IF(DSDV!K1180&lt;&gt;"",DSDV!K1180,"")</f>
        <v/>
      </c>
      <c r="D1175" s="417" t="str">
        <f>IF(DSDV!W1180&lt;&gt;"",DSDV!W1180,"")</f>
        <v/>
      </c>
    </row>
    <row r="1176" spans="1:4">
      <c r="A1176" t="str">
        <f>IF(DSDV!B1181&lt;&gt;"",DSDV!B1181,"")</f>
        <v/>
      </c>
      <c r="B1176" t="str">
        <f>IF(DSDV!G1181&lt;&gt;"",DSDV!G1181,"")</f>
        <v/>
      </c>
      <c r="C1176" s="237" t="str">
        <f>IF(DSDV!K1181&lt;&gt;"",DSDV!K1181,"")</f>
        <v/>
      </c>
      <c r="D1176" s="417" t="str">
        <f>IF(DSDV!W1181&lt;&gt;"",DSDV!W1181,"")</f>
        <v/>
      </c>
    </row>
    <row r="1177" spans="1:4">
      <c r="A1177" t="str">
        <f>IF(DSDV!B1182&lt;&gt;"",DSDV!B1182,"")</f>
        <v/>
      </c>
      <c r="B1177" t="str">
        <f>IF(DSDV!G1182&lt;&gt;"",DSDV!G1182,"")</f>
        <v/>
      </c>
      <c r="C1177" s="237" t="str">
        <f>IF(DSDV!K1182&lt;&gt;"",DSDV!K1182,"")</f>
        <v/>
      </c>
      <c r="D1177" s="417" t="str">
        <f>IF(DSDV!W1182&lt;&gt;"",DSDV!W1182,"")</f>
        <v/>
      </c>
    </row>
    <row r="1178" spans="1:4">
      <c r="A1178" t="str">
        <f>IF(DSDV!B1183&lt;&gt;"",DSDV!B1183,"")</f>
        <v/>
      </c>
      <c r="B1178" t="str">
        <f>IF(DSDV!G1183&lt;&gt;"",DSDV!G1183,"")</f>
        <v/>
      </c>
      <c r="C1178" s="237" t="str">
        <f>IF(DSDV!K1183&lt;&gt;"",DSDV!K1183,"")</f>
        <v/>
      </c>
      <c r="D1178" s="417" t="str">
        <f>IF(DSDV!W1183&lt;&gt;"",DSDV!W1183,"")</f>
        <v/>
      </c>
    </row>
    <row r="1179" spans="1:4">
      <c r="A1179" t="str">
        <f>IF(DSDV!B1184&lt;&gt;"",DSDV!B1184,"")</f>
        <v/>
      </c>
      <c r="B1179" t="str">
        <f>IF(DSDV!G1184&lt;&gt;"",DSDV!G1184,"")</f>
        <v/>
      </c>
      <c r="C1179" s="237" t="str">
        <f>IF(DSDV!K1184&lt;&gt;"",DSDV!K1184,"")</f>
        <v/>
      </c>
      <c r="D1179" s="417" t="str">
        <f>IF(DSDV!W1184&lt;&gt;"",DSDV!W1184,"")</f>
        <v/>
      </c>
    </row>
    <row r="1180" spans="1:4">
      <c r="C1180" s="237"/>
      <c r="D1180" s="238"/>
    </row>
    <row r="1181" spans="1:4">
      <c r="C1181" s="237"/>
      <c r="D1181" s="238"/>
    </row>
    <row r="1182" spans="1:4">
      <c r="C1182" s="237"/>
      <c r="D1182" s="238"/>
    </row>
    <row r="1183" spans="1:4">
      <c r="C1183" s="237"/>
      <c r="D1183" s="238"/>
    </row>
    <row r="1184" spans="1:4">
      <c r="C1184" s="237"/>
      <c r="D1184" s="238"/>
    </row>
    <row r="1185" spans="3:4">
      <c r="C1185" s="237"/>
      <c r="D1185" s="238"/>
    </row>
    <row r="1186" spans="3:4">
      <c r="C1186" s="237"/>
      <c r="D1186" s="238"/>
    </row>
    <row r="1187" spans="3:4">
      <c r="C1187" s="237"/>
      <c r="D1187" s="238"/>
    </row>
    <row r="1188" spans="3:4">
      <c r="C1188" s="237"/>
      <c r="D1188" s="238"/>
    </row>
    <row r="1189" spans="3:4">
      <c r="C1189" s="237"/>
      <c r="D1189" s="238"/>
    </row>
    <row r="1190" spans="3:4">
      <c r="C1190" s="237"/>
      <c r="D1190" s="238"/>
    </row>
    <row r="1191" spans="3:4">
      <c r="C1191" s="237"/>
      <c r="D1191" s="238"/>
    </row>
    <row r="1192" spans="3:4">
      <c r="C1192" s="237"/>
      <c r="D1192" s="238"/>
    </row>
    <row r="1193" spans="3:4">
      <c r="C1193" s="237"/>
      <c r="D1193" s="238"/>
    </row>
    <row r="1194" spans="3:4">
      <c r="C1194" s="237"/>
      <c r="D1194" s="238"/>
    </row>
    <row r="1195" spans="3:4">
      <c r="C1195" s="237"/>
      <c r="D1195" s="238"/>
    </row>
    <row r="1196" spans="3:4">
      <c r="C1196" s="237"/>
      <c r="D1196" s="238"/>
    </row>
    <row r="1197" spans="3:4">
      <c r="C1197" s="237"/>
      <c r="D1197" s="238"/>
    </row>
    <row r="1198" spans="3:4">
      <c r="C1198" s="237"/>
      <c r="D1198" s="238"/>
    </row>
    <row r="1199" spans="3:4">
      <c r="C1199" s="237"/>
      <c r="D1199" s="238"/>
    </row>
    <row r="1200" spans="3:4">
      <c r="C1200" s="237"/>
      <c r="D1200" s="238"/>
    </row>
    <row r="1201" spans="3:4">
      <c r="C1201" s="237"/>
      <c r="D1201" s="238"/>
    </row>
    <row r="1202" spans="3:4">
      <c r="C1202" s="237"/>
      <c r="D1202" s="238"/>
    </row>
    <row r="1203" spans="3:4">
      <c r="C1203" s="237"/>
      <c r="D1203" s="238"/>
    </row>
    <row r="1204" spans="3:4">
      <c r="C1204" s="237"/>
      <c r="D1204" s="238"/>
    </row>
    <row r="1205" spans="3:4">
      <c r="C1205" s="237"/>
      <c r="D1205" s="238"/>
    </row>
    <row r="1206" spans="3:4">
      <c r="C1206" s="237"/>
      <c r="D1206" s="238"/>
    </row>
    <row r="1207" spans="3:4">
      <c r="C1207" s="237"/>
      <c r="D1207" s="238"/>
    </row>
    <row r="1208" spans="3:4">
      <c r="C1208" s="237"/>
      <c r="D1208" s="238"/>
    </row>
    <row r="1209" spans="3:4">
      <c r="C1209" s="237"/>
      <c r="D1209" s="238"/>
    </row>
    <row r="1210" spans="3:4">
      <c r="C1210" s="237"/>
      <c r="D1210" s="238"/>
    </row>
    <row r="1211" spans="3:4">
      <c r="C1211" s="237"/>
      <c r="D1211" s="238"/>
    </row>
    <row r="1212" spans="3:4">
      <c r="C1212" s="237"/>
      <c r="D1212" s="238"/>
    </row>
    <row r="1213" spans="3:4">
      <c r="C1213" s="237"/>
      <c r="D1213" s="238"/>
    </row>
    <row r="1214" spans="3:4">
      <c r="C1214" s="237"/>
      <c r="D1214" s="238"/>
    </row>
    <row r="1215" spans="3:4">
      <c r="C1215" s="237"/>
      <c r="D1215" s="238"/>
    </row>
    <row r="1216" spans="3:4">
      <c r="C1216" s="237"/>
      <c r="D1216" s="238"/>
    </row>
    <row r="1217" spans="3:4">
      <c r="C1217" s="237"/>
      <c r="D1217" s="238"/>
    </row>
    <row r="1218" spans="3:4">
      <c r="C1218" s="237"/>
      <c r="D1218" s="238"/>
    </row>
    <row r="1219" spans="3:4">
      <c r="C1219" s="237"/>
      <c r="D1219" s="238"/>
    </row>
    <row r="1220" spans="3:4">
      <c r="C1220" s="237"/>
      <c r="D1220" s="238"/>
    </row>
    <row r="1221" spans="3:4">
      <c r="C1221" s="237"/>
      <c r="D1221" s="238"/>
    </row>
    <row r="1222" spans="3:4">
      <c r="C1222" s="237"/>
      <c r="D1222" s="238"/>
    </row>
    <row r="1223" spans="3:4">
      <c r="C1223" s="237"/>
      <c r="D1223" s="238"/>
    </row>
    <row r="1224" spans="3:4">
      <c r="C1224" s="237"/>
      <c r="D1224" s="238"/>
    </row>
    <row r="1225" spans="3:4">
      <c r="C1225" s="237"/>
      <c r="D1225" s="238"/>
    </row>
    <row r="1226" spans="3:4">
      <c r="C1226" s="237"/>
      <c r="D1226" s="238"/>
    </row>
    <row r="1227" spans="3:4">
      <c r="C1227" s="237"/>
      <c r="D1227" s="238"/>
    </row>
    <row r="1228" spans="3:4">
      <c r="C1228" s="237"/>
      <c r="D1228" s="238"/>
    </row>
    <row r="1229" spans="3:4">
      <c r="C1229" s="237"/>
      <c r="D1229" s="238"/>
    </row>
    <row r="1230" spans="3:4">
      <c r="C1230" s="237"/>
      <c r="D1230" s="238"/>
    </row>
    <row r="1231" spans="3:4">
      <c r="C1231" s="237"/>
      <c r="D1231" s="238"/>
    </row>
    <row r="1232" spans="3:4">
      <c r="C1232" s="237"/>
      <c r="D1232" s="238"/>
    </row>
    <row r="1233" spans="3:4">
      <c r="C1233" s="237"/>
      <c r="D1233" s="238"/>
    </row>
    <row r="1234" spans="3:4">
      <c r="C1234" s="237"/>
      <c r="D1234" s="238"/>
    </row>
    <row r="1235" spans="3:4">
      <c r="C1235" s="237"/>
      <c r="D1235" s="238"/>
    </row>
    <row r="1236" spans="3:4">
      <c r="C1236" s="237"/>
      <c r="D1236" s="238"/>
    </row>
    <row r="1237" spans="3:4">
      <c r="C1237" s="237"/>
      <c r="D1237" s="238"/>
    </row>
    <row r="1238" spans="3:4">
      <c r="C1238" s="237"/>
      <c r="D1238" s="238"/>
    </row>
    <row r="1239" spans="3:4">
      <c r="C1239" s="237"/>
      <c r="D1239" s="238"/>
    </row>
    <row r="1240" spans="3:4">
      <c r="C1240" s="237"/>
      <c r="D1240" s="238"/>
    </row>
    <row r="1241" spans="3:4">
      <c r="C1241" s="237"/>
      <c r="D1241" s="238"/>
    </row>
    <row r="1242" spans="3:4">
      <c r="C1242" s="237"/>
      <c r="D1242" s="238"/>
    </row>
    <row r="1243" spans="3:4">
      <c r="C1243" s="237"/>
      <c r="D1243" s="238"/>
    </row>
    <row r="1244" spans="3:4">
      <c r="C1244" s="237"/>
      <c r="D1244" s="238"/>
    </row>
    <row r="1245" spans="3:4">
      <c r="C1245" s="237"/>
      <c r="D1245" s="238"/>
    </row>
    <row r="1246" spans="3:4">
      <c r="C1246" s="237"/>
      <c r="D1246" s="238"/>
    </row>
    <row r="1247" spans="3:4">
      <c r="C1247" s="237"/>
      <c r="D1247" s="238"/>
    </row>
    <row r="1248" spans="3:4">
      <c r="C1248" s="237"/>
      <c r="D1248" s="238"/>
    </row>
    <row r="1249" spans="3:4">
      <c r="C1249" s="237"/>
      <c r="D1249" s="238"/>
    </row>
    <row r="1250" spans="3:4">
      <c r="C1250" s="237"/>
      <c r="D1250" s="238"/>
    </row>
    <row r="1251" spans="3:4">
      <c r="C1251" s="237"/>
      <c r="D1251" s="238"/>
    </row>
    <row r="1252" spans="3:4">
      <c r="C1252" s="237"/>
      <c r="D1252" s="238"/>
    </row>
    <row r="1253" spans="3:4">
      <c r="C1253" s="237"/>
      <c r="D1253" s="238"/>
    </row>
    <row r="1254" spans="3:4">
      <c r="C1254" s="237"/>
      <c r="D1254" s="238"/>
    </row>
    <row r="1255" spans="3:4">
      <c r="C1255" s="237"/>
      <c r="D1255" s="238"/>
    </row>
    <row r="1256" spans="3:4">
      <c r="C1256" s="237"/>
      <c r="D1256" s="238"/>
    </row>
    <row r="1257" spans="3:4">
      <c r="C1257" s="237"/>
      <c r="D1257" s="238"/>
    </row>
    <row r="1258" spans="3:4">
      <c r="C1258" s="237"/>
      <c r="D1258" s="238"/>
    </row>
    <row r="1259" spans="3:4">
      <c r="C1259" s="237"/>
      <c r="D1259" s="238"/>
    </row>
    <row r="1260" spans="3:4">
      <c r="C1260" s="237"/>
      <c r="D1260" s="238"/>
    </row>
    <row r="1261" spans="3:4">
      <c r="C1261" s="237"/>
      <c r="D1261" s="238"/>
    </row>
    <row r="1262" spans="3:4">
      <c r="C1262" s="237"/>
      <c r="D1262" s="238"/>
    </row>
    <row r="1263" spans="3:4">
      <c r="C1263" s="237"/>
      <c r="D1263" s="238"/>
    </row>
    <row r="1264" spans="3:4">
      <c r="C1264" s="237"/>
      <c r="D1264" s="238"/>
    </row>
    <row r="1265" spans="3:4">
      <c r="C1265" s="237"/>
      <c r="D1265" s="238"/>
    </row>
    <row r="1266" spans="3:4">
      <c r="C1266" s="237"/>
      <c r="D1266" s="238"/>
    </row>
    <row r="1267" spans="3:4">
      <c r="C1267" s="237"/>
      <c r="D1267" s="238"/>
    </row>
    <row r="1268" spans="3:4">
      <c r="C1268" s="237"/>
      <c r="D1268" s="238"/>
    </row>
    <row r="1269" spans="3:4">
      <c r="C1269" s="237"/>
      <c r="D1269" s="238"/>
    </row>
    <row r="1270" spans="3:4">
      <c r="C1270" s="237"/>
      <c r="D1270" s="238"/>
    </row>
    <row r="1271" spans="3:4">
      <c r="C1271" s="237"/>
      <c r="D1271" s="238"/>
    </row>
    <row r="1272" spans="3:4">
      <c r="C1272" s="237"/>
      <c r="D1272" s="238"/>
    </row>
    <row r="1273" spans="3:4">
      <c r="C1273" s="237"/>
      <c r="D1273" s="238"/>
    </row>
    <row r="1274" spans="3:4">
      <c r="C1274" s="237"/>
      <c r="D1274" s="238"/>
    </row>
    <row r="1275" spans="3:4">
      <c r="C1275" s="237"/>
      <c r="D1275" s="238"/>
    </row>
    <row r="1276" spans="3:4">
      <c r="C1276" s="237"/>
      <c r="D1276" s="238"/>
    </row>
    <row r="1277" spans="3:4">
      <c r="C1277" s="237"/>
      <c r="D1277" s="238"/>
    </row>
    <row r="1278" spans="3:4">
      <c r="C1278" s="237"/>
      <c r="D1278" s="238"/>
    </row>
    <row r="1279" spans="3:4">
      <c r="C1279" s="237"/>
      <c r="D1279" s="238"/>
    </row>
    <row r="1280" spans="3:4">
      <c r="C1280" s="237"/>
      <c r="D1280" s="238"/>
    </row>
    <row r="1281" spans="3:4">
      <c r="C1281" s="237"/>
      <c r="D1281" s="238"/>
    </row>
    <row r="1282" spans="3:4">
      <c r="C1282" s="237"/>
      <c r="D1282" s="238"/>
    </row>
    <row r="1283" spans="3:4">
      <c r="C1283" s="237"/>
      <c r="D1283" s="238"/>
    </row>
    <row r="1284" spans="3:4">
      <c r="C1284" s="237"/>
      <c r="D1284" s="238"/>
    </row>
    <row r="1285" spans="3:4">
      <c r="C1285" s="237"/>
      <c r="D1285" s="238"/>
    </row>
    <row r="1286" spans="3:4">
      <c r="C1286" s="237"/>
      <c r="D1286" s="238"/>
    </row>
    <row r="1287" spans="3:4">
      <c r="C1287" s="237"/>
      <c r="D1287" s="238"/>
    </row>
    <row r="1288" spans="3:4">
      <c r="C1288" s="237"/>
      <c r="D1288" s="238"/>
    </row>
    <row r="1289" spans="3:4">
      <c r="C1289" s="237"/>
      <c r="D1289" s="238"/>
    </row>
    <row r="1290" spans="3:4">
      <c r="C1290" s="237"/>
      <c r="D1290" s="238"/>
    </row>
    <row r="1291" spans="3:4">
      <c r="C1291" s="237"/>
      <c r="D1291" s="238"/>
    </row>
    <row r="1292" spans="3:4">
      <c r="C1292" s="237"/>
      <c r="D1292" s="238"/>
    </row>
    <row r="1293" spans="3:4">
      <c r="C1293" s="237"/>
      <c r="D1293" s="238"/>
    </row>
    <row r="1294" spans="3:4">
      <c r="C1294" s="237"/>
      <c r="D1294" s="238"/>
    </row>
    <row r="1295" spans="3:4">
      <c r="C1295" s="237"/>
      <c r="D1295" s="238"/>
    </row>
    <row r="1296" spans="3:4">
      <c r="C1296" s="237"/>
      <c r="D1296" s="238"/>
    </row>
    <row r="1297" spans="3:4">
      <c r="C1297" s="237"/>
      <c r="D1297" s="238"/>
    </row>
    <row r="1298" spans="3:4">
      <c r="C1298" s="237"/>
      <c r="D1298" s="238"/>
    </row>
    <row r="1299" spans="3:4">
      <c r="C1299" s="237"/>
      <c r="D1299" s="238"/>
    </row>
    <row r="1300" spans="3:4">
      <c r="C1300" s="237"/>
      <c r="D1300" s="238"/>
    </row>
    <row r="1301" spans="3:4">
      <c r="C1301" s="237"/>
      <c r="D1301" s="238"/>
    </row>
    <row r="1302" spans="3:4">
      <c r="C1302" s="237"/>
      <c r="D1302" s="238"/>
    </row>
    <row r="1303" spans="3:4">
      <c r="C1303" s="237"/>
      <c r="D1303" s="238"/>
    </row>
    <row r="1304" spans="3:4">
      <c r="C1304" s="237"/>
      <c r="D1304" s="238"/>
    </row>
    <row r="1305" spans="3:4">
      <c r="C1305" s="237"/>
      <c r="D1305" s="238"/>
    </row>
    <row r="1306" spans="3:4">
      <c r="C1306" s="237"/>
      <c r="D1306" s="238"/>
    </row>
    <row r="1307" spans="3:4">
      <c r="C1307" s="237"/>
      <c r="D1307" s="238"/>
    </row>
    <row r="1308" spans="3:4">
      <c r="C1308" s="237"/>
      <c r="D1308" s="238"/>
    </row>
    <row r="1309" spans="3:4">
      <c r="C1309" s="237"/>
      <c r="D1309" s="238"/>
    </row>
    <row r="1310" spans="3:4">
      <c r="C1310" s="237"/>
      <c r="D1310" s="238"/>
    </row>
    <row r="1311" spans="3:4">
      <c r="C1311" s="237"/>
      <c r="D1311" s="238"/>
    </row>
    <row r="1312" spans="3:4">
      <c r="C1312" s="237"/>
      <c r="D1312" s="238"/>
    </row>
    <row r="1313" spans="3:4">
      <c r="C1313" s="237"/>
      <c r="D1313" s="238"/>
    </row>
    <row r="1314" spans="3:4">
      <c r="C1314" s="237"/>
      <c r="D1314" s="238"/>
    </row>
    <row r="1315" spans="3:4">
      <c r="C1315" s="237"/>
      <c r="D1315" s="238"/>
    </row>
    <row r="1316" spans="3:4">
      <c r="C1316" s="237"/>
      <c r="D1316" s="238"/>
    </row>
    <row r="1317" spans="3:4">
      <c r="C1317" s="237"/>
      <c r="D1317" s="238"/>
    </row>
    <row r="1318" spans="3:4">
      <c r="C1318" s="237"/>
      <c r="D1318" s="238"/>
    </row>
    <row r="1319" spans="3:4">
      <c r="C1319" s="237"/>
      <c r="D1319" s="238"/>
    </row>
    <row r="1320" spans="3:4">
      <c r="C1320" s="237"/>
      <c r="D1320" s="238"/>
    </row>
    <row r="1321" spans="3:4">
      <c r="C1321" s="237"/>
      <c r="D1321" s="238"/>
    </row>
    <row r="1322" spans="3:4">
      <c r="C1322" s="237"/>
      <c r="D1322" s="238"/>
    </row>
    <row r="1323" spans="3:4">
      <c r="C1323" s="237"/>
      <c r="D1323" s="238"/>
    </row>
    <row r="1324" spans="3:4">
      <c r="C1324" s="237"/>
      <c r="D1324" s="238"/>
    </row>
    <row r="1325" spans="3:4">
      <c r="C1325" s="237"/>
      <c r="D1325" s="238"/>
    </row>
    <row r="1326" spans="3:4">
      <c r="C1326" s="237"/>
      <c r="D1326" s="238"/>
    </row>
    <row r="1327" spans="3:4">
      <c r="C1327" s="237"/>
      <c r="D1327" s="238"/>
    </row>
    <row r="1328" spans="3:4">
      <c r="C1328" s="237"/>
      <c r="D1328" s="238"/>
    </row>
    <row r="1329" spans="3:4">
      <c r="C1329" s="237"/>
      <c r="D1329" s="238"/>
    </row>
    <row r="1330" spans="3:4">
      <c r="C1330" s="237"/>
      <c r="D1330" s="238"/>
    </row>
    <row r="1331" spans="3:4">
      <c r="C1331" s="237"/>
      <c r="D1331" s="238"/>
    </row>
    <row r="1332" spans="3:4">
      <c r="C1332" s="237"/>
      <c r="D1332" s="238"/>
    </row>
    <row r="1333" spans="3:4">
      <c r="C1333" s="237"/>
      <c r="D1333" s="238"/>
    </row>
    <row r="1334" spans="3:4">
      <c r="C1334" s="237"/>
      <c r="D1334" s="238"/>
    </row>
    <row r="1335" spans="3:4">
      <c r="C1335" s="237"/>
      <c r="D1335" s="238"/>
    </row>
    <row r="1336" spans="3:4">
      <c r="C1336" s="237"/>
      <c r="D1336" s="238"/>
    </row>
    <row r="1337" spans="3:4">
      <c r="C1337" s="237"/>
      <c r="D1337" s="238"/>
    </row>
    <row r="1338" spans="3:4">
      <c r="C1338" s="237"/>
      <c r="D1338" s="238"/>
    </row>
    <row r="1339" spans="3:4">
      <c r="C1339" s="237"/>
      <c r="D1339" s="238"/>
    </row>
    <row r="1340" spans="3:4">
      <c r="C1340" s="237"/>
      <c r="D1340" s="238"/>
    </row>
    <row r="1341" spans="3:4">
      <c r="C1341" s="237"/>
      <c r="D1341" s="238"/>
    </row>
    <row r="1342" spans="3:4">
      <c r="C1342" s="237"/>
      <c r="D1342" s="238"/>
    </row>
    <row r="1343" spans="3:4">
      <c r="C1343" s="237"/>
      <c r="D1343" s="238"/>
    </row>
    <row r="1344" spans="3:4">
      <c r="C1344" s="237"/>
      <c r="D1344" s="238"/>
    </row>
    <row r="1345" spans="3:4">
      <c r="C1345" s="237"/>
      <c r="D1345" s="238"/>
    </row>
    <row r="1346" spans="3:4">
      <c r="C1346" s="237"/>
      <c r="D1346" s="238"/>
    </row>
    <row r="1347" spans="3:4">
      <c r="C1347" s="237"/>
      <c r="D1347" s="238"/>
    </row>
    <row r="1348" spans="3:4">
      <c r="C1348" s="237"/>
      <c r="D1348" s="238"/>
    </row>
    <row r="1349" spans="3:4">
      <c r="C1349" s="237"/>
      <c r="D1349" s="238"/>
    </row>
    <row r="1350" spans="3:4">
      <c r="C1350" s="237"/>
      <c r="D1350" s="238"/>
    </row>
    <row r="1351" spans="3:4">
      <c r="C1351" s="237"/>
      <c r="D1351" s="238"/>
    </row>
    <row r="1352" spans="3:4">
      <c r="C1352" s="237"/>
      <c r="D1352" s="238"/>
    </row>
    <row r="1353" spans="3:4">
      <c r="C1353" s="237"/>
      <c r="D1353" s="238"/>
    </row>
    <row r="1354" spans="3:4">
      <c r="C1354" s="237"/>
      <c r="D1354" s="238"/>
    </row>
    <row r="1355" spans="3:4">
      <c r="C1355" s="237"/>
      <c r="D1355" s="238"/>
    </row>
    <row r="1356" spans="3:4">
      <c r="C1356" s="237"/>
      <c r="D1356" s="238"/>
    </row>
    <row r="1357" spans="3:4">
      <c r="C1357" s="237"/>
      <c r="D1357" s="238"/>
    </row>
    <row r="1358" spans="3:4">
      <c r="C1358" s="237"/>
      <c r="D1358" s="238"/>
    </row>
    <row r="1359" spans="3:4">
      <c r="C1359" s="237"/>
      <c r="D1359" s="238"/>
    </row>
    <row r="1360" spans="3:4">
      <c r="C1360" s="237"/>
      <c r="D1360" s="238"/>
    </row>
    <row r="1361" spans="3:4">
      <c r="C1361" s="237"/>
      <c r="D1361" s="238"/>
    </row>
    <row r="1362" spans="3:4">
      <c r="C1362" s="237"/>
      <c r="D1362" s="238"/>
    </row>
    <row r="1363" spans="3:4">
      <c r="C1363" s="237"/>
      <c r="D1363" s="238"/>
    </row>
    <row r="1364" spans="3:4">
      <c r="C1364" s="237"/>
      <c r="D1364" s="238"/>
    </row>
    <row r="1365" spans="3:4">
      <c r="C1365" s="237"/>
      <c r="D1365" s="238"/>
    </row>
    <row r="1366" spans="3:4">
      <c r="C1366" s="237"/>
      <c r="D1366" s="238"/>
    </row>
    <row r="1367" spans="3:4">
      <c r="C1367" s="237"/>
      <c r="D1367" s="238"/>
    </row>
    <row r="1368" spans="3:4">
      <c r="C1368" s="237"/>
      <c r="D1368" s="238"/>
    </row>
    <row r="1369" spans="3:4">
      <c r="C1369" s="237"/>
      <c r="D1369" s="238"/>
    </row>
    <row r="1370" spans="3:4">
      <c r="C1370" s="237"/>
      <c r="D1370" s="238"/>
    </row>
    <row r="1371" spans="3:4">
      <c r="C1371" s="237"/>
      <c r="D1371" s="238"/>
    </row>
    <row r="1372" spans="3:4">
      <c r="C1372" s="237"/>
      <c r="D1372" s="238"/>
    </row>
    <row r="1373" spans="3:4">
      <c r="C1373" s="237"/>
      <c r="D1373" s="238"/>
    </row>
    <row r="1374" spans="3:4">
      <c r="C1374" s="237"/>
      <c r="D1374" s="238"/>
    </row>
    <row r="1375" spans="3:4">
      <c r="C1375" s="237"/>
      <c r="D1375" s="238"/>
    </row>
    <row r="1376" spans="3:4">
      <c r="C1376" s="237"/>
      <c r="D1376" s="238"/>
    </row>
    <row r="1377" spans="3:4">
      <c r="C1377" s="237"/>
      <c r="D1377" s="238"/>
    </row>
    <row r="1378" spans="3:4">
      <c r="C1378" s="237"/>
      <c r="D1378" s="238"/>
    </row>
    <row r="1379" spans="3:4">
      <c r="C1379" s="237"/>
      <c r="D1379" s="238"/>
    </row>
    <row r="1380" spans="3:4">
      <c r="C1380" s="237"/>
      <c r="D1380" s="238"/>
    </row>
    <row r="1381" spans="3:4">
      <c r="C1381" s="237"/>
      <c r="D1381" s="238"/>
    </row>
    <row r="1382" spans="3:4">
      <c r="C1382" s="237"/>
      <c r="D1382" s="238"/>
    </row>
    <row r="1383" spans="3:4">
      <c r="C1383" s="237"/>
      <c r="D1383" s="238"/>
    </row>
    <row r="1384" spans="3:4">
      <c r="C1384" s="237"/>
      <c r="D1384" s="238"/>
    </row>
    <row r="1385" spans="3:4">
      <c r="C1385" s="237"/>
      <c r="D1385" s="238"/>
    </row>
    <row r="1386" spans="3:4">
      <c r="C1386" s="237"/>
      <c r="D1386" s="238"/>
    </row>
    <row r="1387" spans="3:4">
      <c r="C1387" s="237"/>
      <c r="D1387" s="238"/>
    </row>
    <row r="1388" spans="3:4">
      <c r="C1388" s="237"/>
      <c r="D1388" s="238"/>
    </row>
    <row r="1389" spans="3:4">
      <c r="C1389" s="237"/>
      <c r="D1389" s="238"/>
    </row>
    <row r="1390" spans="3:4">
      <c r="C1390" s="237"/>
      <c r="D1390" s="238"/>
    </row>
    <row r="1391" spans="3:4">
      <c r="C1391" s="237"/>
      <c r="D1391" s="238"/>
    </row>
    <row r="1392" spans="3:4">
      <c r="C1392" s="237"/>
      <c r="D1392" s="238"/>
    </row>
    <row r="1393" spans="3:4">
      <c r="C1393" s="237"/>
      <c r="D1393" s="238"/>
    </row>
    <row r="1394" spans="3:4">
      <c r="C1394" s="237"/>
      <c r="D1394" s="238"/>
    </row>
    <row r="1395" spans="3:4">
      <c r="C1395" s="237"/>
      <c r="D1395" s="238"/>
    </row>
    <row r="1396" spans="3:4">
      <c r="C1396" s="237"/>
      <c r="D1396" s="238"/>
    </row>
    <row r="1397" spans="3:4">
      <c r="C1397" s="237"/>
      <c r="D1397" s="238"/>
    </row>
    <row r="1398" spans="3:4">
      <c r="C1398" s="237"/>
      <c r="D1398" s="238"/>
    </row>
    <row r="1399" spans="3:4">
      <c r="C1399" s="237"/>
      <c r="D1399" s="238"/>
    </row>
    <row r="1400" spans="3:4">
      <c r="C1400" s="237"/>
      <c r="D1400" s="238"/>
    </row>
    <row r="1401" spans="3:4">
      <c r="C1401" s="237"/>
      <c r="D1401" s="238"/>
    </row>
    <row r="1402" spans="3:4">
      <c r="C1402" s="237"/>
      <c r="D1402" s="238"/>
    </row>
    <row r="1403" spans="3:4">
      <c r="C1403" s="237"/>
      <c r="D1403" s="238"/>
    </row>
    <row r="1404" spans="3:4">
      <c r="C1404" s="237"/>
      <c r="D1404" s="238"/>
    </row>
    <row r="1405" spans="3:4">
      <c r="C1405" s="237"/>
      <c r="D1405" s="238"/>
    </row>
    <row r="1406" spans="3:4">
      <c r="C1406" s="237"/>
      <c r="D1406" s="238"/>
    </row>
    <row r="1407" spans="3:4">
      <c r="C1407" s="237"/>
      <c r="D1407" s="238"/>
    </row>
    <row r="1408" spans="3:4">
      <c r="C1408" s="237"/>
      <c r="D1408" s="238"/>
    </row>
    <row r="1409" spans="3:4">
      <c r="C1409" s="237"/>
      <c r="D1409" s="238"/>
    </row>
    <row r="1410" spans="3:4">
      <c r="C1410" s="237"/>
      <c r="D1410" s="238"/>
    </row>
    <row r="1411" spans="3:4">
      <c r="C1411" s="237"/>
      <c r="D1411" s="238"/>
    </row>
    <row r="1412" spans="3:4">
      <c r="C1412" s="237"/>
      <c r="D1412" s="238"/>
    </row>
    <row r="1413" spans="3:4">
      <c r="C1413" s="237"/>
      <c r="D1413" s="238"/>
    </row>
    <row r="1414" spans="3:4">
      <c r="C1414" s="237"/>
      <c r="D1414" s="238"/>
    </row>
    <row r="1415" spans="3:4">
      <c r="C1415" s="237"/>
      <c r="D1415" s="238"/>
    </row>
    <row r="1416" spans="3:4">
      <c r="C1416" s="237"/>
      <c r="D1416" s="238"/>
    </row>
    <row r="1417" spans="3:4">
      <c r="C1417" s="237"/>
      <c r="D1417" s="238"/>
    </row>
    <row r="1418" spans="3:4">
      <c r="C1418" s="237"/>
      <c r="D1418" s="238"/>
    </row>
    <row r="1419" spans="3:4">
      <c r="C1419" s="237"/>
      <c r="D1419" s="238"/>
    </row>
    <row r="1420" spans="3:4">
      <c r="C1420" s="237"/>
      <c r="D1420" s="238"/>
    </row>
    <row r="1421" spans="3:4">
      <c r="C1421" s="237"/>
      <c r="D1421" s="238"/>
    </row>
    <row r="1422" spans="3:4">
      <c r="C1422" s="237"/>
      <c r="D1422" s="238"/>
    </row>
    <row r="1423" spans="3:4">
      <c r="C1423" s="237"/>
      <c r="D1423" s="238"/>
    </row>
    <row r="1424" spans="3:4">
      <c r="C1424" s="237"/>
      <c r="D1424" s="238"/>
    </row>
    <row r="1425" spans="3:4">
      <c r="C1425" s="237"/>
      <c r="D1425" s="238"/>
    </row>
    <row r="1426" spans="3:4">
      <c r="C1426" s="237"/>
      <c r="D1426" s="238"/>
    </row>
    <row r="1427" spans="3:4">
      <c r="C1427" s="237"/>
      <c r="D1427" s="238"/>
    </row>
    <row r="1428" spans="3:4">
      <c r="C1428" s="237"/>
      <c r="D1428" s="238"/>
    </row>
    <row r="1429" spans="3:4">
      <c r="C1429" s="237"/>
      <c r="D1429" s="238"/>
    </row>
    <row r="1430" spans="3:4">
      <c r="C1430" s="237"/>
      <c r="D1430" s="238"/>
    </row>
    <row r="1431" spans="3:4">
      <c r="C1431" s="237"/>
      <c r="D1431" s="238"/>
    </row>
    <row r="1432" spans="3:4">
      <c r="C1432" s="237"/>
      <c r="D1432" s="238"/>
    </row>
    <row r="1433" spans="3:4">
      <c r="C1433" s="237"/>
      <c r="D1433" s="238"/>
    </row>
    <row r="1434" spans="3:4">
      <c r="C1434" s="237"/>
      <c r="D1434" s="238"/>
    </row>
    <row r="1435" spans="3:4">
      <c r="C1435" s="237"/>
      <c r="D1435" s="238"/>
    </row>
    <row r="1436" spans="3:4">
      <c r="C1436" s="237"/>
      <c r="D1436" s="238"/>
    </row>
    <row r="1437" spans="3:4">
      <c r="C1437" s="237"/>
      <c r="D1437" s="238"/>
    </row>
    <row r="1438" spans="3:4">
      <c r="C1438" s="237"/>
      <c r="D1438" s="238"/>
    </row>
    <row r="1439" spans="3:4">
      <c r="C1439" s="237"/>
      <c r="D1439" s="238"/>
    </row>
    <row r="1440" spans="3:4">
      <c r="C1440" s="237"/>
      <c r="D1440" s="238"/>
    </row>
    <row r="1441" spans="3:4">
      <c r="C1441" s="237"/>
      <c r="D1441" s="238"/>
    </row>
    <row r="1442" spans="3:4">
      <c r="C1442" s="237"/>
      <c r="D1442" s="238"/>
    </row>
    <row r="1443" spans="3:4">
      <c r="C1443" s="237"/>
      <c r="D1443" s="238"/>
    </row>
    <row r="1444" spans="3:4">
      <c r="C1444" s="237"/>
      <c r="D1444" s="238"/>
    </row>
    <row r="1445" spans="3:4">
      <c r="C1445" s="237"/>
      <c r="D1445" s="238"/>
    </row>
    <row r="1446" spans="3:4">
      <c r="C1446" s="237"/>
      <c r="D1446" s="238"/>
    </row>
    <row r="1447" spans="3:4">
      <c r="C1447" s="237"/>
      <c r="D1447" s="238"/>
    </row>
    <row r="1448" spans="3:4">
      <c r="C1448" s="237"/>
      <c r="D1448" s="238"/>
    </row>
    <row r="1449" spans="3:4">
      <c r="C1449" s="237"/>
      <c r="D1449" s="238"/>
    </row>
    <row r="1450" spans="3:4">
      <c r="C1450" s="237"/>
      <c r="D1450" s="238"/>
    </row>
    <row r="1451" spans="3:4">
      <c r="C1451" s="237"/>
      <c r="D1451" s="238"/>
    </row>
    <row r="1452" spans="3:4">
      <c r="C1452" s="237"/>
      <c r="D1452" s="238"/>
    </row>
    <row r="1453" spans="3:4">
      <c r="C1453" s="237"/>
      <c r="D1453" s="238"/>
    </row>
    <row r="1454" spans="3:4">
      <c r="C1454" s="237"/>
      <c r="D1454" s="238"/>
    </row>
    <row r="1455" spans="3:4">
      <c r="C1455" s="237"/>
      <c r="D1455" s="238"/>
    </row>
    <row r="1456" spans="3:4">
      <c r="C1456" s="237"/>
      <c r="D1456" s="238"/>
    </row>
    <row r="1457" spans="3:4">
      <c r="C1457" s="237"/>
      <c r="D1457" s="238"/>
    </row>
    <row r="1458" spans="3:4">
      <c r="C1458" s="237"/>
      <c r="D1458" s="238"/>
    </row>
    <row r="1459" spans="3:4">
      <c r="C1459" s="237"/>
      <c r="D1459" s="238"/>
    </row>
    <row r="1460" spans="3:4">
      <c r="C1460" s="237"/>
      <c r="D1460" s="238"/>
    </row>
    <row r="1461" spans="3:4">
      <c r="C1461" s="237"/>
      <c r="D1461" s="238"/>
    </row>
    <row r="1462" spans="3:4">
      <c r="C1462" s="237"/>
      <c r="D1462" s="238"/>
    </row>
    <row r="1463" spans="3:4">
      <c r="C1463" s="237"/>
      <c r="D1463" s="238"/>
    </row>
    <row r="1464" spans="3:4">
      <c r="C1464" s="237"/>
      <c r="D1464" s="238"/>
    </row>
    <row r="1465" spans="3:4">
      <c r="C1465" s="237"/>
      <c r="D1465" s="238"/>
    </row>
    <row r="1466" spans="3:4">
      <c r="C1466" s="237"/>
      <c r="D1466" s="238"/>
    </row>
    <row r="1467" spans="3:4">
      <c r="C1467" s="237"/>
      <c r="D1467" s="238"/>
    </row>
    <row r="1468" spans="3:4">
      <c r="C1468" s="237"/>
      <c r="D1468" s="238"/>
    </row>
    <row r="1469" spans="3:4">
      <c r="C1469" s="237"/>
      <c r="D1469" s="238"/>
    </row>
    <row r="1470" spans="3:4">
      <c r="C1470" s="237"/>
      <c r="D1470" s="238"/>
    </row>
    <row r="1471" spans="3:4">
      <c r="C1471" s="237"/>
      <c r="D1471" s="238"/>
    </row>
    <row r="1472" spans="3:4">
      <c r="C1472" s="237"/>
      <c r="D1472" s="238"/>
    </row>
    <row r="1473" spans="3:4">
      <c r="C1473" s="237"/>
      <c r="D1473" s="238"/>
    </row>
    <row r="1474" spans="3:4">
      <c r="C1474" s="237"/>
      <c r="D1474" s="238"/>
    </row>
    <row r="1475" spans="3:4">
      <c r="C1475" s="237"/>
      <c r="D1475" s="238"/>
    </row>
    <row r="1476" spans="3:4">
      <c r="C1476" s="237"/>
      <c r="D1476" s="238"/>
    </row>
    <row r="1477" spans="3:4">
      <c r="C1477" s="237"/>
      <c r="D1477" s="238"/>
    </row>
    <row r="1478" spans="3:4">
      <c r="C1478" s="237"/>
      <c r="D1478" s="238"/>
    </row>
    <row r="1479" spans="3:4">
      <c r="C1479" s="237"/>
      <c r="D1479" s="238"/>
    </row>
    <row r="1480" spans="3:4">
      <c r="C1480" s="237"/>
      <c r="D1480" s="238"/>
    </row>
    <row r="1481" spans="3:4">
      <c r="C1481" s="237"/>
      <c r="D1481" s="238"/>
    </row>
    <row r="1482" spans="3:4">
      <c r="C1482" s="237"/>
      <c r="D1482" s="238"/>
    </row>
    <row r="1483" spans="3:4">
      <c r="C1483" s="237"/>
      <c r="D1483" s="238"/>
    </row>
    <row r="1484" spans="3:4">
      <c r="C1484" s="237"/>
      <c r="D1484" s="238"/>
    </row>
    <row r="1485" spans="3:4">
      <c r="C1485" s="237"/>
      <c r="D1485" s="238"/>
    </row>
    <row r="1486" spans="3:4">
      <c r="C1486" s="237"/>
      <c r="D1486" s="238"/>
    </row>
    <row r="1487" spans="3:4">
      <c r="C1487" s="237"/>
      <c r="D1487" s="238"/>
    </row>
    <row r="1488" spans="3:4">
      <c r="C1488" s="237"/>
      <c r="D1488" s="238"/>
    </row>
    <row r="1489" spans="3:4">
      <c r="C1489" s="237"/>
      <c r="D1489" s="238"/>
    </row>
    <row r="1490" spans="3:4">
      <c r="C1490" s="237"/>
      <c r="D1490" s="238"/>
    </row>
    <row r="1491" spans="3:4">
      <c r="C1491" s="237"/>
      <c r="D1491" s="238"/>
    </row>
    <row r="1492" spans="3:4">
      <c r="C1492" s="237"/>
      <c r="D1492" s="238"/>
    </row>
    <row r="1493" spans="3:4">
      <c r="C1493" s="237"/>
      <c r="D1493" s="238"/>
    </row>
    <row r="1494" spans="3:4">
      <c r="C1494" s="237"/>
      <c r="D1494" s="238"/>
    </row>
    <row r="1495" spans="3:4">
      <c r="C1495" s="237"/>
      <c r="D1495" s="238"/>
    </row>
    <row r="1496" spans="3:4">
      <c r="C1496" s="237"/>
      <c r="D1496" s="238"/>
    </row>
    <row r="1497" spans="3:4">
      <c r="C1497" s="237"/>
      <c r="D1497" s="238"/>
    </row>
    <row r="1498" spans="3:4">
      <c r="C1498" s="237"/>
      <c r="D1498" s="238"/>
    </row>
    <row r="1499" spans="3:4">
      <c r="C1499" s="237"/>
      <c r="D1499" s="238"/>
    </row>
    <row r="1500" spans="3:4">
      <c r="C1500" s="237"/>
      <c r="D1500" s="238"/>
    </row>
    <row r="1501" spans="3:4">
      <c r="C1501" s="237"/>
      <c r="D1501" s="238"/>
    </row>
    <row r="1502" spans="3:4">
      <c r="C1502" s="237"/>
      <c r="D1502" s="238"/>
    </row>
    <row r="1503" spans="3:4">
      <c r="C1503" s="237"/>
      <c r="D1503" s="238"/>
    </row>
    <row r="1504" spans="3:4">
      <c r="C1504" s="237"/>
      <c r="D1504" s="238"/>
    </row>
    <row r="1505" spans="3:4">
      <c r="C1505" s="237"/>
      <c r="D1505" s="238"/>
    </row>
    <row r="1506" spans="3:4">
      <c r="C1506" s="237"/>
      <c r="D1506" s="238"/>
    </row>
    <row r="1507" spans="3:4">
      <c r="C1507" s="237"/>
      <c r="D1507" s="238"/>
    </row>
    <row r="1508" spans="3:4">
      <c r="C1508" s="237"/>
      <c r="D1508" s="238"/>
    </row>
    <row r="1509" spans="3:4">
      <c r="C1509" s="237"/>
      <c r="D1509" s="238"/>
    </row>
    <row r="1510" spans="3:4">
      <c r="C1510" s="237"/>
      <c r="D1510" s="238"/>
    </row>
    <row r="1511" spans="3:4">
      <c r="C1511" s="237"/>
      <c r="D1511" s="238"/>
    </row>
    <row r="1512" spans="3:4">
      <c r="C1512" s="237"/>
      <c r="D1512" s="238"/>
    </row>
    <row r="1513" spans="3:4">
      <c r="C1513" s="237"/>
      <c r="D1513" s="238"/>
    </row>
    <row r="1514" spans="3:4">
      <c r="C1514" s="237"/>
      <c r="D1514" s="238"/>
    </row>
    <row r="1515" spans="3:4">
      <c r="C1515" s="237"/>
      <c r="D1515" s="238"/>
    </row>
    <row r="1516" spans="3:4">
      <c r="C1516" s="237"/>
      <c r="D1516" s="238"/>
    </row>
    <row r="1517" spans="3:4">
      <c r="C1517" s="237"/>
      <c r="D1517" s="238"/>
    </row>
    <row r="1518" spans="3:4">
      <c r="C1518" s="237"/>
      <c r="D1518" s="238"/>
    </row>
    <row r="1519" spans="3:4">
      <c r="C1519" s="237"/>
      <c r="D1519" s="238"/>
    </row>
    <row r="1520" spans="3:4">
      <c r="C1520" s="237"/>
      <c r="D1520" s="238"/>
    </row>
    <row r="1521" spans="3:4">
      <c r="C1521" s="237"/>
      <c r="D1521" s="238"/>
    </row>
    <row r="1522" spans="3:4">
      <c r="C1522" s="237"/>
      <c r="D1522" s="238"/>
    </row>
    <row r="1523" spans="3:4">
      <c r="C1523" s="237"/>
      <c r="D1523" s="238"/>
    </row>
    <row r="1524" spans="3:4">
      <c r="C1524" s="237"/>
      <c r="D1524" s="238"/>
    </row>
    <row r="1525" spans="3:4">
      <c r="C1525" s="237"/>
      <c r="D1525" s="238"/>
    </row>
    <row r="1526" spans="3:4">
      <c r="C1526" s="237"/>
      <c r="D1526" s="238"/>
    </row>
    <row r="1527" spans="3:4">
      <c r="C1527" s="237"/>
      <c r="D1527" s="238"/>
    </row>
    <row r="1528" spans="3:4">
      <c r="C1528" s="237"/>
      <c r="D1528" s="238"/>
    </row>
    <row r="1529" spans="3:4">
      <c r="C1529" s="237"/>
      <c r="D1529" s="238"/>
    </row>
    <row r="1530" spans="3:4">
      <c r="C1530" s="237"/>
      <c r="D1530" s="238"/>
    </row>
    <row r="1531" spans="3:4">
      <c r="C1531" s="237"/>
      <c r="D1531" s="238"/>
    </row>
    <row r="1532" spans="3:4">
      <c r="C1532" s="237"/>
      <c r="D1532" s="238"/>
    </row>
    <row r="1533" spans="3:4">
      <c r="C1533" s="237"/>
      <c r="D1533" s="238"/>
    </row>
    <row r="1534" spans="3:4">
      <c r="C1534" s="237"/>
      <c r="D1534" s="238"/>
    </row>
    <row r="1535" spans="3:4">
      <c r="C1535" s="237"/>
      <c r="D1535" s="238"/>
    </row>
    <row r="1536" spans="3:4">
      <c r="C1536" s="237"/>
      <c r="D1536" s="238"/>
    </row>
    <row r="1537" spans="3:4">
      <c r="C1537" s="237"/>
      <c r="D1537" s="238"/>
    </row>
    <row r="1538" spans="3:4">
      <c r="C1538" s="237"/>
      <c r="D1538" s="238"/>
    </row>
    <row r="1539" spans="3:4">
      <c r="C1539" s="237"/>
      <c r="D1539" s="238"/>
    </row>
    <row r="1540" spans="3:4">
      <c r="C1540" s="237"/>
      <c r="D1540" s="238"/>
    </row>
    <row r="1541" spans="3:4">
      <c r="C1541" s="237"/>
      <c r="D1541" s="238"/>
    </row>
    <row r="1542" spans="3:4">
      <c r="C1542" s="237"/>
      <c r="D1542" s="238"/>
    </row>
    <row r="1543" spans="3:4">
      <c r="C1543" s="237"/>
      <c r="D1543" s="238"/>
    </row>
    <row r="1544" spans="3:4">
      <c r="C1544" s="237"/>
      <c r="D1544" s="238"/>
    </row>
    <row r="1545" spans="3:4">
      <c r="C1545" s="237"/>
      <c r="D1545" s="238"/>
    </row>
    <row r="1546" spans="3:4">
      <c r="C1546" s="237"/>
      <c r="D1546" s="238"/>
    </row>
    <row r="1547" spans="3:4">
      <c r="C1547" s="237"/>
      <c r="D1547" s="238"/>
    </row>
    <row r="1548" spans="3:4">
      <c r="C1548" s="237"/>
      <c r="D1548" s="238"/>
    </row>
    <row r="1549" spans="3:4">
      <c r="C1549" s="237"/>
      <c r="D1549" s="238"/>
    </row>
    <row r="1550" spans="3:4">
      <c r="C1550" s="237"/>
      <c r="D1550" s="238"/>
    </row>
    <row r="1551" spans="3:4">
      <c r="C1551" s="237"/>
      <c r="D1551" s="238"/>
    </row>
    <row r="1552" spans="3:4">
      <c r="C1552" s="237"/>
      <c r="D1552" s="238"/>
    </row>
    <row r="1553" spans="3:4">
      <c r="C1553" s="237"/>
      <c r="D1553" s="238"/>
    </row>
    <row r="1554" spans="3:4">
      <c r="C1554" s="237"/>
      <c r="D1554" s="238"/>
    </row>
    <row r="1555" spans="3:4">
      <c r="C1555" s="237"/>
      <c r="D1555" s="238"/>
    </row>
    <row r="1556" spans="3:4">
      <c r="C1556" s="237"/>
      <c r="D1556" s="238"/>
    </row>
    <row r="1557" spans="3:4">
      <c r="C1557" s="237"/>
      <c r="D1557" s="238"/>
    </row>
    <row r="1558" spans="3:4">
      <c r="C1558" s="237"/>
      <c r="D1558" s="238"/>
    </row>
    <row r="1559" spans="3:4">
      <c r="C1559" s="237"/>
      <c r="D1559" s="238"/>
    </row>
    <row r="1560" spans="3:4">
      <c r="C1560" s="237"/>
      <c r="D1560" s="238"/>
    </row>
    <row r="1561" spans="3:4">
      <c r="C1561" s="237"/>
      <c r="D1561" s="238"/>
    </row>
    <row r="1562" spans="3:4">
      <c r="C1562" s="237"/>
      <c r="D1562" s="238"/>
    </row>
    <row r="1563" spans="3:4">
      <c r="C1563" s="237"/>
      <c r="D1563" s="238"/>
    </row>
    <row r="1564" spans="3:4">
      <c r="C1564" s="237"/>
      <c r="D1564" s="238"/>
    </row>
    <row r="1565" spans="3:4">
      <c r="C1565" s="237"/>
      <c r="D1565" s="238"/>
    </row>
    <row r="1566" spans="3:4">
      <c r="C1566" s="237"/>
      <c r="D1566" s="238"/>
    </row>
    <row r="1567" spans="3:4">
      <c r="C1567" s="237"/>
      <c r="D1567" s="238"/>
    </row>
    <row r="1568" spans="3:4">
      <c r="C1568" s="237"/>
      <c r="D1568" s="238"/>
    </row>
    <row r="1569" spans="3:4">
      <c r="C1569" s="237"/>
      <c r="D1569" s="238"/>
    </row>
    <row r="1570" spans="3:4">
      <c r="C1570" s="237"/>
      <c r="D1570" s="238"/>
    </row>
    <row r="1571" spans="3:4">
      <c r="C1571" s="237"/>
      <c r="D1571" s="238"/>
    </row>
    <row r="1572" spans="3:4">
      <c r="C1572" s="237"/>
      <c r="D1572" s="238"/>
    </row>
    <row r="1573" spans="3:4">
      <c r="C1573" s="237"/>
      <c r="D1573" s="238"/>
    </row>
    <row r="1574" spans="3:4">
      <c r="C1574" s="237"/>
      <c r="D1574" s="238"/>
    </row>
    <row r="1575" spans="3:4">
      <c r="C1575" s="237"/>
      <c r="D1575" s="238"/>
    </row>
    <row r="1576" spans="3:4">
      <c r="C1576" s="237"/>
      <c r="D1576" s="238"/>
    </row>
    <row r="1577" spans="3:4">
      <c r="C1577" s="237"/>
      <c r="D1577" s="238"/>
    </row>
    <row r="1578" spans="3:4">
      <c r="C1578" s="237"/>
      <c r="D1578" s="238"/>
    </row>
    <row r="1579" spans="3:4">
      <c r="C1579" s="237"/>
      <c r="D1579" s="238"/>
    </row>
    <row r="1580" spans="3:4">
      <c r="C1580" s="237"/>
      <c r="D1580" s="238"/>
    </row>
    <row r="1581" spans="3:4">
      <c r="C1581" s="237"/>
      <c r="D1581" s="238"/>
    </row>
    <row r="1582" spans="3:4">
      <c r="C1582" s="237"/>
      <c r="D1582" s="238"/>
    </row>
    <row r="1583" spans="3:4">
      <c r="C1583" s="237"/>
      <c r="D1583" s="238"/>
    </row>
    <row r="1584" spans="3:4">
      <c r="C1584" s="237"/>
      <c r="D1584" s="238"/>
    </row>
    <row r="1585" spans="3:4">
      <c r="C1585" s="237"/>
      <c r="D1585" s="238"/>
    </row>
    <row r="1586" spans="3:4">
      <c r="C1586" s="237"/>
      <c r="D1586" s="238"/>
    </row>
    <row r="1587" spans="3:4">
      <c r="C1587" s="237"/>
      <c r="D1587" s="238"/>
    </row>
    <row r="1588" spans="3:4">
      <c r="C1588" s="237"/>
      <c r="D1588" s="238"/>
    </row>
    <row r="1589" spans="3:4">
      <c r="C1589" s="237"/>
      <c r="D1589" s="238"/>
    </row>
    <row r="1590" spans="3:4">
      <c r="C1590" s="237"/>
      <c r="D1590" s="238"/>
    </row>
    <row r="1591" spans="3:4">
      <c r="C1591" s="237"/>
      <c r="D1591" s="238"/>
    </row>
    <row r="1592" spans="3:4">
      <c r="C1592" s="237"/>
      <c r="D1592" s="238"/>
    </row>
    <row r="1593" spans="3:4">
      <c r="C1593" s="237"/>
      <c r="D1593" s="238"/>
    </row>
    <row r="1594" spans="3:4">
      <c r="C1594" s="237"/>
      <c r="D1594" s="238"/>
    </row>
    <row r="1595" spans="3:4">
      <c r="C1595" s="237"/>
      <c r="D1595" s="238"/>
    </row>
    <row r="1596" spans="3:4">
      <c r="C1596" s="237"/>
      <c r="D1596" s="238"/>
    </row>
    <row r="1597" spans="3:4">
      <c r="C1597" s="237"/>
      <c r="D1597" s="238"/>
    </row>
    <row r="1598" spans="3:4">
      <c r="C1598" s="237"/>
      <c r="D1598" s="238"/>
    </row>
    <row r="1599" spans="3:4">
      <c r="C1599" s="237"/>
      <c r="D1599" s="238"/>
    </row>
    <row r="1600" spans="3:4">
      <c r="C1600" s="237"/>
      <c r="D1600" s="238"/>
    </row>
    <row r="1601" spans="3:4">
      <c r="C1601" s="237"/>
      <c r="D1601" s="238"/>
    </row>
    <row r="1602" spans="3:4">
      <c r="C1602" s="237"/>
      <c r="D1602" s="238"/>
    </row>
    <row r="1603" spans="3:4">
      <c r="C1603" s="237"/>
      <c r="D1603" s="238"/>
    </row>
    <row r="1604" spans="3:4">
      <c r="C1604" s="237"/>
      <c r="D1604" s="238"/>
    </row>
    <row r="1605" spans="3:4">
      <c r="C1605" s="237"/>
      <c r="D1605" s="238"/>
    </row>
    <row r="1606" spans="3:4">
      <c r="C1606" s="237"/>
      <c r="D1606" s="238"/>
    </row>
    <row r="1607" spans="3:4">
      <c r="C1607" s="237"/>
      <c r="D1607" s="238"/>
    </row>
    <row r="1608" spans="3:4">
      <c r="C1608" s="237"/>
      <c r="D1608" s="238"/>
    </row>
    <row r="1609" spans="3:4">
      <c r="C1609" s="237"/>
      <c r="D1609" s="238"/>
    </row>
    <row r="1610" spans="3:4">
      <c r="C1610" s="237"/>
      <c r="D1610" s="238"/>
    </row>
    <row r="1611" spans="3:4">
      <c r="C1611" s="237"/>
    </row>
    <row r="1612" spans="3:4">
      <c r="C1612" s="237"/>
    </row>
    <row r="1613" spans="3:4">
      <c r="C1613" s="237"/>
    </row>
    <row r="1614" spans="3:4">
      <c r="C1614" s="237"/>
    </row>
    <row r="1615" spans="3:4">
      <c r="C1615" s="23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9" t="s">
        <v>27</v>
      </c>
      <c r="B3" s="12" t="s">
        <v>26</v>
      </c>
      <c r="C3" s="11" t="e">
        <f>COUNTIFS(QTCT!$A$6:$A$100,#REF!,QTCT!#REF!,#REF!)</f>
        <v>#REF!</v>
      </c>
      <c r="D3" s="540" t="s">
        <v>17</v>
      </c>
      <c r="E3" s="541" t="s">
        <v>18</v>
      </c>
      <c r="F3" s="541" t="s">
        <v>18</v>
      </c>
      <c r="G3" s="541" t="s">
        <v>18</v>
      </c>
      <c r="H3" s="539" t="s">
        <v>9</v>
      </c>
      <c r="I3" s="539" t="s">
        <v>9</v>
      </c>
      <c r="J3" s="542" t="s">
        <v>2</v>
      </c>
      <c r="K3" s="539" t="s">
        <v>3</v>
      </c>
      <c r="L3" s="539" t="s">
        <v>13</v>
      </c>
      <c r="M3" s="540"/>
      <c r="N3" s="540"/>
      <c r="O3" s="563" t="s">
        <v>20</v>
      </c>
      <c r="P3" s="563" t="s">
        <v>20</v>
      </c>
      <c r="Q3" s="563" t="s">
        <v>20</v>
      </c>
      <c r="R3" s="541" t="s">
        <v>16</v>
      </c>
      <c r="S3" s="541" t="s">
        <v>16</v>
      </c>
      <c r="T3" s="541" t="s">
        <v>16</v>
      </c>
      <c r="U3" s="539" t="s">
        <v>21</v>
      </c>
    </row>
    <row r="4" spans="1:36" ht="29.45" customHeight="1">
      <c r="A4" s="539"/>
      <c r="B4" s="2" t="s">
        <v>23</v>
      </c>
      <c r="C4" s="11" t="e">
        <f t="array" ref="C4">MATCH(#REF!&amp;"X",QT_HoTen&amp;QT_Dang_ApDung,0)</f>
        <v>#REF!</v>
      </c>
      <c r="D4" s="540"/>
      <c r="E4" s="541"/>
      <c r="F4" s="541"/>
      <c r="G4" s="541"/>
      <c r="H4" s="539"/>
      <c r="I4" s="539"/>
      <c r="J4" s="543"/>
      <c r="K4" s="539"/>
      <c r="L4" s="539"/>
      <c r="M4" s="21" t="s">
        <v>3</v>
      </c>
      <c r="N4" s="21" t="s">
        <v>14</v>
      </c>
      <c r="O4" s="563"/>
      <c r="P4" s="563"/>
      <c r="Q4" s="563"/>
      <c r="R4" s="541"/>
      <c r="S4" s="541"/>
      <c r="T4" s="541"/>
      <c r="U4" s="539"/>
    </row>
    <row r="5" spans="1:36" ht="18" customHeight="1">
      <c r="A5" s="539"/>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1</v>
      </c>
    </row>
    <row r="9" spans="1:36" ht="15" customHeight="1">
      <c r="A9" s="542" t="s">
        <v>31</v>
      </c>
      <c r="B9" s="68" t="s">
        <v>26</v>
      </c>
      <c r="C9" s="545" t="s">
        <v>33</v>
      </c>
      <c r="D9" s="540" t="s">
        <v>17</v>
      </c>
      <c r="E9" s="541" t="s">
        <v>18</v>
      </c>
      <c r="F9" s="541" t="s">
        <v>18</v>
      </c>
      <c r="G9" s="541" t="s">
        <v>18</v>
      </c>
      <c r="H9" s="539" t="s">
        <v>9</v>
      </c>
      <c r="I9" s="539" t="s">
        <v>9</v>
      </c>
      <c r="J9" s="542" t="s">
        <v>2</v>
      </c>
      <c r="K9" s="539" t="s">
        <v>3</v>
      </c>
      <c r="L9" s="539" t="s">
        <v>13</v>
      </c>
      <c r="M9" s="540"/>
      <c r="N9" s="540"/>
      <c r="O9" s="563" t="s">
        <v>20</v>
      </c>
      <c r="P9" s="563" t="s">
        <v>20</v>
      </c>
      <c r="Q9" s="563" t="s">
        <v>20</v>
      </c>
      <c r="R9" s="541" t="s">
        <v>16</v>
      </c>
      <c r="S9" s="541" t="s">
        <v>16</v>
      </c>
      <c r="T9" s="541" t="s">
        <v>16</v>
      </c>
      <c r="U9" s="539" t="s">
        <v>21</v>
      </c>
    </row>
    <row r="10" spans="1:36" ht="30">
      <c r="A10" s="544"/>
      <c r="B10" s="67">
        <f>COUNTIF(DSDV!$G$7:$G$216,Them_DV!$F$10)</f>
        <v>0</v>
      </c>
      <c r="C10" s="546"/>
      <c r="D10" s="540"/>
      <c r="E10" s="541"/>
      <c r="F10" s="541"/>
      <c r="G10" s="541"/>
      <c r="H10" s="539"/>
      <c r="I10" s="539"/>
      <c r="J10" s="543"/>
      <c r="K10" s="539"/>
      <c r="L10" s="539"/>
      <c r="M10" s="21" t="s">
        <v>3</v>
      </c>
      <c r="N10" s="21" t="s">
        <v>14</v>
      </c>
      <c r="O10" s="563"/>
      <c r="P10" s="563"/>
      <c r="Q10" s="563"/>
      <c r="R10" s="541"/>
      <c r="S10" s="541"/>
      <c r="T10" s="541"/>
      <c r="U10" s="539"/>
    </row>
    <row r="11" spans="1:36" ht="16.899999999999999" customHeight="1">
      <c r="A11" s="544"/>
      <c r="B11" s="68" t="s">
        <v>28</v>
      </c>
      <c r="C11" s="547"/>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44"/>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44"/>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45" t="s">
        <v>162</v>
      </c>
      <c r="D13" s="550" t="s">
        <v>463</v>
      </c>
      <c r="E13" s="550" t="s">
        <v>464</v>
      </c>
      <c r="F13" s="550" t="s">
        <v>155</v>
      </c>
      <c r="G13" s="550" t="s">
        <v>482</v>
      </c>
      <c r="H13" s="537" t="s">
        <v>480</v>
      </c>
      <c r="I13" s="537" t="s">
        <v>481</v>
      </c>
      <c r="J13" s="537" t="s">
        <v>10</v>
      </c>
      <c r="K13" s="553" t="s">
        <v>112</v>
      </c>
      <c r="L13" s="537" t="s">
        <v>465</v>
      </c>
      <c r="M13" s="564" t="s">
        <v>1</v>
      </c>
      <c r="N13" s="555" t="s">
        <v>466</v>
      </c>
      <c r="O13" s="556"/>
      <c r="P13" s="556"/>
      <c r="Q13" s="556"/>
      <c r="R13" s="556"/>
      <c r="S13" s="556"/>
      <c r="T13" s="557"/>
      <c r="U13" s="558" t="s">
        <v>3</v>
      </c>
      <c r="V13" s="559"/>
      <c r="W13" s="553" t="s">
        <v>487</v>
      </c>
      <c r="X13" s="553" t="s">
        <v>467</v>
      </c>
      <c r="Y13" s="537" t="s">
        <v>468</v>
      </c>
      <c r="Z13" s="537" t="s">
        <v>95</v>
      </c>
      <c r="AA13" s="537" t="s">
        <v>111</v>
      </c>
      <c r="AB13" s="568" t="s">
        <v>469</v>
      </c>
      <c r="AC13" s="537" t="s">
        <v>160</v>
      </c>
      <c r="AD13" s="537" t="s">
        <v>470</v>
      </c>
      <c r="AE13" s="537" t="s">
        <v>471</v>
      </c>
      <c r="AF13" s="537" t="s">
        <v>472</v>
      </c>
      <c r="AG13" s="566" t="s">
        <v>473</v>
      </c>
      <c r="AH13" s="537" t="s">
        <v>488</v>
      </c>
      <c r="AI13" s="537" t="s">
        <v>116</v>
      </c>
      <c r="AJ13" s="537" t="s">
        <v>474</v>
      </c>
    </row>
    <row r="14" spans="1:36" ht="41.25" customHeight="1">
      <c r="A14" s="544"/>
      <c r="B14" s="70"/>
      <c r="C14" s="546"/>
      <c r="D14" s="538"/>
      <c r="E14" s="538"/>
      <c r="F14" s="538"/>
      <c r="G14" s="538"/>
      <c r="H14" s="538"/>
      <c r="I14" s="538"/>
      <c r="J14" s="549"/>
      <c r="K14" s="554"/>
      <c r="L14" s="549"/>
      <c r="M14" s="565"/>
      <c r="N14" s="187" t="s">
        <v>475</v>
      </c>
      <c r="O14" s="190" t="s">
        <v>483</v>
      </c>
      <c r="P14" s="190" t="s">
        <v>476</v>
      </c>
      <c r="Q14" s="190" t="s">
        <v>484</v>
      </c>
      <c r="R14" s="191" t="s">
        <v>477</v>
      </c>
      <c r="S14" s="191" t="s">
        <v>485</v>
      </c>
      <c r="T14" s="188" t="s">
        <v>486</v>
      </c>
      <c r="U14" s="189" t="s">
        <v>478</v>
      </c>
      <c r="V14" s="189" t="s">
        <v>479</v>
      </c>
      <c r="W14" s="554"/>
      <c r="X14" s="554"/>
      <c r="Y14" s="549"/>
      <c r="Z14" s="549"/>
      <c r="AA14" s="549"/>
      <c r="AB14" s="569"/>
      <c r="AC14" s="549"/>
      <c r="AD14" s="549"/>
      <c r="AE14" s="549"/>
      <c r="AF14" s="549"/>
      <c r="AG14" s="567"/>
      <c r="AH14" s="538"/>
      <c r="AI14" s="538"/>
      <c r="AJ14" s="538"/>
    </row>
    <row r="15" spans="1:36" ht="19.149999999999999" customHeight="1">
      <c r="A15" s="543"/>
      <c r="B15" s="71"/>
      <c r="C15" s="548"/>
      <c r="D15" s="2">
        <f>Them_DV!C5</f>
        <v>0</v>
      </c>
      <c r="E15" s="2">
        <f>Them_DV!G5</f>
        <v>0</v>
      </c>
      <c r="F15" s="2" t="str">
        <f>"'"&amp;Them_DV!C3</f>
        <v>'</v>
      </c>
      <c r="G15" s="2" t="str">
        <f>"'"&amp;Them_DV!G3</f>
        <v>'</v>
      </c>
      <c r="H15" s="2">
        <f>Them_DV!C10</f>
        <v>0</v>
      </c>
      <c r="I15" s="193">
        <f>Them_DV!F10</f>
        <v>0</v>
      </c>
      <c r="J15" s="194">
        <f>Them_DV!C12</f>
        <v>0</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f>Them_DV!C7</f>
        <v>0</v>
      </c>
      <c r="X15" s="4">
        <f>Them_DV!D7</f>
        <v>0</v>
      </c>
      <c r="Y15" s="4">
        <f>Them_DV!G7</f>
        <v>0</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42" t="s">
        <v>9</v>
      </c>
      <c r="D33" s="561" t="s">
        <v>165</v>
      </c>
      <c r="E33" s="562"/>
      <c r="F33" s="563" t="s">
        <v>168</v>
      </c>
      <c r="G33" s="551" t="s">
        <v>131</v>
      </c>
      <c r="H33" s="551"/>
      <c r="I33" s="560"/>
      <c r="J33" s="552"/>
    </row>
    <row r="34" spans="2:10">
      <c r="C34" s="543"/>
      <c r="D34" s="10" t="s">
        <v>166</v>
      </c>
      <c r="E34" s="21" t="s">
        <v>167</v>
      </c>
      <c r="F34" s="563"/>
      <c r="G34" s="551"/>
      <c r="H34" s="551"/>
      <c r="I34" s="560"/>
      <c r="J34" s="552"/>
    </row>
    <row r="35" spans="2:10">
      <c r="C35" s="12" t="str">
        <f>Them_QTCT!D5</f>
        <v>Cao Văn Hiệp</v>
      </c>
      <c r="D35" s="127">
        <f>Them_QTCT!D7</f>
        <v>0</v>
      </c>
      <c r="E35" s="218">
        <f>Them_QTCT!F7</f>
        <v>0</v>
      </c>
      <c r="F35" s="127">
        <f>Them_QTCT!D9</f>
        <v>0</v>
      </c>
      <c r="G35" s="216">
        <f>Them_QTCT!D13</f>
        <v>0</v>
      </c>
      <c r="H35" s="216"/>
      <c r="I35" s="217"/>
      <c r="J35" s="217"/>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25" sqref="D25:D26"/>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74" t="s">
        <v>169</v>
      </c>
      <c r="B2" s="574"/>
      <c r="C2" s="574"/>
      <c r="D2" s="574"/>
      <c r="E2" s="574"/>
    </row>
    <row r="3" spans="1:5" ht="19.5" customHeight="1">
      <c r="A3" s="570" t="s">
        <v>9</v>
      </c>
      <c r="B3" s="572" t="s">
        <v>165</v>
      </c>
      <c r="C3" s="573"/>
      <c r="D3" s="570" t="s">
        <v>168</v>
      </c>
      <c r="E3" s="570" t="s">
        <v>131</v>
      </c>
    </row>
    <row r="4" spans="1:5" ht="19.5" customHeight="1">
      <c r="A4" s="571"/>
      <c r="B4" s="128" t="s">
        <v>166</v>
      </c>
      <c r="C4" s="129" t="s">
        <v>167</v>
      </c>
      <c r="D4" s="571"/>
      <c r="E4" s="571"/>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736</v>
      </c>
      <c r="B8" s="174" t="s">
        <v>743</v>
      </c>
      <c r="C8" s="174" t="s">
        <v>744</v>
      </c>
      <c r="D8" s="131" t="s">
        <v>745</v>
      </c>
      <c r="E8" s="174" t="s">
        <v>134</v>
      </c>
    </row>
    <row r="9" spans="1:5">
      <c r="A9" s="131" t="s">
        <v>549</v>
      </c>
      <c r="B9" s="174" t="s">
        <v>556</v>
      </c>
      <c r="C9" s="174" t="s">
        <v>557</v>
      </c>
      <c r="D9" s="131" t="s">
        <v>558</v>
      </c>
      <c r="E9" s="174">
        <v>0</v>
      </c>
    </row>
    <row r="10" spans="1:5">
      <c r="A10" s="131" t="s">
        <v>549</v>
      </c>
      <c r="B10" s="174" t="s">
        <v>559</v>
      </c>
      <c r="C10" s="174" t="s">
        <v>560</v>
      </c>
      <c r="D10" s="131" t="s">
        <v>561</v>
      </c>
      <c r="E10" s="174">
        <v>0</v>
      </c>
    </row>
    <row r="11" spans="1:5">
      <c r="A11" s="131" t="s">
        <v>549</v>
      </c>
      <c r="B11" s="174" t="s">
        <v>562</v>
      </c>
      <c r="C11" s="174" t="s">
        <v>563</v>
      </c>
      <c r="D11" s="131" t="s">
        <v>564</v>
      </c>
      <c r="E11" s="174" t="s">
        <v>135</v>
      </c>
    </row>
    <row r="12" spans="1:5">
      <c r="A12" s="131" t="s">
        <v>549</v>
      </c>
      <c r="B12" s="174" t="s">
        <v>563</v>
      </c>
      <c r="C12" s="174" t="s">
        <v>567</v>
      </c>
      <c r="D12" s="131" t="s">
        <v>568</v>
      </c>
      <c r="E12" s="174" t="s">
        <v>135</v>
      </c>
    </row>
    <row r="13" spans="1:5">
      <c r="A13" s="131" t="s">
        <v>549</v>
      </c>
      <c r="B13" s="174" t="s">
        <v>569</v>
      </c>
      <c r="C13" s="174" t="s">
        <v>570</v>
      </c>
      <c r="D13" s="131" t="s">
        <v>571</v>
      </c>
      <c r="E13" s="174" t="s">
        <v>135</v>
      </c>
    </row>
    <row r="14" spans="1:5">
      <c r="A14" s="131" t="s">
        <v>549</v>
      </c>
      <c r="B14" s="174" t="s">
        <v>572</v>
      </c>
      <c r="C14" s="174" t="s">
        <v>573</v>
      </c>
      <c r="D14" s="131" t="s">
        <v>574</v>
      </c>
      <c r="E14" s="174" t="s">
        <v>135</v>
      </c>
    </row>
    <row r="15" spans="1:5">
      <c r="A15" s="131" t="s">
        <v>549</v>
      </c>
      <c r="B15" s="174" t="s">
        <v>655</v>
      </c>
      <c r="C15" s="174" t="s">
        <v>656</v>
      </c>
      <c r="D15" s="131" t="s">
        <v>657</v>
      </c>
      <c r="E15" s="174" t="s">
        <v>658</v>
      </c>
    </row>
    <row r="16" spans="1:5">
      <c r="A16" s="131" t="s">
        <v>490</v>
      </c>
      <c r="B16" s="174" t="s">
        <v>499</v>
      </c>
      <c r="C16" s="174" t="s">
        <v>501</v>
      </c>
      <c r="D16" s="131" t="s">
        <v>500</v>
      </c>
      <c r="E16" s="174">
        <v>45</v>
      </c>
    </row>
    <row r="17" spans="1:5">
      <c r="A17" s="131" t="s">
        <v>490</v>
      </c>
      <c r="B17" s="174" t="s">
        <v>527</v>
      </c>
      <c r="C17" s="174" t="s">
        <v>528</v>
      </c>
      <c r="D17" s="131" t="s">
        <v>529</v>
      </c>
      <c r="E17" s="174">
        <v>0</v>
      </c>
    </row>
    <row r="18" spans="1:5">
      <c r="A18" s="131" t="s">
        <v>490</v>
      </c>
      <c r="B18" s="174" t="s">
        <v>530</v>
      </c>
      <c r="C18" s="174" t="s">
        <v>530</v>
      </c>
      <c r="D18" s="131" t="s">
        <v>529</v>
      </c>
      <c r="E18" s="174">
        <v>0</v>
      </c>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7" t="s">
        <v>170</v>
      </c>
      <c r="B2" s="577"/>
      <c r="C2" s="577"/>
      <c r="D2" s="577"/>
      <c r="E2" s="577"/>
      <c r="F2" s="577"/>
      <c r="G2" s="577"/>
      <c r="H2" s="577"/>
      <c r="I2" s="577"/>
      <c r="J2" s="577"/>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75" t="s">
        <v>174</v>
      </c>
      <c r="B5" s="578" t="s">
        <v>172</v>
      </c>
      <c r="C5" s="579"/>
      <c r="D5" s="596" t="s">
        <v>736</v>
      </c>
      <c r="E5" s="597"/>
      <c r="F5" s="598" t="s">
        <v>554</v>
      </c>
      <c r="G5" s="599"/>
      <c r="H5" s="595"/>
      <c r="I5" s="595"/>
      <c r="J5" s="45"/>
      <c r="K5" s="32"/>
      <c r="L5" s="16"/>
      <c r="M5" s="16"/>
      <c r="N5" s="16"/>
      <c r="O5" s="16"/>
      <c r="P5" s="16"/>
      <c r="Q5" s="16"/>
      <c r="R5" s="16"/>
    </row>
    <row r="6" spans="1:18" ht="15" customHeight="1">
      <c r="A6" s="575"/>
      <c r="B6" s="122"/>
      <c r="C6" s="123"/>
      <c r="D6" s="126"/>
      <c r="E6" s="124"/>
      <c r="F6" s="126"/>
      <c r="G6" s="126"/>
      <c r="H6" s="124"/>
      <c r="I6" s="126"/>
      <c r="J6" s="45"/>
      <c r="K6" s="32"/>
      <c r="L6" s="16"/>
      <c r="M6" s="16"/>
      <c r="N6" s="16"/>
      <c r="O6" s="16"/>
      <c r="P6" s="16"/>
      <c r="Q6" s="16"/>
      <c r="R6" s="16"/>
    </row>
    <row r="7" spans="1:18" ht="22.35" customHeight="1">
      <c r="A7" s="575"/>
      <c r="B7" s="580" t="s">
        <v>171</v>
      </c>
      <c r="C7" s="581"/>
      <c r="D7" s="167"/>
      <c r="E7" s="124" t="s">
        <v>167</v>
      </c>
      <c r="F7" s="168"/>
      <c r="G7" s="125"/>
      <c r="H7" s="125"/>
      <c r="I7" s="125"/>
      <c r="J7" s="45"/>
      <c r="K7" s="32"/>
      <c r="L7" s="16"/>
      <c r="M7" s="16"/>
      <c r="N7" s="16"/>
      <c r="O7" s="16"/>
      <c r="P7" s="16"/>
      <c r="Q7" s="16"/>
      <c r="R7" s="16"/>
    </row>
    <row r="8" spans="1:18" ht="12.75" customHeight="1">
      <c r="A8" s="575"/>
      <c r="B8" s="122"/>
      <c r="C8" s="123"/>
      <c r="D8" s="126"/>
      <c r="E8" s="124"/>
      <c r="F8" s="126"/>
      <c r="G8" s="126"/>
      <c r="H8" s="124"/>
      <c r="I8" s="126"/>
      <c r="J8" s="45"/>
      <c r="K8" s="32"/>
      <c r="L8" s="16"/>
      <c r="M8" s="16"/>
      <c r="N8" s="16"/>
      <c r="O8" s="16"/>
      <c r="P8" s="16"/>
      <c r="Q8" s="16"/>
      <c r="R8" s="16"/>
    </row>
    <row r="9" spans="1:18" ht="22.35" customHeight="1">
      <c r="A9" s="575"/>
      <c r="B9" s="591" t="s">
        <v>175</v>
      </c>
      <c r="C9" s="592"/>
      <c r="D9" s="582"/>
      <c r="E9" s="583"/>
      <c r="F9" s="583"/>
      <c r="G9" s="583"/>
      <c r="H9" s="583"/>
      <c r="I9" s="584"/>
      <c r="J9" s="45"/>
      <c r="K9" s="32"/>
      <c r="L9" s="16"/>
      <c r="M9" s="16"/>
      <c r="N9" s="16"/>
      <c r="O9" s="16"/>
      <c r="P9" s="16"/>
      <c r="Q9" s="16"/>
      <c r="R9" s="16"/>
    </row>
    <row r="10" spans="1:18" ht="22.35" customHeight="1">
      <c r="A10" s="575"/>
      <c r="B10" s="591"/>
      <c r="C10" s="592"/>
      <c r="D10" s="585"/>
      <c r="E10" s="586"/>
      <c r="F10" s="586"/>
      <c r="G10" s="586"/>
      <c r="H10" s="586"/>
      <c r="I10" s="587"/>
      <c r="J10" s="45"/>
      <c r="K10" s="32"/>
      <c r="L10" s="16"/>
      <c r="M10" s="16"/>
      <c r="N10" s="16"/>
      <c r="O10" s="16"/>
      <c r="P10" s="16"/>
      <c r="Q10" s="16"/>
      <c r="R10" s="16"/>
    </row>
    <row r="11" spans="1:18" ht="22.35" customHeight="1">
      <c r="A11" s="575"/>
      <c r="B11" s="591"/>
      <c r="C11" s="592"/>
      <c r="D11" s="588"/>
      <c r="E11" s="589"/>
      <c r="F11" s="589"/>
      <c r="G11" s="589"/>
      <c r="H11" s="589"/>
      <c r="I11" s="590"/>
      <c r="J11" s="45"/>
      <c r="K11" s="32"/>
      <c r="L11" s="16"/>
      <c r="M11" s="16"/>
      <c r="N11" s="16"/>
      <c r="O11" s="16"/>
      <c r="P11" s="16"/>
      <c r="Q11" s="16"/>
      <c r="R11" s="16"/>
    </row>
    <row r="12" spans="1:18" ht="12.75" customHeight="1">
      <c r="A12" s="575"/>
      <c r="B12" s="122"/>
      <c r="C12" s="123"/>
      <c r="D12" s="126"/>
      <c r="E12" s="124"/>
      <c r="F12" s="126"/>
      <c r="G12" s="126"/>
      <c r="H12" s="124"/>
      <c r="I12" s="126"/>
      <c r="J12" s="45"/>
      <c r="K12" s="32"/>
      <c r="L12" s="16"/>
      <c r="M12" s="16"/>
      <c r="N12" s="16"/>
      <c r="O12" s="16"/>
      <c r="P12" s="16"/>
      <c r="Q12" s="16"/>
      <c r="R12" s="16"/>
    </row>
    <row r="13" spans="1:18" ht="22.35" customHeight="1">
      <c r="A13" s="575"/>
      <c r="B13" s="580" t="s">
        <v>173</v>
      </c>
      <c r="C13" s="581"/>
      <c r="D13" s="593"/>
      <c r="E13" s="594"/>
      <c r="F13" s="125"/>
      <c r="G13" s="125"/>
      <c r="H13" s="125"/>
      <c r="I13" s="125"/>
      <c r="J13" s="45"/>
      <c r="K13" s="32"/>
      <c r="L13" s="16"/>
      <c r="M13" s="16"/>
      <c r="N13" s="16"/>
      <c r="O13" s="16"/>
      <c r="P13" s="16"/>
      <c r="Q13" s="16"/>
      <c r="R13" s="16"/>
    </row>
    <row r="14" spans="1:18" ht="20.25" customHeight="1">
      <c r="A14" s="576"/>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25.5" customHeight="1"/>
    <row r="2" spans="1:12" ht="25.5" customHeight="1"/>
    <row r="3" spans="1:12" ht="22.5" customHeight="1">
      <c r="A3" s="602" t="s">
        <v>640</v>
      </c>
      <c r="B3" s="603"/>
      <c r="C3" s="603"/>
      <c r="D3" s="603"/>
      <c r="E3" s="603"/>
      <c r="F3" s="603"/>
      <c r="G3" s="603"/>
      <c r="H3" s="603"/>
      <c r="I3" s="603"/>
      <c r="J3" s="603"/>
      <c r="K3" s="603"/>
      <c r="L3" s="604"/>
    </row>
    <row r="4" spans="1:12" ht="15" customHeight="1">
      <c r="A4" s="605"/>
      <c r="B4" s="606"/>
      <c r="C4" s="606"/>
      <c r="D4" s="606"/>
      <c r="E4" s="606"/>
      <c r="F4" s="606"/>
      <c r="G4" s="606"/>
      <c r="H4" s="606"/>
      <c r="I4" s="606"/>
      <c r="J4" s="606"/>
      <c r="K4" s="606"/>
      <c r="L4" s="607"/>
    </row>
    <row r="5" spans="1:12" ht="8.25" customHeight="1">
      <c r="A5" s="398"/>
      <c r="B5" s="399"/>
      <c r="C5" s="399"/>
      <c r="D5" s="399"/>
      <c r="E5" s="399"/>
      <c r="F5" s="399"/>
      <c r="G5" s="399"/>
      <c r="H5" s="399"/>
      <c r="I5" s="399"/>
      <c r="J5" s="399"/>
      <c r="K5" s="399"/>
      <c r="L5" s="400"/>
    </row>
    <row r="6" spans="1:12" ht="24" customHeight="1">
      <c r="A6" s="608" t="s">
        <v>174</v>
      </c>
      <c r="B6" s="353"/>
      <c r="C6" s="354"/>
      <c r="D6" s="354"/>
      <c r="E6" s="354"/>
      <c r="F6" s="354"/>
      <c r="G6" s="354"/>
      <c r="H6" s="354"/>
      <c r="I6" s="354"/>
      <c r="J6" s="354"/>
      <c r="K6" s="354"/>
      <c r="L6" s="355"/>
    </row>
    <row r="7" spans="1:12" ht="24" customHeight="1">
      <c r="A7" s="608"/>
      <c r="B7" s="353"/>
      <c r="C7" s="354"/>
      <c r="D7" s="401" t="s">
        <v>642</v>
      </c>
      <c r="E7" s="601" t="s">
        <v>736</v>
      </c>
      <c r="F7" s="601"/>
      <c r="G7" s="601"/>
      <c r="H7" s="600" t="s">
        <v>641</v>
      </c>
      <c r="I7" s="600"/>
      <c r="J7" s="600"/>
      <c r="K7" s="354"/>
      <c r="L7" s="355"/>
    </row>
    <row r="8" spans="1:12" ht="13.5" customHeight="1">
      <c r="A8" s="608"/>
      <c r="B8" s="353"/>
      <c r="C8" s="354"/>
      <c r="D8" s="354"/>
      <c r="E8" s="354"/>
      <c r="F8" s="354"/>
      <c r="G8" s="354"/>
      <c r="H8" s="354"/>
      <c r="I8" s="354"/>
      <c r="J8" s="354"/>
      <c r="K8" s="354"/>
      <c r="L8" s="355"/>
    </row>
    <row r="9" spans="1:12" ht="24" customHeight="1">
      <c r="A9" s="608"/>
      <c r="B9" s="353"/>
      <c r="C9" s="354"/>
      <c r="D9" s="401" t="s">
        <v>643</v>
      </c>
      <c r="E9" s="275"/>
      <c r="F9" s="402" t="s">
        <v>644</v>
      </c>
      <c r="G9" s="275"/>
      <c r="H9" s="354"/>
      <c r="I9" s="354"/>
      <c r="J9" s="354"/>
      <c r="K9" s="354"/>
      <c r="L9" s="355"/>
    </row>
    <row r="10" spans="1:12" ht="16.5" customHeight="1">
      <c r="A10" s="608"/>
      <c r="B10" s="353"/>
      <c r="C10" s="354"/>
      <c r="D10" s="354"/>
      <c r="E10" s="354"/>
      <c r="F10" s="354"/>
      <c r="G10" s="354"/>
      <c r="H10" s="354"/>
      <c r="I10" s="354"/>
      <c r="J10" s="354"/>
      <c r="K10" s="354"/>
      <c r="L10" s="355"/>
    </row>
    <row r="11" spans="1:12" ht="27.75" customHeight="1">
      <c r="A11" s="608"/>
      <c r="B11" s="353"/>
      <c r="C11" s="354"/>
      <c r="D11" s="401" t="s">
        <v>646</v>
      </c>
      <c r="E11" s="610"/>
      <c r="F11" s="611"/>
      <c r="G11" s="611"/>
      <c r="H11" s="611"/>
      <c r="I11" s="611"/>
      <c r="J11" s="611"/>
      <c r="K11" s="612"/>
      <c r="L11" s="355"/>
    </row>
    <row r="12" spans="1:12" ht="15.75" customHeight="1">
      <c r="A12" s="608"/>
      <c r="B12" s="353"/>
      <c r="C12" s="354"/>
      <c r="D12" s="401"/>
      <c r="E12" s="390"/>
      <c r="F12" s="390"/>
      <c r="G12" s="390"/>
      <c r="H12" s="390"/>
      <c r="I12" s="390"/>
      <c r="J12" s="390"/>
      <c r="K12" s="390"/>
      <c r="L12" s="355"/>
    </row>
    <row r="13" spans="1:12" ht="27.75" customHeight="1">
      <c r="A13" s="608"/>
      <c r="B13" s="354"/>
      <c r="C13" s="354"/>
      <c r="D13" s="401" t="s">
        <v>645</v>
      </c>
      <c r="E13" s="613"/>
      <c r="F13" s="613"/>
      <c r="G13" s="613"/>
      <c r="H13" s="613"/>
      <c r="I13" s="613"/>
      <c r="J13" s="613"/>
      <c r="K13" s="613"/>
      <c r="L13" s="355"/>
    </row>
    <row r="14" spans="1:12" ht="15.75" customHeight="1">
      <c r="A14" s="608"/>
      <c r="B14" s="354"/>
      <c r="C14" s="354"/>
      <c r="D14" s="401"/>
      <c r="E14" s="390"/>
      <c r="F14" s="390"/>
      <c r="G14" s="390"/>
      <c r="H14" s="390"/>
      <c r="I14" s="390"/>
      <c r="J14" s="390"/>
      <c r="K14" s="390"/>
      <c r="L14" s="355"/>
    </row>
    <row r="15" spans="1:12" ht="27.75" customHeight="1">
      <c r="A15" s="608"/>
      <c r="B15" s="354"/>
      <c r="C15" s="354"/>
      <c r="D15" s="401" t="s">
        <v>647</v>
      </c>
      <c r="E15" s="613"/>
      <c r="F15" s="613"/>
      <c r="G15" s="613"/>
      <c r="H15" s="613"/>
      <c r="I15" s="613"/>
      <c r="J15" s="613"/>
      <c r="K15" s="613"/>
      <c r="L15" s="355"/>
    </row>
    <row r="16" spans="1:12" ht="20.25">
      <c r="A16" s="608"/>
      <c r="B16" s="354"/>
      <c r="C16" s="354"/>
      <c r="D16" s="401"/>
      <c r="E16" s="390"/>
      <c r="F16" s="390"/>
      <c r="G16" s="390"/>
      <c r="H16" s="390"/>
      <c r="I16" s="390"/>
      <c r="J16" s="390"/>
      <c r="K16" s="390"/>
      <c r="L16" s="355"/>
    </row>
    <row r="17" spans="1:12" ht="27.75" customHeight="1">
      <c r="A17" s="608"/>
      <c r="B17" s="354"/>
      <c r="C17" s="354"/>
      <c r="D17" s="401" t="s">
        <v>648</v>
      </c>
      <c r="E17" s="613"/>
      <c r="F17" s="613"/>
      <c r="G17" s="613"/>
      <c r="H17" s="613"/>
      <c r="I17" s="613"/>
      <c r="J17" s="613"/>
      <c r="K17" s="613"/>
      <c r="L17" s="355"/>
    </row>
    <row r="18" spans="1:12" ht="20.25">
      <c r="A18" s="608"/>
      <c r="B18" s="354"/>
      <c r="C18" s="354"/>
      <c r="D18" s="401"/>
      <c r="E18" s="390"/>
      <c r="F18" s="390"/>
      <c r="G18" s="390"/>
      <c r="H18" s="390"/>
      <c r="I18" s="390"/>
      <c r="J18" s="390"/>
      <c r="K18" s="390"/>
      <c r="L18" s="355"/>
    </row>
    <row r="19" spans="1:12" ht="27.75" customHeight="1">
      <c r="A19" s="608"/>
      <c r="B19" s="354"/>
      <c r="C19" s="354"/>
      <c r="D19" s="401" t="s">
        <v>649</v>
      </c>
      <c r="E19" s="613"/>
      <c r="F19" s="613"/>
      <c r="G19" s="613"/>
      <c r="H19" s="613"/>
      <c r="I19" s="613"/>
      <c r="J19" s="613"/>
      <c r="K19" s="613"/>
      <c r="L19" s="355"/>
    </row>
    <row r="20" spans="1:12" ht="20.25">
      <c r="A20" s="609"/>
      <c r="B20" s="403"/>
      <c r="C20" s="403"/>
      <c r="D20" s="403"/>
      <c r="E20" s="403"/>
      <c r="F20" s="403"/>
      <c r="G20" s="403"/>
      <c r="H20" s="403"/>
      <c r="I20" s="403"/>
      <c r="J20" s="403"/>
      <c r="K20" s="403"/>
      <c r="L20" s="395"/>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opLeftCell="A977" workbookViewId="0">
      <selection activeCell="A1000" sqref="A1000"/>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15" t="s">
        <v>638</v>
      </c>
      <c r="B2" s="616"/>
      <c r="C2" s="616"/>
      <c r="D2" s="616"/>
      <c r="E2" s="616"/>
      <c r="F2" s="616"/>
      <c r="G2" s="616"/>
      <c r="H2" s="617"/>
    </row>
    <row r="3" spans="1:11">
      <c r="A3" s="570" t="s">
        <v>9</v>
      </c>
      <c r="B3" s="614" t="s">
        <v>625</v>
      </c>
      <c r="C3" s="614" t="s">
        <v>626</v>
      </c>
      <c r="D3" s="618" t="s">
        <v>165</v>
      </c>
      <c r="E3" s="618"/>
      <c r="F3" s="614" t="s">
        <v>627</v>
      </c>
      <c r="G3" s="614" t="s">
        <v>639</v>
      </c>
      <c r="H3" s="614" t="s">
        <v>220</v>
      </c>
    </row>
    <row r="4" spans="1:11">
      <c r="A4" s="571"/>
      <c r="B4" s="614"/>
      <c r="C4" s="614"/>
      <c r="D4" s="128" t="s">
        <v>166</v>
      </c>
      <c r="E4" s="129" t="s">
        <v>167</v>
      </c>
      <c r="F4" s="614"/>
      <c r="G4" s="614"/>
      <c r="H4" s="614"/>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t="s">
        <v>736</v>
      </c>
      <c r="B12" s="264" t="s">
        <v>739</v>
      </c>
      <c r="C12" s="264" t="s">
        <v>741</v>
      </c>
      <c r="D12" s="265">
        <v>41275</v>
      </c>
      <c r="E12" s="265">
        <v>41640</v>
      </c>
      <c r="F12" s="264" t="s">
        <v>697</v>
      </c>
      <c r="G12" s="264" t="s">
        <v>742</v>
      </c>
      <c r="H12" s="264" t="s">
        <v>148</v>
      </c>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row>
    <row r="1007" spans="1:11">
      <c r="K1007" s="310"/>
    </row>
    <row r="1008" spans="1:11">
      <c r="K1008" s="31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68" customWidth="1"/>
    <col min="2" max="2" width="97.140625" style="268" customWidth="1"/>
  </cols>
  <sheetData>
    <row r="1" spans="1:2" ht="26.25">
      <c r="A1" s="619" t="s">
        <v>669</v>
      </c>
      <c r="B1" s="619"/>
    </row>
    <row r="2" spans="1:2">
      <c r="A2" s="270" t="s">
        <v>9</v>
      </c>
      <c r="B2" s="270" t="s">
        <v>669</v>
      </c>
    </row>
    <row r="3" spans="1:2">
      <c r="A3" s="269" t="s">
        <v>549</v>
      </c>
      <c r="B3" s="269"/>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20" t="s">
        <v>672</v>
      </c>
      <c r="B201" s="620"/>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6.5" customHeight="1"/>
    <row r="2" spans="1:16" ht="20.25" customHeight="1">
      <c r="A2" s="621" t="s">
        <v>740</v>
      </c>
      <c r="B2" s="622"/>
      <c r="C2" s="622"/>
      <c r="D2" s="622"/>
      <c r="E2" s="622"/>
      <c r="F2" s="622"/>
      <c r="G2" s="622"/>
      <c r="H2" s="622"/>
      <c r="I2" s="622"/>
      <c r="J2" s="622"/>
      <c r="K2" s="622"/>
      <c r="L2" s="623"/>
    </row>
    <row r="3" spans="1:16" ht="20.25" customHeight="1" thickBot="1">
      <c r="A3" s="624"/>
      <c r="B3" s="625"/>
      <c r="C3" s="625"/>
      <c r="D3" s="625"/>
      <c r="E3" s="625"/>
      <c r="F3" s="625"/>
      <c r="G3" s="625"/>
      <c r="H3" s="625"/>
      <c r="I3" s="625"/>
      <c r="J3" s="625"/>
      <c r="K3" s="625"/>
      <c r="L3" s="626"/>
    </row>
    <row r="4" spans="1:16" ht="20.25">
      <c r="A4" s="629" t="s">
        <v>174</v>
      </c>
      <c r="B4" s="404"/>
      <c r="C4" s="405"/>
      <c r="D4" s="405"/>
      <c r="E4" s="405"/>
      <c r="F4" s="405"/>
      <c r="G4" s="405"/>
      <c r="H4" s="405"/>
      <c r="I4" s="405"/>
      <c r="J4" s="405"/>
      <c r="K4" s="627"/>
      <c r="L4" s="628"/>
    </row>
    <row r="5" spans="1:16" ht="20.25">
      <c r="A5" s="629"/>
      <c r="B5" s="404"/>
      <c r="C5" s="406" t="s">
        <v>642</v>
      </c>
      <c r="D5" s="631" t="s">
        <v>736</v>
      </c>
      <c r="E5" s="631"/>
      <c r="F5" s="631"/>
      <c r="G5" s="632" t="s">
        <v>641</v>
      </c>
      <c r="H5" s="632"/>
      <c r="I5" s="632"/>
      <c r="J5" s="405"/>
      <c r="K5" s="628"/>
      <c r="L5" s="628"/>
    </row>
    <row r="6" spans="1:16" ht="20.25">
      <c r="A6" s="629"/>
      <c r="B6" s="404"/>
      <c r="C6" s="406"/>
      <c r="D6" s="267"/>
      <c r="E6" s="267"/>
      <c r="F6" s="267"/>
      <c r="G6" s="406"/>
      <c r="H6" s="406"/>
      <c r="I6" s="406"/>
      <c r="J6" s="405"/>
      <c r="K6" s="405"/>
      <c r="L6" s="407"/>
    </row>
    <row r="7" spans="1:16" ht="20.25">
      <c r="A7" s="629"/>
      <c r="B7" s="408"/>
      <c r="C7" s="409"/>
      <c r="D7" s="410"/>
      <c r="E7" s="410"/>
      <c r="F7" s="410"/>
      <c r="G7" s="410"/>
      <c r="H7" s="410"/>
      <c r="I7" s="410"/>
      <c r="J7" s="410"/>
      <c r="K7" s="411"/>
      <c r="L7" s="407"/>
    </row>
    <row r="8" spans="1:16" ht="178.5" customHeight="1">
      <c r="A8" s="629"/>
      <c r="B8" s="411"/>
      <c r="C8" s="409" t="s">
        <v>670</v>
      </c>
      <c r="D8" s="633"/>
      <c r="E8" s="633"/>
      <c r="F8" s="633"/>
      <c r="G8" s="633"/>
      <c r="H8" s="633"/>
      <c r="I8" s="633"/>
      <c r="J8" s="634"/>
      <c r="K8" s="411"/>
      <c r="L8" s="407"/>
      <c r="P8" s="396"/>
    </row>
    <row r="9" spans="1:16" ht="20.25">
      <c r="A9" s="629"/>
      <c r="B9" s="411"/>
      <c r="C9" s="411"/>
      <c r="D9" s="411"/>
      <c r="E9" s="411"/>
      <c r="F9" s="411"/>
      <c r="G9" s="411"/>
      <c r="H9" s="411"/>
      <c r="I9" s="411"/>
      <c r="J9" s="411"/>
      <c r="K9" s="411"/>
      <c r="L9" s="407"/>
    </row>
    <row r="10" spans="1:16" ht="20.25">
      <c r="A10" s="630"/>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9" t="s">
        <v>673</v>
      </c>
      <c r="B1" s="639"/>
      <c r="C1" s="639"/>
      <c r="D1" s="639"/>
      <c r="E1" s="639"/>
    </row>
    <row r="2" spans="1:5" ht="15.75">
      <c r="A2" s="636" t="s">
        <v>593</v>
      </c>
      <c r="B2" s="637"/>
      <c r="C2" s="637"/>
      <c r="D2" s="637"/>
      <c r="E2" s="638"/>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35" t="s">
        <v>672</v>
      </c>
      <c r="B501" s="635"/>
      <c r="C501" s="635"/>
      <c r="D501" s="635"/>
      <c r="E501" s="635"/>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40" t="s">
        <v>676</v>
      </c>
      <c r="B2" s="641"/>
      <c r="C2" s="641"/>
      <c r="D2" s="641"/>
      <c r="E2" s="641"/>
      <c r="F2" s="641"/>
      <c r="G2" s="642"/>
    </row>
    <row r="3" spans="1:7">
      <c r="A3" s="646" t="s">
        <v>677</v>
      </c>
      <c r="B3" s="281"/>
      <c r="C3" s="281"/>
      <c r="D3" s="281"/>
      <c r="E3" s="281"/>
      <c r="F3" s="281"/>
      <c r="G3" s="282"/>
    </row>
    <row r="4" spans="1:7" ht="18.75" customHeight="1">
      <c r="A4" s="647"/>
      <c r="B4" s="283" t="s">
        <v>701</v>
      </c>
      <c r="C4" s="284" t="s">
        <v>736</v>
      </c>
      <c r="D4" s="285"/>
      <c r="E4" s="283" t="s">
        <v>681</v>
      </c>
      <c r="F4" s="285"/>
      <c r="G4" s="286"/>
    </row>
    <row r="5" spans="1:7" ht="15" customHeight="1">
      <c r="A5" s="649"/>
      <c r="B5" s="287"/>
      <c r="C5" s="288"/>
      <c r="D5" s="288"/>
      <c r="E5" s="288"/>
      <c r="F5" s="288"/>
      <c r="G5" s="289"/>
    </row>
    <row r="6" spans="1:7" ht="15" customHeight="1">
      <c r="A6" s="646" t="s">
        <v>691</v>
      </c>
      <c r="B6" s="290"/>
      <c r="C6" s="281"/>
      <c r="D6" s="281"/>
      <c r="E6" s="281"/>
      <c r="F6" s="281"/>
      <c r="G6" s="282"/>
    </row>
    <row r="7" spans="1:7" ht="19.5" customHeight="1">
      <c r="A7" s="647"/>
      <c r="B7" s="283" t="s">
        <v>701</v>
      </c>
      <c r="C7" s="284"/>
      <c r="D7" s="285"/>
      <c r="E7" s="283" t="s">
        <v>679</v>
      </c>
      <c r="F7" s="291"/>
      <c r="G7" s="286"/>
    </row>
    <row r="8" spans="1:7">
      <c r="A8" s="647"/>
      <c r="B8" s="283"/>
      <c r="C8" s="285"/>
      <c r="D8" s="285"/>
      <c r="E8" s="285"/>
      <c r="F8" s="285"/>
      <c r="G8" s="286"/>
    </row>
    <row r="9" spans="1:7" ht="19.5" customHeight="1">
      <c r="A9" s="647"/>
      <c r="B9" s="283" t="s">
        <v>680</v>
      </c>
      <c r="C9" s="284"/>
      <c r="D9" s="285"/>
      <c r="E9" s="285"/>
      <c r="F9" s="285"/>
      <c r="G9" s="286"/>
    </row>
    <row r="10" spans="1:7">
      <c r="A10" s="647"/>
      <c r="B10" s="285"/>
      <c r="C10" s="285"/>
      <c r="D10" s="285"/>
      <c r="E10" s="285"/>
      <c r="F10" s="285"/>
      <c r="G10" s="286"/>
    </row>
    <row r="11" spans="1:7">
      <c r="A11" s="647"/>
      <c r="B11" s="285" t="s">
        <v>678</v>
      </c>
      <c r="C11" s="285"/>
      <c r="D11" s="285"/>
      <c r="E11" s="285"/>
      <c r="F11" s="285"/>
      <c r="G11" s="286"/>
    </row>
    <row r="12" spans="1:7" ht="41.25" customHeight="1">
      <c r="A12" s="648"/>
      <c r="B12" s="643"/>
      <c r="C12" s="644"/>
      <c r="D12" s="644"/>
      <c r="E12" s="644"/>
      <c r="F12" s="645"/>
      <c r="G12" s="286"/>
    </row>
    <row r="13" spans="1:7">
      <c r="A13" s="649"/>
      <c r="B13" s="288"/>
      <c r="C13" s="288"/>
      <c r="D13" s="288"/>
      <c r="E13" s="288"/>
      <c r="F13" s="288"/>
      <c r="G13" s="289"/>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50" t="s">
        <v>595</v>
      </c>
      <c r="B2" s="652" t="s">
        <v>599</v>
      </c>
      <c r="C2" s="652" t="s">
        <v>600</v>
      </c>
      <c r="D2" s="652"/>
      <c r="E2" s="652"/>
      <c r="F2" s="652"/>
      <c r="G2" s="652" t="s">
        <v>601</v>
      </c>
      <c r="H2" s="652"/>
      <c r="I2" s="301" t="s">
        <v>602</v>
      </c>
    </row>
    <row r="3" spans="1:9" ht="15.75">
      <c r="A3" s="651"/>
      <c r="B3" s="652"/>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row r="201" spans="1:9">
      <c r="A201" s="635"/>
      <c r="B201" s="635"/>
      <c r="C201" s="635"/>
      <c r="D201" s="635"/>
      <c r="E201" s="635"/>
      <c r="F201" s="635"/>
      <c r="G201" s="635"/>
      <c r="H201" s="635"/>
      <c r="I201" s="635"/>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7" t="s">
        <v>714</v>
      </c>
      <c r="B2" s="658"/>
      <c r="C2" s="658"/>
      <c r="D2" s="658"/>
      <c r="E2" s="658"/>
      <c r="F2" s="658"/>
      <c r="G2" s="658"/>
      <c r="H2" s="658"/>
      <c r="I2" s="658"/>
      <c r="J2" s="658"/>
      <c r="K2" s="659"/>
    </row>
    <row r="3" spans="1:11">
      <c r="A3" s="660"/>
      <c r="B3" s="661"/>
      <c r="C3" s="661"/>
      <c r="D3" s="661"/>
      <c r="E3" s="661"/>
      <c r="F3" s="661"/>
      <c r="G3" s="661"/>
      <c r="H3" s="661"/>
      <c r="I3" s="661"/>
      <c r="J3" s="661"/>
      <c r="K3" s="662"/>
    </row>
    <row r="4" spans="1:11" ht="20.25">
      <c r="A4" s="663" t="s">
        <v>174</v>
      </c>
      <c r="B4" s="353"/>
      <c r="C4" s="354"/>
      <c r="D4" s="354"/>
      <c r="E4" s="354"/>
      <c r="F4" s="354"/>
      <c r="G4" s="354"/>
      <c r="H4" s="354"/>
      <c r="I4" s="354"/>
      <c r="J4" s="354"/>
      <c r="K4" s="355"/>
    </row>
    <row r="5" spans="1:11" ht="21" customHeight="1">
      <c r="A5" s="663"/>
      <c r="B5" s="356"/>
      <c r="C5" s="357"/>
      <c r="D5" s="358" t="s">
        <v>701</v>
      </c>
      <c r="E5" s="656" t="s">
        <v>736</v>
      </c>
      <c r="F5" s="656"/>
      <c r="G5" s="354"/>
      <c r="H5" s="664" t="s">
        <v>715</v>
      </c>
      <c r="I5" s="664"/>
      <c r="J5" s="665"/>
      <c r="K5" s="665"/>
    </row>
    <row r="6" spans="1:11" ht="20.25">
      <c r="A6" s="663"/>
      <c r="B6" s="356"/>
      <c r="C6" s="357"/>
      <c r="D6" s="357"/>
      <c r="E6" s="354"/>
      <c r="F6" s="354"/>
      <c r="G6" s="354"/>
      <c r="H6" s="354"/>
      <c r="I6" s="354"/>
      <c r="J6" s="354"/>
      <c r="K6" s="355"/>
    </row>
    <row r="7" spans="1:11" ht="21" customHeight="1">
      <c r="A7" s="663"/>
      <c r="B7" s="356"/>
      <c r="C7" s="357"/>
      <c r="D7" s="358" t="s">
        <v>716</v>
      </c>
      <c r="E7" s="351"/>
      <c r="F7" s="359"/>
      <c r="G7" s="354"/>
      <c r="H7" s="354"/>
      <c r="I7" s="354"/>
      <c r="J7" s="354"/>
      <c r="K7" s="355"/>
    </row>
    <row r="8" spans="1:11" ht="20.25">
      <c r="A8" s="360"/>
      <c r="B8" s="361"/>
      <c r="C8" s="362"/>
      <c r="D8" s="363"/>
      <c r="E8" s="364"/>
      <c r="F8" s="364"/>
      <c r="G8" s="365"/>
      <c r="H8" s="365"/>
      <c r="I8" s="365"/>
      <c r="J8" s="365"/>
      <c r="K8" s="366"/>
    </row>
    <row r="9" spans="1:11" ht="20.25">
      <c r="A9" s="666" t="s">
        <v>695</v>
      </c>
      <c r="B9" s="367"/>
      <c r="C9" s="368"/>
      <c r="D9" s="369"/>
      <c r="E9" s="370"/>
      <c r="F9" s="370"/>
      <c r="G9" s="371"/>
      <c r="H9" s="371"/>
      <c r="I9" s="371"/>
      <c r="J9" s="371"/>
      <c r="K9" s="372"/>
    </row>
    <row r="10" spans="1:11" ht="21" customHeight="1">
      <c r="A10" s="667"/>
      <c r="B10" s="373"/>
      <c r="C10" s="374"/>
      <c r="D10" s="375" t="s">
        <v>717</v>
      </c>
      <c r="E10" s="296"/>
      <c r="F10" s="376"/>
      <c r="G10" s="377" t="s">
        <v>718</v>
      </c>
      <c r="H10" s="296"/>
      <c r="I10" s="376"/>
      <c r="J10" s="376"/>
      <c r="K10" s="378"/>
    </row>
    <row r="11" spans="1:11" ht="20.25">
      <c r="A11" s="667"/>
      <c r="B11" s="373"/>
      <c r="C11" s="374"/>
      <c r="D11" s="374"/>
      <c r="E11" s="376"/>
      <c r="F11" s="376"/>
      <c r="G11" s="376"/>
      <c r="H11" s="376"/>
      <c r="I11" s="376"/>
      <c r="J11" s="376"/>
      <c r="K11" s="378"/>
    </row>
    <row r="12" spans="1:11" ht="21" customHeight="1">
      <c r="A12" s="667"/>
      <c r="B12" s="373"/>
      <c r="C12" s="374"/>
      <c r="D12" s="377" t="s">
        <v>719</v>
      </c>
      <c r="E12" s="296"/>
      <c r="F12" s="376"/>
      <c r="G12" s="377" t="s">
        <v>722</v>
      </c>
      <c r="H12" s="296"/>
      <c r="I12" s="376"/>
      <c r="J12" s="376"/>
      <c r="K12" s="378"/>
    </row>
    <row r="13" spans="1:11" ht="20.25">
      <c r="A13" s="668"/>
      <c r="B13" s="379"/>
      <c r="C13" s="380"/>
      <c r="D13" s="380"/>
      <c r="E13" s="381"/>
      <c r="F13" s="381"/>
      <c r="G13" s="381"/>
      <c r="H13" s="381"/>
      <c r="I13" s="381"/>
      <c r="J13" s="381"/>
      <c r="K13" s="382"/>
    </row>
    <row r="14" spans="1:11" ht="20.25">
      <c r="A14" s="653" t="s">
        <v>668</v>
      </c>
      <c r="B14" s="383"/>
      <c r="C14" s="384"/>
      <c r="D14" s="385"/>
      <c r="E14" s="386"/>
      <c r="F14" s="386"/>
      <c r="G14" s="387"/>
      <c r="H14" s="387"/>
      <c r="I14" s="387"/>
      <c r="J14" s="387"/>
      <c r="K14" s="388"/>
    </row>
    <row r="15" spans="1:11" ht="21" customHeight="1">
      <c r="A15" s="654"/>
      <c r="B15" s="356"/>
      <c r="C15" s="357"/>
      <c r="D15" s="358" t="s">
        <v>720</v>
      </c>
      <c r="E15" s="297"/>
      <c r="F15" s="354"/>
      <c r="G15" s="389" t="s">
        <v>721</v>
      </c>
      <c r="H15" s="297"/>
      <c r="I15" s="354"/>
      <c r="J15" s="354"/>
      <c r="K15" s="355"/>
    </row>
    <row r="16" spans="1:11" ht="20.25">
      <c r="A16" s="654"/>
      <c r="B16" s="356"/>
      <c r="C16" s="357"/>
      <c r="D16" s="358"/>
      <c r="E16" s="390"/>
      <c r="F16" s="354"/>
      <c r="G16" s="389"/>
      <c r="H16" s="390"/>
      <c r="I16" s="354"/>
      <c r="J16" s="354"/>
      <c r="K16" s="355"/>
    </row>
    <row r="17" spans="1:11" ht="20.25">
      <c r="A17" s="655"/>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71"/>
      <c r="B1" s="671"/>
      <c r="C1" s="671"/>
      <c r="D1" s="671"/>
      <c r="E1" s="671"/>
      <c r="F1" s="671"/>
      <c r="G1" s="671"/>
      <c r="H1" s="671"/>
      <c r="I1" s="671"/>
      <c r="J1" s="671"/>
      <c r="K1" s="671"/>
      <c r="L1" s="671"/>
      <c r="M1" s="671"/>
      <c r="N1" s="671"/>
      <c r="O1" s="671"/>
      <c r="P1" s="671"/>
      <c r="Q1" s="671"/>
      <c r="R1" s="16"/>
      <c r="S1" s="94" t="s">
        <v>87</v>
      </c>
      <c r="T1" s="95" t="s">
        <v>109</v>
      </c>
      <c r="U1" s="89" t="s">
        <v>114</v>
      </c>
      <c r="V1" s="273" t="s">
        <v>132</v>
      </c>
      <c r="W1" s="278" t="s">
        <v>696</v>
      </c>
      <c r="X1" s="277" t="s">
        <v>93</v>
      </c>
      <c r="Y1" s="277" t="s">
        <v>147</v>
      </c>
      <c r="Z1" s="292" t="s">
        <v>160</v>
      </c>
      <c r="AA1" s="273" t="s">
        <v>702</v>
      </c>
    </row>
    <row r="2" spans="1:27" ht="19.149999999999999" customHeight="1">
      <c r="A2" s="673"/>
      <c r="B2" s="671"/>
      <c r="C2" s="676"/>
      <c r="D2" s="674"/>
      <c r="E2" s="675"/>
      <c r="F2" s="675"/>
      <c r="G2" s="675"/>
      <c r="H2" s="675"/>
      <c r="I2" s="675"/>
      <c r="J2" s="675"/>
      <c r="K2" s="675"/>
      <c r="L2" s="675"/>
      <c r="M2" s="675"/>
      <c r="N2" s="675"/>
      <c r="O2" s="675"/>
      <c r="P2" s="669"/>
      <c r="Q2" s="669"/>
      <c r="R2" s="16"/>
      <c r="S2" s="91" t="s">
        <v>219</v>
      </c>
      <c r="T2" s="96" t="s">
        <v>110</v>
      </c>
      <c r="U2" s="99" t="s">
        <v>532</v>
      </c>
      <c r="V2" s="276" t="s">
        <v>491</v>
      </c>
      <c r="W2" s="279" t="s">
        <v>697</v>
      </c>
      <c r="X2" s="279" t="s">
        <v>151</v>
      </c>
      <c r="Y2" s="279" t="s">
        <v>148</v>
      </c>
      <c r="Z2" s="293" t="s">
        <v>151</v>
      </c>
      <c r="AA2" s="295" t="s">
        <v>703</v>
      </c>
    </row>
    <row r="3" spans="1:27" ht="19.149999999999999" customHeight="1">
      <c r="A3" s="673"/>
      <c r="B3" s="671"/>
      <c r="C3" s="677"/>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72" t="s">
        <v>115</v>
      </c>
      <c r="B8" s="672"/>
      <c r="C8" s="115" t="s">
        <v>163</v>
      </c>
      <c r="D8" s="102" t="s">
        <v>92</v>
      </c>
      <c r="E8" s="102" t="s">
        <v>126</v>
      </c>
      <c r="F8" s="101" t="s">
        <v>132</v>
      </c>
      <c r="G8" s="101" t="s">
        <v>93</v>
      </c>
      <c r="H8" s="61" t="s">
        <v>147</v>
      </c>
      <c r="I8" s="110" t="s">
        <v>160</v>
      </c>
      <c r="J8" s="678"/>
      <c r="K8" s="678"/>
      <c r="L8" s="16"/>
      <c r="M8" s="670"/>
      <c r="N8" s="670"/>
      <c r="O8" s="670"/>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81" t="s">
        <v>233</v>
      </c>
      <c r="E18" s="681"/>
      <c r="F18" s="150">
        <f ca="1">TODAY()</f>
        <v>44386</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72"/>
      <c r="B20" s="672"/>
      <c r="C20" s="16"/>
      <c r="D20" s="679" t="s">
        <v>39</v>
      </c>
      <c r="E20" s="680"/>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2021-07-09T10:10:24Z</cp:lastPrinted>
  <dcterms:created xsi:type="dcterms:W3CDTF">2017-11-17T13:18:47Z</dcterms:created>
  <dcterms:modified xsi:type="dcterms:W3CDTF">2021-07-09T10:18:20Z</dcterms:modified>
</cp:coreProperties>
</file>