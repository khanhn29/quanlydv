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BC_TH" sheetId="4" r:id="rId3"/>
    <sheet name="Trich_Yeu" sheetId="3" r:id="rId4"/>
    <sheet name="Them_DV" sheetId="10" r:id="rId5"/>
    <sheet name="DANHMUCDV" sheetId="16" state="hidden" r:id="rId6"/>
    <sheet name="Danh muc Chi bo" sheetId="15" state="hidden" r:id="rId7"/>
    <sheet name="DK" sheetId="5" state="hidden" r:id="rId8"/>
    <sheet name="QTCT" sheetId="7" r:id="rId9"/>
    <sheet name="Them_QTCT" sheetId="14" r:id="rId10"/>
    <sheet name="Them_QTDT" sheetId="18" r:id="rId11"/>
    <sheet name="QTDT" sheetId="17" r:id="rId12"/>
    <sheet name="Kyluat" sheetId="19" r:id="rId13"/>
    <sheet name="Them_KyLuat" sheetId="20" r:id="rId14"/>
    <sheet name="QHGD" sheetId="21" r:id="rId15"/>
    <sheet name="Them_QHGD" sheetId="22" r:id="rId16"/>
    <sheet name="KQXL" sheetId="24" r:id="rId17"/>
    <sheet name="Them_KQXL" sheetId="25" r:id="rId18"/>
    <sheet name="ThietLap" sheetId="6" r:id="rId19"/>
  </sheets>
  <externalReferences>
    <externalReference r:id="rId20"/>
    <externalReference r:id="rId21"/>
  </externalReferences>
  <definedNames>
    <definedName name="_xlnm._FilterDatabase" localSheetId="1" hidden="1">DSDV!$A$6:$V$216</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3"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C26" i="4" l="1"/>
  <c r="C27" i="4"/>
  <c r="C28" i="4"/>
  <c r="C29" i="4"/>
  <c r="C30" i="4"/>
  <c r="C31" i="4"/>
  <c r="C25" i="4"/>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50" i="4" l="1"/>
  <c r="C49" i="4"/>
  <c r="C48" i="4"/>
  <c r="C47" i="4"/>
  <c r="C46" i="4"/>
  <c r="C45" i="4"/>
  <c r="C44" i="4"/>
  <c r="C36" i="4"/>
  <c r="C35" i="4"/>
  <c r="C34" i="4"/>
  <c r="C33" i="4"/>
  <c r="C32"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2" i="4" l="1"/>
  <c r="C41" i="4"/>
  <c r="C40" i="4"/>
  <c r="C39" i="4"/>
  <c r="C38" i="4"/>
  <c r="C37"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3"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<sst xmlns="http://schemas.openxmlformats.org/spreadsheetml/2006/main" count="1430" uniqueCount="737">
  <si>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</si>
  <si>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</si>
  <si>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</si>
  <si>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</si>
  <si>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</si>
  <si>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</si>
  <si>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</si>
  <si>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</si>
  <si>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</si>
  <si>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</si>
  <si>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</si>
  <si>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</si>
  <si>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</si>
  <si>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</si>
  <si>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</si>
  <si>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</si>
  <si>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</si>
  <si>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</si>
  <si>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</si>
  <si>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</si>
  <si>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</si>
  <si>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</si>
  <si>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</si>
  <si>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</si>
  <si>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</si>
  <si>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</si>
  <si>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</si>
  <si>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</si>
  <si>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</si>
  <si>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</si>
  <si>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</si>
  <si>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</si>
  <si>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</si>
  <si>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</si>
  <si>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</si>
  <si>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</si>
  <si>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</si>
  <si>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</si>
  <si>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</si>
  <si>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</si>
  <si>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r>
      <rPr>
        <b/>
        <sz val="11"/>
        <color rgb="FFFF0000"/>
        <rFont val="Times New Roman"/>
        <family val="1"/>
      </rPr>
      <t>Kết chuyển</t>
    </r>
    <r>
      <rPr>
        <sz val="11"/>
        <color theme="1"/>
        <rFont val="Times New Roman"/>
        <family val="1"/>
      </rPr>
      <t>: Loại bỏ những nhân viên đã thôi việc ra khỏi danh sách nhân viên một cách tự động</t>
    </r>
  </si>
  <si>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</si>
  <si>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</si>
  <si>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</si>
  <si>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</si>
  <si>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</si>
  <si>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</si>
  <si>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</si>
  <si>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</si>
  <si>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</si>
  <si>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</si>
  <si>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</si>
  <si>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</si>
  <si>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</si>
  <si>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</si>
  <si>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</si>
  <si>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</si>
  <si>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</si>
  <si>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</si>
  <si>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</si>
  <si>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</si>
  <si>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</si>
  <si>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</si>
  <si>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</si>
  <si>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</si>
  <si>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</si>
  <si>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</si>
  <si>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</si>
  <si>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</si>
  <si>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</si>
  <si>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</si>
  <si>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</si>
  <si>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</si>
  <si>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</si>
  <si>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</si>
  <si>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</si>
  <si>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</si>
  <si>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</si>
  <si>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</si>
  <si>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</si>
  <si>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</si>
  <si>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</si>
  <si>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</si>
  <si>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</si>
  <si>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</si>
  <si>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</si>
  <si>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</si>
  <si>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</si>
  <si>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</si>
  <si>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</si>
  <si>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</si>
  <si>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</si>
  <si>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</si>
  <si>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</si>
  <si>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</si>
  <si>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</si>
  <si>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</si>
  <si>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</si>
  <si>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</si>
  <si>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</si>
  <si>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</si>
  <si>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</si>
  <si>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</si>
  <si>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</si>
  <si>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</si>
  <si>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</si>
  <si>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</si>
  <si>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</si>
  <si>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</si>
  <si>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</si>
  <si>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</si>
  <si>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</si>
  <si>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</si>
  <si>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</si>
  <si>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</si>
  <si>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</si>
  <si>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</si>
  <si>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</si>
  <si>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</si>
  <si>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</si>
  <si>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</si>
  <si>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</si>
  <si>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</si>
  <si>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</si>
  <si>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</si>
  <si>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</si>
  <si>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</si>
  <si>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</si>
  <si>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</si>
  <si>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</si>
  <si>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</si>
  <si>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</si>
  <si>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</si>
  <si>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</si>
  <si>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</si>
  <si>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</si>
  <si>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</si>
  <si>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</si>
  <si>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</si>
  <si>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</si>
  <si>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</si>
  <si>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</si>
  <si>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</si>
  <si>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</si>
  <si>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</si>
  <si>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</si>
  <si>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</si>
  <si>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</si>
  <si>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</si>
  <si>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</si>
  <si>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</si>
  <si>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</si>
  <si>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</si>
  <si>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</si>
  <si>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</si>
  <si>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</si>
  <si>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</si>
  <si>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</si>
  <si>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</si>
  <si>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</si>
  <si>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</si>
  <si>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</si>
  <si>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</si>
  <si>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</si>
  <si>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</si>
  <si>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</si>
  <si>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</si>
  <si>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</si>
  <si>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</si>
  <si>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</si>
  <si>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</si>
  <si>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</si>
  <si>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</si>
  <si>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</si>
  <si>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</si>
  <si>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</si>
  <si>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</si>
  <si>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</si>
  <si>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</si>
  <si>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</si>
  <si>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</si>
  <si>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</si>
  <si>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</si>
  <si>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</si>
  <si>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</si>
  <si>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</si>
  <si>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</si>
  <si>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</si>
  <si>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</si>
  <si>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</si>
  <si>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</si>
  <si>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</si>
  <si>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</si>
  <si>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</si>
  <si>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</si>
  <si>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</si>
  <si>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</si>
  <si>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</si>
  <si>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</si>
  <si>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</si>
  <si>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</si>
  <si>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</si>
  <si>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</si>
  <si>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</si>
  <si>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</si>
  <si>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</si>
  <si>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</si>
  <si>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</si>
  <si>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</si>
  <si>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</si>
  <si>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</si>
  <si>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</si>
  <si>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</si>
  <si>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</si>
  <si>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</si>
  <si>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</si>
  <si>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</si>
  <si>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</si>
  <si>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</si>
  <si>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</si>
  <si>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</si>
  <si>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</si>
  <si>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</si>
  <si>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</si>
  <si>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</si>
  <si>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</si>
  <si>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</si>
  <si>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</si>
  <si>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</si>
  <si>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</si>
  <si>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</si>
  <si>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</si>
  <si>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</si>
  <si>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</si>
  <si>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</si>
  <si>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</si>
  <si>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</si>
  <si>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</si>
  <si>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</si>
  <si>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</si>
  <si>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</si>
  <si>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</si>
  <si>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</si>
  <si>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</si>
  <si>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</si>
  <si>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</si>
  <si>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</si>
  <si>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</si>
  <si>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</si>
  <si>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</si>
  <si>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</si>
  <si>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</si>
  <si>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</si>
  <si>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</si>
  <si>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</si>
  <si>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</si>
  <si>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</si>
  <si>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</si>
  <si>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</si>
  <si>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</si>
  <si>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</si>
  <si>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</si>
  <si>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</si>
  <si>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</si>
  <si>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</si>
  <si>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</si>
  <si>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</si>
  <si>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</si>
  <si>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</si>
  <si>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</si>
  <si>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</si>
  <si>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</si>
  <si>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</si>
  <si>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</si>
  <si>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</si>
  <si>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</si>
  <si>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</si>
  <si>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</si>
  <si>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</si>
  <si>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</si>
  <si>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</si>
  <si>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</si>
  <si>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</si>
  <si>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</si>
  <si>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</si>
  <si>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</si>
  <si>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</si>
  <si>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</si>
  <si>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</si>
  <si>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</si>
  <si>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</si>
  <si>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</si>
  <si>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</si>
  <si>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</si>
  <si>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</si>
  <si>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</si>
  <si>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</si>
  <si>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</si>
  <si>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</si>
  <si>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</si>
  <si>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</si>
  <si>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</si>
  <si>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</si>
  <si>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</si>
  <si>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</si>
  <si>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</si>
  <si>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</si>
  <si>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</si>
  <si>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</si>
  <si>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</si>
  <si>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</si>
  <si>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</si>
  <si>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</si>
  <si>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</si>
  <si>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</si>
  <si>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</si>
  <si>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</si>
  <si>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</si>
  <si>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</si>
  <si>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</si>
  <si>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</si>
  <si>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</si>
  <si>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</si>
  <si>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</si>
  <si>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</si>
  <si>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</si>
  <si>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</si>
  <si>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</si>
  <si>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</si>
  <si>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</si>
  <si>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</si>
  <si>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</si>
  <si>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</si>
  <si>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</si>
  <si>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</si>
  <si>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</si>
  <si>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</si>
  <si>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</si>
  <si>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</si>
  <si>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</si>
  <si>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</si>
  <si>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</si>
  <si>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</si>
  <si>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</si>
  <si>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</si>
  <si>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</si>
  <si>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</si>
  <si>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</si>
  <si>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</si>
  <si>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</si>
  <si>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</si>
  <si>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</si>
  <si>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</si>
  <si>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</si>
  <si>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</si>
  <si>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</si>
  <si>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</si>
  <si>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</si>
  <si>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</si>
  <si>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</si>
  <si>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</si>
  <si>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</si>
  <si>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</si>
  <si>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</si>
  <si>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</si>
  <si>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</si>
  <si>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</si>
  <si>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</si>
  <si>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</si>
  <si>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</si>
  <si>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</si>
  <si>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</si>
  <si>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</si>
  <si>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</si>
  <si>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</si>
  <si>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</si>
  <si>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</si>
  <si>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</si>
  <si>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</si>
  <si>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</si>
  <si>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</si>
  <si>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</si>
  <si>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</si>
  <si>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</si>
  <si>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</si>
  <si>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</si>
  <si>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</si>
  <si>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</si>
  <si>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</si>
  <si>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</si>
  <si>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</si>
  <si>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</si>
  <si>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</si>
  <si>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</si>
  <si>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</si>
  <si>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</si>
  <si>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</si>
  <si>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</si>
  <si>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</si>
  <si>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</si>
  <si>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</si>
  <si>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</si>
  <si>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</si>
  <si>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</si>
  <si>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</si>
  <si>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</si>
  <si>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</si>
  <si>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</si>
  <si>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</si>
  <si>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</si>
  <si>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</si>
  <si>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</si>
  <si>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</si>
  <si>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</si>
  <si>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</si>
  <si>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</si>
  <si>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</si>
  <si>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</si>
  <si>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</si>
  <si>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</si>
  <si>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</si>
  <si>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</si>
  <si>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</si>
  <si>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</si>
  <si>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</si>
  <si>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</si>
  <si>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</si>
  <si>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</si>
  <si>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</si>
  <si>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</si>
  <si>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</si>
  <si>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</si>
  <si>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</si>
  <si>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</si>
  <si>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</si>
  <si>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</si>
  <si>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</si>
  <si>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</si>
  <si>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</si>
  <si>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</si>
  <si>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</si>
  <si>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</si>
  <si>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</si>
  <si>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</si>
  <si>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</si>
  <si>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</si>
  <si>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</si>
  <si>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</si>
  <si>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</si>
  <si>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</si>
  <si>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</si>
  <si>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</si>
  <si>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</si>
  <si>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</si>
  <si>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</si>
  <si>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</si>
  <si>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</si>
  <si>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</si>
  <si>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</si>
  <si>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</si>
  <si>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</si>
  <si>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</si>
  <si>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</si>
  <si>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</si>
  <si>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</si>
  <si>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</si>
  <si>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</si>
  <si>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</si>
  <si>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</si>
  <si>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</si>
  <si>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</si>
  <si>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</si>
  <si>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</si>
  <si>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</si>
  <si>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</si>
  <si>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</si>
  <si>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</si>
  <si>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</si>
  <si>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</si>
  <si>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</si>
  <si>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</si>
  <si>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</si>
  <si>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</si>
  <si>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</si>
  <si>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</si>
  <si>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</si>
  <si>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</si>
  <si>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</si>
  <si>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</si>
  <si>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</si>
  <si>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</si>
  <si>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</si>
  <si>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</si>
  <si>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</si>
  <si>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</si>
  <si>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</si>
  <si>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</si>
  <si>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</si>
  <si>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</si>
  <si>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</si>
  <si>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</si>
  <si>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</si>
  <si>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</si>
  <si>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</si>
  <si>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</si>
  <si>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</si>
  <si>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</si>
  <si>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</si>
  <si>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</si>
  <si>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</si>
  <si>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</si>
  <si>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</si>
  <si>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</si>
  <si>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</si>
  <si>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</si>
  <si>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</si>
  <si>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</si>
  <si>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</si>
  <si>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</si>
  <si>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</si>
  <si>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</si>
  <si>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</si>
  <si>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</si>
  <si>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</si>
  <si>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</si>
  <si>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</si>
  <si>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</si>
  <si>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</si>
  <si>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</si>
  <si>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</si>
  <si>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</si>
  <si>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</si>
  <si>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</si>
  <si>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</si>
  <si>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</si>
  <si>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</si>
  <si>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</si>
  <si>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</si>
  <si>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</si>
  <si>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</si>
  <si>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</si>
  <si>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</si>
  <si>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</si>
  <si>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</si>
  <si>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</si>
  <si>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</si>
  <si>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</si>
  <si>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</si>
  <si>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</si>
  <si>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</si>
  <si>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</si>
  <si>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</si>
  <si>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</si>
  <si>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</si>
  <si>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</si>
  <si>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</si>
  <si>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</si>
  <si>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</si>
  <si>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</si>
  <si>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</si>
  <si>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</si>
  <si>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</si>
  <si>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</si>
  <si>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</si>
  <si>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</si>
  <si>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</si>
  <si>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</si>
  <si>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</si>
  <si>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</si>
  <si>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</si>
  <si>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</si>
  <si>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</si>
  <si>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</si>
  <si>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</si>
  <si>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</si>
  <si>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</si>
  <si>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</si>
  <si>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</si>
  <si>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</si>
  <si>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</si>
  <si>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</si>
  <si>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</si>
  <si>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</si>
  <si>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</si>
  <si>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</si>
  <si>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</si>
  <si>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</si>
  <si>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</si>
  <si>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</si>
  <si>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</si>
  <si>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</si>
  <si>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</si>
  <si>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</si>
  <si>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</si>
  <si>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</si>
  <si>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</si>
  <si>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</si>
  <si>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</si>
  <si>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</si>
  <si>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</si>
  <si>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</si>
  <si>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</si>
  <si>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</si>
  <si>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</si>
  <si>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</si>
  <si>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</si>
  <si>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</si>
  <si>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</si>
  <si>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</si>
  <si>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</si>
  <si>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</si>
  <si>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</si>
  <si>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</si>
  <si>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</si>
  <si>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</si>
  <si>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</si>
  <si>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</si>
  <si>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</si>
  <si>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</si>
  <si>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</si>
  <si>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</si>
  <si>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</si>
  <si>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</si>
  <si>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</si>
  <si>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</si>
  <si>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</si>
  <si>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</si>
  <si>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</si>
  <si>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</si>
  <si>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</si>
  <si>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</si>
  <si>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</si>
  <si>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</si>
  <si>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</si>
  <si>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</si>
  <si>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</si>
  <si>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</si>
  <si>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</si>
  <si>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</si>
  <si>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</si>
  <si>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</si>
  <si>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</si>
  <si>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</si>
  <si>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</si>
  <si>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</si>
  <si>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</si>
  <si>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</si>
  <si>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</si>
  <si>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</si>
  <si>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</si>
  <si>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</si>
  <si>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</si>
  <si>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</si>
  <si>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</si>
  <si>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</si>
  <si>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</si>
  <si>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</si>
  <si>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</si>
  <si>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</si>
  <si>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</si>
  <si>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</si>
  <si>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</si>
  <si>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</si>
  <si>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</si>
  <si>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</si>
  <si>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</si>
  <si>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</si>
  <si>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</si>
  <si>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</si>
  <si>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</si>
  <si>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</si>
  <si>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</si>
  <si>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Khen thưởng và kỷ luật</t>
  </si>
  <si>
    <t>THÊM MỚI KHEN THƯỞNG &amp; 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</si>
  <si>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</si>
  <si>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</si>
  <si>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</si>
  <si>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</si>
  <si>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</si>
  <si>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</si>
  <si>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</si>
  <si>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</si>
  <si>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</si>
  <si>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</si>
  <si>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</si>
  <si>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</si>
  <si>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</si>
  <si>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</si>
  <si>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</si>
  <si>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</si>
  <si>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</si>
  <si>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</si>
  <si>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</si>
  <si>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</si>
  <si>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</si>
  <si>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</si>
  <si>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</si>
  <si>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</si>
  <si>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</si>
  <si>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</si>
  <si>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</si>
  <si>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</si>
  <si>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</si>
  <si>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</si>
  <si>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</si>
  <si>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</si>
  <si>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</si>
  <si>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</si>
  <si>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</si>
  <si>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</si>
  <si>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</si>
  <si>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</si>
  <si>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</si>
  <si>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</si>
  <si>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</si>
  <si>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</si>
  <si>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</si>
  <si>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Hiệu trưởng trường Cao đẳng Văn hóa Nghệ thuật và Du lịch Sài Gòn khẳng định sẽ có hình thức kỷ luật nếu nghệ sĩ Đức Hải phát ngôn phản cảm trên mạng xã hội.</t>
  </si>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</sst>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1">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b/>
      <sz val="11"/>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style="thin">
        <color theme="0" tint="-0.24994659260841701"/>
      </top>
      <bottom/>
      <diagonal/>
    </border>
  </borders>
  <cellStyleXfs count="5">
    <xf numFmtId="0" fontId="0" fillId="0" borderId="0"/>
    <xf numFmtId="0" fontId="18" fillId="0" borderId="0" applyNumberFormat="0" applyFont="0" applyFill="0" applyBorder="0" applyAlignment="0" applyProtection="0"/>
    <xf numFmtId="0" fontId="39" fillId="0" borderId="0"/>
    <xf numFmtId="0" fontId="40" fillId="0" borderId="0"/>
    <xf numFmtId="0" fontId="41" fillId="0" borderId="0"/>
  </cellStyleXfs>
  <cellXfs count="728">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14" fontId="12" fillId="0" borderId="2" xfId="0" applyNumberFormat="1"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5"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5" fillId="6" borderId="4" xfId="0" applyFont="1" applyFill="1" applyBorder="1" applyAlignment="1">
      <alignment vertical="center"/>
    </xf>
    <xf numFmtId="0" fontId="25"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9" fillId="2" borderId="0" xfId="0" applyFont="1" applyFill="1" applyBorder="1" applyAlignment="1" applyProtection="1">
      <alignment horizontal="right" vertical="center" indent="1"/>
    </xf>
    <xf numFmtId="0" fontId="29" fillId="2" borderId="0" xfId="0" applyFont="1" applyFill="1" applyBorder="1" applyProtection="1"/>
    <xf numFmtId="0" fontId="29"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2" fillId="0" borderId="0" xfId="0" applyFont="1" applyFill="1" applyBorder="1" applyAlignment="1">
      <alignment vertical="center"/>
    </xf>
    <xf numFmtId="14" fontId="5" fillId="0" borderId="0" xfId="0" quotePrefix="1" applyNumberFormat="1" applyFont="1" applyFill="1" applyAlignment="1">
      <alignment vertical="center"/>
    </xf>
    <xf numFmtId="0" fontId="29" fillId="3" borderId="0" xfId="0" applyFont="1" applyFill="1"/>
    <xf numFmtId="0" fontId="35"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9" fillId="4" borderId="21" xfId="0" applyFont="1" applyFill="1" applyBorder="1" applyAlignment="1">
      <alignment vertical="center"/>
    </xf>
    <xf numFmtId="41" fontId="34" fillId="4" borderId="39" xfId="0" applyNumberFormat="1" applyFont="1" applyFill="1" applyBorder="1" applyAlignment="1">
      <alignment horizontal="center" vertical="center"/>
    </xf>
    <xf numFmtId="0" fontId="29" fillId="4" borderId="23" xfId="0" applyFont="1" applyFill="1" applyBorder="1" applyAlignment="1">
      <alignment vertical="center"/>
    </xf>
    <xf numFmtId="41" fontId="34" fillId="4" borderId="22" xfId="0" applyNumberFormat="1" applyFont="1" applyFill="1" applyBorder="1" applyAlignment="1">
      <alignment horizontal="center" vertical="center"/>
    </xf>
    <xf numFmtId="0" fontId="29" fillId="4" borderId="25" xfId="0" applyFont="1" applyFill="1" applyBorder="1" applyAlignment="1">
      <alignment vertical="center"/>
    </xf>
    <xf numFmtId="0" fontId="29" fillId="2" borderId="21" xfId="0" applyFont="1" applyFill="1" applyBorder="1" applyAlignment="1">
      <alignment vertical="center"/>
    </xf>
    <xf numFmtId="41" fontId="34" fillId="2" borderId="20" xfId="0" applyNumberFormat="1" applyFont="1" applyFill="1" applyBorder="1" applyAlignment="1">
      <alignment horizontal="center" vertical="center"/>
    </xf>
    <xf numFmtId="0" fontId="29" fillId="2" borderId="23" xfId="0" applyFont="1" applyFill="1" applyBorder="1" applyAlignment="1">
      <alignment vertical="center"/>
    </xf>
    <xf numFmtId="41" fontId="34" fillId="2" borderId="22" xfId="0" applyNumberFormat="1" applyFont="1" applyFill="1" applyBorder="1" applyAlignment="1">
      <alignment horizontal="center" vertical="center"/>
    </xf>
    <xf numFmtId="0" fontId="29" fillId="8" borderId="20" xfId="0" applyFont="1" applyFill="1" applyBorder="1" applyAlignment="1">
      <alignment vertical="center"/>
    </xf>
    <xf numFmtId="41" fontId="34" fillId="8" borderId="3" xfId="0" applyNumberFormat="1" applyFont="1" applyFill="1" applyBorder="1" applyAlignment="1">
      <alignment vertical="center"/>
    </xf>
    <xf numFmtId="0" fontId="29" fillId="8" borderId="22" xfId="0" applyFont="1" applyFill="1" applyBorder="1" applyAlignment="1">
      <alignment vertical="center"/>
    </xf>
    <xf numFmtId="41" fontId="34" fillId="8" borderId="22" xfId="0" applyNumberFormat="1" applyFont="1" applyFill="1" applyBorder="1" applyAlignment="1">
      <alignment vertical="center"/>
    </xf>
    <xf numFmtId="0" fontId="29" fillId="8" borderId="24" xfId="0" applyFont="1" applyFill="1" applyBorder="1" applyAlignment="1">
      <alignment vertical="center"/>
    </xf>
    <xf numFmtId="41" fontId="34" fillId="8" borderId="39" xfId="0" applyNumberFormat="1" applyFont="1" applyFill="1" applyBorder="1" applyAlignment="1">
      <alignment vertical="center"/>
    </xf>
    <xf numFmtId="0" fontId="29" fillId="16" borderId="20" xfId="0" applyFont="1" applyFill="1" applyBorder="1" applyAlignment="1">
      <alignment vertical="center"/>
    </xf>
    <xf numFmtId="41" fontId="34" fillId="16" borderId="3" xfId="0" applyNumberFormat="1" applyFont="1" applyFill="1" applyBorder="1" applyAlignment="1">
      <alignment vertical="center"/>
    </xf>
    <xf numFmtId="0" fontId="29" fillId="16" borderId="22" xfId="0" applyFont="1" applyFill="1" applyBorder="1" applyAlignment="1">
      <alignment vertical="center"/>
    </xf>
    <xf numFmtId="41" fontId="34" fillId="16" borderId="22" xfId="0" applyNumberFormat="1" applyFont="1" applyFill="1" applyBorder="1" applyAlignment="1">
      <alignment vertical="center"/>
    </xf>
    <xf numFmtId="0" fontId="29" fillId="16" borderId="24" xfId="0" applyFont="1" applyFill="1" applyBorder="1" applyAlignment="1">
      <alignment vertical="center"/>
    </xf>
    <xf numFmtId="41" fontId="34" fillId="16" borderId="39" xfId="0" applyNumberFormat="1" applyFont="1" applyFill="1" applyBorder="1" applyAlignment="1">
      <alignment vertical="center"/>
    </xf>
    <xf numFmtId="0" fontId="29" fillId="15" borderId="20" xfId="0" applyFont="1" applyFill="1" applyBorder="1" applyAlignment="1">
      <alignment vertical="center"/>
    </xf>
    <xf numFmtId="41" fontId="34" fillId="15" borderId="3" xfId="0" applyNumberFormat="1" applyFont="1" applyFill="1" applyBorder="1" applyAlignment="1">
      <alignment vertical="center"/>
    </xf>
    <xf numFmtId="0" fontId="29" fillId="15" borderId="22" xfId="0" applyFont="1" applyFill="1" applyBorder="1" applyAlignment="1">
      <alignment vertical="center"/>
    </xf>
    <xf numFmtId="41" fontId="34" fillId="15" borderId="22" xfId="0" applyNumberFormat="1" applyFont="1" applyFill="1" applyBorder="1" applyAlignment="1">
      <alignment vertical="center"/>
    </xf>
    <xf numFmtId="41" fontId="34" fillId="15" borderId="39" xfId="0" applyNumberFormat="1" applyFont="1" applyFill="1" applyBorder="1" applyAlignment="1">
      <alignment vertical="center"/>
    </xf>
    <xf numFmtId="0" fontId="29" fillId="17" borderId="20" xfId="0" applyFont="1" applyFill="1" applyBorder="1" applyAlignment="1">
      <alignment vertical="center"/>
    </xf>
    <xf numFmtId="41" fontId="34" fillId="17" borderId="3" xfId="0" applyNumberFormat="1" applyFont="1" applyFill="1" applyBorder="1" applyAlignment="1">
      <alignment vertical="center"/>
    </xf>
    <xf numFmtId="0" fontId="29" fillId="17" borderId="22" xfId="0" applyFont="1" applyFill="1" applyBorder="1" applyAlignment="1">
      <alignment vertical="center"/>
    </xf>
    <xf numFmtId="41" fontId="34" fillId="17" borderId="22" xfId="0" applyNumberFormat="1" applyFont="1" applyFill="1" applyBorder="1" applyAlignment="1">
      <alignment vertical="center"/>
    </xf>
    <xf numFmtId="0" fontId="29" fillId="17" borderId="24" xfId="0" applyFont="1" applyFill="1" applyBorder="1" applyAlignment="1">
      <alignment vertical="center"/>
    </xf>
    <xf numFmtId="0" fontId="29" fillId="5" borderId="20" xfId="0" applyFont="1" applyFill="1" applyBorder="1" applyAlignment="1">
      <alignment vertical="center"/>
    </xf>
    <xf numFmtId="41" fontId="34" fillId="5" borderId="3" xfId="0" applyNumberFormat="1" applyFont="1" applyFill="1" applyBorder="1" applyAlignment="1">
      <alignment vertical="center"/>
    </xf>
    <xf numFmtId="0" fontId="29" fillId="5" borderId="22" xfId="0" applyFont="1" applyFill="1" applyBorder="1" applyAlignment="1">
      <alignment vertical="center"/>
    </xf>
    <xf numFmtId="41" fontId="34" fillId="5" borderId="22" xfId="0" applyNumberFormat="1" applyFont="1" applyFill="1" applyBorder="1" applyAlignment="1">
      <alignment vertical="center"/>
    </xf>
    <xf numFmtId="0" fontId="29" fillId="5" borderId="24" xfId="0" applyFont="1" applyFill="1" applyBorder="1" applyAlignment="1">
      <alignment vertical="center"/>
    </xf>
    <xf numFmtId="41" fontId="34" fillId="5" borderId="39" xfId="0" applyNumberFormat="1" applyFont="1" applyFill="1" applyBorder="1" applyAlignment="1">
      <alignment vertical="center"/>
    </xf>
    <xf numFmtId="0" fontId="29" fillId="7" borderId="20" xfId="0" applyFont="1" applyFill="1" applyBorder="1" applyAlignment="1">
      <alignment vertical="center"/>
    </xf>
    <xf numFmtId="41" fontId="34" fillId="7" borderId="3" xfId="0" applyNumberFormat="1" applyFont="1" applyFill="1" applyBorder="1" applyAlignment="1">
      <alignment vertical="center"/>
    </xf>
    <xf numFmtId="0" fontId="29" fillId="7" borderId="22" xfId="0" applyFont="1" applyFill="1" applyBorder="1" applyAlignment="1">
      <alignment vertical="center"/>
    </xf>
    <xf numFmtId="41" fontId="34" fillId="7" borderId="22" xfId="0" applyNumberFormat="1" applyFont="1" applyFill="1" applyBorder="1" applyAlignment="1">
      <alignment vertical="center"/>
    </xf>
    <xf numFmtId="0" fontId="29" fillId="7" borderId="24" xfId="0" applyFont="1" applyFill="1" applyBorder="1" applyAlignment="1">
      <alignment vertical="center"/>
    </xf>
    <xf numFmtId="41" fontId="34" fillId="7" borderId="39" xfId="0" applyNumberFormat="1" applyFont="1" applyFill="1" applyBorder="1" applyAlignment="1">
      <alignment vertical="center"/>
    </xf>
    <xf numFmtId="41" fontId="34" fillId="5" borderId="6" xfId="0" applyNumberFormat="1" applyFont="1" applyFill="1" applyBorder="1" applyAlignment="1">
      <alignment vertical="center"/>
    </xf>
    <xf numFmtId="0" fontId="34" fillId="2" borderId="6" xfId="0" applyFont="1" applyFill="1" applyBorder="1" applyAlignment="1">
      <alignment horizontal="center" vertical="center"/>
    </xf>
    <xf numFmtId="0" fontId="34"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9" fillId="0" borderId="2" xfId="0" quotePrefix="1" applyNumberFormat="1" applyFont="1" applyFill="1" applyBorder="1" applyAlignment="1" applyProtection="1">
      <alignment horizontal="center" vertical="center"/>
      <protection locked="0"/>
    </xf>
    <xf numFmtId="49" fontId="29"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49" fontId="12" fillId="0" borderId="2" xfId="0" applyNumberFormat="1" applyFont="1" applyFill="1" applyBorder="1" applyAlignment="1">
      <alignment horizontal="center" vertical="center"/>
    </xf>
    <xf numFmtId="0" fontId="42" fillId="18" borderId="2" xfId="2" applyFont="1" applyFill="1" applyBorder="1" applyAlignment="1">
      <alignment horizontal="center" vertical="center"/>
    </xf>
    <xf numFmtId="0" fontId="42" fillId="18" borderId="2" xfId="2" applyFont="1" applyFill="1" applyBorder="1" applyAlignment="1">
      <alignment horizontal="center" vertical="center" shrinkToFit="1"/>
    </xf>
    <xf numFmtId="0" fontId="42" fillId="0" borderId="2" xfId="0" applyFont="1" applyFill="1" applyBorder="1" applyAlignment="1">
      <alignment vertical="center"/>
    </xf>
    <xf numFmtId="166" fontId="42" fillId="0" borderId="2" xfId="4" applyNumberFormat="1" applyFont="1" applyFill="1" applyBorder="1" applyAlignment="1">
      <alignment horizontal="left" vertical="center" shrinkToFit="1"/>
    </xf>
    <xf numFmtId="0" fontId="17" fillId="0" borderId="2" xfId="0" applyFont="1" applyBorder="1"/>
    <xf numFmtId="0" fontId="42" fillId="0" borderId="2" xfId="3" applyFont="1" applyFill="1" applyBorder="1" applyAlignment="1">
      <alignment horizontal="left" vertical="center" shrinkToFit="1"/>
    </xf>
    <xf numFmtId="0" fontId="43" fillId="0" borderId="2" xfId="0" applyFont="1" applyBorder="1" applyAlignment="1">
      <alignment horizontal="left" vertical="center" wrapText="1"/>
    </xf>
    <xf numFmtId="0" fontId="43" fillId="0" borderId="2" xfId="0" applyFont="1" applyFill="1" applyBorder="1" applyAlignment="1">
      <alignment horizontal="left" vertical="center" wrapText="1"/>
    </xf>
    <xf numFmtId="0" fontId="43"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4" fillId="0" borderId="3" xfId="0" applyNumberFormat="1" applyFont="1" applyFill="1" applyBorder="1" applyAlignment="1">
      <alignment horizontal="center" vertical="center" wrapText="1"/>
    </xf>
    <xf numFmtId="49" fontId="44" fillId="0" borderId="3" xfId="0" applyNumberFormat="1" applyFont="1" applyFill="1" applyBorder="1" applyAlignment="1">
      <alignment horizontal="center" vertical="center" wrapText="1"/>
    </xf>
    <xf numFmtId="0" fontId="44" fillId="0" borderId="2" xfId="0" applyNumberFormat="1" applyFont="1" applyFill="1" applyBorder="1" applyAlignment="1">
      <alignment horizontal="center" vertical="center" wrapText="1"/>
    </xf>
    <xf numFmtId="0" fontId="44" fillId="0" borderId="3" xfId="0" applyNumberFormat="1" applyFont="1" applyFill="1" applyBorder="1" applyAlignment="1">
      <alignment horizontal="center" vertical="center" wrapText="1"/>
    </xf>
    <xf numFmtId="49" fontId="44"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8" fillId="14" borderId="3" xfId="0" applyNumberFormat="1" applyFont="1" applyFill="1" applyBorder="1" applyAlignment="1">
      <alignment horizontal="center" vertical="center" wrapText="1"/>
    </xf>
    <xf numFmtId="49" fontId="38"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8"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4"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4" fillId="0" borderId="0" xfId="0" applyFont="1" applyFill="1" applyBorder="1" applyAlignment="1">
      <alignment vertical="center"/>
    </xf>
    <xf numFmtId="0" fontId="38" fillId="14" borderId="3" xfId="0" applyNumberFormat="1" applyFont="1" applyFill="1" applyBorder="1" applyAlignment="1">
      <alignment horizontal="center" vertical="center" wrapText="1"/>
    </xf>
    <xf numFmtId="49" fontId="38"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7" fillId="0" borderId="0" xfId="0" applyFont="1" applyAlignment="1">
      <alignment vertical="center"/>
    </xf>
    <xf numFmtId="0" fontId="27" fillId="0" borderId="2" xfId="0" applyFont="1" applyBorder="1" applyAlignment="1">
      <alignment horizontal="center" vertical="center" wrapText="1"/>
    </xf>
    <xf numFmtId="0" fontId="17" fillId="0" borderId="2" xfId="0" applyFont="1" applyBorder="1" applyAlignment="1">
      <alignment vertical="center" wrapText="1"/>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0" xfId="0" applyFont="1" applyBorder="1" applyAlignment="1">
      <alignment vertical="center" wrapText="1"/>
    </xf>
    <xf numFmtId="0" fontId="46" fillId="0" borderId="2" xfId="0" applyFont="1" applyBorder="1" applyAlignment="1">
      <alignment vertical="center" wrapText="1"/>
    </xf>
    <xf numFmtId="0" fontId="47"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50" fillId="0" borderId="2" xfId="0" applyFont="1" applyBorder="1" applyAlignment="1">
      <alignment horizontal="center" vertical="center" wrapText="1"/>
    </xf>
    <xf numFmtId="0" fontId="49"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3"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8"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2" fillId="0" borderId="2" xfId="0" applyFont="1" applyBorder="1" applyAlignment="1">
      <alignment horizontal="center" vertical="center" wrapText="1"/>
    </xf>
    <xf numFmtId="0" fontId="0" fillId="0" borderId="2" xfId="0" applyBorder="1"/>
    <xf numFmtId="0" fontId="2" fillId="0" borderId="0" xfId="0" applyFont="1" applyAlignment="1">
      <alignment vertical="center"/>
    </xf>
    <xf numFmtId="0" fontId="54" fillId="20" borderId="7" xfId="0" applyFont="1" applyFill="1" applyBorder="1" applyAlignment="1">
      <alignment horizontal="center" vertical="center"/>
    </xf>
    <xf numFmtId="0" fontId="54" fillId="20" borderId="0" xfId="0" applyFont="1" applyFill="1" applyBorder="1" applyAlignment="1">
      <alignment horizontal="center" vertical="center"/>
    </xf>
    <xf numFmtId="0" fontId="54" fillId="20" borderId="8" xfId="0" applyFont="1" applyFill="1" applyBorder="1" applyAlignment="1">
      <alignment horizontal="center" vertical="center"/>
    </xf>
    <xf numFmtId="14" fontId="0" fillId="0" borderId="2" xfId="0" applyNumberFormat="1" applyBorder="1"/>
    <xf numFmtId="14" fontId="27" fillId="0" borderId="2" xfId="0" applyNumberFormat="1" applyFont="1" applyBorder="1" applyAlignment="1">
      <alignment horizontal="center" vertical="center" wrapText="1"/>
    </xf>
    <xf numFmtId="0" fontId="6" fillId="0" borderId="0" xfId="0" applyFont="1" applyFill="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5" fillId="21" borderId="8" xfId="0" applyFont="1" applyFill="1" applyBorder="1" applyAlignment="1">
      <alignment vertical="center"/>
    </xf>
    <xf numFmtId="0" fontId="55" fillId="21" borderId="0" xfId="0" applyFont="1" applyFill="1" applyBorder="1" applyAlignment="1">
      <alignment vertical="center"/>
    </xf>
    <xf numFmtId="0" fontId="55" fillId="21" borderId="19" xfId="0" applyFont="1" applyFill="1" applyBorder="1" applyAlignment="1">
      <alignment vertical="center"/>
    </xf>
    <xf numFmtId="0" fontId="56"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5" fillId="23" borderId="0" xfId="0" applyFont="1" applyFill="1" applyBorder="1" applyAlignment="1">
      <alignment horizontal="left" vertical="center" indent="1"/>
    </xf>
    <xf numFmtId="0" fontId="55"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7"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7" fillId="0" borderId="2" xfId="0" applyFont="1" applyBorder="1" applyAlignment="1">
      <alignment horizontal="left" vertical="center" wrapText="1"/>
    </xf>
    <xf numFmtId="0" fontId="3" fillId="0" borderId="2" xfId="0" applyFont="1" applyBorder="1" applyAlignment="1">
      <alignment horizontal="center" vertical="center"/>
    </xf>
    <xf numFmtId="0" fontId="34" fillId="4" borderId="18" xfId="0" applyFont="1" applyFill="1" applyBorder="1" applyAlignment="1">
      <alignment horizontal="center" vertical="center"/>
    </xf>
    <xf numFmtId="0" fontId="62" fillId="4" borderId="3" xfId="0" applyFont="1" applyFill="1" applyBorder="1" applyAlignment="1">
      <alignment horizontal="left" vertical="center"/>
    </xf>
    <xf numFmtId="0" fontId="62" fillId="4" borderId="18" xfId="0" applyFont="1" applyFill="1" applyBorder="1" applyAlignment="1">
      <alignment horizontal="left" vertical="center"/>
    </xf>
    <xf numFmtId="14" fontId="55" fillId="0" borderId="2" xfId="0" applyNumberFormat="1" applyFont="1" applyFill="1" applyBorder="1" applyAlignment="1" applyProtection="1">
      <alignment vertical="center"/>
      <protection locked="0"/>
    </xf>
    <xf numFmtId="0" fontId="2" fillId="0" borderId="2"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3" fillId="26" borderId="0" xfId="0" applyFont="1" applyFill="1" applyBorder="1" applyAlignment="1">
      <alignment horizontal="center" vertical="center"/>
    </xf>
    <xf numFmtId="0" fontId="55" fillId="26" borderId="0" xfId="0" applyFont="1" applyFill="1" applyBorder="1" applyAlignment="1">
      <alignment vertical="center"/>
    </xf>
    <xf numFmtId="0" fontId="22" fillId="26" borderId="0" xfId="0" applyFont="1" applyFill="1" applyBorder="1" applyAlignment="1">
      <alignment horizontal="right" vertical="center"/>
    </xf>
    <xf numFmtId="0" fontId="55" fillId="26" borderId="1" xfId="0" applyFont="1" applyFill="1" applyBorder="1" applyAlignment="1">
      <alignment vertical="center"/>
    </xf>
    <xf numFmtId="0" fontId="55" fillId="26" borderId="19" xfId="0" applyFont="1" applyFill="1" applyBorder="1" applyAlignment="1">
      <alignment vertical="center"/>
    </xf>
    <xf numFmtId="0" fontId="55" fillId="26" borderId="8" xfId="0" applyFont="1" applyFill="1" applyBorder="1" applyAlignment="1">
      <alignment vertical="center"/>
    </xf>
    <xf numFmtId="0" fontId="55" fillId="26" borderId="0" xfId="0" applyFont="1" applyFill="1" applyBorder="1" applyAlignment="1">
      <alignment horizontal="right" vertical="center"/>
    </xf>
    <xf numFmtId="0" fontId="55" fillId="26" borderId="0" xfId="0" applyFont="1" applyFill="1" applyBorder="1" applyAlignment="1">
      <alignment horizontal="left" vertical="center" indent="1"/>
    </xf>
    <xf numFmtId="0" fontId="2" fillId="26" borderId="32" xfId="0" applyFont="1" applyFill="1" applyBorder="1" applyAlignment="1">
      <alignment vertical="top"/>
    </xf>
    <xf numFmtId="0" fontId="2" fillId="26" borderId="28"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32"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7"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0" fontId="37" fillId="13" borderId="41" xfId="0" applyFont="1" applyFill="1" applyBorder="1" applyAlignment="1">
      <alignment horizontal="center" vertical="center"/>
    </xf>
    <xf numFmtId="0" fontId="37" fillId="13" borderId="42" xfId="0" applyFont="1" applyFill="1" applyBorder="1" applyAlignment="1">
      <alignment horizontal="center" vertical="center"/>
    </xf>
    <xf numFmtId="0" fontId="37" fillId="13" borderId="43" xfId="0" applyFont="1" applyFill="1" applyBorder="1" applyAlignment="1">
      <alignment horizontal="center" vertical="center"/>
    </xf>
    <xf numFmtId="0" fontId="63" fillId="2" borderId="3" xfId="1" applyFont="1" applyFill="1" applyBorder="1" applyAlignment="1">
      <alignment horizontal="center" vertical="center"/>
    </xf>
    <xf numFmtId="0" fontId="63" fillId="2" borderId="18" xfId="1" applyFont="1" applyFill="1" applyBorder="1" applyAlignment="1">
      <alignment horizontal="center" vertical="center"/>
    </xf>
    <xf numFmtId="0" fontId="63" fillId="2" borderId="6" xfId="1" applyFont="1" applyFill="1" applyBorder="1" applyAlignment="1">
      <alignment horizontal="center" vertical="center"/>
    </xf>
    <xf numFmtId="0" fontId="64" fillId="7" borderId="3" xfId="1" applyFont="1" applyFill="1" applyBorder="1" applyAlignment="1">
      <alignment horizontal="center" vertical="center"/>
    </xf>
    <xf numFmtId="0" fontId="64" fillId="7" borderId="18" xfId="1" applyFont="1" applyFill="1" applyBorder="1" applyAlignment="1">
      <alignment horizontal="center" vertical="center"/>
    </xf>
    <xf numFmtId="0" fontId="64" fillId="7" borderId="6" xfId="1" applyFont="1" applyFill="1" applyBorder="1" applyAlignment="1">
      <alignment horizontal="center" vertical="center"/>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19" xfId="0" applyFont="1" applyBorder="1" applyAlignment="1">
      <alignment horizontal="center" vertical="center" wrapText="1"/>
    </xf>
    <xf numFmtId="0" fontId="38" fillId="14" borderId="3" xfId="0" applyNumberFormat="1" applyFont="1" applyFill="1" applyBorder="1" applyAlignment="1">
      <alignment horizontal="center" vertical="center" wrapText="1"/>
    </xf>
    <xf numFmtId="0" fontId="38" fillId="14" borderId="6" xfId="0" applyFont="1" applyFill="1" applyBorder="1" applyAlignment="1">
      <alignment horizontal="center" vertical="center" wrapText="1"/>
    </xf>
    <xf numFmtId="0" fontId="38" fillId="14" borderId="6" xfId="0" applyNumberFormat="1" applyFont="1" applyFill="1" applyBorder="1" applyAlignment="1">
      <alignment horizontal="center" vertical="center" wrapText="1"/>
    </xf>
    <xf numFmtId="49" fontId="38" fillId="14" borderId="3" xfId="0" applyNumberFormat="1" applyFont="1" applyFill="1" applyBorder="1" applyAlignment="1">
      <alignment horizontal="center" vertical="center" wrapText="1"/>
    </xf>
    <xf numFmtId="49" fontId="38" fillId="14" borderId="6" xfId="0" applyNumberFormat="1" applyFont="1" applyFill="1" applyBorder="1" applyAlignment="1">
      <alignment horizontal="center" vertical="center" wrapText="1"/>
    </xf>
    <xf numFmtId="0" fontId="38" fillId="14" borderId="3" xfId="0" applyFont="1" applyFill="1" applyBorder="1" applyAlignment="1">
      <alignment horizontal="center" vertical="center" wrapText="1"/>
    </xf>
    <xf numFmtId="0" fontId="38" fillId="14" borderId="2" xfId="0" applyNumberFormat="1" applyFont="1" applyFill="1" applyBorder="1" applyAlignment="1">
      <alignment horizontal="center" vertical="center" wrapText="1"/>
    </xf>
    <xf numFmtId="0" fontId="38" fillId="14" borderId="2" xfId="0" applyFont="1" applyFill="1" applyBorder="1" applyAlignment="1">
      <alignment horizontal="center" vertical="center" wrapText="1"/>
    </xf>
    <xf numFmtId="0" fontId="38" fillId="14" borderId="4" xfId="0" applyNumberFormat="1" applyFont="1" applyFill="1" applyBorder="1" applyAlignment="1">
      <alignment horizontal="center" vertical="center"/>
    </xf>
    <xf numFmtId="0" fontId="38" fillId="14" borderId="9" xfId="0" applyNumberFormat="1" applyFont="1" applyFill="1" applyBorder="1" applyAlignment="1">
      <alignment horizontal="center" vertical="center"/>
    </xf>
    <xf numFmtId="0" fontId="38" fillId="14" borderId="5" xfId="0" applyNumberFormat="1" applyFont="1" applyFill="1" applyBorder="1" applyAlignment="1">
      <alignment horizontal="center" vertical="center"/>
    </xf>
    <xf numFmtId="0" fontId="38" fillId="14" borderId="4" xfId="0" applyNumberFormat="1" applyFont="1" applyFill="1" applyBorder="1" applyAlignment="1">
      <alignment horizontal="center" vertical="center" wrapText="1"/>
    </xf>
    <xf numFmtId="0" fontId="38"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8" fillId="14" borderId="3" xfId="0" applyNumberFormat="1" applyFont="1" applyFill="1" applyBorder="1" applyAlignment="1">
      <alignment horizontal="center" vertical="center"/>
    </xf>
    <xf numFmtId="0" fontId="38"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2" xfId="0" applyFont="1" applyFill="1" applyBorder="1" applyAlignment="1">
      <alignment horizontal="center" vertical="center"/>
    </xf>
    <xf numFmtId="0" fontId="33" fillId="0" borderId="0" xfId="0" applyFont="1" applyFill="1" applyAlignment="1">
      <alignment horizontal="center" vertical="center" wrapText="1"/>
    </xf>
    <xf numFmtId="49" fontId="2" fillId="0" borderId="2" xfId="0" applyNumberFormat="1" applyFont="1" applyBorder="1" applyAlignment="1">
      <alignment horizont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5" fillId="0" borderId="0" xfId="0" applyFont="1" applyFill="1" applyAlignment="1">
      <alignment horizontal="left" vertical="center"/>
    </xf>
    <xf numFmtId="14" fontId="4" fillId="9" borderId="2" xfId="0" applyNumberFormat="1" applyFont="1" applyFill="1" applyBorder="1" applyAlignment="1">
      <alignment horizontal="center" vertical="center"/>
    </xf>
    <xf numFmtId="0" fontId="27" fillId="0" borderId="2" xfId="0" applyFont="1" applyBorder="1" applyAlignment="1">
      <alignment vertical="center" shrinkToFit="1"/>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0" fontId="46" fillId="0" borderId="2" xfId="0" applyFont="1" applyBorder="1" applyAlignment="1">
      <alignment horizontal="center" vertical="center" wrapText="1"/>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5" fillId="0" borderId="4" xfId="0"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2" fillId="0" borderId="2" xfId="0" applyFont="1" applyBorder="1" applyAlignment="1">
      <alignment horizontal="center" vertical="center" wrapText="1"/>
    </xf>
    <xf numFmtId="0" fontId="49" fillId="0" borderId="0" xfId="0" applyFont="1" applyAlignment="1">
      <alignment horizontal="left" vertical="center"/>
    </xf>
    <xf numFmtId="0" fontId="2" fillId="0" borderId="2" xfId="0" applyFont="1" applyBorder="1" applyAlignment="1">
      <alignment horizontal="center"/>
    </xf>
    <xf numFmtId="0" fontId="7" fillId="0" borderId="0" xfId="0" applyFont="1" applyAlignment="1">
      <alignment horizontal="left" vertical="top"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9" fillId="0" borderId="2" xfId="0" applyFont="1" applyBorder="1" applyAlignment="1">
      <alignment horizontal="center" vertical="top"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48" fillId="0" borderId="1" xfId="0" applyFont="1" applyBorder="1" applyAlignment="1">
      <alignment horizontal="left" vertical="center"/>
    </xf>
    <xf numFmtId="0" fontId="9" fillId="0" borderId="2" xfId="0" applyFont="1" applyBorder="1" applyAlignment="1">
      <alignment horizontal="center" vertical="center" wrapText="1"/>
    </xf>
    <xf numFmtId="0" fontId="31" fillId="0" borderId="0" xfId="0" applyFont="1" applyFill="1" applyBorder="1" applyAlignment="1">
      <alignment horizontal="center" vertical="center"/>
    </xf>
    <xf numFmtId="0" fontId="50" fillId="0" borderId="2" xfId="0" applyFont="1" applyBorder="1" applyAlignment="1">
      <alignment horizontal="center" vertical="center" wrapText="1"/>
    </xf>
    <xf numFmtId="14" fontId="5" fillId="0" borderId="0" xfId="0" quotePrefix="1" applyNumberFormat="1" applyFont="1" applyFill="1" applyAlignment="1">
      <alignment horizontal="left" vertical="center"/>
    </xf>
    <xf numFmtId="14" fontId="6" fillId="0" borderId="0" xfId="0" applyNumberFormat="1" applyFont="1" applyFill="1" applyAlignment="1">
      <alignment horizontal="center" vertical="center"/>
    </xf>
    <xf numFmtId="0" fontId="53" fillId="0" borderId="0" xfId="0" applyFont="1" applyFill="1" applyAlignment="1">
      <alignment horizontal="center" vertical="center"/>
    </xf>
    <xf numFmtId="0" fontId="50" fillId="0" borderId="4" xfId="0" applyFont="1" applyBorder="1" applyAlignment="1">
      <alignment horizontal="center" vertical="center" wrapText="1"/>
    </xf>
    <xf numFmtId="0" fontId="50" fillId="0" borderId="9" xfId="0" applyFont="1" applyBorder="1" applyAlignment="1">
      <alignment horizontal="center" vertical="center" wrapText="1"/>
    </xf>
    <xf numFmtId="0" fontId="50" fillId="0" borderId="5" xfId="0" applyFont="1" applyBorder="1" applyAlignment="1">
      <alignment horizontal="center" vertical="center" wrapText="1"/>
    </xf>
    <xf numFmtId="0" fontId="50" fillId="0" borderId="32" xfId="0" applyFont="1" applyBorder="1" applyAlignment="1">
      <alignment horizontal="left" vertical="center" wrapText="1"/>
    </xf>
    <xf numFmtId="0" fontId="50" fillId="0" borderId="0" xfId="0" applyFont="1" applyBorder="1" applyAlignment="1">
      <alignment horizontal="left" vertical="center" wrapText="1"/>
    </xf>
    <xf numFmtId="0" fontId="53" fillId="0" borderId="0" xfId="0" applyFont="1" applyFill="1" applyAlignment="1">
      <alignment horizontal="left" vertical="center"/>
    </xf>
    <xf numFmtId="14" fontId="4" fillId="0" borderId="0" xfId="0" applyNumberFormat="1" applyFont="1" applyFill="1" applyAlignment="1">
      <alignment horizontal="center" vertical="center"/>
    </xf>
    <xf numFmtId="14" fontId="32"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6" fillId="0" borderId="0" xfId="0" applyFont="1" applyFill="1" applyAlignment="1">
      <alignment horizontal="center" vertical="center"/>
    </xf>
    <xf numFmtId="0" fontId="48" fillId="0" borderId="0" xfId="0" applyFont="1" applyAlignment="1">
      <alignment horizontal="left" vertical="top" wrapText="1"/>
    </xf>
    <xf numFmtId="0" fontId="4" fillId="0" borderId="0" xfId="0" applyFont="1" applyFill="1" applyAlignment="1">
      <alignment horizontal="center" vertical="center"/>
    </xf>
    <xf numFmtId="0" fontId="22" fillId="12" borderId="0" xfId="0" applyFont="1" applyFill="1" applyAlignment="1" applyProtection="1">
      <alignment horizontal="center" vertical="center"/>
    </xf>
    <xf numFmtId="0" fontId="26"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8" fillId="0" borderId="4" xfId="0" applyNumberFormat="1" applyFont="1" applyFill="1" applyBorder="1" applyAlignment="1" applyProtection="1">
      <alignment horizontal="center" vertical="center"/>
      <protection locked="0"/>
    </xf>
    <xf numFmtId="14" fontId="28"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9" xfId="0" applyNumberFormat="1" applyFont="1" applyFill="1" applyBorder="1" applyAlignment="1" applyProtection="1">
      <alignment horizontal="center" vertical="center"/>
      <protection locked="0"/>
    </xf>
    <xf numFmtId="0" fontId="36" fillId="5" borderId="28" xfId="0" applyFont="1" applyFill="1" applyBorder="1" applyAlignment="1">
      <alignment horizontal="center" vertical="center"/>
    </xf>
    <xf numFmtId="0" fontId="36" fillId="5" borderId="8" xfId="0" applyFont="1" applyFill="1" applyBorder="1" applyAlignment="1">
      <alignment horizontal="center" vertical="center"/>
    </xf>
    <xf numFmtId="0" fontId="36" fillId="5" borderId="19" xfId="0" applyFont="1" applyFill="1" applyBorder="1" applyAlignment="1">
      <alignment horizontal="center" vertical="center"/>
    </xf>
    <xf numFmtId="0" fontId="22" fillId="0" borderId="1" xfId="0" applyFont="1" applyBorder="1" applyAlignment="1">
      <alignment horizontal="center" vertical="center"/>
    </xf>
    <xf numFmtId="0" fontId="36" fillId="4" borderId="3" xfId="0" applyFont="1" applyFill="1" applyBorder="1" applyAlignment="1">
      <alignment horizontal="left" vertical="center" indent="1"/>
    </xf>
    <xf numFmtId="0" fontId="36" fillId="4" borderId="18" xfId="0" applyFont="1" applyFill="1" applyBorder="1" applyAlignment="1">
      <alignment horizontal="left" vertical="center" indent="1"/>
    </xf>
    <xf numFmtId="0" fontId="36" fillId="4" borderId="6" xfId="0" applyFont="1" applyFill="1" applyBorder="1" applyAlignment="1">
      <alignment horizontal="left" vertical="center" indent="1"/>
    </xf>
    <xf numFmtId="0" fontId="36" fillId="16" borderId="3" xfId="0" applyFont="1" applyFill="1" applyBorder="1" applyAlignment="1">
      <alignment horizontal="left" vertical="center" indent="1"/>
    </xf>
    <xf numFmtId="0" fontId="36" fillId="16" borderId="18" xfId="0" applyFont="1" applyFill="1" applyBorder="1" applyAlignment="1">
      <alignment horizontal="left" vertical="center" indent="1"/>
    </xf>
    <xf numFmtId="0" fontId="36" fillId="16" borderId="6" xfId="0" applyFont="1" applyFill="1" applyBorder="1" applyAlignment="1">
      <alignment horizontal="left" vertical="center" indent="1"/>
    </xf>
    <xf numFmtId="0" fontId="26" fillId="14" borderId="2" xfId="0" applyFont="1" applyFill="1" applyBorder="1" applyAlignment="1">
      <alignment horizontal="center" vertical="center"/>
    </xf>
    <xf numFmtId="0" fontId="36" fillId="2" borderId="3" xfId="0" applyFont="1" applyFill="1" applyBorder="1" applyAlignment="1">
      <alignment horizontal="left" vertical="center" indent="1"/>
    </xf>
    <xf numFmtId="0" fontId="36" fillId="2" borderId="18" xfId="0" applyFont="1" applyFill="1" applyBorder="1" applyAlignment="1">
      <alignment horizontal="left" vertical="center" indent="1"/>
    </xf>
    <xf numFmtId="0" fontId="36" fillId="8" borderId="3" xfId="0" applyFont="1" applyFill="1" applyBorder="1" applyAlignment="1">
      <alignment horizontal="left" vertical="center" indent="1"/>
    </xf>
    <xf numFmtId="0" fontId="36" fillId="8" borderId="18" xfId="0" applyFont="1" applyFill="1" applyBorder="1" applyAlignment="1">
      <alignment horizontal="left" vertical="center" indent="1"/>
    </xf>
    <xf numFmtId="0" fontId="36" fillId="8" borderId="6" xfId="0" applyFont="1" applyFill="1" applyBorder="1" applyAlignment="1">
      <alignment horizontal="left" vertical="center" indent="1"/>
    </xf>
    <xf numFmtId="0" fontId="26" fillId="14" borderId="3" xfId="0" applyFont="1" applyFill="1" applyBorder="1" applyAlignment="1">
      <alignment horizontal="center" vertical="center"/>
    </xf>
    <xf numFmtId="0" fontId="26" fillId="14" borderId="6" xfId="0" applyFont="1" applyFill="1" applyBorder="1" applyAlignment="1">
      <alignment horizontal="center" vertical="center"/>
    </xf>
    <xf numFmtId="0" fontId="36" fillId="15" borderId="3" xfId="0" applyFont="1" applyFill="1" applyBorder="1" applyAlignment="1">
      <alignment horizontal="left" vertical="center" indent="1"/>
    </xf>
    <xf numFmtId="0" fontId="36" fillId="15" borderId="18" xfId="0" applyFont="1" applyFill="1" applyBorder="1" applyAlignment="1">
      <alignment horizontal="left" vertical="center" indent="1"/>
    </xf>
    <xf numFmtId="0" fontId="36" fillId="15" borderId="6" xfId="0" applyFont="1" applyFill="1" applyBorder="1" applyAlignment="1">
      <alignment horizontal="left" vertical="center" indent="1"/>
    </xf>
    <xf numFmtId="0" fontId="36" fillId="17" borderId="3" xfId="0" applyFont="1" applyFill="1" applyBorder="1" applyAlignment="1">
      <alignment horizontal="left" vertical="center" indent="1"/>
    </xf>
    <xf numFmtId="0" fontId="36" fillId="17" borderId="18" xfId="0" applyFont="1" applyFill="1" applyBorder="1" applyAlignment="1">
      <alignment horizontal="left" vertical="center" indent="1"/>
    </xf>
    <xf numFmtId="0" fontId="36" fillId="17" borderId="6" xfId="0" applyFont="1" applyFill="1" applyBorder="1" applyAlignment="1">
      <alignment horizontal="left" vertical="center" indent="1"/>
    </xf>
    <xf numFmtId="0" fontId="36" fillId="5" borderId="3" xfId="0" applyFont="1" applyFill="1" applyBorder="1" applyAlignment="1">
      <alignment horizontal="left" vertical="center" indent="1"/>
    </xf>
    <xf numFmtId="0" fontId="36" fillId="5" borderId="18" xfId="0" applyFont="1" applyFill="1" applyBorder="1" applyAlignment="1">
      <alignment horizontal="left" vertical="center" indent="1"/>
    </xf>
    <xf numFmtId="0" fontId="36" fillId="5" borderId="6" xfId="0" applyFont="1" applyFill="1" applyBorder="1" applyAlignment="1">
      <alignment horizontal="left" vertical="center" indent="1"/>
    </xf>
    <xf numFmtId="0" fontId="36" fillId="7" borderId="3" xfId="0" applyFont="1" applyFill="1" applyBorder="1" applyAlignment="1">
      <alignment horizontal="left" vertical="center" indent="1"/>
    </xf>
    <xf numFmtId="0" fontId="36" fillId="7" borderId="18" xfId="0" applyFont="1" applyFill="1" applyBorder="1" applyAlignment="1">
      <alignment horizontal="left" vertical="center" indent="1"/>
    </xf>
    <xf numFmtId="0" fontId="36" fillId="7" borderId="6" xfId="0" applyFont="1" applyFill="1" applyBorder="1" applyAlignment="1">
      <alignment horizontal="left" vertical="center" indent="1"/>
    </xf>
    <xf numFmtId="14" fontId="2" fillId="0" borderId="4" xfId="0" applyNumberFormat="1" applyFont="1" applyBorder="1" applyAlignment="1">
      <alignment horizontal="center" vertical="center" wrapText="1"/>
    </xf>
    <xf numFmtId="0" fontId="44" fillId="0" borderId="3" xfId="0" applyFont="1" applyFill="1" applyBorder="1" applyAlignment="1">
      <alignment horizontal="center" vertical="center" wrapText="1"/>
    </xf>
    <xf numFmtId="0" fontId="44" fillId="0" borderId="6" xfId="0"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4" fillId="0" borderId="3" xfId="0" applyNumberFormat="1" applyFont="1" applyFill="1" applyBorder="1" applyAlignment="1">
      <alignment horizontal="center" vertical="center" wrapText="1"/>
    </xf>
    <xf numFmtId="0" fontId="44" fillId="0" borderId="3" xfId="0" applyNumberFormat="1" applyFont="1" applyBorder="1" applyAlignment="1">
      <alignment horizontal="center" vertical="center"/>
    </xf>
    <xf numFmtId="0" fontId="44" fillId="0" borderId="6" xfId="0" applyNumberFormat="1" applyFont="1" applyBorder="1" applyAlignment="1">
      <alignment horizontal="center" vertical="center"/>
    </xf>
    <xf numFmtId="0" fontId="44" fillId="0" borderId="3" xfId="0" applyFont="1" applyBorder="1" applyAlignment="1">
      <alignment horizontal="center" vertical="center" wrapText="1"/>
    </xf>
    <xf numFmtId="0" fontId="44" fillId="0" borderId="6" xfId="0" applyFont="1" applyBorder="1" applyAlignment="1">
      <alignment horizontal="center" vertical="center" wrapText="1"/>
    </xf>
    <xf numFmtId="0" fontId="44" fillId="0" borderId="6" xfId="0" applyNumberFormat="1" applyFont="1" applyFill="1" applyBorder="1" applyAlignment="1">
      <alignment horizontal="center" vertical="center" wrapText="1"/>
    </xf>
    <xf numFmtId="49" fontId="44" fillId="0" borderId="3" xfId="0" applyNumberFormat="1" applyFont="1" applyFill="1" applyBorder="1" applyAlignment="1">
      <alignment horizontal="center" vertical="center" wrapText="1"/>
    </xf>
    <xf numFmtId="49" fontId="44"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4" fillId="0" borderId="2" xfId="0" applyNumberFormat="1" applyFont="1" applyFill="1" applyBorder="1" applyAlignment="1">
      <alignment horizontal="center" vertical="center" wrapText="1"/>
    </xf>
    <xf numFmtId="0" fontId="44" fillId="0" borderId="2" xfId="0" applyFont="1" applyFill="1" applyBorder="1" applyAlignment="1">
      <alignment horizontal="center" vertical="center" wrapText="1"/>
    </xf>
    <xf numFmtId="0" fontId="44" fillId="0" borderId="4" xfId="0" applyNumberFormat="1" applyFont="1" applyBorder="1" applyAlignment="1">
      <alignment horizontal="center" vertical="center"/>
    </xf>
    <xf numFmtId="0" fontId="44" fillId="0" borderId="9" xfId="0" applyNumberFormat="1" applyFont="1" applyBorder="1" applyAlignment="1">
      <alignment horizontal="center" vertical="center"/>
    </xf>
    <xf numFmtId="0" fontId="44" fillId="0" borderId="5" xfId="0" applyNumberFormat="1" applyFont="1" applyBorder="1" applyAlignment="1">
      <alignment horizontal="center" vertical="center"/>
    </xf>
    <xf numFmtId="0" fontId="44" fillId="0" borderId="4" xfId="0" applyNumberFormat="1" applyFont="1" applyFill="1" applyBorder="1" applyAlignment="1">
      <alignment horizontal="center" vertical="center" wrapText="1"/>
    </xf>
    <xf numFmtId="0" fontId="44"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6"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9" fillId="0" borderId="27" xfId="0" applyNumberFormat="1" applyFont="1" applyFill="1" applyBorder="1" applyAlignment="1" applyProtection="1">
      <alignment horizontal="left" vertical="center" wrapText="1"/>
      <protection locked="0"/>
    </xf>
    <xf numFmtId="14" fontId="29" fillId="0" borderId="32" xfId="0" applyNumberFormat="1" applyFont="1" applyFill="1" applyBorder="1" applyAlignment="1" applyProtection="1">
      <alignment horizontal="left" vertical="center" wrapText="1"/>
      <protection locked="0"/>
    </xf>
    <xf numFmtId="14" fontId="29" fillId="0" borderId="28" xfId="0" applyNumberFormat="1" applyFont="1" applyFill="1" applyBorder="1" applyAlignment="1" applyProtection="1">
      <alignment horizontal="left" vertical="center" wrapText="1"/>
      <protection locked="0"/>
    </xf>
    <xf numFmtId="14" fontId="29" fillId="0" borderId="7" xfId="0" applyNumberFormat="1" applyFont="1" applyFill="1" applyBorder="1" applyAlignment="1" applyProtection="1">
      <alignment horizontal="left" vertical="center" wrapText="1"/>
      <protection locked="0"/>
    </xf>
    <xf numFmtId="14" fontId="29" fillId="0" borderId="0" xfId="0" applyNumberFormat="1" applyFont="1" applyFill="1" applyBorder="1" applyAlignment="1" applyProtection="1">
      <alignment horizontal="left" vertical="center" wrapText="1"/>
      <protection locked="0"/>
    </xf>
    <xf numFmtId="14" fontId="29" fillId="0" borderId="8" xfId="0" applyNumberFormat="1" applyFont="1" applyFill="1" applyBorder="1" applyAlignment="1" applyProtection="1">
      <alignment horizontal="left" vertical="center" wrapText="1"/>
      <protection locked="0"/>
    </xf>
    <xf numFmtId="14" fontId="29" fillId="0" borderId="40" xfId="0" applyNumberFormat="1" applyFont="1" applyFill="1" applyBorder="1" applyAlignment="1" applyProtection="1">
      <alignment horizontal="left" vertical="center" wrapText="1"/>
      <protection locked="0"/>
    </xf>
    <xf numFmtId="14" fontId="29" fillId="0" borderId="1" xfId="0" applyNumberFormat="1" applyFont="1" applyFill="1" applyBorder="1" applyAlignment="1" applyProtection="1">
      <alignment horizontal="left" vertical="center" wrapText="1"/>
      <protection locked="0"/>
    </xf>
    <xf numFmtId="14" fontId="29"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9" fillId="0" borderId="4" xfId="0" applyNumberFormat="1" applyFont="1" applyFill="1" applyBorder="1" applyAlignment="1" applyProtection="1">
      <alignment horizontal="left" vertical="center"/>
      <protection locked="0"/>
    </xf>
    <xf numFmtId="0" fontId="29" fillId="0" borderId="5" xfId="0" applyNumberFormat="1" applyFont="1" applyFill="1" applyBorder="1" applyAlignment="1" applyProtection="1">
      <alignment horizontal="left" vertical="center"/>
      <protection locked="0"/>
    </xf>
    <xf numFmtId="0" fontId="29"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6" fillId="2" borderId="7"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vertical="center"/>
      <protection locked="0"/>
    </xf>
    <xf numFmtId="0" fontId="22" fillId="26" borderId="0" xfId="0" applyFont="1" applyFill="1" applyBorder="1" applyAlignment="1">
      <alignment horizontal="right" vertical="center"/>
    </xf>
    <xf numFmtId="0" fontId="56" fillId="28" borderId="2" xfId="0" applyFont="1" applyFill="1" applyBorder="1" applyAlignment="1" applyProtection="1">
      <alignment horizontal="left" vertical="center"/>
      <protection locked="0"/>
    </xf>
    <xf numFmtId="0" fontId="54" fillId="19" borderId="27" xfId="0" applyFont="1" applyFill="1" applyBorder="1" applyAlignment="1">
      <alignment horizontal="center" vertical="center"/>
    </xf>
    <xf numFmtId="0" fontId="54" fillId="19" borderId="32" xfId="0" applyFont="1" applyFill="1" applyBorder="1" applyAlignment="1">
      <alignment horizontal="center" vertical="center"/>
    </xf>
    <xf numFmtId="0" fontId="54" fillId="19" borderId="28" xfId="0" applyFont="1" applyFill="1" applyBorder="1" applyAlignment="1">
      <alignment horizontal="center" vertical="center"/>
    </xf>
    <xf numFmtId="0" fontId="54" fillId="19" borderId="7" xfId="0" applyFont="1" applyFill="1" applyBorder="1" applyAlignment="1">
      <alignment horizontal="center" vertical="center"/>
    </xf>
    <xf numFmtId="0" fontId="54" fillId="19" borderId="0" xfId="0" applyFont="1" applyFill="1" applyBorder="1" applyAlignment="1">
      <alignment horizontal="center" vertical="center"/>
    </xf>
    <xf numFmtId="0" fontId="54" fillId="19" borderId="8" xfId="0" applyFont="1" applyFill="1" applyBorder="1" applyAlignment="1">
      <alignment horizontal="center" vertical="center"/>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55" fillId="0" borderId="4" xfId="0" applyFont="1" applyFill="1" applyBorder="1" applyAlignment="1" applyProtection="1">
      <alignment horizontal="left" vertical="center" indent="1"/>
      <protection locked="0"/>
    </xf>
    <xf numFmtId="0" fontId="55" fillId="0" borderId="9" xfId="0" applyFont="1" applyFill="1" applyBorder="1" applyAlignment="1" applyProtection="1">
      <alignment horizontal="left" vertical="center" indent="1"/>
      <protection locked="0"/>
    </xf>
    <xf numFmtId="0" fontId="55" fillId="0" borderId="5" xfId="0" applyFont="1" applyFill="1" applyBorder="1" applyAlignment="1" applyProtection="1">
      <alignment horizontal="left" vertical="center" indent="1"/>
      <protection locked="0"/>
    </xf>
    <xf numFmtId="0" fontId="55"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8" fillId="14" borderId="1" xfId="0" applyFont="1" applyFill="1" applyBorder="1" applyAlignment="1">
      <alignment horizontal="center" wrapText="1"/>
    </xf>
    <xf numFmtId="0" fontId="0" fillId="9" borderId="32" xfId="0" applyFill="1" applyBorder="1" applyAlignment="1">
      <alignment horizontal="center" wrapText="1"/>
    </xf>
    <xf numFmtId="0" fontId="59" fillId="24" borderId="27" xfId="0" applyFont="1" applyFill="1" applyBorder="1" applyAlignment="1">
      <alignment horizontal="center" vertical="center"/>
    </xf>
    <xf numFmtId="0" fontId="59" fillId="24" borderId="32" xfId="0" applyFont="1" applyFill="1" applyBorder="1" applyAlignment="1">
      <alignment horizontal="center" vertical="center"/>
    </xf>
    <xf numFmtId="0" fontId="59" fillId="24" borderId="28" xfId="0" applyFont="1" applyFill="1" applyBorder="1" applyAlignment="1">
      <alignment horizontal="center" vertical="center"/>
    </xf>
    <xf numFmtId="0" fontId="59" fillId="24" borderId="47" xfId="0" applyFont="1" applyFill="1" applyBorder="1" applyAlignment="1">
      <alignment horizontal="center" vertical="center"/>
    </xf>
    <xf numFmtId="0" fontId="59" fillId="24" borderId="48" xfId="0" applyFont="1" applyFill="1" applyBorder="1" applyAlignment="1">
      <alignment horizontal="center" vertical="center"/>
    </xf>
    <xf numFmtId="0" fontId="59" fillId="24" borderId="49" xfId="0" applyFont="1" applyFill="1" applyBorder="1" applyAlignment="1">
      <alignment horizontal="center" vertical="center"/>
    </xf>
    <xf numFmtId="0" fontId="55" fillId="21" borderId="0" xfId="0" applyFont="1" applyFill="1" applyBorder="1" applyAlignment="1">
      <alignment horizontal="center" vertical="center"/>
    </xf>
    <xf numFmtId="0" fontId="55" fillId="21" borderId="8" xfId="0" applyFont="1" applyFill="1" applyBorder="1" applyAlignment="1">
      <alignment horizontal="center" vertical="center"/>
    </xf>
    <xf numFmtId="0" fontId="60" fillId="21" borderId="18" xfId="0" applyFont="1" applyFill="1" applyBorder="1" applyAlignment="1">
      <alignment horizontal="center" vertical="center"/>
    </xf>
    <xf numFmtId="0" fontId="60" fillId="21" borderId="6" xfId="0" applyFont="1" applyFill="1" applyBorder="1" applyAlignment="1">
      <alignment horizontal="center" vertical="center"/>
    </xf>
    <xf numFmtId="0" fontId="56"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5" fillId="0" borderId="4" xfId="0" applyFont="1" applyFill="1" applyBorder="1" applyAlignment="1" applyProtection="1">
      <alignment horizontal="left" vertical="top" wrapText="1" indent="1"/>
      <protection locked="0"/>
    </xf>
    <xf numFmtId="0" fontId="55" fillId="0" borderId="2"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48" fillId="15" borderId="4" xfId="0" applyFont="1" applyFill="1" applyBorder="1" applyAlignment="1">
      <alignment horizontal="left" vertical="center"/>
    </xf>
    <xf numFmtId="0" fontId="48" fillId="15" borderId="9" xfId="0" applyFont="1" applyFill="1" applyBorder="1" applyAlignment="1">
      <alignment horizontal="left" vertical="center"/>
    </xf>
    <xf numFmtId="0" fontId="48" fillId="15" borderId="5" xfId="0" applyFont="1" applyFill="1" applyBorder="1" applyAlignment="1">
      <alignment horizontal="left" vertical="center"/>
    </xf>
    <xf numFmtId="0" fontId="61" fillId="25" borderId="2" xfId="0" applyFont="1" applyFill="1" applyBorder="1" applyAlignment="1">
      <alignment horizontal="center" vertical="center"/>
    </xf>
    <xf numFmtId="0" fontId="61" fillId="19" borderId="4" xfId="0" applyFont="1" applyFill="1" applyBorder="1" applyAlignment="1">
      <alignment horizontal="center" vertical="center"/>
    </xf>
    <xf numFmtId="0" fontId="61" fillId="19" borderId="9" xfId="0" applyFont="1" applyFill="1" applyBorder="1" applyAlignment="1">
      <alignment horizontal="center" vertical="center"/>
    </xf>
    <xf numFmtId="0" fontId="61"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5" fillId="11" borderId="3" xfId="0" applyFont="1" applyFill="1" applyBorder="1" applyAlignment="1">
      <alignment horizontal="left" vertical="top"/>
    </xf>
    <xf numFmtId="0" fontId="65" fillId="11" borderId="18" xfId="0" applyFont="1" applyFill="1" applyBorder="1" applyAlignment="1">
      <alignment horizontal="left" vertical="top"/>
    </xf>
    <xf numFmtId="0" fontId="65" fillId="11" borderId="7" xfId="0" applyFont="1" applyFill="1" applyBorder="1" applyAlignment="1">
      <alignment horizontal="left" vertical="top"/>
    </xf>
    <xf numFmtId="0" fontId="65" fillId="11" borderId="6" xfId="0" applyFont="1" applyFill="1" applyBorder="1" applyAlignment="1">
      <alignment horizontal="left" vertical="top"/>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22" fillId="19" borderId="27" xfId="0" applyFont="1" applyFill="1" applyBorder="1" applyAlignment="1">
      <alignment horizontal="center" vertical="center"/>
    </xf>
    <xf numFmtId="0" fontId="22" fillId="19" borderId="32" xfId="0" applyFont="1" applyFill="1" applyBorder="1" applyAlignment="1">
      <alignment horizontal="center" vertical="center"/>
    </xf>
    <xf numFmtId="0" fontId="22" fillId="19" borderId="28" xfId="0" applyFont="1" applyFill="1" applyBorder="1" applyAlignment="1">
      <alignment horizontal="center" vertical="center"/>
    </xf>
    <xf numFmtId="0" fontId="22" fillId="19" borderId="7" xfId="0" applyFont="1" applyFill="1" applyBorder="1" applyAlignment="1">
      <alignment horizontal="center" vertical="center"/>
    </xf>
    <xf numFmtId="0" fontId="22" fillId="19" borderId="0" xfId="0" applyFont="1" applyFill="1" applyBorder="1" applyAlignment="1">
      <alignment horizontal="center" vertical="center"/>
    </xf>
    <xf numFmtId="0" fontId="22" fillId="19" borderId="8" xfId="0" applyFont="1" applyFill="1" applyBorder="1" applyAlignment="1">
      <alignment horizontal="center" vertical="center"/>
    </xf>
    <xf numFmtId="14" fontId="55" fillId="0" borderId="2" xfId="0" applyNumberFormat="1" applyFont="1" applyFill="1" applyBorder="1" applyAlignment="1">
      <alignment vertical="center" shrinkToFit="1"/>
    </xf>
    <xf numFmtId="0" fontId="66" fillId="22" borderId="53" xfId="0" applyFont="1" applyFill="1" applyBorder="1" applyAlignment="1">
      <alignment horizontal="center" vertical="center" wrapText="1" shrinkToFit="1"/>
    </xf>
    <xf numFmtId="0" fontId="21" fillId="22" borderId="54" xfId="0" applyFont="1" applyFill="1" applyBorder="1" applyAlignment="1">
      <alignment horizontal="center" vertical="center"/>
    </xf>
    <xf numFmtId="0" fontId="17" fillId="22" borderId="54" xfId="0" applyFont="1" applyFill="1" applyBorder="1" applyAlignment="1">
      <alignment vertical="center"/>
    </xf>
    <xf numFmtId="0" fontId="1" fillId="22" borderId="54" xfId="0" applyFont="1" applyFill="1" applyBorder="1" applyAlignment="1">
      <alignment horizontal="right" vertical="center"/>
    </xf>
    <xf numFmtId="0" fontId="17" fillId="22" borderId="54" xfId="0" applyFont="1" applyFill="1" applyBorder="1" applyAlignment="1">
      <alignment horizontal="right" vertical="center"/>
    </xf>
    <xf numFmtId="0" fontId="55" fillId="22" borderId="54" xfId="0" applyFont="1" applyFill="1" applyBorder="1" applyAlignment="1">
      <alignment vertical="center"/>
    </xf>
    <xf numFmtId="0" fontId="55" fillId="22" borderId="55" xfId="0" applyFont="1" applyFill="1" applyBorder="1" applyAlignment="1">
      <alignment vertical="center"/>
    </xf>
    <xf numFmtId="0" fontId="66" fillId="22" borderId="18" xfId="0" applyFont="1" applyFill="1" applyBorder="1" applyAlignment="1">
      <alignment horizontal="center" vertical="center" wrapText="1" shrinkToFit="1"/>
    </xf>
    <xf numFmtId="0" fontId="21" fillId="22" borderId="0" xfId="0" applyFont="1" applyFill="1" applyBorder="1" applyAlignment="1">
      <alignment horizontal="center" vertical="center"/>
    </xf>
    <xf numFmtId="0" fontId="17" fillId="22" borderId="0" xfId="0" applyFont="1" applyFill="1" applyBorder="1" applyAlignment="1">
      <alignment vertical="center"/>
    </xf>
    <xf numFmtId="0" fontId="1" fillId="22" borderId="0" xfId="0" applyFont="1" applyFill="1" applyBorder="1" applyAlignment="1">
      <alignment vertical="center"/>
    </xf>
    <xf numFmtId="165" fontId="67" fillId="12" borderId="2" xfId="0" applyNumberFormat="1" applyFont="1" applyFill="1" applyBorder="1" applyAlignment="1" applyProtection="1">
      <alignment vertical="center"/>
      <protection locked="0"/>
    </xf>
    <xf numFmtId="0" fontId="55" fillId="22" borderId="0" xfId="0" applyFont="1" applyFill="1" applyBorder="1" applyAlignment="1">
      <alignment vertical="center"/>
    </xf>
    <xf numFmtId="0" fontId="1" fillId="22" borderId="0" xfId="0" applyFont="1" applyFill="1" applyBorder="1" applyAlignment="1">
      <alignment vertical="center" shrinkToFit="1"/>
    </xf>
    <xf numFmtId="0" fontId="55" fillId="22" borderId="8" xfId="0" applyFont="1" applyFill="1" applyBorder="1" applyAlignment="1">
      <alignment vertical="center"/>
    </xf>
    <xf numFmtId="0" fontId="66" fillId="22" borderId="50" xfId="0" applyFont="1" applyFill="1" applyBorder="1" applyAlignment="1">
      <alignment horizontal="center" vertical="center" wrapText="1" shrinkToFit="1"/>
    </xf>
    <xf numFmtId="0" fontId="21" fillId="22" borderId="51" xfId="0" applyFont="1" applyFill="1" applyBorder="1" applyAlignment="1">
      <alignment horizontal="center" vertical="center"/>
    </xf>
    <xf numFmtId="0" fontId="17" fillId="22" borderId="51" xfId="0" applyFont="1" applyFill="1" applyBorder="1" applyAlignment="1">
      <alignment vertical="center"/>
    </xf>
    <xf numFmtId="0" fontId="55" fillId="22" borderId="51" xfId="0" applyFont="1" applyFill="1" applyBorder="1" applyAlignment="1">
      <alignment vertical="center"/>
    </xf>
    <xf numFmtId="0" fontId="55" fillId="22" borderId="52" xfId="0" applyFont="1" applyFill="1" applyBorder="1" applyAlignment="1">
      <alignment vertical="center"/>
    </xf>
    <xf numFmtId="165" fontId="15" fillId="0" borderId="2" xfId="0" applyNumberFormat="1" applyFont="1" applyFill="1" applyBorder="1" applyAlignment="1" applyProtection="1">
      <alignment horizontal="center" vertical="center"/>
      <protection locked="0"/>
    </xf>
    <xf numFmtId="0" fontId="23" fillId="26" borderId="18" xfId="0" applyFont="1" applyFill="1" applyBorder="1" applyAlignment="1">
      <alignment horizontal="center" vertical="center" shrinkToFit="1"/>
    </xf>
    <xf numFmtId="0" fontId="21" fillId="26" borderId="0" xfId="0" applyFont="1" applyFill="1" applyBorder="1" applyAlignment="1">
      <alignment horizontal="center" vertical="center"/>
    </xf>
    <xf numFmtId="0" fontId="17" fillId="26" borderId="0" xfId="0" applyFont="1" applyFill="1" applyBorder="1" applyAlignment="1">
      <alignment vertical="center"/>
    </xf>
    <xf numFmtId="0" fontId="1" fillId="26" borderId="0" xfId="0" applyFont="1" applyFill="1" applyBorder="1" applyAlignment="1">
      <alignment horizontal="right" vertical="center"/>
    </xf>
    <xf numFmtId="0" fontId="1" fillId="26" borderId="0" xfId="0" applyFont="1" applyFill="1" applyBorder="1" applyAlignment="1">
      <alignment horizontal="right" vertical="center" shrinkToFit="1"/>
    </xf>
    <xf numFmtId="0" fontId="17" fillId="26" borderId="0" xfId="0" applyFont="1" applyFill="1" applyBorder="1" applyAlignment="1">
      <alignment horizontal="right" vertical="center"/>
    </xf>
    <xf numFmtId="0" fontId="23" fillId="26" borderId="50" xfId="0" applyFont="1" applyFill="1" applyBorder="1" applyAlignment="1">
      <alignment horizontal="center" vertical="center" shrinkToFit="1"/>
    </xf>
    <xf numFmtId="0" fontId="21" fillId="26" borderId="51" xfId="0" applyFont="1" applyFill="1" applyBorder="1" applyAlignment="1">
      <alignment horizontal="center" vertical="center"/>
    </xf>
    <xf numFmtId="0" fontId="17" fillId="26" borderId="51" xfId="0" applyFont="1" applyFill="1" applyBorder="1" applyAlignment="1">
      <alignment vertical="center"/>
    </xf>
    <xf numFmtId="0" fontId="1" fillId="26" borderId="51" xfId="0" applyFont="1" applyFill="1" applyBorder="1" applyAlignment="1">
      <alignment horizontal="right" vertical="center"/>
    </xf>
    <xf numFmtId="0" fontId="17" fillId="26" borderId="51" xfId="0" applyFont="1" applyFill="1" applyBorder="1" applyAlignment="1">
      <alignment horizontal="right" vertical="center"/>
    </xf>
    <xf numFmtId="0" fontId="55" fillId="26" borderId="51" xfId="0" applyFont="1" applyFill="1" applyBorder="1" applyAlignment="1">
      <alignment vertical="center"/>
    </xf>
    <xf numFmtId="0" fontId="55" fillId="26" borderId="52" xfId="0" applyFont="1" applyFill="1" applyBorder="1" applyAlignment="1">
      <alignment vertical="center"/>
    </xf>
    <xf numFmtId="0" fontId="21" fillId="26" borderId="53" xfId="0" applyFont="1" applyFill="1" applyBorder="1" applyAlignment="1">
      <alignment horizontal="center" vertical="center" wrapText="1" shrinkToFit="1"/>
    </xf>
    <xf numFmtId="0" fontId="21" fillId="26" borderId="54" xfId="0" applyFont="1" applyFill="1" applyBorder="1" applyAlignment="1">
      <alignment horizontal="center" vertical="center"/>
    </xf>
    <xf numFmtId="0" fontId="17" fillId="26" borderId="54" xfId="0" applyFont="1" applyFill="1" applyBorder="1" applyAlignment="1">
      <alignment vertical="center"/>
    </xf>
    <xf numFmtId="0" fontId="1" fillId="26" borderId="54" xfId="0" applyFont="1" applyFill="1" applyBorder="1" applyAlignment="1">
      <alignment horizontal="right" vertical="center"/>
    </xf>
    <xf numFmtId="0" fontId="17" fillId="26" borderId="54" xfId="0" applyFont="1" applyFill="1" applyBorder="1" applyAlignment="1">
      <alignment horizontal="right" vertical="center"/>
    </xf>
    <xf numFmtId="0" fontId="55" fillId="26" borderId="54" xfId="0" applyFont="1" applyFill="1" applyBorder="1" applyAlignment="1">
      <alignment vertical="center"/>
    </xf>
    <xf numFmtId="0" fontId="21" fillId="26" borderId="55" xfId="0" applyFont="1" applyFill="1" applyBorder="1" applyAlignment="1">
      <alignment horizontal="center" vertical="center"/>
    </xf>
    <xf numFmtId="0" fontId="21" fillId="26" borderId="18" xfId="0" applyFont="1" applyFill="1" applyBorder="1" applyAlignment="1">
      <alignment horizontal="center" vertical="center" wrapText="1" shrinkToFit="1"/>
    </xf>
    <xf numFmtId="0" fontId="1" fillId="26" borderId="0" xfId="0" applyFont="1" applyFill="1" applyBorder="1" applyAlignment="1">
      <alignment horizontal="right" vertical="center" shrinkToFit="1"/>
    </xf>
    <xf numFmtId="0" fontId="21" fillId="26" borderId="6" xfId="0" applyFont="1" applyFill="1" applyBorder="1" applyAlignment="1">
      <alignment horizontal="center" vertical="center" wrapText="1" shrinkToFit="1"/>
    </xf>
    <xf numFmtId="0" fontId="21" fillId="26" borderId="1" xfId="0" applyFont="1" applyFill="1" applyBorder="1" applyAlignment="1">
      <alignment horizontal="center" vertical="center"/>
    </xf>
    <xf numFmtId="0" fontId="17" fillId="26" borderId="1" xfId="0" applyFont="1" applyFill="1" applyBorder="1" applyAlignment="1">
      <alignment vertical="center"/>
    </xf>
    <xf numFmtId="0" fontId="1" fillId="26" borderId="1" xfId="0" applyFont="1" applyFill="1" applyBorder="1" applyAlignment="1">
      <alignment horizontal="right" vertical="center"/>
    </xf>
    <xf numFmtId="0" fontId="55" fillId="26" borderId="1" xfId="0" applyFont="1" applyFill="1" applyBorder="1" applyAlignment="1">
      <alignment horizontal="left" vertical="center" indent="1"/>
    </xf>
    <xf numFmtId="165" fontId="67"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8" fillId="29" borderId="2" xfId="0" applyNumberFormat="1" applyFont="1" applyFill="1" applyBorder="1" applyAlignment="1" applyProtection="1">
      <alignment vertical="center"/>
      <protection locked="0"/>
    </xf>
    <xf numFmtId="0" fontId="56" fillId="0" borderId="2" xfId="0" applyFont="1" applyFill="1" applyBorder="1" applyAlignment="1" applyProtection="1">
      <alignment horizontal="left" vertical="center"/>
    </xf>
    <xf numFmtId="0" fontId="14" fillId="6" borderId="3"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70" fillId="0" borderId="2" xfId="0" applyFont="1" applyBorder="1" applyAlignment="1">
      <alignment horizontal="center"/>
    </xf>
    <xf numFmtId="14" fontId="70" fillId="0" borderId="2" xfId="0" applyNumberFormat="1" applyFont="1" applyBorder="1" applyAlignment="1">
      <alignment horizontal="center"/>
    </xf>
    <xf numFmtId="0" fontId="62" fillId="4" borderId="6" xfId="1" applyFont="1" applyFill="1" applyBorder="1" applyAlignment="1">
      <alignment horizontal="left" vertical="center"/>
    </xf>
    <xf numFmtId="0" fontId="29" fillId="5" borderId="56" xfId="0" applyFont="1" applyFill="1" applyBorder="1" applyAlignment="1">
      <alignment vertical="center"/>
    </xf>
    <xf numFmtId="0" fontId="9" fillId="8" borderId="2" xfId="0" applyFont="1" applyFill="1" applyBorder="1" applyAlignment="1">
      <alignment vertical="center"/>
    </xf>
    <xf numFmtId="0" fontId="9" fillId="0" borderId="2" xfId="0" applyFont="1" applyFill="1" applyBorder="1" applyAlignment="1">
      <alignment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18997</xdr:colOff>
      <xdr:row>0</xdr:row>
      <xdr:rowOff>95854</xdr:rowOff>
    </xdr:from>
    <xdr:to>
      <xdr:col>19</xdr:col>
      <xdr:colOff>933397</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828675</xdr:colOff>
          <xdr:row>0</xdr:row>
          <xdr:rowOff>180975</xdr:rowOff>
        </xdr:from>
        <xdr:to>
          <xdr:col>25</xdr:col>
          <xdr:colOff>38100</xdr:colOff>
          <xdr:row>0</xdr:row>
          <xdr:rowOff>438150</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76200</xdr:colOff>
          <xdr:row>0</xdr:row>
          <xdr:rowOff>57150</xdr:rowOff>
        </xdr:from>
        <xdr:to>
          <xdr:col>31</xdr:col>
          <xdr:colOff>152400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1040342</xdr:colOff>
      <xdr:row>0</xdr:row>
      <xdr:rowOff>91017</xdr:rowOff>
    </xdr:from>
    <xdr:to>
      <xdr:col>2</xdr:col>
      <xdr:colOff>830792</xdr:colOff>
      <xdr:row>0</xdr:row>
      <xdr:rowOff>548217</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2164292" y="9101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152400</xdr:colOff>
      <xdr:row>0</xdr:row>
      <xdr:rowOff>28575</xdr:rowOff>
    </xdr:from>
    <xdr:to>
      <xdr:col>2</xdr:col>
      <xdr:colOff>876300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400" y="28575"/>
          <a:ext cx="29718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180975</xdr:colOff>
      <xdr:row>0</xdr:row>
      <xdr:rowOff>76200</xdr:rowOff>
    </xdr:from>
    <xdr:to>
      <xdr:col>4</xdr:col>
      <xdr:colOff>342900</xdr:colOff>
      <xdr:row>1</xdr:row>
      <xdr:rowOff>171450</xdr:rowOff>
    </xdr:to>
    <xdr:sp macro="[0]!qtdt_dong" textlink="">
      <xdr:nvSpPr>
        <xdr:cNvPr id="18" name="Rounded Rectangle 17"/>
        <xdr:cNvSpPr/>
      </xdr:nvSpPr>
      <xdr:spPr>
        <a:xfrm>
          <a:off x="3419475"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990600</xdr:colOff>
      <xdr:row>0</xdr:row>
      <xdr:rowOff>66676</xdr:rowOff>
    </xdr:from>
    <xdr:to>
      <xdr:col>4</xdr:col>
      <xdr:colOff>781050</xdr:colOff>
      <xdr:row>0</xdr:row>
      <xdr:rowOff>447676</xdr:rowOff>
    </xdr:to>
    <xdr:sp macro="" textlink="">
      <xdr:nvSpPr>
        <xdr:cNvPr id="5" name="Rectangle 4"/>
        <xdr:cNvSpPr>
          <a:spLocks/>
        </xdr:cNvSpPr>
      </xdr:nvSpPr>
      <xdr:spPr>
        <a:xfrm>
          <a:off x="3771900" y="66676"/>
          <a:ext cx="904875" cy="38100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3</xdr:col>
      <xdr:colOff>76200</xdr:colOff>
      <xdr:row>0</xdr:row>
      <xdr:rowOff>66676</xdr:rowOff>
    </xdr:from>
    <xdr:to>
      <xdr:col>3</xdr:col>
      <xdr:colOff>981075</xdr:colOff>
      <xdr:row>0</xdr:row>
      <xdr:rowOff>447676</xdr:rowOff>
    </xdr:to>
    <xdr:sp macro="[0]!kqxl_luu" textlink="">
      <xdr:nvSpPr>
        <xdr:cNvPr id="4" name="Rectangle 3"/>
        <xdr:cNvSpPr>
          <a:spLocks/>
        </xdr:cNvSpPr>
      </xdr:nvSpPr>
      <xdr:spPr>
        <a:xfrm>
          <a:off x="2857500" y="66676"/>
          <a:ext cx="904875" cy="381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1</xdr:col>
      <xdr:colOff>381000</xdr:colOff>
      <xdr:row>0</xdr:row>
      <xdr:rowOff>66676</xdr:rowOff>
    </xdr:from>
    <xdr:to>
      <xdr:col>3</xdr:col>
      <xdr:colOff>66675</xdr:colOff>
      <xdr:row>0</xdr:row>
      <xdr:rowOff>447676</xdr:rowOff>
    </xdr:to>
    <xdr:sp macro="[0]!backToMenu" textlink="">
      <xdr:nvSpPr>
        <xdr:cNvPr id="2" name="Rectangle 1"/>
        <xdr:cNvSpPr>
          <a:spLocks/>
        </xdr:cNvSpPr>
      </xdr:nvSpPr>
      <xdr:spPr>
        <a:xfrm>
          <a:off x="1943100" y="66676"/>
          <a:ext cx="904875" cy="3810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8" sqref="B8"/>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8"/>
      <c r="B2" s="382" t="s">
        <v>89</v>
      </c>
      <c r="C2" s="383"/>
      <c r="D2" s="384"/>
      <c r="E2" s="86"/>
    </row>
    <row r="3" spans="1:5" ht="27.75" customHeight="1" thickTop="1">
      <c r="A3" s="148"/>
      <c r="B3" s="348" t="s">
        <v>90</v>
      </c>
      <c r="C3" s="197" t="s">
        <v>217</v>
      </c>
      <c r="D3" s="198" t="s">
        <v>250</v>
      </c>
      <c r="E3" s="16"/>
    </row>
    <row r="4" spans="1:5" ht="27.75" customHeight="1">
      <c r="A4" s="148"/>
      <c r="B4" s="349" t="s">
        <v>92</v>
      </c>
      <c r="C4" s="385" t="s">
        <v>177</v>
      </c>
      <c r="D4" s="388" t="s">
        <v>218</v>
      </c>
      <c r="E4" s="16"/>
    </row>
    <row r="5" spans="1:5" ht="27.75" customHeight="1">
      <c r="A5" s="148"/>
      <c r="B5" s="350" t="s">
        <v>165</v>
      </c>
      <c r="C5" s="386"/>
      <c r="D5" s="389"/>
      <c r="E5" s="16"/>
    </row>
    <row r="6" spans="1:5" ht="27.75" customHeight="1">
      <c r="A6" s="148"/>
      <c r="B6" s="350" t="s">
        <v>697</v>
      </c>
      <c r="C6" s="386"/>
      <c r="D6" s="389"/>
      <c r="E6" s="16"/>
    </row>
    <row r="7" spans="1:5" ht="26.25" customHeight="1">
      <c r="A7" s="149"/>
      <c r="B7" s="350" t="s">
        <v>698</v>
      </c>
      <c r="C7" s="386"/>
      <c r="D7" s="389"/>
      <c r="E7" s="16"/>
    </row>
    <row r="8" spans="1:5" ht="29.25" customHeight="1">
      <c r="A8" s="149"/>
      <c r="B8" s="724" t="s">
        <v>699</v>
      </c>
      <c r="C8" s="387"/>
      <c r="D8" s="390"/>
      <c r="E8" s="16"/>
    </row>
    <row r="9" spans="1:5" ht="18" customHeight="1">
      <c r="A9" s="16"/>
      <c r="B9" s="394" t="s">
        <v>696</v>
      </c>
      <c r="C9" s="395"/>
      <c r="D9" s="391"/>
      <c r="E9" s="16"/>
    </row>
    <row r="10" spans="1:5" ht="18" customHeight="1">
      <c r="A10" s="16"/>
      <c r="B10" s="394"/>
      <c r="C10" s="396"/>
      <c r="D10" s="392"/>
      <c r="E10" s="16"/>
    </row>
    <row r="11" spans="1:5" ht="18" customHeight="1">
      <c r="A11" s="16"/>
      <c r="B11" s="394"/>
      <c r="C11" s="396"/>
      <c r="D11" s="392"/>
      <c r="E11" s="16"/>
    </row>
    <row r="12" spans="1:5" ht="18" customHeight="1">
      <c r="A12" s="16"/>
      <c r="B12" s="394"/>
      <c r="C12" s="396"/>
      <c r="D12" s="392"/>
      <c r="E12" s="16"/>
    </row>
    <row r="13" spans="1:5" ht="18" customHeight="1">
      <c r="A13" s="16"/>
      <c r="B13" s="394"/>
      <c r="C13" s="396"/>
      <c r="D13" s="392"/>
      <c r="E13" s="16"/>
    </row>
    <row r="14" spans="1:5" ht="18" customHeight="1">
      <c r="A14" s="16"/>
      <c r="B14" s="394"/>
      <c r="C14" s="396"/>
      <c r="D14" s="392"/>
      <c r="E14" s="16"/>
    </row>
    <row r="15" spans="1:5" ht="23.25" customHeight="1">
      <c r="A15" s="16"/>
      <c r="B15" s="397"/>
      <c r="C15" s="398"/>
      <c r="D15" s="393"/>
      <c r="E15" s="16"/>
    </row>
    <row r="16" spans="1:5" ht="32.450000000000003" customHeight="1">
      <c r="A16" s="16"/>
      <c r="B16" s="16"/>
      <c r="C16" s="16"/>
      <c r="D16" s="16"/>
      <c r="E16" s="16"/>
    </row>
    <row r="17" spans="1:1" ht="18" customHeight="1">
      <c r="A17" s="1" t="s">
        <v>40</v>
      </c>
    </row>
    <row r="18" spans="1:1" ht="18" customHeight="1"/>
    <row r="19" spans="1:1" ht="18" customHeight="1"/>
    <row r="20" spans="1:1" ht="18" customHeight="1">
      <c r="A20"/>
    </row>
    <row r="21" spans="1:1" ht="18" customHeight="1"/>
  </sheetData>
  <mergeCells count="5">
    <mergeCell ref="B2:D2"/>
    <mergeCell ref="C4:C8"/>
    <mergeCell ref="D4:D8"/>
    <mergeCell ref="D9:D15"/>
    <mergeCell ref="B9:C15"/>
  </mergeCells>
  <hyperlinks>
    <hyperlink ref="B4" location="DSDV!A1" display="Danh sách Đảng viên"/>
    <hyperlink ref="B5" location="QTCT!A1" display="Quá trình hoạt động và công tác"/>
    <hyperlink ref="B6" location="QTDT!A1" display="Quá trình đào tạo"/>
    <hyperlink ref="B7" location="QHGD!A1" display="Quan hệ gia đình"/>
    <hyperlink ref="C4:C8" location="Trich_Yeu!A1" display="Trích yếu Đảng viên"/>
    <hyperlink ref="D4:D8" location="BC_TH!A1" display="Tính toán thống kê"/>
    <hyperlink ref="B8" location="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topLeftCell="I1" zoomScale="70" zoomScaleNormal="70" workbookViewId="0">
      <selection activeCell="J7" sqref="J7"/>
    </sheetView>
  </sheetViews>
  <sheetFormatPr defaultColWidth="9.140625" defaultRowHeight="15"/>
  <cols>
    <col min="1" max="1" width="5.140625" style="115" customWidth="1"/>
    <col min="2" max="2" width="10.5703125" style="115" customWidth="1"/>
    <col min="3" max="3" width="10.140625" style="115" customWidth="1"/>
    <col min="4" max="4" width="13.42578125" style="114" customWidth="1"/>
    <col min="5" max="5" width="11.42578125" style="209" customWidth="1"/>
    <col min="6" max="6" width="23.28515625" style="114" customWidth="1"/>
    <col min="7" max="7" width="21" style="114" customWidth="1"/>
    <col min="8" max="8" width="8.140625" style="114" customWidth="1"/>
    <col min="9" max="9" width="11.5703125" style="114" customWidth="1"/>
    <col min="10" max="10" width="10.42578125" style="114" customWidth="1"/>
    <col min="11" max="11" width="11.42578125" style="114" customWidth="1"/>
    <col min="12" max="12" width="10.140625" style="114" customWidth="1"/>
    <col min="13" max="13" width="13.140625" style="210" customWidth="1"/>
    <col min="14" max="14" width="13.42578125" style="204" customWidth="1"/>
    <col min="15" max="15" width="17" style="209" customWidth="1"/>
    <col min="16" max="16" width="11.7109375" style="115" customWidth="1"/>
    <col min="17" max="17" width="15.140625" style="115" customWidth="1"/>
    <col min="18" max="18" width="12.42578125" style="201" customWidth="1"/>
    <col min="19" max="19" width="15" style="280" customWidth="1"/>
    <col min="20" max="20" width="11.140625" style="280" customWidth="1"/>
    <col min="21" max="21" width="12" style="202" customWidth="1"/>
    <col min="22" max="22" width="20.5703125" style="281" customWidth="1"/>
    <col min="23" max="23" width="17.7109375" style="209" customWidth="1"/>
    <col min="24" max="24" width="7.28515625" style="209" customWidth="1"/>
    <col min="25" max="25" width="10.42578125" style="114" customWidth="1"/>
    <col min="26" max="26" width="14" style="114" customWidth="1"/>
    <col min="27" max="27" width="11" style="204" customWidth="1"/>
    <col min="28" max="28" width="16" style="280" customWidth="1"/>
    <col min="29" max="29" width="14.42578125" style="203" customWidth="1"/>
    <col min="30" max="30" width="10.140625" style="203" customWidth="1"/>
    <col min="31" max="31" width="15.7109375" style="203" customWidth="1"/>
    <col min="32" max="32" width="14.42578125" style="203" customWidth="1"/>
    <col min="33" max="33" width="44.140625" style="204" customWidth="1"/>
    <col min="34" max="34" width="57.5703125" style="15" customWidth="1"/>
    <col min="35" max="35" width="8.7109375" style="1" hidden="1" customWidth="1"/>
    <col min="36" max="36" width="17.28515625" style="1" hidden="1" customWidth="1"/>
    <col min="37" max="37" width="15" style="1" hidden="1" customWidth="1"/>
    <col min="38" max="38" width="17.28515625" style="114" customWidth="1"/>
    <col min="39" max="16384" width="9.140625" style="114"/>
  </cols>
  <sheetData>
    <row r="1" spans="1:76" ht="38.25" customHeight="1">
      <c r="B1" s="200"/>
      <c r="C1" s="200"/>
      <c r="D1" s="199"/>
      <c r="E1" s="199"/>
      <c r="F1" s="199"/>
      <c r="G1" s="199"/>
      <c r="H1" s="199"/>
      <c r="I1" s="199"/>
      <c r="J1" s="199"/>
      <c r="K1" s="199"/>
      <c r="L1" s="199"/>
      <c r="M1" s="199"/>
      <c r="N1" s="200"/>
      <c r="O1" s="200"/>
      <c r="V1" s="283"/>
      <c r="W1" s="203"/>
      <c r="X1" s="203"/>
    </row>
    <row r="2" spans="1:76" ht="29.25" customHeight="1">
      <c r="A2" s="412" t="s">
        <v>91</v>
      </c>
      <c r="B2" s="412"/>
      <c r="C2" s="412"/>
      <c r="D2" s="412"/>
      <c r="E2" s="412"/>
      <c r="F2" s="412"/>
      <c r="G2" s="412"/>
      <c r="H2" s="412"/>
      <c r="I2" s="412"/>
      <c r="J2" s="412"/>
      <c r="K2" s="412"/>
      <c r="L2" s="412"/>
      <c r="M2" s="412"/>
      <c r="N2" s="412"/>
      <c r="O2" s="412"/>
      <c r="V2" s="284"/>
      <c r="W2" s="205"/>
      <c r="X2" s="205"/>
      <c r="Y2" s="206"/>
      <c r="Z2" s="206"/>
      <c r="AA2" s="295"/>
    </row>
    <row r="3" spans="1:76" ht="19.149999999999999" customHeight="1">
      <c r="A3" s="406" t="s">
        <v>0</v>
      </c>
      <c r="B3" s="404" t="s">
        <v>465</v>
      </c>
      <c r="C3" s="404" t="s">
        <v>466</v>
      </c>
      <c r="D3" s="404" t="s">
        <v>156</v>
      </c>
      <c r="E3" s="404" t="s">
        <v>484</v>
      </c>
      <c r="F3" s="399" t="s">
        <v>482</v>
      </c>
      <c r="G3" s="399" t="s">
        <v>483</v>
      </c>
      <c r="H3" s="399" t="s">
        <v>10</v>
      </c>
      <c r="I3" s="405" t="s">
        <v>113</v>
      </c>
      <c r="J3" s="399" t="s">
        <v>467</v>
      </c>
      <c r="K3" s="413" t="s">
        <v>1</v>
      </c>
      <c r="L3" s="407" t="s">
        <v>468</v>
      </c>
      <c r="M3" s="408"/>
      <c r="N3" s="408"/>
      <c r="O3" s="408"/>
      <c r="P3" s="408"/>
      <c r="Q3" s="408"/>
      <c r="R3" s="409"/>
      <c r="S3" s="410" t="s">
        <v>3</v>
      </c>
      <c r="T3" s="411"/>
      <c r="U3" s="405" t="s">
        <v>489</v>
      </c>
      <c r="V3" s="405" t="s">
        <v>469</v>
      </c>
      <c r="W3" s="399" t="s">
        <v>470</v>
      </c>
      <c r="X3" s="399" t="s">
        <v>96</v>
      </c>
      <c r="Y3" s="399" t="s">
        <v>112</v>
      </c>
      <c r="Z3" s="402" t="s">
        <v>471</v>
      </c>
      <c r="AA3" s="399" t="s">
        <v>161</v>
      </c>
      <c r="AB3" s="399" t="s">
        <v>472</v>
      </c>
      <c r="AC3" s="399" t="s">
        <v>474</v>
      </c>
      <c r="AD3" s="399" t="s">
        <v>490</v>
      </c>
      <c r="AE3" s="399" t="s">
        <v>473</v>
      </c>
      <c r="AF3" s="404" t="s">
        <v>491</v>
      </c>
      <c r="AG3" s="399" t="s">
        <v>117</v>
      </c>
      <c r="AH3" s="399" t="s">
        <v>476</v>
      </c>
    </row>
    <row r="4" spans="1:76" ht="46.5" customHeight="1">
      <c r="A4" s="406"/>
      <c r="B4" s="400"/>
      <c r="C4" s="400"/>
      <c r="D4" s="400"/>
      <c r="E4" s="400"/>
      <c r="F4" s="400"/>
      <c r="G4" s="400"/>
      <c r="H4" s="401"/>
      <c r="I4" s="406"/>
      <c r="J4" s="401"/>
      <c r="K4" s="414"/>
      <c r="L4" s="242" t="s">
        <v>477</v>
      </c>
      <c r="M4" s="242" t="s">
        <v>485</v>
      </c>
      <c r="N4" s="291" t="s">
        <v>478</v>
      </c>
      <c r="O4" s="242" t="s">
        <v>486</v>
      </c>
      <c r="P4" s="292" t="s">
        <v>479</v>
      </c>
      <c r="Q4" s="243" t="s">
        <v>487</v>
      </c>
      <c r="R4" s="243" t="s">
        <v>488</v>
      </c>
      <c r="S4" s="271" t="s">
        <v>480</v>
      </c>
      <c r="T4" s="271" t="s">
        <v>481</v>
      </c>
      <c r="U4" s="406"/>
      <c r="V4" s="406"/>
      <c r="W4" s="401"/>
      <c r="X4" s="401"/>
      <c r="Y4" s="401"/>
      <c r="Z4" s="403"/>
      <c r="AA4" s="401"/>
      <c r="AB4" s="401"/>
      <c r="AC4" s="401"/>
      <c r="AD4" s="400"/>
      <c r="AE4" s="401"/>
      <c r="AF4" s="400"/>
      <c r="AG4" s="400"/>
      <c r="AH4" s="400"/>
    </row>
    <row r="5" spans="1:76" ht="15.75" hidden="1" customHeight="1">
      <c r="A5" s="207" t="s">
        <v>22</v>
      </c>
      <c r="B5" s="207">
        <v>1</v>
      </c>
      <c r="C5" s="207">
        <v>1</v>
      </c>
      <c r="D5" s="207">
        <v>2</v>
      </c>
      <c r="E5" s="207">
        <v>3</v>
      </c>
      <c r="F5" s="207">
        <v>1</v>
      </c>
      <c r="G5" s="207">
        <v>1</v>
      </c>
      <c r="H5" s="207">
        <v>1</v>
      </c>
      <c r="I5" s="207">
        <v>1</v>
      </c>
      <c r="J5" s="207">
        <v>1</v>
      </c>
      <c r="K5" s="207">
        <v>1</v>
      </c>
      <c r="L5" s="207">
        <v>1</v>
      </c>
      <c r="M5" s="207">
        <v>4</v>
      </c>
      <c r="N5" s="207">
        <v>5</v>
      </c>
      <c r="O5" s="207">
        <v>6</v>
      </c>
      <c r="P5" s="207">
        <f t="shared" ref="P5:AG5" si="0">COLUMN()-1</f>
        <v>15</v>
      </c>
      <c r="Q5" s="207">
        <f t="shared" si="0"/>
        <v>16</v>
      </c>
      <c r="R5" s="207">
        <f t="shared" si="0"/>
        <v>17</v>
      </c>
      <c r="S5" s="272">
        <f t="shared" si="0"/>
        <v>18</v>
      </c>
      <c r="T5" s="272">
        <f t="shared" si="0"/>
        <v>19</v>
      </c>
      <c r="U5" s="207">
        <f t="shared" si="0"/>
        <v>20</v>
      </c>
      <c r="V5" s="272">
        <v>7</v>
      </c>
      <c r="W5" s="207">
        <v>8</v>
      </c>
      <c r="X5" s="207"/>
      <c r="Y5" s="207">
        <v>9</v>
      </c>
      <c r="Z5" s="207"/>
      <c r="AA5" s="207">
        <f t="shared" ref="AA5" si="1">COLUMN()-1</f>
        <v>26</v>
      </c>
      <c r="AB5" s="272">
        <f t="shared" si="0"/>
        <v>27</v>
      </c>
      <c r="AC5" s="272">
        <f t="shared" si="0"/>
        <v>28</v>
      </c>
      <c r="AD5" s="272">
        <f t="shared" si="0"/>
        <v>29</v>
      </c>
      <c r="AE5" s="272">
        <f t="shared" si="0"/>
        <v>30</v>
      </c>
      <c r="AF5" s="272">
        <f t="shared" si="0"/>
        <v>31</v>
      </c>
      <c r="AG5" s="207">
        <f t="shared" si="0"/>
        <v>32</v>
      </c>
      <c r="AH5" s="261"/>
    </row>
    <row r="6" spans="1:76" s="115" customFormat="1" ht="17.45" customHeight="1">
      <c r="A6" s="208">
        <f>COLUMN()</f>
        <v>1</v>
      </c>
      <c r="B6" s="208">
        <v>2</v>
      </c>
      <c r="C6" s="208">
        <v>3</v>
      </c>
      <c r="D6" s="208">
        <v>4</v>
      </c>
      <c r="E6" s="208">
        <v>5</v>
      </c>
      <c r="F6" s="208">
        <v>6</v>
      </c>
      <c r="G6" s="208">
        <v>7</v>
      </c>
      <c r="H6" s="208">
        <v>8</v>
      </c>
      <c r="I6" s="208">
        <v>9</v>
      </c>
      <c r="J6" s="208">
        <v>10</v>
      </c>
      <c r="K6" s="208">
        <v>11</v>
      </c>
      <c r="L6" s="208">
        <v>12</v>
      </c>
      <c r="M6" s="208">
        <v>13</v>
      </c>
      <c r="N6" s="208">
        <v>14</v>
      </c>
      <c r="O6" s="208">
        <v>15</v>
      </c>
      <c r="P6" s="208">
        <v>16</v>
      </c>
      <c r="Q6" s="208">
        <v>17</v>
      </c>
      <c r="R6" s="208">
        <v>18</v>
      </c>
      <c r="S6" s="208">
        <v>19</v>
      </c>
      <c r="T6" s="208">
        <v>20</v>
      </c>
      <c r="U6" s="208">
        <v>21</v>
      </c>
      <c r="V6" s="208">
        <v>22</v>
      </c>
      <c r="W6" s="208">
        <v>23</v>
      </c>
      <c r="X6" s="208">
        <v>24</v>
      </c>
      <c r="Y6" s="208">
        <v>25</v>
      </c>
      <c r="Z6" s="208">
        <v>26</v>
      </c>
      <c r="AA6" s="208">
        <v>27</v>
      </c>
      <c r="AB6" s="208">
        <v>28</v>
      </c>
      <c r="AC6" s="208">
        <v>29</v>
      </c>
      <c r="AD6" s="208">
        <v>30</v>
      </c>
      <c r="AE6" s="208">
        <v>31</v>
      </c>
      <c r="AF6" s="208">
        <v>32</v>
      </c>
      <c r="AG6" s="208">
        <v>33</v>
      </c>
      <c r="AH6" s="208">
        <v>34</v>
      </c>
      <c r="AI6" s="258"/>
      <c r="AJ6" s="258" t="s">
        <v>241</v>
      </c>
      <c r="AK6" s="258" t="s">
        <v>238</v>
      </c>
      <c r="AL6" s="259"/>
      <c r="AM6" s="259"/>
      <c r="AN6" s="259"/>
      <c r="AO6" s="259"/>
      <c r="AP6" s="259"/>
      <c r="AQ6" s="259"/>
      <c r="AR6" s="259"/>
      <c r="AS6" s="259"/>
      <c r="AT6" s="259"/>
      <c r="AU6" s="259"/>
      <c r="AV6" s="259"/>
      <c r="AW6" s="259"/>
      <c r="AX6" s="259"/>
      <c r="AY6" s="259"/>
      <c r="AZ6" s="259"/>
      <c r="BA6" s="259"/>
      <c r="BB6" s="259"/>
      <c r="BC6" s="259"/>
      <c r="BD6" s="259"/>
      <c r="BE6" s="259"/>
      <c r="BF6" s="259"/>
      <c r="BG6" s="259"/>
      <c r="BH6" s="259"/>
      <c r="BI6" s="259"/>
      <c r="BJ6" s="259"/>
      <c r="BK6" s="259"/>
      <c r="BL6" s="259"/>
      <c r="BM6" s="259"/>
      <c r="BN6" s="259"/>
      <c r="BO6" s="259"/>
      <c r="BP6" s="259"/>
      <c r="BQ6" s="259"/>
      <c r="BR6" s="259"/>
      <c r="BS6" s="259"/>
      <c r="BT6" s="259"/>
      <c r="BU6" s="259"/>
      <c r="BV6" s="259"/>
      <c r="BW6" s="259"/>
      <c r="BX6" s="259"/>
    </row>
    <row r="7" spans="1:76" s="294" customFormat="1" ht="22.5" customHeight="1">
      <c r="A7" s="286">
        <v>2</v>
      </c>
      <c r="B7" s="286">
        <v>920016</v>
      </c>
      <c r="C7" s="286">
        <v>77194808</v>
      </c>
      <c r="D7" s="286">
        <v>111111</v>
      </c>
      <c r="E7" s="251">
        <v>22222</v>
      </c>
      <c r="F7" s="286" t="s">
        <v>551</v>
      </c>
      <c r="G7" s="286" t="s">
        <v>551</v>
      </c>
      <c r="H7" s="286" t="s">
        <v>6</v>
      </c>
      <c r="I7" s="286" t="s">
        <v>547</v>
      </c>
      <c r="J7" s="286" t="s">
        <v>122</v>
      </c>
      <c r="K7" s="254">
        <v>30339</v>
      </c>
      <c r="L7" s="254">
        <v>38236</v>
      </c>
      <c r="M7" s="286" t="s">
        <v>567</v>
      </c>
      <c r="N7" s="254">
        <v>38601</v>
      </c>
      <c r="O7" s="254" t="s">
        <v>568</v>
      </c>
      <c r="P7" s="254">
        <v>37531</v>
      </c>
      <c r="Q7" s="254">
        <v>39083</v>
      </c>
      <c r="R7" s="254"/>
      <c r="S7" s="254" t="s">
        <v>552</v>
      </c>
      <c r="T7" s="254" t="s">
        <v>136</v>
      </c>
      <c r="U7" s="254" t="s">
        <v>350</v>
      </c>
      <c r="V7" s="255" t="s">
        <v>268</v>
      </c>
      <c r="W7" s="255" t="s">
        <v>513</v>
      </c>
      <c r="X7" s="255" t="s">
        <v>221</v>
      </c>
      <c r="Y7" s="255" t="s">
        <v>111</v>
      </c>
      <c r="Z7" s="255" t="s">
        <v>550</v>
      </c>
      <c r="AA7" s="255" t="s">
        <v>15</v>
      </c>
      <c r="AB7" s="251" t="s">
        <v>15</v>
      </c>
      <c r="AC7" s="251" t="s">
        <v>150</v>
      </c>
      <c r="AD7" s="251" t="s">
        <v>15</v>
      </c>
      <c r="AE7" s="251" t="s">
        <v>553</v>
      </c>
      <c r="AF7" s="251"/>
      <c r="AG7" s="251" t="s">
        <v>554</v>
      </c>
      <c r="AH7" s="251" t="s">
        <v>555</v>
      </c>
      <c r="AI7" s="258"/>
      <c r="AJ7" s="258">
        <f t="shared" ref="AJ7:AJ45" ca="1" si="2">IF(TRIM(K7)&lt;&gt;"",DATEDIF(K7,TODAY(),"y"),0)</f>
        <v>38</v>
      </c>
      <c r="AK7" s="258">
        <f t="shared" ref="AK7:AK45" ca="1" si="3">IF(TRIM(P7)&lt;&gt;"",DATEDIF(P7,TODAY(),"m"),0)</f>
        <v>224</v>
      </c>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c r="BS7" s="259"/>
      <c r="BT7" s="259"/>
      <c r="BU7" s="259"/>
      <c r="BV7" s="259"/>
      <c r="BW7" s="259"/>
      <c r="BX7" s="259"/>
    </row>
    <row r="8" spans="1:76" s="294" customFormat="1" ht="22.5" customHeight="1">
      <c r="A8" s="286">
        <v>3</v>
      </c>
      <c r="B8" s="286">
        <v>920016</v>
      </c>
      <c r="C8" s="286">
        <v>77194808</v>
      </c>
      <c r="D8" s="286">
        <v>111111</v>
      </c>
      <c r="E8" s="251">
        <v>22222</v>
      </c>
      <c r="F8" s="286" t="s">
        <v>551</v>
      </c>
      <c r="G8" s="286" t="s">
        <v>551</v>
      </c>
      <c r="H8" s="286" t="s">
        <v>7</v>
      </c>
      <c r="I8" s="286" t="s">
        <v>547</v>
      </c>
      <c r="J8" s="286" t="s">
        <v>736</v>
      </c>
      <c r="K8" s="254">
        <v>30339</v>
      </c>
      <c r="L8" s="254">
        <v>38236</v>
      </c>
      <c r="M8" s="286" t="s">
        <v>567</v>
      </c>
      <c r="N8" s="254">
        <v>38601</v>
      </c>
      <c r="O8" s="254" t="s">
        <v>568</v>
      </c>
      <c r="P8" s="254">
        <v>37531</v>
      </c>
      <c r="Q8" s="254">
        <v>39083</v>
      </c>
      <c r="R8" s="254"/>
      <c r="S8" s="254" t="s">
        <v>552</v>
      </c>
      <c r="T8" s="254" t="s">
        <v>136</v>
      </c>
      <c r="U8" s="254" t="s">
        <v>350</v>
      </c>
      <c r="V8" s="255" t="s">
        <v>268</v>
      </c>
      <c r="W8" s="255" t="s">
        <v>513</v>
      </c>
      <c r="X8" s="255" t="s">
        <v>221</v>
      </c>
      <c r="Y8" s="255" t="s">
        <v>111</v>
      </c>
      <c r="Z8" s="255" t="s">
        <v>550</v>
      </c>
      <c r="AA8" s="255" t="s">
        <v>15</v>
      </c>
      <c r="AB8" s="251" t="s">
        <v>15</v>
      </c>
      <c r="AC8" s="251" t="s">
        <v>150</v>
      </c>
      <c r="AD8" s="251" t="s">
        <v>15</v>
      </c>
      <c r="AE8" s="251" t="s">
        <v>553</v>
      </c>
      <c r="AF8" s="251"/>
      <c r="AG8" s="251" t="s">
        <v>554</v>
      </c>
      <c r="AH8" s="251" t="s">
        <v>555</v>
      </c>
      <c r="AI8" s="258"/>
      <c r="AJ8" s="258"/>
      <c r="AK8" s="258"/>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row>
    <row r="9" spans="1:76" s="256" customFormat="1" ht="22.5" customHeight="1">
      <c r="A9" s="286">
        <v>4</v>
      </c>
      <c r="B9" s="286"/>
      <c r="C9" s="286"/>
      <c r="D9" s="250"/>
      <c r="E9" s="251"/>
      <c r="F9" s="250"/>
      <c r="G9" s="250"/>
      <c r="H9" s="250"/>
      <c r="I9" s="250"/>
      <c r="J9" s="250"/>
      <c r="K9" s="252"/>
      <c r="L9" s="253"/>
      <c r="M9" s="250"/>
      <c r="N9" s="254"/>
      <c r="O9" s="254"/>
      <c r="P9" s="254"/>
      <c r="Q9" s="254"/>
      <c r="R9" s="253"/>
      <c r="S9" s="252"/>
      <c r="T9" s="252"/>
      <c r="U9" s="254"/>
      <c r="V9" s="273"/>
      <c r="W9" s="255"/>
      <c r="X9" s="255"/>
      <c r="Y9" s="255"/>
      <c r="Z9" s="255"/>
      <c r="AA9" s="255"/>
      <c r="AB9" s="257"/>
      <c r="AC9" s="257"/>
      <c r="AD9" s="257"/>
      <c r="AE9" s="257"/>
      <c r="AF9" s="257"/>
      <c r="AG9" s="257"/>
      <c r="AH9" s="257"/>
      <c r="AI9" s="94"/>
      <c r="AJ9" s="94">
        <f t="shared" ca="1" si="2"/>
        <v>0</v>
      </c>
      <c r="AK9" s="94">
        <f t="shared" ca="1" si="3"/>
        <v>0</v>
      </c>
      <c r="AL9" s="260"/>
      <c r="AM9" s="260"/>
      <c r="AN9" s="260"/>
      <c r="AO9" s="260"/>
      <c r="AP9" s="260"/>
      <c r="AQ9" s="260"/>
      <c r="AR9" s="260"/>
      <c r="AS9" s="260"/>
      <c r="AT9" s="260"/>
      <c r="AU9" s="260"/>
      <c r="AV9" s="260"/>
      <c r="AW9" s="260"/>
      <c r="AX9" s="260"/>
      <c r="AY9" s="260"/>
      <c r="AZ9" s="260"/>
      <c r="BA9" s="260"/>
      <c r="BB9" s="260"/>
      <c r="BC9" s="260"/>
      <c r="BD9" s="260"/>
      <c r="BE9" s="260"/>
      <c r="BF9" s="260"/>
      <c r="BG9" s="260"/>
      <c r="BH9" s="260"/>
      <c r="BI9" s="260"/>
      <c r="BJ9" s="260"/>
      <c r="BK9" s="260"/>
      <c r="BL9" s="260"/>
      <c r="BM9" s="260"/>
      <c r="BN9" s="260"/>
      <c r="BO9" s="260"/>
      <c r="BP9" s="260"/>
      <c r="BQ9" s="260"/>
      <c r="BR9" s="260"/>
      <c r="BS9" s="260"/>
      <c r="BT9" s="260"/>
      <c r="BU9" s="260"/>
      <c r="BV9" s="260"/>
      <c r="BW9" s="260"/>
      <c r="BX9" s="260"/>
    </row>
    <row r="10" spans="1:76" s="256" customFormat="1" ht="22.5" customHeight="1">
      <c r="A10" s="286">
        <v>5</v>
      </c>
      <c r="B10" s="286"/>
      <c r="C10" s="286"/>
      <c r="D10" s="250"/>
      <c r="E10" s="251"/>
      <c r="F10" s="250"/>
      <c r="G10" s="250"/>
      <c r="H10" s="250"/>
      <c r="I10" s="250"/>
      <c r="J10" s="250"/>
      <c r="K10" s="252"/>
      <c r="L10" s="253"/>
      <c r="M10" s="250"/>
      <c r="N10" s="254"/>
      <c r="O10" s="254"/>
      <c r="P10" s="254"/>
      <c r="Q10" s="254"/>
      <c r="R10" s="253"/>
      <c r="S10" s="252"/>
      <c r="T10" s="252"/>
      <c r="U10" s="254"/>
      <c r="V10" s="273"/>
      <c r="W10" s="255"/>
      <c r="X10" s="255"/>
      <c r="Y10" s="255"/>
      <c r="Z10" s="255"/>
      <c r="AA10" s="255"/>
      <c r="AB10" s="257"/>
      <c r="AC10" s="257"/>
      <c r="AD10" s="257"/>
      <c r="AE10" s="257"/>
      <c r="AF10" s="257"/>
      <c r="AG10" s="257"/>
      <c r="AH10" s="257"/>
      <c r="AI10" s="94"/>
      <c r="AJ10" s="94">
        <f t="shared" ca="1" si="2"/>
        <v>0</v>
      </c>
      <c r="AK10" s="94">
        <f t="shared" ca="1" si="3"/>
        <v>0</v>
      </c>
      <c r="AL10" s="260"/>
      <c r="AM10" s="260"/>
      <c r="AN10" s="260"/>
      <c r="AO10" s="260"/>
      <c r="AP10" s="260"/>
      <c r="AQ10" s="260"/>
      <c r="AR10" s="260"/>
      <c r="AS10" s="260"/>
      <c r="AT10" s="260"/>
      <c r="AU10" s="260"/>
      <c r="AV10" s="260"/>
      <c r="AW10" s="260"/>
      <c r="AX10" s="260"/>
      <c r="AY10" s="260"/>
      <c r="AZ10" s="260"/>
      <c r="BA10" s="260"/>
      <c r="BB10" s="260"/>
      <c r="BC10" s="260"/>
      <c r="BD10" s="260"/>
      <c r="BE10" s="260"/>
      <c r="BF10" s="260"/>
      <c r="BG10" s="260"/>
      <c r="BH10" s="260"/>
      <c r="BI10" s="260"/>
      <c r="BJ10" s="260"/>
      <c r="BK10" s="260"/>
      <c r="BL10" s="260"/>
      <c r="BM10" s="260"/>
      <c r="BN10" s="260"/>
      <c r="BO10" s="260"/>
      <c r="BP10" s="260"/>
      <c r="BQ10" s="260"/>
      <c r="BR10" s="260"/>
      <c r="BS10" s="260"/>
      <c r="BT10" s="260"/>
      <c r="BU10" s="260"/>
      <c r="BV10" s="260"/>
      <c r="BW10" s="260"/>
      <c r="BX10" s="260"/>
    </row>
    <row r="11" spans="1:76" s="256" customFormat="1" ht="22.5" customHeight="1">
      <c r="A11" s="286">
        <v>6</v>
      </c>
      <c r="B11" s="286"/>
      <c r="C11" s="286"/>
      <c r="D11" s="250"/>
      <c r="E11" s="251"/>
      <c r="F11" s="250"/>
      <c r="G11" s="250"/>
      <c r="H11" s="250"/>
      <c r="I11" s="250"/>
      <c r="J11" s="250"/>
      <c r="K11" s="252"/>
      <c r="L11" s="253"/>
      <c r="M11" s="250"/>
      <c r="N11" s="254"/>
      <c r="O11" s="254"/>
      <c r="P11" s="254"/>
      <c r="Q11" s="254"/>
      <c r="R11" s="253"/>
      <c r="S11" s="252"/>
      <c r="T11" s="252"/>
      <c r="U11" s="254"/>
      <c r="V11" s="273"/>
      <c r="W11" s="255"/>
      <c r="X11" s="255"/>
      <c r="Y11" s="255"/>
      <c r="Z11" s="255"/>
      <c r="AA11" s="255"/>
      <c r="AB11" s="257"/>
      <c r="AC11" s="257"/>
      <c r="AD11" s="257"/>
      <c r="AE11" s="257"/>
      <c r="AF11" s="257"/>
      <c r="AG11" s="257"/>
      <c r="AH11" s="257"/>
      <c r="AI11" s="94"/>
      <c r="AJ11" s="94">
        <f t="shared" ca="1" si="2"/>
        <v>0</v>
      </c>
      <c r="AK11" s="94">
        <f t="shared" ca="1" si="3"/>
        <v>0</v>
      </c>
      <c r="AL11" s="260"/>
      <c r="AM11" s="260"/>
      <c r="AN11" s="260"/>
      <c r="AO11" s="260"/>
      <c r="AP11" s="260"/>
      <c r="AQ11" s="260"/>
      <c r="AR11" s="260"/>
      <c r="AS11" s="260"/>
      <c r="AT11" s="260"/>
      <c r="AU11" s="260"/>
      <c r="AV11" s="260"/>
      <c r="AW11" s="260"/>
      <c r="AX11" s="260"/>
      <c r="AY11" s="260"/>
      <c r="AZ11" s="260"/>
      <c r="BA11" s="260"/>
      <c r="BB11" s="260"/>
      <c r="BC11" s="260"/>
      <c r="BD11" s="260"/>
      <c r="BE11" s="260"/>
      <c r="BF11" s="260"/>
      <c r="BG11" s="260"/>
      <c r="BH11" s="260"/>
      <c r="BI11" s="260"/>
      <c r="BJ11" s="260"/>
      <c r="BK11" s="260"/>
      <c r="BL11" s="260"/>
      <c r="BM11" s="260"/>
      <c r="BN11" s="260"/>
      <c r="BO11" s="260"/>
      <c r="BP11" s="260"/>
      <c r="BQ11" s="260"/>
      <c r="BR11" s="260"/>
      <c r="BS11" s="260"/>
      <c r="BT11" s="260"/>
      <c r="BU11" s="260"/>
      <c r="BV11" s="260"/>
      <c r="BW11" s="260"/>
      <c r="BX11" s="260"/>
    </row>
    <row r="12" spans="1:76" s="256" customFormat="1" ht="22.5" customHeight="1">
      <c r="A12" s="286">
        <v>7</v>
      </c>
      <c r="B12" s="286"/>
      <c r="C12" s="286"/>
      <c r="D12" s="250"/>
      <c r="E12" s="251"/>
      <c r="F12" s="250"/>
      <c r="G12" s="250"/>
      <c r="H12" s="250"/>
      <c r="I12" s="250"/>
      <c r="J12" s="250"/>
      <c r="K12" s="252"/>
      <c r="L12" s="253"/>
      <c r="M12" s="250"/>
      <c r="N12" s="254"/>
      <c r="O12" s="254"/>
      <c r="P12" s="254"/>
      <c r="Q12" s="254"/>
      <c r="R12" s="253"/>
      <c r="S12" s="252"/>
      <c r="T12" s="252"/>
      <c r="U12" s="254"/>
      <c r="V12" s="273"/>
      <c r="W12" s="255"/>
      <c r="X12" s="255"/>
      <c r="Y12" s="255"/>
      <c r="Z12" s="255"/>
      <c r="AA12" s="255"/>
      <c r="AB12" s="257"/>
      <c r="AC12" s="257"/>
      <c r="AD12" s="257"/>
      <c r="AE12" s="257"/>
      <c r="AF12" s="257"/>
      <c r="AG12" s="257"/>
      <c r="AH12" s="257"/>
      <c r="AI12" s="94"/>
      <c r="AJ12" s="94">
        <f t="shared" ca="1" si="2"/>
        <v>0</v>
      </c>
      <c r="AK12" s="94">
        <f t="shared" ca="1" si="3"/>
        <v>0</v>
      </c>
      <c r="AL12" s="260"/>
      <c r="AM12" s="260"/>
      <c r="AN12" s="260"/>
      <c r="AO12" s="260"/>
      <c r="AP12" s="260"/>
      <c r="AQ12" s="260"/>
      <c r="AR12" s="260"/>
      <c r="AS12" s="260"/>
      <c r="AT12" s="260"/>
      <c r="AU12" s="260"/>
      <c r="AV12" s="260"/>
      <c r="AW12" s="260"/>
      <c r="AX12" s="260"/>
      <c r="AY12" s="260"/>
      <c r="AZ12" s="260"/>
      <c r="BA12" s="260"/>
      <c r="BB12" s="260"/>
      <c r="BC12" s="260"/>
      <c r="BD12" s="260"/>
      <c r="BE12" s="260"/>
      <c r="BF12" s="260"/>
      <c r="BG12" s="260"/>
      <c r="BH12" s="260"/>
      <c r="BI12" s="260"/>
      <c r="BJ12" s="260"/>
      <c r="BK12" s="260"/>
      <c r="BL12" s="260"/>
      <c r="BM12" s="260"/>
      <c r="BN12" s="260"/>
      <c r="BO12" s="260"/>
      <c r="BP12" s="260"/>
      <c r="BQ12" s="260"/>
      <c r="BR12" s="260"/>
      <c r="BS12" s="260"/>
      <c r="BT12" s="260"/>
      <c r="BU12" s="260"/>
      <c r="BV12" s="260"/>
      <c r="BW12" s="260"/>
      <c r="BX12" s="260"/>
    </row>
    <row r="13" spans="1:76" s="256" customFormat="1" ht="22.5" customHeight="1">
      <c r="A13" s="286">
        <v>8</v>
      </c>
      <c r="B13" s="286"/>
      <c r="C13" s="286"/>
      <c r="D13" s="250"/>
      <c r="E13" s="251"/>
      <c r="F13" s="250"/>
      <c r="G13" s="250"/>
      <c r="H13" s="250"/>
      <c r="I13" s="250"/>
      <c r="J13" s="250"/>
      <c r="K13" s="252"/>
      <c r="L13" s="253"/>
      <c r="M13" s="250"/>
      <c r="N13" s="254"/>
      <c r="O13" s="254"/>
      <c r="P13" s="254"/>
      <c r="Q13" s="254"/>
      <c r="R13" s="253"/>
      <c r="S13" s="252"/>
      <c r="T13" s="252"/>
      <c r="U13" s="254"/>
      <c r="V13" s="273"/>
      <c r="W13" s="255"/>
      <c r="X13" s="255"/>
      <c r="Y13" s="255"/>
      <c r="Z13" s="255"/>
      <c r="AA13" s="255"/>
      <c r="AB13" s="257"/>
      <c r="AC13" s="257"/>
      <c r="AD13" s="257"/>
      <c r="AE13" s="257"/>
      <c r="AF13" s="257"/>
      <c r="AG13" s="257"/>
      <c r="AH13" s="257"/>
      <c r="AI13" s="94"/>
      <c r="AJ13" s="94">
        <f t="shared" ca="1" si="2"/>
        <v>0</v>
      </c>
      <c r="AK13" s="94">
        <f t="shared" ca="1" si="3"/>
        <v>0</v>
      </c>
      <c r="AL13" s="260"/>
      <c r="AM13" s="260"/>
      <c r="AN13" s="260"/>
      <c r="AO13" s="260"/>
      <c r="AP13" s="260"/>
      <c r="AQ13" s="260"/>
      <c r="AR13" s="260"/>
      <c r="AS13" s="260"/>
      <c r="AT13" s="260"/>
      <c r="AU13" s="260"/>
      <c r="AV13" s="260"/>
      <c r="AW13" s="260"/>
      <c r="AX13" s="260"/>
      <c r="AY13" s="260"/>
      <c r="AZ13" s="260"/>
      <c r="BA13" s="260"/>
      <c r="BB13" s="260"/>
      <c r="BC13" s="260"/>
      <c r="BD13" s="260"/>
      <c r="BE13" s="260"/>
      <c r="BF13" s="260"/>
      <c r="BG13" s="260"/>
      <c r="BH13" s="260"/>
      <c r="BI13" s="260"/>
      <c r="BJ13" s="260"/>
      <c r="BK13" s="260"/>
      <c r="BL13" s="260"/>
      <c r="BM13" s="260"/>
      <c r="BN13" s="260"/>
      <c r="BO13" s="260"/>
      <c r="BP13" s="260"/>
      <c r="BQ13" s="260"/>
      <c r="BR13" s="260"/>
      <c r="BS13" s="260"/>
      <c r="BT13" s="260"/>
      <c r="BU13" s="260"/>
      <c r="BV13" s="260"/>
      <c r="BW13" s="260"/>
      <c r="BX13" s="260"/>
    </row>
    <row r="14" spans="1:76" s="256" customFormat="1" ht="22.5" customHeight="1">
      <c r="A14" s="286">
        <v>9</v>
      </c>
      <c r="B14" s="286"/>
      <c r="C14" s="286"/>
      <c r="D14" s="250"/>
      <c r="E14" s="251"/>
      <c r="F14" s="250"/>
      <c r="G14" s="250"/>
      <c r="H14" s="250"/>
      <c r="I14" s="250"/>
      <c r="J14" s="250"/>
      <c r="K14" s="252"/>
      <c r="L14" s="253"/>
      <c r="M14" s="250"/>
      <c r="N14" s="254"/>
      <c r="O14" s="254"/>
      <c r="P14" s="254"/>
      <c r="Q14" s="254"/>
      <c r="R14" s="253"/>
      <c r="S14" s="252"/>
      <c r="T14" s="252"/>
      <c r="U14" s="254"/>
      <c r="V14" s="273"/>
      <c r="W14" s="255"/>
      <c r="X14" s="255"/>
      <c r="Y14" s="255"/>
      <c r="Z14" s="255"/>
      <c r="AA14" s="255"/>
      <c r="AB14" s="257"/>
      <c r="AC14" s="257"/>
      <c r="AD14" s="257"/>
      <c r="AE14" s="257"/>
      <c r="AF14" s="257"/>
      <c r="AG14" s="257"/>
      <c r="AH14" s="257"/>
      <c r="AI14" s="94"/>
      <c r="AJ14" s="94">
        <f t="shared" ca="1" si="2"/>
        <v>0</v>
      </c>
      <c r="AK14" s="94">
        <f t="shared" ca="1" si="3"/>
        <v>0</v>
      </c>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c r="BI14" s="260"/>
      <c r="BJ14" s="260"/>
      <c r="BK14" s="260"/>
      <c r="BL14" s="260"/>
      <c r="BM14" s="260"/>
      <c r="BN14" s="260"/>
      <c r="BO14" s="260"/>
      <c r="BP14" s="260"/>
      <c r="BQ14" s="260"/>
      <c r="BR14" s="260"/>
      <c r="BS14" s="260"/>
      <c r="BT14" s="260"/>
      <c r="BU14" s="260"/>
      <c r="BV14" s="260"/>
      <c r="BW14" s="260"/>
      <c r="BX14" s="260"/>
    </row>
    <row r="15" spans="1:76" s="256" customFormat="1" ht="22.5" customHeight="1">
      <c r="A15" s="286">
        <v>10</v>
      </c>
      <c r="B15" s="286"/>
      <c r="C15" s="286"/>
      <c r="D15" s="250"/>
      <c r="E15" s="251"/>
      <c r="F15" s="250"/>
      <c r="G15" s="250"/>
      <c r="H15" s="250"/>
      <c r="I15" s="250"/>
      <c r="J15" s="250"/>
      <c r="K15" s="252"/>
      <c r="L15" s="253"/>
      <c r="M15" s="250"/>
      <c r="N15" s="254"/>
      <c r="O15" s="254"/>
      <c r="P15" s="254"/>
      <c r="Q15" s="254"/>
      <c r="R15" s="253"/>
      <c r="S15" s="252"/>
      <c r="T15" s="252"/>
      <c r="U15" s="254"/>
      <c r="V15" s="273"/>
      <c r="W15" s="255"/>
      <c r="X15" s="255"/>
      <c r="Y15" s="255"/>
      <c r="Z15" s="255"/>
      <c r="AA15" s="255"/>
      <c r="AB15" s="257"/>
      <c r="AC15" s="257"/>
      <c r="AD15" s="257"/>
      <c r="AE15" s="257"/>
      <c r="AF15" s="257"/>
      <c r="AG15" s="257"/>
      <c r="AH15" s="257"/>
      <c r="AI15" s="94"/>
      <c r="AJ15" s="94">
        <f t="shared" ca="1" si="2"/>
        <v>0</v>
      </c>
      <c r="AK15" s="94">
        <f t="shared" ca="1" si="3"/>
        <v>0</v>
      </c>
      <c r="AL15" s="260"/>
      <c r="AM15" s="260"/>
      <c r="AN15" s="260"/>
      <c r="AO15" s="260"/>
      <c r="AP15" s="260"/>
      <c r="AQ15" s="260"/>
      <c r="AR15" s="260"/>
      <c r="AS15" s="260"/>
      <c r="AT15" s="260"/>
      <c r="AU15" s="260"/>
      <c r="AV15" s="260"/>
      <c r="AW15" s="260"/>
      <c r="AX15" s="260"/>
      <c r="AY15" s="260"/>
      <c r="AZ15" s="260"/>
      <c r="BA15" s="260"/>
      <c r="BB15" s="260"/>
      <c r="BC15" s="260"/>
      <c r="BD15" s="260"/>
      <c r="BE15" s="260"/>
      <c r="BF15" s="260"/>
      <c r="BG15" s="260"/>
      <c r="BH15" s="260"/>
      <c r="BI15" s="260"/>
      <c r="BJ15" s="260"/>
      <c r="BK15" s="260"/>
      <c r="BL15" s="260"/>
      <c r="BM15" s="260"/>
      <c r="BN15" s="260"/>
      <c r="BO15" s="260"/>
      <c r="BP15" s="260"/>
      <c r="BQ15" s="260"/>
      <c r="BR15" s="260"/>
      <c r="BS15" s="260"/>
      <c r="BT15" s="260"/>
      <c r="BU15" s="260"/>
      <c r="BV15" s="260"/>
      <c r="BW15" s="260"/>
      <c r="BX15" s="260"/>
    </row>
    <row r="16" spans="1:76" s="256" customFormat="1" ht="22.5" customHeight="1">
      <c r="A16" s="286">
        <v>11</v>
      </c>
      <c r="B16" s="286"/>
      <c r="C16" s="286"/>
      <c r="D16" s="250"/>
      <c r="E16" s="251"/>
      <c r="F16" s="250"/>
      <c r="G16" s="250"/>
      <c r="H16" s="250"/>
      <c r="I16" s="250"/>
      <c r="J16" s="250"/>
      <c r="K16" s="252"/>
      <c r="L16" s="253"/>
      <c r="M16" s="250"/>
      <c r="N16" s="254"/>
      <c r="O16" s="254"/>
      <c r="P16" s="254"/>
      <c r="Q16" s="254"/>
      <c r="R16" s="253"/>
      <c r="S16" s="252"/>
      <c r="T16" s="252"/>
      <c r="U16" s="254"/>
      <c r="V16" s="273"/>
      <c r="W16" s="255"/>
      <c r="X16" s="255"/>
      <c r="Y16" s="255"/>
      <c r="Z16" s="255"/>
      <c r="AA16" s="255"/>
      <c r="AB16" s="257"/>
      <c r="AC16" s="257"/>
      <c r="AD16" s="257"/>
      <c r="AE16" s="257"/>
      <c r="AF16" s="257"/>
      <c r="AG16" s="257"/>
      <c r="AH16" s="257"/>
      <c r="AI16" s="94"/>
      <c r="AJ16" s="94">
        <f t="shared" ca="1" si="2"/>
        <v>0</v>
      </c>
      <c r="AK16" s="94">
        <f t="shared" ca="1" si="3"/>
        <v>0</v>
      </c>
      <c r="AL16" s="260"/>
      <c r="AM16" s="260"/>
      <c r="AN16" s="260"/>
      <c r="AO16" s="260"/>
      <c r="AP16" s="260"/>
      <c r="AQ16" s="260"/>
      <c r="AR16" s="260"/>
      <c r="AS16" s="260"/>
      <c r="AT16" s="260"/>
      <c r="AU16" s="260"/>
      <c r="AV16" s="260"/>
      <c r="AW16" s="260"/>
      <c r="AX16" s="260"/>
      <c r="AY16" s="260"/>
      <c r="AZ16" s="260"/>
      <c r="BA16" s="260"/>
      <c r="BB16" s="260"/>
      <c r="BC16" s="260"/>
      <c r="BD16" s="260"/>
      <c r="BE16" s="260"/>
      <c r="BF16" s="260"/>
      <c r="BG16" s="260"/>
      <c r="BH16" s="260"/>
      <c r="BI16" s="260"/>
      <c r="BJ16" s="260"/>
      <c r="BK16" s="260"/>
      <c r="BL16" s="260"/>
      <c r="BM16" s="260"/>
      <c r="BN16" s="260"/>
      <c r="BO16" s="260"/>
      <c r="BP16" s="260"/>
      <c r="BQ16" s="260"/>
      <c r="BR16" s="260"/>
      <c r="BS16" s="260"/>
      <c r="BT16" s="260"/>
      <c r="BU16" s="260"/>
      <c r="BV16" s="260"/>
      <c r="BW16" s="260"/>
      <c r="BX16" s="260"/>
    </row>
    <row r="17" spans="1:76" s="256" customFormat="1" ht="22.5" customHeight="1">
      <c r="A17" s="286">
        <v>12</v>
      </c>
      <c r="B17" s="286"/>
      <c r="C17" s="286"/>
      <c r="D17" s="250"/>
      <c r="E17" s="251"/>
      <c r="F17" s="250"/>
      <c r="G17" s="250"/>
      <c r="H17" s="250"/>
      <c r="I17" s="250"/>
      <c r="J17" s="250"/>
      <c r="K17" s="252"/>
      <c r="L17" s="253"/>
      <c r="M17" s="250"/>
      <c r="N17" s="254"/>
      <c r="O17" s="254"/>
      <c r="P17" s="254"/>
      <c r="Q17" s="254"/>
      <c r="R17" s="253"/>
      <c r="S17" s="252"/>
      <c r="T17" s="252"/>
      <c r="U17" s="254"/>
      <c r="V17" s="273"/>
      <c r="W17" s="255"/>
      <c r="X17" s="255"/>
      <c r="Y17" s="255"/>
      <c r="Z17" s="255"/>
      <c r="AA17" s="255"/>
      <c r="AB17" s="257"/>
      <c r="AC17" s="257"/>
      <c r="AD17" s="257"/>
      <c r="AE17" s="257"/>
      <c r="AF17" s="257"/>
      <c r="AG17" s="257"/>
      <c r="AH17" s="257"/>
      <c r="AI17" s="94"/>
      <c r="AJ17" s="94">
        <f t="shared" ca="1" si="2"/>
        <v>0</v>
      </c>
      <c r="AK17" s="94">
        <f t="shared" ca="1" si="3"/>
        <v>0</v>
      </c>
      <c r="AL17" s="260"/>
      <c r="AM17" s="260"/>
      <c r="AN17" s="260"/>
      <c r="AO17" s="260"/>
      <c r="AP17" s="260"/>
      <c r="AQ17" s="260"/>
      <c r="AR17" s="260"/>
      <c r="AS17" s="260"/>
      <c r="AT17" s="260"/>
      <c r="AU17" s="260"/>
      <c r="AV17" s="260"/>
      <c r="AW17" s="260"/>
      <c r="AX17" s="260"/>
      <c r="AY17" s="260"/>
      <c r="AZ17" s="260"/>
      <c r="BA17" s="260"/>
      <c r="BB17" s="260"/>
      <c r="BC17" s="260"/>
      <c r="BD17" s="260"/>
      <c r="BE17" s="260"/>
      <c r="BF17" s="260"/>
      <c r="BG17" s="260"/>
      <c r="BH17" s="260"/>
      <c r="BI17" s="260"/>
      <c r="BJ17" s="260"/>
      <c r="BK17" s="260"/>
      <c r="BL17" s="260"/>
      <c r="BM17" s="260"/>
      <c r="BN17" s="260"/>
      <c r="BO17" s="260"/>
      <c r="BP17" s="260"/>
      <c r="BQ17" s="260"/>
      <c r="BR17" s="260"/>
      <c r="BS17" s="260"/>
      <c r="BT17" s="260"/>
      <c r="BU17" s="260"/>
      <c r="BV17" s="260"/>
      <c r="BW17" s="260"/>
      <c r="BX17" s="260"/>
    </row>
    <row r="18" spans="1:76" s="256" customFormat="1" ht="22.5" customHeight="1">
      <c r="A18" s="286">
        <v>13</v>
      </c>
      <c r="B18" s="286"/>
      <c r="C18" s="286"/>
      <c r="D18" s="250"/>
      <c r="E18" s="251"/>
      <c r="F18" s="250"/>
      <c r="G18" s="250"/>
      <c r="H18" s="250"/>
      <c r="I18" s="250"/>
      <c r="J18" s="250"/>
      <c r="K18" s="252"/>
      <c r="L18" s="253"/>
      <c r="M18" s="250"/>
      <c r="N18" s="254"/>
      <c r="O18" s="254"/>
      <c r="P18" s="254"/>
      <c r="Q18" s="254"/>
      <c r="R18" s="253"/>
      <c r="S18" s="252"/>
      <c r="T18" s="252"/>
      <c r="U18" s="254"/>
      <c r="V18" s="273"/>
      <c r="W18" s="255"/>
      <c r="X18" s="255"/>
      <c r="Y18" s="255"/>
      <c r="Z18" s="255"/>
      <c r="AA18" s="255"/>
      <c r="AB18" s="257"/>
      <c r="AC18" s="257"/>
      <c r="AD18" s="257"/>
      <c r="AE18" s="257"/>
      <c r="AF18" s="257"/>
      <c r="AG18" s="257"/>
      <c r="AH18" s="257"/>
      <c r="AI18" s="94"/>
      <c r="AJ18" s="94">
        <f t="shared" ca="1" si="2"/>
        <v>0</v>
      </c>
      <c r="AK18" s="94">
        <f t="shared" ca="1" si="3"/>
        <v>0</v>
      </c>
      <c r="AL18" s="260"/>
      <c r="AM18" s="260"/>
      <c r="AN18" s="260"/>
      <c r="AO18" s="260"/>
      <c r="AP18" s="260"/>
      <c r="AQ18" s="260"/>
      <c r="AR18" s="260"/>
      <c r="AS18" s="260"/>
      <c r="AT18" s="260"/>
      <c r="AU18" s="260"/>
      <c r="AV18" s="260"/>
      <c r="AW18" s="260"/>
      <c r="AX18" s="260"/>
      <c r="AY18" s="260"/>
      <c r="AZ18" s="260"/>
      <c r="BA18" s="260"/>
      <c r="BB18" s="260"/>
      <c r="BC18" s="260"/>
      <c r="BD18" s="260"/>
      <c r="BE18" s="260"/>
      <c r="BF18" s="260"/>
      <c r="BG18" s="260"/>
      <c r="BH18" s="260"/>
      <c r="BI18" s="260"/>
      <c r="BJ18" s="260"/>
      <c r="BK18" s="260"/>
      <c r="BL18" s="260"/>
      <c r="BM18" s="260"/>
      <c r="BN18" s="260"/>
      <c r="BO18" s="260"/>
      <c r="BP18" s="260"/>
      <c r="BQ18" s="260"/>
      <c r="BR18" s="260"/>
      <c r="BS18" s="260"/>
      <c r="BT18" s="260"/>
      <c r="BU18" s="260"/>
      <c r="BV18" s="260"/>
      <c r="BW18" s="260"/>
      <c r="BX18" s="260"/>
    </row>
    <row r="19" spans="1:76" s="256" customFormat="1" ht="22.5" customHeight="1">
      <c r="A19" s="286">
        <v>14</v>
      </c>
      <c r="B19" s="286"/>
      <c r="C19" s="286"/>
      <c r="D19" s="250"/>
      <c r="E19" s="251"/>
      <c r="F19" s="250"/>
      <c r="G19" s="250"/>
      <c r="H19" s="250"/>
      <c r="I19" s="250"/>
      <c r="J19" s="250"/>
      <c r="K19" s="252"/>
      <c r="L19" s="253"/>
      <c r="M19" s="250"/>
      <c r="N19" s="254"/>
      <c r="O19" s="254"/>
      <c r="P19" s="254"/>
      <c r="Q19" s="254"/>
      <c r="R19" s="253"/>
      <c r="S19" s="252"/>
      <c r="T19" s="252"/>
      <c r="U19" s="254"/>
      <c r="V19" s="273"/>
      <c r="W19" s="255"/>
      <c r="X19" s="255"/>
      <c r="Y19" s="255"/>
      <c r="Z19" s="255"/>
      <c r="AA19" s="255"/>
      <c r="AB19" s="257"/>
      <c r="AC19" s="257"/>
      <c r="AD19" s="257"/>
      <c r="AE19" s="257"/>
      <c r="AF19" s="257"/>
      <c r="AG19" s="257"/>
      <c r="AH19" s="257"/>
      <c r="AI19" s="94"/>
      <c r="AJ19" s="94">
        <f t="shared" ca="1" si="2"/>
        <v>0</v>
      </c>
      <c r="AK19" s="94">
        <f t="shared" ca="1" si="3"/>
        <v>0</v>
      </c>
      <c r="AL19" s="260"/>
      <c r="AM19" s="260"/>
      <c r="AN19" s="260"/>
      <c r="AO19" s="260"/>
      <c r="AP19" s="260"/>
      <c r="AQ19" s="260"/>
      <c r="AR19" s="260"/>
      <c r="AS19" s="260"/>
      <c r="AT19" s="260"/>
      <c r="AU19" s="260"/>
      <c r="AV19" s="260"/>
      <c r="AW19" s="260"/>
      <c r="AX19" s="260"/>
      <c r="AY19" s="260"/>
      <c r="AZ19" s="260"/>
      <c r="BA19" s="260"/>
      <c r="BB19" s="260"/>
      <c r="BC19" s="260"/>
      <c r="BD19" s="260"/>
      <c r="BE19" s="260"/>
      <c r="BF19" s="260"/>
      <c r="BG19" s="260"/>
      <c r="BH19" s="260"/>
      <c r="BI19" s="260"/>
      <c r="BJ19" s="260"/>
      <c r="BK19" s="260"/>
      <c r="BL19" s="260"/>
      <c r="BM19" s="260"/>
      <c r="BN19" s="260"/>
      <c r="BO19" s="260"/>
      <c r="BP19" s="260"/>
      <c r="BQ19" s="260"/>
      <c r="BR19" s="260"/>
      <c r="BS19" s="260"/>
      <c r="BT19" s="260"/>
      <c r="BU19" s="260"/>
      <c r="BV19" s="260"/>
      <c r="BW19" s="260"/>
      <c r="BX19" s="260"/>
    </row>
    <row r="20" spans="1:76" s="256" customFormat="1" ht="22.5" customHeight="1">
      <c r="A20" s="286">
        <v>15</v>
      </c>
      <c r="B20" s="286"/>
      <c r="C20" s="286"/>
      <c r="D20" s="250"/>
      <c r="E20" s="251"/>
      <c r="F20" s="250"/>
      <c r="G20" s="250"/>
      <c r="H20" s="250"/>
      <c r="I20" s="250"/>
      <c r="J20" s="250"/>
      <c r="K20" s="252"/>
      <c r="L20" s="253"/>
      <c r="M20" s="250"/>
      <c r="N20" s="254"/>
      <c r="O20" s="254"/>
      <c r="P20" s="254"/>
      <c r="Q20" s="254"/>
      <c r="R20" s="253"/>
      <c r="S20" s="252"/>
      <c r="T20" s="252"/>
      <c r="U20" s="254"/>
      <c r="V20" s="273"/>
      <c r="W20" s="255"/>
      <c r="X20" s="255"/>
      <c r="Y20" s="255"/>
      <c r="Z20" s="255"/>
      <c r="AA20" s="255"/>
      <c r="AB20" s="257"/>
      <c r="AC20" s="257"/>
      <c r="AD20" s="257"/>
      <c r="AE20" s="257"/>
      <c r="AF20" s="257"/>
      <c r="AG20" s="257"/>
      <c r="AH20" s="257"/>
      <c r="AI20" s="94"/>
      <c r="AJ20" s="94">
        <f t="shared" ca="1" si="2"/>
        <v>0</v>
      </c>
      <c r="AK20" s="94">
        <f t="shared" ca="1" si="3"/>
        <v>0</v>
      </c>
      <c r="AL20" s="260"/>
      <c r="AM20" s="260"/>
      <c r="AN20" s="260"/>
      <c r="AO20" s="260"/>
      <c r="AP20" s="260"/>
      <c r="AQ20" s="260"/>
      <c r="AR20" s="260"/>
      <c r="AS20" s="260"/>
      <c r="AT20" s="260"/>
      <c r="AU20" s="260"/>
      <c r="AV20" s="260"/>
      <c r="AW20" s="260"/>
      <c r="AX20" s="260"/>
      <c r="AY20" s="260"/>
      <c r="AZ20" s="260"/>
      <c r="BA20" s="260"/>
      <c r="BB20" s="260"/>
      <c r="BC20" s="260"/>
      <c r="BD20" s="260"/>
      <c r="BE20" s="260"/>
      <c r="BF20" s="260"/>
      <c r="BG20" s="260"/>
      <c r="BH20" s="260"/>
      <c r="BI20" s="260"/>
      <c r="BJ20" s="260"/>
      <c r="BK20" s="260"/>
      <c r="BL20" s="260"/>
      <c r="BM20" s="260"/>
      <c r="BN20" s="260"/>
      <c r="BO20" s="260"/>
      <c r="BP20" s="260"/>
      <c r="BQ20" s="260"/>
      <c r="BR20" s="260"/>
      <c r="BS20" s="260"/>
      <c r="BT20" s="260"/>
      <c r="BU20" s="260"/>
      <c r="BV20" s="260"/>
      <c r="BW20" s="260"/>
      <c r="BX20" s="260"/>
    </row>
    <row r="21" spans="1:76" s="256" customFormat="1" ht="22.5" customHeight="1">
      <c r="A21" s="286">
        <v>16</v>
      </c>
      <c r="B21" s="286"/>
      <c r="C21" s="286"/>
      <c r="D21" s="250"/>
      <c r="E21" s="251"/>
      <c r="F21" s="250"/>
      <c r="G21" s="250"/>
      <c r="H21" s="250"/>
      <c r="I21" s="250"/>
      <c r="J21" s="250"/>
      <c r="K21" s="252"/>
      <c r="L21" s="253"/>
      <c r="M21" s="250"/>
      <c r="N21" s="254"/>
      <c r="O21" s="254"/>
      <c r="P21" s="254"/>
      <c r="Q21" s="254"/>
      <c r="R21" s="253"/>
      <c r="S21" s="252"/>
      <c r="T21" s="252"/>
      <c r="U21" s="254"/>
      <c r="V21" s="273"/>
      <c r="W21" s="255"/>
      <c r="X21" s="255"/>
      <c r="Y21" s="255"/>
      <c r="Z21" s="255"/>
      <c r="AA21" s="255"/>
      <c r="AB21" s="257"/>
      <c r="AC21" s="257"/>
      <c r="AD21" s="257"/>
      <c r="AE21" s="257"/>
      <c r="AF21" s="257"/>
      <c r="AG21" s="257"/>
      <c r="AH21" s="257"/>
      <c r="AI21" s="94"/>
      <c r="AJ21" s="94">
        <f t="shared" ca="1" si="2"/>
        <v>0</v>
      </c>
      <c r="AK21" s="94">
        <f t="shared" ca="1" si="3"/>
        <v>0</v>
      </c>
      <c r="AL21" s="260"/>
      <c r="AM21" s="260"/>
      <c r="AN21" s="260"/>
      <c r="AO21" s="260"/>
      <c r="AP21" s="260"/>
      <c r="AQ21" s="260"/>
      <c r="AR21" s="260"/>
      <c r="AS21" s="260"/>
      <c r="AT21" s="260"/>
      <c r="AU21" s="260"/>
      <c r="AV21" s="260"/>
      <c r="AW21" s="260"/>
      <c r="AX21" s="260"/>
      <c r="AY21" s="260"/>
      <c r="AZ21" s="260"/>
      <c r="BA21" s="260"/>
      <c r="BB21" s="260"/>
      <c r="BC21" s="260"/>
      <c r="BD21" s="260"/>
      <c r="BE21" s="260"/>
      <c r="BF21" s="260"/>
      <c r="BG21" s="260"/>
      <c r="BH21" s="260"/>
      <c r="BI21" s="260"/>
      <c r="BJ21" s="260"/>
      <c r="BK21" s="260"/>
      <c r="BL21" s="260"/>
      <c r="BM21" s="260"/>
      <c r="BN21" s="260"/>
      <c r="BO21" s="260"/>
      <c r="BP21" s="260"/>
      <c r="BQ21" s="260"/>
      <c r="BR21" s="260"/>
      <c r="BS21" s="260"/>
      <c r="BT21" s="260"/>
      <c r="BU21" s="260"/>
      <c r="BV21" s="260"/>
      <c r="BW21" s="260"/>
      <c r="BX21" s="260"/>
    </row>
    <row r="22" spans="1:76" s="256" customFormat="1" ht="22.5" customHeight="1">
      <c r="A22" s="286">
        <v>17</v>
      </c>
      <c r="B22" s="286"/>
      <c r="C22" s="286"/>
      <c r="D22" s="250"/>
      <c r="E22" s="251"/>
      <c r="F22" s="250"/>
      <c r="G22" s="250"/>
      <c r="H22" s="250"/>
      <c r="I22" s="250"/>
      <c r="J22" s="250"/>
      <c r="K22" s="252"/>
      <c r="L22" s="253"/>
      <c r="M22" s="250"/>
      <c r="N22" s="254"/>
      <c r="O22" s="254"/>
      <c r="P22" s="254"/>
      <c r="Q22" s="254"/>
      <c r="R22" s="253"/>
      <c r="S22" s="252"/>
      <c r="T22" s="252"/>
      <c r="U22" s="254"/>
      <c r="V22" s="273"/>
      <c r="W22" s="255"/>
      <c r="X22" s="255"/>
      <c r="Y22" s="255"/>
      <c r="Z22" s="255"/>
      <c r="AA22" s="255"/>
      <c r="AB22" s="257"/>
      <c r="AC22" s="257"/>
      <c r="AD22" s="257"/>
      <c r="AE22" s="257"/>
      <c r="AF22" s="257"/>
      <c r="AG22" s="257"/>
      <c r="AH22" s="257"/>
      <c r="AI22" s="94"/>
      <c r="AJ22" s="94">
        <f t="shared" ca="1" si="2"/>
        <v>0</v>
      </c>
      <c r="AK22" s="94">
        <f t="shared" ca="1" si="3"/>
        <v>0</v>
      </c>
      <c r="AL22" s="260"/>
      <c r="AM22" s="260"/>
      <c r="AN22" s="260"/>
      <c r="AO22" s="260"/>
      <c r="AP22" s="260"/>
      <c r="AQ22" s="260"/>
      <c r="AR22" s="260"/>
      <c r="AS22" s="260"/>
      <c r="AT22" s="260"/>
      <c r="AU22" s="260"/>
      <c r="AV22" s="260"/>
      <c r="AW22" s="260"/>
      <c r="AX22" s="260"/>
      <c r="AY22" s="260"/>
      <c r="AZ22" s="260"/>
      <c r="BA22" s="260"/>
      <c r="BB22" s="260"/>
      <c r="BC22" s="260"/>
      <c r="BD22" s="260"/>
      <c r="BE22" s="260"/>
      <c r="BF22" s="260"/>
      <c r="BG22" s="260"/>
      <c r="BH22" s="260"/>
      <c r="BI22" s="260"/>
      <c r="BJ22" s="260"/>
      <c r="BK22" s="260"/>
      <c r="BL22" s="260"/>
      <c r="BM22" s="260"/>
      <c r="BN22" s="260"/>
      <c r="BO22" s="260"/>
      <c r="BP22" s="260"/>
      <c r="BQ22" s="260"/>
      <c r="BR22" s="260"/>
      <c r="BS22" s="260"/>
      <c r="BT22" s="260"/>
      <c r="BU22" s="260"/>
      <c r="BV22" s="260"/>
      <c r="BW22" s="260"/>
      <c r="BX22" s="260"/>
    </row>
    <row r="23" spans="1:76" s="256" customFormat="1" ht="22.5" customHeight="1">
      <c r="A23" s="286">
        <v>18</v>
      </c>
      <c r="B23" s="286"/>
      <c r="C23" s="286"/>
      <c r="D23" s="250"/>
      <c r="E23" s="251"/>
      <c r="F23" s="250"/>
      <c r="G23" s="250"/>
      <c r="H23" s="250"/>
      <c r="I23" s="250"/>
      <c r="J23" s="250"/>
      <c r="K23" s="252"/>
      <c r="L23" s="253"/>
      <c r="M23" s="250"/>
      <c r="N23" s="254"/>
      <c r="O23" s="254"/>
      <c r="P23" s="254"/>
      <c r="Q23" s="254"/>
      <c r="R23" s="253"/>
      <c r="S23" s="252"/>
      <c r="T23" s="252"/>
      <c r="U23" s="254"/>
      <c r="V23" s="273"/>
      <c r="W23" s="255"/>
      <c r="X23" s="255"/>
      <c r="Y23" s="255"/>
      <c r="Z23" s="255"/>
      <c r="AA23" s="255"/>
      <c r="AB23" s="257"/>
      <c r="AC23" s="257"/>
      <c r="AD23" s="257"/>
      <c r="AE23" s="257"/>
      <c r="AF23" s="257"/>
      <c r="AG23" s="257"/>
      <c r="AH23" s="257"/>
      <c r="AI23" s="94"/>
      <c r="AJ23" s="94">
        <f t="shared" ca="1" si="2"/>
        <v>0</v>
      </c>
      <c r="AK23" s="94">
        <f t="shared" ca="1" si="3"/>
        <v>0</v>
      </c>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c r="BI23" s="260"/>
      <c r="BJ23" s="260"/>
      <c r="BK23" s="260"/>
      <c r="BL23" s="260"/>
      <c r="BM23" s="260"/>
      <c r="BN23" s="260"/>
      <c r="BO23" s="260"/>
      <c r="BP23" s="260"/>
      <c r="BQ23" s="260"/>
      <c r="BR23" s="260"/>
      <c r="BS23" s="260"/>
      <c r="BT23" s="260"/>
      <c r="BU23" s="260"/>
      <c r="BV23" s="260"/>
      <c r="BW23" s="260"/>
      <c r="BX23" s="260"/>
    </row>
    <row r="24" spans="1:76" s="256" customFormat="1" ht="22.5" customHeight="1">
      <c r="A24" s="286">
        <v>19</v>
      </c>
      <c r="B24" s="286"/>
      <c r="C24" s="286"/>
      <c r="D24" s="250"/>
      <c r="E24" s="251"/>
      <c r="F24" s="250"/>
      <c r="G24" s="250"/>
      <c r="H24" s="250"/>
      <c r="I24" s="250"/>
      <c r="J24" s="250"/>
      <c r="K24" s="252"/>
      <c r="L24" s="253"/>
      <c r="M24" s="250"/>
      <c r="N24" s="254"/>
      <c r="O24" s="254"/>
      <c r="P24" s="254"/>
      <c r="Q24" s="254"/>
      <c r="R24" s="253"/>
      <c r="S24" s="252"/>
      <c r="T24" s="252"/>
      <c r="U24" s="254"/>
      <c r="V24" s="273"/>
      <c r="W24" s="255"/>
      <c r="X24" s="255"/>
      <c r="Y24" s="255"/>
      <c r="Z24" s="255"/>
      <c r="AA24" s="255"/>
      <c r="AB24" s="257"/>
      <c r="AC24" s="257"/>
      <c r="AD24" s="257"/>
      <c r="AE24" s="257"/>
      <c r="AF24" s="257"/>
      <c r="AG24" s="257"/>
      <c r="AH24" s="257"/>
      <c r="AI24" s="94"/>
      <c r="AJ24" s="94">
        <f t="shared" ca="1" si="2"/>
        <v>0</v>
      </c>
      <c r="AK24" s="94">
        <f t="shared" ca="1" si="3"/>
        <v>0</v>
      </c>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c r="BI24" s="260"/>
      <c r="BJ24" s="260"/>
      <c r="BK24" s="260"/>
      <c r="BL24" s="260"/>
      <c r="BM24" s="260"/>
      <c r="BN24" s="260"/>
      <c r="BO24" s="260"/>
      <c r="BP24" s="260"/>
      <c r="BQ24" s="260"/>
      <c r="BR24" s="260"/>
      <c r="BS24" s="260"/>
      <c r="BT24" s="260"/>
      <c r="BU24" s="260"/>
      <c r="BV24" s="260"/>
      <c r="BW24" s="260"/>
      <c r="BX24" s="260"/>
    </row>
    <row r="25" spans="1:76" s="256" customFormat="1" ht="22.5" customHeight="1">
      <c r="A25" s="286">
        <v>20</v>
      </c>
      <c r="B25" s="286"/>
      <c r="C25" s="286"/>
      <c r="D25" s="250"/>
      <c r="E25" s="251"/>
      <c r="F25" s="250"/>
      <c r="G25" s="250"/>
      <c r="H25" s="250"/>
      <c r="I25" s="250"/>
      <c r="J25" s="250"/>
      <c r="K25" s="252"/>
      <c r="L25" s="253"/>
      <c r="M25" s="250"/>
      <c r="N25" s="254"/>
      <c r="O25" s="254"/>
      <c r="P25" s="254"/>
      <c r="Q25" s="254"/>
      <c r="R25" s="253"/>
      <c r="S25" s="252"/>
      <c r="T25" s="252"/>
      <c r="U25" s="254"/>
      <c r="V25" s="273"/>
      <c r="W25" s="255"/>
      <c r="X25" s="255"/>
      <c r="Y25" s="255"/>
      <c r="Z25" s="255"/>
      <c r="AA25" s="255"/>
      <c r="AB25" s="257"/>
      <c r="AC25" s="257"/>
      <c r="AD25" s="257"/>
      <c r="AE25" s="257"/>
      <c r="AF25" s="257"/>
      <c r="AG25" s="257"/>
      <c r="AH25" s="257"/>
      <c r="AI25" s="94"/>
      <c r="AJ25" s="94">
        <f t="shared" ca="1" si="2"/>
        <v>0</v>
      </c>
      <c r="AK25" s="94">
        <f t="shared" ca="1" si="3"/>
        <v>0</v>
      </c>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c r="BI25" s="260"/>
      <c r="BJ25" s="260"/>
      <c r="BK25" s="260"/>
      <c r="BL25" s="260"/>
      <c r="BM25" s="260"/>
      <c r="BN25" s="260"/>
      <c r="BO25" s="260"/>
      <c r="BP25" s="260"/>
      <c r="BQ25" s="260"/>
      <c r="BR25" s="260"/>
      <c r="BS25" s="260"/>
      <c r="BT25" s="260"/>
      <c r="BU25" s="260"/>
      <c r="BV25" s="260"/>
      <c r="BW25" s="260"/>
      <c r="BX25" s="260"/>
    </row>
    <row r="26" spans="1:76" s="256" customFormat="1" ht="22.5" customHeight="1">
      <c r="A26" s="286">
        <v>21</v>
      </c>
      <c r="B26" s="286"/>
      <c r="C26" s="286"/>
      <c r="D26" s="250"/>
      <c r="E26" s="251"/>
      <c r="F26" s="250"/>
      <c r="G26" s="250"/>
      <c r="H26" s="250"/>
      <c r="I26" s="250"/>
      <c r="J26" s="250"/>
      <c r="K26" s="252"/>
      <c r="L26" s="253"/>
      <c r="M26" s="250"/>
      <c r="N26" s="254"/>
      <c r="O26" s="254"/>
      <c r="P26" s="254"/>
      <c r="Q26" s="254"/>
      <c r="R26" s="253"/>
      <c r="S26" s="252"/>
      <c r="T26" s="252"/>
      <c r="U26" s="254"/>
      <c r="V26" s="273"/>
      <c r="W26" s="255"/>
      <c r="X26" s="255"/>
      <c r="Y26" s="255"/>
      <c r="Z26" s="255"/>
      <c r="AA26" s="255"/>
      <c r="AB26" s="257"/>
      <c r="AC26" s="257"/>
      <c r="AD26" s="257"/>
      <c r="AE26" s="257"/>
      <c r="AF26" s="257"/>
      <c r="AG26" s="257"/>
      <c r="AH26" s="257"/>
      <c r="AI26" s="94"/>
      <c r="AJ26" s="94">
        <f t="shared" ca="1" si="2"/>
        <v>0</v>
      </c>
      <c r="AK26" s="94">
        <f t="shared" ca="1" si="3"/>
        <v>0</v>
      </c>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c r="BI26" s="260"/>
      <c r="BJ26" s="260"/>
      <c r="BK26" s="260"/>
      <c r="BL26" s="260"/>
      <c r="BM26" s="260"/>
      <c r="BN26" s="260"/>
      <c r="BO26" s="260"/>
      <c r="BP26" s="260"/>
      <c r="BQ26" s="260"/>
      <c r="BR26" s="260"/>
      <c r="BS26" s="260"/>
      <c r="BT26" s="260"/>
      <c r="BU26" s="260"/>
      <c r="BV26" s="260"/>
      <c r="BW26" s="260"/>
      <c r="BX26" s="260"/>
    </row>
    <row r="27" spans="1:76" s="256" customFormat="1" ht="22.5" customHeight="1">
      <c r="A27" s="286">
        <v>22</v>
      </c>
      <c r="B27" s="286"/>
      <c r="C27" s="286"/>
      <c r="D27" s="250"/>
      <c r="E27" s="251"/>
      <c r="F27" s="250"/>
      <c r="G27" s="250"/>
      <c r="H27" s="250"/>
      <c r="I27" s="250"/>
      <c r="J27" s="250"/>
      <c r="K27" s="252"/>
      <c r="L27" s="253"/>
      <c r="M27" s="250"/>
      <c r="N27" s="254"/>
      <c r="O27" s="254"/>
      <c r="P27" s="254"/>
      <c r="Q27" s="254"/>
      <c r="R27" s="253"/>
      <c r="S27" s="252"/>
      <c r="T27" s="252"/>
      <c r="U27" s="254"/>
      <c r="V27" s="273"/>
      <c r="W27" s="255"/>
      <c r="X27" s="255"/>
      <c r="Y27" s="255"/>
      <c r="Z27" s="255"/>
      <c r="AA27" s="255"/>
      <c r="AB27" s="257"/>
      <c r="AC27" s="257"/>
      <c r="AD27" s="257"/>
      <c r="AE27" s="257"/>
      <c r="AF27" s="257"/>
      <c r="AG27" s="257"/>
      <c r="AH27" s="257"/>
      <c r="AI27" s="94"/>
      <c r="AJ27" s="94">
        <f t="shared" ca="1" si="2"/>
        <v>0</v>
      </c>
      <c r="AK27" s="94">
        <f t="shared" ca="1" si="3"/>
        <v>0</v>
      </c>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c r="BI27" s="260"/>
      <c r="BJ27" s="260"/>
      <c r="BK27" s="260"/>
      <c r="BL27" s="260"/>
      <c r="BM27" s="260"/>
      <c r="BN27" s="260"/>
      <c r="BO27" s="260"/>
      <c r="BP27" s="260"/>
      <c r="BQ27" s="260"/>
      <c r="BR27" s="260"/>
      <c r="BS27" s="260"/>
      <c r="BT27" s="260"/>
      <c r="BU27" s="260"/>
      <c r="BV27" s="260"/>
      <c r="BW27" s="260"/>
      <c r="BX27" s="260"/>
    </row>
    <row r="28" spans="1:76" s="256" customFormat="1" ht="22.5" customHeight="1">
      <c r="A28" s="286">
        <v>23</v>
      </c>
      <c r="B28" s="286"/>
      <c r="C28" s="286"/>
      <c r="D28" s="250"/>
      <c r="E28" s="251"/>
      <c r="F28" s="250"/>
      <c r="G28" s="250"/>
      <c r="H28" s="250"/>
      <c r="I28" s="250"/>
      <c r="J28" s="250"/>
      <c r="K28" s="252"/>
      <c r="L28" s="253"/>
      <c r="M28" s="250"/>
      <c r="N28" s="254"/>
      <c r="O28" s="254"/>
      <c r="P28" s="254"/>
      <c r="Q28" s="254"/>
      <c r="R28" s="253"/>
      <c r="S28" s="252"/>
      <c r="T28" s="252"/>
      <c r="U28" s="254"/>
      <c r="V28" s="273"/>
      <c r="W28" s="255"/>
      <c r="X28" s="255"/>
      <c r="Y28" s="255"/>
      <c r="Z28" s="255"/>
      <c r="AA28" s="255"/>
      <c r="AB28" s="257"/>
      <c r="AC28" s="257"/>
      <c r="AD28" s="257"/>
      <c r="AE28" s="257"/>
      <c r="AF28" s="257"/>
      <c r="AG28" s="257"/>
      <c r="AH28" s="257"/>
      <c r="AI28" s="94"/>
      <c r="AJ28" s="94">
        <f t="shared" ca="1" si="2"/>
        <v>0</v>
      </c>
      <c r="AK28" s="94">
        <f t="shared" ca="1" si="3"/>
        <v>0</v>
      </c>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c r="BI28" s="260"/>
      <c r="BJ28" s="260"/>
      <c r="BK28" s="260"/>
      <c r="BL28" s="260"/>
      <c r="BM28" s="260"/>
      <c r="BN28" s="260"/>
      <c r="BO28" s="260"/>
      <c r="BP28" s="260"/>
      <c r="BQ28" s="260"/>
      <c r="BR28" s="260"/>
      <c r="BS28" s="260"/>
      <c r="BT28" s="260"/>
      <c r="BU28" s="260"/>
      <c r="BV28" s="260"/>
      <c r="BW28" s="260"/>
      <c r="BX28" s="260"/>
    </row>
    <row r="29" spans="1:76" s="256" customFormat="1" ht="22.5" customHeight="1">
      <c r="A29" s="286">
        <v>24</v>
      </c>
      <c r="B29" s="286"/>
      <c r="C29" s="286"/>
      <c r="D29" s="250"/>
      <c r="E29" s="251"/>
      <c r="F29" s="250"/>
      <c r="G29" s="250"/>
      <c r="H29" s="250"/>
      <c r="I29" s="250"/>
      <c r="J29" s="250"/>
      <c r="K29" s="252"/>
      <c r="L29" s="253"/>
      <c r="M29" s="250"/>
      <c r="N29" s="254"/>
      <c r="O29" s="254"/>
      <c r="P29" s="254"/>
      <c r="Q29" s="254"/>
      <c r="R29" s="253"/>
      <c r="S29" s="252"/>
      <c r="T29" s="252"/>
      <c r="U29" s="254"/>
      <c r="V29" s="273"/>
      <c r="W29" s="255"/>
      <c r="X29" s="255"/>
      <c r="Y29" s="255"/>
      <c r="Z29" s="255"/>
      <c r="AA29" s="255"/>
      <c r="AB29" s="257"/>
      <c r="AC29" s="257"/>
      <c r="AD29" s="257"/>
      <c r="AE29" s="257"/>
      <c r="AF29" s="257"/>
      <c r="AG29" s="257"/>
      <c r="AH29" s="257"/>
      <c r="AI29" s="94"/>
      <c r="AJ29" s="94">
        <f t="shared" ca="1" si="2"/>
        <v>0</v>
      </c>
      <c r="AK29" s="94">
        <f t="shared" ca="1" si="3"/>
        <v>0</v>
      </c>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c r="BI29" s="260"/>
      <c r="BJ29" s="260"/>
      <c r="BK29" s="260"/>
      <c r="BL29" s="260"/>
      <c r="BM29" s="260"/>
      <c r="BN29" s="260"/>
      <c r="BO29" s="260"/>
      <c r="BP29" s="260"/>
      <c r="BQ29" s="260"/>
      <c r="BR29" s="260"/>
      <c r="BS29" s="260"/>
      <c r="BT29" s="260"/>
      <c r="BU29" s="260"/>
      <c r="BV29" s="260"/>
      <c r="BW29" s="260"/>
      <c r="BX29" s="260"/>
    </row>
    <row r="30" spans="1:76" s="256" customFormat="1" ht="22.5" customHeight="1">
      <c r="A30" s="286">
        <v>25</v>
      </c>
      <c r="B30" s="286"/>
      <c r="C30" s="286"/>
      <c r="D30" s="250"/>
      <c r="E30" s="251"/>
      <c r="F30" s="250"/>
      <c r="G30" s="250"/>
      <c r="H30" s="250"/>
      <c r="I30" s="250"/>
      <c r="J30" s="250"/>
      <c r="K30" s="252"/>
      <c r="L30" s="253"/>
      <c r="M30" s="250"/>
      <c r="N30" s="254"/>
      <c r="O30" s="254"/>
      <c r="P30" s="254"/>
      <c r="Q30" s="254"/>
      <c r="R30" s="253"/>
      <c r="S30" s="252"/>
      <c r="T30" s="252"/>
      <c r="U30" s="254"/>
      <c r="V30" s="273"/>
      <c r="W30" s="255"/>
      <c r="X30" s="255"/>
      <c r="Y30" s="255"/>
      <c r="Z30" s="255"/>
      <c r="AA30" s="255"/>
      <c r="AB30" s="257"/>
      <c r="AC30" s="257"/>
      <c r="AD30" s="257"/>
      <c r="AE30" s="257"/>
      <c r="AF30" s="257"/>
      <c r="AG30" s="257"/>
      <c r="AH30" s="257"/>
      <c r="AI30" s="94"/>
      <c r="AJ30" s="94">
        <f t="shared" ca="1" si="2"/>
        <v>0</v>
      </c>
      <c r="AK30" s="94">
        <f t="shared" ca="1" si="3"/>
        <v>0</v>
      </c>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c r="BI30" s="260"/>
      <c r="BJ30" s="260"/>
      <c r="BK30" s="260"/>
      <c r="BL30" s="260"/>
      <c r="BM30" s="260"/>
      <c r="BN30" s="260"/>
      <c r="BO30" s="260"/>
      <c r="BP30" s="260"/>
      <c r="BQ30" s="260"/>
      <c r="BR30" s="260"/>
      <c r="BS30" s="260"/>
      <c r="BT30" s="260"/>
      <c r="BU30" s="260"/>
      <c r="BV30" s="260"/>
      <c r="BW30" s="260"/>
      <c r="BX30" s="260"/>
    </row>
    <row r="31" spans="1:76" s="256" customFormat="1" ht="22.5" customHeight="1">
      <c r="A31" s="286">
        <v>26</v>
      </c>
      <c r="B31" s="286"/>
      <c r="C31" s="286"/>
      <c r="D31" s="250"/>
      <c r="E31" s="251"/>
      <c r="F31" s="250"/>
      <c r="G31" s="250"/>
      <c r="H31" s="250"/>
      <c r="I31" s="250"/>
      <c r="J31" s="250"/>
      <c r="K31" s="252"/>
      <c r="L31" s="253"/>
      <c r="M31" s="250"/>
      <c r="N31" s="254"/>
      <c r="O31" s="254"/>
      <c r="P31" s="254"/>
      <c r="Q31" s="254"/>
      <c r="R31" s="253"/>
      <c r="S31" s="252"/>
      <c r="T31" s="252"/>
      <c r="U31" s="254"/>
      <c r="V31" s="273"/>
      <c r="W31" s="255"/>
      <c r="X31" s="255"/>
      <c r="Y31" s="255"/>
      <c r="Z31" s="255"/>
      <c r="AA31" s="255"/>
      <c r="AB31" s="257"/>
      <c r="AC31" s="257"/>
      <c r="AD31" s="257"/>
      <c r="AE31" s="257"/>
      <c r="AF31" s="257"/>
      <c r="AG31" s="257"/>
      <c r="AH31" s="257"/>
      <c r="AI31" s="94"/>
      <c r="AJ31" s="94">
        <f t="shared" ca="1" si="2"/>
        <v>0</v>
      </c>
      <c r="AK31" s="94">
        <f t="shared" ca="1" si="3"/>
        <v>0</v>
      </c>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c r="BI31" s="260"/>
      <c r="BJ31" s="260"/>
      <c r="BK31" s="260"/>
      <c r="BL31" s="260"/>
      <c r="BM31" s="260"/>
      <c r="BN31" s="260"/>
      <c r="BO31" s="260"/>
      <c r="BP31" s="260"/>
      <c r="BQ31" s="260"/>
      <c r="BR31" s="260"/>
      <c r="BS31" s="260"/>
      <c r="BT31" s="260"/>
      <c r="BU31" s="260"/>
      <c r="BV31" s="260"/>
      <c r="BW31" s="260"/>
      <c r="BX31" s="260"/>
    </row>
    <row r="32" spans="1:76" s="256" customFormat="1" ht="22.5" customHeight="1">
      <c r="A32" s="286">
        <v>27</v>
      </c>
      <c r="B32" s="286"/>
      <c r="C32" s="286"/>
      <c r="D32" s="250"/>
      <c r="E32" s="251"/>
      <c r="F32" s="250"/>
      <c r="G32" s="250"/>
      <c r="H32" s="250"/>
      <c r="I32" s="250"/>
      <c r="J32" s="250"/>
      <c r="K32" s="252"/>
      <c r="L32" s="253"/>
      <c r="M32" s="250"/>
      <c r="N32" s="254"/>
      <c r="O32" s="254"/>
      <c r="P32" s="254"/>
      <c r="Q32" s="254"/>
      <c r="R32" s="253"/>
      <c r="S32" s="252"/>
      <c r="T32" s="252"/>
      <c r="U32" s="254"/>
      <c r="V32" s="273"/>
      <c r="W32" s="255"/>
      <c r="X32" s="255"/>
      <c r="Y32" s="255"/>
      <c r="Z32" s="255"/>
      <c r="AA32" s="255"/>
      <c r="AB32" s="257"/>
      <c r="AC32" s="257"/>
      <c r="AD32" s="257"/>
      <c r="AE32" s="257"/>
      <c r="AF32" s="257"/>
      <c r="AG32" s="257"/>
      <c r="AH32" s="257"/>
      <c r="AI32" s="94"/>
      <c r="AJ32" s="94">
        <f t="shared" ca="1" si="2"/>
        <v>0</v>
      </c>
      <c r="AK32" s="94">
        <f t="shared" ca="1" si="3"/>
        <v>0</v>
      </c>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c r="BI32" s="260"/>
      <c r="BJ32" s="260"/>
      <c r="BK32" s="260"/>
      <c r="BL32" s="260"/>
      <c r="BM32" s="260"/>
      <c r="BN32" s="260"/>
      <c r="BO32" s="260"/>
      <c r="BP32" s="260"/>
      <c r="BQ32" s="260"/>
      <c r="BR32" s="260"/>
      <c r="BS32" s="260"/>
      <c r="BT32" s="260"/>
      <c r="BU32" s="260"/>
      <c r="BV32" s="260"/>
      <c r="BW32" s="260"/>
      <c r="BX32" s="260"/>
    </row>
    <row r="33" spans="1:76" s="256" customFormat="1" ht="22.5" customHeight="1">
      <c r="A33" s="286">
        <v>28</v>
      </c>
      <c r="B33" s="286"/>
      <c r="C33" s="286"/>
      <c r="D33" s="250"/>
      <c r="E33" s="251"/>
      <c r="F33" s="250"/>
      <c r="G33" s="250"/>
      <c r="H33" s="250"/>
      <c r="I33" s="250"/>
      <c r="J33" s="250"/>
      <c r="K33" s="252"/>
      <c r="L33" s="253"/>
      <c r="M33" s="250"/>
      <c r="N33" s="254"/>
      <c r="O33" s="254"/>
      <c r="P33" s="254"/>
      <c r="Q33" s="254"/>
      <c r="R33" s="253"/>
      <c r="S33" s="252"/>
      <c r="T33" s="252"/>
      <c r="U33" s="254"/>
      <c r="V33" s="273"/>
      <c r="W33" s="255"/>
      <c r="X33" s="255"/>
      <c r="Y33" s="255"/>
      <c r="Z33" s="255"/>
      <c r="AA33" s="255"/>
      <c r="AB33" s="257"/>
      <c r="AC33" s="257"/>
      <c r="AD33" s="257"/>
      <c r="AE33" s="257"/>
      <c r="AF33" s="257"/>
      <c r="AG33" s="257"/>
      <c r="AH33" s="257"/>
      <c r="AI33" s="94"/>
      <c r="AJ33" s="94">
        <f t="shared" ca="1" si="2"/>
        <v>0</v>
      </c>
      <c r="AK33" s="94">
        <f t="shared" ca="1" si="3"/>
        <v>0</v>
      </c>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c r="BI33" s="260"/>
      <c r="BJ33" s="260"/>
      <c r="BK33" s="260"/>
      <c r="BL33" s="260"/>
      <c r="BM33" s="260"/>
      <c r="BN33" s="260"/>
      <c r="BO33" s="260"/>
      <c r="BP33" s="260"/>
      <c r="BQ33" s="260"/>
      <c r="BR33" s="260"/>
      <c r="BS33" s="260"/>
      <c r="BT33" s="260"/>
      <c r="BU33" s="260"/>
      <c r="BV33" s="260"/>
      <c r="BW33" s="260"/>
      <c r="BX33" s="260"/>
    </row>
    <row r="34" spans="1:76" s="256" customFormat="1" ht="22.5" customHeight="1">
      <c r="A34" s="286">
        <v>29</v>
      </c>
      <c r="B34" s="286"/>
      <c r="C34" s="286"/>
      <c r="D34" s="250"/>
      <c r="E34" s="251"/>
      <c r="F34" s="250"/>
      <c r="G34" s="250"/>
      <c r="H34" s="250"/>
      <c r="I34" s="250"/>
      <c r="J34" s="250"/>
      <c r="K34" s="252"/>
      <c r="L34" s="253"/>
      <c r="M34" s="250"/>
      <c r="N34" s="254"/>
      <c r="O34" s="254"/>
      <c r="P34" s="254"/>
      <c r="Q34" s="254"/>
      <c r="R34" s="253"/>
      <c r="S34" s="252"/>
      <c r="T34" s="252"/>
      <c r="U34" s="254"/>
      <c r="V34" s="273"/>
      <c r="W34" s="255"/>
      <c r="X34" s="255"/>
      <c r="Y34" s="255"/>
      <c r="Z34" s="255"/>
      <c r="AA34" s="255"/>
      <c r="AB34" s="257"/>
      <c r="AC34" s="257"/>
      <c r="AD34" s="257"/>
      <c r="AE34" s="257"/>
      <c r="AF34" s="257"/>
      <c r="AG34" s="257"/>
      <c r="AH34" s="257"/>
      <c r="AI34" s="94"/>
      <c r="AJ34" s="94">
        <f t="shared" ca="1" si="2"/>
        <v>0</v>
      </c>
      <c r="AK34" s="94">
        <f t="shared" ca="1" si="3"/>
        <v>0</v>
      </c>
      <c r="AL34" s="260"/>
      <c r="AM34" s="260"/>
      <c r="AN34" s="260"/>
      <c r="AO34" s="260"/>
      <c r="AP34" s="260"/>
      <c r="AQ34" s="260"/>
      <c r="AR34" s="260"/>
      <c r="AS34" s="260"/>
      <c r="AT34" s="260"/>
      <c r="AU34" s="260"/>
      <c r="AV34" s="260"/>
      <c r="AW34" s="260"/>
      <c r="AX34" s="260"/>
      <c r="AY34" s="260"/>
      <c r="AZ34" s="260"/>
      <c r="BA34" s="260"/>
      <c r="BB34" s="260"/>
      <c r="BC34" s="260"/>
      <c r="BD34" s="260"/>
      <c r="BE34" s="260"/>
      <c r="BF34" s="260"/>
      <c r="BG34" s="260"/>
      <c r="BH34" s="260"/>
      <c r="BI34" s="260"/>
      <c r="BJ34" s="260"/>
      <c r="BK34" s="260"/>
      <c r="BL34" s="260"/>
      <c r="BM34" s="260"/>
      <c r="BN34" s="260"/>
      <c r="BO34" s="260"/>
      <c r="BP34" s="260"/>
      <c r="BQ34" s="260"/>
      <c r="BR34" s="260"/>
      <c r="BS34" s="260"/>
      <c r="BT34" s="260"/>
      <c r="BU34" s="260"/>
      <c r="BV34" s="260"/>
      <c r="BW34" s="260"/>
      <c r="BX34" s="260"/>
    </row>
    <row r="35" spans="1:76" s="256" customFormat="1" ht="22.5" customHeight="1">
      <c r="A35" s="286">
        <v>30</v>
      </c>
      <c r="B35" s="286"/>
      <c r="C35" s="286"/>
      <c r="D35" s="250"/>
      <c r="E35" s="251"/>
      <c r="F35" s="250"/>
      <c r="G35" s="250"/>
      <c r="H35" s="250"/>
      <c r="I35" s="250"/>
      <c r="J35" s="250"/>
      <c r="K35" s="252"/>
      <c r="L35" s="253"/>
      <c r="M35" s="250"/>
      <c r="N35" s="254"/>
      <c r="O35" s="254"/>
      <c r="P35" s="254"/>
      <c r="Q35" s="254"/>
      <c r="R35" s="253"/>
      <c r="S35" s="252"/>
      <c r="T35" s="252"/>
      <c r="U35" s="254"/>
      <c r="V35" s="273"/>
      <c r="W35" s="255"/>
      <c r="X35" s="255"/>
      <c r="Y35" s="255"/>
      <c r="Z35" s="255"/>
      <c r="AA35" s="255"/>
      <c r="AB35" s="257"/>
      <c r="AC35" s="257"/>
      <c r="AD35" s="257"/>
      <c r="AE35" s="257"/>
      <c r="AF35" s="257"/>
      <c r="AG35" s="257"/>
      <c r="AH35" s="257"/>
      <c r="AI35" s="94"/>
      <c r="AJ35" s="94">
        <f t="shared" ca="1" si="2"/>
        <v>0</v>
      </c>
      <c r="AK35" s="94">
        <f t="shared" ca="1" si="3"/>
        <v>0</v>
      </c>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c r="BI35" s="260"/>
      <c r="BJ35" s="260"/>
      <c r="BK35" s="260"/>
      <c r="BL35" s="260"/>
      <c r="BM35" s="260"/>
      <c r="BN35" s="260"/>
      <c r="BO35" s="260"/>
      <c r="BP35" s="260"/>
      <c r="BQ35" s="260"/>
      <c r="BR35" s="260"/>
      <c r="BS35" s="260"/>
      <c r="BT35" s="260"/>
      <c r="BU35" s="260"/>
      <c r="BV35" s="260"/>
      <c r="BW35" s="260"/>
      <c r="BX35" s="260"/>
    </row>
    <row r="36" spans="1:76" s="256" customFormat="1" ht="22.5" customHeight="1">
      <c r="A36" s="286">
        <v>31</v>
      </c>
      <c r="B36" s="286"/>
      <c r="C36" s="286"/>
      <c r="D36" s="250"/>
      <c r="E36" s="251"/>
      <c r="F36" s="250"/>
      <c r="G36" s="250"/>
      <c r="H36" s="250"/>
      <c r="I36" s="250"/>
      <c r="J36" s="250"/>
      <c r="K36" s="252"/>
      <c r="L36" s="253"/>
      <c r="M36" s="250"/>
      <c r="N36" s="254"/>
      <c r="O36" s="254"/>
      <c r="P36" s="254"/>
      <c r="Q36" s="254"/>
      <c r="R36" s="253"/>
      <c r="S36" s="252"/>
      <c r="T36" s="252"/>
      <c r="U36" s="254"/>
      <c r="V36" s="273"/>
      <c r="W36" s="255"/>
      <c r="X36" s="255"/>
      <c r="Y36" s="255"/>
      <c r="Z36" s="255"/>
      <c r="AA36" s="255"/>
      <c r="AB36" s="257"/>
      <c r="AC36" s="257"/>
      <c r="AD36" s="257"/>
      <c r="AE36" s="257"/>
      <c r="AF36" s="257"/>
      <c r="AG36" s="257"/>
      <c r="AH36" s="257"/>
      <c r="AI36" s="94"/>
      <c r="AJ36" s="94">
        <f t="shared" ca="1" si="2"/>
        <v>0</v>
      </c>
      <c r="AK36" s="94">
        <f t="shared" ca="1" si="3"/>
        <v>0</v>
      </c>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row>
    <row r="37" spans="1:76" s="256" customFormat="1" ht="22.5" customHeight="1">
      <c r="A37" s="286">
        <v>32</v>
      </c>
      <c r="B37" s="286"/>
      <c r="C37" s="286"/>
      <c r="D37" s="250"/>
      <c r="E37" s="251"/>
      <c r="F37" s="250"/>
      <c r="G37" s="250"/>
      <c r="H37" s="250"/>
      <c r="I37" s="250"/>
      <c r="J37" s="250"/>
      <c r="K37" s="252"/>
      <c r="L37" s="253"/>
      <c r="M37" s="250"/>
      <c r="N37" s="254"/>
      <c r="O37" s="254"/>
      <c r="P37" s="254"/>
      <c r="Q37" s="254"/>
      <c r="R37" s="253"/>
      <c r="S37" s="252"/>
      <c r="T37" s="252"/>
      <c r="U37" s="254"/>
      <c r="V37" s="273"/>
      <c r="W37" s="255"/>
      <c r="X37" s="255"/>
      <c r="Y37" s="255"/>
      <c r="Z37" s="255"/>
      <c r="AA37" s="255"/>
      <c r="AB37" s="257"/>
      <c r="AC37" s="257"/>
      <c r="AD37" s="257"/>
      <c r="AE37" s="257"/>
      <c r="AF37" s="257"/>
      <c r="AG37" s="257"/>
      <c r="AH37" s="257"/>
      <c r="AI37" s="94"/>
      <c r="AJ37" s="94">
        <f t="shared" ca="1" si="2"/>
        <v>0</v>
      </c>
      <c r="AK37" s="94">
        <f t="shared" ca="1" si="3"/>
        <v>0</v>
      </c>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c r="BW37" s="260"/>
      <c r="BX37" s="260"/>
    </row>
    <row r="38" spans="1:76" s="256" customFormat="1" ht="22.5" customHeight="1">
      <c r="A38" s="286">
        <v>33</v>
      </c>
      <c r="B38" s="286"/>
      <c r="C38" s="286"/>
      <c r="D38" s="250"/>
      <c r="E38" s="251"/>
      <c r="F38" s="250"/>
      <c r="G38" s="250"/>
      <c r="H38" s="250"/>
      <c r="I38" s="250"/>
      <c r="J38" s="250"/>
      <c r="K38" s="252"/>
      <c r="L38" s="253"/>
      <c r="M38" s="250"/>
      <c r="N38" s="254"/>
      <c r="O38" s="254"/>
      <c r="P38" s="254"/>
      <c r="Q38" s="254"/>
      <c r="R38" s="253"/>
      <c r="S38" s="252"/>
      <c r="T38" s="252"/>
      <c r="U38" s="254"/>
      <c r="V38" s="273"/>
      <c r="W38" s="255"/>
      <c r="X38" s="255"/>
      <c r="Y38" s="255"/>
      <c r="Z38" s="255"/>
      <c r="AA38" s="255"/>
      <c r="AB38" s="257"/>
      <c r="AC38" s="257"/>
      <c r="AD38" s="257"/>
      <c r="AE38" s="257"/>
      <c r="AF38" s="257"/>
      <c r="AG38" s="257"/>
      <c r="AH38" s="257"/>
      <c r="AI38" s="94"/>
      <c r="AJ38" s="94">
        <f t="shared" ca="1" si="2"/>
        <v>0</v>
      </c>
      <c r="AK38" s="94">
        <f t="shared" ca="1" si="3"/>
        <v>0</v>
      </c>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row>
    <row r="39" spans="1:76" s="256" customFormat="1" ht="22.5" customHeight="1">
      <c r="A39" s="286">
        <v>34</v>
      </c>
      <c r="B39" s="286"/>
      <c r="C39" s="286"/>
      <c r="D39" s="250"/>
      <c r="E39" s="251"/>
      <c r="F39" s="250"/>
      <c r="G39" s="250"/>
      <c r="H39" s="250"/>
      <c r="I39" s="250"/>
      <c r="J39" s="250"/>
      <c r="K39" s="252"/>
      <c r="L39" s="253"/>
      <c r="M39" s="250"/>
      <c r="N39" s="254"/>
      <c r="O39" s="254"/>
      <c r="P39" s="254"/>
      <c r="Q39" s="254"/>
      <c r="R39" s="253"/>
      <c r="S39" s="252"/>
      <c r="T39" s="252"/>
      <c r="U39" s="254"/>
      <c r="V39" s="273"/>
      <c r="W39" s="255"/>
      <c r="X39" s="255"/>
      <c r="Y39" s="255"/>
      <c r="Z39" s="255"/>
      <c r="AA39" s="255"/>
      <c r="AB39" s="257"/>
      <c r="AC39" s="257"/>
      <c r="AD39" s="257"/>
      <c r="AE39" s="257"/>
      <c r="AF39" s="257"/>
      <c r="AG39" s="257"/>
      <c r="AH39" s="257"/>
      <c r="AI39" s="94"/>
      <c r="AJ39" s="94">
        <f t="shared" ca="1" si="2"/>
        <v>0</v>
      </c>
      <c r="AK39" s="94">
        <f t="shared" ca="1" si="3"/>
        <v>0</v>
      </c>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c r="BI39" s="260"/>
      <c r="BJ39" s="260"/>
      <c r="BK39" s="260"/>
      <c r="BL39" s="260"/>
      <c r="BM39" s="260"/>
      <c r="BN39" s="260"/>
      <c r="BO39" s="260"/>
      <c r="BP39" s="260"/>
      <c r="BQ39" s="260"/>
      <c r="BR39" s="260"/>
      <c r="BS39" s="260"/>
      <c r="BT39" s="260"/>
      <c r="BU39" s="260"/>
      <c r="BV39" s="260"/>
      <c r="BW39" s="260"/>
      <c r="BX39" s="260"/>
    </row>
    <row r="40" spans="1:76" s="256" customFormat="1" ht="22.5" customHeight="1">
      <c r="A40" s="286">
        <v>35</v>
      </c>
      <c r="B40" s="286"/>
      <c r="C40" s="286"/>
      <c r="D40" s="250"/>
      <c r="E40" s="251"/>
      <c r="F40" s="250"/>
      <c r="G40" s="250"/>
      <c r="H40" s="250"/>
      <c r="I40" s="250"/>
      <c r="J40" s="250"/>
      <c r="K40" s="252"/>
      <c r="L40" s="253"/>
      <c r="M40" s="250"/>
      <c r="N40" s="254"/>
      <c r="O40" s="254"/>
      <c r="P40" s="254"/>
      <c r="Q40" s="254"/>
      <c r="R40" s="253"/>
      <c r="S40" s="252"/>
      <c r="T40" s="252"/>
      <c r="U40" s="254"/>
      <c r="V40" s="273"/>
      <c r="W40" s="255"/>
      <c r="X40" s="255"/>
      <c r="Y40" s="255"/>
      <c r="Z40" s="255"/>
      <c r="AA40" s="255"/>
      <c r="AB40" s="257"/>
      <c r="AC40" s="257"/>
      <c r="AD40" s="257"/>
      <c r="AE40" s="257"/>
      <c r="AF40" s="257"/>
      <c r="AG40" s="257"/>
      <c r="AH40" s="257"/>
      <c r="AI40" s="94"/>
      <c r="AJ40" s="94">
        <f t="shared" ca="1" si="2"/>
        <v>0</v>
      </c>
      <c r="AK40" s="94">
        <f t="shared" ca="1" si="3"/>
        <v>0</v>
      </c>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row>
    <row r="41" spans="1:76" s="256" customFormat="1" ht="22.5" customHeight="1">
      <c r="A41" s="286">
        <v>36</v>
      </c>
      <c r="B41" s="286"/>
      <c r="C41" s="286"/>
      <c r="D41" s="250"/>
      <c r="E41" s="251"/>
      <c r="F41" s="250"/>
      <c r="G41" s="250"/>
      <c r="H41" s="250"/>
      <c r="I41" s="250"/>
      <c r="J41" s="250"/>
      <c r="K41" s="252"/>
      <c r="L41" s="253"/>
      <c r="M41" s="250"/>
      <c r="N41" s="254"/>
      <c r="O41" s="254"/>
      <c r="P41" s="254"/>
      <c r="Q41" s="254"/>
      <c r="R41" s="253"/>
      <c r="S41" s="252"/>
      <c r="T41" s="252"/>
      <c r="U41" s="254"/>
      <c r="V41" s="273"/>
      <c r="W41" s="255"/>
      <c r="X41" s="255"/>
      <c r="Y41" s="255"/>
      <c r="Z41" s="255"/>
      <c r="AA41" s="255"/>
      <c r="AB41" s="257"/>
      <c r="AC41" s="257"/>
      <c r="AD41" s="257"/>
      <c r="AE41" s="257"/>
      <c r="AF41" s="257"/>
      <c r="AG41" s="257"/>
      <c r="AH41" s="257"/>
      <c r="AI41" s="94"/>
      <c r="AJ41" s="94">
        <f t="shared" ca="1" si="2"/>
        <v>0</v>
      </c>
      <c r="AK41" s="94">
        <f t="shared" ca="1" si="3"/>
        <v>0</v>
      </c>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row>
    <row r="42" spans="1:76" s="256" customFormat="1" ht="22.5" customHeight="1">
      <c r="A42" s="286">
        <v>37</v>
      </c>
      <c r="B42" s="286"/>
      <c r="C42" s="286"/>
      <c r="D42" s="250"/>
      <c r="E42" s="251"/>
      <c r="F42" s="250"/>
      <c r="G42" s="250"/>
      <c r="H42" s="250"/>
      <c r="I42" s="250"/>
      <c r="J42" s="250"/>
      <c r="K42" s="252"/>
      <c r="L42" s="253"/>
      <c r="M42" s="250"/>
      <c r="N42" s="254"/>
      <c r="O42" s="254"/>
      <c r="P42" s="254"/>
      <c r="Q42" s="254"/>
      <c r="R42" s="253"/>
      <c r="S42" s="252"/>
      <c r="T42" s="252"/>
      <c r="U42" s="254"/>
      <c r="V42" s="273"/>
      <c r="W42" s="255"/>
      <c r="X42" s="255"/>
      <c r="Y42" s="255"/>
      <c r="Z42" s="255"/>
      <c r="AA42" s="255"/>
      <c r="AB42" s="257"/>
      <c r="AC42" s="257"/>
      <c r="AD42" s="257"/>
      <c r="AE42" s="257"/>
      <c r="AF42" s="257"/>
      <c r="AG42" s="257"/>
      <c r="AH42" s="257"/>
      <c r="AI42" s="94"/>
      <c r="AJ42" s="94">
        <f t="shared" ca="1" si="2"/>
        <v>0</v>
      </c>
      <c r="AK42" s="94">
        <f t="shared" ca="1" si="3"/>
        <v>0</v>
      </c>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c r="BI42" s="260"/>
      <c r="BJ42" s="260"/>
      <c r="BK42" s="260"/>
      <c r="BL42" s="260"/>
      <c r="BM42" s="260"/>
      <c r="BN42" s="260"/>
      <c r="BO42" s="260"/>
      <c r="BP42" s="260"/>
      <c r="BQ42" s="260"/>
      <c r="BR42" s="260"/>
      <c r="BS42" s="260"/>
      <c r="BT42" s="260"/>
      <c r="BU42" s="260"/>
      <c r="BV42" s="260"/>
      <c r="BW42" s="260"/>
      <c r="BX42" s="260"/>
    </row>
    <row r="43" spans="1:76" s="256" customFormat="1" ht="22.5" customHeight="1">
      <c r="A43" s="286">
        <v>38</v>
      </c>
      <c r="B43" s="286"/>
      <c r="C43" s="286"/>
      <c r="D43" s="250"/>
      <c r="E43" s="251"/>
      <c r="F43" s="250"/>
      <c r="G43" s="250"/>
      <c r="H43" s="250"/>
      <c r="I43" s="250"/>
      <c r="J43" s="250"/>
      <c r="K43" s="252"/>
      <c r="L43" s="253"/>
      <c r="M43" s="250"/>
      <c r="N43" s="254"/>
      <c r="O43" s="254"/>
      <c r="P43" s="254"/>
      <c r="Q43" s="254"/>
      <c r="R43" s="253"/>
      <c r="S43" s="252"/>
      <c r="T43" s="252"/>
      <c r="U43" s="254"/>
      <c r="V43" s="273"/>
      <c r="W43" s="255"/>
      <c r="X43" s="255"/>
      <c r="Y43" s="255"/>
      <c r="Z43" s="255"/>
      <c r="AA43" s="255"/>
      <c r="AB43" s="257"/>
      <c r="AC43" s="257"/>
      <c r="AD43" s="257"/>
      <c r="AE43" s="257"/>
      <c r="AF43" s="257"/>
      <c r="AG43" s="257"/>
      <c r="AH43" s="257"/>
      <c r="AI43" s="94"/>
      <c r="AJ43" s="94">
        <f t="shared" ca="1" si="2"/>
        <v>0</v>
      </c>
      <c r="AK43" s="94">
        <f t="shared" ca="1" si="3"/>
        <v>0</v>
      </c>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c r="BI43" s="260"/>
      <c r="BJ43" s="260"/>
      <c r="BK43" s="260"/>
      <c r="BL43" s="260"/>
      <c r="BM43" s="260"/>
      <c r="BN43" s="260"/>
      <c r="BO43" s="260"/>
      <c r="BP43" s="260"/>
      <c r="BQ43" s="260"/>
      <c r="BR43" s="260"/>
      <c r="BS43" s="260"/>
      <c r="BT43" s="260"/>
      <c r="BU43" s="260"/>
      <c r="BV43" s="260"/>
      <c r="BW43" s="260"/>
      <c r="BX43" s="260"/>
    </row>
    <row r="44" spans="1:76" s="256" customFormat="1" ht="22.5" customHeight="1">
      <c r="A44" s="286">
        <v>39</v>
      </c>
      <c r="B44" s="286"/>
      <c r="C44" s="286"/>
      <c r="D44" s="250"/>
      <c r="E44" s="251"/>
      <c r="F44" s="250"/>
      <c r="G44" s="250"/>
      <c r="H44" s="250"/>
      <c r="I44" s="250"/>
      <c r="J44" s="250"/>
      <c r="K44" s="252"/>
      <c r="L44" s="253"/>
      <c r="M44" s="250"/>
      <c r="N44" s="254"/>
      <c r="O44" s="254"/>
      <c r="P44" s="254"/>
      <c r="Q44" s="254"/>
      <c r="R44" s="253"/>
      <c r="S44" s="252"/>
      <c r="T44" s="252"/>
      <c r="U44" s="254"/>
      <c r="V44" s="273"/>
      <c r="W44" s="255"/>
      <c r="X44" s="255"/>
      <c r="Y44" s="255"/>
      <c r="Z44" s="255"/>
      <c r="AA44" s="255"/>
      <c r="AB44" s="257"/>
      <c r="AC44" s="257"/>
      <c r="AD44" s="257"/>
      <c r="AE44" s="257"/>
      <c r="AF44" s="257"/>
      <c r="AG44" s="257"/>
      <c r="AH44" s="257"/>
      <c r="AI44" s="94"/>
      <c r="AJ44" s="94">
        <f t="shared" ca="1" si="2"/>
        <v>0</v>
      </c>
      <c r="AK44" s="94">
        <f t="shared" ca="1" si="3"/>
        <v>0</v>
      </c>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row>
    <row r="45" spans="1:76" s="256" customFormat="1" ht="22.5" customHeight="1">
      <c r="A45" s="286">
        <v>40</v>
      </c>
      <c r="B45" s="286"/>
      <c r="C45" s="286"/>
      <c r="D45" s="250"/>
      <c r="E45" s="251"/>
      <c r="F45" s="250"/>
      <c r="G45" s="250"/>
      <c r="H45" s="250"/>
      <c r="I45" s="250"/>
      <c r="J45" s="250"/>
      <c r="K45" s="252"/>
      <c r="L45" s="253"/>
      <c r="M45" s="250"/>
      <c r="N45" s="254"/>
      <c r="O45" s="254"/>
      <c r="P45" s="254"/>
      <c r="Q45" s="254"/>
      <c r="R45" s="253"/>
      <c r="S45" s="252"/>
      <c r="T45" s="252"/>
      <c r="U45" s="254"/>
      <c r="V45" s="273"/>
      <c r="W45" s="255"/>
      <c r="X45" s="255"/>
      <c r="Y45" s="255"/>
      <c r="Z45" s="255"/>
      <c r="AA45" s="255"/>
      <c r="AB45" s="257"/>
      <c r="AC45" s="257"/>
      <c r="AD45" s="257"/>
      <c r="AE45" s="257"/>
      <c r="AF45" s="257"/>
      <c r="AG45" s="257"/>
      <c r="AH45" s="257"/>
      <c r="AI45" s="94"/>
      <c r="AJ45" s="94">
        <f t="shared" ca="1" si="2"/>
        <v>0</v>
      </c>
      <c r="AK45" s="94">
        <f t="shared" ca="1" si="3"/>
        <v>0</v>
      </c>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row>
    <row r="46" spans="1:76" s="256" customFormat="1" ht="22.5" customHeight="1">
      <c r="A46" s="286">
        <v>41</v>
      </c>
      <c r="B46" s="286"/>
      <c r="C46" s="286"/>
      <c r="D46" s="250"/>
      <c r="E46" s="251"/>
      <c r="F46" s="250"/>
      <c r="G46" s="250"/>
      <c r="H46" s="250"/>
      <c r="I46" s="250"/>
      <c r="J46" s="250"/>
      <c r="K46" s="252"/>
      <c r="L46" s="253"/>
      <c r="M46" s="250"/>
      <c r="N46" s="254"/>
      <c r="O46" s="254"/>
      <c r="P46" s="254"/>
      <c r="Q46" s="254"/>
      <c r="R46" s="253"/>
      <c r="S46" s="252"/>
      <c r="T46" s="252"/>
      <c r="U46" s="254"/>
      <c r="V46" s="273"/>
      <c r="W46" s="255"/>
      <c r="X46" s="255"/>
      <c r="Y46" s="255"/>
      <c r="Z46" s="255"/>
      <c r="AA46" s="255"/>
      <c r="AB46" s="257"/>
      <c r="AC46" s="257"/>
      <c r="AD46" s="257"/>
      <c r="AE46" s="257"/>
      <c r="AF46" s="257"/>
      <c r="AG46" s="257"/>
      <c r="AH46" s="257"/>
      <c r="AI46" s="94"/>
      <c r="AJ46" s="94">
        <f t="shared" ref="AJ46:AJ109" ca="1" si="4">IF(TRIM(K46)&lt;&gt;"",DATEDIF(K46,TODAY(),"y"),0)</f>
        <v>0</v>
      </c>
      <c r="AK46" s="94">
        <f t="shared" ref="AK46:AK109" ca="1" si="5">IF(TRIM(P46)&lt;&gt;"",DATEDIF(P46,TODAY(),"m"),0)</f>
        <v>0</v>
      </c>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c r="BI46" s="260"/>
      <c r="BJ46" s="260"/>
      <c r="BK46" s="260"/>
      <c r="BL46" s="260"/>
      <c r="BM46" s="260"/>
      <c r="BN46" s="260"/>
      <c r="BO46" s="260"/>
      <c r="BP46" s="260"/>
      <c r="BQ46" s="260"/>
      <c r="BR46" s="260"/>
      <c r="BS46" s="260"/>
      <c r="BT46" s="260"/>
      <c r="BU46" s="260"/>
      <c r="BV46" s="260"/>
      <c r="BW46" s="260"/>
      <c r="BX46" s="260"/>
    </row>
    <row r="47" spans="1:76" s="256" customFormat="1" ht="22.5" customHeight="1">
      <c r="A47" s="286">
        <v>42</v>
      </c>
      <c r="B47" s="286"/>
      <c r="C47" s="286"/>
      <c r="D47" s="250"/>
      <c r="E47" s="251"/>
      <c r="F47" s="250"/>
      <c r="G47" s="250"/>
      <c r="H47" s="250"/>
      <c r="I47" s="250"/>
      <c r="J47" s="250"/>
      <c r="K47" s="252"/>
      <c r="L47" s="253"/>
      <c r="M47" s="250"/>
      <c r="N47" s="254"/>
      <c r="O47" s="254"/>
      <c r="P47" s="254"/>
      <c r="Q47" s="254"/>
      <c r="R47" s="253"/>
      <c r="S47" s="252"/>
      <c r="T47" s="252"/>
      <c r="U47" s="254"/>
      <c r="V47" s="273"/>
      <c r="W47" s="255"/>
      <c r="X47" s="255"/>
      <c r="Y47" s="255"/>
      <c r="Z47" s="255"/>
      <c r="AA47" s="255"/>
      <c r="AB47" s="257"/>
      <c r="AC47" s="257"/>
      <c r="AD47" s="257"/>
      <c r="AE47" s="257"/>
      <c r="AF47" s="257"/>
      <c r="AG47" s="257"/>
      <c r="AH47" s="257"/>
      <c r="AI47" s="94"/>
      <c r="AJ47" s="94">
        <f t="shared" ca="1" si="4"/>
        <v>0</v>
      </c>
      <c r="AK47" s="94">
        <f t="shared" ca="1" si="5"/>
        <v>0</v>
      </c>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row>
    <row r="48" spans="1:76" s="256" customFormat="1" ht="22.5" customHeight="1">
      <c r="A48" s="286">
        <v>43</v>
      </c>
      <c r="B48" s="286"/>
      <c r="C48" s="286"/>
      <c r="D48" s="250"/>
      <c r="E48" s="251"/>
      <c r="F48" s="250"/>
      <c r="G48" s="250"/>
      <c r="H48" s="250"/>
      <c r="I48" s="250"/>
      <c r="J48" s="250"/>
      <c r="K48" s="252"/>
      <c r="L48" s="253"/>
      <c r="M48" s="250"/>
      <c r="N48" s="254"/>
      <c r="O48" s="254"/>
      <c r="P48" s="254"/>
      <c r="Q48" s="254"/>
      <c r="R48" s="253"/>
      <c r="S48" s="252"/>
      <c r="T48" s="252"/>
      <c r="U48" s="254"/>
      <c r="V48" s="273"/>
      <c r="W48" s="255"/>
      <c r="X48" s="255"/>
      <c r="Y48" s="255"/>
      <c r="Z48" s="255"/>
      <c r="AA48" s="255"/>
      <c r="AB48" s="257"/>
      <c r="AC48" s="257"/>
      <c r="AD48" s="257"/>
      <c r="AE48" s="257"/>
      <c r="AF48" s="257"/>
      <c r="AG48" s="257"/>
      <c r="AH48" s="257"/>
      <c r="AI48" s="94"/>
      <c r="AJ48" s="94">
        <f t="shared" ca="1" si="4"/>
        <v>0</v>
      </c>
      <c r="AK48" s="94">
        <f t="shared" ca="1" si="5"/>
        <v>0</v>
      </c>
      <c r="AL48" s="260"/>
      <c r="AM48" s="260"/>
      <c r="AN48" s="260"/>
      <c r="AO48" s="260"/>
      <c r="AP48" s="260"/>
      <c r="AQ48" s="260"/>
      <c r="AR48" s="260"/>
      <c r="AS48" s="260"/>
      <c r="AT48" s="260"/>
      <c r="AU48" s="260"/>
      <c r="AV48" s="260"/>
      <c r="AW48" s="260"/>
      <c r="AX48" s="260"/>
      <c r="AY48" s="260"/>
      <c r="AZ48" s="260"/>
      <c r="BA48" s="260"/>
      <c r="BB48" s="260"/>
      <c r="BC48" s="260"/>
      <c r="BD48" s="260"/>
      <c r="BE48" s="260"/>
      <c r="BF48" s="260"/>
      <c r="BG48" s="260"/>
      <c r="BH48" s="260"/>
      <c r="BI48" s="260"/>
      <c r="BJ48" s="260"/>
      <c r="BK48" s="260"/>
      <c r="BL48" s="260"/>
      <c r="BM48" s="260"/>
      <c r="BN48" s="260"/>
      <c r="BO48" s="260"/>
      <c r="BP48" s="260"/>
      <c r="BQ48" s="260"/>
      <c r="BR48" s="260"/>
      <c r="BS48" s="260"/>
      <c r="BT48" s="260"/>
      <c r="BU48" s="260"/>
      <c r="BV48" s="260"/>
      <c r="BW48" s="260"/>
      <c r="BX48" s="260"/>
    </row>
    <row r="49" spans="1:76" s="256" customFormat="1" ht="22.5" customHeight="1">
      <c r="A49" s="286">
        <v>44</v>
      </c>
      <c r="B49" s="286"/>
      <c r="C49" s="286"/>
      <c r="D49" s="250"/>
      <c r="E49" s="251"/>
      <c r="F49" s="250"/>
      <c r="G49" s="250"/>
      <c r="H49" s="250"/>
      <c r="I49" s="250"/>
      <c r="J49" s="250"/>
      <c r="K49" s="252"/>
      <c r="L49" s="253"/>
      <c r="M49" s="250"/>
      <c r="N49" s="254"/>
      <c r="O49" s="254"/>
      <c r="P49" s="254"/>
      <c r="Q49" s="254"/>
      <c r="R49" s="253"/>
      <c r="S49" s="252"/>
      <c r="T49" s="252"/>
      <c r="U49" s="254"/>
      <c r="V49" s="273"/>
      <c r="W49" s="255"/>
      <c r="X49" s="255"/>
      <c r="Y49" s="255"/>
      <c r="Z49" s="255"/>
      <c r="AA49" s="255"/>
      <c r="AB49" s="257"/>
      <c r="AC49" s="257"/>
      <c r="AD49" s="257"/>
      <c r="AE49" s="257"/>
      <c r="AF49" s="257"/>
      <c r="AG49" s="257"/>
      <c r="AH49" s="257"/>
      <c r="AI49" s="94"/>
      <c r="AJ49" s="94">
        <f t="shared" ca="1" si="4"/>
        <v>0</v>
      </c>
      <c r="AK49" s="94">
        <f t="shared" ca="1" si="5"/>
        <v>0</v>
      </c>
      <c r="AL49" s="260"/>
      <c r="AM49" s="260"/>
      <c r="AN49" s="260"/>
      <c r="AO49" s="260"/>
      <c r="AP49" s="260"/>
      <c r="AQ49" s="260"/>
      <c r="AR49" s="260"/>
      <c r="AS49" s="260"/>
      <c r="AT49" s="260"/>
      <c r="AU49" s="260"/>
      <c r="AV49" s="260"/>
      <c r="AW49" s="260"/>
      <c r="AX49" s="260"/>
      <c r="AY49" s="260"/>
      <c r="AZ49" s="260"/>
      <c r="BA49" s="260"/>
      <c r="BB49" s="260"/>
      <c r="BC49" s="260"/>
      <c r="BD49" s="260"/>
      <c r="BE49" s="260"/>
      <c r="BF49" s="260"/>
      <c r="BG49" s="260"/>
      <c r="BH49" s="260"/>
      <c r="BI49" s="260"/>
      <c r="BJ49" s="260"/>
      <c r="BK49" s="260"/>
      <c r="BL49" s="260"/>
      <c r="BM49" s="260"/>
      <c r="BN49" s="260"/>
      <c r="BO49" s="260"/>
      <c r="BP49" s="260"/>
      <c r="BQ49" s="260"/>
      <c r="BR49" s="260"/>
      <c r="BS49" s="260"/>
      <c r="BT49" s="260"/>
      <c r="BU49" s="260"/>
      <c r="BV49" s="260"/>
      <c r="BW49" s="260"/>
      <c r="BX49" s="260"/>
    </row>
    <row r="50" spans="1:76" s="256" customFormat="1" ht="22.5" customHeight="1">
      <c r="A50" s="286">
        <v>45</v>
      </c>
      <c r="B50" s="286"/>
      <c r="C50" s="286"/>
      <c r="D50" s="250"/>
      <c r="E50" s="251"/>
      <c r="F50" s="250"/>
      <c r="G50" s="250"/>
      <c r="H50" s="250"/>
      <c r="I50" s="250"/>
      <c r="J50" s="250"/>
      <c r="K50" s="252"/>
      <c r="L50" s="253"/>
      <c r="M50" s="250"/>
      <c r="N50" s="254"/>
      <c r="O50" s="254"/>
      <c r="P50" s="254"/>
      <c r="Q50" s="254"/>
      <c r="R50" s="253"/>
      <c r="S50" s="252"/>
      <c r="T50" s="252"/>
      <c r="U50" s="254"/>
      <c r="V50" s="273"/>
      <c r="W50" s="255"/>
      <c r="X50" s="255"/>
      <c r="Y50" s="255"/>
      <c r="Z50" s="255"/>
      <c r="AA50" s="255"/>
      <c r="AB50" s="257"/>
      <c r="AC50" s="257"/>
      <c r="AD50" s="257"/>
      <c r="AE50" s="257"/>
      <c r="AF50" s="257"/>
      <c r="AG50" s="257"/>
      <c r="AH50" s="257"/>
      <c r="AI50" s="94"/>
      <c r="AJ50" s="94">
        <f t="shared" ca="1" si="4"/>
        <v>0</v>
      </c>
      <c r="AK50" s="94">
        <f t="shared" ca="1" si="5"/>
        <v>0</v>
      </c>
      <c r="AL50" s="260"/>
      <c r="AM50" s="260"/>
      <c r="AN50" s="260"/>
      <c r="AO50" s="260"/>
      <c r="AP50" s="260"/>
      <c r="AQ50" s="260"/>
      <c r="AR50" s="260"/>
      <c r="AS50" s="260"/>
      <c r="AT50" s="260"/>
      <c r="AU50" s="260"/>
      <c r="AV50" s="260"/>
      <c r="AW50" s="260"/>
      <c r="AX50" s="260"/>
      <c r="AY50" s="260"/>
      <c r="AZ50" s="260"/>
      <c r="BA50" s="260"/>
      <c r="BB50" s="260"/>
      <c r="BC50" s="260"/>
      <c r="BD50" s="260"/>
      <c r="BE50" s="260"/>
      <c r="BF50" s="260"/>
      <c r="BG50" s="260"/>
      <c r="BH50" s="260"/>
      <c r="BI50" s="260"/>
      <c r="BJ50" s="260"/>
      <c r="BK50" s="260"/>
      <c r="BL50" s="260"/>
      <c r="BM50" s="260"/>
      <c r="BN50" s="260"/>
      <c r="BO50" s="260"/>
      <c r="BP50" s="260"/>
      <c r="BQ50" s="260"/>
      <c r="BR50" s="260"/>
      <c r="BS50" s="260"/>
      <c r="BT50" s="260"/>
      <c r="BU50" s="260"/>
      <c r="BV50" s="260"/>
      <c r="BW50" s="260"/>
      <c r="BX50" s="260"/>
    </row>
    <row r="51" spans="1:76" s="256" customFormat="1" ht="22.5" customHeight="1">
      <c r="A51" s="286">
        <v>46</v>
      </c>
      <c r="B51" s="286"/>
      <c r="C51" s="286"/>
      <c r="D51" s="250"/>
      <c r="E51" s="251"/>
      <c r="F51" s="250"/>
      <c r="G51" s="250"/>
      <c r="H51" s="250"/>
      <c r="I51" s="250"/>
      <c r="J51" s="250"/>
      <c r="K51" s="252"/>
      <c r="L51" s="253"/>
      <c r="M51" s="250"/>
      <c r="N51" s="254"/>
      <c r="O51" s="254"/>
      <c r="P51" s="254"/>
      <c r="Q51" s="254"/>
      <c r="R51" s="253"/>
      <c r="S51" s="252"/>
      <c r="T51" s="252"/>
      <c r="U51" s="254"/>
      <c r="V51" s="273"/>
      <c r="W51" s="255"/>
      <c r="X51" s="255"/>
      <c r="Y51" s="255"/>
      <c r="Z51" s="255"/>
      <c r="AA51" s="255"/>
      <c r="AB51" s="257"/>
      <c r="AC51" s="257"/>
      <c r="AD51" s="257"/>
      <c r="AE51" s="257"/>
      <c r="AF51" s="257"/>
      <c r="AG51" s="257"/>
      <c r="AH51" s="257"/>
      <c r="AI51" s="94"/>
      <c r="AJ51" s="94">
        <f t="shared" ca="1" si="4"/>
        <v>0</v>
      </c>
      <c r="AK51" s="94">
        <f t="shared" ca="1" si="5"/>
        <v>0</v>
      </c>
      <c r="AL51" s="260"/>
      <c r="AM51" s="260"/>
      <c r="AN51" s="260"/>
      <c r="AO51" s="260"/>
      <c r="AP51" s="260"/>
      <c r="AQ51" s="260"/>
      <c r="AR51" s="260"/>
      <c r="AS51" s="260"/>
      <c r="AT51" s="260"/>
      <c r="AU51" s="260"/>
      <c r="AV51" s="260"/>
      <c r="AW51" s="260"/>
      <c r="AX51" s="260"/>
      <c r="AY51" s="260"/>
      <c r="AZ51" s="260"/>
      <c r="BA51" s="260"/>
      <c r="BB51" s="260"/>
      <c r="BC51" s="260"/>
      <c r="BD51" s="260"/>
      <c r="BE51" s="260"/>
      <c r="BF51" s="260"/>
      <c r="BG51" s="260"/>
      <c r="BH51" s="260"/>
      <c r="BI51" s="260"/>
      <c r="BJ51" s="260"/>
      <c r="BK51" s="260"/>
      <c r="BL51" s="260"/>
      <c r="BM51" s="260"/>
      <c r="BN51" s="260"/>
      <c r="BO51" s="260"/>
      <c r="BP51" s="260"/>
      <c r="BQ51" s="260"/>
      <c r="BR51" s="260"/>
      <c r="BS51" s="260"/>
      <c r="BT51" s="260"/>
      <c r="BU51" s="260"/>
      <c r="BV51" s="260"/>
      <c r="BW51" s="260"/>
      <c r="BX51" s="260"/>
    </row>
    <row r="52" spans="1:76" s="256" customFormat="1" ht="22.5" customHeight="1">
      <c r="A52" s="286">
        <v>47</v>
      </c>
      <c r="B52" s="286"/>
      <c r="C52" s="286"/>
      <c r="D52" s="250"/>
      <c r="E52" s="251"/>
      <c r="F52" s="250"/>
      <c r="G52" s="250"/>
      <c r="H52" s="250"/>
      <c r="I52" s="250"/>
      <c r="J52" s="250"/>
      <c r="K52" s="252"/>
      <c r="L52" s="253"/>
      <c r="M52" s="250"/>
      <c r="N52" s="254"/>
      <c r="O52" s="254"/>
      <c r="P52" s="254"/>
      <c r="Q52" s="254"/>
      <c r="R52" s="253"/>
      <c r="S52" s="252"/>
      <c r="T52" s="252"/>
      <c r="U52" s="254"/>
      <c r="V52" s="273"/>
      <c r="W52" s="255"/>
      <c r="X52" s="255"/>
      <c r="Y52" s="255"/>
      <c r="Z52" s="255"/>
      <c r="AA52" s="255"/>
      <c r="AB52" s="257"/>
      <c r="AC52" s="257"/>
      <c r="AD52" s="257"/>
      <c r="AE52" s="257"/>
      <c r="AF52" s="257"/>
      <c r="AG52" s="257"/>
      <c r="AH52" s="257"/>
      <c r="AI52" s="94"/>
      <c r="AJ52" s="94">
        <f t="shared" ca="1" si="4"/>
        <v>0</v>
      </c>
      <c r="AK52" s="94">
        <f t="shared" ca="1" si="5"/>
        <v>0</v>
      </c>
      <c r="AL52" s="260"/>
      <c r="AM52" s="260"/>
      <c r="AN52" s="260"/>
      <c r="AO52" s="260"/>
      <c r="AP52" s="260"/>
      <c r="AQ52" s="260"/>
      <c r="AR52" s="260"/>
      <c r="AS52" s="260"/>
      <c r="AT52" s="260"/>
      <c r="AU52" s="260"/>
      <c r="AV52" s="260"/>
      <c r="AW52" s="260"/>
      <c r="AX52" s="260"/>
      <c r="AY52" s="260"/>
      <c r="AZ52" s="260"/>
      <c r="BA52" s="260"/>
      <c r="BB52" s="260"/>
      <c r="BC52" s="260"/>
      <c r="BD52" s="260"/>
      <c r="BE52" s="260"/>
      <c r="BF52" s="260"/>
      <c r="BG52" s="260"/>
      <c r="BH52" s="260"/>
      <c r="BI52" s="260"/>
      <c r="BJ52" s="260"/>
      <c r="BK52" s="260"/>
      <c r="BL52" s="260"/>
      <c r="BM52" s="260"/>
      <c r="BN52" s="260"/>
      <c r="BO52" s="260"/>
      <c r="BP52" s="260"/>
      <c r="BQ52" s="260"/>
      <c r="BR52" s="260"/>
      <c r="BS52" s="260"/>
      <c r="BT52" s="260"/>
      <c r="BU52" s="260"/>
      <c r="BV52" s="260"/>
      <c r="BW52" s="260"/>
      <c r="BX52" s="260"/>
    </row>
    <row r="53" spans="1:76" s="256" customFormat="1" ht="22.5" customHeight="1">
      <c r="A53" s="286">
        <v>48</v>
      </c>
      <c r="B53" s="286"/>
      <c r="C53" s="286"/>
      <c r="D53" s="250"/>
      <c r="E53" s="251"/>
      <c r="F53" s="250"/>
      <c r="G53" s="250"/>
      <c r="H53" s="250"/>
      <c r="I53" s="250"/>
      <c r="J53" s="250"/>
      <c r="K53" s="252"/>
      <c r="L53" s="253"/>
      <c r="M53" s="250"/>
      <c r="N53" s="254"/>
      <c r="O53" s="254"/>
      <c r="P53" s="254"/>
      <c r="Q53" s="254"/>
      <c r="R53" s="253"/>
      <c r="S53" s="252"/>
      <c r="T53" s="252"/>
      <c r="U53" s="254"/>
      <c r="V53" s="273"/>
      <c r="W53" s="255"/>
      <c r="X53" s="255"/>
      <c r="Y53" s="255"/>
      <c r="Z53" s="255"/>
      <c r="AA53" s="255"/>
      <c r="AB53" s="257"/>
      <c r="AC53" s="257"/>
      <c r="AD53" s="257"/>
      <c r="AE53" s="257"/>
      <c r="AF53" s="257"/>
      <c r="AG53" s="257"/>
      <c r="AH53" s="257"/>
      <c r="AI53" s="94"/>
      <c r="AJ53" s="94">
        <f t="shared" ca="1" si="4"/>
        <v>0</v>
      </c>
      <c r="AK53" s="94">
        <f t="shared" ca="1" si="5"/>
        <v>0</v>
      </c>
      <c r="AL53" s="260"/>
      <c r="AM53" s="260"/>
      <c r="AN53" s="260"/>
      <c r="AO53" s="260"/>
      <c r="AP53" s="260"/>
      <c r="AQ53" s="260"/>
      <c r="AR53" s="260"/>
      <c r="AS53" s="260"/>
      <c r="AT53" s="260"/>
      <c r="AU53" s="260"/>
      <c r="AV53" s="260"/>
      <c r="AW53" s="260"/>
      <c r="AX53" s="260"/>
      <c r="AY53" s="260"/>
      <c r="AZ53" s="260"/>
      <c r="BA53" s="260"/>
      <c r="BB53" s="260"/>
      <c r="BC53" s="260"/>
      <c r="BD53" s="260"/>
      <c r="BE53" s="260"/>
      <c r="BF53" s="260"/>
      <c r="BG53" s="260"/>
      <c r="BH53" s="260"/>
      <c r="BI53" s="260"/>
      <c r="BJ53" s="260"/>
      <c r="BK53" s="260"/>
      <c r="BL53" s="260"/>
      <c r="BM53" s="260"/>
      <c r="BN53" s="260"/>
      <c r="BO53" s="260"/>
      <c r="BP53" s="260"/>
      <c r="BQ53" s="260"/>
      <c r="BR53" s="260"/>
      <c r="BS53" s="260"/>
      <c r="BT53" s="260"/>
      <c r="BU53" s="260"/>
      <c r="BV53" s="260"/>
      <c r="BW53" s="260"/>
      <c r="BX53" s="260"/>
    </row>
    <row r="54" spans="1:76" s="256" customFormat="1" ht="22.5" customHeight="1">
      <c r="A54" s="286">
        <v>49</v>
      </c>
      <c r="B54" s="286"/>
      <c r="C54" s="286"/>
      <c r="D54" s="250"/>
      <c r="E54" s="251"/>
      <c r="F54" s="250"/>
      <c r="G54" s="250"/>
      <c r="H54" s="250"/>
      <c r="I54" s="250"/>
      <c r="J54" s="250"/>
      <c r="K54" s="252"/>
      <c r="L54" s="253"/>
      <c r="M54" s="250"/>
      <c r="N54" s="254"/>
      <c r="O54" s="254"/>
      <c r="P54" s="254"/>
      <c r="Q54" s="254"/>
      <c r="R54" s="253"/>
      <c r="S54" s="252"/>
      <c r="T54" s="252"/>
      <c r="U54" s="254"/>
      <c r="V54" s="273"/>
      <c r="W54" s="255"/>
      <c r="X54" s="255"/>
      <c r="Y54" s="255"/>
      <c r="Z54" s="255"/>
      <c r="AA54" s="255"/>
      <c r="AB54" s="257"/>
      <c r="AC54" s="257"/>
      <c r="AD54" s="257"/>
      <c r="AE54" s="257"/>
      <c r="AF54" s="257"/>
      <c r="AG54" s="257"/>
      <c r="AH54" s="257"/>
      <c r="AI54" s="94"/>
      <c r="AJ54" s="94">
        <f t="shared" ca="1" si="4"/>
        <v>0</v>
      </c>
      <c r="AK54" s="94">
        <f t="shared" ca="1" si="5"/>
        <v>0</v>
      </c>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260"/>
      <c r="BW54" s="260"/>
      <c r="BX54" s="260"/>
    </row>
    <row r="55" spans="1:76" s="256" customFormat="1" ht="22.5" customHeight="1">
      <c r="A55" s="286">
        <v>50</v>
      </c>
      <c r="B55" s="286"/>
      <c r="C55" s="286"/>
      <c r="D55" s="250"/>
      <c r="E55" s="251"/>
      <c r="F55" s="250"/>
      <c r="G55" s="250"/>
      <c r="H55" s="250"/>
      <c r="I55" s="250"/>
      <c r="J55" s="250"/>
      <c r="K55" s="252"/>
      <c r="L55" s="253"/>
      <c r="M55" s="250"/>
      <c r="N55" s="254"/>
      <c r="O55" s="254"/>
      <c r="P55" s="254"/>
      <c r="Q55" s="254"/>
      <c r="R55" s="253"/>
      <c r="S55" s="252"/>
      <c r="T55" s="252"/>
      <c r="U55" s="254"/>
      <c r="V55" s="273"/>
      <c r="W55" s="255"/>
      <c r="X55" s="255"/>
      <c r="Y55" s="255"/>
      <c r="Z55" s="255"/>
      <c r="AA55" s="255"/>
      <c r="AB55" s="257"/>
      <c r="AC55" s="257"/>
      <c r="AD55" s="257"/>
      <c r="AE55" s="257"/>
      <c r="AF55" s="257"/>
      <c r="AG55" s="257"/>
      <c r="AH55" s="257"/>
      <c r="AI55" s="94"/>
      <c r="AJ55" s="94">
        <f t="shared" ca="1" si="4"/>
        <v>0</v>
      </c>
      <c r="AK55" s="94">
        <f t="shared" ca="1" si="5"/>
        <v>0</v>
      </c>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260"/>
      <c r="BW55" s="260"/>
      <c r="BX55" s="260"/>
    </row>
    <row r="56" spans="1:76" s="256" customFormat="1" ht="22.5" customHeight="1">
      <c r="A56" s="286">
        <v>51</v>
      </c>
      <c r="B56" s="286"/>
      <c r="C56" s="286"/>
      <c r="D56" s="250"/>
      <c r="E56" s="251"/>
      <c r="F56" s="250"/>
      <c r="G56" s="250"/>
      <c r="H56" s="250"/>
      <c r="I56" s="250"/>
      <c r="J56" s="250"/>
      <c r="K56" s="252"/>
      <c r="L56" s="253"/>
      <c r="M56" s="250"/>
      <c r="N56" s="254"/>
      <c r="O56" s="254"/>
      <c r="P56" s="254"/>
      <c r="Q56" s="254"/>
      <c r="R56" s="253"/>
      <c r="S56" s="252"/>
      <c r="T56" s="252"/>
      <c r="U56" s="254"/>
      <c r="V56" s="273"/>
      <c r="W56" s="255"/>
      <c r="X56" s="255"/>
      <c r="Y56" s="255"/>
      <c r="Z56" s="255"/>
      <c r="AA56" s="255"/>
      <c r="AB56" s="257"/>
      <c r="AC56" s="257"/>
      <c r="AD56" s="257"/>
      <c r="AE56" s="257"/>
      <c r="AF56" s="257"/>
      <c r="AG56" s="257"/>
      <c r="AH56" s="257"/>
      <c r="AI56" s="94"/>
      <c r="AJ56" s="94">
        <f t="shared" ca="1" si="4"/>
        <v>0</v>
      </c>
      <c r="AK56" s="94">
        <f t="shared" ca="1" si="5"/>
        <v>0</v>
      </c>
      <c r="AL56" s="260"/>
      <c r="AM56" s="260"/>
      <c r="AN56" s="260"/>
      <c r="AO56" s="260"/>
      <c r="AP56" s="260"/>
      <c r="AQ56" s="260"/>
      <c r="AR56" s="260"/>
      <c r="AS56" s="260"/>
      <c r="AT56" s="260"/>
      <c r="AU56" s="260"/>
      <c r="AV56" s="260"/>
      <c r="AW56" s="260"/>
      <c r="AX56" s="260"/>
      <c r="AY56" s="260"/>
      <c r="AZ56" s="260"/>
      <c r="BA56" s="260"/>
      <c r="BB56" s="260"/>
      <c r="BC56" s="260"/>
      <c r="BD56" s="260"/>
      <c r="BE56" s="260"/>
      <c r="BF56" s="260"/>
      <c r="BG56" s="260"/>
      <c r="BH56" s="260"/>
      <c r="BI56" s="260"/>
      <c r="BJ56" s="260"/>
      <c r="BK56" s="260"/>
      <c r="BL56" s="260"/>
      <c r="BM56" s="260"/>
      <c r="BN56" s="260"/>
      <c r="BO56" s="260"/>
      <c r="BP56" s="260"/>
      <c r="BQ56" s="260"/>
      <c r="BR56" s="260"/>
      <c r="BS56" s="260"/>
      <c r="BT56" s="260"/>
      <c r="BU56" s="260"/>
      <c r="BV56" s="260"/>
      <c r="BW56" s="260"/>
      <c r="BX56" s="260"/>
    </row>
    <row r="57" spans="1:76" s="256" customFormat="1" ht="22.5" customHeight="1">
      <c r="A57" s="286">
        <v>52</v>
      </c>
      <c r="B57" s="286"/>
      <c r="C57" s="286"/>
      <c r="D57" s="250"/>
      <c r="E57" s="251"/>
      <c r="F57" s="250"/>
      <c r="G57" s="250"/>
      <c r="H57" s="250"/>
      <c r="I57" s="250"/>
      <c r="J57" s="250"/>
      <c r="K57" s="252"/>
      <c r="L57" s="253"/>
      <c r="M57" s="250"/>
      <c r="N57" s="254"/>
      <c r="O57" s="254"/>
      <c r="P57" s="254"/>
      <c r="Q57" s="254"/>
      <c r="R57" s="253"/>
      <c r="S57" s="252"/>
      <c r="T57" s="252"/>
      <c r="U57" s="254"/>
      <c r="V57" s="273"/>
      <c r="W57" s="255"/>
      <c r="X57" s="255"/>
      <c r="Y57" s="255"/>
      <c r="Z57" s="255"/>
      <c r="AA57" s="255"/>
      <c r="AB57" s="257"/>
      <c r="AC57" s="257"/>
      <c r="AD57" s="257"/>
      <c r="AE57" s="257"/>
      <c r="AF57" s="257"/>
      <c r="AG57" s="257"/>
      <c r="AH57" s="257"/>
      <c r="AI57" s="94"/>
      <c r="AJ57" s="94">
        <f t="shared" ca="1" si="4"/>
        <v>0</v>
      </c>
      <c r="AK57" s="94">
        <f t="shared" ca="1" si="5"/>
        <v>0</v>
      </c>
      <c r="AL57" s="260"/>
      <c r="AM57" s="260"/>
      <c r="AN57" s="260"/>
      <c r="AO57" s="260"/>
      <c r="AP57" s="260"/>
      <c r="AQ57" s="260"/>
      <c r="AR57" s="260"/>
      <c r="AS57" s="260"/>
      <c r="AT57" s="260"/>
      <c r="AU57" s="260"/>
      <c r="AV57" s="260"/>
      <c r="AW57" s="260"/>
      <c r="AX57" s="260"/>
      <c r="AY57" s="260"/>
      <c r="AZ57" s="260"/>
      <c r="BA57" s="260"/>
      <c r="BB57" s="260"/>
      <c r="BC57" s="260"/>
      <c r="BD57" s="260"/>
      <c r="BE57" s="260"/>
      <c r="BF57" s="260"/>
      <c r="BG57" s="260"/>
      <c r="BH57" s="260"/>
      <c r="BI57" s="260"/>
      <c r="BJ57" s="260"/>
      <c r="BK57" s="260"/>
      <c r="BL57" s="260"/>
      <c r="BM57" s="260"/>
      <c r="BN57" s="260"/>
      <c r="BO57" s="260"/>
      <c r="BP57" s="260"/>
      <c r="BQ57" s="260"/>
      <c r="BR57" s="260"/>
      <c r="BS57" s="260"/>
      <c r="BT57" s="260"/>
      <c r="BU57" s="260"/>
      <c r="BV57" s="260"/>
      <c r="BW57" s="260"/>
      <c r="BX57" s="260"/>
    </row>
    <row r="58" spans="1:76" s="256" customFormat="1" ht="22.5" customHeight="1">
      <c r="A58" s="286">
        <v>53</v>
      </c>
      <c r="B58" s="286"/>
      <c r="C58" s="286"/>
      <c r="D58" s="250"/>
      <c r="E58" s="251"/>
      <c r="F58" s="250"/>
      <c r="G58" s="250"/>
      <c r="H58" s="250"/>
      <c r="I58" s="250"/>
      <c r="J58" s="250"/>
      <c r="K58" s="252"/>
      <c r="L58" s="253"/>
      <c r="M58" s="250"/>
      <c r="N58" s="254"/>
      <c r="O58" s="254"/>
      <c r="P58" s="254"/>
      <c r="Q58" s="254"/>
      <c r="R58" s="253"/>
      <c r="S58" s="252"/>
      <c r="T58" s="252"/>
      <c r="U58" s="254"/>
      <c r="V58" s="273"/>
      <c r="W58" s="255"/>
      <c r="X58" s="255"/>
      <c r="Y58" s="255"/>
      <c r="Z58" s="255"/>
      <c r="AA58" s="255"/>
      <c r="AB58" s="257"/>
      <c r="AC58" s="257"/>
      <c r="AD58" s="257"/>
      <c r="AE58" s="257"/>
      <c r="AF58" s="257"/>
      <c r="AG58" s="257"/>
      <c r="AH58" s="257"/>
      <c r="AI58" s="94"/>
      <c r="AJ58" s="94">
        <f t="shared" ca="1" si="4"/>
        <v>0</v>
      </c>
      <c r="AK58" s="94">
        <f t="shared" ca="1" si="5"/>
        <v>0</v>
      </c>
      <c r="AL58" s="260"/>
      <c r="AM58" s="260"/>
      <c r="AN58" s="260"/>
      <c r="AO58" s="260"/>
      <c r="AP58" s="260"/>
      <c r="AQ58" s="260"/>
      <c r="AR58" s="260"/>
      <c r="AS58" s="260"/>
      <c r="AT58" s="260"/>
      <c r="AU58" s="260"/>
      <c r="AV58" s="260"/>
      <c r="AW58" s="260"/>
      <c r="AX58" s="260"/>
      <c r="AY58" s="260"/>
      <c r="AZ58" s="260"/>
      <c r="BA58" s="260"/>
      <c r="BB58" s="260"/>
      <c r="BC58" s="260"/>
      <c r="BD58" s="260"/>
      <c r="BE58" s="260"/>
      <c r="BF58" s="260"/>
      <c r="BG58" s="260"/>
      <c r="BH58" s="260"/>
      <c r="BI58" s="260"/>
      <c r="BJ58" s="260"/>
      <c r="BK58" s="260"/>
      <c r="BL58" s="260"/>
      <c r="BM58" s="260"/>
      <c r="BN58" s="260"/>
      <c r="BO58" s="260"/>
      <c r="BP58" s="260"/>
      <c r="BQ58" s="260"/>
      <c r="BR58" s="260"/>
      <c r="BS58" s="260"/>
      <c r="BT58" s="260"/>
      <c r="BU58" s="260"/>
      <c r="BV58" s="260"/>
      <c r="BW58" s="260"/>
      <c r="BX58" s="260"/>
    </row>
    <row r="59" spans="1:76" s="256" customFormat="1" ht="22.5" customHeight="1">
      <c r="A59" s="286">
        <v>54</v>
      </c>
      <c r="B59" s="286"/>
      <c r="C59" s="286"/>
      <c r="D59" s="250"/>
      <c r="E59" s="251"/>
      <c r="F59" s="250"/>
      <c r="G59" s="250"/>
      <c r="H59" s="250"/>
      <c r="I59" s="250"/>
      <c r="J59" s="250"/>
      <c r="K59" s="252"/>
      <c r="L59" s="253"/>
      <c r="M59" s="250"/>
      <c r="N59" s="254"/>
      <c r="O59" s="254"/>
      <c r="P59" s="254"/>
      <c r="Q59" s="254"/>
      <c r="R59" s="253"/>
      <c r="S59" s="252"/>
      <c r="T59" s="252"/>
      <c r="U59" s="254"/>
      <c r="V59" s="273"/>
      <c r="W59" s="255"/>
      <c r="X59" s="255"/>
      <c r="Y59" s="255"/>
      <c r="Z59" s="255"/>
      <c r="AA59" s="255"/>
      <c r="AB59" s="257"/>
      <c r="AC59" s="257"/>
      <c r="AD59" s="257"/>
      <c r="AE59" s="257"/>
      <c r="AF59" s="257"/>
      <c r="AG59" s="257"/>
      <c r="AH59" s="257"/>
      <c r="AI59" s="94"/>
      <c r="AJ59" s="94">
        <f t="shared" ca="1" si="4"/>
        <v>0</v>
      </c>
      <c r="AK59" s="94">
        <f t="shared" ca="1" si="5"/>
        <v>0</v>
      </c>
      <c r="AL59" s="260"/>
      <c r="AM59" s="260"/>
      <c r="AN59" s="260"/>
      <c r="AO59" s="260"/>
      <c r="AP59" s="260"/>
      <c r="AQ59" s="260"/>
      <c r="AR59" s="260"/>
      <c r="AS59" s="260"/>
      <c r="AT59" s="260"/>
      <c r="AU59" s="260"/>
      <c r="AV59" s="260"/>
      <c r="AW59" s="260"/>
      <c r="AX59" s="260"/>
      <c r="AY59" s="260"/>
      <c r="AZ59" s="260"/>
      <c r="BA59" s="260"/>
      <c r="BB59" s="260"/>
      <c r="BC59" s="260"/>
      <c r="BD59" s="260"/>
      <c r="BE59" s="260"/>
      <c r="BF59" s="260"/>
      <c r="BG59" s="260"/>
      <c r="BH59" s="260"/>
      <c r="BI59" s="260"/>
      <c r="BJ59" s="260"/>
      <c r="BK59" s="260"/>
      <c r="BL59" s="260"/>
      <c r="BM59" s="260"/>
      <c r="BN59" s="260"/>
      <c r="BO59" s="260"/>
      <c r="BP59" s="260"/>
      <c r="BQ59" s="260"/>
      <c r="BR59" s="260"/>
      <c r="BS59" s="260"/>
      <c r="BT59" s="260"/>
      <c r="BU59" s="260"/>
      <c r="BV59" s="260"/>
      <c r="BW59" s="260"/>
      <c r="BX59" s="260"/>
    </row>
    <row r="60" spans="1:76" s="256" customFormat="1" ht="22.5" customHeight="1">
      <c r="A60" s="286">
        <v>55</v>
      </c>
      <c r="B60" s="286"/>
      <c r="C60" s="286"/>
      <c r="D60" s="250"/>
      <c r="E60" s="251"/>
      <c r="F60" s="250"/>
      <c r="G60" s="250"/>
      <c r="H60" s="250"/>
      <c r="I60" s="250"/>
      <c r="J60" s="250"/>
      <c r="K60" s="252"/>
      <c r="L60" s="253"/>
      <c r="M60" s="250"/>
      <c r="N60" s="254"/>
      <c r="O60" s="254"/>
      <c r="P60" s="254"/>
      <c r="Q60" s="254"/>
      <c r="R60" s="253"/>
      <c r="S60" s="252"/>
      <c r="T60" s="252"/>
      <c r="U60" s="254"/>
      <c r="V60" s="273"/>
      <c r="W60" s="255"/>
      <c r="X60" s="255"/>
      <c r="Y60" s="255"/>
      <c r="Z60" s="255"/>
      <c r="AA60" s="255"/>
      <c r="AB60" s="257"/>
      <c r="AC60" s="257"/>
      <c r="AD60" s="257"/>
      <c r="AE60" s="257"/>
      <c r="AF60" s="257"/>
      <c r="AG60" s="257"/>
      <c r="AH60" s="257"/>
      <c r="AI60" s="94"/>
      <c r="AJ60" s="94">
        <f t="shared" ca="1" si="4"/>
        <v>0</v>
      </c>
      <c r="AK60" s="94">
        <f t="shared" ca="1" si="5"/>
        <v>0</v>
      </c>
      <c r="AL60" s="260"/>
      <c r="AM60" s="260"/>
      <c r="AN60" s="260"/>
      <c r="AO60" s="260"/>
      <c r="AP60" s="260"/>
      <c r="AQ60" s="260"/>
      <c r="AR60" s="260"/>
      <c r="AS60" s="260"/>
      <c r="AT60" s="260"/>
      <c r="AU60" s="260"/>
      <c r="AV60" s="260"/>
      <c r="AW60" s="260"/>
      <c r="AX60" s="260"/>
      <c r="AY60" s="260"/>
      <c r="AZ60" s="260"/>
      <c r="BA60" s="260"/>
      <c r="BB60" s="260"/>
      <c r="BC60" s="260"/>
      <c r="BD60" s="260"/>
      <c r="BE60" s="260"/>
      <c r="BF60" s="260"/>
      <c r="BG60" s="260"/>
      <c r="BH60" s="260"/>
      <c r="BI60" s="260"/>
      <c r="BJ60" s="260"/>
      <c r="BK60" s="260"/>
      <c r="BL60" s="260"/>
      <c r="BM60" s="260"/>
      <c r="BN60" s="260"/>
      <c r="BO60" s="260"/>
      <c r="BP60" s="260"/>
      <c r="BQ60" s="260"/>
      <c r="BR60" s="260"/>
      <c r="BS60" s="260"/>
      <c r="BT60" s="260"/>
      <c r="BU60" s="260"/>
      <c r="BV60" s="260"/>
      <c r="BW60" s="260"/>
      <c r="BX60" s="260"/>
    </row>
    <row r="61" spans="1:76" s="256" customFormat="1" ht="22.5" customHeight="1">
      <c r="A61" s="286">
        <v>56</v>
      </c>
      <c r="B61" s="286"/>
      <c r="C61" s="286"/>
      <c r="D61" s="250"/>
      <c r="E61" s="251"/>
      <c r="F61" s="250"/>
      <c r="G61" s="250"/>
      <c r="H61" s="250"/>
      <c r="I61" s="250"/>
      <c r="J61" s="250"/>
      <c r="K61" s="252"/>
      <c r="L61" s="253"/>
      <c r="M61" s="250"/>
      <c r="N61" s="254"/>
      <c r="O61" s="254"/>
      <c r="P61" s="254"/>
      <c r="Q61" s="254"/>
      <c r="R61" s="253"/>
      <c r="S61" s="252"/>
      <c r="T61" s="252"/>
      <c r="U61" s="254"/>
      <c r="V61" s="273"/>
      <c r="W61" s="255"/>
      <c r="X61" s="255"/>
      <c r="Y61" s="255"/>
      <c r="Z61" s="255"/>
      <c r="AA61" s="255"/>
      <c r="AB61" s="257"/>
      <c r="AC61" s="257"/>
      <c r="AD61" s="257"/>
      <c r="AE61" s="257"/>
      <c r="AF61" s="257"/>
      <c r="AG61" s="257"/>
      <c r="AH61" s="257"/>
      <c r="AI61" s="94"/>
      <c r="AJ61" s="94">
        <f t="shared" ca="1" si="4"/>
        <v>0</v>
      </c>
      <c r="AK61" s="94">
        <f t="shared" ca="1" si="5"/>
        <v>0</v>
      </c>
      <c r="AL61" s="260"/>
      <c r="AM61" s="260"/>
      <c r="AN61" s="260"/>
      <c r="AO61" s="260"/>
      <c r="AP61" s="260"/>
      <c r="AQ61" s="260"/>
      <c r="AR61" s="260"/>
      <c r="AS61" s="260"/>
      <c r="AT61" s="260"/>
      <c r="AU61" s="260"/>
      <c r="AV61" s="260"/>
      <c r="AW61" s="260"/>
      <c r="AX61" s="260"/>
      <c r="AY61" s="260"/>
      <c r="AZ61" s="260"/>
      <c r="BA61" s="260"/>
      <c r="BB61" s="260"/>
      <c r="BC61" s="260"/>
      <c r="BD61" s="260"/>
      <c r="BE61" s="260"/>
      <c r="BF61" s="260"/>
      <c r="BG61" s="260"/>
      <c r="BH61" s="260"/>
      <c r="BI61" s="260"/>
      <c r="BJ61" s="260"/>
      <c r="BK61" s="260"/>
      <c r="BL61" s="260"/>
      <c r="BM61" s="260"/>
      <c r="BN61" s="260"/>
      <c r="BO61" s="260"/>
      <c r="BP61" s="260"/>
      <c r="BQ61" s="260"/>
      <c r="BR61" s="260"/>
      <c r="BS61" s="260"/>
      <c r="BT61" s="260"/>
      <c r="BU61" s="260"/>
      <c r="BV61" s="260"/>
      <c r="BW61" s="260"/>
      <c r="BX61" s="260"/>
    </row>
    <row r="62" spans="1:76" s="256" customFormat="1" ht="22.5" customHeight="1">
      <c r="A62" s="286">
        <v>57</v>
      </c>
      <c r="B62" s="286"/>
      <c r="C62" s="286"/>
      <c r="D62" s="250"/>
      <c r="E62" s="251"/>
      <c r="F62" s="250"/>
      <c r="G62" s="250"/>
      <c r="H62" s="250"/>
      <c r="I62" s="250"/>
      <c r="J62" s="250"/>
      <c r="K62" s="252"/>
      <c r="L62" s="253"/>
      <c r="M62" s="250"/>
      <c r="N62" s="254"/>
      <c r="O62" s="254"/>
      <c r="P62" s="254"/>
      <c r="Q62" s="254"/>
      <c r="R62" s="253"/>
      <c r="S62" s="252"/>
      <c r="T62" s="252"/>
      <c r="U62" s="254"/>
      <c r="V62" s="273"/>
      <c r="W62" s="255"/>
      <c r="X62" s="255"/>
      <c r="Y62" s="255"/>
      <c r="Z62" s="255"/>
      <c r="AA62" s="255"/>
      <c r="AB62" s="257"/>
      <c r="AC62" s="257"/>
      <c r="AD62" s="257"/>
      <c r="AE62" s="257"/>
      <c r="AF62" s="257"/>
      <c r="AG62" s="257"/>
      <c r="AH62" s="257"/>
      <c r="AI62" s="94"/>
      <c r="AJ62" s="94">
        <f t="shared" ca="1" si="4"/>
        <v>0</v>
      </c>
      <c r="AK62" s="94">
        <f t="shared" ca="1" si="5"/>
        <v>0</v>
      </c>
      <c r="AL62" s="260"/>
      <c r="AM62" s="260"/>
      <c r="AN62" s="260"/>
      <c r="AO62" s="260"/>
      <c r="AP62" s="260"/>
      <c r="AQ62" s="260"/>
      <c r="AR62" s="260"/>
      <c r="AS62" s="260"/>
      <c r="AT62" s="260"/>
      <c r="AU62" s="260"/>
      <c r="AV62" s="260"/>
      <c r="AW62" s="260"/>
      <c r="AX62" s="260"/>
      <c r="AY62" s="260"/>
      <c r="AZ62" s="260"/>
      <c r="BA62" s="260"/>
      <c r="BB62" s="260"/>
      <c r="BC62" s="260"/>
      <c r="BD62" s="260"/>
      <c r="BE62" s="260"/>
      <c r="BF62" s="260"/>
      <c r="BG62" s="260"/>
      <c r="BH62" s="260"/>
      <c r="BI62" s="260"/>
      <c r="BJ62" s="260"/>
      <c r="BK62" s="260"/>
      <c r="BL62" s="260"/>
      <c r="BM62" s="260"/>
      <c r="BN62" s="260"/>
      <c r="BO62" s="260"/>
      <c r="BP62" s="260"/>
      <c r="BQ62" s="260"/>
      <c r="BR62" s="260"/>
      <c r="BS62" s="260"/>
      <c r="BT62" s="260"/>
      <c r="BU62" s="260"/>
      <c r="BV62" s="260"/>
      <c r="BW62" s="260"/>
      <c r="BX62" s="260"/>
    </row>
    <row r="63" spans="1:76" s="256" customFormat="1" ht="22.5" customHeight="1">
      <c r="A63" s="286">
        <v>58</v>
      </c>
      <c r="B63" s="286"/>
      <c r="C63" s="286"/>
      <c r="D63" s="250"/>
      <c r="E63" s="251"/>
      <c r="F63" s="250"/>
      <c r="G63" s="250"/>
      <c r="H63" s="250"/>
      <c r="I63" s="250"/>
      <c r="J63" s="250"/>
      <c r="K63" s="252"/>
      <c r="L63" s="253"/>
      <c r="M63" s="250"/>
      <c r="N63" s="254"/>
      <c r="O63" s="254"/>
      <c r="P63" s="254"/>
      <c r="Q63" s="254"/>
      <c r="R63" s="253"/>
      <c r="S63" s="252"/>
      <c r="T63" s="252"/>
      <c r="U63" s="254"/>
      <c r="V63" s="273"/>
      <c r="W63" s="255"/>
      <c r="X63" s="255"/>
      <c r="Y63" s="255"/>
      <c r="Z63" s="255"/>
      <c r="AA63" s="255"/>
      <c r="AB63" s="257"/>
      <c r="AC63" s="257"/>
      <c r="AD63" s="257"/>
      <c r="AE63" s="257"/>
      <c r="AF63" s="257"/>
      <c r="AG63" s="257"/>
      <c r="AH63" s="257"/>
      <c r="AI63" s="94"/>
      <c r="AJ63" s="94">
        <f t="shared" ca="1" si="4"/>
        <v>0</v>
      </c>
      <c r="AK63" s="94">
        <f t="shared" ca="1" si="5"/>
        <v>0</v>
      </c>
      <c r="AL63" s="260"/>
      <c r="AM63" s="260"/>
      <c r="AN63" s="260"/>
      <c r="AO63" s="260"/>
      <c r="AP63" s="260"/>
      <c r="AQ63" s="260"/>
      <c r="AR63" s="260"/>
      <c r="AS63" s="260"/>
      <c r="AT63" s="260"/>
      <c r="AU63" s="260"/>
      <c r="AV63" s="260"/>
      <c r="AW63" s="260"/>
      <c r="AX63" s="260"/>
      <c r="AY63" s="260"/>
      <c r="AZ63" s="260"/>
      <c r="BA63" s="260"/>
      <c r="BB63" s="260"/>
      <c r="BC63" s="260"/>
      <c r="BD63" s="260"/>
      <c r="BE63" s="260"/>
      <c r="BF63" s="260"/>
      <c r="BG63" s="260"/>
      <c r="BH63" s="260"/>
      <c r="BI63" s="260"/>
      <c r="BJ63" s="260"/>
      <c r="BK63" s="260"/>
      <c r="BL63" s="260"/>
      <c r="BM63" s="260"/>
      <c r="BN63" s="260"/>
      <c r="BO63" s="260"/>
      <c r="BP63" s="260"/>
      <c r="BQ63" s="260"/>
      <c r="BR63" s="260"/>
      <c r="BS63" s="260"/>
      <c r="BT63" s="260"/>
      <c r="BU63" s="260"/>
      <c r="BV63" s="260"/>
      <c r="BW63" s="260"/>
      <c r="BX63" s="260"/>
    </row>
    <row r="64" spans="1:76" s="256" customFormat="1" ht="22.5" customHeight="1">
      <c r="A64" s="286">
        <v>59</v>
      </c>
      <c r="B64" s="286"/>
      <c r="C64" s="286"/>
      <c r="D64" s="250"/>
      <c r="E64" s="251"/>
      <c r="F64" s="250"/>
      <c r="G64" s="250"/>
      <c r="H64" s="250"/>
      <c r="I64" s="250"/>
      <c r="J64" s="250"/>
      <c r="K64" s="252"/>
      <c r="L64" s="253"/>
      <c r="M64" s="250"/>
      <c r="N64" s="254"/>
      <c r="O64" s="254"/>
      <c r="P64" s="254"/>
      <c r="Q64" s="254"/>
      <c r="R64" s="253"/>
      <c r="S64" s="252"/>
      <c r="T64" s="252"/>
      <c r="U64" s="254"/>
      <c r="V64" s="273"/>
      <c r="W64" s="255"/>
      <c r="X64" s="255"/>
      <c r="Y64" s="255"/>
      <c r="Z64" s="255"/>
      <c r="AA64" s="255"/>
      <c r="AB64" s="257"/>
      <c r="AC64" s="257"/>
      <c r="AD64" s="257"/>
      <c r="AE64" s="257"/>
      <c r="AF64" s="257"/>
      <c r="AG64" s="257"/>
      <c r="AH64" s="257"/>
      <c r="AI64" s="94"/>
      <c r="AJ64" s="94">
        <f t="shared" ca="1" si="4"/>
        <v>0</v>
      </c>
      <c r="AK64" s="94">
        <f t="shared" ca="1" si="5"/>
        <v>0</v>
      </c>
      <c r="AL64" s="260"/>
      <c r="AM64" s="260"/>
      <c r="AN64" s="260"/>
      <c r="AO64" s="260"/>
      <c r="AP64" s="260"/>
      <c r="AQ64" s="260"/>
      <c r="AR64" s="260"/>
      <c r="AS64" s="260"/>
      <c r="AT64" s="260"/>
      <c r="AU64" s="260"/>
      <c r="AV64" s="260"/>
      <c r="AW64" s="260"/>
      <c r="AX64" s="260"/>
      <c r="AY64" s="260"/>
      <c r="AZ64" s="260"/>
      <c r="BA64" s="260"/>
      <c r="BB64" s="260"/>
      <c r="BC64" s="260"/>
      <c r="BD64" s="260"/>
      <c r="BE64" s="260"/>
      <c r="BF64" s="260"/>
      <c r="BG64" s="260"/>
      <c r="BH64" s="260"/>
      <c r="BI64" s="260"/>
      <c r="BJ64" s="260"/>
      <c r="BK64" s="260"/>
      <c r="BL64" s="260"/>
      <c r="BM64" s="260"/>
      <c r="BN64" s="260"/>
      <c r="BO64" s="260"/>
      <c r="BP64" s="260"/>
      <c r="BQ64" s="260"/>
      <c r="BR64" s="260"/>
      <c r="BS64" s="260"/>
      <c r="BT64" s="260"/>
      <c r="BU64" s="260"/>
      <c r="BV64" s="260"/>
      <c r="BW64" s="260"/>
      <c r="BX64" s="260"/>
    </row>
    <row r="65" spans="1:76" s="256" customFormat="1" ht="22.5" customHeight="1">
      <c r="A65" s="286">
        <v>60</v>
      </c>
      <c r="B65" s="286"/>
      <c r="C65" s="286"/>
      <c r="D65" s="250"/>
      <c r="E65" s="251"/>
      <c r="F65" s="250"/>
      <c r="G65" s="250"/>
      <c r="H65" s="250"/>
      <c r="I65" s="250"/>
      <c r="J65" s="250"/>
      <c r="K65" s="252"/>
      <c r="L65" s="253"/>
      <c r="M65" s="250"/>
      <c r="N65" s="254"/>
      <c r="O65" s="254"/>
      <c r="P65" s="254"/>
      <c r="Q65" s="254"/>
      <c r="R65" s="253"/>
      <c r="S65" s="252"/>
      <c r="T65" s="252"/>
      <c r="U65" s="254"/>
      <c r="V65" s="273"/>
      <c r="W65" s="255"/>
      <c r="X65" s="255"/>
      <c r="Y65" s="255"/>
      <c r="Z65" s="255"/>
      <c r="AA65" s="255"/>
      <c r="AB65" s="257"/>
      <c r="AC65" s="257"/>
      <c r="AD65" s="257"/>
      <c r="AE65" s="257"/>
      <c r="AF65" s="257"/>
      <c r="AG65" s="257"/>
      <c r="AH65" s="257"/>
      <c r="AI65" s="94"/>
      <c r="AJ65" s="94">
        <f t="shared" ca="1" si="4"/>
        <v>0</v>
      </c>
      <c r="AK65" s="94">
        <f t="shared" ca="1" si="5"/>
        <v>0</v>
      </c>
      <c r="AL65" s="260"/>
      <c r="AM65" s="260"/>
      <c r="AN65" s="260"/>
      <c r="AO65" s="260"/>
      <c r="AP65" s="260"/>
      <c r="AQ65" s="260"/>
      <c r="AR65" s="260"/>
      <c r="AS65" s="260"/>
      <c r="AT65" s="260"/>
      <c r="AU65" s="260"/>
      <c r="AV65" s="260"/>
      <c r="AW65" s="260"/>
      <c r="AX65" s="260"/>
      <c r="AY65" s="260"/>
      <c r="AZ65" s="260"/>
      <c r="BA65" s="260"/>
      <c r="BB65" s="260"/>
      <c r="BC65" s="260"/>
      <c r="BD65" s="260"/>
      <c r="BE65" s="260"/>
      <c r="BF65" s="260"/>
      <c r="BG65" s="260"/>
      <c r="BH65" s="260"/>
      <c r="BI65" s="260"/>
      <c r="BJ65" s="260"/>
      <c r="BK65" s="260"/>
      <c r="BL65" s="260"/>
      <c r="BM65" s="260"/>
      <c r="BN65" s="260"/>
      <c r="BO65" s="260"/>
      <c r="BP65" s="260"/>
      <c r="BQ65" s="260"/>
      <c r="BR65" s="260"/>
      <c r="BS65" s="260"/>
      <c r="BT65" s="260"/>
      <c r="BU65" s="260"/>
      <c r="BV65" s="260"/>
      <c r="BW65" s="260"/>
      <c r="BX65" s="260"/>
    </row>
    <row r="66" spans="1:76" s="256" customFormat="1" ht="22.5" customHeight="1">
      <c r="A66" s="286">
        <v>61</v>
      </c>
      <c r="B66" s="286"/>
      <c r="C66" s="286"/>
      <c r="D66" s="250"/>
      <c r="E66" s="251"/>
      <c r="F66" s="250"/>
      <c r="G66" s="250"/>
      <c r="H66" s="250"/>
      <c r="I66" s="250"/>
      <c r="J66" s="250"/>
      <c r="K66" s="252"/>
      <c r="L66" s="253"/>
      <c r="M66" s="250"/>
      <c r="N66" s="254"/>
      <c r="O66" s="254"/>
      <c r="P66" s="254"/>
      <c r="Q66" s="254"/>
      <c r="R66" s="253"/>
      <c r="S66" s="252"/>
      <c r="T66" s="252"/>
      <c r="U66" s="254"/>
      <c r="V66" s="273"/>
      <c r="W66" s="255"/>
      <c r="X66" s="255"/>
      <c r="Y66" s="255"/>
      <c r="Z66" s="255"/>
      <c r="AA66" s="255"/>
      <c r="AB66" s="257"/>
      <c r="AC66" s="257"/>
      <c r="AD66" s="257"/>
      <c r="AE66" s="257"/>
      <c r="AF66" s="257"/>
      <c r="AG66" s="257"/>
      <c r="AH66" s="257"/>
      <c r="AI66" s="94"/>
      <c r="AJ66" s="94">
        <f t="shared" ca="1" si="4"/>
        <v>0</v>
      </c>
      <c r="AK66" s="94">
        <f t="shared" ca="1" si="5"/>
        <v>0</v>
      </c>
      <c r="AL66" s="260"/>
      <c r="AM66" s="260"/>
      <c r="AN66" s="260"/>
      <c r="AO66" s="260"/>
      <c r="AP66" s="260"/>
      <c r="AQ66" s="260"/>
      <c r="AR66" s="260"/>
      <c r="AS66" s="260"/>
      <c r="AT66" s="260"/>
      <c r="AU66" s="260"/>
      <c r="AV66" s="260"/>
      <c r="AW66" s="260"/>
      <c r="AX66" s="260"/>
      <c r="AY66" s="260"/>
      <c r="AZ66" s="260"/>
      <c r="BA66" s="260"/>
      <c r="BB66" s="260"/>
      <c r="BC66" s="260"/>
      <c r="BD66" s="260"/>
      <c r="BE66" s="260"/>
      <c r="BF66" s="260"/>
      <c r="BG66" s="260"/>
      <c r="BH66" s="260"/>
      <c r="BI66" s="260"/>
      <c r="BJ66" s="260"/>
      <c r="BK66" s="260"/>
      <c r="BL66" s="260"/>
      <c r="BM66" s="260"/>
      <c r="BN66" s="260"/>
      <c r="BO66" s="260"/>
      <c r="BP66" s="260"/>
      <c r="BQ66" s="260"/>
      <c r="BR66" s="260"/>
      <c r="BS66" s="260"/>
      <c r="BT66" s="260"/>
      <c r="BU66" s="260"/>
      <c r="BV66" s="260"/>
      <c r="BW66" s="260"/>
      <c r="BX66" s="260"/>
    </row>
    <row r="67" spans="1:76" s="256" customFormat="1" ht="22.5" customHeight="1">
      <c r="A67" s="286">
        <v>62</v>
      </c>
      <c r="B67" s="286"/>
      <c r="C67" s="286"/>
      <c r="D67" s="250"/>
      <c r="E67" s="251"/>
      <c r="F67" s="250"/>
      <c r="G67" s="250"/>
      <c r="H67" s="250"/>
      <c r="I67" s="250"/>
      <c r="J67" s="250"/>
      <c r="K67" s="252"/>
      <c r="L67" s="253"/>
      <c r="M67" s="250"/>
      <c r="N67" s="254"/>
      <c r="O67" s="254"/>
      <c r="P67" s="254"/>
      <c r="Q67" s="254"/>
      <c r="R67" s="253"/>
      <c r="S67" s="252"/>
      <c r="T67" s="252"/>
      <c r="U67" s="254"/>
      <c r="V67" s="273"/>
      <c r="W67" s="255"/>
      <c r="X67" s="255"/>
      <c r="Y67" s="255"/>
      <c r="Z67" s="255"/>
      <c r="AA67" s="255"/>
      <c r="AB67" s="257"/>
      <c r="AC67" s="257"/>
      <c r="AD67" s="257"/>
      <c r="AE67" s="257"/>
      <c r="AF67" s="257"/>
      <c r="AG67" s="257"/>
      <c r="AH67" s="257"/>
      <c r="AI67" s="94"/>
      <c r="AJ67" s="94">
        <f t="shared" ca="1" si="4"/>
        <v>0</v>
      </c>
      <c r="AK67" s="94">
        <f t="shared" ca="1" si="5"/>
        <v>0</v>
      </c>
      <c r="AL67" s="260"/>
      <c r="AM67" s="260"/>
      <c r="AN67" s="260"/>
      <c r="AO67" s="260"/>
      <c r="AP67" s="260"/>
      <c r="AQ67" s="260"/>
      <c r="AR67" s="260"/>
      <c r="AS67" s="260"/>
      <c r="AT67" s="260"/>
      <c r="AU67" s="260"/>
      <c r="AV67" s="260"/>
      <c r="AW67" s="260"/>
      <c r="AX67" s="260"/>
      <c r="AY67" s="260"/>
      <c r="AZ67" s="260"/>
      <c r="BA67" s="260"/>
      <c r="BB67" s="260"/>
      <c r="BC67" s="260"/>
      <c r="BD67" s="260"/>
      <c r="BE67" s="260"/>
      <c r="BF67" s="260"/>
      <c r="BG67" s="260"/>
      <c r="BH67" s="260"/>
      <c r="BI67" s="260"/>
      <c r="BJ67" s="260"/>
      <c r="BK67" s="260"/>
      <c r="BL67" s="260"/>
      <c r="BM67" s="260"/>
      <c r="BN67" s="260"/>
      <c r="BO67" s="260"/>
      <c r="BP67" s="260"/>
      <c r="BQ67" s="260"/>
      <c r="BR67" s="260"/>
      <c r="BS67" s="260"/>
      <c r="BT67" s="260"/>
      <c r="BU67" s="260"/>
      <c r="BV67" s="260"/>
      <c r="BW67" s="260"/>
      <c r="BX67" s="260"/>
    </row>
    <row r="68" spans="1:76" s="256" customFormat="1" ht="22.5" customHeight="1">
      <c r="A68" s="286">
        <v>63</v>
      </c>
      <c r="B68" s="286"/>
      <c r="C68" s="286"/>
      <c r="D68" s="250"/>
      <c r="E68" s="251"/>
      <c r="F68" s="250"/>
      <c r="G68" s="250"/>
      <c r="H68" s="250"/>
      <c r="I68" s="250"/>
      <c r="J68" s="250"/>
      <c r="K68" s="252"/>
      <c r="L68" s="253"/>
      <c r="M68" s="250"/>
      <c r="N68" s="254"/>
      <c r="O68" s="254"/>
      <c r="P68" s="254"/>
      <c r="Q68" s="254"/>
      <c r="R68" s="253"/>
      <c r="S68" s="252"/>
      <c r="T68" s="252"/>
      <c r="U68" s="254"/>
      <c r="V68" s="273"/>
      <c r="W68" s="255"/>
      <c r="X68" s="255"/>
      <c r="Y68" s="255"/>
      <c r="Z68" s="255"/>
      <c r="AA68" s="255"/>
      <c r="AB68" s="257"/>
      <c r="AC68" s="257"/>
      <c r="AD68" s="257"/>
      <c r="AE68" s="257"/>
      <c r="AF68" s="257"/>
      <c r="AG68" s="257"/>
      <c r="AH68" s="257"/>
      <c r="AI68" s="94"/>
      <c r="AJ68" s="94">
        <f t="shared" ca="1" si="4"/>
        <v>0</v>
      </c>
      <c r="AK68" s="94">
        <f t="shared" ca="1" si="5"/>
        <v>0</v>
      </c>
      <c r="AL68" s="260"/>
      <c r="AM68" s="260"/>
      <c r="AN68" s="260"/>
      <c r="AO68" s="260"/>
      <c r="AP68" s="260"/>
      <c r="AQ68" s="260"/>
      <c r="AR68" s="260"/>
      <c r="AS68" s="260"/>
      <c r="AT68" s="260"/>
      <c r="AU68" s="260"/>
      <c r="AV68" s="260"/>
      <c r="AW68" s="260"/>
      <c r="AX68" s="260"/>
      <c r="AY68" s="260"/>
      <c r="AZ68" s="260"/>
      <c r="BA68" s="260"/>
      <c r="BB68" s="260"/>
      <c r="BC68" s="260"/>
      <c r="BD68" s="260"/>
      <c r="BE68" s="260"/>
      <c r="BF68" s="260"/>
      <c r="BG68" s="260"/>
      <c r="BH68" s="260"/>
      <c r="BI68" s="260"/>
      <c r="BJ68" s="260"/>
      <c r="BK68" s="260"/>
      <c r="BL68" s="260"/>
      <c r="BM68" s="260"/>
      <c r="BN68" s="260"/>
      <c r="BO68" s="260"/>
      <c r="BP68" s="260"/>
      <c r="BQ68" s="260"/>
      <c r="BR68" s="260"/>
      <c r="BS68" s="260"/>
      <c r="BT68" s="260"/>
      <c r="BU68" s="260"/>
      <c r="BV68" s="260"/>
      <c r="BW68" s="260"/>
      <c r="BX68" s="260"/>
    </row>
    <row r="69" spans="1:76" s="256" customFormat="1" ht="22.5" customHeight="1">
      <c r="A69" s="286">
        <v>64</v>
      </c>
      <c r="B69" s="286"/>
      <c r="C69" s="286"/>
      <c r="D69" s="250"/>
      <c r="E69" s="251"/>
      <c r="F69" s="250"/>
      <c r="G69" s="250"/>
      <c r="H69" s="250"/>
      <c r="I69" s="250"/>
      <c r="J69" s="250"/>
      <c r="K69" s="252"/>
      <c r="L69" s="253"/>
      <c r="M69" s="250"/>
      <c r="N69" s="254"/>
      <c r="O69" s="254"/>
      <c r="P69" s="254"/>
      <c r="Q69" s="254"/>
      <c r="R69" s="253"/>
      <c r="S69" s="252"/>
      <c r="T69" s="252"/>
      <c r="U69" s="254"/>
      <c r="V69" s="273"/>
      <c r="W69" s="255"/>
      <c r="X69" s="255"/>
      <c r="Y69" s="255"/>
      <c r="Z69" s="255"/>
      <c r="AA69" s="255"/>
      <c r="AB69" s="257"/>
      <c r="AC69" s="257"/>
      <c r="AD69" s="257"/>
      <c r="AE69" s="257"/>
      <c r="AF69" s="257"/>
      <c r="AG69" s="257"/>
      <c r="AH69" s="257"/>
      <c r="AI69" s="94"/>
      <c r="AJ69" s="94">
        <f t="shared" ca="1" si="4"/>
        <v>0</v>
      </c>
      <c r="AK69" s="94">
        <f t="shared" ca="1" si="5"/>
        <v>0</v>
      </c>
      <c r="AL69" s="260"/>
      <c r="AM69" s="260"/>
      <c r="AN69" s="260"/>
      <c r="AO69" s="260"/>
      <c r="AP69" s="260"/>
      <c r="AQ69" s="260"/>
      <c r="AR69" s="260"/>
      <c r="AS69" s="260"/>
      <c r="AT69" s="260"/>
      <c r="AU69" s="260"/>
      <c r="AV69" s="260"/>
      <c r="AW69" s="260"/>
      <c r="AX69" s="260"/>
      <c r="AY69" s="260"/>
      <c r="AZ69" s="260"/>
      <c r="BA69" s="260"/>
      <c r="BB69" s="260"/>
      <c r="BC69" s="260"/>
      <c r="BD69" s="260"/>
      <c r="BE69" s="260"/>
      <c r="BF69" s="260"/>
      <c r="BG69" s="260"/>
      <c r="BH69" s="260"/>
      <c r="BI69" s="260"/>
      <c r="BJ69" s="260"/>
      <c r="BK69" s="260"/>
      <c r="BL69" s="260"/>
      <c r="BM69" s="260"/>
      <c r="BN69" s="260"/>
      <c r="BO69" s="260"/>
      <c r="BP69" s="260"/>
      <c r="BQ69" s="260"/>
      <c r="BR69" s="260"/>
      <c r="BS69" s="260"/>
      <c r="BT69" s="260"/>
      <c r="BU69" s="260"/>
      <c r="BV69" s="260"/>
      <c r="BW69" s="260"/>
      <c r="BX69" s="260"/>
    </row>
    <row r="70" spans="1:76" s="256" customFormat="1" ht="22.5" customHeight="1">
      <c r="A70" s="286">
        <v>65</v>
      </c>
      <c r="B70" s="286"/>
      <c r="C70" s="286"/>
      <c r="D70" s="250"/>
      <c r="E70" s="251"/>
      <c r="F70" s="250"/>
      <c r="G70" s="250"/>
      <c r="H70" s="250"/>
      <c r="I70" s="250"/>
      <c r="J70" s="250"/>
      <c r="K70" s="252"/>
      <c r="L70" s="253"/>
      <c r="M70" s="250"/>
      <c r="N70" s="254"/>
      <c r="O70" s="254"/>
      <c r="P70" s="254"/>
      <c r="Q70" s="254"/>
      <c r="R70" s="253"/>
      <c r="S70" s="252"/>
      <c r="T70" s="252"/>
      <c r="U70" s="254"/>
      <c r="V70" s="273"/>
      <c r="W70" s="255"/>
      <c r="X70" s="255"/>
      <c r="Y70" s="255"/>
      <c r="Z70" s="255"/>
      <c r="AA70" s="255"/>
      <c r="AB70" s="257"/>
      <c r="AC70" s="257"/>
      <c r="AD70" s="257"/>
      <c r="AE70" s="257"/>
      <c r="AF70" s="257"/>
      <c r="AG70" s="257"/>
      <c r="AH70" s="257"/>
      <c r="AI70" s="94"/>
      <c r="AJ70" s="94">
        <f t="shared" ca="1" si="4"/>
        <v>0</v>
      </c>
      <c r="AK70" s="94">
        <f t="shared" ca="1" si="5"/>
        <v>0</v>
      </c>
      <c r="AL70" s="260"/>
      <c r="AM70" s="260"/>
      <c r="AN70" s="260"/>
      <c r="AO70" s="260"/>
      <c r="AP70" s="260"/>
      <c r="AQ70" s="260"/>
      <c r="AR70" s="260"/>
      <c r="AS70" s="260"/>
      <c r="AT70" s="260"/>
      <c r="AU70" s="260"/>
      <c r="AV70" s="260"/>
      <c r="AW70" s="260"/>
      <c r="AX70" s="260"/>
      <c r="AY70" s="260"/>
      <c r="AZ70" s="260"/>
      <c r="BA70" s="260"/>
      <c r="BB70" s="260"/>
      <c r="BC70" s="260"/>
      <c r="BD70" s="260"/>
      <c r="BE70" s="260"/>
      <c r="BF70" s="260"/>
      <c r="BG70" s="260"/>
      <c r="BH70" s="260"/>
      <c r="BI70" s="260"/>
      <c r="BJ70" s="260"/>
      <c r="BK70" s="260"/>
      <c r="BL70" s="260"/>
      <c r="BM70" s="260"/>
      <c r="BN70" s="260"/>
      <c r="BO70" s="260"/>
      <c r="BP70" s="260"/>
      <c r="BQ70" s="260"/>
      <c r="BR70" s="260"/>
      <c r="BS70" s="260"/>
      <c r="BT70" s="260"/>
      <c r="BU70" s="260"/>
      <c r="BV70" s="260"/>
      <c r="BW70" s="260"/>
      <c r="BX70" s="260"/>
    </row>
    <row r="71" spans="1:76" s="256" customFormat="1" ht="22.5" customHeight="1">
      <c r="A71" s="286">
        <v>66</v>
      </c>
      <c r="B71" s="286"/>
      <c r="C71" s="286"/>
      <c r="D71" s="250"/>
      <c r="E71" s="251"/>
      <c r="F71" s="250"/>
      <c r="G71" s="250"/>
      <c r="H71" s="250"/>
      <c r="I71" s="250"/>
      <c r="J71" s="250"/>
      <c r="K71" s="252"/>
      <c r="L71" s="253"/>
      <c r="M71" s="250"/>
      <c r="N71" s="254"/>
      <c r="O71" s="254"/>
      <c r="P71" s="254"/>
      <c r="Q71" s="254"/>
      <c r="R71" s="253"/>
      <c r="S71" s="252"/>
      <c r="T71" s="252"/>
      <c r="U71" s="254"/>
      <c r="V71" s="273"/>
      <c r="W71" s="255"/>
      <c r="X71" s="255"/>
      <c r="Y71" s="255"/>
      <c r="Z71" s="255"/>
      <c r="AA71" s="255"/>
      <c r="AB71" s="257"/>
      <c r="AC71" s="257"/>
      <c r="AD71" s="257"/>
      <c r="AE71" s="257"/>
      <c r="AF71" s="257"/>
      <c r="AG71" s="257"/>
      <c r="AH71" s="257"/>
      <c r="AI71" s="94"/>
      <c r="AJ71" s="94">
        <f t="shared" ca="1" si="4"/>
        <v>0</v>
      </c>
      <c r="AK71" s="94">
        <f t="shared" ca="1" si="5"/>
        <v>0</v>
      </c>
      <c r="AL71" s="260"/>
      <c r="AM71" s="260"/>
      <c r="AN71" s="260"/>
      <c r="AO71" s="260"/>
      <c r="AP71" s="260"/>
      <c r="AQ71" s="260"/>
      <c r="AR71" s="260"/>
      <c r="AS71" s="260"/>
      <c r="AT71" s="260"/>
      <c r="AU71" s="260"/>
      <c r="AV71" s="260"/>
      <c r="AW71" s="260"/>
      <c r="AX71" s="260"/>
      <c r="AY71" s="260"/>
      <c r="AZ71" s="260"/>
      <c r="BA71" s="260"/>
      <c r="BB71" s="260"/>
      <c r="BC71" s="260"/>
      <c r="BD71" s="260"/>
      <c r="BE71" s="260"/>
      <c r="BF71" s="260"/>
      <c r="BG71" s="260"/>
      <c r="BH71" s="260"/>
      <c r="BI71" s="260"/>
      <c r="BJ71" s="260"/>
      <c r="BK71" s="260"/>
      <c r="BL71" s="260"/>
      <c r="BM71" s="260"/>
      <c r="BN71" s="260"/>
      <c r="BO71" s="260"/>
      <c r="BP71" s="260"/>
      <c r="BQ71" s="260"/>
      <c r="BR71" s="260"/>
      <c r="BS71" s="260"/>
      <c r="BT71" s="260"/>
      <c r="BU71" s="260"/>
      <c r="BV71" s="260"/>
      <c r="BW71" s="260"/>
      <c r="BX71" s="260"/>
    </row>
    <row r="72" spans="1:76" s="256" customFormat="1" ht="22.5" customHeight="1">
      <c r="A72" s="286">
        <v>67</v>
      </c>
      <c r="B72" s="286"/>
      <c r="C72" s="286"/>
      <c r="D72" s="250"/>
      <c r="E72" s="251"/>
      <c r="F72" s="250"/>
      <c r="G72" s="250"/>
      <c r="H72" s="250"/>
      <c r="I72" s="250"/>
      <c r="J72" s="250"/>
      <c r="K72" s="252"/>
      <c r="L72" s="253"/>
      <c r="M72" s="250"/>
      <c r="N72" s="254"/>
      <c r="O72" s="254"/>
      <c r="P72" s="254"/>
      <c r="Q72" s="254"/>
      <c r="R72" s="253"/>
      <c r="S72" s="252"/>
      <c r="T72" s="252"/>
      <c r="U72" s="254"/>
      <c r="V72" s="273"/>
      <c r="W72" s="255"/>
      <c r="X72" s="255"/>
      <c r="Y72" s="255"/>
      <c r="Z72" s="255"/>
      <c r="AA72" s="255"/>
      <c r="AB72" s="257"/>
      <c r="AC72" s="257"/>
      <c r="AD72" s="257"/>
      <c r="AE72" s="257"/>
      <c r="AF72" s="257"/>
      <c r="AG72" s="257"/>
      <c r="AH72" s="257"/>
      <c r="AI72" s="94"/>
      <c r="AJ72" s="94">
        <f t="shared" ca="1" si="4"/>
        <v>0</v>
      </c>
      <c r="AK72" s="94">
        <f t="shared" ca="1" si="5"/>
        <v>0</v>
      </c>
      <c r="AL72" s="260"/>
      <c r="AM72" s="260"/>
      <c r="AN72" s="260"/>
      <c r="AO72" s="260"/>
      <c r="AP72" s="260"/>
      <c r="AQ72" s="260"/>
      <c r="AR72" s="260"/>
      <c r="AS72" s="260"/>
      <c r="AT72" s="260"/>
      <c r="AU72" s="260"/>
      <c r="AV72" s="260"/>
      <c r="AW72" s="260"/>
      <c r="AX72" s="260"/>
      <c r="AY72" s="260"/>
      <c r="AZ72" s="260"/>
      <c r="BA72" s="260"/>
      <c r="BB72" s="260"/>
      <c r="BC72" s="260"/>
      <c r="BD72" s="260"/>
      <c r="BE72" s="260"/>
      <c r="BF72" s="260"/>
      <c r="BG72" s="260"/>
      <c r="BH72" s="260"/>
      <c r="BI72" s="260"/>
      <c r="BJ72" s="260"/>
      <c r="BK72" s="260"/>
      <c r="BL72" s="260"/>
      <c r="BM72" s="260"/>
      <c r="BN72" s="260"/>
      <c r="BO72" s="260"/>
      <c r="BP72" s="260"/>
      <c r="BQ72" s="260"/>
      <c r="BR72" s="260"/>
      <c r="BS72" s="260"/>
      <c r="BT72" s="260"/>
      <c r="BU72" s="260"/>
      <c r="BV72" s="260"/>
      <c r="BW72" s="260"/>
      <c r="BX72" s="260"/>
    </row>
    <row r="73" spans="1:76" s="256" customFormat="1" ht="22.5" customHeight="1">
      <c r="A73" s="286">
        <v>68</v>
      </c>
      <c r="B73" s="286"/>
      <c r="C73" s="286"/>
      <c r="D73" s="250"/>
      <c r="E73" s="251"/>
      <c r="F73" s="250"/>
      <c r="G73" s="250"/>
      <c r="H73" s="250"/>
      <c r="I73" s="250"/>
      <c r="J73" s="250"/>
      <c r="K73" s="252"/>
      <c r="L73" s="253"/>
      <c r="M73" s="250"/>
      <c r="N73" s="254"/>
      <c r="O73" s="254"/>
      <c r="P73" s="254"/>
      <c r="Q73" s="254"/>
      <c r="R73" s="253"/>
      <c r="S73" s="252"/>
      <c r="T73" s="252"/>
      <c r="U73" s="254"/>
      <c r="V73" s="273"/>
      <c r="W73" s="255"/>
      <c r="X73" s="255"/>
      <c r="Y73" s="255"/>
      <c r="Z73" s="255"/>
      <c r="AA73" s="255"/>
      <c r="AB73" s="257"/>
      <c r="AC73" s="257"/>
      <c r="AD73" s="257"/>
      <c r="AE73" s="257"/>
      <c r="AF73" s="257"/>
      <c r="AG73" s="257"/>
      <c r="AH73" s="257"/>
      <c r="AI73" s="94"/>
      <c r="AJ73" s="94">
        <f t="shared" ca="1" si="4"/>
        <v>0</v>
      </c>
      <c r="AK73" s="94">
        <f t="shared" ca="1" si="5"/>
        <v>0</v>
      </c>
      <c r="AL73" s="260"/>
      <c r="AM73" s="260"/>
      <c r="AN73" s="260"/>
      <c r="AO73" s="260"/>
      <c r="AP73" s="260"/>
      <c r="AQ73" s="260"/>
      <c r="AR73" s="260"/>
      <c r="AS73" s="260"/>
      <c r="AT73" s="260"/>
      <c r="AU73" s="260"/>
      <c r="AV73" s="260"/>
      <c r="AW73" s="260"/>
      <c r="AX73" s="260"/>
      <c r="AY73" s="260"/>
      <c r="AZ73" s="260"/>
      <c r="BA73" s="260"/>
      <c r="BB73" s="260"/>
      <c r="BC73" s="260"/>
      <c r="BD73" s="260"/>
      <c r="BE73" s="260"/>
      <c r="BF73" s="260"/>
      <c r="BG73" s="260"/>
      <c r="BH73" s="260"/>
      <c r="BI73" s="260"/>
      <c r="BJ73" s="260"/>
      <c r="BK73" s="260"/>
      <c r="BL73" s="260"/>
      <c r="BM73" s="260"/>
      <c r="BN73" s="260"/>
      <c r="BO73" s="260"/>
      <c r="BP73" s="260"/>
      <c r="BQ73" s="260"/>
      <c r="BR73" s="260"/>
      <c r="BS73" s="260"/>
      <c r="BT73" s="260"/>
      <c r="BU73" s="260"/>
      <c r="BV73" s="260"/>
      <c r="BW73" s="260"/>
      <c r="BX73" s="260"/>
    </row>
    <row r="74" spans="1:76" s="256" customFormat="1" ht="22.5" customHeight="1">
      <c r="A74" s="286">
        <v>69</v>
      </c>
      <c r="B74" s="286"/>
      <c r="C74" s="286"/>
      <c r="D74" s="250"/>
      <c r="E74" s="251"/>
      <c r="F74" s="250"/>
      <c r="G74" s="250"/>
      <c r="H74" s="250"/>
      <c r="I74" s="250"/>
      <c r="J74" s="250"/>
      <c r="K74" s="252"/>
      <c r="L74" s="253"/>
      <c r="M74" s="250"/>
      <c r="N74" s="254"/>
      <c r="O74" s="254"/>
      <c r="P74" s="254"/>
      <c r="Q74" s="254"/>
      <c r="R74" s="253"/>
      <c r="S74" s="252"/>
      <c r="T74" s="252"/>
      <c r="U74" s="254"/>
      <c r="V74" s="273"/>
      <c r="W74" s="255"/>
      <c r="X74" s="255"/>
      <c r="Y74" s="255"/>
      <c r="Z74" s="255"/>
      <c r="AA74" s="255"/>
      <c r="AB74" s="257"/>
      <c r="AC74" s="257"/>
      <c r="AD74" s="257"/>
      <c r="AE74" s="257"/>
      <c r="AF74" s="257"/>
      <c r="AG74" s="257"/>
      <c r="AH74" s="257"/>
      <c r="AI74" s="94"/>
      <c r="AJ74" s="94">
        <f t="shared" ca="1" si="4"/>
        <v>0</v>
      </c>
      <c r="AK74" s="94">
        <f t="shared" ca="1" si="5"/>
        <v>0</v>
      </c>
      <c r="AL74" s="260"/>
      <c r="AM74" s="260"/>
      <c r="AN74" s="260"/>
      <c r="AO74" s="260"/>
      <c r="AP74" s="260"/>
      <c r="AQ74" s="260"/>
      <c r="AR74" s="260"/>
      <c r="AS74" s="260"/>
      <c r="AT74" s="260"/>
      <c r="AU74" s="260"/>
      <c r="AV74" s="260"/>
      <c r="AW74" s="260"/>
      <c r="AX74" s="260"/>
      <c r="AY74" s="260"/>
      <c r="AZ74" s="260"/>
      <c r="BA74" s="260"/>
      <c r="BB74" s="260"/>
      <c r="BC74" s="260"/>
      <c r="BD74" s="260"/>
      <c r="BE74" s="260"/>
      <c r="BF74" s="260"/>
      <c r="BG74" s="260"/>
      <c r="BH74" s="260"/>
      <c r="BI74" s="260"/>
      <c r="BJ74" s="260"/>
      <c r="BK74" s="260"/>
      <c r="BL74" s="260"/>
      <c r="BM74" s="260"/>
      <c r="BN74" s="260"/>
      <c r="BO74" s="260"/>
      <c r="BP74" s="260"/>
      <c r="BQ74" s="260"/>
      <c r="BR74" s="260"/>
      <c r="BS74" s="260"/>
      <c r="BT74" s="260"/>
      <c r="BU74" s="260"/>
      <c r="BV74" s="260"/>
      <c r="BW74" s="260"/>
      <c r="BX74" s="260"/>
    </row>
    <row r="75" spans="1:76" s="256" customFormat="1" ht="22.5" customHeight="1">
      <c r="A75" s="286">
        <v>70</v>
      </c>
      <c r="B75" s="286"/>
      <c r="C75" s="286"/>
      <c r="D75" s="250"/>
      <c r="E75" s="251"/>
      <c r="F75" s="250"/>
      <c r="G75" s="250"/>
      <c r="H75" s="250"/>
      <c r="I75" s="250"/>
      <c r="J75" s="250"/>
      <c r="K75" s="252"/>
      <c r="L75" s="253"/>
      <c r="M75" s="250"/>
      <c r="N75" s="254"/>
      <c r="O75" s="254"/>
      <c r="P75" s="254"/>
      <c r="Q75" s="254"/>
      <c r="R75" s="253"/>
      <c r="S75" s="252"/>
      <c r="T75" s="252"/>
      <c r="U75" s="254"/>
      <c r="V75" s="273"/>
      <c r="W75" s="255"/>
      <c r="X75" s="255"/>
      <c r="Y75" s="255"/>
      <c r="Z75" s="255"/>
      <c r="AA75" s="255"/>
      <c r="AB75" s="257"/>
      <c r="AC75" s="257"/>
      <c r="AD75" s="257"/>
      <c r="AE75" s="257"/>
      <c r="AF75" s="257"/>
      <c r="AG75" s="257"/>
      <c r="AH75" s="257"/>
      <c r="AI75" s="94"/>
      <c r="AJ75" s="94">
        <f t="shared" ca="1" si="4"/>
        <v>0</v>
      </c>
      <c r="AK75" s="94">
        <f t="shared" ca="1" si="5"/>
        <v>0</v>
      </c>
      <c r="AL75" s="260"/>
      <c r="AM75" s="260"/>
      <c r="AN75" s="260"/>
      <c r="AO75" s="260"/>
      <c r="AP75" s="260"/>
      <c r="AQ75" s="260"/>
      <c r="AR75" s="260"/>
      <c r="AS75" s="260"/>
      <c r="AT75" s="260"/>
      <c r="AU75" s="260"/>
      <c r="AV75" s="260"/>
      <c r="AW75" s="260"/>
      <c r="AX75" s="260"/>
      <c r="AY75" s="260"/>
      <c r="AZ75" s="260"/>
      <c r="BA75" s="260"/>
      <c r="BB75" s="260"/>
      <c r="BC75" s="260"/>
      <c r="BD75" s="260"/>
      <c r="BE75" s="260"/>
      <c r="BF75" s="260"/>
      <c r="BG75" s="260"/>
      <c r="BH75" s="260"/>
      <c r="BI75" s="260"/>
      <c r="BJ75" s="260"/>
      <c r="BK75" s="260"/>
      <c r="BL75" s="260"/>
      <c r="BM75" s="260"/>
      <c r="BN75" s="260"/>
      <c r="BO75" s="260"/>
      <c r="BP75" s="260"/>
      <c r="BQ75" s="260"/>
      <c r="BR75" s="260"/>
      <c r="BS75" s="260"/>
      <c r="BT75" s="260"/>
      <c r="BU75" s="260"/>
      <c r="BV75" s="260"/>
      <c r="BW75" s="260"/>
      <c r="BX75" s="260"/>
    </row>
    <row r="76" spans="1:76" s="256" customFormat="1" ht="22.5" customHeight="1">
      <c r="A76" s="286">
        <v>71</v>
      </c>
      <c r="B76" s="286"/>
      <c r="C76" s="286"/>
      <c r="D76" s="250"/>
      <c r="E76" s="251"/>
      <c r="F76" s="250"/>
      <c r="G76" s="250"/>
      <c r="H76" s="250"/>
      <c r="I76" s="250"/>
      <c r="J76" s="250"/>
      <c r="K76" s="252"/>
      <c r="L76" s="253"/>
      <c r="M76" s="250"/>
      <c r="N76" s="254"/>
      <c r="O76" s="254"/>
      <c r="P76" s="254"/>
      <c r="Q76" s="254"/>
      <c r="R76" s="253"/>
      <c r="S76" s="252"/>
      <c r="T76" s="252"/>
      <c r="U76" s="254"/>
      <c r="V76" s="273"/>
      <c r="W76" s="255"/>
      <c r="X76" s="255"/>
      <c r="Y76" s="255"/>
      <c r="Z76" s="255"/>
      <c r="AA76" s="255"/>
      <c r="AB76" s="257"/>
      <c r="AC76" s="257"/>
      <c r="AD76" s="257"/>
      <c r="AE76" s="257"/>
      <c r="AF76" s="257"/>
      <c r="AG76" s="257"/>
      <c r="AH76" s="257"/>
      <c r="AI76" s="94"/>
      <c r="AJ76" s="94">
        <f t="shared" ca="1" si="4"/>
        <v>0</v>
      </c>
      <c r="AK76" s="94">
        <f t="shared" ca="1" si="5"/>
        <v>0</v>
      </c>
      <c r="AL76" s="260"/>
      <c r="AM76" s="260"/>
      <c r="AN76" s="260"/>
      <c r="AO76" s="260"/>
      <c r="AP76" s="260"/>
      <c r="AQ76" s="260"/>
      <c r="AR76" s="260"/>
      <c r="AS76" s="260"/>
      <c r="AT76" s="260"/>
      <c r="AU76" s="260"/>
      <c r="AV76" s="260"/>
      <c r="AW76" s="260"/>
      <c r="AX76" s="260"/>
      <c r="AY76" s="260"/>
      <c r="AZ76" s="260"/>
      <c r="BA76" s="260"/>
      <c r="BB76" s="260"/>
      <c r="BC76" s="260"/>
      <c r="BD76" s="260"/>
      <c r="BE76" s="260"/>
      <c r="BF76" s="260"/>
      <c r="BG76" s="260"/>
      <c r="BH76" s="260"/>
      <c r="BI76" s="260"/>
      <c r="BJ76" s="260"/>
      <c r="BK76" s="260"/>
      <c r="BL76" s="260"/>
      <c r="BM76" s="260"/>
      <c r="BN76" s="260"/>
      <c r="BO76" s="260"/>
      <c r="BP76" s="260"/>
      <c r="BQ76" s="260"/>
      <c r="BR76" s="260"/>
      <c r="BS76" s="260"/>
      <c r="BT76" s="260"/>
      <c r="BU76" s="260"/>
      <c r="BV76" s="260"/>
      <c r="BW76" s="260"/>
      <c r="BX76" s="260"/>
    </row>
    <row r="77" spans="1:76" s="256" customFormat="1" ht="22.5" customHeight="1">
      <c r="A77" s="286">
        <v>72</v>
      </c>
      <c r="B77" s="286"/>
      <c r="C77" s="286"/>
      <c r="D77" s="250"/>
      <c r="E77" s="251"/>
      <c r="F77" s="250"/>
      <c r="G77" s="250"/>
      <c r="H77" s="250"/>
      <c r="I77" s="250"/>
      <c r="J77" s="250"/>
      <c r="K77" s="252"/>
      <c r="L77" s="253"/>
      <c r="M77" s="250"/>
      <c r="N77" s="254"/>
      <c r="O77" s="254"/>
      <c r="P77" s="254"/>
      <c r="Q77" s="254"/>
      <c r="R77" s="253"/>
      <c r="S77" s="252"/>
      <c r="T77" s="252"/>
      <c r="U77" s="254"/>
      <c r="V77" s="273"/>
      <c r="W77" s="255"/>
      <c r="X77" s="255"/>
      <c r="Y77" s="255"/>
      <c r="Z77" s="255"/>
      <c r="AA77" s="255"/>
      <c r="AB77" s="257"/>
      <c r="AC77" s="257"/>
      <c r="AD77" s="257"/>
      <c r="AE77" s="257"/>
      <c r="AF77" s="257"/>
      <c r="AG77" s="257"/>
      <c r="AH77" s="257"/>
      <c r="AI77" s="94"/>
      <c r="AJ77" s="94">
        <f t="shared" ca="1" si="4"/>
        <v>0</v>
      </c>
      <c r="AK77" s="94">
        <f t="shared" ca="1" si="5"/>
        <v>0</v>
      </c>
      <c r="AL77" s="260"/>
      <c r="AM77" s="260"/>
      <c r="AN77" s="260"/>
      <c r="AO77" s="260"/>
      <c r="AP77" s="260"/>
      <c r="AQ77" s="260"/>
      <c r="AR77" s="260"/>
      <c r="AS77" s="260"/>
      <c r="AT77" s="260"/>
      <c r="AU77" s="260"/>
      <c r="AV77" s="260"/>
      <c r="AW77" s="260"/>
      <c r="AX77" s="260"/>
      <c r="AY77" s="260"/>
      <c r="AZ77" s="260"/>
      <c r="BA77" s="260"/>
      <c r="BB77" s="260"/>
      <c r="BC77" s="260"/>
      <c r="BD77" s="260"/>
      <c r="BE77" s="260"/>
      <c r="BF77" s="260"/>
      <c r="BG77" s="260"/>
      <c r="BH77" s="260"/>
      <c r="BI77" s="260"/>
      <c r="BJ77" s="260"/>
      <c r="BK77" s="260"/>
      <c r="BL77" s="260"/>
      <c r="BM77" s="260"/>
      <c r="BN77" s="260"/>
      <c r="BO77" s="260"/>
      <c r="BP77" s="260"/>
      <c r="BQ77" s="260"/>
      <c r="BR77" s="260"/>
      <c r="BS77" s="260"/>
      <c r="BT77" s="260"/>
      <c r="BU77" s="260"/>
      <c r="BV77" s="260"/>
      <c r="BW77" s="260"/>
      <c r="BX77" s="260"/>
    </row>
    <row r="78" spans="1:76" s="256" customFormat="1" ht="22.5" customHeight="1">
      <c r="A78" s="286">
        <v>73</v>
      </c>
      <c r="B78" s="286"/>
      <c r="C78" s="286"/>
      <c r="D78" s="250"/>
      <c r="E78" s="251"/>
      <c r="F78" s="250"/>
      <c r="G78" s="250"/>
      <c r="H78" s="250"/>
      <c r="I78" s="250"/>
      <c r="J78" s="250"/>
      <c r="K78" s="252"/>
      <c r="L78" s="253"/>
      <c r="M78" s="250"/>
      <c r="N78" s="254"/>
      <c r="O78" s="254"/>
      <c r="P78" s="254"/>
      <c r="Q78" s="254"/>
      <c r="R78" s="253"/>
      <c r="S78" s="252"/>
      <c r="T78" s="252"/>
      <c r="U78" s="254"/>
      <c r="V78" s="273"/>
      <c r="W78" s="255"/>
      <c r="X78" s="255"/>
      <c r="Y78" s="255"/>
      <c r="Z78" s="255"/>
      <c r="AA78" s="255"/>
      <c r="AB78" s="257"/>
      <c r="AC78" s="257"/>
      <c r="AD78" s="257"/>
      <c r="AE78" s="257"/>
      <c r="AF78" s="257"/>
      <c r="AG78" s="257"/>
      <c r="AH78" s="257"/>
      <c r="AI78" s="94"/>
      <c r="AJ78" s="94">
        <f t="shared" ca="1" si="4"/>
        <v>0</v>
      </c>
      <c r="AK78" s="94">
        <f t="shared" ca="1" si="5"/>
        <v>0</v>
      </c>
      <c r="AL78" s="260"/>
      <c r="AM78" s="260"/>
      <c r="AN78" s="260"/>
      <c r="AO78" s="260"/>
      <c r="AP78" s="260"/>
      <c r="AQ78" s="260"/>
      <c r="AR78" s="260"/>
      <c r="AS78" s="260"/>
      <c r="AT78" s="260"/>
      <c r="AU78" s="260"/>
      <c r="AV78" s="260"/>
      <c r="AW78" s="260"/>
      <c r="AX78" s="260"/>
      <c r="AY78" s="260"/>
      <c r="AZ78" s="260"/>
      <c r="BA78" s="260"/>
      <c r="BB78" s="260"/>
      <c r="BC78" s="260"/>
      <c r="BD78" s="260"/>
      <c r="BE78" s="260"/>
      <c r="BF78" s="260"/>
      <c r="BG78" s="260"/>
      <c r="BH78" s="260"/>
      <c r="BI78" s="260"/>
      <c r="BJ78" s="260"/>
      <c r="BK78" s="260"/>
      <c r="BL78" s="260"/>
      <c r="BM78" s="260"/>
      <c r="BN78" s="260"/>
      <c r="BO78" s="260"/>
      <c r="BP78" s="260"/>
      <c r="BQ78" s="260"/>
      <c r="BR78" s="260"/>
      <c r="BS78" s="260"/>
      <c r="BT78" s="260"/>
      <c r="BU78" s="260"/>
      <c r="BV78" s="260"/>
      <c r="BW78" s="260"/>
      <c r="BX78" s="260"/>
    </row>
    <row r="79" spans="1:76" s="256" customFormat="1" ht="22.5" customHeight="1">
      <c r="A79" s="286">
        <v>74</v>
      </c>
      <c r="B79" s="286"/>
      <c r="C79" s="286"/>
      <c r="D79" s="250"/>
      <c r="E79" s="251"/>
      <c r="F79" s="250"/>
      <c r="G79" s="250"/>
      <c r="H79" s="250"/>
      <c r="I79" s="250"/>
      <c r="J79" s="250"/>
      <c r="K79" s="252"/>
      <c r="L79" s="253"/>
      <c r="M79" s="250"/>
      <c r="N79" s="254"/>
      <c r="O79" s="254"/>
      <c r="P79" s="254"/>
      <c r="Q79" s="254"/>
      <c r="R79" s="253"/>
      <c r="S79" s="252"/>
      <c r="T79" s="252"/>
      <c r="U79" s="254"/>
      <c r="V79" s="273"/>
      <c r="W79" s="255"/>
      <c r="X79" s="255"/>
      <c r="Y79" s="255"/>
      <c r="Z79" s="255"/>
      <c r="AA79" s="255"/>
      <c r="AB79" s="257"/>
      <c r="AC79" s="257"/>
      <c r="AD79" s="257"/>
      <c r="AE79" s="257"/>
      <c r="AF79" s="257"/>
      <c r="AG79" s="257"/>
      <c r="AH79" s="257"/>
      <c r="AI79" s="94"/>
      <c r="AJ79" s="94">
        <f t="shared" ca="1" si="4"/>
        <v>0</v>
      </c>
      <c r="AK79" s="94">
        <f t="shared" ca="1" si="5"/>
        <v>0</v>
      </c>
      <c r="AL79" s="260"/>
      <c r="AM79" s="260"/>
      <c r="AN79" s="260"/>
      <c r="AO79" s="260"/>
      <c r="AP79" s="260"/>
      <c r="AQ79" s="260"/>
      <c r="AR79" s="260"/>
      <c r="AS79" s="260"/>
      <c r="AT79" s="260"/>
      <c r="AU79" s="260"/>
      <c r="AV79" s="260"/>
      <c r="AW79" s="260"/>
      <c r="AX79" s="260"/>
      <c r="AY79" s="260"/>
      <c r="AZ79" s="260"/>
      <c r="BA79" s="260"/>
      <c r="BB79" s="260"/>
      <c r="BC79" s="260"/>
      <c r="BD79" s="260"/>
      <c r="BE79" s="260"/>
      <c r="BF79" s="260"/>
      <c r="BG79" s="260"/>
      <c r="BH79" s="260"/>
      <c r="BI79" s="260"/>
      <c r="BJ79" s="260"/>
      <c r="BK79" s="260"/>
      <c r="BL79" s="260"/>
      <c r="BM79" s="260"/>
      <c r="BN79" s="260"/>
      <c r="BO79" s="260"/>
      <c r="BP79" s="260"/>
      <c r="BQ79" s="260"/>
      <c r="BR79" s="260"/>
      <c r="BS79" s="260"/>
      <c r="BT79" s="260"/>
      <c r="BU79" s="260"/>
      <c r="BV79" s="260"/>
      <c r="BW79" s="260"/>
      <c r="BX79" s="260"/>
    </row>
    <row r="80" spans="1:76" s="256" customFormat="1" ht="22.5" customHeight="1">
      <c r="A80" s="286">
        <v>75</v>
      </c>
      <c r="B80" s="286"/>
      <c r="C80" s="286"/>
      <c r="D80" s="250"/>
      <c r="E80" s="251"/>
      <c r="F80" s="250"/>
      <c r="G80" s="250"/>
      <c r="H80" s="250"/>
      <c r="I80" s="250"/>
      <c r="J80" s="250"/>
      <c r="K80" s="252"/>
      <c r="L80" s="253"/>
      <c r="M80" s="250"/>
      <c r="N80" s="254"/>
      <c r="O80" s="254"/>
      <c r="P80" s="254"/>
      <c r="Q80" s="254"/>
      <c r="R80" s="253"/>
      <c r="S80" s="252"/>
      <c r="T80" s="252"/>
      <c r="U80" s="254"/>
      <c r="V80" s="273"/>
      <c r="W80" s="255"/>
      <c r="X80" s="255"/>
      <c r="Y80" s="255"/>
      <c r="Z80" s="255"/>
      <c r="AA80" s="255"/>
      <c r="AB80" s="257"/>
      <c r="AC80" s="257"/>
      <c r="AD80" s="257"/>
      <c r="AE80" s="257"/>
      <c r="AF80" s="257"/>
      <c r="AG80" s="257"/>
      <c r="AH80" s="257"/>
      <c r="AI80" s="94"/>
      <c r="AJ80" s="94">
        <f t="shared" ca="1" si="4"/>
        <v>0</v>
      </c>
      <c r="AK80" s="94">
        <f t="shared" ca="1" si="5"/>
        <v>0</v>
      </c>
      <c r="AL80" s="260"/>
      <c r="AM80" s="260"/>
      <c r="AN80" s="260"/>
      <c r="AO80" s="260"/>
      <c r="AP80" s="260"/>
      <c r="AQ80" s="260"/>
      <c r="AR80" s="260"/>
      <c r="AS80" s="260"/>
      <c r="AT80" s="260"/>
      <c r="AU80" s="260"/>
      <c r="AV80" s="260"/>
      <c r="AW80" s="260"/>
      <c r="AX80" s="260"/>
      <c r="AY80" s="260"/>
      <c r="AZ80" s="260"/>
      <c r="BA80" s="260"/>
      <c r="BB80" s="260"/>
      <c r="BC80" s="260"/>
      <c r="BD80" s="260"/>
      <c r="BE80" s="260"/>
      <c r="BF80" s="260"/>
      <c r="BG80" s="260"/>
      <c r="BH80" s="260"/>
      <c r="BI80" s="260"/>
      <c r="BJ80" s="260"/>
      <c r="BK80" s="260"/>
      <c r="BL80" s="260"/>
      <c r="BM80" s="260"/>
      <c r="BN80" s="260"/>
      <c r="BO80" s="260"/>
      <c r="BP80" s="260"/>
      <c r="BQ80" s="260"/>
      <c r="BR80" s="260"/>
      <c r="BS80" s="260"/>
      <c r="BT80" s="260"/>
      <c r="BU80" s="260"/>
      <c r="BV80" s="260"/>
      <c r="BW80" s="260"/>
      <c r="BX80" s="260"/>
    </row>
    <row r="81" spans="1:76" s="256" customFormat="1" ht="22.5" customHeight="1">
      <c r="A81" s="286">
        <v>76</v>
      </c>
      <c r="B81" s="286"/>
      <c r="C81" s="286"/>
      <c r="D81" s="250"/>
      <c r="E81" s="251"/>
      <c r="F81" s="250"/>
      <c r="G81" s="250"/>
      <c r="H81" s="250"/>
      <c r="I81" s="250"/>
      <c r="J81" s="250"/>
      <c r="K81" s="252"/>
      <c r="L81" s="253"/>
      <c r="M81" s="250"/>
      <c r="N81" s="254"/>
      <c r="O81" s="254"/>
      <c r="P81" s="254"/>
      <c r="Q81" s="254"/>
      <c r="R81" s="253"/>
      <c r="S81" s="252"/>
      <c r="T81" s="252"/>
      <c r="U81" s="254"/>
      <c r="V81" s="273"/>
      <c r="W81" s="255"/>
      <c r="X81" s="255"/>
      <c r="Y81" s="255"/>
      <c r="Z81" s="255"/>
      <c r="AA81" s="255"/>
      <c r="AB81" s="257"/>
      <c r="AC81" s="257"/>
      <c r="AD81" s="257"/>
      <c r="AE81" s="257"/>
      <c r="AF81" s="257"/>
      <c r="AG81" s="257"/>
      <c r="AH81" s="257"/>
      <c r="AI81" s="94"/>
      <c r="AJ81" s="94">
        <f t="shared" ca="1" si="4"/>
        <v>0</v>
      </c>
      <c r="AK81" s="94">
        <f t="shared" ca="1" si="5"/>
        <v>0</v>
      </c>
      <c r="AL81" s="260"/>
      <c r="AM81" s="260"/>
      <c r="AN81" s="260"/>
      <c r="AO81" s="260"/>
      <c r="AP81" s="260"/>
      <c r="AQ81" s="260"/>
      <c r="AR81" s="260"/>
      <c r="AS81" s="260"/>
      <c r="AT81" s="260"/>
      <c r="AU81" s="260"/>
      <c r="AV81" s="260"/>
      <c r="AW81" s="260"/>
      <c r="AX81" s="260"/>
      <c r="AY81" s="260"/>
      <c r="AZ81" s="260"/>
      <c r="BA81" s="260"/>
      <c r="BB81" s="260"/>
      <c r="BC81" s="260"/>
      <c r="BD81" s="260"/>
      <c r="BE81" s="260"/>
      <c r="BF81" s="260"/>
      <c r="BG81" s="260"/>
      <c r="BH81" s="260"/>
      <c r="BI81" s="260"/>
      <c r="BJ81" s="260"/>
      <c r="BK81" s="260"/>
      <c r="BL81" s="260"/>
      <c r="BM81" s="260"/>
      <c r="BN81" s="260"/>
      <c r="BO81" s="260"/>
      <c r="BP81" s="260"/>
      <c r="BQ81" s="260"/>
      <c r="BR81" s="260"/>
      <c r="BS81" s="260"/>
      <c r="BT81" s="260"/>
      <c r="BU81" s="260"/>
      <c r="BV81" s="260"/>
      <c r="BW81" s="260"/>
      <c r="BX81" s="260"/>
    </row>
    <row r="82" spans="1:76" s="256" customFormat="1" ht="22.5" customHeight="1">
      <c r="A82" s="286">
        <v>77</v>
      </c>
      <c r="B82" s="286"/>
      <c r="C82" s="286"/>
      <c r="D82" s="250"/>
      <c r="E82" s="251"/>
      <c r="F82" s="250"/>
      <c r="G82" s="250"/>
      <c r="H82" s="250"/>
      <c r="I82" s="250"/>
      <c r="J82" s="250"/>
      <c r="K82" s="252"/>
      <c r="L82" s="253"/>
      <c r="M82" s="250"/>
      <c r="N82" s="254"/>
      <c r="O82" s="254"/>
      <c r="P82" s="254"/>
      <c r="Q82" s="254"/>
      <c r="R82" s="253"/>
      <c r="S82" s="252"/>
      <c r="T82" s="252"/>
      <c r="U82" s="254"/>
      <c r="V82" s="273"/>
      <c r="W82" s="255"/>
      <c r="X82" s="255"/>
      <c r="Y82" s="255"/>
      <c r="Z82" s="255"/>
      <c r="AA82" s="255"/>
      <c r="AB82" s="257"/>
      <c r="AC82" s="257"/>
      <c r="AD82" s="257"/>
      <c r="AE82" s="257"/>
      <c r="AF82" s="257"/>
      <c r="AG82" s="257"/>
      <c r="AH82" s="257"/>
      <c r="AI82" s="94"/>
      <c r="AJ82" s="94">
        <f t="shared" ca="1" si="4"/>
        <v>0</v>
      </c>
      <c r="AK82" s="94">
        <f t="shared" ca="1" si="5"/>
        <v>0</v>
      </c>
      <c r="AL82" s="260"/>
      <c r="AM82" s="260"/>
      <c r="AN82" s="260"/>
      <c r="AO82" s="260"/>
      <c r="AP82" s="260"/>
      <c r="AQ82" s="260"/>
      <c r="AR82" s="260"/>
      <c r="AS82" s="260"/>
      <c r="AT82" s="260"/>
      <c r="AU82" s="260"/>
      <c r="AV82" s="260"/>
      <c r="AW82" s="260"/>
      <c r="AX82" s="260"/>
      <c r="AY82" s="260"/>
      <c r="AZ82" s="260"/>
      <c r="BA82" s="260"/>
      <c r="BB82" s="260"/>
      <c r="BC82" s="260"/>
      <c r="BD82" s="260"/>
      <c r="BE82" s="260"/>
      <c r="BF82" s="260"/>
      <c r="BG82" s="260"/>
      <c r="BH82" s="260"/>
      <c r="BI82" s="260"/>
      <c r="BJ82" s="260"/>
      <c r="BK82" s="260"/>
      <c r="BL82" s="260"/>
      <c r="BM82" s="260"/>
      <c r="BN82" s="260"/>
      <c r="BO82" s="260"/>
      <c r="BP82" s="260"/>
      <c r="BQ82" s="260"/>
      <c r="BR82" s="260"/>
      <c r="BS82" s="260"/>
      <c r="BT82" s="260"/>
      <c r="BU82" s="260"/>
      <c r="BV82" s="260"/>
      <c r="BW82" s="260"/>
      <c r="BX82" s="260"/>
    </row>
    <row r="83" spans="1:76" s="256" customFormat="1" ht="22.5" customHeight="1">
      <c r="A83" s="286">
        <v>78</v>
      </c>
      <c r="B83" s="286"/>
      <c r="C83" s="286"/>
      <c r="D83" s="250"/>
      <c r="E83" s="251"/>
      <c r="F83" s="250"/>
      <c r="G83" s="250"/>
      <c r="H83" s="250"/>
      <c r="I83" s="250"/>
      <c r="J83" s="250"/>
      <c r="K83" s="252"/>
      <c r="L83" s="253"/>
      <c r="M83" s="250"/>
      <c r="N83" s="254"/>
      <c r="O83" s="254"/>
      <c r="P83" s="254"/>
      <c r="Q83" s="254"/>
      <c r="R83" s="253"/>
      <c r="S83" s="252"/>
      <c r="T83" s="252"/>
      <c r="U83" s="254"/>
      <c r="V83" s="273"/>
      <c r="W83" s="255"/>
      <c r="X83" s="255"/>
      <c r="Y83" s="255"/>
      <c r="Z83" s="255"/>
      <c r="AA83" s="255"/>
      <c r="AB83" s="257"/>
      <c r="AC83" s="257"/>
      <c r="AD83" s="257"/>
      <c r="AE83" s="257"/>
      <c r="AF83" s="257"/>
      <c r="AG83" s="257"/>
      <c r="AH83" s="257"/>
      <c r="AI83" s="94"/>
      <c r="AJ83" s="94">
        <f t="shared" ca="1" si="4"/>
        <v>0</v>
      </c>
      <c r="AK83" s="94">
        <f t="shared" ca="1" si="5"/>
        <v>0</v>
      </c>
      <c r="AL83" s="260"/>
      <c r="AM83" s="260"/>
      <c r="AN83" s="260"/>
      <c r="AO83" s="260"/>
      <c r="AP83" s="260"/>
      <c r="AQ83" s="260"/>
      <c r="AR83" s="260"/>
      <c r="AS83" s="260"/>
      <c r="AT83" s="260"/>
      <c r="AU83" s="260"/>
      <c r="AV83" s="260"/>
      <c r="AW83" s="260"/>
      <c r="AX83" s="260"/>
      <c r="AY83" s="260"/>
      <c r="AZ83" s="260"/>
      <c r="BA83" s="260"/>
      <c r="BB83" s="260"/>
      <c r="BC83" s="260"/>
      <c r="BD83" s="260"/>
      <c r="BE83" s="260"/>
      <c r="BF83" s="260"/>
      <c r="BG83" s="260"/>
      <c r="BH83" s="260"/>
      <c r="BI83" s="260"/>
      <c r="BJ83" s="260"/>
      <c r="BK83" s="260"/>
      <c r="BL83" s="260"/>
      <c r="BM83" s="260"/>
      <c r="BN83" s="260"/>
      <c r="BO83" s="260"/>
      <c r="BP83" s="260"/>
      <c r="BQ83" s="260"/>
      <c r="BR83" s="260"/>
      <c r="BS83" s="260"/>
      <c r="BT83" s="260"/>
      <c r="BU83" s="260"/>
      <c r="BV83" s="260"/>
      <c r="BW83" s="260"/>
      <c r="BX83" s="260"/>
    </row>
    <row r="84" spans="1:76" s="256" customFormat="1" ht="22.5" customHeight="1">
      <c r="A84" s="286">
        <v>79</v>
      </c>
      <c r="B84" s="286"/>
      <c r="C84" s="286"/>
      <c r="D84" s="250"/>
      <c r="E84" s="251"/>
      <c r="F84" s="250"/>
      <c r="G84" s="250"/>
      <c r="H84" s="250"/>
      <c r="I84" s="250"/>
      <c r="J84" s="250"/>
      <c r="K84" s="252"/>
      <c r="L84" s="253"/>
      <c r="M84" s="250"/>
      <c r="N84" s="254"/>
      <c r="O84" s="254"/>
      <c r="P84" s="254"/>
      <c r="Q84" s="254"/>
      <c r="R84" s="253"/>
      <c r="S84" s="252"/>
      <c r="T84" s="252"/>
      <c r="U84" s="254"/>
      <c r="V84" s="273"/>
      <c r="W84" s="255"/>
      <c r="X84" s="255"/>
      <c r="Y84" s="255"/>
      <c r="Z84" s="255"/>
      <c r="AA84" s="255"/>
      <c r="AB84" s="257"/>
      <c r="AC84" s="257"/>
      <c r="AD84" s="257"/>
      <c r="AE84" s="257"/>
      <c r="AF84" s="257"/>
      <c r="AG84" s="257"/>
      <c r="AH84" s="257"/>
      <c r="AI84" s="94"/>
      <c r="AJ84" s="94">
        <f t="shared" ca="1" si="4"/>
        <v>0</v>
      </c>
      <c r="AK84" s="94">
        <f t="shared" ca="1" si="5"/>
        <v>0</v>
      </c>
      <c r="AL84" s="260"/>
      <c r="AM84" s="260"/>
      <c r="AN84" s="260"/>
      <c r="AO84" s="260"/>
      <c r="AP84" s="260"/>
      <c r="AQ84" s="260"/>
      <c r="AR84" s="260"/>
      <c r="AS84" s="260"/>
      <c r="AT84" s="260"/>
      <c r="AU84" s="260"/>
      <c r="AV84" s="260"/>
      <c r="AW84" s="260"/>
      <c r="AX84" s="260"/>
      <c r="AY84" s="260"/>
      <c r="AZ84" s="260"/>
      <c r="BA84" s="260"/>
      <c r="BB84" s="260"/>
      <c r="BC84" s="260"/>
      <c r="BD84" s="260"/>
      <c r="BE84" s="260"/>
      <c r="BF84" s="260"/>
      <c r="BG84" s="260"/>
      <c r="BH84" s="260"/>
      <c r="BI84" s="260"/>
      <c r="BJ84" s="260"/>
      <c r="BK84" s="260"/>
      <c r="BL84" s="260"/>
      <c r="BM84" s="260"/>
      <c r="BN84" s="260"/>
      <c r="BO84" s="260"/>
      <c r="BP84" s="260"/>
      <c r="BQ84" s="260"/>
      <c r="BR84" s="260"/>
      <c r="BS84" s="260"/>
      <c r="BT84" s="260"/>
      <c r="BU84" s="260"/>
      <c r="BV84" s="260"/>
      <c r="BW84" s="260"/>
      <c r="BX84" s="260"/>
    </row>
    <row r="85" spans="1:76" s="256" customFormat="1" ht="22.5" customHeight="1">
      <c r="A85" s="286">
        <v>80</v>
      </c>
      <c r="B85" s="286"/>
      <c r="C85" s="286"/>
      <c r="D85" s="250"/>
      <c r="E85" s="251"/>
      <c r="F85" s="250"/>
      <c r="G85" s="250"/>
      <c r="H85" s="250"/>
      <c r="I85" s="250"/>
      <c r="J85" s="250"/>
      <c r="K85" s="252"/>
      <c r="L85" s="253"/>
      <c r="M85" s="250"/>
      <c r="N85" s="254"/>
      <c r="O85" s="254"/>
      <c r="P85" s="254"/>
      <c r="Q85" s="254"/>
      <c r="R85" s="253"/>
      <c r="S85" s="252"/>
      <c r="T85" s="252"/>
      <c r="U85" s="254"/>
      <c r="V85" s="273"/>
      <c r="W85" s="255"/>
      <c r="X85" s="255"/>
      <c r="Y85" s="255"/>
      <c r="Z85" s="255"/>
      <c r="AA85" s="255"/>
      <c r="AB85" s="257"/>
      <c r="AC85" s="257"/>
      <c r="AD85" s="257"/>
      <c r="AE85" s="257"/>
      <c r="AF85" s="257"/>
      <c r="AG85" s="257"/>
      <c r="AH85" s="257"/>
      <c r="AI85" s="94"/>
      <c r="AJ85" s="94">
        <f t="shared" ca="1" si="4"/>
        <v>0</v>
      </c>
      <c r="AK85" s="94">
        <f t="shared" ca="1" si="5"/>
        <v>0</v>
      </c>
      <c r="AL85" s="260"/>
      <c r="AM85" s="260"/>
      <c r="AN85" s="260"/>
      <c r="AO85" s="260"/>
      <c r="AP85" s="260"/>
      <c r="AQ85" s="260"/>
      <c r="AR85" s="260"/>
      <c r="AS85" s="260"/>
      <c r="AT85" s="260"/>
      <c r="AU85" s="260"/>
      <c r="AV85" s="260"/>
      <c r="AW85" s="260"/>
      <c r="AX85" s="260"/>
      <c r="AY85" s="260"/>
      <c r="AZ85" s="260"/>
      <c r="BA85" s="260"/>
      <c r="BB85" s="260"/>
      <c r="BC85" s="260"/>
      <c r="BD85" s="260"/>
      <c r="BE85" s="260"/>
      <c r="BF85" s="260"/>
      <c r="BG85" s="260"/>
      <c r="BH85" s="260"/>
      <c r="BI85" s="260"/>
      <c r="BJ85" s="260"/>
      <c r="BK85" s="260"/>
      <c r="BL85" s="260"/>
      <c r="BM85" s="260"/>
      <c r="BN85" s="260"/>
      <c r="BO85" s="260"/>
      <c r="BP85" s="260"/>
      <c r="BQ85" s="260"/>
      <c r="BR85" s="260"/>
      <c r="BS85" s="260"/>
      <c r="BT85" s="260"/>
      <c r="BU85" s="260"/>
      <c r="BV85" s="260"/>
      <c r="BW85" s="260"/>
      <c r="BX85" s="260"/>
    </row>
    <row r="86" spans="1:76" s="256" customFormat="1" ht="22.5" customHeight="1">
      <c r="A86" s="286">
        <v>81</v>
      </c>
      <c r="B86" s="286"/>
      <c r="C86" s="286"/>
      <c r="D86" s="250"/>
      <c r="E86" s="251"/>
      <c r="F86" s="250"/>
      <c r="G86" s="250"/>
      <c r="H86" s="250"/>
      <c r="I86" s="250"/>
      <c r="J86" s="250"/>
      <c r="K86" s="252"/>
      <c r="L86" s="253"/>
      <c r="M86" s="250"/>
      <c r="N86" s="254"/>
      <c r="O86" s="254"/>
      <c r="P86" s="254"/>
      <c r="Q86" s="254"/>
      <c r="R86" s="253"/>
      <c r="S86" s="252"/>
      <c r="T86" s="252"/>
      <c r="U86" s="254"/>
      <c r="V86" s="273"/>
      <c r="W86" s="255"/>
      <c r="X86" s="255"/>
      <c r="Y86" s="255"/>
      <c r="Z86" s="255"/>
      <c r="AA86" s="255"/>
      <c r="AB86" s="257"/>
      <c r="AC86" s="257"/>
      <c r="AD86" s="257"/>
      <c r="AE86" s="257"/>
      <c r="AF86" s="257"/>
      <c r="AG86" s="257"/>
      <c r="AH86" s="257"/>
      <c r="AI86" s="94"/>
      <c r="AJ86" s="94">
        <f t="shared" ca="1" si="4"/>
        <v>0</v>
      </c>
      <c r="AK86" s="94">
        <f t="shared" ca="1" si="5"/>
        <v>0</v>
      </c>
      <c r="AL86" s="260"/>
      <c r="AM86" s="260"/>
      <c r="AN86" s="260"/>
      <c r="AO86" s="260"/>
      <c r="AP86" s="260"/>
      <c r="AQ86" s="260"/>
      <c r="AR86" s="260"/>
      <c r="AS86" s="260"/>
      <c r="AT86" s="260"/>
      <c r="AU86" s="260"/>
      <c r="AV86" s="260"/>
      <c r="AW86" s="260"/>
      <c r="AX86" s="260"/>
      <c r="AY86" s="260"/>
      <c r="AZ86" s="260"/>
      <c r="BA86" s="260"/>
      <c r="BB86" s="260"/>
      <c r="BC86" s="260"/>
      <c r="BD86" s="260"/>
      <c r="BE86" s="260"/>
      <c r="BF86" s="260"/>
      <c r="BG86" s="260"/>
      <c r="BH86" s="260"/>
      <c r="BI86" s="260"/>
      <c r="BJ86" s="260"/>
      <c r="BK86" s="260"/>
      <c r="BL86" s="260"/>
      <c r="BM86" s="260"/>
      <c r="BN86" s="260"/>
      <c r="BO86" s="260"/>
      <c r="BP86" s="260"/>
      <c r="BQ86" s="260"/>
      <c r="BR86" s="260"/>
      <c r="BS86" s="260"/>
      <c r="BT86" s="260"/>
      <c r="BU86" s="260"/>
      <c r="BV86" s="260"/>
      <c r="BW86" s="260"/>
      <c r="BX86" s="260"/>
    </row>
    <row r="87" spans="1:76" s="256" customFormat="1" ht="22.5" customHeight="1">
      <c r="A87" s="286">
        <v>82</v>
      </c>
      <c r="B87" s="286"/>
      <c r="C87" s="286"/>
      <c r="D87" s="250"/>
      <c r="E87" s="251"/>
      <c r="F87" s="250"/>
      <c r="G87" s="250"/>
      <c r="H87" s="250"/>
      <c r="I87" s="250"/>
      <c r="J87" s="250"/>
      <c r="K87" s="252"/>
      <c r="L87" s="253"/>
      <c r="M87" s="250"/>
      <c r="N87" s="254"/>
      <c r="O87" s="254"/>
      <c r="P87" s="254"/>
      <c r="Q87" s="254"/>
      <c r="R87" s="253"/>
      <c r="S87" s="252"/>
      <c r="T87" s="252"/>
      <c r="U87" s="254"/>
      <c r="V87" s="273"/>
      <c r="W87" s="255"/>
      <c r="X87" s="255"/>
      <c r="Y87" s="255"/>
      <c r="Z87" s="255"/>
      <c r="AA87" s="255"/>
      <c r="AB87" s="257"/>
      <c r="AC87" s="257"/>
      <c r="AD87" s="257"/>
      <c r="AE87" s="257"/>
      <c r="AF87" s="257"/>
      <c r="AG87" s="257"/>
      <c r="AH87" s="257"/>
      <c r="AI87" s="94"/>
      <c r="AJ87" s="94">
        <f t="shared" ca="1" si="4"/>
        <v>0</v>
      </c>
      <c r="AK87" s="94">
        <f t="shared" ca="1" si="5"/>
        <v>0</v>
      </c>
      <c r="AL87" s="260"/>
      <c r="AM87" s="260"/>
      <c r="AN87" s="260"/>
      <c r="AO87" s="260"/>
      <c r="AP87" s="260"/>
      <c r="AQ87" s="260"/>
      <c r="AR87" s="260"/>
      <c r="AS87" s="260"/>
      <c r="AT87" s="260"/>
      <c r="AU87" s="260"/>
      <c r="AV87" s="260"/>
      <c r="AW87" s="260"/>
      <c r="AX87" s="260"/>
      <c r="AY87" s="260"/>
      <c r="AZ87" s="260"/>
      <c r="BA87" s="260"/>
      <c r="BB87" s="260"/>
      <c r="BC87" s="260"/>
      <c r="BD87" s="260"/>
      <c r="BE87" s="260"/>
      <c r="BF87" s="260"/>
      <c r="BG87" s="260"/>
      <c r="BH87" s="260"/>
      <c r="BI87" s="260"/>
      <c r="BJ87" s="260"/>
      <c r="BK87" s="260"/>
      <c r="BL87" s="260"/>
      <c r="BM87" s="260"/>
      <c r="BN87" s="260"/>
      <c r="BO87" s="260"/>
      <c r="BP87" s="260"/>
      <c r="BQ87" s="260"/>
      <c r="BR87" s="260"/>
      <c r="BS87" s="260"/>
      <c r="BT87" s="260"/>
      <c r="BU87" s="260"/>
      <c r="BV87" s="260"/>
      <c r="BW87" s="260"/>
      <c r="BX87" s="260"/>
    </row>
    <row r="88" spans="1:76" s="256" customFormat="1" ht="22.5" customHeight="1">
      <c r="A88" s="286">
        <v>83</v>
      </c>
      <c r="B88" s="286"/>
      <c r="C88" s="286"/>
      <c r="D88" s="250"/>
      <c r="E88" s="251"/>
      <c r="F88" s="250"/>
      <c r="G88" s="250"/>
      <c r="H88" s="250"/>
      <c r="I88" s="250"/>
      <c r="J88" s="250"/>
      <c r="K88" s="252"/>
      <c r="L88" s="253"/>
      <c r="M88" s="250"/>
      <c r="N88" s="254"/>
      <c r="O88" s="254"/>
      <c r="P88" s="254"/>
      <c r="Q88" s="254"/>
      <c r="R88" s="253"/>
      <c r="S88" s="252"/>
      <c r="T88" s="252"/>
      <c r="U88" s="254"/>
      <c r="V88" s="273"/>
      <c r="W88" s="255"/>
      <c r="X88" s="255"/>
      <c r="Y88" s="255"/>
      <c r="Z88" s="255"/>
      <c r="AA88" s="255"/>
      <c r="AB88" s="257"/>
      <c r="AC88" s="257"/>
      <c r="AD88" s="257"/>
      <c r="AE88" s="257"/>
      <c r="AF88" s="257"/>
      <c r="AG88" s="257"/>
      <c r="AH88" s="257"/>
      <c r="AI88" s="94"/>
      <c r="AJ88" s="94">
        <f t="shared" ca="1" si="4"/>
        <v>0</v>
      </c>
      <c r="AK88" s="94">
        <f t="shared" ca="1" si="5"/>
        <v>0</v>
      </c>
      <c r="AL88" s="260"/>
      <c r="AM88" s="260"/>
      <c r="AN88" s="260"/>
      <c r="AO88" s="260"/>
      <c r="AP88" s="260"/>
      <c r="AQ88" s="260"/>
      <c r="AR88" s="260"/>
      <c r="AS88" s="260"/>
      <c r="AT88" s="260"/>
      <c r="AU88" s="260"/>
      <c r="AV88" s="260"/>
      <c r="AW88" s="260"/>
      <c r="AX88" s="260"/>
      <c r="AY88" s="260"/>
      <c r="AZ88" s="260"/>
      <c r="BA88" s="260"/>
      <c r="BB88" s="260"/>
      <c r="BC88" s="260"/>
      <c r="BD88" s="260"/>
      <c r="BE88" s="260"/>
      <c r="BF88" s="260"/>
      <c r="BG88" s="260"/>
      <c r="BH88" s="260"/>
      <c r="BI88" s="260"/>
      <c r="BJ88" s="260"/>
      <c r="BK88" s="260"/>
      <c r="BL88" s="260"/>
      <c r="BM88" s="260"/>
      <c r="BN88" s="260"/>
      <c r="BO88" s="260"/>
      <c r="BP88" s="260"/>
      <c r="BQ88" s="260"/>
      <c r="BR88" s="260"/>
      <c r="BS88" s="260"/>
      <c r="BT88" s="260"/>
      <c r="BU88" s="260"/>
      <c r="BV88" s="260"/>
      <c r="BW88" s="260"/>
      <c r="BX88" s="260"/>
    </row>
    <row r="89" spans="1:76" s="256" customFormat="1" ht="22.5" customHeight="1">
      <c r="A89" s="286">
        <v>84</v>
      </c>
      <c r="B89" s="286"/>
      <c r="C89" s="286"/>
      <c r="D89" s="250"/>
      <c r="E89" s="251"/>
      <c r="F89" s="250"/>
      <c r="G89" s="250"/>
      <c r="H89" s="250"/>
      <c r="I89" s="250"/>
      <c r="J89" s="250"/>
      <c r="K89" s="252"/>
      <c r="L89" s="253"/>
      <c r="M89" s="250"/>
      <c r="N89" s="254"/>
      <c r="O89" s="254"/>
      <c r="P89" s="254"/>
      <c r="Q89" s="254"/>
      <c r="R89" s="253"/>
      <c r="S89" s="252"/>
      <c r="T89" s="252"/>
      <c r="U89" s="254"/>
      <c r="V89" s="273"/>
      <c r="W89" s="255"/>
      <c r="X89" s="255"/>
      <c r="Y89" s="255"/>
      <c r="Z89" s="255"/>
      <c r="AA89" s="255"/>
      <c r="AB89" s="257"/>
      <c r="AC89" s="257"/>
      <c r="AD89" s="257"/>
      <c r="AE89" s="257"/>
      <c r="AF89" s="257"/>
      <c r="AG89" s="257"/>
      <c r="AH89" s="257"/>
      <c r="AI89" s="94"/>
      <c r="AJ89" s="94">
        <f t="shared" ca="1" si="4"/>
        <v>0</v>
      </c>
      <c r="AK89" s="94">
        <f t="shared" ca="1" si="5"/>
        <v>0</v>
      </c>
      <c r="AL89" s="260"/>
      <c r="AM89" s="260"/>
      <c r="AN89" s="260"/>
      <c r="AO89" s="260"/>
      <c r="AP89" s="260"/>
      <c r="AQ89" s="260"/>
      <c r="AR89" s="260"/>
      <c r="AS89" s="260"/>
      <c r="AT89" s="260"/>
      <c r="AU89" s="260"/>
      <c r="AV89" s="260"/>
      <c r="AW89" s="260"/>
      <c r="AX89" s="260"/>
      <c r="AY89" s="260"/>
      <c r="AZ89" s="260"/>
      <c r="BA89" s="260"/>
      <c r="BB89" s="260"/>
      <c r="BC89" s="260"/>
      <c r="BD89" s="260"/>
      <c r="BE89" s="260"/>
      <c r="BF89" s="260"/>
      <c r="BG89" s="260"/>
      <c r="BH89" s="260"/>
      <c r="BI89" s="260"/>
      <c r="BJ89" s="260"/>
      <c r="BK89" s="260"/>
      <c r="BL89" s="260"/>
      <c r="BM89" s="260"/>
      <c r="BN89" s="260"/>
      <c r="BO89" s="260"/>
      <c r="BP89" s="260"/>
      <c r="BQ89" s="260"/>
      <c r="BR89" s="260"/>
      <c r="BS89" s="260"/>
      <c r="BT89" s="260"/>
      <c r="BU89" s="260"/>
      <c r="BV89" s="260"/>
      <c r="BW89" s="260"/>
      <c r="BX89" s="260"/>
    </row>
    <row r="90" spans="1:76" s="256" customFormat="1" ht="22.5" customHeight="1">
      <c r="A90" s="286">
        <v>85</v>
      </c>
      <c r="B90" s="286"/>
      <c r="C90" s="286"/>
      <c r="D90" s="250"/>
      <c r="E90" s="251"/>
      <c r="F90" s="250"/>
      <c r="G90" s="250"/>
      <c r="H90" s="250"/>
      <c r="I90" s="250"/>
      <c r="J90" s="250"/>
      <c r="K90" s="252"/>
      <c r="L90" s="253"/>
      <c r="M90" s="250"/>
      <c r="N90" s="254"/>
      <c r="O90" s="254"/>
      <c r="P90" s="254"/>
      <c r="Q90" s="254"/>
      <c r="R90" s="253"/>
      <c r="S90" s="252"/>
      <c r="T90" s="252"/>
      <c r="U90" s="254"/>
      <c r="V90" s="273"/>
      <c r="W90" s="255"/>
      <c r="X90" s="255"/>
      <c r="Y90" s="255"/>
      <c r="Z90" s="255"/>
      <c r="AA90" s="255"/>
      <c r="AB90" s="257"/>
      <c r="AC90" s="257"/>
      <c r="AD90" s="257"/>
      <c r="AE90" s="257"/>
      <c r="AF90" s="257"/>
      <c r="AG90" s="257"/>
      <c r="AH90" s="257"/>
      <c r="AI90" s="94"/>
      <c r="AJ90" s="94">
        <f t="shared" ca="1" si="4"/>
        <v>0</v>
      </c>
      <c r="AK90" s="94">
        <f t="shared" ca="1" si="5"/>
        <v>0</v>
      </c>
      <c r="AL90" s="260"/>
      <c r="AM90" s="260"/>
      <c r="AN90" s="260"/>
      <c r="AO90" s="260"/>
      <c r="AP90" s="260"/>
      <c r="AQ90" s="260"/>
      <c r="AR90" s="260"/>
      <c r="AS90" s="260"/>
      <c r="AT90" s="260"/>
      <c r="AU90" s="260"/>
      <c r="AV90" s="260"/>
      <c r="AW90" s="260"/>
      <c r="AX90" s="260"/>
      <c r="AY90" s="260"/>
      <c r="AZ90" s="260"/>
      <c r="BA90" s="260"/>
      <c r="BB90" s="260"/>
      <c r="BC90" s="260"/>
      <c r="BD90" s="260"/>
      <c r="BE90" s="260"/>
      <c r="BF90" s="260"/>
      <c r="BG90" s="260"/>
      <c r="BH90" s="260"/>
      <c r="BI90" s="260"/>
      <c r="BJ90" s="260"/>
      <c r="BK90" s="260"/>
      <c r="BL90" s="260"/>
      <c r="BM90" s="260"/>
      <c r="BN90" s="260"/>
      <c r="BO90" s="260"/>
      <c r="BP90" s="260"/>
      <c r="BQ90" s="260"/>
      <c r="BR90" s="260"/>
      <c r="BS90" s="260"/>
      <c r="BT90" s="260"/>
      <c r="BU90" s="260"/>
      <c r="BV90" s="260"/>
      <c r="BW90" s="260"/>
      <c r="BX90" s="260"/>
    </row>
    <row r="91" spans="1:76" s="256" customFormat="1" ht="22.5" customHeight="1">
      <c r="A91" s="286">
        <v>86</v>
      </c>
      <c r="B91" s="286"/>
      <c r="C91" s="286"/>
      <c r="D91" s="250"/>
      <c r="E91" s="251"/>
      <c r="F91" s="250"/>
      <c r="G91" s="250"/>
      <c r="H91" s="250"/>
      <c r="I91" s="250"/>
      <c r="J91" s="250"/>
      <c r="K91" s="252"/>
      <c r="L91" s="253"/>
      <c r="M91" s="250"/>
      <c r="N91" s="254"/>
      <c r="O91" s="254"/>
      <c r="P91" s="254"/>
      <c r="Q91" s="254"/>
      <c r="R91" s="253"/>
      <c r="S91" s="252"/>
      <c r="T91" s="252"/>
      <c r="U91" s="254"/>
      <c r="V91" s="273"/>
      <c r="W91" s="255"/>
      <c r="X91" s="255"/>
      <c r="Y91" s="255"/>
      <c r="Z91" s="255"/>
      <c r="AA91" s="255"/>
      <c r="AB91" s="257"/>
      <c r="AC91" s="257"/>
      <c r="AD91" s="257"/>
      <c r="AE91" s="257"/>
      <c r="AF91" s="257"/>
      <c r="AG91" s="257"/>
      <c r="AH91" s="257"/>
      <c r="AI91" s="94"/>
      <c r="AJ91" s="94">
        <f t="shared" ca="1" si="4"/>
        <v>0</v>
      </c>
      <c r="AK91" s="94">
        <f t="shared" ca="1" si="5"/>
        <v>0</v>
      </c>
      <c r="AL91" s="260"/>
      <c r="AM91" s="260"/>
      <c r="AN91" s="260"/>
      <c r="AO91" s="260"/>
      <c r="AP91" s="260"/>
      <c r="AQ91" s="260"/>
      <c r="AR91" s="260"/>
      <c r="AS91" s="260"/>
      <c r="AT91" s="260"/>
      <c r="AU91" s="260"/>
      <c r="AV91" s="260"/>
      <c r="AW91" s="260"/>
      <c r="AX91" s="260"/>
      <c r="AY91" s="260"/>
      <c r="AZ91" s="260"/>
      <c r="BA91" s="260"/>
      <c r="BB91" s="260"/>
      <c r="BC91" s="260"/>
      <c r="BD91" s="260"/>
      <c r="BE91" s="260"/>
      <c r="BF91" s="260"/>
      <c r="BG91" s="260"/>
      <c r="BH91" s="260"/>
      <c r="BI91" s="260"/>
      <c r="BJ91" s="260"/>
      <c r="BK91" s="260"/>
      <c r="BL91" s="260"/>
      <c r="BM91" s="260"/>
      <c r="BN91" s="260"/>
      <c r="BO91" s="260"/>
      <c r="BP91" s="260"/>
      <c r="BQ91" s="260"/>
      <c r="BR91" s="260"/>
      <c r="BS91" s="260"/>
      <c r="BT91" s="260"/>
      <c r="BU91" s="260"/>
      <c r="BV91" s="260"/>
      <c r="BW91" s="260"/>
      <c r="BX91" s="260"/>
    </row>
    <row r="92" spans="1:76" s="256" customFormat="1" ht="22.5" customHeight="1">
      <c r="A92" s="286">
        <v>87</v>
      </c>
      <c r="B92" s="286"/>
      <c r="C92" s="286"/>
      <c r="D92" s="250"/>
      <c r="E92" s="251"/>
      <c r="F92" s="250"/>
      <c r="G92" s="250"/>
      <c r="H92" s="250"/>
      <c r="I92" s="250"/>
      <c r="J92" s="250"/>
      <c r="K92" s="252"/>
      <c r="L92" s="253"/>
      <c r="M92" s="250"/>
      <c r="N92" s="254"/>
      <c r="O92" s="254"/>
      <c r="P92" s="254"/>
      <c r="Q92" s="254"/>
      <c r="R92" s="253"/>
      <c r="S92" s="252"/>
      <c r="T92" s="252"/>
      <c r="U92" s="254"/>
      <c r="V92" s="273"/>
      <c r="W92" s="255"/>
      <c r="X92" s="255"/>
      <c r="Y92" s="255"/>
      <c r="Z92" s="255"/>
      <c r="AA92" s="255"/>
      <c r="AB92" s="257"/>
      <c r="AC92" s="257"/>
      <c r="AD92" s="257"/>
      <c r="AE92" s="257"/>
      <c r="AF92" s="257"/>
      <c r="AG92" s="257"/>
      <c r="AH92" s="257"/>
      <c r="AI92" s="94"/>
      <c r="AJ92" s="94">
        <f t="shared" ca="1" si="4"/>
        <v>0</v>
      </c>
      <c r="AK92" s="94">
        <f t="shared" ca="1" si="5"/>
        <v>0</v>
      </c>
      <c r="AL92" s="260"/>
      <c r="AM92" s="260"/>
      <c r="AN92" s="260"/>
      <c r="AO92" s="260"/>
      <c r="AP92" s="260"/>
      <c r="AQ92" s="260"/>
      <c r="AR92" s="260"/>
      <c r="AS92" s="260"/>
      <c r="AT92" s="260"/>
      <c r="AU92" s="260"/>
      <c r="AV92" s="260"/>
      <c r="AW92" s="260"/>
      <c r="AX92" s="260"/>
      <c r="AY92" s="260"/>
      <c r="AZ92" s="260"/>
      <c r="BA92" s="260"/>
      <c r="BB92" s="260"/>
      <c r="BC92" s="260"/>
      <c r="BD92" s="260"/>
      <c r="BE92" s="260"/>
      <c r="BF92" s="260"/>
      <c r="BG92" s="260"/>
      <c r="BH92" s="260"/>
      <c r="BI92" s="260"/>
      <c r="BJ92" s="260"/>
      <c r="BK92" s="260"/>
      <c r="BL92" s="260"/>
      <c r="BM92" s="260"/>
      <c r="BN92" s="260"/>
      <c r="BO92" s="260"/>
      <c r="BP92" s="260"/>
      <c r="BQ92" s="260"/>
      <c r="BR92" s="260"/>
      <c r="BS92" s="260"/>
      <c r="BT92" s="260"/>
      <c r="BU92" s="260"/>
      <c r="BV92" s="260"/>
      <c r="BW92" s="260"/>
      <c r="BX92" s="260"/>
    </row>
    <row r="93" spans="1:76" s="256" customFormat="1" ht="22.5" customHeight="1">
      <c r="A93" s="286">
        <v>88</v>
      </c>
      <c r="B93" s="286"/>
      <c r="C93" s="286"/>
      <c r="D93" s="250"/>
      <c r="E93" s="251"/>
      <c r="F93" s="250"/>
      <c r="G93" s="250"/>
      <c r="H93" s="250"/>
      <c r="I93" s="250"/>
      <c r="J93" s="250"/>
      <c r="K93" s="252"/>
      <c r="L93" s="253"/>
      <c r="M93" s="250"/>
      <c r="N93" s="254"/>
      <c r="O93" s="254"/>
      <c r="P93" s="254"/>
      <c r="Q93" s="254"/>
      <c r="R93" s="253"/>
      <c r="S93" s="252"/>
      <c r="T93" s="252"/>
      <c r="U93" s="254"/>
      <c r="V93" s="273"/>
      <c r="W93" s="255"/>
      <c r="X93" s="255"/>
      <c r="Y93" s="255"/>
      <c r="Z93" s="255"/>
      <c r="AA93" s="255"/>
      <c r="AB93" s="257"/>
      <c r="AC93" s="257"/>
      <c r="AD93" s="257"/>
      <c r="AE93" s="257"/>
      <c r="AF93" s="257"/>
      <c r="AG93" s="257"/>
      <c r="AH93" s="257"/>
      <c r="AI93" s="94"/>
      <c r="AJ93" s="94">
        <f t="shared" ca="1" si="4"/>
        <v>0</v>
      </c>
      <c r="AK93" s="94">
        <f t="shared" ca="1" si="5"/>
        <v>0</v>
      </c>
      <c r="AL93" s="260"/>
      <c r="AM93" s="260"/>
      <c r="AN93" s="260"/>
      <c r="AO93" s="260"/>
      <c r="AP93" s="260"/>
      <c r="AQ93" s="260"/>
      <c r="AR93" s="260"/>
      <c r="AS93" s="260"/>
      <c r="AT93" s="260"/>
      <c r="AU93" s="260"/>
      <c r="AV93" s="260"/>
      <c r="AW93" s="260"/>
      <c r="AX93" s="260"/>
      <c r="AY93" s="260"/>
      <c r="AZ93" s="260"/>
      <c r="BA93" s="260"/>
      <c r="BB93" s="260"/>
      <c r="BC93" s="260"/>
      <c r="BD93" s="260"/>
      <c r="BE93" s="260"/>
      <c r="BF93" s="260"/>
      <c r="BG93" s="260"/>
      <c r="BH93" s="260"/>
      <c r="BI93" s="260"/>
      <c r="BJ93" s="260"/>
      <c r="BK93" s="260"/>
      <c r="BL93" s="260"/>
      <c r="BM93" s="260"/>
      <c r="BN93" s="260"/>
      <c r="BO93" s="260"/>
      <c r="BP93" s="260"/>
      <c r="BQ93" s="260"/>
      <c r="BR93" s="260"/>
      <c r="BS93" s="260"/>
      <c r="BT93" s="260"/>
      <c r="BU93" s="260"/>
      <c r="BV93" s="260"/>
      <c r="BW93" s="260"/>
      <c r="BX93" s="260"/>
    </row>
    <row r="94" spans="1:76" s="256" customFormat="1" ht="22.5" customHeight="1">
      <c r="A94" s="286">
        <v>89</v>
      </c>
      <c r="B94" s="286"/>
      <c r="C94" s="286"/>
      <c r="D94" s="250"/>
      <c r="E94" s="251"/>
      <c r="F94" s="250"/>
      <c r="G94" s="250"/>
      <c r="H94" s="250"/>
      <c r="I94" s="250"/>
      <c r="J94" s="250"/>
      <c r="K94" s="252"/>
      <c r="L94" s="253"/>
      <c r="M94" s="250"/>
      <c r="N94" s="254"/>
      <c r="O94" s="254"/>
      <c r="P94" s="254"/>
      <c r="Q94" s="254"/>
      <c r="R94" s="253"/>
      <c r="S94" s="252"/>
      <c r="T94" s="252"/>
      <c r="U94" s="254"/>
      <c r="V94" s="273"/>
      <c r="W94" s="255"/>
      <c r="X94" s="255"/>
      <c r="Y94" s="255"/>
      <c r="Z94" s="255"/>
      <c r="AA94" s="255"/>
      <c r="AB94" s="257"/>
      <c r="AC94" s="257"/>
      <c r="AD94" s="257"/>
      <c r="AE94" s="257"/>
      <c r="AF94" s="257"/>
      <c r="AG94" s="257"/>
      <c r="AH94" s="257"/>
      <c r="AI94" s="94"/>
      <c r="AJ94" s="94">
        <f t="shared" ca="1" si="4"/>
        <v>0</v>
      </c>
      <c r="AK94" s="94">
        <f t="shared" ca="1" si="5"/>
        <v>0</v>
      </c>
      <c r="AL94" s="260"/>
      <c r="AM94" s="260"/>
      <c r="AN94" s="260"/>
      <c r="AO94" s="260"/>
      <c r="AP94" s="260"/>
      <c r="AQ94" s="260"/>
      <c r="AR94" s="260"/>
      <c r="AS94" s="260"/>
      <c r="AT94" s="260"/>
      <c r="AU94" s="260"/>
      <c r="AV94" s="260"/>
      <c r="AW94" s="260"/>
      <c r="AX94" s="260"/>
      <c r="AY94" s="260"/>
      <c r="AZ94" s="260"/>
      <c r="BA94" s="260"/>
      <c r="BB94" s="260"/>
      <c r="BC94" s="260"/>
      <c r="BD94" s="260"/>
      <c r="BE94" s="260"/>
      <c r="BF94" s="260"/>
      <c r="BG94" s="260"/>
      <c r="BH94" s="260"/>
      <c r="BI94" s="260"/>
      <c r="BJ94" s="260"/>
      <c r="BK94" s="260"/>
      <c r="BL94" s="260"/>
      <c r="BM94" s="260"/>
      <c r="BN94" s="260"/>
      <c r="BO94" s="260"/>
      <c r="BP94" s="260"/>
      <c r="BQ94" s="260"/>
      <c r="BR94" s="260"/>
      <c r="BS94" s="260"/>
      <c r="BT94" s="260"/>
      <c r="BU94" s="260"/>
      <c r="BV94" s="260"/>
      <c r="BW94" s="260"/>
      <c r="BX94" s="260"/>
    </row>
    <row r="95" spans="1:76" s="256" customFormat="1" ht="22.5" customHeight="1">
      <c r="A95" s="286">
        <v>90</v>
      </c>
      <c r="B95" s="286"/>
      <c r="C95" s="286"/>
      <c r="D95" s="250"/>
      <c r="E95" s="251"/>
      <c r="F95" s="250"/>
      <c r="G95" s="250"/>
      <c r="H95" s="250"/>
      <c r="I95" s="250"/>
      <c r="J95" s="250"/>
      <c r="K95" s="252"/>
      <c r="L95" s="253"/>
      <c r="M95" s="250"/>
      <c r="N95" s="254"/>
      <c r="O95" s="254"/>
      <c r="P95" s="254"/>
      <c r="Q95" s="254"/>
      <c r="R95" s="253"/>
      <c r="S95" s="252"/>
      <c r="T95" s="252"/>
      <c r="U95" s="254"/>
      <c r="V95" s="273"/>
      <c r="W95" s="255"/>
      <c r="X95" s="255"/>
      <c r="Y95" s="255"/>
      <c r="Z95" s="255"/>
      <c r="AA95" s="255"/>
      <c r="AB95" s="257"/>
      <c r="AC95" s="257"/>
      <c r="AD95" s="257"/>
      <c r="AE95" s="257"/>
      <c r="AF95" s="257"/>
      <c r="AG95" s="257"/>
      <c r="AH95" s="257"/>
      <c r="AI95" s="94"/>
      <c r="AJ95" s="94">
        <f t="shared" ca="1" si="4"/>
        <v>0</v>
      </c>
      <c r="AK95" s="94">
        <f t="shared" ca="1" si="5"/>
        <v>0</v>
      </c>
      <c r="AL95" s="260"/>
      <c r="AM95" s="260"/>
      <c r="AN95" s="260"/>
      <c r="AO95" s="260"/>
      <c r="AP95" s="260"/>
      <c r="AQ95" s="260"/>
      <c r="AR95" s="260"/>
      <c r="AS95" s="260"/>
      <c r="AT95" s="260"/>
      <c r="AU95" s="260"/>
      <c r="AV95" s="260"/>
      <c r="AW95" s="260"/>
      <c r="AX95" s="260"/>
      <c r="AY95" s="260"/>
      <c r="AZ95" s="260"/>
      <c r="BA95" s="260"/>
      <c r="BB95" s="260"/>
      <c r="BC95" s="260"/>
      <c r="BD95" s="260"/>
      <c r="BE95" s="260"/>
      <c r="BF95" s="260"/>
      <c r="BG95" s="260"/>
      <c r="BH95" s="260"/>
      <c r="BI95" s="260"/>
      <c r="BJ95" s="260"/>
      <c r="BK95" s="260"/>
      <c r="BL95" s="260"/>
      <c r="BM95" s="260"/>
      <c r="BN95" s="260"/>
      <c r="BO95" s="260"/>
      <c r="BP95" s="260"/>
      <c r="BQ95" s="260"/>
      <c r="BR95" s="260"/>
      <c r="BS95" s="260"/>
      <c r="BT95" s="260"/>
      <c r="BU95" s="260"/>
      <c r="BV95" s="260"/>
      <c r="BW95" s="260"/>
      <c r="BX95" s="260"/>
    </row>
    <row r="96" spans="1:76" s="256" customFormat="1" ht="22.5" customHeight="1">
      <c r="A96" s="286">
        <v>91</v>
      </c>
      <c r="B96" s="286"/>
      <c r="C96" s="286"/>
      <c r="D96" s="250"/>
      <c r="E96" s="251"/>
      <c r="F96" s="250"/>
      <c r="G96" s="250"/>
      <c r="H96" s="250"/>
      <c r="I96" s="250"/>
      <c r="J96" s="250"/>
      <c r="K96" s="252"/>
      <c r="L96" s="253"/>
      <c r="M96" s="250"/>
      <c r="N96" s="254"/>
      <c r="O96" s="254"/>
      <c r="P96" s="254"/>
      <c r="Q96" s="254"/>
      <c r="R96" s="253"/>
      <c r="S96" s="252"/>
      <c r="T96" s="252"/>
      <c r="U96" s="254"/>
      <c r="V96" s="273"/>
      <c r="W96" s="255"/>
      <c r="X96" s="255"/>
      <c r="Y96" s="255"/>
      <c r="Z96" s="255"/>
      <c r="AA96" s="255"/>
      <c r="AB96" s="257"/>
      <c r="AC96" s="257"/>
      <c r="AD96" s="257"/>
      <c r="AE96" s="257"/>
      <c r="AF96" s="257"/>
      <c r="AG96" s="257"/>
      <c r="AH96" s="257"/>
      <c r="AI96" s="94"/>
      <c r="AJ96" s="94">
        <f t="shared" ca="1" si="4"/>
        <v>0</v>
      </c>
      <c r="AK96" s="94">
        <f t="shared" ca="1" si="5"/>
        <v>0</v>
      </c>
      <c r="AL96" s="260"/>
      <c r="AM96" s="260"/>
      <c r="AN96" s="260"/>
      <c r="AO96" s="260"/>
      <c r="AP96" s="260"/>
      <c r="AQ96" s="260"/>
      <c r="AR96" s="260"/>
      <c r="AS96" s="260"/>
      <c r="AT96" s="260"/>
      <c r="AU96" s="260"/>
      <c r="AV96" s="260"/>
      <c r="AW96" s="260"/>
      <c r="AX96" s="260"/>
      <c r="AY96" s="260"/>
      <c r="AZ96" s="260"/>
      <c r="BA96" s="260"/>
      <c r="BB96" s="260"/>
      <c r="BC96" s="260"/>
      <c r="BD96" s="260"/>
      <c r="BE96" s="260"/>
      <c r="BF96" s="260"/>
      <c r="BG96" s="260"/>
      <c r="BH96" s="260"/>
      <c r="BI96" s="260"/>
      <c r="BJ96" s="260"/>
      <c r="BK96" s="260"/>
      <c r="BL96" s="260"/>
      <c r="BM96" s="260"/>
      <c r="BN96" s="260"/>
      <c r="BO96" s="260"/>
      <c r="BP96" s="260"/>
      <c r="BQ96" s="260"/>
      <c r="BR96" s="260"/>
      <c r="BS96" s="260"/>
      <c r="BT96" s="260"/>
      <c r="BU96" s="260"/>
      <c r="BV96" s="260"/>
      <c r="BW96" s="260"/>
      <c r="BX96" s="260"/>
    </row>
    <row r="97" spans="1:76" s="256" customFormat="1" ht="22.5" customHeight="1">
      <c r="A97" s="286">
        <v>92</v>
      </c>
      <c r="B97" s="286"/>
      <c r="C97" s="286"/>
      <c r="D97" s="250"/>
      <c r="E97" s="251"/>
      <c r="F97" s="250"/>
      <c r="G97" s="250"/>
      <c r="H97" s="250"/>
      <c r="I97" s="250"/>
      <c r="J97" s="250"/>
      <c r="K97" s="252"/>
      <c r="L97" s="253"/>
      <c r="M97" s="250"/>
      <c r="N97" s="254"/>
      <c r="O97" s="254"/>
      <c r="P97" s="254"/>
      <c r="Q97" s="254"/>
      <c r="R97" s="253"/>
      <c r="S97" s="252"/>
      <c r="T97" s="252"/>
      <c r="U97" s="254"/>
      <c r="V97" s="273"/>
      <c r="W97" s="255"/>
      <c r="X97" s="255"/>
      <c r="Y97" s="255"/>
      <c r="Z97" s="255"/>
      <c r="AA97" s="255"/>
      <c r="AB97" s="257"/>
      <c r="AC97" s="257"/>
      <c r="AD97" s="257"/>
      <c r="AE97" s="257"/>
      <c r="AF97" s="257"/>
      <c r="AG97" s="257"/>
      <c r="AH97" s="257"/>
      <c r="AI97" s="94"/>
      <c r="AJ97" s="94">
        <f t="shared" ca="1" si="4"/>
        <v>0</v>
      </c>
      <c r="AK97" s="94">
        <f t="shared" ca="1" si="5"/>
        <v>0</v>
      </c>
      <c r="AL97" s="260"/>
      <c r="AM97" s="260"/>
      <c r="AN97" s="260"/>
      <c r="AO97" s="260"/>
      <c r="AP97" s="260"/>
      <c r="AQ97" s="260"/>
      <c r="AR97" s="260"/>
      <c r="AS97" s="260"/>
      <c r="AT97" s="260"/>
      <c r="AU97" s="260"/>
      <c r="AV97" s="260"/>
      <c r="AW97" s="260"/>
      <c r="AX97" s="260"/>
      <c r="AY97" s="260"/>
      <c r="AZ97" s="260"/>
      <c r="BA97" s="260"/>
      <c r="BB97" s="260"/>
      <c r="BC97" s="260"/>
      <c r="BD97" s="260"/>
      <c r="BE97" s="260"/>
      <c r="BF97" s="260"/>
      <c r="BG97" s="260"/>
      <c r="BH97" s="260"/>
      <c r="BI97" s="260"/>
      <c r="BJ97" s="260"/>
      <c r="BK97" s="260"/>
      <c r="BL97" s="260"/>
      <c r="BM97" s="260"/>
      <c r="BN97" s="260"/>
      <c r="BO97" s="260"/>
      <c r="BP97" s="260"/>
      <c r="BQ97" s="260"/>
      <c r="BR97" s="260"/>
      <c r="BS97" s="260"/>
      <c r="BT97" s="260"/>
      <c r="BU97" s="260"/>
      <c r="BV97" s="260"/>
      <c r="BW97" s="260"/>
      <c r="BX97" s="260"/>
    </row>
    <row r="98" spans="1:76" s="256" customFormat="1" ht="22.5" customHeight="1">
      <c r="A98" s="286">
        <v>93</v>
      </c>
      <c r="B98" s="286"/>
      <c r="C98" s="286"/>
      <c r="D98" s="250"/>
      <c r="E98" s="251"/>
      <c r="F98" s="250"/>
      <c r="G98" s="250"/>
      <c r="H98" s="250"/>
      <c r="I98" s="250"/>
      <c r="J98" s="250"/>
      <c r="K98" s="252"/>
      <c r="L98" s="253"/>
      <c r="M98" s="250"/>
      <c r="N98" s="254"/>
      <c r="O98" s="254"/>
      <c r="P98" s="254"/>
      <c r="Q98" s="254"/>
      <c r="R98" s="253"/>
      <c r="S98" s="252"/>
      <c r="T98" s="252"/>
      <c r="U98" s="254"/>
      <c r="V98" s="273"/>
      <c r="W98" s="255"/>
      <c r="X98" s="255"/>
      <c r="Y98" s="255"/>
      <c r="Z98" s="255"/>
      <c r="AA98" s="255"/>
      <c r="AB98" s="257"/>
      <c r="AC98" s="257"/>
      <c r="AD98" s="257"/>
      <c r="AE98" s="257"/>
      <c r="AF98" s="257"/>
      <c r="AG98" s="257"/>
      <c r="AH98" s="257"/>
      <c r="AI98" s="94"/>
      <c r="AJ98" s="94">
        <f t="shared" ca="1" si="4"/>
        <v>0</v>
      </c>
      <c r="AK98" s="94">
        <f t="shared" ca="1" si="5"/>
        <v>0</v>
      </c>
      <c r="AL98" s="260"/>
      <c r="AM98" s="260"/>
      <c r="AN98" s="260"/>
      <c r="AO98" s="260"/>
      <c r="AP98" s="260"/>
      <c r="AQ98" s="260"/>
      <c r="AR98" s="260"/>
      <c r="AS98" s="260"/>
      <c r="AT98" s="260"/>
      <c r="AU98" s="260"/>
      <c r="AV98" s="260"/>
      <c r="AW98" s="260"/>
      <c r="AX98" s="260"/>
      <c r="AY98" s="260"/>
      <c r="AZ98" s="260"/>
      <c r="BA98" s="260"/>
      <c r="BB98" s="260"/>
      <c r="BC98" s="260"/>
      <c r="BD98" s="260"/>
      <c r="BE98" s="260"/>
      <c r="BF98" s="260"/>
      <c r="BG98" s="260"/>
      <c r="BH98" s="260"/>
      <c r="BI98" s="260"/>
      <c r="BJ98" s="260"/>
      <c r="BK98" s="260"/>
      <c r="BL98" s="260"/>
      <c r="BM98" s="260"/>
      <c r="BN98" s="260"/>
      <c r="BO98" s="260"/>
      <c r="BP98" s="260"/>
      <c r="BQ98" s="260"/>
      <c r="BR98" s="260"/>
      <c r="BS98" s="260"/>
      <c r="BT98" s="260"/>
      <c r="BU98" s="260"/>
      <c r="BV98" s="260"/>
      <c r="BW98" s="260"/>
      <c r="BX98" s="260"/>
    </row>
    <row r="99" spans="1:76" s="256" customFormat="1" ht="22.5" customHeight="1">
      <c r="A99" s="286">
        <v>94</v>
      </c>
      <c r="B99" s="286"/>
      <c r="C99" s="286"/>
      <c r="D99" s="250"/>
      <c r="E99" s="251"/>
      <c r="F99" s="250"/>
      <c r="G99" s="250"/>
      <c r="H99" s="250"/>
      <c r="I99" s="250"/>
      <c r="J99" s="250"/>
      <c r="K99" s="252"/>
      <c r="L99" s="253"/>
      <c r="M99" s="250"/>
      <c r="N99" s="254"/>
      <c r="O99" s="254"/>
      <c r="P99" s="254"/>
      <c r="Q99" s="254"/>
      <c r="R99" s="253"/>
      <c r="S99" s="252"/>
      <c r="T99" s="252"/>
      <c r="U99" s="254"/>
      <c r="V99" s="273"/>
      <c r="W99" s="255"/>
      <c r="X99" s="255"/>
      <c r="Y99" s="255"/>
      <c r="Z99" s="255"/>
      <c r="AA99" s="255"/>
      <c r="AB99" s="257"/>
      <c r="AC99" s="257"/>
      <c r="AD99" s="257"/>
      <c r="AE99" s="257"/>
      <c r="AF99" s="257"/>
      <c r="AG99" s="257"/>
      <c r="AH99" s="257"/>
      <c r="AI99" s="94"/>
      <c r="AJ99" s="94">
        <f t="shared" ca="1" si="4"/>
        <v>0</v>
      </c>
      <c r="AK99" s="94">
        <f t="shared" ca="1" si="5"/>
        <v>0</v>
      </c>
      <c r="AL99" s="260"/>
      <c r="AM99" s="260"/>
      <c r="AN99" s="260"/>
      <c r="AO99" s="260"/>
      <c r="AP99" s="260"/>
      <c r="AQ99" s="260"/>
      <c r="AR99" s="260"/>
      <c r="AS99" s="260"/>
      <c r="AT99" s="260"/>
      <c r="AU99" s="260"/>
      <c r="AV99" s="260"/>
      <c r="AW99" s="260"/>
      <c r="AX99" s="260"/>
      <c r="AY99" s="260"/>
      <c r="AZ99" s="260"/>
      <c r="BA99" s="260"/>
      <c r="BB99" s="260"/>
      <c r="BC99" s="260"/>
      <c r="BD99" s="260"/>
      <c r="BE99" s="260"/>
      <c r="BF99" s="260"/>
      <c r="BG99" s="260"/>
      <c r="BH99" s="260"/>
      <c r="BI99" s="260"/>
      <c r="BJ99" s="260"/>
      <c r="BK99" s="260"/>
      <c r="BL99" s="260"/>
      <c r="BM99" s="260"/>
      <c r="BN99" s="260"/>
      <c r="BO99" s="260"/>
      <c r="BP99" s="260"/>
      <c r="BQ99" s="260"/>
      <c r="BR99" s="260"/>
      <c r="BS99" s="260"/>
      <c r="BT99" s="260"/>
      <c r="BU99" s="260"/>
      <c r="BV99" s="260"/>
      <c r="BW99" s="260"/>
      <c r="BX99" s="260"/>
    </row>
    <row r="100" spans="1:76" s="256" customFormat="1" ht="22.5" customHeight="1">
      <c r="A100" s="286">
        <v>95</v>
      </c>
      <c r="B100" s="286"/>
      <c r="C100" s="286"/>
      <c r="D100" s="250"/>
      <c r="E100" s="251"/>
      <c r="F100" s="250"/>
      <c r="G100" s="250"/>
      <c r="H100" s="250"/>
      <c r="I100" s="250"/>
      <c r="J100" s="250"/>
      <c r="K100" s="252"/>
      <c r="L100" s="253"/>
      <c r="M100" s="250"/>
      <c r="N100" s="254"/>
      <c r="O100" s="254"/>
      <c r="P100" s="254"/>
      <c r="Q100" s="254"/>
      <c r="R100" s="253"/>
      <c r="S100" s="252"/>
      <c r="T100" s="252"/>
      <c r="U100" s="254"/>
      <c r="V100" s="273"/>
      <c r="W100" s="255"/>
      <c r="X100" s="255"/>
      <c r="Y100" s="255"/>
      <c r="Z100" s="255"/>
      <c r="AA100" s="255"/>
      <c r="AB100" s="257"/>
      <c r="AC100" s="257"/>
      <c r="AD100" s="257"/>
      <c r="AE100" s="257"/>
      <c r="AF100" s="257"/>
      <c r="AG100" s="257"/>
      <c r="AH100" s="257"/>
      <c r="AI100" s="94"/>
      <c r="AJ100" s="94">
        <f t="shared" ca="1" si="4"/>
        <v>0</v>
      </c>
      <c r="AK100" s="94">
        <f t="shared" ca="1" si="5"/>
        <v>0</v>
      </c>
      <c r="AL100" s="260"/>
      <c r="AM100" s="260"/>
      <c r="AN100" s="260"/>
      <c r="AO100" s="260"/>
      <c r="AP100" s="260"/>
      <c r="AQ100" s="260"/>
      <c r="AR100" s="260"/>
      <c r="AS100" s="260"/>
      <c r="AT100" s="260"/>
      <c r="AU100" s="260"/>
      <c r="AV100" s="260"/>
      <c r="AW100" s="260"/>
      <c r="AX100" s="260"/>
      <c r="AY100" s="260"/>
      <c r="AZ100" s="260"/>
      <c r="BA100" s="260"/>
      <c r="BB100" s="260"/>
      <c r="BC100" s="260"/>
      <c r="BD100" s="260"/>
      <c r="BE100" s="260"/>
      <c r="BF100" s="260"/>
      <c r="BG100" s="260"/>
      <c r="BH100" s="260"/>
      <c r="BI100" s="260"/>
      <c r="BJ100" s="260"/>
      <c r="BK100" s="260"/>
      <c r="BL100" s="260"/>
      <c r="BM100" s="260"/>
      <c r="BN100" s="260"/>
      <c r="BO100" s="260"/>
      <c r="BP100" s="260"/>
      <c r="BQ100" s="260"/>
      <c r="BR100" s="260"/>
      <c r="BS100" s="260"/>
      <c r="BT100" s="260"/>
      <c r="BU100" s="260"/>
      <c r="BV100" s="260"/>
      <c r="BW100" s="260"/>
      <c r="BX100" s="260"/>
    </row>
    <row r="101" spans="1:76" s="256" customFormat="1" ht="22.5" customHeight="1">
      <c r="A101" s="286">
        <v>96</v>
      </c>
      <c r="B101" s="286"/>
      <c r="C101" s="286"/>
      <c r="D101" s="250"/>
      <c r="E101" s="251"/>
      <c r="F101" s="250"/>
      <c r="G101" s="250"/>
      <c r="H101" s="250"/>
      <c r="I101" s="250"/>
      <c r="J101" s="250"/>
      <c r="K101" s="252"/>
      <c r="L101" s="253"/>
      <c r="M101" s="250"/>
      <c r="N101" s="254"/>
      <c r="O101" s="254"/>
      <c r="P101" s="254"/>
      <c r="Q101" s="254"/>
      <c r="R101" s="253"/>
      <c r="S101" s="252"/>
      <c r="T101" s="252"/>
      <c r="U101" s="254"/>
      <c r="V101" s="273"/>
      <c r="W101" s="255"/>
      <c r="X101" s="255"/>
      <c r="Y101" s="255"/>
      <c r="Z101" s="255"/>
      <c r="AA101" s="255"/>
      <c r="AB101" s="257"/>
      <c r="AC101" s="257"/>
      <c r="AD101" s="257"/>
      <c r="AE101" s="257"/>
      <c r="AF101" s="257"/>
      <c r="AG101" s="257"/>
      <c r="AH101" s="257"/>
      <c r="AI101" s="94"/>
      <c r="AJ101" s="94">
        <f t="shared" ca="1" si="4"/>
        <v>0</v>
      </c>
      <c r="AK101" s="94">
        <f t="shared" ca="1" si="5"/>
        <v>0</v>
      </c>
      <c r="AL101" s="260"/>
      <c r="AM101" s="260"/>
      <c r="AN101" s="260"/>
      <c r="AO101" s="260"/>
      <c r="AP101" s="260"/>
      <c r="AQ101" s="260"/>
      <c r="AR101" s="260"/>
      <c r="AS101" s="260"/>
      <c r="AT101" s="260"/>
      <c r="AU101" s="260"/>
      <c r="AV101" s="260"/>
      <c r="AW101" s="260"/>
      <c r="AX101" s="260"/>
      <c r="AY101" s="260"/>
      <c r="AZ101" s="260"/>
      <c r="BA101" s="260"/>
      <c r="BB101" s="260"/>
      <c r="BC101" s="260"/>
      <c r="BD101" s="260"/>
      <c r="BE101" s="260"/>
      <c r="BF101" s="260"/>
      <c r="BG101" s="260"/>
      <c r="BH101" s="260"/>
      <c r="BI101" s="260"/>
      <c r="BJ101" s="260"/>
      <c r="BK101" s="260"/>
      <c r="BL101" s="260"/>
      <c r="BM101" s="260"/>
      <c r="BN101" s="260"/>
      <c r="BO101" s="260"/>
      <c r="BP101" s="260"/>
      <c r="BQ101" s="260"/>
      <c r="BR101" s="260"/>
      <c r="BS101" s="260"/>
      <c r="BT101" s="260"/>
      <c r="BU101" s="260"/>
      <c r="BV101" s="260"/>
      <c r="BW101" s="260"/>
      <c r="BX101" s="260"/>
    </row>
    <row r="102" spans="1:76" s="256" customFormat="1" ht="22.5" customHeight="1">
      <c r="A102" s="286">
        <v>97</v>
      </c>
      <c r="B102" s="286"/>
      <c r="C102" s="286"/>
      <c r="D102" s="250"/>
      <c r="E102" s="251"/>
      <c r="F102" s="250"/>
      <c r="G102" s="250"/>
      <c r="H102" s="250"/>
      <c r="I102" s="250"/>
      <c r="J102" s="250"/>
      <c r="K102" s="252"/>
      <c r="L102" s="253"/>
      <c r="M102" s="250"/>
      <c r="N102" s="254"/>
      <c r="O102" s="254"/>
      <c r="P102" s="254"/>
      <c r="Q102" s="254"/>
      <c r="R102" s="253"/>
      <c r="S102" s="252"/>
      <c r="T102" s="252"/>
      <c r="U102" s="254"/>
      <c r="V102" s="273"/>
      <c r="W102" s="255"/>
      <c r="X102" s="255"/>
      <c r="Y102" s="255"/>
      <c r="Z102" s="255"/>
      <c r="AA102" s="255"/>
      <c r="AB102" s="257"/>
      <c r="AC102" s="257"/>
      <c r="AD102" s="257"/>
      <c r="AE102" s="257"/>
      <c r="AF102" s="257"/>
      <c r="AG102" s="257"/>
      <c r="AH102" s="257"/>
      <c r="AI102" s="94"/>
      <c r="AJ102" s="94">
        <f t="shared" ca="1" si="4"/>
        <v>0</v>
      </c>
      <c r="AK102" s="94">
        <f t="shared" ca="1" si="5"/>
        <v>0</v>
      </c>
      <c r="AL102" s="260"/>
      <c r="AM102" s="260"/>
      <c r="AN102" s="260"/>
      <c r="AO102" s="260"/>
      <c r="AP102" s="260"/>
      <c r="AQ102" s="260"/>
      <c r="AR102" s="260"/>
      <c r="AS102" s="260"/>
      <c r="AT102" s="260"/>
      <c r="AU102" s="260"/>
      <c r="AV102" s="260"/>
      <c r="AW102" s="260"/>
      <c r="AX102" s="260"/>
      <c r="AY102" s="260"/>
      <c r="AZ102" s="260"/>
      <c r="BA102" s="260"/>
      <c r="BB102" s="260"/>
      <c r="BC102" s="260"/>
      <c r="BD102" s="260"/>
      <c r="BE102" s="260"/>
      <c r="BF102" s="260"/>
      <c r="BG102" s="260"/>
      <c r="BH102" s="260"/>
      <c r="BI102" s="260"/>
      <c r="BJ102" s="260"/>
      <c r="BK102" s="260"/>
      <c r="BL102" s="260"/>
      <c r="BM102" s="260"/>
      <c r="BN102" s="260"/>
      <c r="BO102" s="260"/>
      <c r="BP102" s="260"/>
      <c r="BQ102" s="260"/>
      <c r="BR102" s="260"/>
      <c r="BS102" s="260"/>
      <c r="BT102" s="260"/>
      <c r="BU102" s="260"/>
      <c r="BV102" s="260"/>
      <c r="BW102" s="260"/>
      <c r="BX102" s="260"/>
    </row>
    <row r="103" spans="1:76" s="256" customFormat="1" ht="22.5" customHeight="1">
      <c r="A103" s="286">
        <v>98</v>
      </c>
      <c r="B103" s="286"/>
      <c r="C103" s="286"/>
      <c r="D103" s="250"/>
      <c r="E103" s="251"/>
      <c r="F103" s="250"/>
      <c r="G103" s="250"/>
      <c r="H103" s="250"/>
      <c r="I103" s="250"/>
      <c r="J103" s="250"/>
      <c r="K103" s="252"/>
      <c r="L103" s="253"/>
      <c r="M103" s="250"/>
      <c r="N103" s="254"/>
      <c r="O103" s="254"/>
      <c r="P103" s="254"/>
      <c r="Q103" s="254"/>
      <c r="R103" s="253"/>
      <c r="S103" s="252"/>
      <c r="T103" s="252"/>
      <c r="U103" s="254"/>
      <c r="V103" s="273"/>
      <c r="W103" s="255"/>
      <c r="X103" s="255"/>
      <c r="Y103" s="255"/>
      <c r="Z103" s="255"/>
      <c r="AA103" s="255"/>
      <c r="AB103" s="257"/>
      <c r="AC103" s="257"/>
      <c r="AD103" s="257"/>
      <c r="AE103" s="257"/>
      <c r="AF103" s="257"/>
      <c r="AG103" s="257"/>
      <c r="AH103" s="257"/>
      <c r="AI103" s="94"/>
      <c r="AJ103" s="94">
        <f t="shared" ca="1" si="4"/>
        <v>0</v>
      </c>
      <c r="AK103" s="94">
        <f t="shared" ca="1" si="5"/>
        <v>0</v>
      </c>
      <c r="AL103" s="260"/>
      <c r="AM103" s="260"/>
      <c r="AN103" s="260"/>
      <c r="AO103" s="260"/>
      <c r="AP103" s="260"/>
      <c r="AQ103" s="260"/>
      <c r="AR103" s="260"/>
      <c r="AS103" s="260"/>
      <c r="AT103" s="260"/>
      <c r="AU103" s="260"/>
      <c r="AV103" s="260"/>
      <c r="AW103" s="260"/>
      <c r="AX103" s="260"/>
      <c r="AY103" s="260"/>
      <c r="AZ103" s="260"/>
      <c r="BA103" s="260"/>
      <c r="BB103" s="260"/>
      <c r="BC103" s="260"/>
      <c r="BD103" s="260"/>
      <c r="BE103" s="260"/>
      <c r="BF103" s="260"/>
      <c r="BG103" s="260"/>
      <c r="BH103" s="260"/>
      <c r="BI103" s="260"/>
      <c r="BJ103" s="260"/>
      <c r="BK103" s="260"/>
      <c r="BL103" s="260"/>
      <c r="BM103" s="260"/>
      <c r="BN103" s="260"/>
      <c r="BO103" s="260"/>
      <c r="BP103" s="260"/>
      <c r="BQ103" s="260"/>
      <c r="BR103" s="260"/>
      <c r="BS103" s="260"/>
      <c r="BT103" s="260"/>
      <c r="BU103" s="260"/>
      <c r="BV103" s="260"/>
      <c r="BW103" s="260"/>
      <c r="BX103" s="260"/>
    </row>
    <row r="104" spans="1:76" s="256" customFormat="1" ht="22.5" customHeight="1">
      <c r="A104" s="286">
        <v>99</v>
      </c>
      <c r="B104" s="286"/>
      <c r="C104" s="286"/>
      <c r="D104" s="250"/>
      <c r="E104" s="251"/>
      <c r="F104" s="250"/>
      <c r="G104" s="250"/>
      <c r="H104" s="250"/>
      <c r="I104" s="250"/>
      <c r="J104" s="250"/>
      <c r="K104" s="252"/>
      <c r="L104" s="253"/>
      <c r="M104" s="250"/>
      <c r="N104" s="254"/>
      <c r="O104" s="254"/>
      <c r="P104" s="254"/>
      <c r="Q104" s="254"/>
      <c r="R104" s="253"/>
      <c r="S104" s="252"/>
      <c r="T104" s="252"/>
      <c r="U104" s="254"/>
      <c r="V104" s="273"/>
      <c r="W104" s="255"/>
      <c r="X104" s="255"/>
      <c r="Y104" s="255"/>
      <c r="Z104" s="255"/>
      <c r="AA104" s="255"/>
      <c r="AB104" s="257"/>
      <c r="AC104" s="257"/>
      <c r="AD104" s="257"/>
      <c r="AE104" s="257"/>
      <c r="AF104" s="257"/>
      <c r="AG104" s="257"/>
      <c r="AH104" s="257"/>
      <c r="AI104" s="94"/>
      <c r="AJ104" s="94">
        <f t="shared" ca="1" si="4"/>
        <v>0</v>
      </c>
      <c r="AK104" s="94">
        <f t="shared" ca="1" si="5"/>
        <v>0</v>
      </c>
      <c r="AL104" s="260"/>
      <c r="AM104" s="260"/>
      <c r="AN104" s="260"/>
      <c r="AO104" s="260"/>
      <c r="AP104" s="260"/>
      <c r="AQ104" s="260"/>
      <c r="AR104" s="260"/>
      <c r="AS104" s="260"/>
      <c r="AT104" s="260"/>
      <c r="AU104" s="260"/>
      <c r="AV104" s="260"/>
      <c r="AW104" s="260"/>
      <c r="AX104" s="260"/>
      <c r="AY104" s="260"/>
      <c r="AZ104" s="260"/>
      <c r="BA104" s="260"/>
      <c r="BB104" s="260"/>
      <c r="BC104" s="260"/>
      <c r="BD104" s="260"/>
      <c r="BE104" s="260"/>
      <c r="BF104" s="260"/>
      <c r="BG104" s="260"/>
      <c r="BH104" s="260"/>
      <c r="BI104" s="260"/>
      <c r="BJ104" s="260"/>
      <c r="BK104" s="260"/>
      <c r="BL104" s="260"/>
      <c r="BM104" s="260"/>
      <c r="BN104" s="260"/>
      <c r="BO104" s="260"/>
      <c r="BP104" s="260"/>
      <c r="BQ104" s="260"/>
      <c r="BR104" s="260"/>
      <c r="BS104" s="260"/>
      <c r="BT104" s="260"/>
      <c r="BU104" s="260"/>
      <c r="BV104" s="260"/>
      <c r="BW104" s="260"/>
      <c r="BX104" s="260"/>
    </row>
    <row r="105" spans="1:76" s="256" customFormat="1" ht="22.5" customHeight="1">
      <c r="A105" s="286">
        <v>100</v>
      </c>
      <c r="B105" s="286"/>
      <c r="C105" s="286"/>
      <c r="D105" s="250"/>
      <c r="E105" s="251"/>
      <c r="F105" s="250"/>
      <c r="G105" s="250"/>
      <c r="H105" s="250"/>
      <c r="I105" s="250"/>
      <c r="J105" s="250"/>
      <c r="K105" s="252"/>
      <c r="L105" s="253"/>
      <c r="M105" s="250"/>
      <c r="N105" s="254"/>
      <c r="O105" s="254"/>
      <c r="P105" s="254"/>
      <c r="Q105" s="254"/>
      <c r="R105" s="253"/>
      <c r="S105" s="252"/>
      <c r="T105" s="252"/>
      <c r="U105" s="254"/>
      <c r="V105" s="273"/>
      <c r="W105" s="255"/>
      <c r="X105" s="255"/>
      <c r="Y105" s="255"/>
      <c r="Z105" s="255"/>
      <c r="AA105" s="255"/>
      <c r="AB105" s="257"/>
      <c r="AC105" s="257"/>
      <c r="AD105" s="257"/>
      <c r="AE105" s="257"/>
      <c r="AF105" s="257"/>
      <c r="AG105" s="257"/>
      <c r="AH105" s="257"/>
      <c r="AI105" s="94"/>
      <c r="AJ105" s="94">
        <f t="shared" ca="1" si="4"/>
        <v>0</v>
      </c>
      <c r="AK105" s="94">
        <f t="shared" ca="1" si="5"/>
        <v>0</v>
      </c>
      <c r="AL105" s="260"/>
      <c r="AM105" s="260"/>
      <c r="AN105" s="260"/>
      <c r="AO105" s="260"/>
      <c r="AP105" s="260"/>
      <c r="AQ105" s="260"/>
      <c r="AR105" s="260"/>
      <c r="AS105" s="260"/>
      <c r="AT105" s="260"/>
      <c r="AU105" s="260"/>
      <c r="AV105" s="260"/>
      <c r="AW105" s="260"/>
      <c r="AX105" s="260"/>
      <c r="AY105" s="260"/>
      <c r="AZ105" s="260"/>
      <c r="BA105" s="260"/>
      <c r="BB105" s="260"/>
      <c r="BC105" s="260"/>
      <c r="BD105" s="260"/>
      <c r="BE105" s="260"/>
      <c r="BF105" s="260"/>
      <c r="BG105" s="260"/>
      <c r="BH105" s="260"/>
      <c r="BI105" s="260"/>
      <c r="BJ105" s="260"/>
      <c r="BK105" s="260"/>
      <c r="BL105" s="260"/>
      <c r="BM105" s="260"/>
      <c r="BN105" s="260"/>
      <c r="BO105" s="260"/>
      <c r="BP105" s="260"/>
      <c r="BQ105" s="260"/>
      <c r="BR105" s="260"/>
      <c r="BS105" s="260"/>
      <c r="BT105" s="260"/>
      <c r="BU105" s="260"/>
      <c r="BV105" s="260"/>
      <c r="BW105" s="260"/>
      <c r="BX105" s="260"/>
    </row>
    <row r="106" spans="1:76" s="256" customFormat="1" ht="22.5" customHeight="1">
      <c r="A106" s="286">
        <v>101</v>
      </c>
      <c r="B106" s="286"/>
      <c r="C106" s="286"/>
      <c r="D106" s="250"/>
      <c r="E106" s="251"/>
      <c r="F106" s="250"/>
      <c r="G106" s="250"/>
      <c r="H106" s="250"/>
      <c r="I106" s="250"/>
      <c r="J106" s="250"/>
      <c r="K106" s="252"/>
      <c r="L106" s="253"/>
      <c r="M106" s="250"/>
      <c r="N106" s="254"/>
      <c r="O106" s="254"/>
      <c r="P106" s="254"/>
      <c r="Q106" s="254"/>
      <c r="R106" s="253"/>
      <c r="S106" s="252"/>
      <c r="T106" s="252"/>
      <c r="U106" s="254"/>
      <c r="V106" s="273"/>
      <c r="W106" s="255"/>
      <c r="X106" s="255"/>
      <c r="Y106" s="255"/>
      <c r="Z106" s="255"/>
      <c r="AA106" s="255"/>
      <c r="AB106" s="257"/>
      <c r="AC106" s="257"/>
      <c r="AD106" s="257"/>
      <c r="AE106" s="257"/>
      <c r="AF106" s="257"/>
      <c r="AG106" s="257"/>
      <c r="AH106" s="257"/>
      <c r="AI106" s="94"/>
      <c r="AJ106" s="94">
        <f t="shared" ca="1" si="4"/>
        <v>0</v>
      </c>
      <c r="AK106" s="94">
        <f t="shared" ca="1" si="5"/>
        <v>0</v>
      </c>
      <c r="AL106" s="260"/>
      <c r="AM106" s="260"/>
      <c r="AN106" s="260"/>
      <c r="AO106" s="260"/>
      <c r="AP106" s="260"/>
      <c r="AQ106" s="260"/>
      <c r="AR106" s="260"/>
      <c r="AS106" s="260"/>
      <c r="AT106" s="260"/>
      <c r="AU106" s="260"/>
      <c r="AV106" s="260"/>
      <c r="AW106" s="260"/>
      <c r="AX106" s="260"/>
      <c r="AY106" s="260"/>
      <c r="AZ106" s="260"/>
      <c r="BA106" s="260"/>
      <c r="BB106" s="260"/>
      <c r="BC106" s="260"/>
      <c r="BD106" s="260"/>
      <c r="BE106" s="260"/>
      <c r="BF106" s="260"/>
      <c r="BG106" s="260"/>
      <c r="BH106" s="260"/>
      <c r="BI106" s="260"/>
      <c r="BJ106" s="260"/>
      <c r="BK106" s="260"/>
      <c r="BL106" s="260"/>
      <c r="BM106" s="260"/>
      <c r="BN106" s="260"/>
      <c r="BO106" s="260"/>
      <c r="BP106" s="260"/>
      <c r="BQ106" s="260"/>
      <c r="BR106" s="260"/>
      <c r="BS106" s="260"/>
      <c r="BT106" s="260"/>
      <c r="BU106" s="260"/>
      <c r="BV106" s="260"/>
      <c r="BW106" s="260"/>
      <c r="BX106" s="260"/>
    </row>
    <row r="107" spans="1:76" s="256" customFormat="1" ht="22.5" customHeight="1">
      <c r="A107" s="286">
        <v>102</v>
      </c>
      <c r="B107" s="286"/>
      <c r="C107" s="286"/>
      <c r="D107" s="250"/>
      <c r="E107" s="251"/>
      <c r="F107" s="250"/>
      <c r="G107" s="250"/>
      <c r="H107" s="250"/>
      <c r="I107" s="250"/>
      <c r="J107" s="250"/>
      <c r="K107" s="252"/>
      <c r="L107" s="253"/>
      <c r="M107" s="250"/>
      <c r="N107" s="254"/>
      <c r="O107" s="254"/>
      <c r="P107" s="254"/>
      <c r="Q107" s="254"/>
      <c r="R107" s="253"/>
      <c r="S107" s="252"/>
      <c r="T107" s="252"/>
      <c r="U107" s="254"/>
      <c r="V107" s="273"/>
      <c r="W107" s="255"/>
      <c r="X107" s="255"/>
      <c r="Y107" s="255"/>
      <c r="Z107" s="255"/>
      <c r="AA107" s="255"/>
      <c r="AB107" s="257"/>
      <c r="AC107" s="257"/>
      <c r="AD107" s="257"/>
      <c r="AE107" s="257"/>
      <c r="AF107" s="257"/>
      <c r="AG107" s="257"/>
      <c r="AH107" s="257"/>
      <c r="AI107" s="94"/>
      <c r="AJ107" s="94">
        <f t="shared" ca="1" si="4"/>
        <v>0</v>
      </c>
      <c r="AK107" s="94">
        <f t="shared" ca="1" si="5"/>
        <v>0</v>
      </c>
      <c r="AL107" s="260"/>
      <c r="AM107" s="260"/>
      <c r="AN107" s="260"/>
      <c r="AO107" s="260"/>
      <c r="AP107" s="260"/>
      <c r="AQ107" s="260"/>
      <c r="AR107" s="260"/>
      <c r="AS107" s="260"/>
      <c r="AT107" s="260"/>
      <c r="AU107" s="260"/>
      <c r="AV107" s="260"/>
      <c r="AW107" s="260"/>
      <c r="AX107" s="260"/>
      <c r="AY107" s="260"/>
      <c r="AZ107" s="260"/>
      <c r="BA107" s="260"/>
      <c r="BB107" s="260"/>
      <c r="BC107" s="260"/>
      <c r="BD107" s="260"/>
      <c r="BE107" s="260"/>
      <c r="BF107" s="260"/>
      <c r="BG107" s="260"/>
      <c r="BH107" s="260"/>
      <c r="BI107" s="260"/>
      <c r="BJ107" s="260"/>
      <c r="BK107" s="260"/>
      <c r="BL107" s="260"/>
      <c r="BM107" s="260"/>
      <c r="BN107" s="260"/>
      <c r="BO107" s="260"/>
      <c r="BP107" s="260"/>
      <c r="BQ107" s="260"/>
      <c r="BR107" s="260"/>
      <c r="BS107" s="260"/>
      <c r="BT107" s="260"/>
      <c r="BU107" s="260"/>
      <c r="BV107" s="260"/>
      <c r="BW107" s="260"/>
      <c r="BX107" s="260"/>
    </row>
    <row r="108" spans="1:76" s="256" customFormat="1" ht="22.5" customHeight="1">
      <c r="A108" s="286">
        <v>103</v>
      </c>
      <c r="B108" s="286"/>
      <c r="C108" s="286"/>
      <c r="D108" s="250"/>
      <c r="E108" s="251"/>
      <c r="F108" s="250"/>
      <c r="G108" s="250"/>
      <c r="H108" s="250"/>
      <c r="I108" s="250"/>
      <c r="J108" s="250"/>
      <c r="K108" s="252"/>
      <c r="L108" s="253"/>
      <c r="M108" s="250"/>
      <c r="N108" s="254"/>
      <c r="O108" s="254"/>
      <c r="P108" s="254"/>
      <c r="Q108" s="254"/>
      <c r="R108" s="253"/>
      <c r="S108" s="252"/>
      <c r="T108" s="252"/>
      <c r="U108" s="254"/>
      <c r="V108" s="273"/>
      <c r="W108" s="255"/>
      <c r="X108" s="255"/>
      <c r="Y108" s="255"/>
      <c r="Z108" s="255"/>
      <c r="AA108" s="255"/>
      <c r="AB108" s="257"/>
      <c r="AC108" s="257"/>
      <c r="AD108" s="257"/>
      <c r="AE108" s="257"/>
      <c r="AF108" s="257"/>
      <c r="AG108" s="257"/>
      <c r="AH108" s="257"/>
      <c r="AI108" s="94"/>
      <c r="AJ108" s="94">
        <f t="shared" ca="1" si="4"/>
        <v>0</v>
      </c>
      <c r="AK108" s="94">
        <f t="shared" ca="1" si="5"/>
        <v>0</v>
      </c>
      <c r="AL108" s="260"/>
      <c r="AM108" s="260"/>
      <c r="AN108" s="260"/>
      <c r="AO108" s="260"/>
      <c r="AP108" s="260"/>
      <c r="AQ108" s="260"/>
      <c r="AR108" s="260"/>
      <c r="AS108" s="260"/>
      <c r="AT108" s="260"/>
      <c r="AU108" s="260"/>
      <c r="AV108" s="260"/>
      <c r="AW108" s="260"/>
      <c r="AX108" s="260"/>
      <c r="AY108" s="260"/>
      <c r="AZ108" s="260"/>
      <c r="BA108" s="260"/>
      <c r="BB108" s="260"/>
      <c r="BC108" s="260"/>
      <c r="BD108" s="260"/>
      <c r="BE108" s="260"/>
      <c r="BF108" s="260"/>
      <c r="BG108" s="260"/>
      <c r="BH108" s="260"/>
      <c r="BI108" s="260"/>
      <c r="BJ108" s="260"/>
      <c r="BK108" s="260"/>
      <c r="BL108" s="260"/>
      <c r="BM108" s="260"/>
      <c r="BN108" s="260"/>
      <c r="BO108" s="260"/>
      <c r="BP108" s="260"/>
      <c r="BQ108" s="260"/>
      <c r="BR108" s="260"/>
      <c r="BS108" s="260"/>
      <c r="BT108" s="260"/>
      <c r="BU108" s="260"/>
      <c r="BV108" s="260"/>
      <c r="BW108" s="260"/>
      <c r="BX108" s="260"/>
    </row>
    <row r="109" spans="1:76" s="256" customFormat="1" ht="22.5" customHeight="1">
      <c r="A109" s="286">
        <v>104</v>
      </c>
      <c r="B109" s="286"/>
      <c r="C109" s="286"/>
      <c r="D109" s="250"/>
      <c r="E109" s="251"/>
      <c r="F109" s="250"/>
      <c r="G109" s="250"/>
      <c r="H109" s="250"/>
      <c r="I109" s="250"/>
      <c r="J109" s="250"/>
      <c r="K109" s="252"/>
      <c r="L109" s="253"/>
      <c r="M109" s="250"/>
      <c r="N109" s="254"/>
      <c r="O109" s="254"/>
      <c r="P109" s="254"/>
      <c r="Q109" s="254"/>
      <c r="R109" s="253"/>
      <c r="S109" s="252"/>
      <c r="T109" s="252"/>
      <c r="U109" s="254"/>
      <c r="V109" s="273"/>
      <c r="W109" s="255"/>
      <c r="X109" s="255"/>
      <c r="Y109" s="255"/>
      <c r="Z109" s="255"/>
      <c r="AA109" s="255"/>
      <c r="AB109" s="257"/>
      <c r="AC109" s="257"/>
      <c r="AD109" s="257"/>
      <c r="AE109" s="257"/>
      <c r="AF109" s="257"/>
      <c r="AG109" s="257"/>
      <c r="AH109" s="257"/>
      <c r="AI109" s="94"/>
      <c r="AJ109" s="94">
        <f t="shared" ca="1" si="4"/>
        <v>0</v>
      </c>
      <c r="AK109" s="94">
        <f t="shared" ca="1" si="5"/>
        <v>0</v>
      </c>
      <c r="AL109" s="260"/>
      <c r="AM109" s="260"/>
      <c r="AN109" s="260"/>
      <c r="AO109" s="260"/>
      <c r="AP109" s="260"/>
      <c r="AQ109" s="260"/>
      <c r="AR109" s="260"/>
      <c r="AS109" s="260"/>
      <c r="AT109" s="260"/>
      <c r="AU109" s="260"/>
      <c r="AV109" s="260"/>
      <c r="AW109" s="260"/>
      <c r="AX109" s="260"/>
      <c r="AY109" s="260"/>
      <c r="AZ109" s="260"/>
      <c r="BA109" s="260"/>
      <c r="BB109" s="260"/>
      <c r="BC109" s="260"/>
      <c r="BD109" s="260"/>
      <c r="BE109" s="260"/>
      <c r="BF109" s="260"/>
      <c r="BG109" s="260"/>
      <c r="BH109" s="260"/>
      <c r="BI109" s="260"/>
      <c r="BJ109" s="260"/>
      <c r="BK109" s="260"/>
      <c r="BL109" s="260"/>
      <c r="BM109" s="260"/>
      <c r="BN109" s="260"/>
      <c r="BO109" s="260"/>
      <c r="BP109" s="260"/>
      <c r="BQ109" s="260"/>
      <c r="BR109" s="260"/>
      <c r="BS109" s="260"/>
      <c r="BT109" s="260"/>
      <c r="BU109" s="260"/>
      <c r="BV109" s="260"/>
      <c r="BW109" s="260"/>
      <c r="BX109" s="260"/>
    </row>
    <row r="110" spans="1:76" s="256" customFormat="1" ht="22.5" customHeight="1">
      <c r="A110" s="286">
        <v>105</v>
      </c>
      <c r="B110" s="286"/>
      <c r="C110" s="286"/>
      <c r="D110" s="250"/>
      <c r="E110" s="251"/>
      <c r="F110" s="250"/>
      <c r="G110" s="250"/>
      <c r="H110" s="250"/>
      <c r="I110" s="250"/>
      <c r="J110" s="250"/>
      <c r="K110" s="252"/>
      <c r="L110" s="253"/>
      <c r="M110" s="250"/>
      <c r="N110" s="254"/>
      <c r="O110" s="254"/>
      <c r="P110" s="254"/>
      <c r="Q110" s="254"/>
      <c r="R110" s="253"/>
      <c r="S110" s="252"/>
      <c r="T110" s="252"/>
      <c r="U110" s="254"/>
      <c r="V110" s="273"/>
      <c r="W110" s="255"/>
      <c r="X110" s="255"/>
      <c r="Y110" s="255"/>
      <c r="Z110" s="255"/>
      <c r="AA110" s="255"/>
      <c r="AB110" s="257"/>
      <c r="AC110" s="257"/>
      <c r="AD110" s="257"/>
      <c r="AE110" s="257"/>
      <c r="AF110" s="257"/>
      <c r="AG110" s="257"/>
      <c r="AH110" s="257"/>
      <c r="AI110" s="94"/>
      <c r="AJ110" s="94">
        <f t="shared" ref="AJ110:AJ173" ca="1" si="6">IF(TRIM(K110)&lt;&gt;"",DATEDIF(K110,TODAY(),"y"),0)</f>
        <v>0</v>
      </c>
      <c r="AK110" s="94">
        <f t="shared" ref="AK110:AK173" ca="1" si="7">IF(TRIM(P110)&lt;&gt;"",DATEDIF(P110,TODAY(),"m"),0)</f>
        <v>0</v>
      </c>
      <c r="AL110" s="260"/>
      <c r="AM110" s="260"/>
      <c r="AN110" s="260"/>
      <c r="AO110" s="260"/>
      <c r="AP110" s="260"/>
      <c r="AQ110" s="260"/>
      <c r="AR110" s="260"/>
      <c r="AS110" s="260"/>
      <c r="AT110" s="260"/>
      <c r="AU110" s="260"/>
      <c r="AV110" s="260"/>
      <c r="AW110" s="260"/>
      <c r="AX110" s="260"/>
      <c r="AY110" s="260"/>
      <c r="AZ110" s="260"/>
      <c r="BA110" s="260"/>
      <c r="BB110" s="260"/>
      <c r="BC110" s="260"/>
      <c r="BD110" s="260"/>
      <c r="BE110" s="260"/>
      <c r="BF110" s="260"/>
      <c r="BG110" s="260"/>
      <c r="BH110" s="260"/>
      <c r="BI110" s="260"/>
      <c r="BJ110" s="260"/>
      <c r="BK110" s="260"/>
      <c r="BL110" s="260"/>
      <c r="BM110" s="260"/>
      <c r="BN110" s="260"/>
      <c r="BO110" s="260"/>
      <c r="BP110" s="260"/>
      <c r="BQ110" s="260"/>
      <c r="BR110" s="260"/>
      <c r="BS110" s="260"/>
      <c r="BT110" s="260"/>
      <c r="BU110" s="260"/>
      <c r="BV110" s="260"/>
      <c r="BW110" s="260"/>
      <c r="BX110" s="260"/>
    </row>
    <row r="111" spans="1:76" s="256" customFormat="1" ht="22.5" customHeight="1">
      <c r="A111" s="286">
        <v>106</v>
      </c>
      <c r="B111" s="286"/>
      <c r="C111" s="286"/>
      <c r="D111" s="250"/>
      <c r="E111" s="251"/>
      <c r="F111" s="250"/>
      <c r="G111" s="250"/>
      <c r="H111" s="250"/>
      <c r="I111" s="250"/>
      <c r="J111" s="250"/>
      <c r="K111" s="252"/>
      <c r="L111" s="253"/>
      <c r="M111" s="250"/>
      <c r="N111" s="254"/>
      <c r="O111" s="254"/>
      <c r="P111" s="254"/>
      <c r="Q111" s="254"/>
      <c r="R111" s="253"/>
      <c r="S111" s="252"/>
      <c r="T111" s="252"/>
      <c r="U111" s="254"/>
      <c r="V111" s="273"/>
      <c r="W111" s="255"/>
      <c r="X111" s="255"/>
      <c r="Y111" s="255"/>
      <c r="Z111" s="255"/>
      <c r="AA111" s="255"/>
      <c r="AB111" s="257"/>
      <c r="AC111" s="257"/>
      <c r="AD111" s="257"/>
      <c r="AE111" s="257"/>
      <c r="AF111" s="257"/>
      <c r="AG111" s="257"/>
      <c r="AH111" s="257"/>
      <c r="AI111" s="94"/>
      <c r="AJ111" s="94">
        <f t="shared" ca="1" si="6"/>
        <v>0</v>
      </c>
      <c r="AK111" s="94">
        <f t="shared" ca="1" si="7"/>
        <v>0</v>
      </c>
      <c r="AL111" s="260"/>
      <c r="AM111" s="260"/>
      <c r="AN111" s="260"/>
      <c r="AO111" s="260"/>
      <c r="AP111" s="260"/>
      <c r="AQ111" s="260"/>
      <c r="AR111" s="260"/>
      <c r="AS111" s="260"/>
      <c r="AT111" s="260"/>
      <c r="AU111" s="260"/>
      <c r="AV111" s="260"/>
      <c r="AW111" s="260"/>
      <c r="AX111" s="260"/>
      <c r="AY111" s="260"/>
      <c r="AZ111" s="260"/>
      <c r="BA111" s="260"/>
      <c r="BB111" s="260"/>
      <c r="BC111" s="260"/>
      <c r="BD111" s="260"/>
      <c r="BE111" s="260"/>
      <c r="BF111" s="260"/>
      <c r="BG111" s="260"/>
      <c r="BH111" s="260"/>
      <c r="BI111" s="260"/>
      <c r="BJ111" s="260"/>
      <c r="BK111" s="260"/>
      <c r="BL111" s="260"/>
      <c r="BM111" s="260"/>
      <c r="BN111" s="260"/>
      <c r="BO111" s="260"/>
      <c r="BP111" s="260"/>
      <c r="BQ111" s="260"/>
      <c r="BR111" s="260"/>
      <c r="BS111" s="260"/>
      <c r="BT111" s="260"/>
      <c r="BU111" s="260"/>
      <c r="BV111" s="260"/>
      <c r="BW111" s="260"/>
      <c r="BX111" s="260"/>
    </row>
    <row r="112" spans="1:76" s="256" customFormat="1" ht="22.5" customHeight="1">
      <c r="A112" s="286">
        <v>107</v>
      </c>
      <c r="B112" s="286"/>
      <c r="C112" s="286"/>
      <c r="D112" s="250"/>
      <c r="E112" s="251"/>
      <c r="F112" s="250"/>
      <c r="G112" s="250"/>
      <c r="H112" s="250"/>
      <c r="I112" s="250"/>
      <c r="J112" s="250"/>
      <c r="K112" s="252"/>
      <c r="L112" s="253"/>
      <c r="M112" s="250"/>
      <c r="N112" s="254"/>
      <c r="O112" s="254"/>
      <c r="P112" s="254"/>
      <c r="Q112" s="254"/>
      <c r="R112" s="253"/>
      <c r="S112" s="252"/>
      <c r="T112" s="252"/>
      <c r="U112" s="254"/>
      <c r="V112" s="273"/>
      <c r="W112" s="255"/>
      <c r="X112" s="255"/>
      <c r="Y112" s="255"/>
      <c r="Z112" s="255"/>
      <c r="AA112" s="255"/>
      <c r="AB112" s="257"/>
      <c r="AC112" s="257"/>
      <c r="AD112" s="257"/>
      <c r="AE112" s="257"/>
      <c r="AF112" s="257"/>
      <c r="AG112" s="257"/>
      <c r="AH112" s="257"/>
      <c r="AI112" s="94"/>
      <c r="AJ112" s="94">
        <f t="shared" ca="1" si="6"/>
        <v>0</v>
      </c>
      <c r="AK112" s="94">
        <f t="shared" ca="1" si="7"/>
        <v>0</v>
      </c>
      <c r="AL112" s="260"/>
      <c r="AM112" s="260"/>
      <c r="AN112" s="260"/>
      <c r="AO112" s="260"/>
      <c r="AP112" s="260"/>
      <c r="AQ112" s="260"/>
      <c r="AR112" s="260"/>
      <c r="AS112" s="260"/>
      <c r="AT112" s="260"/>
      <c r="AU112" s="260"/>
      <c r="AV112" s="260"/>
      <c r="AW112" s="260"/>
      <c r="AX112" s="260"/>
      <c r="AY112" s="260"/>
      <c r="AZ112" s="260"/>
      <c r="BA112" s="260"/>
      <c r="BB112" s="260"/>
      <c r="BC112" s="260"/>
      <c r="BD112" s="260"/>
      <c r="BE112" s="260"/>
      <c r="BF112" s="260"/>
      <c r="BG112" s="260"/>
      <c r="BH112" s="260"/>
      <c r="BI112" s="260"/>
      <c r="BJ112" s="260"/>
      <c r="BK112" s="260"/>
      <c r="BL112" s="260"/>
      <c r="BM112" s="260"/>
      <c r="BN112" s="260"/>
      <c r="BO112" s="260"/>
      <c r="BP112" s="260"/>
      <c r="BQ112" s="260"/>
      <c r="BR112" s="260"/>
      <c r="BS112" s="260"/>
      <c r="BT112" s="260"/>
      <c r="BU112" s="260"/>
      <c r="BV112" s="260"/>
      <c r="BW112" s="260"/>
      <c r="BX112" s="260"/>
    </row>
    <row r="113" spans="1:76" s="256" customFormat="1" ht="22.5" customHeight="1">
      <c r="A113" s="286">
        <v>108</v>
      </c>
      <c r="B113" s="286"/>
      <c r="C113" s="286"/>
      <c r="D113" s="250"/>
      <c r="E113" s="251"/>
      <c r="F113" s="250"/>
      <c r="G113" s="250"/>
      <c r="H113" s="250"/>
      <c r="I113" s="250"/>
      <c r="J113" s="250"/>
      <c r="K113" s="252"/>
      <c r="L113" s="253"/>
      <c r="M113" s="250"/>
      <c r="N113" s="254"/>
      <c r="O113" s="254"/>
      <c r="P113" s="254"/>
      <c r="Q113" s="254"/>
      <c r="R113" s="253"/>
      <c r="S113" s="252"/>
      <c r="T113" s="252"/>
      <c r="U113" s="254"/>
      <c r="V113" s="273"/>
      <c r="W113" s="255"/>
      <c r="X113" s="255"/>
      <c r="Y113" s="255"/>
      <c r="Z113" s="255"/>
      <c r="AA113" s="255"/>
      <c r="AB113" s="257"/>
      <c r="AC113" s="257"/>
      <c r="AD113" s="257"/>
      <c r="AE113" s="257"/>
      <c r="AF113" s="257"/>
      <c r="AG113" s="257"/>
      <c r="AH113" s="257"/>
      <c r="AI113" s="94"/>
      <c r="AJ113" s="94">
        <f t="shared" ca="1" si="6"/>
        <v>0</v>
      </c>
      <c r="AK113" s="94">
        <f t="shared" ca="1" si="7"/>
        <v>0</v>
      </c>
      <c r="AL113" s="260"/>
      <c r="AM113" s="260"/>
      <c r="AN113" s="260"/>
      <c r="AO113" s="260"/>
      <c r="AP113" s="260"/>
      <c r="AQ113" s="260"/>
      <c r="AR113" s="260"/>
      <c r="AS113" s="260"/>
      <c r="AT113" s="260"/>
      <c r="AU113" s="260"/>
      <c r="AV113" s="260"/>
      <c r="AW113" s="260"/>
      <c r="AX113" s="260"/>
      <c r="AY113" s="260"/>
      <c r="AZ113" s="260"/>
      <c r="BA113" s="260"/>
      <c r="BB113" s="260"/>
      <c r="BC113" s="260"/>
      <c r="BD113" s="260"/>
      <c r="BE113" s="260"/>
      <c r="BF113" s="260"/>
      <c r="BG113" s="260"/>
      <c r="BH113" s="260"/>
      <c r="BI113" s="260"/>
      <c r="BJ113" s="260"/>
      <c r="BK113" s="260"/>
      <c r="BL113" s="260"/>
      <c r="BM113" s="260"/>
      <c r="BN113" s="260"/>
      <c r="BO113" s="260"/>
      <c r="BP113" s="260"/>
      <c r="BQ113" s="260"/>
      <c r="BR113" s="260"/>
      <c r="BS113" s="260"/>
      <c r="BT113" s="260"/>
      <c r="BU113" s="260"/>
      <c r="BV113" s="260"/>
      <c r="BW113" s="260"/>
      <c r="BX113" s="260"/>
    </row>
    <row r="114" spans="1:76" s="256" customFormat="1" ht="22.5" customHeight="1">
      <c r="A114" s="286">
        <v>109</v>
      </c>
      <c r="B114" s="286"/>
      <c r="C114" s="286"/>
      <c r="D114" s="250"/>
      <c r="E114" s="251"/>
      <c r="F114" s="250"/>
      <c r="G114" s="250"/>
      <c r="H114" s="250"/>
      <c r="I114" s="250"/>
      <c r="J114" s="250"/>
      <c r="K114" s="252"/>
      <c r="L114" s="253"/>
      <c r="M114" s="250"/>
      <c r="N114" s="254"/>
      <c r="O114" s="254"/>
      <c r="P114" s="254"/>
      <c r="Q114" s="254"/>
      <c r="R114" s="253"/>
      <c r="S114" s="252"/>
      <c r="T114" s="252"/>
      <c r="U114" s="254"/>
      <c r="V114" s="273"/>
      <c r="W114" s="255"/>
      <c r="X114" s="255"/>
      <c r="Y114" s="255"/>
      <c r="Z114" s="255"/>
      <c r="AA114" s="255"/>
      <c r="AB114" s="257"/>
      <c r="AC114" s="257"/>
      <c r="AD114" s="257"/>
      <c r="AE114" s="257"/>
      <c r="AF114" s="257"/>
      <c r="AG114" s="257"/>
      <c r="AH114" s="257"/>
      <c r="AI114" s="94"/>
      <c r="AJ114" s="94">
        <f t="shared" ca="1" si="6"/>
        <v>0</v>
      </c>
      <c r="AK114" s="94">
        <f t="shared" ca="1" si="7"/>
        <v>0</v>
      </c>
      <c r="AL114" s="260"/>
      <c r="AM114" s="260"/>
      <c r="AN114" s="260"/>
      <c r="AO114" s="260"/>
      <c r="AP114" s="260"/>
      <c r="AQ114" s="260"/>
      <c r="AR114" s="260"/>
      <c r="AS114" s="260"/>
      <c r="AT114" s="260"/>
      <c r="AU114" s="260"/>
      <c r="AV114" s="260"/>
      <c r="AW114" s="260"/>
      <c r="AX114" s="260"/>
      <c r="AY114" s="260"/>
      <c r="AZ114" s="260"/>
      <c r="BA114" s="260"/>
      <c r="BB114" s="260"/>
      <c r="BC114" s="260"/>
      <c r="BD114" s="260"/>
      <c r="BE114" s="260"/>
      <c r="BF114" s="260"/>
      <c r="BG114" s="260"/>
      <c r="BH114" s="260"/>
      <c r="BI114" s="260"/>
      <c r="BJ114" s="260"/>
      <c r="BK114" s="260"/>
      <c r="BL114" s="260"/>
      <c r="BM114" s="260"/>
      <c r="BN114" s="260"/>
      <c r="BO114" s="260"/>
      <c r="BP114" s="260"/>
      <c r="BQ114" s="260"/>
      <c r="BR114" s="260"/>
      <c r="BS114" s="260"/>
      <c r="BT114" s="260"/>
      <c r="BU114" s="260"/>
      <c r="BV114" s="260"/>
      <c r="BW114" s="260"/>
      <c r="BX114" s="260"/>
    </row>
    <row r="115" spans="1:76" s="256" customFormat="1" ht="22.5" customHeight="1">
      <c r="A115" s="286">
        <v>110</v>
      </c>
      <c r="B115" s="286"/>
      <c r="C115" s="286"/>
      <c r="D115" s="250"/>
      <c r="E115" s="251"/>
      <c r="F115" s="250"/>
      <c r="G115" s="250"/>
      <c r="H115" s="250"/>
      <c r="I115" s="250"/>
      <c r="J115" s="250"/>
      <c r="K115" s="252"/>
      <c r="L115" s="253"/>
      <c r="M115" s="250"/>
      <c r="N115" s="254"/>
      <c r="O115" s="254"/>
      <c r="P115" s="254"/>
      <c r="Q115" s="254"/>
      <c r="R115" s="253"/>
      <c r="S115" s="252"/>
      <c r="T115" s="252"/>
      <c r="U115" s="254"/>
      <c r="V115" s="273"/>
      <c r="W115" s="255"/>
      <c r="X115" s="255"/>
      <c r="Y115" s="255"/>
      <c r="Z115" s="255"/>
      <c r="AA115" s="255"/>
      <c r="AB115" s="257"/>
      <c r="AC115" s="257"/>
      <c r="AD115" s="257"/>
      <c r="AE115" s="257"/>
      <c r="AF115" s="257"/>
      <c r="AG115" s="257"/>
      <c r="AH115" s="257"/>
      <c r="AI115" s="94"/>
      <c r="AJ115" s="94">
        <f t="shared" ca="1" si="6"/>
        <v>0</v>
      </c>
      <c r="AK115" s="94">
        <f t="shared" ca="1" si="7"/>
        <v>0</v>
      </c>
      <c r="AL115" s="260"/>
      <c r="AM115" s="260"/>
      <c r="AN115" s="260"/>
      <c r="AO115" s="260"/>
      <c r="AP115" s="260"/>
      <c r="AQ115" s="260"/>
      <c r="AR115" s="260"/>
      <c r="AS115" s="260"/>
      <c r="AT115" s="260"/>
      <c r="AU115" s="260"/>
      <c r="AV115" s="260"/>
      <c r="AW115" s="260"/>
      <c r="AX115" s="260"/>
      <c r="AY115" s="260"/>
      <c r="AZ115" s="260"/>
      <c r="BA115" s="260"/>
      <c r="BB115" s="260"/>
      <c r="BC115" s="260"/>
      <c r="BD115" s="260"/>
      <c r="BE115" s="260"/>
      <c r="BF115" s="260"/>
      <c r="BG115" s="260"/>
      <c r="BH115" s="260"/>
      <c r="BI115" s="260"/>
      <c r="BJ115" s="260"/>
      <c r="BK115" s="260"/>
      <c r="BL115" s="260"/>
      <c r="BM115" s="260"/>
      <c r="BN115" s="260"/>
      <c r="BO115" s="260"/>
      <c r="BP115" s="260"/>
      <c r="BQ115" s="260"/>
      <c r="BR115" s="260"/>
      <c r="BS115" s="260"/>
      <c r="BT115" s="260"/>
      <c r="BU115" s="260"/>
      <c r="BV115" s="260"/>
      <c r="BW115" s="260"/>
      <c r="BX115" s="260"/>
    </row>
    <row r="116" spans="1:76" s="256" customFormat="1" ht="22.5" customHeight="1">
      <c r="A116" s="286">
        <v>111</v>
      </c>
      <c r="B116" s="286"/>
      <c r="C116" s="286"/>
      <c r="D116" s="250"/>
      <c r="E116" s="251"/>
      <c r="F116" s="250"/>
      <c r="G116" s="250"/>
      <c r="H116" s="250"/>
      <c r="I116" s="250"/>
      <c r="J116" s="250"/>
      <c r="K116" s="252"/>
      <c r="L116" s="253"/>
      <c r="M116" s="250"/>
      <c r="N116" s="254"/>
      <c r="O116" s="254"/>
      <c r="P116" s="254"/>
      <c r="Q116" s="254"/>
      <c r="R116" s="253"/>
      <c r="S116" s="252"/>
      <c r="T116" s="252"/>
      <c r="U116" s="254"/>
      <c r="V116" s="273"/>
      <c r="W116" s="255"/>
      <c r="X116" s="255"/>
      <c r="Y116" s="255"/>
      <c r="Z116" s="255"/>
      <c r="AA116" s="255"/>
      <c r="AB116" s="257"/>
      <c r="AC116" s="257"/>
      <c r="AD116" s="257"/>
      <c r="AE116" s="257"/>
      <c r="AF116" s="257"/>
      <c r="AG116" s="257"/>
      <c r="AH116" s="257"/>
      <c r="AI116" s="94"/>
      <c r="AJ116" s="94">
        <f t="shared" ca="1" si="6"/>
        <v>0</v>
      </c>
      <c r="AK116" s="94">
        <f t="shared" ca="1" si="7"/>
        <v>0</v>
      </c>
      <c r="AL116" s="260"/>
      <c r="AM116" s="260"/>
      <c r="AN116" s="260"/>
      <c r="AO116" s="260"/>
      <c r="AP116" s="260"/>
      <c r="AQ116" s="260"/>
      <c r="AR116" s="260"/>
      <c r="AS116" s="260"/>
      <c r="AT116" s="260"/>
      <c r="AU116" s="260"/>
      <c r="AV116" s="260"/>
      <c r="AW116" s="260"/>
      <c r="AX116" s="260"/>
      <c r="AY116" s="260"/>
      <c r="AZ116" s="260"/>
      <c r="BA116" s="260"/>
      <c r="BB116" s="260"/>
      <c r="BC116" s="260"/>
      <c r="BD116" s="260"/>
      <c r="BE116" s="260"/>
      <c r="BF116" s="260"/>
      <c r="BG116" s="260"/>
      <c r="BH116" s="260"/>
      <c r="BI116" s="260"/>
      <c r="BJ116" s="260"/>
      <c r="BK116" s="260"/>
      <c r="BL116" s="260"/>
      <c r="BM116" s="260"/>
      <c r="BN116" s="260"/>
      <c r="BO116" s="260"/>
      <c r="BP116" s="260"/>
      <c r="BQ116" s="260"/>
      <c r="BR116" s="260"/>
      <c r="BS116" s="260"/>
      <c r="BT116" s="260"/>
      <c r="BU116" s="260"/>
      <c r="BV116" s="260"/>
      <c r="BW116" s="260"/>
      <c r="BX116" s="260"/>
    </row>
    <row r="117" spans="1:76" s="256" customFormat="1" ht="22.5" customHeight="1">
      <c r="A117" s="286">
        <v>112</v>
      </c>
      <c r="B117" s="286"/>
      <c r="C117" s="286"/>
      <c r="D117" s="250"/>
      <c r="E117" s="251"/>
      <c r="F117" s="250"/>
      <c r="G117" s="250"/>
      <c r="H117" s="250"/>
      <c r="I117" s="250"/>
      <c r="J117" s="250"/>
      <c r="K117" s="252"/>
      <c r="L117" s="253"/>
      <c r="M117" s="250"/>
      <c r="N117" s="254"/>
      <c r="O117" s="254"/>
      <c r="P117" s="254"/>
      <c r="Q117" s="254"/>
      <c r="R117" s="253"/>
      <c r="S117" s="252"/>
      <c r="T117" s="252"/>
      <c r="U117" s="254"/>
      <c r="V117" s="273"/>
      <c r="W117" s="255"/>
      <c r="X117" s="255"/>
      <c r="Y117" s="255"/>
      <c r="Z117" s="255"/>
      <c r="AA117" s="255"/>
      <c r="AB117" s="257"/>
      <c r="AC117" s="257"/>
      <c r="AD117" s="257"/>
      <c r="AE117" s="257"/>
      <c r="AF117" s="257"/>
      <c r="AG117" s="257"/>
      <c r="AH117" s="257"/>
      <c r="AI117" s="94"/>
      <c r="AJ117" s="94">
        <f t="shared" ca="1" si="6"/>
        <v>0</v>
      </c>
      <c r="AK117" s="94">
        <f t="shared" ca="1" si="7"/>
        <v>0</v>
      </c>
      <c r="AL117" s="260"/>
      <c r="AM117" s="260"/>
      <c r="AN117" s="260"/>
      <c r="AO117" s="260"/>
      <c r="AP117" s="260"/>
      <c r="AQ117" s="260"/>
      <c r="AR117" s="260"/>
      <c r="AS117" s="260"/>
      <c r="AT117" s="260"/>
      <c r="AU117" s="260"/>
      <c r="AV117" s="260"/>
      <c r="AW117" s="260"/>
      <c r="AX117" s="260"/>
      <c r="AY117" s="260"/>
      <c r="AZ117" s="260"/>
      <c r="BA117" s="260"/>
      <c r="BB117" s="260"/>
      <c r="BC117" s="260"/>
      <c r="BD117" s="260"/>
      <c r="BE117" s="260"/>
      <c r="BF117" s="260"/>
      <c r="BG117" s="260"/>
      <c r="BH117" s="260"/>
      <c r="BI117" s="260"/>
      <c r="BJ117" s="260"/>
      <c r="BK117" s="260"/>
      <c r="BL117" s="260"/>
      <c r="BM117" s="260"/>
      <c r="BN117" s="260"/>
      <c r="BO117" s="260"/>
      <c r="BP117" s="260"/>
      <c r="BQ117" s="260"/>
      <c r="BR117" s="260"/>
      <c r="BS117" s="260"/>
      <c r="BT117" s="260"/>
      <c r="BU117" s="260"/>
      <c r="BV117" s="260"/>
      <c r="BW117" s="260"/>
      <c r="BX117" s="260"/>
    </row>
    <row r="118" spans="1:76" s="256" customFormat="1" ht="22.5" customHeight="1">
      <c r="A118" s="286">
        <v>113</v>
      </c>
      <c r="B118" s="286"/>
      <c r="C118" s="286"/>
      <c r="D118" s="250"/>
      <c r="E118" s="251"/>
      <c r="F118" s="250"/>
      <c r="G118" s="250"/>
      <c r="H118" s="250"/>
      <c r="I118" s="250"/>
      <c r="J118" s="250"/>
      <c r="K118" s="252"/>
      <c r="L118" s="253"/>
      <c r="M118" s="250"/>
      <c r="N118" s="254"/>
      <c r="O118" s="254"/>
      <c r="P118" s="254"/>
      <c r="Q118" s="254"/>
      <c r="R118" s="253"/>
      <c r="S118" s="252"/>
      <c r="T118" s="252"/>
      <c r="U118" s="254"/>
      <c r="V118" s="273"/>
      <c r="W118" s="255"/>
      <c r="X118" s="255"/>
      <c r="Y118" s="255"/>
      <c r="Z118" s="255"/>
      <c r="AA118" s="255"/>
      <c r="AB118" s="257"/>
      <c r="AC118" s="257"/>
      <c r="AD118" s="257"/>
      <c r="AE118" s="257"/>
      <c r="AF118" s="257"/>
      <c r="AG118" s="257"/>
      <c r="AH118" s="257"/>
      <c r="AI118" s="94"/>
      <c r="AJ118" s="94">
        <f t="shared" ca="1" si="6"/>
        <v>0</v>
      </c>
      <c r="AK118" s="94">
        <f t="shared" ca="1" si="7"/>
        <v>0</v>
      </c>
      <c r="AL118" s="260"/>
      <c r="AM118" s="260"/>
      <c r="AN118" s="260"/>
      <c r="AO118" s="260"/>
      <c r="AP118" s="260"/>
      <c r="AQ118" s="260"/>
      <c r="AR118" s="260"/>
      <c r="AS118" s="260"/>
      <c r="AT118" s="260"/>
      <c r="AU118" s="260"/>
      <c r="AV118" s="260"/>
      <c r="AW118" s="260"/>
      <c r="AX118" s="260"/>
      <c r="AY118" s="260"/>
      <c r="AZ118" s="260"/>
      <c r="BA118" s="260"/>
      <c r="BB118" s="260"/>
      <c r="BC118" s="260"/>
      <c r="BD118" s="260"/>
      <c r="BE118" s="260"/>
      <c r="BF118" s="260"/>
      <c r="BG118" s="260"/>
      <c r="BH118" s="260"/>
      <c r="BI118" s="260"/>
      <c r="BJ118" s="260"/>
      <c r="BK118" s="260"/>
      <c r="BL118" s="260"/>
      <c r="BM118" s="260"/>
      <c r="BN118" s="260"/>
      <c r="BO118" s="260"/>
      <c r="BP118" s="260"/>
      <c r="BQ118" s="260"/>
      <c r="BR118" s="260"/>
      <c r="BS118" s="260"/>
      <c r="BT118" s="260"/>
      <c r="BU118" s="260"/>
      <c r="BV118" s="260"/>
      <c r="BW118" s="260"/>
      <c r="BX118" s="260"/>
    </row>
    <row r="119" spans="1:76" s="256" customFormat="1" ht="22.5" customHeight="1">
      <c r="A119" s="286">
        <v>114</v>
      </c>
      <c r="B119" s="286"/>
      <c r="C119" s="286"/>
      <c r="D119" s="250"/>
      <c r="E119" s="251"/>
      <c r="F119" s="250"/>
      <c r="G119" s="250"/>
      <c r="H119" s="250"/>
      <c r="I119" s="250"/>
      <c r="J119" s="250"/>
      <c r="K119" s="252"/>
      <c r="L119" s="253"/>
      <c r="M119" s="250"/>
      <c r="N119" s="254"/>
      <c r="O119" s="254"/>
      <c r="P119" s="254"/>
      <c r="Q119" s="254"/>
      <c r="R119" s="253"/>
      <c r="S119" s="252"/>
      <c r="T119" s="252"/>
      <c r="U119" s="254"/>
      <c r="V119" s="273"/>
      <c r="W119" s="255"/>
      <c r="X119" s="255"/>
      <c r="Y119" s="255"/>
      <c r="Z119" s="255"/>
      <c r="AA119" s="255"/>
      <c r="AB119" s="257"/>
      <c r="AC119" s="257"/>
      <c r="AD119" s="257"/>
      <c r="AE119" s="257"/>
      <c r="AF119" s="257"/>
      <c r="AG119" s="257"/>
      <c r="AH119" s="257"/>
      <c r="AI119" s="94"/>
      <c r="AJ119" s="94">
        <f t="shared" ca="1" si="6"/>
        <v>0</v>
      </c>
      <c r="AK119" s="94">
        <f t="shared" ca="1" si="7"/>
        <v>0</v>
      </c>
      <c r="AL119" s="260"/>
      <c r="AM119" s="260"/>
      <c r="AN119" s="260"/>
      <c r="AO119" s="260"/>
      <c r="AP119" s="260"/>
      <c r="AQ119" s="260"/>
      <c r="AR119" s="260"/>
      <c r="AS119" s="260"/>
      <c r="AT119" s="260"/>
      <c r="AU119" s="260"/>
      <c r="AV119" s="260"/>
      <c r="AW119" s="260"/>
      <c r="AX119" s="260"/>
      <c r="AY119" s="260"/>
      <c r="AZ119" s="260"/>
      <c r="BA119" s="260"/>
      <c r="BB119" s="260"/>
      <c r="BC119" s="260"/>
      <c r="BD119" s="260"/>
      <c r="BE119" s="260"/>
      <c r="BF119" s="260"/>
      <c r="BG119" s="260"/>
      <c r="BH119" s="260"/>
      <c r="BI119" s="260"/>
      <c r="BJ119" s="260"/>
      <c r="BK119" s="260"/>
      <c r="BL119" s="260"/>
      <c r="BM119" s="260"/>
      <c r="BN119" s="260"/>
      <c r="BO119" s="260"/>
      <c r="BP119" s="260"/>
      <c r="BQ119" s="260"/>
      <c r="BR119" s="260"/>
      <c r="BS119" s="260"/>
      <c r="BT119" s="260"/>
      <c r="BU119" s="260"/>
      <c r="BV119" s="260"/>
      <c r="BW119" s="260"/>
      <c r="BX119" s="260"/>
    </row>
    <row r="120" spans="1:76" s="256" customFormat="1" ht="22.5" customHeight="1">
      <c r="A120" s="286">
        <v>115</v>
      </c>
      <c r="B120" s="286"/>
      <c r="C120" s="286"/>
      <c r="D120" s="250"/>
      <c r="E120" s="251"/>
      <c r="F120" s="250"/>
      <c r="G120" s="250"/>
      <c r="H120" s="250"/>
      <c r="I120" s="250"/>
      <c r="J120" s="250"/>
      <c r="K120" s="252"/>
      <c r="L120" s="253"/>
      <c r="M120" s="250"/>
      <c r="N120" s="254"/>
      <c r="O120" s="254"/>
      <c r="P120" s="254"/>
      <c r="Q120" s="254"/>
      <c r="R120" s="253"/>
      <c r="S120" s="252"/>
      <c r="T120" s="252"/>
      <c r="U120" s="254"/>
      <c r="V120" s="273"/>
      <c r="W120" s="255"/>
      <c r="X120" s="255"/>
      <c r="Y120" s="255"/>
      <c r="Z120" s="255"/>
      <c r="AA120" s="255"/>
      <c r="AB120" s="257"/>
      <c r="AC120" s="257"/>
      <c r="AD120" s="257"/>
      <c r="AE120" s="257"/>
      <c r="AF120" s="257"/>
      <c r="AG120" s="257"/>
      <c r="AH120" s="257"/>
      <c r="AI120" s="94"/>
      <c r="AJ120" s="94">
        <f t="shared" ca="1" si="6"/>
        <v>0</v>
      </c>
      <c r="AK120" s="94">
        <f t="shared" ca="1" si="7"/>
        <v>0</v>
      </c>
      <c r="AL120" s="260"/>
      <c r="AM120" s="260"/>
      <c r="AN120" s="260"/>
      <c r="AO120" s="260"/>
      <c r="AP120" s="260"/>
      <c r="AQ120" s="260"/>
      <c r="AR120" s="260"/>
      <c r="AS120" s="260"/>
      <c r="AT120" s="260"/>
      <c r="AU120" s="260"/>
      <c r="AV120" s="260"/>
      <c r="AW120" s="260"/>
      <c r="AX120" s="260"/>
      <c r="AY120" s="260"/>
      <c r="AZ120" s="260"/>
      <c r="BA120" s="260"/>
      <c r="BB120" s="260"/>
      <c r="BC120" s="260"/>
      <c r="BD120" s="260"/>
      <c r="BE120" s="260"/>
      <c r="BF120" s="260"/>
      <c r="BG120" s="260"/>
      <c r="BH120" s="260"/>
      <c r="BI120" s="260"/>
      <c r="BJ120" s="260"/>
      <c r="BK120" s="260"/>
      <c r="BL120" s="260"/>
      <c r="BM120" s="260"/>
      <c r="BN120" s="260"/>
      <c r="BO120" s="260"/>
      <c r="BP120" s="260"/>
      <c r="BQ120" s="260"/>
      <c r="BR120" s="260"/>
      <c r="BS120" s="260"/>
      <c r="BT120" s="260"/>
      <c r="BU120" s="260"/>
      <c r="BV120" s="260"/>
      <c r="BW120" s="260"/>
      <c r="BX120" s="260"/>
    </row>
    <row r="121" spans="1:76" s="256" customFormat="1" ht="22.5" customHeight="1">
      <c r="A121" s="286">
        <v>116</v>
      </c>
      <c r="B121" s="286"/>
      <c r="C121" s="286"/>
      <c r="D121" s="250"/>
      <c r="E121" s="251"/>
      <c r="F121" s="250"/>
      <c r="G121" s="250"/>
      <c r="H121" s="250"/>
      <c r="I121" s="250"/>
      <c r="J121" s="250"/>
      <c r="K121" s="252"/>
      <c r="L121" s="253"/>
      <c r="M121" s="250"/>
      <c r="N121" s="254"/>
      <c r="O121" s="254"/>
      <c r="P121" s="254"/>
      <c r="Q121" s="254"/>
      <c r="R121" s="253"/>
      <c r="S121" s="252"/>
      <c r="T121" s="252"/>
      <c r="U121" s="254"/>
      <c r="V121" s="273"/>
      <c r="W121" s="255"/>
      <c r="X121" s="255"/>
      <c r="Y121" s="255"/>
      <c r="Z121" s="255"/>
      <c r="AA121" s="255"/>
      <c r="AB121" s="257"/>
      <c r="AC121" s="257"/>
      <c r="AD121" s="257"/>
      <c r="AE121" s="257"/>
      <c r="AF121" s="257"/>
      <c r="AG121" s="257"/>
      <c r="AH121" s="257"/>
      <c r="AI121" s="94"/>
      <c r="AJ121" s="94">
        <f t="shared" ca="1" si="6"/>
        <v>0</v>
      </c>
      <c r="AK121" s="94">
        <f t="shared" ca="1" si="7"/>
        <v>0</v>
      </c>
      <c r="AL121" s="260"/>
      <c r="AM121" s="260"/>
      <c r="AN121" s="260"/>
      <c r="AO121" s="260"/>
      <c r="AP121" s="260"/>
      <c r="AQ121" s="260"/>
      <c r="AR121" s="260"/>
      <c r="AS121" s="260"/>
      <c r="AT121" s="260"/>
      <c r="AU121" s="260"/>
      <c r="AV121" s="260"/>
      <c r="AW121" s="260"/>
      <c r="AX121" s="260"/>
      <c r="AY121" s="260"/>
      <c r="AZ121" s="260"/>
      <c r="BA121" s="260"/>
      <c r="BB121" s="260"/>
      <c r="BC121" s="260"/>
      <c r="BD121" s="260"/>
      <c r="BE121" s="260"/>
      <c r="BF121" s="260"/>
      <c r="BG121" s="260"/>
      <c r="BH121" s="260"/>
      <c r="BI121" s="260"/>
      <c r="BJ121" s="260"/>
      <c r="BK121" s="260"/>
      <c r="BL121" s="260"/>
      <c r="BM121" s="260"/>
      <c r="BN121" s="260"/>
      <c r="BO121" s="260"/>
      <c r="BP121" s="260"/>
      <c r="BQ121" s="260"/>
      <c r="BR121" s="260"/>
      <c r="BS121" s="260"/>
      <c r="BT121" s="260"/>
      <c r="BU121" s="260"/>
      <c r="BV121" s="260"/>
      <c r="BW121" s="260"/>
      <c r="BX121" s="260"/>
    </row>
    <row r="122" spans="1:76" s="256" customFormat="1" ht="22.5" customHeight="1">
      <c r="A122" s="286">
        <v>117</v>
      </c>
      <c r="B122" s="286"/>
      <c r="C122" s="286"/>
      <c r="D122" s="250"/>
      <c r="E122" s="251"/>
      <c r="F122" s="250"/>
      <c r="G122" s="250"/>
      <c r="H122" s="250"/>
      <c r="I122" s="250"/>
      <c r="J122" s="250"/>
      <c r="K122" s="252"/>
      <c r="L122" s="253"/>
      <c r="M122" s="250"/>
      <c r="N122" s="254"/>
      <c r="O122" s="254"/>
      <c r="P122" s="254"/>
      <c r="Q122" s="254"/>
      <c r="R122" s="253"/>
      <c r="S122" s="252"/>
      <c r="T122" s="252"/>
      <c r="U122" s="254"/>
      <c r="V122" s="273"/>
      <c r="W122" s="255"/>
      <c r="X122" s="255"/>
      <c r="Y122" s="255"/>
      <c r="Z122" s="255"/>
      <c r="AA122" s="255"/>
      <c r="AB122" s="257"/>
      <c r="AC122" s="257"/>
      <c r="AD122" s="257"/>
      <c r="AE122" s="257"/>
      <c r="AF122" s="257"/>
      <c r="AG122" s="257"/>
      <c r="AH122" s="257"/>
      <c r="AI122" s="94"/>
      <c r="AJ122" s="94">
        <f t="shared" ca="1" si="6"/>
        <v>0</v>
      </c>
      <c r="AK122" s="94">
        <f t="shared" ca="1" si="7"/>
        <v>0</v>
      </c>
      <c r="AL122" s="260"/>
      <c r="AM122" s="260"/>
      <c r="AN122" s="260"/>
      <c r="AO122" s="260"/>
      <c r="AP122" s="260"/>
      <c r="AQ122" s="260"/>
      <c r="AR122" s="260"/>
      <c r="AS122" s="260"/>
      <c r="AT122" s="260"/>
      <c r="AU122" s="260"/>
      <c r="AV122" s="260"/>
      <c r="AW122" s="260"/>
      <c r="AX122" s="260"/>
      <c r="AY122" s="260"/>
      <c r="AZ122" s="260"/>
      <c r="BA122" s="260"/>
      <c r="BB122" s="260"/>
      <c r="BC122" s="260"/>
      <c r="BD122" s="260"/>
      <c r="BE122" s="260"/>
      <c r="BF122" s="260"/>
      <c r="BG122" s="260"/>
      <c r="BH122" s="260"/>
      <c r="BI122" s="260"/>
      <c r="BJ122" s="260"/>
      <c r="BK122" s="260"/>
      <c r="BL122" s="260"/>
      <c r="BM122" s="260"/>
      <c r="BN122" s="260"/>
      <c r="BO122" s="260"/>
      <c r="BP122" s="260"/>
      <c r="BQ122" s="260"/>
      <c r="BR122" s="260"/>
      <c r="BS122" s="260"/>
      <c r="BT122" s="260"/>
      <c r="BU122" s="260"/>
      <c r="BV122" s="260"/>
      <c r="BW122" s="260"/>
      <c r="BX122" s="260"/>
    </row>
    <row r="123" spans="1:76" s="256" customFormat="1" ht="22.5" customHeight="1">
      <c r="A123" s="286">
        <v>118</v>
      </c>
      <c r="B123" s="286"/>
      <c r="C123" s="286"/>
      <c r="D123" s="250"/>
      <c r="E123" s="251"/>
      <c r="F123" s="250"/>
      <c r="G123" s="250"/>
      <c r="H123" s="250"/>
      <c r="I123" s="250"/>
      <c r="J123" s="250"/>
      <c r="K123" s="252"/>
      <c r="L123" s="253"/>
      <c r="M123" s="250"/>
      <c r="N123" s="254"/>
      <c r="O123" s="254"/>
      <c r="P123" s="254"/>
      <c r="Q123" s="254"/>
      <c r="R123" s="253"/>
      <c r="S123" s="252"/>
      <c r="T123" s="252"/>
      <c r="U123" s="254"/>
      <c r="V123" s="273"/>
      <c r="W123" s="255"/>
      <c r="X123" s="255"/>
      <c r="Y123" s="255"/>
      <c r="Z123" s="255"/>
      <c r="AA123" s="255"/>
      <c r="AB123" s="257"/>
      <c r="AC123" s="257"/>
      <c r="AD123" s="257"/>
      <c r="AE123" s="257"/>
      <c r="AF123" s="257"/>
      <c r="AG123" s="257"/>
      <c r="AH123" s="257"/>
      <c r="AI123" s="94"/>
      <c r="AJ123" s="94">
        <f t="shared" ca="1" si="6"/>
        <v>0</v>
      </c>
      <c r="AK123" s="94">
        <f t="shared" ca="1" si="7"/>
        <v>0</v>
      </c>
      <c r="AL123" s="260"/>
      <c r="AM123" s="260"/>
      <c r="AN123" s="260"/>
      <c r="AO123" s="260"/>
      <c r="AP123" s="260"/>
      <c r="AQ123" s="260"/>
      <c r="AR123" s="260"/>
      <c r="AS123" s="260"/>
      <c r="AT123" s="260"/>
      <c r="AU123" s="260"/>
      <c r="AV123" s="260"/>
      <c r="AW123" s="260"/>
      <c r="AX123" s="260"/>
      <c r="AY123" s="260"/>
      <c r="AZ123" s="260"/>
      <c r="BA123" s="260"/>
      <c r="BB123" s="260"/>
      <c r="BC123" s="260"/>
      <c r="BD123" s="260"/>
      <c r="BE123" s="260"/>
      <c r="BF123" s="260"/>
      <c r="BG123" s="260"/>
      <c r="BH123" s="260"/>
      <c r="BI123" s="260"/>
      <c r="BJ123" s="260"/>
      <c r="BK123" s="260"/>
      <c r="BL123" s="260"/>
      <c r="BM123" s="260"/>
      <c r="BN123" s="260"/>
      <c r="BO123" s="260"/>
      <c r="BP123" s="260"/>
      <c r="BQ123" s="260"/>
      <c r="BR123" s="260"/>
      <c r="BS123" s="260"/>
      <c r="BT123" s="260"/>
      <c r="BU123" s="260"/>
      <c r="BV123" s="260"/>
      <c r="BW123" s="260"/>
      <c r="BX123" s="260"/>
    </row>
    <row r="124" spans="1:76" s="256" customFormat="1" ht="22.5" customHeight="1">
      <c r="A124" s="286">
        <v>119</v>
      </c>
      <c r="B124" s="286"/>
      <c r="C124" s="286"/>
      <c r="D124" s="250"/>
      <c r="E124" s="251"/>
      <c r="F124" s="250"/>
      <c r="G124" s="250"/>
      <c r="H124" s="250"/>
      <c r="I124" s="250"/>
      <c r="J124" s="250"/>
      <c r="K124" s="252"/>
      <c r="L124" s="253"/>
      <c r="M124" s="250"/>
      <c r="N124" s="254"/>
      <c r="O124" s="254"/>
      <c r="P124" s="254"/>
      <c r="Q124" s="254"/>
      <c r="R124" s="253"/>
      <c r="S124" s="252"/>
      <c r="T124" s="252"/>
      <c r="U124" s="254"/>
      <c r="V124" s="273"/>
      <c r="W124" s="255"/>
      <c r="X124" s="255"/>
      <c r="Y124" s="255"/>
      <c r="Z124" s="255"/>
      <c r="AA124" s="255"/>
      <c r="AB124" s="257"/>
      <c r="AC124" s="257"/>
      <c r="AD124" s="257"/>
      <c r="AE124" s="257"/>
      <c r="AF124" s="257"/>
      <c r="AG124" s="257"/>
      <c r="AH124" s="257"/>
      <c r="AI124" s="94"/>
      <c r="AJ124" s="94">
        <f t="shared" ca="1" si="6"/>
        <v>0</v>
      </c>
      <c r="AK124" s="94">
        <f t="shared" ca="1" si="7"/>
        <v>0</v>
      </c>
      <c r="AL124" s="260"/>
      <c r="AM124" s="260"/>
      <c r="AN124" s="260"/>
      <c r="AO124" s="260"/>
      <c r="AP124" s="260"/>
      <c r="AQ124" s="260"/>
      <c r="AR124" s="260"/>
      <c r="AS124" s="260"/>
      <c r="AT124" s="260"/>
      <c r="AU124" s="260"/>
      <c r="AV124" s="260"/>
      <c r="AW124" s="260"/>
      <c r="AX124" s="260"/>
      <c r="AY124" s="260"/>
      <c r="AZ124" s="260"/>
      <c r="BA124" s="260"/>
      <c r="BB124" s="260"/>
      <c r="BC124" s="260"/>
      <c r="BD124" s="260"/>
      <c r="BE124" s="260"/>
      <c r="BF124" s="260"/>
      <c r="BG124" s="260"/>
      <c r="BH124" s="260"/>
      <c r="BI124" s="260"/>
      <c r="BJ124" s="260"/>
      <c r="BK124" s="260"/>
      <c r="BL124" s="260"/>
      <c r="BM124" s="260"/>
      <c r="BN124" s="260"/>
      <c r="BO124" s="260"/>
      <c r="BP124" s="260"/>
      <c r="BQ124" s="260"/>
      <c r="BR124" s="260"/>
      <c r="BS124" s="260"/>
      <c r="BT124" s="260"/>
      <c r="BU124" s="260"/>
      <c r="BV124" s="260"/>
      <c r="BW124" s="260"/>
      <c r="BX124" s="260"/>
    </row>
    <row r="125" spans="1:76" s="256" customFormat="1" ht="22.5" customHeight="1">
      <c r="A125" s="286">
        <v>120</v>
      </c>
      <c r="B125" s="286"/>
      <c r="C125" s="286"/>
      <c r="D125" s="250"/>
      <c r="E125" s="251"/>
      <c r="F125" s="250"/>
      <c r="G125" s="250"/>
      <c r="H125" s="250"/>
      <c r="I125" s="250"/>
      <c r="J125" s="250"/>
      <c r="K125" s="252"/>
      <c r="L125" s="253"/>
      <c r="M125" s="250"/>
      <c r="N125" s="254"/>
      <c r="O125" s="254"/>
      <c r="P125" s="254"/>
      <c r="Q125" s="254"/>
      <c r="R125" s="253"/>
      <c r="S125" s="252"/>
      <c r="T125" s="252"/>
      <c r="U125" s="254"/>
      <c r="V125" s="273"/>
      <c r="W125" s="255"/>
      <c r="X125" s="255"/>
      <c r="Y125" s="255"/>
      <c r="Z125" s="255"/>
      <c r="AA125" s="255"/>
      <c r="AB125" s="257"/>
      <c r="AC125" s="257"/>
      <c r="AD125" s="257"/>
      <c r="AE125" s="257"/>
      <c r="AF125" s="257"/>
      <c r="AG125" s="257"/>
      <c r="AH125" s="257"/>
      <c r="AI125" s="94"/>
      <c r="AJ125" s="94">
        <f t="shared" ca="1" si="6"/>
        <v>0</v>
      </c>
      <c r="AK125" s="94">
        <f t="shared" ca="1" si="7"/>
        <v>0</v>
      </c>
      <c r="AL125" s="260"/>
      <c r="AM125" s="260"/>
      <c r="AN125" s="260"/>
      <c r="AO125" s="260"/>
      <c r="AP125" s="260"/>
      <c r="AQ125" s="260"/>
      <c r="AR125" s="260"/>
      <c r="AS125" s="260"/>
      <c r="AT125" s="260"/>
      <c r="AU125" s="260"/>
      <c r="AV125" s="260"/>
      <c r="AW125" s="260"/>
      <c r="AX125" s="260"/>
      <c r="AY125" s="260"/>
      <c r="AZ125" s="260"/>
      <c r="BA125" s="260"/>
      <c r="BB125" s="260"/>
      <c r="BC125" s="260"/>
      <c r="BD125" s="260"/>
      <c r="BE125" s="260"/>
      <c r="BF125" s="260"/>
      <c r="BG125" s="260"/>
      <c r="BH125" s="260"/>
      <c r="BI125" s="260"/>
      <c r="BJ125" s="260"/>
      <c r="BK125" s="260"/>
      <c r="BL125" s="260"/>
      <c r="BM125" s="260"/>
      <c r="BN125" s="260"/>
      <c r="BO125" s="260"/>
      <c r="BP125" s="260"/>
      <c r="BQ125" s="260"/>
      <c r="BR125" s="260"/>
      <c r="BS125" s="260"/>
      <c r="BT125" s="260"/>
      <c r="BU125" s="260"/>
      <c r="BV125" s="260"/>
      <c r="BW125" s="260"/>
      <c r="BX125" s="260"/>
    </row>
    <row r="126" spans="1:76" s="256" customFormat="1" ht="22.5" customHeight="1">
      <c r="A126" s="286">
        <v>121</v>
      </c>
      <c r="B126" s="286"/>
      <c r="C126" s="286"/>
      <c r="D126" s="250"/>
      <c r="E126" s="251"/>
      <c r="F126" s="250"/>
      <c r="G126" s="250"/>
      <c r="H126" s="250"/>
      <c r="I126" s="250"/>
      <c r="J126" s="250"/>
      <c r="K126" s="252"/>
      <c r="L126" s="253"/>
      <c r="M126" s="250"/>
      <c r="N126" s="254"/>
      <c r="O126" s="254"/>
      <c r="P126" s="254"/>
      <c r="Q126" s="254"/>
      <c r="R126" s="253"/>
      <c r="S126" s="252"/>
      <c r="T126" s="252"/>
      <c r="U126" s="254"/>
      <c r="V126" s="273"/>
      <c r="W126" s="255"/>
      <c r="X126" s="255"/>
      <c r="Y126" s="255"/>
      <c r="Z126" s="255"/>
      <c r="AA126" s="255"/>
      <c r="AB126" s="257"/>
      <c r="AC126" s="257"/>
      <c r="AD126" s="257"/>
      <c r="AE126" s="257"/>
      <c r="AF126" s="257"/>
      <c r="AG126" s="257"/>
      <c r="AH126" s="257"/>
      <c r="AI126" s="94"/>
      <c r="AJ126" s="94">
        <f t="shared" ca="1" si="6"/>
        <v>0</v>
      </c>
      <c r="AK126" s="94">
        <f t="shared" ca="1" si="7"/>
        <v>0</v>
      </c>
      <c r="AL126" s="260"/>
      <c r="AM126" s="260"/>
      <c r="AN126" s="260"/>
      <c r="AO126" s="260"/>
      <c r="AP126" s="260"/>
      <c r="AQ126" s="260"/>
      <c r="AR126" s="260"/>
      <c r="AS126" s="260"/>
      <c r="AT126" s="260"/>
      <c r="AU126" s="260"/>
      <c r="AV126" s="260"/>
      <c r="AW126" s="260"/>
      <c r="AX126" s="260"/>
      <c r="AY126" s="260"/>
      <c r="AZ126" s="260"/>
      <c r="BA126" s="260"/>
      <c r="BB126" s="260"/>
      <c r="BC126" s="260"/>
      <c r="BD126" s="260"/>
      <c r="BE126" s="260"/>
      <c r="BF126" s="260"/>
      <c r="BG126" s="260"/>
      <c r="BH126" s="260"/>
      <c r="BI126" s="260"/>
      <c r="BJ126" s="260"/>
      <c r="BK126" s="260"/>
      <c r="BL126" s="260"/>
      <c r="BM126" s="260"/>
      <c r="BN126" s="260"/>
      <c r="BO126" s="260"/>
      <c r="BP126" s="260"/>
      <c r="BQ126" s="260"/>
      <c r="BR126" s="260"/>
      <c r="BS126" s="260"/>
      <c r="BT126" s="260"/>
      <c r="BU126" s="260"/>
      <c r="BV126" s="260"/>
      <c r="BW126" s="260"/>
      <c r="BX126" s="260"/>
    </row>
    <row r="127" spans="1:76" s="256" customFormat="1" ht="22.5" customHeight="1">
      <c r="A127" s="286">
        <v>122</v>
      </c>
      <c r="B127" s="286"/>
      <c r="C127" s="286"/>
      <c r="D127" s="250"/>
      <c r="E127" s="251"/>
      <c r="F127" s="250"/>
      <c r="G127" s="250"/>
      <c r="H127" s="250"/>
      <c r="I127" s="250"/>
      <c r="J127" s="250"/>
      <c r="K127" s="252"/>
      <c r="L127" s="253"/>
      <c r="M127" s="250"/>
      <c r="N127" s="254"/>
      <c r="O127" s="254"/>
      <c r="P127" s="254"/>
      <c r="Q127" s="254"/>
      <c r="R127" s="253"/>
      <c r="S127" s="252"/>
      <c r="T127" s="252"/>
      <c r="U127" s="254"/>
      <c r="V127" s="273"/>
      <c r="W127" s="255"/>
      <c r="X127" s="255"/>
      <c r="Y127" s="255"/>
      <c r="Z127" s="255"/>
      <c r="AA127" s="255"/>
      <c r="AB127" s="257"/>
      <c r="AC127" s="257"/>
      <c r="AD127" s="257"/>
      <c r="AE127" s="257"/>
      <c r="AF127" s="257"/>
      <c r="AG127" s="257"/>
      <c r="AH127" s="257"/>
      <c r="AI127" s="94"/>
      <c r="AJ127" s="94">
        <f t="shared" ca="1" si="6"/>
        <v>0</v>
      </c>
      <c r="AK127" s="94">
        <f t="shared" ca="1" si="7"/>
        <v>0</v>
      </c>
      <c r="AL127" s="260"/>
      <c r="AM127" s="260"/>
      <c r="AN127" s="260"/>
      <c r="AO127" s="260"/>
      <c r="AP127" s="260"/>
      <c r="AQ127" s="260"/>
      <c r="AR127" s="260"/>
      <c r="AS127" s="260"/>
      <c r="AT127" s="260"/>
      <c r="AU127" s="260"/>
      <c r="AV127" s="260"/>
      <c r="AW127" s="260"/>
      <c r="AX127" s="260"/>
      <c r="AY127" s="260"/>
      <c r="AZ127" s="260"/>
      <c r="BA127" s="260"/>
      <c r="BB127" s="260"/>
      <c r="BC127" s="260"/>
      <c r="BD127" s="260"/>
      <c r="BE127" s="260"/>
      <c r="BF127" s="260"/>
      <c r="BG127" s="260"/>
      <c r="BH127" s="260"/>
      <c r="BI127" s="260"/>
      <c r="BJ127" s="260"/>
      <c r="BK127" s="260"/>
      <c r="BL127" s="260"/>
      <c r="BM127" s="260"/>
      <c r="BN127" s="260"/>
      <c r="BO127" s="260"/>
      <c r="BP127" s="260"/>
      <c r="BQ127" s="260"/>
      <c r="BR127" s="260"/>
      <c r="BS127" s="260"/>
      <c r="BT127" s="260"/>
      <c r="BU127" s="260"/>
      <c r="BV127" s="260"/>
      <c r="BW127" s="260"/>
      <c r="BX127" s="260"/>
    </row>
    <row r="128" spans="1:76" s="256" customFormat="1" ht="22.5" customHeight="1">
      <c r="A128" s="286">
        <v>123</v>
      </c>
      <c r="B128" s="286"/>
      <c r="C128" s="286"/>
      <c r="D128" s="250"/>
      <c r="E128" s="251"/>
      <c r="F128" s="250"/>
      <c r="G128" s="250"/>
      <c r="H128" s="250"/>
      <c r="I128" s="250"/>
      <c r="J128" s="250"/>
      <c r="K128" s="252"/>
      <c r="L128" s="253"/>
      <c r="M128" s="250"/>
      <c r="N128" s="254"/>
      <c r="O128" s="254"/>
      <c r="P128" s="254"/>
      <c r="Q128" s="254"/>
      <c r="R128" s="253"/>
      <c r="S128" s="252"/>
      <c r="T128" s="252"/>
      <c r="U128" s="254"/>
      <c r="V128" s="273"/>
      <c r="W128" s="255"/>
      <c r="X128" s="255"/>
      <c r="Y128" s="255"/>
      <c r="Z128" s="255"/>
      <c r="AA128" s="255"/>
      <c r="AB128" s="257"/>
      <c r="AC128" s="257"/>
      <c r="AD128" s="257"/>
      <c r="AE128" s="257"/>
      <c r="AF128" s="257"/>
      <c r="AG128" s="257"/>
      <c r="AH128" s="257"/>
      <c r="AI128" s="94"/>
      <c r="AJ128" s="94">
        <f t="shared" ca="1" si="6"/>
        <v>0</v>
      </c>
      <c r="AK128" s="94">
        <f t="shared" ca="1" si="7"/>
        <v>0</v>
      </c>
      <c r="AL128" s="260"/>
      <c r="AM128" s="260"/>
      <c r="AN128" s="260"/>
      <c r="AO128" s="260"/>
      <c r="AP128" s="260"/>
      <c r="AQ128" s="260"/>
      <c r="AR128" s="260"/>
      <c r="AS128" s="260"/>
      <c r="AT128" s="260"/>
      <c r="AU128" s="260"/>
      <c r="AV128" s="260"/>
      <c r="AW128" s="260"/>
      <c r="AX128" s="260"/>
      <c r="AY128" s="260"/>
      <c r="AZ128" s="260"/>
      <c r="BA128" s="260"/>
      <c r="BB128" s="260"/>
      <c r="BC128" s="260"/>
      <c r="BD128" s="260"/>
      <c r="BE128" s="260"/>
      <c r="BF128" s="260"/>
      <c r="BG128" s="260"/>
      <c r="BH128" s="260"/>
      <c r="BI128" s="260"/>
      <c r="BJ128" s="260"/>
      <c r="BK128" s="260"/>
      <c r="BL128" s="260"/>
      <c r="BM128" s="260"/>
      <c r="BN128" s="260"/>
      <c r="BO128" s="260"/>
      <c r="BP128" s="260"/>
      <c r="BQ128" s="260"/>
      <c r="BR128" s="260"/>
      <c r="BS128" s="260"/>
      <c r="BT128" s="260"/>
      <c r="BU128" s="260"/>
      <c r="BV128" s="260"/>
      <c r="BW128" s="260"/>
      <c r="BX128" s="260"/>
    </row>
    <row r="129" spans="1:76" s="256" customFormat="1" ht="22.5" customHeight="1">
      <c r="A129" s="286">
        <v>124</v>
      </c>
      <c r="B129" s="286"/>
      <c r="C129" s="286"/>
      <c r="D129" s="250"/>
      <c r="E129" s="251"/>
      <c r="F129" s="250"/>
      <c r="G129" s="250"/>
      <c r="H129" s="250"/>
      <c r="I129" s="250"/>
      <c r="J129" s="250"/>
      <c r="K129" s="252"/>
      <c r="L129" s="253"/>
      <c r="M129" s="250"/>
      <c r="N129" s="254"/>
      <c r="O129" s="254"/>
      <c r="P129" s="254"/>
      <c r="Q129" s="254"/>
      <c r="R129" s="253"/>
      <c r="S129" s="252"/>
      <c r="T129" s="252"/>
      <c r="U129" s="254"/>
      <c r="V129" s="273"/>
      <c r="W129" s="255"/>
      <c r="X129" s="255"/>
      <c r="Y129" s="255"/>
      <c r="Z129" s="255"/>
      <c r="AA129" s="255"/>
      <c r="AB129" s="257"/>
      <c r="AC129" s="257"/>
      <c r="AD129" s="257"/>
      <c r="AE129" s="257"/>
      <c r="AF129" s="257"/>
      <c r="AG129" s="257"/>
      <c r="AH129" s="257"/>
      <c r="AI129" s="94"/>
      <c r="AJ129" s="94">
        <f t="shared" ca="1" si="6"/>
        <v>0</v>
      </c>
      <c r="AK129" s="94">
        <f t="shared" ca="1" si="7"/>
        <v>0</v>
      </c>
      <c r="AL129" s="260"/>
      <c r="AM129" s="260"/>
      <c r="AN129" s="260"/>
      <c r="AO129" s="260"/>
      <c r="AP129" s="260"/>
      <c r="AQ129" s="260"/>
      <c r="AR129" s="260"/>
      <c r="AS129" s="260"/>
      <c r="AT129" s="260"/>
      <c r="AU129" s="260"/>
      <c r="AV129" s="260"/>
      <c r="AW129" s="260"/>
      <c r="AX129" s="260"/>
      <c r="AY129" s="260"/>
      <c r="AZ129" s="260"/>
      <c r="BA129" s="260"/>
      <c r="BB129" s="260"/>
      <c r="BC129" s="260"/>
      <c r="BD129" s="260"/>
      <c r="BE129" s="260"/>
      <c r="BF129" s="260"/>
      <c r="BG129" s="260"/>
      <c r="BH129" s="260"/>
      <c r="BI129" s="260"/>
      <c r="BJ129" s="260"/>
      <c r="BK129" s="260"/>
      <c r="BL129" s="260"/>
      <c r="BM129" s="260"/>
      <c r="BN129" s="260"/>
      <c r="BO129" s="260"/>
      <c r="BP129" s="260"/>
      <c r="BQ129" s="260"/>
      <c r="BR129" s="260"/>
      <c r="BS129" s="260"/>
      <c r="BT129" s="260"/>
      <c r="BU129" s="260"/>
      <c r="BV129" s="260"/>
      <c r="BW129" s="260"/>
      <c r="BX129" s="260"/>
    </row>
    <row r="130" spans="1:76" s="256" customFormat="1" ht="22.5" customHeight="1">
      <c r="A130" s="286">
        <v>125</v>
      </c>
      <c r="B130" s="286"/>
      <c r="C130" s="286"/>
      <c r="D130" s="250"/>
      <c r="E130" s="251"/>
      <c r="F130" s="250"/>
      <c r="G130" s="250"/>
      <c r="H130" s="250"/>
      <c r="I130" s="250"/>
      <c r="J130" s="250"/>
      <c r="K130" s="252"/>
      <c r="L130" s="253"/>
      <c r="M130" s="250"/>
      <c r="N130" s="254"/>
      <c r="O130" s="254"/>
      <c r="P130" s="254"/>
      <c r="Q130" s="254"/>
      <c r="R130" s="253"/>
      <c r="S130" s="252"/>
      <c r="T130" s="252"/>
      <c r="U130" s="254"/>
      <c r="V130" s="273"/>
      <c r="W130" s="255"/>
      <c r="X130" s="255"/>
      <c r="Y130" s="255"/>
      <c r="Z130" s="255"/>
      <c r="AA130" s="255"/>
      <c r="AB130" s="257"/>
      <c r="AC130" s="257"/>
      <c r="AD130" s="257"/>
      <c r="AE130" s="257"/>
      <c r="AF130" s="257"/>
      <c r="AG130" s="257"/>
      <c r="AH130" s="257"/>
      <c r="AI130" s="94"/>
      <c r="AJ130" s="94">
        <f t="shared" ca="1" si="6"/>
        <v>0</v>
      </c>
      <c r="AK130" s="94">
        <f t="shared" ca="1" si="7"/>
        <v>0</v>
      </c>
      <c r="AL130" s="260"/>
      <c r="AM130" s="260"/>
      <c r="AN130" s="260"/>
      <c r="AO130" s="260"/>
      <c r="AP130" s="260"/>
      <c r="AQ130" s="260"/>
      <c r="AR130" s="260"/>
      <c r="AS130" s="260"/>
      <c r="AT130" s="260"/>
      <c r="AU130" s="260"/>
      <c r="AV130" s="260"/>
      <c r="AW130" s="260"/>
      <c r="AX130" s="260"/>
      <c r="AY130" s="260"/>
      <c r="AZ130" s="260"/>
      <c r="BA130" s="260"/>
      <c r="BB130" s="260"/>
      <c r="BC130" s="260"/>
      <c r="BD130" s="260"/>
      <c r="BE130" s="260"/>
      <c r="BF130" s="260"/>
      <c r="BG130" s="260"/>
      <c r="BH130" s="260"/>
      <c r="BI130" s="260"/>
      <c r="BJ130" s="260"/>
      <c r="BK130" s="260"/>
      <c r="BL130" s="260"/>
      <c r="BM130" s="260"/>
      <c r="BN130" s="260"/>
      <c r="BO130" s="260"/>
      <c r="BP130" s="260"/>
      <c r="BQ130" s="260"/>
      <c r="BR130" s="260"/>
      <c r="BS130" s="260"/>
      <c r="BT130" s="260"/>
      <c r="BU130" s="260"/>
      <c r="BV130" s="260"/>
      <c r="BW130" s="260"/>
      <c r="BX130" s="260"/>
    </row>
    <row r="131" spans="1:76" s="256" customFormat="1" ht="22.5" customHeight="1">
      <c r="A131" s="286">
        <v>126</v>
      </c>
      <c r="B131" s="286"/>
      <c r="C131" s="286"/>
      <c r="D131" s="250"/>
      <c r="E131" s="251"/>
      <c r="F131" s="250"/>
      <c r="G131" s="250"/>
      <c r="H131" s="250"/>
      <c r="I131" s="250"/>
      <c r="J131" s="250"/>
      <c r="K131" s="252"/>
      <c r="L131" s="253"/>
      <c r="M131" s="250"/>
      <c r="N131" s="254"/>
      <c r="O131" s="254"/>
      <c r="P131" s="254"/>
      <c r="Q131" s="254"/>
      <c r="R131" s="253"/>
      <c r="S131" s="252"/>
      <c r="T131" s="252"/>
      <c r="U131" s="254"/>
      <c r="V131" s="273"/>
      <c r="W131" s="255"/>
      <c r="X131" s="255"/>
      <c r="Y131" s="255"/>
      <c r="Z131" s="255"/>
      <c r="AA131" s="255"/>
      <c r="AB131" s="257"/>
      <c r="AC131" s="257"/>
      <c r="AD131" s="257"/>
      <c r="AE131" s="257"/>
      <c r="AF131" s="257"/>
      <c r="AG131" s="257"/>
      <c r="AH131" s="257"/>
      <c r="AI131" s="94"/>
      <c r="AJ131" s="94">
        <f t="shared" ca="1" si="6"/>
        <v>0</v>
      </c>
      <c r="AK131" s="94">
        <f t="shared" ca="1" si="7"/>
        <v>0</v>
      </c>
      <c r="AL131" s="260"/>
      <c r="AM131" s="260"/>
      <c r="AN131" s="260"/>
      <c r="AO131" s="260"/>
      <c r="AP131" s="260"/>
      <c r="AQ131" s="260"/>
      <c r="AR131" s="260"/>
      <c r="AS131" s="260"/>
      <c r="AT131" s="260"/>
      <c r="AU131" s="260"/>
      <c r="AV131" s="260"/>
      <c r="AW131" s="260"/>
      <c r="AX131" s="260"/>
      <c r="AY131" s="260"/>
      <c r="AZ131" s="260"/>
      <c r="BA131" s="260"/>
      <c r="BB131" s="260"/>
      <c r="BC131" s="260"/>
      <c r="BD131" s="260"/>
      <c r="BE131" s="260"/>
      <c r="BF131" s="260"/>
      <c r="BG131" s="260"/>
      <c r="BH131" s="260"/>
      <c r="BI131" s="260"/>
      <c r="BJ131" s="260"/>
      <c r="BK131" s="260"/>
      <c r="BL131" s="260"/>
      <c r="BM131" s="260"/>
      <c r="BN131" s="260"/>
      <c r="BO131" s="260"/>
      <c r="BP131" s="260"/>
      <c r="BQ131" s="260"/>
      <c r="BR131" s="260"/>
      <c r="BS131" s="260"/>
      <c r="BT131" s="260"/>
      <c r="BU131" s="260"/>
      <c r="BV131" s="260"/>
      <c r="BW131" s="260"/>
      <c r="BX131" s="260"/>
    </row>
    <row r="132" spans="1:76" s="256" customFormat="1" ht="22.5" customHeight="1">
      <c r="A132" s="286">
        <v>127</v>
      </c>
      <c r="B132" s="286"/>
      <c r="C132" s="286"/>
      <c r="D132" s="250"/>
      <c r="E132" s="251"/>
      <c r="F132" s="250"/>
      <c r="G132" s="250"/>
      <c r="H132" s="250"/>
      <c r="I132" s="250"/>
      <c r="J132" s="250"/>
      <c r="K132" s="252"/>
      <c r="L132" s="253"/>
      <c r="M132" s="250"/>
      <c r="N132" s="254"/>
      <c r="O132" s="254"/>
      <c r="P132" s="254"/>
      <c r="Q132" s="254"/>
      <c r="R132" s="253"/>
      <c r="S132" s="252"/>
      <c r="T132" s="252"/>
      <c r="U132" s="254"/>
      <c r="V132" s="273"/>
      <c r="W132" s="255"/>
      <c r="X132" s="255"/>
      <c r="Y132" s="255"/>
      <c r="Z132" s="255"/>
      <c r="AA132" s="255"/>
      <c r="AB132" s="257"/>
      <c r="AC132" s="257"/>
      <c r="AD132" s="257"/>
      <c r="AE132" s="257"/>
      <c r="AF132" s="257"/>
      <c r="AG132" s="257"/>
      <c r="AH132" s="257"/>
      <c r="AI132" s="94"/>
      <c r="AJ132" s="94">
        <f t="shared" ca="1" si="6"/>
        <v>0</v>
      </c>
      <c r="AK132" s="94">
        <f t="shared" ca="1" si="7"/>
        <v>0</v>
      </c>
      <c r="AL132" s="260"/>
      <c r="AM132" s="260"/>
      <c r="AN132" s="260"/>
      <c r="AO132" s="260"/>
      <c r="AP132" s="260"/>
      <c r="AQ132" s="260"/>
      <c r="AR132" s="260"/>
      <c r="AS132" s="260"/>
      <c r="AT132" s="260"/>
      <c r="AU132" s="260"/>
      <c r="AV132" s="260"/>
      <c r="AW132" s="260"/>
      <c r="AX132" s="260"/>
      <c r="AY132" s="260"/>
      <c r="AZ132" s="260"/>
      <c r="BA132" s="260"/>
      <c r="BB132" s="260"/>
      <c r="BC132" s="260"/>
      <c r="BD132" s="260"/>
      <c r="BE132" s="260"/>
      <c r="BF132" s="260"/>
      <c r="BG132" s="260"/>
      <c r="BH132" s="260"/>
      <c r="BI132" s="260"/>
      <c r="BJ132" s="260"/>
      <c r="BK132" s="260"/>
      <c r="BL132" s="260"/>
      <c r="BM132" s="260"/>
      <c r="BN132" s="260"/>
      <c r="BO132" s="260"/>
      <c r="BP132" s="260"/>
      <c r="BQ132" s="260"/>
      <c r="BR132" s="260"/>
      <c r="BS132" s="260"/>
      <c r="BT132" s="260"/>
      <c r="BU132" s="260"/>
      <c r="BV132" s="260"/>
      <c r="BW132" s="260"/>
      <c r="BX132" s="260"/>
    </row>
    <row r="133" spans="1:76" s="256" customFormat="1" ht="22.5" customHeight="1">
      <c r="A133" s="286">
        <v>128</v>
      </c>
      <c r="B133" s="286"/>
      <c r="C133" s="286"/>
      <c r="D133" s="250"/>
      <c r="E133" s="251"/>
      <c r="F133" s="250"/>
      <c r="G133" s="250"/>
      <c r="H133" s="250"/>
      <c r="I133" s="250"/>
      <c r="J133" s="250"/>
      <c r="K133" s="252"/>
      <c r="L133" s="253"/>
      <c r="M133" s="250"/>
      <c r="N133" s="254"/>
      <c r="O133" s="254"/>
      <c r="P133" s="254"/>
      <c r="Q133" s="254"/>
      <c r="R133" s="253"/>
      <c r="S133" s="252"/>
      <c r="T133" s="252"/>
      <c r="U133" s="254"/>
      <c r="V133" s="273"/>
      <c r="W133" s="255"/>
      <c r="X133" s="255"/>
      <c r="Y133" s="255"/>
      <c r="Z133" s="255"/>
      <c r="AA133" s="255"/>
      <c r="AB133" s="257"/>
      <c r="AC133" s="257"/>
      <c r="AD133" s="257"/>
      <c r="AE133" s="257"/>
      <c r="AF133" s="257"/>
      <c r="AG133" s="257"/>
      <c r="AH133" s="257"/>
      <c r="AI133" s="94"/>
      <c r="AJ133" s="94">
        <f t="shared" ca="1" si="6"/>
        <v>0</v>
      </c>
      <c r="AK133" s="94">
        <f t="shared" ca="1" si="7"/>
        <v>0</v>
      </c>
      <c r="AL133" s="260"/>
      <c r="AM133" s="260"/>
      <c r="AN133" s="260"/>
      <c r="AO133" s="260"/>
      <c r="AP133" s="260"/>
      <c r="AQ133" s="260"/>
      <c r="AR133" s="260"/>
      <c r="AS133" s="260"/>
      <c r="AT133" s="260"/>
      <c r="AU133" s="260"/>
      <c r="AV133" s="260"/>
      <c r="AW133" s="260"/>
      <c r="AX133" s="260"/>
      <c r="AY133" s="260"/>
      <c r="AZ133" s="260"/>
      <c r="BA133" s="260"/>
      <c r="BB133" s="260"/>
      <c r="BC133" s="260"/>
      <c r="BD133" s="260"/>
      <c r="BE133" s="260"/>
      <c r="BF133" s="260"/>
      <c r="BG133" s="260"/>
      <c r="BH133" s="260"/>
      <c r="BI133" s="260"/>
      <c r="BJ133" s="260"/>
      <c r="BK133" s="260"/>
      <c r="BL133" s="260"/>
      <c r="BM133" s="260"/>
      <c r="BN133" s="260"/>
      <c r="BO133" s="260"/>
      <c r="BP133" s="260"/>
      <c r="BQ133" s="260"/>
      <c r="BR133" s="260"/>
      <c r="BS133" s="260"/>
      <c r="BT133" s="260"/>
      <c r="BU133" s="260"/>
      <c r="BV133" s="260"/>
      <c r="BW133" s="260"/>
      <c r="BX133" s="260"/>
    </row>
    <row r="134" spans="1:76" s="256" customFormat="1" ht="22.5" customHeight="1">
      <c r="A134" s="286">
        <v>129</v>
      </c>
      <c r="B134" s="286"/>
      <c r="C134" s="286"/>
      <c r="D134" s="250"/>
      <c r="E134" s="251"/>
      <c r="F134" s="250"/>
      <c r="G134" s="250"/>
      <c r="H134" s="250"/>
      <c r="I134" s="250"/>
      <c r="J134" s="250"/>
      <c r="K134" s="252"/>
      <c r="L134" s="253"/>
      <c r="M134" s="250"/>
      <c r="N134" s="254"/>
      <c r="O134" s="254"/>
      <c r="P134" s="254"/>
      <c r="Q134" s="254"/>
      <c r="R134" s="253"/>
      <c r="S134" s="252"/>
      <c r="T134" s="252"/>
      <c r="U134" s="254"/>
      <c r="V134" s="273"/>
      <c r="W134" s="255"/>
      <c r="X134" s="255"/>
      <c r="Y134" s="255"/>
      <c r="Z134" s="255"/>
      <c r="AA134" s="255"/>
      <c r="AB134" s="257"/>
      <c r="AC134" s="257"/>
      <c r="AD134" s="257"/>
      <c r="AE134" s="257"/>
      <c r="AF134" s="257"/>
      <c r="AG134" s="257"/>
      <c r="AH134" s="257"/>
      <c r="AI134" s="94"/>
      <c r="AJ134" s="94">
        <f t="shared" ca="1" si="6"/>
        <v>0</v>
      </c>
      <c r="AK134" s="94">
        <f t="shared" ca="1" si="7"/>
        <v>0</v>
      </c>
      <c r="AL134" s="260"/>
      <c r="AM134" s="260"/>
      <c r="AN134" s="260"/>
      <c r="AO134" s="260"/>
      <c r="AP134" s="260"/>
      <c r="AQ134" s="260"/>
      <c r="AR134" s="260"/>
      <c r="AS134" s="260"/>
      <c r="AT134" s="260"/>
      <c r="AU134" s="260"/>
      <c r="AV134" s="260"/>
      <c r="AW134" s="260"/>
      <c r="AX134" s="260"/>
      <c r="AY134" s="260"/>
      <c r="AZ134" s="260"/>
      <c r="BA134" s="260"/>
      <c r="BB134" s="260"/>
      <c r="BC134" s="260"/>
      <c r="BD134" s="260"/>
      <c r="BE134" s="260"/>
      <c r="BF134" s="260"/>
      <c r="BG134" s="260"/>
      <c r="BH134" s="260"/>
      <c r="BI134" s="260"/>
      <c r="BJ134" s="260"/>
      <c r="BK134" s="260"/>
      <c r="BL134" s="260"/>
      <c r="BM134" s="260"/>
      <c r="BN134" s="260"/>
      <c r="BO134" s="260"/>
      <c r="BP134" s="260"/>
      <c r="BQ134" s="260"/>
      <c r="BR134" s="260"/>
      <c r="BS134" s="260"/>
      <c r="BT134" s="260"/>
      <c r="BU134" s="260"/>
      <c r="BV134" s="260"/>
      <c r="BW134" s="260"/>
      <c r="BX134" s="260"/>
    </row>
    <row r="135" spans="1:76" s="256" customFormat="1" ht="22.5" customHeight="1">
      <c r="A135" s="286">
        <v>130</v>
      </c>
      <c r="B135" s="286"/>
      <c r="C135" s="286"/>
      <c r="D135" s="250"/>
      <c r="E135" s="251"/>
      <c r="F135" s="250"/>
      <c r="G135" s="250"/>
      <c r="H135" s="250"/>
      <c r="I135" s="250"/>
      <c r="J135" s="250"/>
      <c r="K135" s="252"/>
      <c r="L135" s="253"/>
      <c r="M135" s="250"/>
      <c r="N135" s="254"/>
      <c r="O135" s="254"/>
      <c r="P135" s="254"/>
      <c r="Q135" s="254"/>
      <c r="R135" s="253"/>
      <c r="S135" s="252"/>
      <c r="T135" s="252"/>
      <c r="U135" s="254"/>
      <c r="V135" s="273"/>
      <c r="W135" s="255"/>
      <c r="X135" s="255"/>
      <c r="Y135" s="255"/>
      <c r="Z135" s="255"/>
      <c r="AA135" s="255"/>
      <c r="AB135" s="257"/>
      <c r="AC135" s="257"/>
      <c r="AD135" s="257"/>
      <c r="AE135" s="257"/>
      <c r="AF135" s="257"/>
      <c r="AG135" s="257"/>
      <c r="AH135" s="257"/>
      <c r="AI135" s="94"/>
      <c r="AJ135" s="94">
        <f t="shared" ca="1" si="6"/>
        <v>0</v>
      </c>
      <c r="AK135" s="94">
        <f t="shared" ca="1" si="7"/>
        <v>0</v>
      </c>
      <c r="AL135" s="260"/>
      <c r="AM135" s="260"/>
      <c r="AN135" s="260"/>
      <c r="AO135" s="260"/>
      <c r="AP135" s="260"/>
      <c r="AQ135" s="260"/>
      <c r="AR135" s="260"/>
      <c r="AS135" s="260"/>
      <c r="AT135" s="260"/>
      <c r="AU135" s="260"/>
      <c r="AV135" s="260"/>
      <c r="AW135" s="260"/>
      <c r="AX135" s="260"/>
      <c r="AY135" s="260"/>
      <c r="AZ135" s="260"/>
      <c r="BA135" s="260"/>
      <c r="BB135" s="260"/>
      <c r="BC135" s="260"/>
      <c r="BD135" s="260"/>
      <c r="BE135" s="260"/>
      <c r="BF135" s="260"/>
      <c r="BG135" s="260"/>
      <c r="BH135" s="260"/>
      <c r="BI135" s="260"/>
      <c r="BJ135" s="260"/>
      <c r="BK135" s="260"/>
      <c r="BL135" s="260"/>
      <c r="BM135" s="260"/>
      <c r="BN135" s="260"/>
      <c r="BO135" s="260"/>
      <c r="BP135" s="260"/>
      <c r="BQ135" s="260"/>
      <c r="BR135" s="260"/>
      <c r="BS135" s="260"/>
      <c r="BT135" s="260"/>
      <c r="BU135" s="260"/>
      <c r="BV135" s="260"/>
      <c r="BW135" s="260"/>
      <c r="BX135" s="260"/>
    </row>
    <row r="136" spans="1:76" s="256" customFormat="1" ht="22.5" customHeight="1">
      <c r="A136" s="286">
        <v>131</v>
      </c>
      <c r="B136" s="286"/>
      <c r="C136" s="286"/>
      <c r="D136" s="250"/>
      <c r="E136" s="251"/>
      <c r="F136" s="250"/>
      <c r="G136" s="250"/>
      <c r="H136" s="250"/>
      <c r="I136" s="250"/>
      <c r="J136" s="250"/>
      <c r="K136" s="252"/>
      <c r="L136" s="253"/>
      <c r="M136" s="250"/>
      <c r="N136" s="254"/>
      <c r="O136" s="254"/>
      <c r="P136" s="254"/>
      <c r="Q136" s="254"/>
      <c r="R136" s="253"/>
      <c r="S136" s="252"/>
      <c r="T136" s="252"/>
      <c r="U136" s="254"/>
      <c r="V136" s="273"/>
      <c r="W136" s="255"/>
      <c r="X136" s="255"/>
      <c r="Y136" s="255"/>
      <c r="Z136" s="255"/>
      <c r="AA136" s="255"/>
      <c r="AB136" s="257"/>
      <c r="AC136" s="257"/>
      <c r="AD136" s="257"/>
      <c r="AE136" s="257"/>
      <c r="AF136" s="257"/>
      <c r="AG136" s="257"/>
      <c r="AH136" s="257"/>
      <c r="AI136" s="94"/>
      <c r="AJ136" s="94">
        <f t="shared" ca="1" si="6"/>
        <v>0</v>
      </c>
      <c r="AK136" s="94">
        <f t="shared" ca="1" si="7"/>
        <v>0</v>
      </c>
      <c r="AL136" s="260"/>
      <c r="AM136" s="260"/>
      <c r="AN136" s="260"/>
      <c r="AO136" s="260"/>
      <c r="AP136" s="260"/>
      <c r="AQ136" s="260"/>
      <c r="AR136" s="260"/>
      <c r="AS136" s="260"/>
      <c r="AT136" s="260"/>
      <c r="AU136" s="260"/>
      <c r="AV136" s="260"/>
      <c r="AW136" s="260"/>
      <c r="AX136" s="260"/>
      <c r="AY136" s="260"/>
      <c r="AZ136" s="260"/>
      <c r="BA136" s="260"/>
      <c r="BB136" s="260"/>
      <c r="BC136" s="260"/>
      <c r="BD136" s="260"/>
      <c r="BE136" s="260"/>
      <c r="BF136" s="260"/>
      <c r="BG136" s="260"/>
      <c r="BH136" s="260"/>
      <c r="BI136" s="260"/>
      <c r="BJ136" s="260"/>
      <c r="BK136" s="260"/>
      <c r="BL136" s="260"/>
      <c r="BM136" s="260"/>
      <c r="BN136" s="260"/>
      <c r="BO136" s="260"/>
      <c r="BP136" s="260"/>
      <c r="BQ136" s="260"/>
      <c r="BR136" s="260"/>
      <c r="BS136" s="260"/>
      <c r="BT136" s="260"/>
      <c r="BU136" s="260"/>
      <c r="BV136" s="260"/>
      <c r="BW136" s="260"/>
      <c r="BX136" s="260"/>
    </row>
    <row r="137" spans="1:76" s="256" customFormat="1" ht="22.5" customHeight="1">
      <c r="A137" s="286">
        <v>132</v>
      </c>
      <c r="B137" s="286"/>
      <c r="C137" s="286"/>
      <c r="D137" s="250"/>
      <c r="E137" s="251"/>
      <c r="F137" s="250"/>
      <c r="G137" s="250"/>
      <c r="H137" s="250"/>
      <c r="I137" s="250"/>
      <c r="J137" s="250"/>
      <c r="K137" s="252"/>
      <c r="L137" s="253"/>
      <c r="M137" s="250"/>
      <c r="N137" s="254"/>
      <c r="O137" s="254"/>
      <c r="P137" s="254"/>
      <c r="Q137" s="254"/>
      <c r="R137" s="253"/>
      <c r="S137" s="252"/>
      <c r="T137" s="252"/>
      <c r="U137" s="254"/>
      <c r="V137" s="273"/>
      <c r="W137" s="255"/>
      <c r="X137" s="255"/>
      <c r="Y137" s="255"/>
      <c r="Z137" s="255"/>
      <c r="AA137" s="255"/>
      <c r="AB137" s="257"/>
      <c r="AC137" s="257"/>
      <c r="AD137" s="257"/>
      <c r="AE137" s="257"/>
      <c r="AF137" s="257"/>
      <c r="AG137" s="257"/>
      <c r="AH137" s="257"/>
      <c r="AI137" s="94"/>
      <c r="AJ137" s="94">
        <f t="shared" ca="1" si="6"/>
        <v>0</v>
      </c>
      <c r="AK137" s="94">
        <f t="shared" ca="1" si="7"/>
        <v>0</v>
      </c>
      <c r="AL137" s="260"/>
      <c r="AM137" s="260"/>
      <c r="AN137" s="260"/>
      <c r="AO137" s="260"/>
      <c r="AP137" s="260"/>
      <c r="AQ137" s="260"/>
      <c r="AR137" s="260"/>
      <c r="AS137" s="260"/>
      <c r="AT137" s="260"/>
      <c r="AU137" s="260"/>
      <c r="AV137" s="260"/>
      <c r="AW137" s="260"/>
      <c r="AX137" s="260"/>
      <c r="AY137" s="260"/>
      <c r="AZ137" s="260"/>
      <c r="BA137" s="260"/>
      <c r="BB137" s="260"/>
      <c r="BC137" s="260"/>
      <c r="BD137" s="260"/>
      <c r="BE137" s="260"/>
      <c r="BF137" s="260"/>
      <c r="BG137" s="260"/>
      <c r="BH137" s="260"/>
      <c r="BI137" s="260"/>
      <c r="BJ137" s="260"/>
      <c r="BK137" s="260"/>
      <c r="BL137" s="260"/>
      <c r="BM137" s="260"/>
      <c r="BN137" s="260"/>
      <c r="BO137" s="260"/>
      <c r="BP137" s="260"/>
      <c r="BQ137" s="260"/>
      <c r="BR137" s="260"/>
      <c r="BS137" s="260"/>
      <c r="BT137" s="260"/>
      <c r="BU137" s="260"/>
      <c r="BV137" s="260"/>
      <c r="BW137" s="260"/>
      <c r="BX137" s="260"/>
    </row>
    <row r="138" spans="1:76" s="256" customFormat="1" ht="22.5" customHeight="1">
      <c r="A138" s="286">
        <v>133</v>
      </c>
      <c r="B138" s="286"/>
      <c r="C138" s="286"/>
      <c r="D138" s="250"/>
      <c r="E138" s="251"/>
      <c r="F138" s="250"/>
      <c r="G138" s="250"/>
      <c r="H138" s="250"/>
      <c r="I138" s="250"/>
      <c r="J138" s="250"/>
      <c r="K138" s="252"/>
      <c r="L138" s="253"/>
      <c r="M138" s="250"/>
      <c r="N138" s="254"/>
      <c r="O138" s="254"/>
      <c r="P138" s="254"/>
      <c r="Q138" s="254"/>
      <c r="R138" s="253"/>
      <c r="S138" s="252"/>
      <c r="T138" s="252"/>
      <c r="U138" s="254"/>
      <c r="V138" s="273"/>
      <c r="W138" s="255"/>
      <c r="X138" s="255"/>
      <c r="Y138" s="255"/>
      <c r="Z138" s="255"/>
      <c r="AA138" s="255"/>
      <c r="AB138" s="257"/>
      <c r="AC138" s="257"/>
      <c r="AD138" s="257"/>
      <c r="AE138" s="257"/>
      <c r="AF138" s="257"/>
      <c r="AG138" s="257"/>
      <c r="AH138" s="257"/>
      <c r="AI138" s="94"/>
      <c r="AJ138" s="94">
        <f t="shared" ca="1" si="6"/>
        <v>0</v>
      </c>
      <c r="AK138" s="94">
        <f t="shared" ca="1" si="7"/>
        <v>0</v>
      </c>
      <c r="AL138" s="260"/>
      <c r="AM138" s="260"/>
      <c r="AN138" s="260"/>
      <c r="AO138" s="260"/>
      <c r="AP138" s="260"/>
      <c r="AQ138" s="260"/>
      <c r="AR138" s="260"/>
      <c r="AS138" s="260"/>
      <c r="AT138" s="260"/>
      <c r="AU138" s="260"/>
      <c r="AV138" s="260"/>
      <c r="AW138" s="260"/>
      <c r="AX138" s="260"/>
      <c r="AY138" s="260"/>
      <c r="AZ138" s="260"/>
      <c r="BA138" s="260"/>
      <c r="BB138" s="260"/>
      <c r="BC138" s="260"/>
      <c r="BD138" s="260"/>
      <c r="BE138" s="260"/>
      <c r="BF138" s="260"/>
      <c r="BG138" s="260"/>
      <c r="BH138" s="260"/>
      <c r="BI138" s="260"/>
      <c r="BJ138" s="260"/>
      <c r="BK138" s="260"/>
      <c r="BL138" s="260"/>
      <c r="BM138" s="260"/>
      <c r="BN138" s="260"/>
      <c r="BO138" s="260"/>
      <c r="BP138" s="260"/>
      <c r="BQ138" s="260"/>
      <c r="BR138" s="260"/>
      <c r="BS138" s="260"/>
      <c r="BT138" s="260"/>
      <c r="BU138" s="260"/>
      <c r="BV138" s="260"/>
      <c r="BW138" s="260"/>
      <c r="BX138" s="260"/>
    </row>
    <row r="139" spans="1:76" s="256" customFormat="1" ht="22.5" customHeight="1">
      <c r="A139" s="286">
        <v>134</v>
      </c>
      <c r="B139" s="286"/>
      <c r="C139" s="286"/>
      <c r="D139" s="250"/>
      <c r="E139" s="251"/>
      <c r="F139" s="250"/>
      <c r="G139" s="250"/>
      <c r="H139" s="250"/>
      <c r="I139" s="250"/>
      <c r="J139" s="250"/>
      <c r="K139" s="252"/>
      <c r="L139" s="253"/>
      <c r="M139" s="250"/>
      <c r="N139" s="254"/>
      <c r="O139" s="254"/>
      <c r="P139" s="254"/>
      <c r="Q139" s="254"/>
      <c r="R139" s="253"/>
      <c r="S139" s="252"/>
      <c r="T139" s="252"/>
      <c r="U139" s="254"/>
      <c r="V139" s="273"/>
      <c r="W139" s="255"/>
      <c r="X139" s="255"/>
      <c r="Y139" s="255"/>
      <c r="Z139" s="255"/>
      <c r="AA139" s="255"/>
      <c r="AB139" s="257"/>
      <c r="AC139" s="257"/>
      <c r="AD139" s="257"/>
      <c r="AE139" s="257"/>
      <c r="AF139" s="257"/>
      <c r="AG139" s="257"/>
      <c r="AH139" s="257"/>
      <c r="AI139" s="94"/>
      <c r="AJ139" s="94">
        <f t="shared" ca="1" si="6"/>
        <v>0</v>
      </c>
      <c r="AK139" s="94">
        <f t="shared" ca="1" si="7"/>
        <v>0</v>
      </c>
      <c r="AL139" s="260"/>
      <c r="AM139" s="260"/>
      <c r="AN139" s="260"/>
      <c r="AO139" s="260"/>
      <c r="AP139" s="260"/>
      <c r="AQ139" s="260"/>
      <c r="AR139" s="260"/>
      <c r="AS139" s="260"/>
      <c r="AT139" s="260"/>
      <c r="AU139" s="260"/>
      <c r="AV139" s="260"/>
      <c r="AW139" s="260"/>
      <c r="AX139" s="260"/>
      <c r="AY139" s="260"/>
      <c r="AZ139" s="260"/>
      <c r="BA139" s="260"/>
      <c r="BB139" s="260"/>
      <c r="BC139" s="260"/>
      <c r="BD139" s="260"/>
      <c r="BE139" s="260"/>
      <c r="BF139" s="260"/>
      <c r="BG139" s="260"/>
      <c r="BH139" s="260"/>
      <c r="BI139" s="260"/>
      <c r="BJ139" s="260"/>
      <c r="BK139" s="260"/>
      <c r="BL139" s="260"/>
      <c r="BM139" s="260"/>
      <c r="BN139" s="260"/>
      <c r="BO139" s="260"/>
      <c r="BP139" s="260"/>
      <c r="BQ139" s="260"/>
      <c r="BR139" s="260"/>
      <c r="BS139" s="260"/>
      <c r="BT139" s="260"/>
      <c r="BU139" s="260"/>
      <c r="BV139" s="260"/>
      <c r="BW139" s="260"/>
      <c r="BX139" s="260"/>
    </row>
    <row r="140" spans="1:76" s="256" customFormat="1" ht="22.5" customHeight="1">
      <c r="A140" s="286">
        <v>135</v>
      </c>
      <c r="B140" s="286"/>
      <c r="C140" s="286"/>
      <c r="D140" s="250"/>
      <c r="E140" s="251"/>
      <c r="F140" s="250"/>
      <c r="G140" s="250"/>
      <c r="H140" s="250"/>
      <c r="I140" s="250"/>
      <c r="J140" s="250"/>
      <c r="K140" s="252"/>
      <c r="L140" s="253"/>
      <c r="M140" s="250"/>
      <c r="N140" s="254"/>
      <c r="O140" s="254"/>
      <c r="P140" s="254"/>
      <c r="Q140" s="254"/>
      <c r="R140" s="253"/>
      <c r="S140" s="252"/>
      <c r="T140" s="252"/>
      <c r="U140" s="254"/>
      <c r="V140" s="273"/>
      <c r="W140" s="255"/>
      <c r="X140" s="255"/>
      <c r="Y140" s="255"/>
      <c r="Z140" s="255"/>
      <c r="AA140" s="255"/>
      <c r="AB140" s="257"/>
      <c r="AC140" s="257"/>
      <c r="AD140" s="257"/>
      <c r="AE140" s="257"/>
      <c r="AF140" s="257"/>
      <c r="AG140" s="257"/>
      <c r="AH140" s="257"/>
      <c r="AI140" s="94"/>
      <c r="AJ140" s="94">
        <f t="shared" ca="1" si="6"/>
        <v>0</v>
      </c>
      <c r="AK140" s="94">
        <f t="shared" ca="1" si="7"/>
        <v>0</v>
      </c>
      <c r="AL140" s="260"/>
      <c r="AM140" s="260"/>
      <c r="AN140" s="260"/>
      <c r="AO140" s="260"/>
      <c r="AP140" s="260"/>
      <c r="AQ140" s="260"/>
      <c r="AR140" s="260"/>
      <c r="AS140" s="260"/>
      <c r="AT140" s="260"/>
      <c r="AU140" s="260"/>
      <c r="AV140" s="260"/>
      <c r="AW140" s="260"/>
      <c r="AX140" s="260"/>
      <c r="AY140" s="260"/>
      <c r="AZ140" s="260"/>
      <c r="BA140" s="260"/>
      <c r="BB140" s="260"/>
      <c r="BC140" s="260"/>
      <c r="BD140" s="260"/>
      <c r="BE140" s="260"/>
      <c r="BF140" s="260"/>
      <c r="BG140" s="260"/>
      <c r="BH140" s="260"/>
      <c r="BI140" s="260"/>
      <c r="BJ140" s="260"/>
      <c r="BK140" s="260"/>
      <c r="BL140" s="260"/>
      <c r="BM140" s="260"/>
      <c r="BN140" s="260"/>
      <c r="BO140" s="260"/>
      <c r="BP140" s="260"/>
      <c r="BQ140" s="260"/>
      <c r="BR140" s="260"/>
      <c r="BS140" s="260"/>
      <c r="BT140" s="260"/>
      <c r="BU140" s="260"/>
      <c r="BV140" s="260"/>
      <c r="BW140" s="260"/>
      <c r="BX140" s="260"/>
    </row>
    <row r="141" spans="1:76" s="256" customFormat="1" ht="22.5" customHeight="1">
      <c r="A141" s="286">
        <v>136</v>
      </c>
      <c r="B141" s="286"/>
      <c r="C141" s="286"/>
      <c r="D141" s="250"/>
      <c r="E141" s="251"/>
      <c r="F141" s="250"/>
      <c r="G141" s="250"/>
      <c r="H141" s="250"/>
      <c r="I141" s="250"/>
      <c r="J141" s="250"/>
      <c r="K141" s="252"/>
      <c r="L141" s="253"/>
      <c r="M141" s="250"/>
      <c r="N141" s="254"/>
      <c r="O141" s="254"/>
      <c r="P141" s="254"/>
      <c r="Q141" s="254"/>
      <c r="R141" s="253"/>
      <c r="S141" s="252"/>
      <c r="T141" s="252"/>
      <c r="U141" s="254"/>
      <c r="V141" s="273"/>
      <c r="W141" s="255"/>
      <c r="X141" s="255"/>
      <c r="Y141" s="255"/>
      <c r="Z141" s="255"/>
      <c r="AA141" s="255"/>
      <c r="AB141" s="257"/>
      <c r="AC141" s="257"/>
      <c r="AD141" s="257"/>
      <c r="AE141" s="257"/>
      <c r="AF141" s="257"/>
      <c r="AG141" s="257"/>
      <c r="AH141" s="257"/>
      <c r="AI141" s="94"/>
      <c r="AJ141" s="94">
        <f t="shared" ca="1" si="6"/>
        <v>0</v>
      </c>
      <c r="AK141" s="94">
        <f t="shared" ca="1" si="7"/>
        <v>0</v>
      </c>
      <c r="AL141" s="260"/>
      <c r="AM141" s="260"/>
      <c r="AN141" s="260"/>
      <c r="AO141" s="260"/>
      <c r="AP141" s="260"/>
      <c r="AQ141" s="260"/>
      <c r="AR141" s="260"/>
      <c r="AS141" s="260"/>
      <c r="AT141" s="260"/>
      <c r="AU141" s="260"/>
      <c r="AV141" s="260"/>
      <c r="AW141" s="260"/>
      <c r="AX141" s="260"/>
      <c r="AY141" s="260"/>
      <c r="AZ141" s="260"/>
      <c r="BA141" s="260"/>
      <c r="BB141" s="260"/>
      <c r="BC141" s="260"/>
      <c r="BD141" s="260"/>
      <c r="BE141" s="260"/>
      <c r="BF141" s="260"/>
      <c r="BG141" s="260"/>
      <c r="BH141" s="260"/>
      <c r="BI141" s="260"/>
      <c r="BJ141" s="260"/>
      <c r="BK141" s="260"/>
      <c r="BL141" s="260"/>
      <c r="BM141" s="260"/>
      <c r="BN141" s="260"/>
      <c r="BO141" s="260"/>
      <c r="BP141" s="260"/>
      <c r="BQ141" s="260"/>
      <c r="BR141" s="260"/>
      <c r="BS141" s="260"/>
      <c r="BT141" s="260"/>
      <c r="BU141" s="260"/>
      <c r="BV141" s="260"/>
      <c r="BW141" s="260"/>
      <c r="BX141" s="260"/>
    </row>
    <row r="142" spans="1:76" s="256" customFormat="1" ht="22.5" customHeight="1">
      <c r="A142" s="286">
        <v>137</v>
      </c>
      <c r="B142" s="286"/>
      <c r="C142" s="286"/>
      <c r="D142" s="250"/>
      <c r="E142" s="251"/>
      <c r="F142" s="250"/>
      <c r="G142" s="250"/>
      <c r="H142" s="250"/>
      <c r="I142" s="250"/>
      <c r="J142" s="250"/>
      <c r="K142" s="252"/>
      <c r="L142" s="253"/>
      <c r="M142" s="250"/>
      <c r="N142" s="254"/>
      <c r="O142" s="254"/>
      <c r="P142" s="254"/>
      <c r="Q142" s="254"/>
      <c r="R142" s="253"/>
      <c r="S142" s="252"/>
      <c r="T142" s="252"/>
      <c r="U142" s="254"/>
      <c r="V142" s="273"/>
      <c r="W142" s="255"/>
      <c r="X142" s="255"/>
      <c r="Y142" s="255"/>
      <c r="Z142" s="255"/>
      <c r="AA142" s="255"/>
      <c r="AB142" s="257"/>
      <c r="AC142" s="257"/>
      <c r="AD142" s="257"/>
      <c r="AE142" s="257"/>
      <c r="AF142" s="257"/>
      <c r="AG142" s="257"/>
      <c r="AH142" s="257"/>
      <c r="AI142" s="94"/>
      <c r="AJ142" s="94">
        <f t="shared" ca="1" si="6"/>
        <v>0</v>
      </c>
      <c r="AK142" s="94">
        <f t="shared" ca="1" si="7"/>
        <v>0</v>
      </c>
      <c r="AL142" s="260"/>
      <c r="AM142" s="260"/>
      <c r="AN142" s="260"/>
      <c r="AO142" s="260"/>
      <c r="AP142" s="260"/>
      <c r="AQ142" s="260"/>
      <c r="AR142" s="260"/>
      <c r="AS142" s="260"/>
      <c r="AT142" s="260"/>
      <c r="AU142" s="260"/>
      <c r="AV142" s="260"/>
      <c r="AW142" s="260"/>
      <c r="AX142" s="260"/>
      <c r="AY142" s="260"/>
      <c r="AZ142" s="260"/>
      <c r="BA142" s="260"/>
      <c r="BB142" s="260"/>
      <c r="BC142" s="260"/>
      <c r="BD142" s="260"/>
      <c r="BE142" s="260"/>
      <c r="BF142" s="260"/>
      <c r="BG142" s="260"/>
      <c r="BH142" s="260"/>
      <c r="BI142" s="260"/>
      <c r="BJ142" s="260"/>
      <c r="BK142" s="260"/>
      <c r="BL142" s="260"/>
      <c r="BM142" s="260"/>
      <c r="BN142" s="260"/>
      <c r="BO142" s="260"/>
      <c r="BP142" s="260"/>
      <c r="BQ142" s="260"/>
      <c r="BR142" s="260"/>
      <c r="BS142" s="260"/>
      <c r="BT142" s="260"/>
      <c r="BU142" s="260"/>
      <c r="BV142" s="260"/>
      <c r="BW142" s="260"/>
      <c r="BX142" s="260"/>
    </row>
    <row r="143" spans="1:76" s="256" customFormat="1" ht="22.5" customHeight="1">
      <c r="A143" s="286">
        <v>138</v>
      </c>
      <c r="B143" s="286"/>
      <c r="C143" s="286"/>
      <c r="D143" s="250"/>
      <c r="E143" s="251"/>
      <c r="F143" s="250"/>
      <c r="G143" s="250"/>
      <c r="H143" s="250"/>
      <c r="I143" s="250"/>
      <c r="J143" s="250"/>
      <c r="K143" s="252"/>
      <c r="L143" s="253"/>
      <c r="M143" s="250"/>
      <c r="N143" s="254"/>
      <c r="O143" s="254"/>
      <c r="P143" s="254"/>
      <c r="Q143" s="254"/>
      <c r="R143" s="253"/>
      <c r="S143" s="252"/>
      <c r="T143" s="252"/>
      <c r="U143" s="254"/>
      <c r="V143" s="273"/>
      <c r="W143" s="255"/>
      <c r="X143" s="255"/>
      <c r="Y143" s="255"/>
      <c r="Z143" s="255"/>
      <c r="AA143" s="255"/>
      <c r="AB143" s="257"/>
      <c r="AC143" s="257"/>
      <c r="AD143" s="257"/>
      <c r="AE143" s="257"/>
      <c r="AF143" s="257"/>
      <c r="AG143" s="257"/>
      <c r="AH143" s="257"/>
      <c r="AI143" s="94"/>
      <c r="AJ143" s="94">
        <f t="shared" ca="1" si="6"/>
        <v>0</v>
      </c>
      <c r="AK143" s="94">
        <f t="shared" ca="1" si="7"/>
        <v>0</v>
      </c>
      <c r="AL143" s="260"/>
      <c r="AM143" s="260"/>
      <c r="AN143" s="260"/>
      <c r="AO143" s="260"/>
      <c r="AP143" s="260"/>
      <c r="AQ143" s="260"/>
      <c r="AR143" s="260"/>
      <c r="AS143" s="260"/>
      <c r="AT143" s="260"/>
      <c r="AU143" s="260"/>
      <c r="AV143" s="260"/>
      <c r="AW143" s="260"/>
      <c r="AX143" s="260"/>
      <c r="AY143" s="260"/>
      <c r="AZ143" s="260"/>
      <c r="BA143" s="260"/>
      <c r="BB143" s="260"/>
      <c r="BC143" s="260"/>
      <c r="BD143" s="260"/>
      <c r="BE143" s="260"/>
      <c r="BF143" s="260"/>
      <c r="BG143" s="260"/>
      <c r="BH143" s="260"/>
      <c r="BI143" s="260"/>
      <c r="BJ143" s="260"/>
      <c r="BK143" s="260"/>
      <c r="BL143" s="260"/>
      <c r="BM143" s="260"/>
      <c r="BN143" s="260"/>
      <c r="BO143" s="260"/>
      <c r="BP143" s="260"/>
      <c r="BQ143" s="260"/>
      <c r="BR143" s="260"/>
      <c r="BS143" s="260"/>
      <c r="BT143" s="260"/>
      <c r="BU143" s="260"/>
      <c r="BV143" s="260"/>
      <c r="BW143" s="260"/>
      <c r="BX143" s="260"/>
    </row>
    <row r="144" spans="1:76" s="256" customFormat="1" ht="22.5" customHeight="1">
      <c r="A144" s="286">
        <v>139</v>
      </c>
      <c r="B144" s="286"/>
      <c r="C144" s="286"/>
      <c r="D144" s="250"/>
      <c r="E144" s="251"/>
      <c r="F144" s="250"/>
      <c r="G144" s="250"/>
      <c r="H144" s="250"/>
      <c r="I144" s="250"/>
      <c r="J144" s="250"/>
      <c r="K144" s="252"/>
      <c r="L144" s="253"/>
      <c r="M144" s="250"/>
      <c r="N144" s="254"/>
      <c r="O144" s="254"/>
      <c r="P144" s="254"/>
      <c r="Q144" s="254"/>
      <c r="R144" s="253"/>
      <c r="S144" s="252"/>
      <c r="T144" s="252"/>
      <c r="U144" s="254"/>
      <c r="V144" s="273"/>
      <c r="W144" s="255"/>
      <c r="X144" s="255"/>
      <c r="Y144" s="255"/>
      <c r="Z144" s="255"/>
      <c r="AA144" s="255"/>
      <c r="AB144" s="257"/>
      <c r="AC144" s="257"/>
      <c r="AD144" s="257"/>
      <c r="AE144" s="257"/>
      <c r="AF144" s="257"/>
      <c r="AG144" s="257"/>
      <c r="AH144" s="257"/>
      <c r="AI144" s="94"/>
      <c r="AJ144" s="94">
        <f t="shared" ca="1" si="6"/>
        <v>0</v>
      </c>
      <c r="AK144" s="94">
        <f t="shared" ca="1" si="7"/>
        <v>0</v>
      </c>
      <c r="AL144" s="260"/>
      <c r="AM144" s="260"/>
      <c r="AN144" s="260"/>
      <c r="AO144" s="260"/>
      <c r="AP144" s="260"/>
      <c r="AQ144" s="260"/>
      <c r="AR144" s="260"/>
      <c r="AS144" s="260"/>
      <c r="AT144" s="260"/>
      <c r="AU144" s="260"/>
      <c r="AV144" s="260"/>
      <c r="AW144" s="260"/>
      <c r="AX144" s="260"/>
      <c r="AY144" s="260"/>
      <c r="AZ144" s="260"/>
      <c r="BA144" s="260"/>
      <c r="BB144" s="260"/>
      <c r="BC144" s="260"/>
      <c r="BD144" s="260"/>
      <c r="BE144" s="260"/>
      <c r="BF144" s="260"/>
      <c r="BG144" s="260"/>
      <c r="BH144" s="260"/>
      <c r="BI144" s="260"/>
      <c r="BJ144" s="260"/>
      <c r="BK144" s="260"/>
      <c r="BL144" s="260"/>
      <c r="BM144" s="260"/>
      <c r="BN144" s="260"/>
      <c r="BO144" s="260"/>
      <c r="BP144" s="260"/>
      <c r="BQ144" s="260"/>
      <c r="BR144" s="260"/>
      <c r="BS144" s="260"/>
      <c r="BT144" s="260"/>
      <c r="BU144" s="260"/>
      <c r="BV144" s="260"/>
      <c r="BW144" s="260"/>
      <c r="BX144" s="260"/>
    </row>
    <row r="145" spans="1:76" s="256" customFormat="1" ht="22.5" customHeight="1">
      <c r="A145" s="286">
        <v>140</v>
      </c>
      <c r="B145" s="286"/>
      <c r="C145" s="286"/>
      <c r="D145" s="250"/>
      <c r="E145" s="251"/>
      <c r="F145" s="250"/>
      <c r="G145" s="250"/>
      <c r="H145" s="250"/>
      <c r="I145" s="250"/>
      <c r="J145" s="250"/>
      <c r="K145" s="252"/>
      <c r="L145" s="253"/>
      <c r="M145" s="250"/>
      <c r="N145" s="254"/>
      <c r="O145" s="254"/>
      <c r="P145" s="254"/>
      <c r="Q145" s="254"/>
      <c r="R145" s="253"/>
      <c r="S145" s="252"/>
      <c r="T145" s="252"/>
      <c r="U145" s="254"/>
      <c r="V145" s="273"/>
      <c r="W145" s="255"/>
      <c r="X145" s="255"/>
      <c r="Y145" s="255"/>
      <c r="Z145" s="255"/>
      <c r="AA145" s="255"/>
      <c r="AB145" s="257"/>
      <c r="AC145" s="257"/>
      <c r="AD145" s="257"/>
      <c r="AE145" s="257"/>
      <c r="AF145" s="257"/>
      <c r="AG145" s="257"/>
      <c r="AH145" s="257"/>
      <c r="AI145" s="94"/>
      <c r="AJ145" s="94">
        <f t="shared" ca="1" si="6"/>
        <v>0</v>
      </c>
      <c r="AK145" s="94">
        <f t="shared" ca="1" si="7"/>
        <v>0</v>
      </c>
      <c r="AL145" s="260"/>
      <c r="AM145" s="260"/>
      <c r="AN145" s="260"/>
      <c r="AO145" s="260"/>
      <c r="AP145" s="260"/>
      <c r="AQ145" s="260"/>
      <c r="AR145" s="260"/>
      <c r="AS145" s="260"/>
      <c r="AT145" s="260"/>
      <c r="AU145" s="260"/>
      <c r="AV145" s="260"/>
      <c r="AW145" s="260"/>
      <c r="AX145" s="260"/>
      <c r="AY145" s="260"/>
      <c r="AZ145" s="260"/>
      <c r="BA145" s="260"/>
      <c r="BB145" s="260"/>
      <c r="BC145" s="260"/>
      <c r="BD145" s="260"/>
      <c r="BE145" s="260"/>
      <c r="BF145" s="260"/>
      <c r="BG145" s="260"/>
      <c r="BH145" s="260"/>
      <c r="BI145" s="260"/>
      <c r="BJ145" s="260"/>
      <c r="BK145" s="260"/>
      <c r="BL145" s="260"/>
      <c r="BM145" s="260"/>
      <c r="BN145" s="260"/>
      <c r="BO145" s="260"/>
      <c r="BP145" s="260"/>
      <c r="BQ145" s="260"/>
      <c r="BR145" s="260"/>
      <c r="BS145" s="260"/>
      <c r="BT145" s="260"/>
      <c r="BU145" s="260"/>
      <c r="BV145" s="260"/>
      <c r="BW145" s="260"/>
      <c r="BX145" s="260"/>
    </row>
    <row r="146" spans="1:76" s="256" customFormat="1" ht="22.5" customHeight="1">
      <c r="A146" s="286">
        <v>141</v>
      </c>
      <c r="B146" s="286"/>
      <c r="C146" s="286"/>
      <c r="D146" s="250"/>
      <c r="E146" s="251"/>
      <c r="F146" s="250"/>
      <c r="G146" s="250"/>
      <c r="H146" s="250"/>
      <c r="I146" s="250"/>
      <c r="J146" s="250"/>
      <c r="K146" s="252"/>
      <c r="L146" s="253"/>
      <c r="M146" s="250"/>
      <c r="N146" s="254"/>
      <c r="O146" s="254"/>
      <c r="P146" s="254"/>
      <c r="Q146" s="254"/>
      <c r="R146" s="253"/>
      <c r="S146" s="252"/>
      <c r="T146" s="252"/>
      <c r="U146" s="254"/>
      <c r="V146" s="273"/>
      <c r="W146" s="255"/>
      <c r="X146" s="255"/>
      <c r="Y146" s="255"/>
      <c r="Z146" s="255"/>
      <c r="AA146" s="255"/>
      <c r="AB146" s="257"/>
      <c r="AC146" s="257"/>
      <c r="AD146" s="257"/>
      <c r="AE146" s="257"/>
      <c r="AF146" s="257"/>
      <c r="AG146" s="257"/>
      <c r="AH146" s="257"/>
      <c r="AI146" s="94"/>
      <c r="AJ146" s="94">
        <f t="shared" ca="1" si="6"/>
        <v>0</v>
      </c>
      <c r="AK146" s="94">
        <f t="shared" ca="1" si="7"/>
        <v>0</v>
      </c>
      <c r="AL146" s="260"/>
      <c r="AM146" s="260"/>
      <c r="AN146" s="260"/>
      <c r="AO146" s="260"/>
      <c r="AP146" s="260"/>
      <c r="AQ146" s="260"/>
      <c r="AR146" s="260"/>
      <c r="AS146" s="260"/>
      <c r="AT146" s="260"/>
      <c r="AU146" s="260"/>
      <c r="AV146" s="260"/>
      <c r="AW146" s="260"/>
      <c r="AX146" s="260"/>
      <c r="AY146" s="260"/>
      <c r="AZ146" s="260"/>
      <c r="BA146" s="260"/>
      <c r="BB146" s="260"/>
      <c r="BC146" s="260"/>
      <c r="BD146" s="260"/>
      <c r="BE146" s="260"/>
      <c r="BF146" s="260"/>
      <c r="BG146" s="260"/>
      <c r="BH146" s="260"/>
      <c r="BI146" s="260"/>
      <c r="BJ146" s="260"/>
      <c r="BK146" s="260"/>
      <c r="BL146" s="260"/>
      <c r="BM146" s="260"/>
      <c r="BN146" s="260"/>
      <c r="BO146" s="260"/>
      <c r="BP146" s="260"/>
      <c r="BQ146" s="260"/>
      <c r="BR146" s="260"/>
      <c r="BS146" s="260"/>
      <c r="BT146" s="260"/>
      <c r="BU146" s="260"/>
      <c r="BV146" s="260"/>
      <c r="BW146" s="260"/>
      <c r="BX146" s="260"/>
    </row>
    <row r="147" spans="1:76" s="256" customFormat="1" ht="22.5" customHeight="1">
      <c r="A147" s="286">
        <v>142</v>
      </c>
      <c r="B147" s="286"/>
      <c r="C147" s="286"/>
      <c r="D147" s="250"/>
      <c r="E147" s="251"/>
      <c r="F147" s="250"/>
      <c r="G147" s="250"/>
      <c r="H147" s="250"/>
      <c r="I147" s="250"/>
      <c r="J147" s="250"/>
      <c r="K147" s="252"/>
      <c r="L147" s="253"/>
      <c r="M147" s="250"/>
      <c r="N147" s="254"/>
      <c r="O147" s="254"/>
      <c r="P147" s="254"/>
      <c r="Q147" s="254"/>
      <c r="R147" s="253"/>
      <c r="S147" s="252"/>
      <c r="T147" s="252"/>
      <c r="U147" s="254"/>
      <c r="V147" s="273"/>
      <c r="W147" s="255"/>
      <c r="X147" s="255"/>
      <c r="Y147" s="255"/>
      <c r="Z147" s="255"/>
      <c r="AA147" s="255"/>
      <c r="AB147" s="257"/>
      <c r="AC147" s="257"/>
      <c r="AD147" s="257"/>
      <c r="AE147" s="257"/>
      <c r="AF147" s="257"/>
      <c r="AG147" s="257"/>
      <c r="AH147" s="257"/>
      <c r="AI147" s="94"/>
      <c r="AJ147" s="94">
        <f t="shared" ca="1" si="6"/>
        <v>0</v>
      </c>
      <c r="AK147" s="94">
        <f t="shared" ca="1" si="7"/>
        <v>0</v>
      </c>
      <c r="AL147" s="260"/>
      <c r="AM147" s="260"/>
      <c r="AN147" s="260"/>
      <c r="AO147" s="260"/>
      <c r="AP147" s="260"/>
      <c r="AQ147" s="260"/>
      <c r="AR147" s="260"/>
      <c r="AS147" s="260"/>
      <c r="AT147" s="260"/>
      <c r="AU147" s="260"/>
      <c r="AV147" s="260"/>
      <c r="AW147" s="260"/>
      <c r="AX147" s="260"/>
      <c r="AY147" s="260"/>
      <c r="AZ147" s="260"/>
      <c r="BA147" s="260"/>
      <c r="BB147" s="260"/>
      <c r="BC147" s="260"/>
      <c r="BD147" s="260"/>
      <c r="BE147" s="260"/>
      <c r="BF147" s="260"/>
      <c r="BG147" s="260"/>
      <c r="BH147" s="260"/>
      <c r="BI147" s="260"/>
      <c r="BJ147" s="260"/>
      <c r="BK147" s="260"/>
      <c r="BL147" s="260"/>
      <c r="BM147" s="260"/>
      <c r="BN147" s="260"/>
      <c r="BO147" s="260"/>
      <c r="BP147" s="260"/>
      <c r="BQ147" s="260"/>
      <c r="BR147" s="260"/>
      <c r="BS147" s="260"/>
      <c r="BT147" s="260"/>
      <c r="BU147" s="260"/>
      <c r="BV147" s="260"/>
      <c r="BW147" s="260"/>
      <c r="BX147" s="260"/>
    </row>
    <row r="148" spans="1:76" s="256" customFormat="1" ht="22.5" customHeight="1">
      <c r="A148" s="286">
        <v>143</v>
      </c>
      <c r="B148" s="286"/>
      <c r="C148" s="286"/>
      <c r="D148" s="250"/>
      <c r="E148" s="251"/>
      <c r="F148" s="250"/>
      <c r="G148" s="250"/>
      <c r="H148" s="250"/>
      <c r="I148" s="250"/>
      <c r="J148" s="250"/>
      <c r="K148" s="252"/>
      <c r="L148" s="253"/>
      <c r="M148" s="250"/>
      <c r="N148" s="254"/>
      <c r="O148" s="254"/>
      <c r="P148" s="254"/>
      <c r="Q148" s="254"/>
      <c r="R148" s="253"/>
      <c r="S148" s="252"/>
      <c r="T148" s="252"/>
      <c r="U148" s="254"/>
      <c r="V148" s="273"/>
      <c r="W148" s="255"/>
      <c r="X148" s="255"/>
      <c r="Y148" s="255"/>
      <c r="Z148" s="255"/>
      <c r="AA148" s="255"/>
      <c r="AB148" s="257"/>
      <c r="AC148" s="257"/>
      <c r="AD148" s="257"/>
      <c r="AE148" s="257"/>
      <c r="AF148" s="257"/>
      <c r="AG148" s="257"/>
      <c r="AH148" s="257"/>
      <c r="AI148" s="94"/>
      <c r="AJ148" s="94">
        <f t="shared" ca="1" si="6"/>
        <v>0</v>
      </c>
      <c r="AK148" s="94">
        <f t="shared" ca="1" si="7"/>
        <v>0</v>
      </c>
      <c r="AL148" s="260"/>
      <c r="AM148" s="260"/>
      <c r="AN148" s="260"/>
      <c r="AO148" s="260"/>
      <c r="AP148" s="260"/>
      <c r="AQ148" s="260"/>
      <c r="AR148" s="260"/>
      <c r="AS148" s="260"/>
      <c r="AT148" s="260"/>
      <c r="AU148" s="260"/>
      <c r="AV148" s="260"/>
      <c r="AW148" s="260"/>
      <c r="AX148" s="260"/>
      <c r="AY148" s="260"/>
      <c r="AZ148" s="260"/>
      <c r="BA148" s="260"/>
      <c r="BB148" s="260"/>
      <c r="BC148" s="260"/>
      <c r="BD148" s="260"/>
      <c r="BE148" s="260"/>
      <c r="BF148" s="260"/>
      <c r="BG148" s="260"/>
      <c r="BH148" s="260"/>
      <c r="BI148" s="260"/>
      <c r="BJ148" s="260"/>
      <c r="BK148" s="260"/>
      <c r="BL148" s="260"/>
      <c r="BM148" s="260"/>
      <c r="BN148" s="260"/>
      <c r="BO148" s="260"/>
      <c r="BP148" s="260"/>
      <c r="BQ148" s="260"/>
      <c r="BR148" s="260"/>
      <c r="BS148" s="260"/>
      <c r="BT148" s="260"/>
      <c r="BU148" s="260"/>
      <c r="BV148" s="260"/>
      <c r="BW148" s="260"/>
      <c r="BX148" s="260"/>
    </row>
    <row r="149" spans="1:76" s="256" customFormat="1" ht="22.5" customHeight="1">
      <c r="A149" s="286">
        <v>144</v>
      </c>
      <c r="B149" s="286"/>
      <c r="C149" s="286"/>
      <c r="D149" s="250"/>
      <c r="E149" s="251"/>
      <c r="F149" s="250"/>
      <c r="G149" s="250"/>
      <c r="H149" s="250"/>
      <c r="I149" s="250"/>
      <c r="J149" s="250"/>
      <c r="K149" s="252"/>
      <c r="L149" s="253"/>
      <c r="M149" s="250"/>
      <c r="N149" s="254"/>
      <c r="O149" s="254"/>
      <c r="P149" s="254"/>
      <c r="Q149" s="254"/>
      <c r="R149" s="253"/>
      <c r="S149" s="252"/>
      <c r="T149" s="252"/>
      <c r="U149" s="254"/>
      <c r="V149" s="273"/>
      <c r="W149" s="255"/>
      <c r="X149" s="255"/>
      <c r="Y149" s="255"/>
      <c r="Z149" s="255"/>
      <c r="AA149" s="255"/>
      <c r="AB149" s="257"/>
      <c r="AC149" s="257"/>
      <c r="AD149" s="257"/>
      <c r="AE149" s="257"/>
      <c r="AF149" s="257"/>
      <c r="AG149" s="257"/>
      <c r="AH149" s="257"/>
      <c r="AI149" s="94"/>
      <c r="AJ149" s="94">
        <f t="shared" ca="1" si="6"/>
        <v>0</v>
      </c>
      <c r="AK149" s="94">
        <f t="shared" ca="1" si="7"/>
        <v>0</v>
      </c>
      <c r="AL149" s="260"/>
      <c r="AM149" s="260"/>
      <c r="AN149" s="260"/>
      <c r="AO149" s="260"/>
      <c r="AP149" s="260"/>
      <c r="AQ149" s="260"/>
      <c r="AR149" s="260"/>
      <c r="AS149" s="260"/>
      <c r="AT149" s="260"/>
      <c r="AU149" s="260"/>
      <c r="AV149" s="260"/>
      <c r="AW149" s="260"/>
      <c r="AX149" s="260"/>
      <c r="AY149" s="260"/>
      <c r="AZ149" s="260"/>
      <c r="BA149" s="260"/>
      <c r="BB149" s="260"/>
      <c r="BC149" s="260"/>
      <c r="BD149" s="260"/>
      <c r="BE149" s="260"/>
      <c r="BF149" s="260"/>
      <c r="BG149" s="260"/>
      <c r="BH149" s="260"/>
      <c r="BI149" s="260"/>
      <c r="BJ149" s="260"/>
      <c r="BK149" s="260"/>
      <c r="BL149" s="260"/>
      <c r="BM149" s="260"/>
      <c r="BN149" s="260"/>
      <c r="BO149" s="260"/>
      <c r="BP149" s="260"/>
      <c r="BQ149" s="260"/>
      <c r="BR149" s="260"/>
      <c r="BS149" s="260"/>
      <c r="BT149" s="260"/>
      <c r="BU149" s="260"/>
      <c r="BV149" s="260"/>
      <c r="BW149" s="260"/>
      <c r="BX149" s="260"/>
    </row>
    <row r="150" spans="1:76" s="256" customFormat="1" ht="22.5" customHeight="1">
      <c r="A150" s="286">
        <v>145</v>
      </c>
      <c r="B150" s="286"/>
      <c r="C150" s="286"/>
      <c r="D150" s="250"/>
      <c r="E150" s="251"/>
      <c r="F150" s="250"/>
      <c r="G150" s="250"/>
      <c r="H150" s="250"/>
      <c r="I150" s="250"/>
      <c r="J150" s="250"/>
      <c r="K150" s="252"/>
      <c r="L150" s="253"/>
      <c r="M150" s="250"/>
      <c r="N150" s="254"/>
      <c r="O150" s="254"/>
      <c r="P150" s="254"/>
      <c r="Q150" s="254"/>
      <c r="R150" s="253"/>
      <c r="S150" s="252"/>
      <c r="T150" s="252"/>
      <c r="U150" s="254"/>
      <c r="V150" s="273"/>
      <c r="W150" s="255"/>
      <c r="X150" s="255"/>
      <c r="Y150" s="255"/>
      <c r="Z150" s="255"/>
      <c r="AA150" s="255"/>
      <c r="AB150" s="257"/>
      <c r="AC150" s="257"/>
      <c r="AD150" s="257"/>
      <c r="AE150" s="257"/>
      <c r="AF150" s="257"/>
      <c r="AG150" s="257"/>
      <c r="AH150" s="257"/>
      <c r="AI150" s="94"/>
      <c r="AJ150" s="94">
        <f t="shared" ca="1" si="6"/>
        <v>0</v>
      </c>
      <c r="AK150" s="94">
        <f t="shared" ca="1" si="7"/>
        <v>0</v>
      </c>
      <c r="AL150" s="260"/>
      <c r="AM150" s="260"/>
      <c r="AN150" s="260"/>
      <c r="AO150" s="260"/>
      <c r="AP150" s="260"/>
      <c r="AQ150" s="260"/>
      <c r="AR150" s="260"/>
      <c r="AS150" s="260"/>
      <c r="AT150" s="260"/>
      <c r="AU150" s="260"/>
      <c r="AV150" s="260"/>
      <c r="AW150" s="260"/>
      <c r="AX150" s="260"/>
      <c r="AY150" s="260"/>
      <c r="AZ150" s="260"/>
      <c r="BA150" s="260"/>
      <c r="BB150" s="260"/>
      <c r="BC150" s="260"/>
      <c r="BD150" s="260"/>
      <c r="BE150" s="260"/>
      <c r="BF150" s="260"/>
      <c r="BG150" s="260"/>
      <c r="BH150" s="260"/>
      <c r="BI150" s="260"/>
      <c r="BJ150" s="260"/>
      <c r="BK150" s="260"/>
      <c r="BL150" s="260"/>
      <c r="BM150" s="260"/>
      <c r="BN150" s="260"/>
      <c r="BO150" s="260"/>
      <c r="BP150" s="260"/>
      <c r="BQ150" s="260"/>
      <c r="BR150" s="260"/>
      <c r="BS150" s="260"/>
      <c r="BT150" s="260"/>
      <c r="BU150" s="260"/>
      <c r="BV150" s="260"/>
      <c r="BW150" s="260"/>
      <c r="BX150" s="260"/>
    </row>
    <row r="151" spans="1:76" s="256" customFormat="1" ht="22.5" customHeight="1">
      <c r="A151" s="286">
        <v>146</v>
      </c>
      <c r="B151" s="286"/>
      <c r="C151" s="286"/>
      <c r="D151" s="250"/>
      <c r="E151" s="251"/>
      <c r="F151" s="250"/>
      <c r="G151" s="250"/>
      <c r="H151" s="250"/>
      <c r="I151" s="250"/>
      <c r="J151" s="250"/>
      <c r="K151" s="252"/>
      <c r="L151" s="253"/>
      <c r="M151" s="250"/>
      <c r="N151" s="254"/>
      <c r="O151" s="254"/>
      <c r="P151" s="254"/>
      <c r="Q151" s="254"/>
      <c r="R151" s="253"/>
      <c r="S151" s="252"/>
      <c r="T151" s="252"/>
      <c r="U151" s="254"/>
      <c r="V151" s="273"/>
      <c r="W151" s="255"/>
      <c r="X151" s="255"/>
      <c r="Y151" s="255"/>
      <c r="Z151" s="255"/>
      <c r="AA151" s="255"/>
      <c r="AB151" s="257"/>
      <c r="AC151" s="257"/>
      <c r="AD151" s="257"/>
      <c r="AE151" s="257"/>
      <c r="AF151" s="257"/>
      <c r="AG151" s="257"/>
      <c r="AH151" s="257"/>
      <c r="AI151" s="94"/>
      <c r="AJ151" s="94">
        <f t="shared" ca="1" si="6"/>
        <v>0</v>
      </c>
      <c r="AK151" s="94">
        <f t="shared" ca="1" si="7"/>
        <v>0</v>
      </c>
      <c r="AL151" s="260"/>
      <c r="AM151" s="260"/>
      <c r="AN151" s="260"/>
      <c r="AO151" s="260"/>
      <c r="AP151" s="260"/>
      <c r="AQ151" s="260"/>
      <c r="AR151" s="260"/>
      <c r="AS151" s="260"/>
      <c r="AT151" s="260"/>
      <c r="AU151" s="260"/>
      <c r="AV151" s="260"/>
      <c r="AW151" s="260"/>
      <c r="AX151" s="260"/>
      <c r="AY151" s="260"/>
      <c r="AZ151" s="260"/>
      <c r="BA151" s="260"/>
      <c r="BB151" s="260"/>
      <c r="BC151" s="260"/>
      <c r="BD151" s="260"/>
      <c r="BE151" s="260"/>
      <c r="BF151" s="260"/>
      <c r="BG151" s="260"/>
      <c r="BH151" s="260"/>
      <c r="BI151" s="260"/>
      <c r="BJ151" s="260"/>
      <c r="BK151" s="260"/>
      <c r="BL151" s="260"/>
      <c r="BM151" s="260"/>
      <c r="BN151" s="260"/>
      <c r="BO151" s="260"/>
      <c r="BP151" s="260"/>
      <c r="BQ151" s="260"/>
      <c r="BR151" s="260"/>
      <c r="BS151" s="260"/>
      <c r="BT151" s="260"/>
      <c r="BU151" s="260"/>
      <c r="BV151" s="260"/>
      <c r="BW151" s="260"/>
      <c r="BX151" s="260"/>
    </row>
    <row r="152" spans="1:76" s="256" customFormat="1" ht="22.5" customHeight="1">
      <c r="A152" s="286">
        <v>147</v>
      </c>
      <c r="B152" s="286"/>
      <c r="C152" s="286"/>
      <c r="D152" s="250"/>
      <c r="E152" s="251"/>
      <c r="F152" s="250"/>
      <c r="G152" s="250"/>
      <c r="H152" s="250"/>
      <c r="I152" s="250"/>
      <c r="J152" s="250"/>
      <c r="K152" s="252"/>
      <c r="L152" s="253"/>
      <c r="M152" s="250"/>
      <c r="N152" s="254"/>
      <c r="O152" s="254"/>
      <c r="P152" s="254"/>
      <c r="Q152" s="254"/>
      <c r="R152" s="253"/>
      <c r="S152" s="252"/>
      <c r="T152" s="252"/>
      <c r="U152" s="254"/>
      <c r="V152" s="273"/>
      <c r="W152" s="255"/>
      <c r="X152" s="255"/>
      <c r="Y152" s="255"/>
      <c r="Z152" s="255"/>
      <c r="AA152" s="255"/>
      <c r="AB152" s="257"/>
      <c r="AC152" s="257"/>
      <c r="AD152" s="257"/>
      <c r="AE152" s="257"/>
      <c r="AF152" s="257"/>
      <c r="AG152" s="257"/>
      <c r="AH152" s="257"/>
      <c r="AI152" s="94"/>
      <c r="AJ152" s="94">
        <f t="shared" ca="1" si="6"/>
        <v>0</v>
      </c>
      <c r="AK152" s="94">
        <f t="shared" ca="1" si="7"/>
        <v>0</v>
      </c>
      <c r="AL152" s="260"/>
      <c r="AM152" s="260"/>
      <c r="AN152" s="260"/>
      <c r="AO152" s="260"/>
      <c r="AP152" s="260"/>
      <c r="AQ152" s="260"/>
      <c r="AR152" s="260"/>
      <c r="AS152" s="260"/>
      <c r="AT152" s="260"/>
      <c r="AU152" s="260"/>
      <c r="AV152" s="260"/>
      <c r="AW152" s="260"/>
      <c r="AX152" s="260"/>
      <c r="AY152" s="260"/>
      <c r="AZ152" s="260"/>
      <c r="BA152" s="260"/>
      <c r="BB152" s="260"/>
      <c r="BC152" s="260"/>
      <c r="BD152" s="260"/>
      <c r="BE152" s="260"/>
      <c r="BF152" s="260"/>
      <c r="BG152" s="260"/>
      <c r="BH152" s="260"/>
      <c r="BI152" s="260"/>
      <c r="BJ152" s="260"/>
      <c r="BK152" s="260"/>
      <c r="BL152" s="260"/>
      <c r="BM152" s="260"/>
      <c r="BN152" s="260"/>
      <c r="BO152" s="260"/>
      <c r="BP152" s="260"/>
      <c r="BQ152" s="260"/>
      <c r="BR152" s="260"/>
      <c r="BS152" s="260"/>
      <c r="BT152" s="260"/>
      <c r="BU152" s="260"/>
      <c r="BV152" s="260"/>
      <c r="BW152" s="260"/>
      <c r="BX152" s="260"/>
    </row>
    <row r="153" spans="1:76" s="256" customFormat="1" ht="22.5" customHeight="1">
      <c r="A153" s="286">
        <v>148</v>
      </c>
      <c r="B153" s="286"/>
      <c r="C153" s="286"/>
      <c r="D153" s="250"/>
      <c r="E153" s="251"/>
      <c r="F153" s="250"/>
      <c r="G153" s="250"/>
      <c r="H153" s="250"/>
      <c r="I153" s="250"/>
      <c r="J153" s="250"/>
      <c r="K153" s="252"/>
      <c r="L153" s="253"/>
      <c r="M153" s="250"/>
      <c r="N153" s="254"/>
      <c r="O153" s="254"/>
      <c r="P153" s="254"/>
      <c r="Q153" s="254"/>
      <c r="R153" s="253"/>
      <c r="S153" s="252"/>
      <c r="T153" s="252"/>
      <c r="U153" s="254"/>
      <c r="V153" s="273"/>
      <c r="W153" s="255"/>
      <c r="X153" s="255"/>
      <c r="Y153" s="255"/>
      <c r="Z153" s="255"/>
      <c r="AA153" s="255"/>
      <c r="AB153" s="257"/>
      <c r="AC153" s="257"/>
      <c r="AD153" s="257"/>
      <c r="AE153" s="257"/>
      <c r="AF153" s="257"/>
      <c r="AG153" s="257"/>
      <c r="AH153" s="257"/>
      <c r="AI153" s="94"/>
      <c r="AJ153" s="94">
        <f t="shared" ca="1" si="6"/>
        <v>0</v>
      </c>
      <c r="AK153" s="94">
        <f t="shared" ca="1" si="7"/>
        <v>0</v>
      </c>
      <c r="AL153" s="260"/>
      <c r="AM153" s="260"/>
      <c r="AN153" s="260"/>
      <c r="AO153" s="260"/>
      <c r="AP153" s="260"/>
      <c r="AQ153" s="260"/>
      <c r="AR153" s="260"/>
      <c r="AS153" s="260"/>
      <c r="AT153" s="260"/>
      <c r="AU153" s="260"/>
      <c r="AV153" s="260"/>
      <c r="AW153" s="260"/>
      <c r="AX153" s="260"/>
      <c r="AY153" s="260"/>
      <c r="AZ153" s="260"/>
      <c r="BA153" s="260"/>
      <c r="BB153" s="260"/>
      <c r="BC153" s="260"/>
      <c r="BD153" s="260"/>
      <c r="BE153" s="260"/>
      <c r="BF153" s="260"/>
      <c r="BG153" s="260"/>
      <c r="BH153" s="260"/>
      <c r="BI153" s="260"/>
      <c r="BJ153" s="260"/>
      <c r="BK153" s="260"/>
      <c r="BL153" s="260"/>
      <c r="BM153" s="260"/>
      <c r="BN153" s="260"/>
      <c r="BO153" s="260"/>
      <c r="BP153" s="260"/>
      <c r="BQ153" s="260"/>
      <c r="BR153" s="260"/>
      <c r="BS153" s="260"/>
      <c r="BT153" s="260"/>
      <c r="BU153" s="260"/>
      <c r="BV153" s="260"/>
      <c r="BW153" s="260"/>
      <c r="BX153" s="260"/>
    </row>
    <row r="154" spans="1:76" s="256" customFormat="1" ht="22.5" customHeight="1">
      <c r="A154" s="286">
        <v>149</v>
      </c>
      <c r="B154" s="286"/>
      <c r="C154" s="286"/>
      <c r="D154" s="250"/>
      <c r="E154" s="251"/>
      <c r="F154" s="250"/>
      <c r="G154" s="250"/>
      <c r="H154" s="250"/>
      <c r="I154" s="250"/>
      <c r="J154" s="250"/>
      <c r="K154" s="252"/>
      <c r="L154" s="253"/>
      <c r="M154" s="250"/>
      <c r="N154" s="254"/>
      <c r="O154" s="254"/>
      <c r="P154" s="254"/>
      <c r="Q154" s="254"/>
      <c r="R154" s="253"/>
      <c r="S154" s="252"/>
      <c r="T154" s="252"/>
      <c r="U154" s="254"/>
      <c r="V154" s="273"/>
      <c r="W154" s="255"/>
      <c r="X154" s="255"/>
      <c r="Y154" s="255"/>
      <c r="Z154" s="255"/>
      <c r="AA154" s="255"/>
      <c r="AB154" s="257"/>
      <c r="AC154" s="257"/>
      <c r="AD154" s="257"/>
      <c r="AE154" s="257"/>
      <c r="AF154" s="257"/>
      <c r="AG154" s="257"/>
      <c r="AH154" s="257"/>
      <c r="AI154" s="94"/>
      <c r="AJ154" s="94">
        <f t="shared" ca="1" si="6"/>
        <v>0</v>
      </c>
      <c r="AK154" s="94">
        <f t="shared" ca="1" si="7"/>
        <v>0</v>
      </c>
      <c r="AL154" s="260"/>
      <c r="AM154" s="260"/>
      <c r="AN154" s="260"/>
      <c r="AO154" s="260"/>
      <c r="AP154" s="260"/>
      <c r="AQ154" s="260"/>
      <c r="AR154" s="260"/>
      <c r="AS154" s="260"/>
      <c r="AT154" s="260"/>
      <c r="AU154" s="260"/>
      <c r="AV154" s="260"/>
      <c r="AW154" s="260"/>
      <c r="AX154" s="260"/>
      <c r="AY154" s="260"/>
      <c r="AZ154" s="260"/>
      <c r="BA154" s="260"/>
      <c r="BB154" s="260"/>
      <c r="BC154" s="260"/>
      <c r="BD154" s="260"/>
      <c r="BE154" s="260"/>
      <c r="BF154" s="260"/>
      <c r="BG154" s="260"/>
      <c r="BH154" s="260"/>
      <c r="BI154" s="260"/>
      <c r="BJ154" s="260"/>
      <c r="BK154" s="260"/>
      <c r="BL154" s="260"/>
      <c r="BM154" s="260"/>
      <c r="BN154" s="260"/>
      <c r="BO154" s="260"/>
      <c r="BP154" s="260"/>
      <c r="BQ154" s="260"/>
      <c r="BR154" s="260"/>
      <c r="BS154" s="260"/>
      <c r="BT154" s="260"/>
      <c r="BU154" s="260"/>
      <c r="BV154" s="260"/>
      <c r="BW154" s="260"/>
      <c r="BX154" s="260"/>
    </row>
    <row r="155" spans="1:76" s="256" customFormat="1" ht="22.5" customHeight="1">
      <c r="A155" s="286">
        <v>150</v>
      </c>
      <c r="B155" s="286"/>
      <c r="C155" s="286"/>
      <c r="D155" s="250"/>
      <c r="E155" s="251"/>
      <c r="F155" s="250"/>
      <c r="G155" s="250"/>
      <c r="H155" s="250"/>
      <c r="I155" s="250"/>
      <c r="J155" s="250"/>
      <c r="K155" s="252"/>
      <c r="L155" s="253"/>
      <c r="M155" s="250"/>
      <c r="N155" s="254"/>
      <c r="O155" s="254"/>
      <c r="P155" s="254"/>
      <c r="Q155" s="254"/>
      <c r="R155" s="253"/>
      <c r="S155" s="252"/>
      <c r="T155" s="252"/>
      <c r="U155" s="254"/>
      <c r="V155" s="273"/>
      <c r="W155" s="255"/>
      <c r="X155" s="255"/>
      <c r="Y155" s="255"/>
      <c r="Z155" s="255"/>
      <c r="AA155" s="255"/>
      <c r="AB155" s="257"/>
      <c r="AC155" s="257"/>
      <c r="AD155" s="257"/>
      <c r="AE155" s="257"/>
      <c r="AF155" s="257"/>
      <c r="AG155" s="257"/>
      <c r="AH155" s="257"/>
      <c r="AI155" s="94"/>
      <c r="AJ155" s="94">
        <f t="shared" ca="1" si="6"/>
        <v>0</v>
      </c>
      <c r="AK155" s="94">
        <f t="shared" ca="1" si="7"/>
        <v>0</v>
      </c>
      <c r="AL155" s="260"/>
      <c r="AM155" s="260"/>
      <c r="AN155" s="260"/>
      <c r="AO155" s="260"/>
      <c r="AP155" s="260"/>
      <c r="AQ155" s="260"/>
      <c r="AR155" s="260"/>
      <c r="AS155" s="260"/>
      <c r="AT155" s="260"/>
      <c r="AU155" s="260"/>
      <c r="AV155" s="260"/>
      <c r="AW155" s="260"/>
      <c r="AX155" s="260"/>
      <c r="AY155" s="260"/>
      <c r="AZ155" s="260"/>
      <c r="BA155" s="260"/>
      <c r="BB155" s="260"/>
      <c r="BC155" s="260"/>
      <c r="BD155" s="260"/>
      <c r="BE155" s="260"/>
      <c r="BF155" s="260"/>
      <c r="BG155" s="260"/>
      <c r="BH155" s="260"/>
      <c r="BI155" s="260"/>
      <c r="BJ155" s="260"/>
      <c r="BK155" s="260"/>
      <c r="BL155" s="260"/>
      <c r="BM155" s="260"/>
      <c r="BN155" s="260"/>
      <c r="BO155" s="260"/>
      <c r="BP155" s="260"/>
      <c r="BQ155" s="260"/>
      <c r="BR155" s="260"/>
      <c r="BS155" s="260"/>
      <c r="BT155" s="260"/>
      <c r="BU155" s="260"/>
      <c r="BV155" s="260"/>
      <c r="BW155" s="260"/>
      <c r="BX155" s="260"/>
    </row>
    <row r="156" spans="1:76" s="256" customFormat="1" ht="22.5" customHeight="1">
      <c r="A156" s="286">
        <v>151</v>
      </c>
      <c r="B156" s="286"/>
      <c r="C156" s="286"/>
      <c r="D156" s="250"/>
      <c r="E156" s="251"/>
      <c r="F156" s="250"/>
      <c r="G156" s="250"/>
      <c r="H156" s="250"/>
      <c r="I156" s="250"/>
      <c r="J156" s="250"/>
      <c r="K156" s="252"/>
      <c r="L156" s="253"/>
      <c r="M156" s="250"/>
      <c r="N156" s="254"/>
      <c r="O156" s="254"/>
      <c r="P156" s="254"/>
      <c r="Q156" s="254"/>
      <c r="R156" s="253"/>
      <c r="S156" s="252"/>
      <c r="T156" s="252"/>
      <c r="U156" s="254"/>
      <c r="V156" s="273"/>
      <c r="W156" s="255"/>
      <c r="X156" s="255"/>
      <c r="Y156" s="255"/>
      <c r="Z156" s="255"/>
      <c r="AA156" s="255"/>
      <c r="AB156" s="257"/>
      <c r="AC156" s="257"/>
      <c r="AD156" s="257"/>
      <c r="AE156" s="257"/>
      <c r="AF156" s="257"/>
      <c r="AG156" s="257"/>
      <c r="AH156" s="257"/>
      <c r="AI156" s="94"/>
      <c r="AJ156" s="94">
        <f t="shared" ca="1" si="6"/>
        <v>0</v>
      </c>
      <c r="AK156" s="94">
        <f t="shared" ca="1" si="7"/>
        <v>0</v>
      </c>
      <c r="AL156" s="260"/>
      <c r="AM156" s="260"/>
      <c r="AN156" s="260"/>
      <c r="AO156" s="260"/>
      <c r="AP156" s="260"/>
      <c r="AQ156" s="260"/>
      <c r="AR156" s="260"/>
      <c r="AS156" s="260"/>
      <c r="AT156" s="260"/>
      <c r="AU156" s="260"/>
      <c r="AV156" s="260"/>
      <c r="AW156" s="260"/>
      <c r="AX156" s="260"/>
      <c r="AY156" s="260"/>
      <c r="AZ156" s="260"/>
      <c r="BA156" s="260"/>
      <c r="BB156" s="260"/>
      <c r="BC156" s="260"/>
      <c r="BD156" s="260"/>
      <c r="BE156" s="260"/>
      <c r="BF156" s="260"/>
      <c r="BG156" s="260"/>
      <c r="BH156" s="260"/>
      <c r="BI156" s="260"/>
      <c r="BJ156" s="260"/>
      <c r="BK156" s="260"/>
      <c r="BL156" s="260"/>
      <c r="BM156" s="260"/>
      <c r="BN156" s="260"/>
      <c r="BO156" s="260"/>
      <c r="BP156" s="260"/>
      <c r="BQ156" s="260"/>
      <c r="BR156" s="260"/>
      <c r="BS156" s="260"/>
      <c r="BT156" s="260"/>
      <c r="BU156" s="260"/>
      <c r="BV156" s="260"/>
      <c r="BW156" s="260"/>
      <c r="BX156" s="260"/>
    </row>
    <row r="157" spans="1:76" s="256" customFormat="1" ht="22.5" customHeight="1">
      <c r="A157" s="286">
        <v>152</v>
      </c>
      <c r="B157" s="286"/>
      <c r="C157" s="286"/>
      <c r="D157" s="250"/>
      <c r="E157" s="251"/>
      <c r="F157" s="250"/>
      <c r="G157" s="250"/>
      <c r="H157" s="250"/>
      <c r="I157" s="250"/>
      <c r="J157" s="250"/>
      <c r="K157" s="252"/>
      <c r="L157" s="253"/>
      <c r="M157" s="250"/>
      <c r="N157" s="254"/>
      <c r="O157" s="254"/>
      <c r="P157" s="254"/>
      <c r="Q157" s="254"/>
      <c r="R157" s="253"/>
      <c r="S157" s="252"/>
      <c r="T157" s="252"/>
      <c r="U157" s="254"/>
      <c r="V157" s="273"/>
      <c r="W157" s="255"/>
      <c r="X157" s="255"/>
      <c r="Y157" s="255"/>
      <c r="Z157" s="255"/>
      <c r="AA157" s="255"/>
      <c r="AB157" s="257"/>
      <c r="AC157" s="257"/>
      <c r="AD157" s="257"/>
      <c r="AE157" s="257"/>
      <c r="AF157" s="257"/>
      <c r="AG157" s="257"/>
      <c r="AH157" s="257"/>
      <c r="AI157" s="94"/>
      <c r="AJ157" s="94">
        <f t="shared" ca="1" si="6"/>
        <v>0</v>
      </c>
      <c r="AK157" s="94">
        <f t="shared" ca="1" si="7"/>
        <v>0</v>
      </c>
      <c r="AL157" s="260"/>
      <c r="AM157" s="260"/>
      <c r="AN157" s="260"/>
      <c r="AO157" s="260"/>
      <c r="AP157" s="260"/>
      <c r="AQ157" s="260"/>
      <c r="AR157" s="260"/>
      <c r="AS157" s="260"/>
      <c r="AT157" s="260"/>
      <c r="AU157" s="260"/>
      <c r="AV157" s="260"/>
      <c r="AW157" s="260"/>
      <c r="AX157" s="260"/>
      <c r="AY157" s="260"/>
      <c r="AZ157" s="260"/>
      <c r="BA157" s="260"/>
      <c r="BB157" s="260"/>
      <c r="BC157" s="260"/>
      <c r="BD157" s="260"/>
      <c r="BE157" s="260"/>
      <c r="BF157" s="260"/>
      <c r="BG157" s="260"/>
      <c r="BH157" s="260"/>
      <c r="BI157" s="260"/>
      <c r="BJ157" s="260"/>
      <c r="BK157" s="260"/>
      <c r="BL157" s="260"/>
      <c r="BM157" s="260"/>
      <c r="BN157" s="260"/>
      <c r="BO157" s="260"/>
      <c r="BP157" s="260"/>
      <c r="BQ157" s="260"/>
      <c r="BR157" s="260"/>
      <c r="BS157" s="260"/>
      <c r="BT157" s="260"/>
      <c r="BU157" s="260"/>
      <c r="BV157" s="260"/>
      <c r="BW157" s="260"/>
      <c r="BX157" s="260"/>
    </row>
    <row r="158" spans="1:76" s="256" customFormat="1" ht="22.5" customHeight="1">
      <c r="A158" s="286">
        <v>153</v>
      </c>
      <c r="B158" s="286"/>
      <c r="C158" s="286"/>
      <c r="D158" s="250"/>
      <c r="E158" s="251"/>
      <c r="F158" s="250"/>
      <c r="G158" s="250"/>
      <c r="H158" s="250"/>
      <c r="I158" s="250"/>
      <c r="J158" s="250"/>
      <c r="K158" s="252"/>
      <c r="L158" s="253"/>
      <c r="M158" s="250"/>
      <c r="N158" s="254"/>
      <c r="O158" s="254"/>
      <c r="P158" s="254"/>
      <c r="Q158" s="254"/>
      <c r="R158" s="253"/>
      <c r="S158" s="252"/>
      <c r="T158" s="252"/>
      <c r="U158" s="254"/>
      <c r="V158" s="273"/>
      <c r="W158" s="255"/>
      <c r="X158" s="255"/>
      <c r="Y158" s="255"/>
      <c r="Z158" s="255"/>
      <c r="AA158" s="255"/>
      <c r="AB158" s="257"/>
      <c r="AC158" s="257"/>
      <c r="AD158" s="257"/>
      <c r="AE158" s="257"/>
      <c r="AF158" s="257"/>
      <c r="AG158" s="257"/>
      <c r="AH158" s="257"/>
      <c r="AI158" s="94"/>
      <c r="AJ158" s="94">
        <f t="shared" ca="1" si="6"/>
        <v>0</v>
      </c>
      <c r="AK158" s="94">
        <f t="shared" ca="1" si="7"/>
        <v>0</v>
      </c>
      <c r="AL158" s="260"/>
      <c r="AM158" s="260"/>
      <c r="AN158" s="260"/>
      <c r="AO158" s="260"/>
      <c r="AP158" s="260"/>
      <c r="AQ158" s="260"/>
      <c r="AR158" s="260"/>
      <c r="AS158" s="260"/>
      <c r="AT158" s="260"/>
      <c r="AU158" s="260"/>
      <c r="AV158" s="260"/>
      <c r="AW158" s="260"/>
      <c r="AX158" s="260"/>
      <c r="AY158" s="260"/>
      <c r="AZ158" s="260"/>
      <c r="BA158" s="260"/>
      <c r="BB158" s="260"/>
      <c r="BC158" s="260"/>
      <c r="BD158" s="260"/>
      <c r="BE158" s="260"/>
      <c r="BF158" s="260"/>
      <c r="BG158" s="260"/>
      <c r="BH158" s="260"/>
      <c r="BI158" s="260"/>
      <c r="BJ158" s="260"/>
      <c r="BK158" s="260"/>
      <c r="BL158" s="260"/>
      <c r="BM158" s="260"/>
      <c r="BN158" s="260"/>
      <c r="BO158" s="260"/>
      <c r="BP158" s="260"/>
      <c r="BQ158" s="260"/>
      <c r="BR158" s="260"/>
      <c r="BS158" s="260"/>
      <c r="BT158" s="260"/>
      <c r="BU158" s="260"/>
      <c r="BV158" s="260"/>
      <c r="BW158" s="260"/>
      <c r="BX158" s="260"/>
    </row>
    <row r="159" spans="1:76" s="256" customFormat="1" ht="22.5" customHeight="1">
      <c r="A159" s="286">
        <v>154</v>
      </c>
      <c r="B159" s="286"/>
      <c r="C159" s="286"/>
      <c r="D159" s="250"/>
      <c r="E159" s="251"/>
      <c r="F159" s="250"/>
      <c r="G159" s="250"/>
      <c r="H159" s="250"/>
      <c r="I159" s="250"/>
      <c r="J159" s="250"/>
      <c r="K159" s="252"/>
      <c r="L159" s="253"/>
      <c r="M159" s="250"/>
      <c r="N159" s="254"/>
      <c r="O159" s="254"/>
      <c r="P159" s="254"/>
      <c r="Q159" s="254"/>
      <c r="R159" s="253"/>
      <c r="S159" s="252"/>
      <c r="T159" s="252"/>
      <c r="U159" s="254"/>
      <c r="V159" s="273"/>
      <c r="W159" s="255"/>
      <c r="X159" s="255"/>
      <c r="Y159" s="255"/>
      <c r="Z159" s="255"/>
      <c r="AA159" s="255"/>
      <c r="AB159" s="257"/>
      <c r="AC159" s="257"/>
      <c r="AD159" s="257"/>
      <c r="AE159" s="257"/>
      <c r="AF159" s="257"/>
      <c r="AG159" s="257"/>
      <c r="AH159" s="257"/>
      <c r="AI159" s="94"/>
      <c r="AJ159" s="94">
        <f t="shared" ca="1" si="6"/>
        <v>0</v>
      </c>
      <c r="AK159" s="94">
        <f t="shared" ca="1" si="7"/>
        <v>0</v>
      </c>
      <c r="AL159" s="260"/>
      <c r="AM159" s="260"/>
      <c r="AN159" s="260"/>
      <c r="AO159" s="260"/>
      <c r="AP159" s="260"/>
      <c r="AQ159" s="260"/>
      <c r="AR159" s="260"/>
      <c r="AS159" s="260"/>
      <c r="AT159" s="260"/>
      <c r="AU159" s="260"/>
      <c r="AV159" s="260"/>
      <c r="AW159" s="260"/>
      <c r="AX159" s="260"/>
      <c r="AY159" s="260"/>
      <c r="AZ159" s="260"/>
      <c r="BA159" s="260"/>
      <c r="BB159" s="260"/>
      <c r="BC159" s="260"/>
      <c r="BD159" s="260"/>
      <c r="BE159" s="260"/>
      <c r="BF159" s="260"/>
      <c r="BG159" s="260"/>
      <c r="BH159" s="260"/>
      <c r="BI159" s="260"/>
      <c r="BJ159" s="260"/>
      <c r="BK159" s="260"/>
      <c r="BL159" s="260"/>
      <c r="BM159" s="260"/>
      <c r="BN159" s="260"/>
      <c r="BO159" s="260"/>
      <c r="BP159" s="260"/>
      <c r="BQ159" s="260"/>
      <c r="BR159" s="260"/>
      <c r="BS159" s="260"/>
      <c r="BT159" s="260"/>
      <c r="BU159" s="260"/>
      <c r="BV159" s="260"/>
      <c r="BW159" s="260"/>
      <c r="BX159" s="260"/>
    </row>
    <row r="160" spans="1:76" s="256" customFormat="1" ht="22.5" customHeight="1">
      <c r="A160" s="286">
        <v>155</v>
      </c>
      <c r="B160" s="286"/>
      <c r="C160" s="286"/>
      <c r="D160" s="250"/>
      <c r="E160" s="251"/>
      <c r="F160" s="250"/>
      <c r="G160" s="250"/>
      <c r="H160" s="250"/>
      <c r="I160" s="250"/>
      <c r="J160" s="250"/>
      <c r="K160" s="252"/>
      <c r="L160" s="253"/>
      <c r="M160" s="250"/>
      <c r="N160" s="254"/>
      <c r="O160" s="254"/>
      <c r="P160" s="254"/>
      <c r="Q160" s="254"/>
      <c r="R160" s="253"/>
      <c r="S160" s="252"/>
      <c r="T160" s="252"/>
      <c r="U160" s="254"/>
      <c r="V160" s="273"/>
      <c r="W160" s="255"/>
      <c r="X160" s="255"/>
      <c r="Y160" s="255"/>
      <c r="Z160" s="255"/>
      <c r="AA160" s="255"/>
      <c r="AB160" s="257"/>
      <c r="AC160" s="257"/>
      <c r="AD160" s="257"/>
      <c r="AE160" s="257"/>
      <c r="AF160" s="257"/>
      <c r="AG160" s="257"/>
      <c r="AH160" s="257"/>
      <c r="AI160" s="94"/>
      <c r="AJ160" s="94">
        <f t="shared" ca="1" si="6"/>
        <v>0</v>
      </c>
      <c r="AK160" s="94">
        <f t="shared" ca="1" si="7"/>
        <v>0</v>
      </c>
      <c r="AL160" s="260"/>
      <c r="AM160" s="260"/>
      <c r="AN160" s="260"/>
      <c r="AO160" s="260"/>
      <c r="AP160" s="260"/>
      <c r="AQ160" s="260"/>
      <c r="AR160" s="260"/>
      <c r="AS160" s="260"/>
      <c r="AT160" s="260"/>
      <c r="AU160" s="260"/>
      <c r="AV160" s="260"/>
      <c r="AW160" s="260"/>
      <c r="AX160" s="260"/>
      <c r="AY160" s="260"/>
      <c r="AZ160" s="260"/>
      <c r="BA160" s="260"/>
      <c r="BB160" s="260"/>
      <c r="BC160" s="260"/>
      <c r="BD160" s="260"/>
      <c r="BE160" s="260"/>
      <c r="BF160" s="260"/>
      <c r="BG160" s="260"/>
      <c r="BH160" s="260"/>
      <c r="BI160" s="260"/>
      <c r="BJ160" s="260"/>
      <c r="BK160" s="260"/>
      <c r="BL160" s="260"/>
      <c r="BM160" s="260"/>
      <c r="BN160" s="260"/>
      <c r="BO160" s="260"/>
      <c r="BP160" s="260"/>
      <c r="BQ160" s="260"/>
      <c r="BR160" s="260"/>
      <c r="BS160" s="260"/>
      <c r="BT160" s="260"/>
      <c r="BU160" s="260"/>
      <c r="BV160" s="260"/>
      <c r="BW160" s="260"/>
      <c r="BX160" s="260"/>
    </row>
    <row r="161" spans="1:76" s="256" customFormat="1" ht="22.5" customHeight="1">
      <c r="A161" s="286">
        <v>156</v>
      </c>
      <c r="B161" s="286"/>
      <c r="C161" s="286"/>
      <c r="D161" s="250"/>
      <c r="E161" s="251"/>
      <c r="F161" s="250"/>
      <c r="G161" s="250"/>
      <c r="H161" s="250"/>
      <c r="I161" s="250"/>
      <c r="J161" s="250"/>
      <c r="K161" s="252"/>
      <c r="L161" s="253"/>
      <c r="M161" s="250"/>
      <c r="N161" s="254"/>
      <c r="O161" s="254"/>
      <c r="P161" s="254"/>
      <c r="Q161" s="254"/>
      <c r="R161" s="253"/>
      <c r="S161" s="252"/>
      <c r="T161" s="252"/>
      <c r="U161" s="254"/>
      <c r="V161" s="273"/>
      <c r="W161" s="255"/>
      <c r="X161" s="255"/>
      <c r="Y161" s="255"/>
      <c r="Z161" s="255"/>
      <c r="AA161" s="255"/>
      <c r="AB161" s="257"/>
      <c r="AC161" s="257"/>
      <c r="AD161" s="257"/>
      <c r="AE161" s="257"/>
      <c r="AF161" s="257"/>
      <c r="AG161" s="257"/>
      <c r="AH161" s="257"/>
      <c r="AI161" s="94"/>
      <c r="AJ161" s="94">
        <f t="shared" ca="1" si="6"/>
        <v>0</v>
      </c>
      <c r="AK161" s="94">
        <f t="shared" ca="1" si="7"/>
        <v>0</v>
      </c>
      <c r="AL161" s="260"/>
      <c r="AM161" s="260"/>
      <c r="AN161" s="260"/>
      <c r="AO161" s="260"/>
      <c r="AP161" s="260"/>
      <c r="AQ161" s="260"/>
      <c r="AR161" s="260"/>
      <c r="AS161" s="260"/>
      <c r="AT161" s="260"/>
      <c r="AU161" s="260"/>
      <c r="AV161" s="260"/>
      <c r="AW161" s="260"/>
      <c r="AX161" s="260"/>
      <c r="AY161" s="260"/>
      <c r="AZ161" s="260"/>
      <c r="BA161" s="260"/>
      <c r="BB161" s="260"/>
      <c r="BC161" s="260"/>
      <c r="BD161" s="260"/>
      <c r="BE161" s="260"/>
      <c r="BF161" s="260"/>
      <c r="BG161" s="260"/>
      <c r="BH161" s="260"/>
      <c r="BI161" s="260"/>
      <c r="BJ161" s="260"/>
      <c r="BK161" s="260"/>
      <c r="BL161" s="260"/>
      <c r="BM161" s="260"/>
      <c r="BN161" s="260"/>
      <c r="BO161" s="260"/>
      <c r="BP161" s="260"/>
      <c r="BQ161" s="260"/>
      <c r="BR161" s="260"/>
      <c r="BS161" s="260"/>
      <c r="BT161" s="260"/>
      <c r="BU161" s="260"/>
      <c r="BV161" s="260"/>
      <c r="BW161" s="260"/>
      <c r="BX161" s="260"/>
    </row>
    <row r="162" spans="1:76" s="256" customFormat="1" ht="22.5" customHeight="1">
      <c r="A162" s="286">
        <v>157</v>
      </c>
      <c r="B162" s="286"/>
      <c r="C162" s="286"/>
      <c r="D162" s="250"/>
      <c r="E162" s="251"/>
      <c r="F162" s="250"/>
      <c r="G162" s="250"/>
      <c r="H162" s="250"/>
      <c r="I162" s="250"/>
      <c r="J162" s="250"/>
      <c r="K162" s="252"/>
      <c r="L162" s="253"/>
      <c r="M162" s="250"/>
      <c r="N162" s="254"/>
      <c r="O162" s="254"/>
      <c r="P162" s="254"/>
      <c r="Q162" s="254"/>
      <c r="R162" s="253"/>
      <c r="S162" s="252"/>
      <c r="T162" s="252"/>
      <c r="U162" s="254"/>
      <c r="V162" s="273"/>
      <c r="W162" s="255"/>
      <c r="X162" s="255"/>
      <c r="Y162" s="255"/>
      <c r="Z162" s="255"/>
      <c r="AA162" s="255"/>
      <c r="AB162" s="257"/>
      <c r="AC162" s="257"/>
      <c r="AD162" s="257"/>
      <c r="AE162" s="257"/>
      <c r="AF162" s="257"/>
      <c r="AG162" s="257"/>
      <c r="AH162" s="257"/>
      <c r="AI162" s="94"/>
      <c r="AJ162" s="94">
        <f t="shared" ca="1" si="6"/>
        <v>0</v>
      </c>
      <c r="AK162" s="94">
        <f t="shared" ca="1" si="7"/>
        <v>0</v>
      </c>
      <c r="AL162" s="260"/>
      <c r="AM162" s="260"/>
      <c r="AN162" s="260"/>
      <c r="AO162" s="260"/>
      <c r="AP162" s="260"/>
      <c r="AQ162" s="260"/>
      <c r="AR162" s="260"/>
      <c r="AS162" s="260"/>
      <c r="AT162" s="260"/>
      <c r="AU162" s="260"/>
      <c r="AV162" s="260"/>
      <c r="AW162" s="260"/>
      <c r="AX162" s="260"/>
      <c r="AY162" s="260"/>
      <c r="AZ162" s="260"/>
      <c r="BA162" s="260"/>
      <c r="BB162" s="260"/>
      <c r="BC162" s="260"/>
      <c r="BD162" s="260"/>
      <c r="BE162" s="260"/>
      <c r="BF162" s="260"/>
      <c r="BG162" s="260"/>
      <c r="BH162" s="260"/>
      <c r="BI162" s="260"/>
      <c r="BJ162" s="260"/>
      <c r="BK162" s="260"/>
      <c r="BL162" s="260"/>
      <c r="BM162" s="260"/>
      <c r="BN162" s="260"/>
      <c r="BO162" s="260"/>
      <c r="BP162" s="260"/>
      <c r="BQ162" s="260"/>
      <c r="BR162" s="260"/>
      <c r="BS162" s="260"/>
      <c r="BT162" s="260"/>
      <c r="BU162" s="260"/>
      <c r="BV162" s="260"/>
      <c r="BW162" s="260"/>
      <c r="BX162" s="260"/>
    </row>
    <row r="163" spans="1:76" s="256" customFormat="1" ht="22.5" customHeight="1">
      <c r="A163" s="286">
        <v>158</v>
      </c>
      <c r="B163" s="286"/>
      <c r="C163" s="286"/>
      <c r="D163" s="250"/>
      <c r="E163" s="251"/>
      <c r="F163" s="250"/>
      <c r="G163" s="250"/>
      <c r="H163" s="250"/>
      <c r="I163" s="250"/>
      <c r="J163" s="250"/>
      <c r="K163" s="252"/>
      <c r="L163" s="253"/>
      <c r="M163" s="250"/>
      <c r="N163" s="254"/>
      <c r="O163" s="254"/>
      <c r="P163" s="254"/>
      <c r="Q163" s="254"/>
      <c r="R163" s="253"/>
      <c r="S163" s="252"/>
      <c r="T163" s="252"/>
      <c r="U163" s="254"/>
      <c r="V163" s="273"/>
      <c r="W163" s="255"/>
      <c r="X163" s="255"/>
      <c r="Y163" s="255"/>
      <c r="Z163" s="255"/>
      <c r="AA163" s="255"/>
      <c r="AB163" s="257"/>
      <c r="AC163" s="257"/>
      <c r="AD163" s="257"/>
      <c r="AE163" s="257"/>
      <c r="AF163" s="257"/>
      <c r="AG163" s="257"/>
      <c r="AH163" s="257"/>
      <c r="AI163" s="94"/>
      <c r="AJ163" s="94">
        <f t="shared" ca="1" si="6"/>
        <v>0</v>
      </c>
      <c r="AK163" s="94">
        <f t="shared" ca="1" si="7"/>
        <v>0</v>
      </c>
      <c r="AL163" s="260"/>
      <c r="AM163" s="260"/>
      <c r="AN163" s="260"/>
      <c r="AO163" s="260"/>
      <c r="AP163" s="260"/>
      <c r="AQ163" s="260"/>
      <c r="AR163" s="260"/>
      <c r="AS163" s="260"/>
      <c r="AT163" s="260"/>
      <c r="AU163" s="260"/>
      <c r="AV163" s="260"/>
      <c r="AW163" s="260"/>
      <c r="AX163" s="260"/>
      <c r="AY163" s="260"/>
      <c r="AZ163" s="260"/>
      <c r="BA163" s="260"/>
      <c r="BB163" s="260"/>
      <c r="BC163" s="260"/>
      <c r="BD163" s="260"/>
      <c r="BE163" s="260"/>
      <c r="BF163" s="260"/>
      <c r="BG163" s="260"/>
      <c r="BH163" s="260"/>
      <c r="BI163" s="260"/>
      <c r="BJ163" s="260"/>
      <c r="BK163" s="260"/>
      <c r="BL163" s="260"/>
      <c r="BM163" s="260"/>
      <c r="BN163" s="260"/>
      <c r="BO163" s="260"/>
      <c r="BP163" s="260"/>
      <c r="BQ163" s="260"/>
      <c r="BR163" s="260"/>
      <c r="BS163" s="260"/>
      <c r="BT163" s="260"/>
      <c r="BU163" s="260"/>
      <c r="BV163" s="260"/>
      <c r="BW163" s="260"/>
      <c r="BX163" s="260"/>
    </row>
    <row r="164" spans="1:76" s="256" customFormat="1" ht="22.5" customHeight="1">
      <c r="A164" s="286">
        <v>159</v>
      </c>
      <c r="B164" s="286"/>
      <c r="C164" s="286"/>
      <c r="D164" s="250"/>
      <c r="E164" s="251"/>
      <c r="F164" s="250"/>
      <c r="G164" s="250"/>
      <c r="H164" s="250"/>
      <c r="I164" s="250"/>
      <c r="J164" s="250"/>
      <c r="K164" s="252"/>
      <c r="L164" s="253"/>
      <c r="M164" s="250"/>
      <c r="N164" s="254"/>
      <c r="O164" s="254"/>
      <c r="P164" s="254"/>
      <c r="Q164" s="254"/>
      <c r="R164" s="253"/>
      <c r="S164" s="252"/>
      <c r="T164" s="252"/>
      <c r="U164" s="254"/>
      <c r="V164" s="273"/>
      <c r="W164" s="255"/>
      <c r="X164" s="255"/>
      <c r="Y164" s="255"/>
      <c r="Z164" s="255"/>
      <c r="AA164" s="255"/>
      <c r="AB164" s="257"/>
      <c r="AC164" s="257"/>
      <c r="AD164" s="257"/>
      <c r="AE164" s="257"/>
      <c r="AF164" s="257"/>
      <c r="AG164" s="257"/>
      <c r="AH164" s="257"/>
      <c r="AI164" s="94"/>
      <c r="AJ164" s="94">
        <f t="shared" ca="1" si="6"/>
        <v>0</v>
      </c>
      <c r="AK164" s="94">
        <f t="shared" ca="1" si="7"/>
        <v>0</v>
      </c>
      <c r="AL164" s="260"/>
      <c r="AM164" s="260"/>
      <c r="AN164" s="260"/>
      <c r="AO164" s="260"/>
      <c r="AP164" s="260"/>
      <c r="AQ164" s="260"/>
      <c r="AR164" s="260"/>
      <c r="AS164" s="260"/>
      <c r="AT164" s="260"/>
      <c r="AU164" s="260"/>
      <c r="AV164" s="260"/>
      <c r="AW164" s="260"/>
      <c r="AX164" s="260"/>
      <c r="AY164" s="260"/>
      <c r="AZ164" s="260"/>
      <c r="BA164" s="260"/>
      <c r="BB164" s="260"/>
      <c r="BC164" s="260"/>
      <c r="BD164" s="260"/>
      <c r="BE164" s="260"/>
      <c r="BF164" s="260"/>
      <c r="BG164" s="260"/>
      <c r="BH164" s="260"/>
      <c r="BI164" s="260"/>
      <c r="BJ164" s="260"/>
      <c r="BK164" s="260"/>
      <c r="BL164" s="260"/>
      <c r="BM164" s="260"/>
      <c r="BN164" s="260"/>
      <c r="BO164" s="260"/>
      <c r="BP164" s="260"/>
      <c r="BQ164" s="260"/>
      <c r="BR164" s="260"/>
      <c r="BS164" s="260"/>
      <c r="BT164" s="260"/>
      <c r="BU164" s="260"/>
      <c r="BV164" s="260"/>
      <c r="BW164" s="260"/>
      <c r="BX164" s="260"/>
    </row>
    <row r="165" spans="1:76" s="256" customFormat="1" ht="22.5" customHeight="1">
      <c r="A165" s="286">
        <v>160</v>
      </c>
      <c r="B165" s="286"/>
      <c r="C165" s="286"/>
      <c r="D165" s="250"/>
      <c r="E165" s="251"/>
      <c r="F165" s="250"/>
      <c r="G165" s="250"/>
      <c r="H165" s="250"/>
      <c r="I165" s="250"/>
      <c r="J165" s="250"/>
      <c r="K165" s="252"/>
      <c r="L165" s="253"/>
      <c r="M165" s="250"/>
      <c r="N165" s="254"/>
      <c r="O165" s="254"/>
      <c r="P165" s="254"/>
      <c r="Q165" s="254"/>
      <c r="R165" s="253"/>
      <c r="S165" s="252"/>
      <c r="T165" s="252"/>
      <c r="U165" s="254"/>
      <c r="V165" s="273"/>
      <c r="W165" s="255"/>
      <c r="X165" s="255"/>
      <c r="Y165" s="255"/>
      <c r="Z165" s="255"/>
      <c r="AA165" s="255"/>
      <c r="AB165" s="257"/>
      <c r="AC165" s="257"/>
      <c r="AD165" s="257"/>
      <c r="AE165" s="257"/>
      <c r="AF165" s="257"/>
      <c r="AG165" s="257"/>
      <c r="AH165" s="257"/>
      <c r="AI165" s="94"/>
      <c r="AJ165" s="94">
        <f t="shared" ca="1" si="6"/>
        <v>0</v>
      </c>
      <c r="AK165" s="94">
        <f t="shared" ca="1" si="7"/>
        <v>0</v>
      </c>
      <c r="AL165" s="260"/>
      <c r="AM165" s="260"/>
      <c r="AN165" s="260"/>
      <c r="AO165" s="260"/>
      <c r="AP165" s="260"/>
      <c r="AQ165" s="260"/>
      <c r="AR165" s="260"/>
      <c r="AS165" s="260"/>
      <c r="AT165" s="260"/>
      <c r="AU165" s="260"/>
      <c r="AV165" s="260"/>
      <c r="AW165" s="260"/>
      <c r="AX165" s="260"/>
      <c r="AY165" s="260"/>
      <c r="AZ165" s="260"/>
      <c r="BA165" s="260"/>
      <c r="BB165" s="260"/>
      <c r="BC165" s="260"/>
      <c r="BD165" s="260"/>
      <c r="BE165" s="260"/>
      <c r="BF165" s="260"/>
      <c r="BG165" s="260"/>
      <c r="BH165" s="260"/>
      <c r="BI165" s="260"/>
      <c r="BJ165" s="260"/>
      <c r="BK165" s="260"/>
      <c r="BL165" s="260"/>
      <c r="BM165" s="260"/>
      <c r="BN165" s="260"/>
      <c r="BO165" s="260"/>
      <c r="BP165" s="260"/>
      <c r="BQ165" s="260"/>
      <c r="BR165" s="260"/>
      <c r="BS165" s="260"/>
      <c r="BT165" s="260"/>
      <c r="BU165" s="260"/>
      <c r="BV165" s="260"/>
      <c r="BW165" s="260"/>
      <c r="BX165" s="260"/>
    </row>
    <row r="166" spans="1:76" s="256" customFormat="1" ht="22.5" customHeight="1">
      <c r="A166" s="286">
        <v>161</v>
      </c>
      <c r="B166" s="286"/>
      <c r="C166" s="286"/>
      <c r="D166" s="250"/>
      <c r="E166" s="251"/>
      <c r="F166" s="250"/>
      <c r="G166" s="250"/>
      <c r="H166" s="250"/>
      <c r="I166" s="250"/>
      <c r="J166" s="250"/>
      <c r="K166" s="252"/>
      <c r="L166" s="253"/>
      <c r="M166" s="250"/>
      <c r="N166" s="254"/>
      <c r="O166" s="254"/>
      <c r="P166" s="254"/>
      <c r="Q166" s="254"/>
      <c r="R166" s="253"/>
      <c r="S166" s="252"/>
      <c r="T166" s="252"/>
      <c r="U166" s="254"/>
      <c r="V166" s="273"/>
      <c r="W166" s="255"/>
      <c r="X166" s="255"/>
      <c r="Y166" s="255"/>
      <c r="Z166" s="255"/>
      <c r="AA166" s="255"/>
      <c r="AB166" s="257"/>
      <c r="AC166" s="257"/>
      <c r="AD166" s="257"/>
      <c r="AE166" s="257"/>
      <c r="AF166" s="257"/>
      <c r="AG166" s="257"/>
      <c r="AH166" s="257"/>
      <c r="AI166" s="94"/>
      <c r="AJ166" s="94">
        <f t="shared" ca="1" si="6"/>
        <v>0</v>
      </c>
      <c r="AK166" s="94">
        <f t="shared" ca="1" si="7"/>
        <v>0</v>
      </c>
      <c r="AL166" s="260"/>
      <c r="AM166" s="260"/>
      <c r="AN166" s="260"/>
      <c r="AO166" s="260"/>
      <c r="AP166" s="260"/>
      <c r="AQ166" s="260"/>
      <c r="AR166" s="260"/>
      <c r="AS166" s="260"/>
      <c r="AT166" s="260"/>
      <c r="AU166" s="260"/>
      <c r="AV166" s="260"/>
      <c r="AW166" s="260"/>
      <c r="AX166" s="260"/>
      <c r="AY166" s="260"/>
      <c r="AZ166" s="260"/>
      <c r="BA166" s="260"/>
      <c r="BB166" s="260"/>
      <c r="BC166" s="260"/>
      <c r="BD166" s="260"/>
      <c r="BE166" s="260"/>
      <c r="BF166" s="260"/>
      <c r="BG166" s="260"/>
      <c r="BH166" s="260"/>
      <c r="BI166" s="260"/>
      <c r="BJ166" s="260"/>
      <c r="BK166" s="260"/>
      <c r="BL166" s="260"/>
      <c r="BM166" s="260"/>
      <c r="BN166" s="260"/>
      <c r="BO166" s="260"/>
      <c r="BP166" s="260"/>
      <c r="BQ166" s="260"/>
      <c r="BR166" s="260"/>
      <c r="BS166" s="260"/>
      <c r="BT166" s="260"/>
      <c r="BU166" s="260"/>
      <c r="BV166" s="260"/>
      <c r="BW166" s="260"/>
      <c r="BX166" s="260"/>
    </row>
    <row r="167" spans="1:76" s="256" customFormat="1" ht="22.5" customHeight="1">
      <c r="A167" s="286">
        <v>162</v>
      </c>
      <c r="B167" s="286"/>
      <c r="C167" s="286"/>
      <c r="D167" s="250"/>
      <c r="E167" s="251"/>
      <c r="F167" s="250"/>
      <c r="G167" s="250"/>
      <c r="H167" s="250"/>
      <c r="I167" s="250"/>
      <c r="J167" s="250"/>
      <c r="K167" s="252"/>
      <c r="L167" s="253"/>
      <c r="M167" s="250"/>
      <c r="N167" s="254"/>
      <c r="O167" s="254"/>
      <c r="P167" s="254"/>
      <c r="Q167" s="254"/>
      <c r="R167" s="253"/>
      <c r="S167" s="252"/>
      <c r="T167" s="252"/>
      <c r="U167" s="254"/>
      <c r="V167" s="273"/>
      <c r="W167" s="255"/>
      <c r="X167" s="255"/>
      <c r="Y167" s="255"/>
      <c r="Z167" s="255"/>
      <c r="AA167" s="255"/>
      <c r="AB167" s="257"/>
      <c r="AC167" s="257"/>
      <c r="AD167" s="257"/>
      <c r="AE167" s="257"/>
      <c r="AF167" s="257"/>
      <c r="AG167" s="257"/>
      <c r="AH167" s="257"/>
      <c r="AI167" s="94"/>
      <c r="AJ167" s="94">
        <f t="shared" ca="1" si="6"/>
        <v>0</v>
      </c>
      <c r="AK167" s="94">
        <f t="shared" ca="1" si="7"/>
        <v>0</v>
      </c>
      <c r="AL167" s="260"/>
      <c r="AM167" s="260"/>
      <c r="AN167" s="260"/>
      <c r="AO167" s="260"/>
      <c r="AP167" s="260"/>
      <c r="AQ167" s="260"/>
      <c r="AR167" s="260"/>
      <c r="AS167" s="260"/>
      <c r="AT167" s="260"/>
      <c r="AU167" s="260"/>
      <c r="AV167" s="260"/>
      <c r="AW167" s="260"/>
      <c r="AX167" s="260"/>
      <c r="AY167" s="260"/>
      <c r="AZ167" s="260"/>
      <c r="BA167" s="260"/>
      <c r="BB167" s="260"/>
      <c r="BC167" s="260"/>
      <c r="BD167" s="260"/>
      <c r="BE167" s="260"/>
      <c r="BF167" s="260"/>
      <c r="BG167" s="260"/>
      <c r="BH167" s="260"/>
      <c r="BI167" s="260"/>
      <c r="BJ167" s="260"/>
      <c r="BK167" s="260"/>
      <c r="BL167" s="260"/>
      <c r="BM167" s="260"/>
      <c r="BN167" s="260"/>
      <c r="BO167" s="260"/>
      <c r="BP167" s="260"/>
      <c r="BQ167" s="260"/>
      <c r="BR167" s="260"/>
      <c r="BS167" s="260"/>
      <c r="BT167" s="260"/>
      <c r="BU167" s="260"/>
      <c r="BV167" s="260"/>
      <c r="BW167" s="260"/>
      <c r="BX167" s="260"/>
    </row>
    <row r="168" spans="1:76" s="256" customFormat="1" ht="22.5" customHeight="1">
      <c r="A168" s="286">
        <v>163</v>
      </c>
      <c r="B168" s="286"/>
      <c r="C168" s="286"/>
      <c r="D168" s="250"/>
      <c r="E168" s="251"/>
      <c r="F168" s="250"/>
      <c r="G168" s="250"/>
      <c r="H168" s="250"/>
      <c r="I168" s="250"/>
      <c r="J168" s="250"/>
      <c r="K168" s="252"/>
      <c r="L168" s="253"/>
      <c r="M168" s="250"/>
      <c r="N168" s="254"/>
      <c r="O168" s="254"/>
      <c r="P168" s="254"/>
      <c r="Q168" s="254"/>
      <c r="R168" s="253"/>
      <c r="S168" s="252"/>
      <c r="T168" s="252"/>
      <c r="U168" s="254"/>
      <c r="V168" s="273"/>
      <c r="W168" s="255"/>
      <c r="X168" s="255"/>
      <c r="Y168" s="255"/>
      <c r="Z168" s="255"/>
      <c r="AA168" s="255"/>
      <c r="AB168" s="257"/>
      <c r="AC168" s="257"/>
      <c r="AD168" s="257"/>
      <c r="AE168" s="257"/>
      <c r="AF168" s="257"/>
      <c r="AG168" s="257"/>
      <c r="AH168" s="257"/>
      <c r="AI168" s="94"/>
      <c r="AJ168" s="94">
        <f t="shared" ca="1" si="6"/>
        <v>0</v>
      </c>
      <c r="AK168" s="94">
        <f t="shared" ca="1" si="7"/>
        <v>0</v>
      </c>
      <c r="AL168" s="260"/>
      <c r="AM168" s="260"/>
      <c r="AN168" s="260"/>
      <c r="AO168" s="260"/>
      <c r="AP168" s="260"/>
      <c r="AQ168" s="260"/>
      <c r="AR168" s="260"/>
      <c r="AS168" s="260"/>
      <c r="AT168" s="260"/>
      <c r="AU168" s="260"/>
      <c r="AV168" s="260"/>
      <c r="AW168" s="260"/>
      <c r="AX168" s="260"/>
      <c r="AY168" s="260"/>
      <c r="AZ168" s="260"/>
      <c r="BA168" s="260"/>
      <c r="BB168" s="260"/>
      <c r="BC168" s="260"/>
      <c r="BD168" s="260"/>
      <c r="BE168" s="260"/>
      <c r="BF168" s="260"/>
      <c r="BG168" s="260"/>
      <c r="BH168" s="260"/>
      <c r="BI168" s="260"/>
      <c r="BJ168" s="260"/>
      <c r="BK168" s="260"/>
      <c r="BL168" s="260"/>
      <c r="BM168" s="260"/>
      <c r="BN168" s="260"/>
      <c r="BO168" s="260"/>
      <c r="BP168" s="260"/>
      <c r="BQ168" s="260"/>
      <c r="BR168" s="260"/>
      <c r="BS168" s="260"/>
      <c r="BT168" s="260"/>
      <c r="BU168" s="260"/>
      <c r="BV168" s="260"/>
      <c r="BW168" s="260"/>
      <c r="BX168" s="260"/>
    </row>
    <row r="169" spans="1:76" s="256" customFormat="1" ht="22.5" customHeight="1">
      <c r="A169" s="286">
        <v>164</v>
      </c>
      <c r="B169" s="286"/>
      <c r="C169" s="286"/>
      <c r="D169" s="250"/>
      <c r="E169" s="251"/>
      <c r="F169" s="250"/>
      <c r="G169" s="250"/>
      <c r="H169" s="250"/>
      <c r="I169" s="250"/>
      <c r="J169" s="250"/>
      <c r="K169" s="252"/>
      <c r="L169" s="253"/>
      <c r="M169" s="250"/>
      <c r="N169" s="254"/>
      <c r="O169" s="254"/>
      <c r="P169" s="254"/>
      <c r="Q169" s="254"/>
      <c r="R169" s="253"/>
      <c r="S169" s="252"/>
      <c r="T169" s="252"/>
      <c r="U169" s="254"/>
      <c r="V169" s="273"/>
      <c r="W169" s="255"/>
      <c r="X169" s="255"/>
      <c r="Y169" s="255"/>
      <c r="Z169" s="255"/>
      <c r="AA169" s="255"/>
      <c r="AB169" s="257"/>
      <c r="AC169" s="257"/>
      <c r="AD169" s="257"/>
      <c r="AE169" s="257"/>
      <c r="AF169" s="257"/>
      <c r="AG169" s="257"/>
      <c r="AH169" s="257"/>
      <c r="AI169" s="94"/>
      <c r="AJ169" s="94">
        <f t="shared" ca="1" si="6"/>
        <v>0</v>
      </c>
      <c r="AK169" s="94">
        <f t="shared" ca="1" si="7"/>
        <v>0</v>
      </c>
      <c r="AL169" s="260"/>
      <c r="AM169" s="260"/>
      <c r="AN169" s="260"/>
      <c r="AO169" s="260"/>
      <c r="AP169" s="260"/>
      <c r="AQ169" s="260"/>
      <c r="AR169" s="260"/>
      <c r="AS169" s="260"/>
      <c r="AT169" s="260"/>
      <c r="AU169" s="260"/>
      <c r="AV169" s="260"/>
      <c r="AW169" s="260"/>
      <c r="AX169" s="260"/>
      <c r="AY169" s="260"/>
      <c r="AZ169" s="260"/>
      <c r="BA169" s="260"/>
      <c r="BB169" s="260"/>
      <c r="BC169" s="260"/>
      <c r="BD169" s="260"/>
      <c r="BE169" s="260"/>
      <c r="BF169" s="260"/>
      <c r="BG169" s="260"/>
      <c r="BH169" s="260"/>
      <c r="BI169" s="260"/>
      <c r="BJ169" s="260"/>
      <c r="BK169" s="260"/>
      <c r="BL169" s="260"/>
      <c r="BM169" s="260"/>
      <c r="BN169" s="260"/>
      <c r="BO169" s="260"/>
      <c r="BP169" s="260"/>
      <c r="BQ169" s="260"/>
      <c r="BR169" s="260"/>
      <c r="BS169" s="260"/>
      <c r="BT169" s="260"/>
      <c r="BU169" s="260"/>
      <c r="BV169" s="260"/>
      <c r="BW169" s="260"/>
      <c r="BX169" s="260"/>
    </row>
    <row r="170" spans="1:76" s="256" customFormat="1" ht="22.5" customHeight="1">
      <c r="A170" s="286">
        <v>165</v>
      </c>
      <c r="B170" s="286"/>
      <c r="C170" s="286"/>
      <c r="D170" s="250"/>
      <c r="E170" s="251"/>
      <c r="F170" s="250"/>
      <c r="G170" s="250"/>
      <c r="H170" s="250"/>
      <c r="I170" s="250"/>
      <c r="J170" s="250"/>
      <c r="K170" s="252"/>
      <c r="L170" s="253"/>
      <c r="M170" s="250"/>
      <c r="N170" s="254"/>
      <c r="O170" s="254"/>
      <c r="P170" s="254"/>
      <c r="Q170" s="254"/>
      <c r="R170" s="253"/>
      <c r="S170" s="252"/>
      <c r="T170" s="252"/>
      <c r="U170" s="254"/>
      <c r="V170" s="273"/>
      <c r="W170" s="255"/>
      <c r="X170" s="255"/>
      <c r="Y170" s="255"/>
      <c r="Z170" s="255"/>
      <c r="AA170" s="255"/>
      <c r="AB170" s="257"/>
      <c r="AC170" s="257"/>
      <c r="AD170" s="257"/>
      <c r="AE170" s="257"/>
      <c r="AF170" s="257"/>
      <c r="AG170" s="257"/>
      <c r="AH170" s="257"/>
      <c r="AI170" s="94"/>
      <c r="AJ170" s="94">
        <f t="shared" ca="1" si="6"/>
        <v>0</v>
      </c>
      <c r="AK170" s="94">
        <f t="shared" ca="1" si="7"/>
        <v>0</v>
      </c>
      <c r="AL170" s="260"/>
      <c r="AM170" s="260"/>
      <c r="AN170" s="260"/>
      <c r="AO170" s="260"/>
      <c r="AP170" s="260"/>
      <c r="AQ170" s="260"/>
      <c r="AR170" s="260"/>
      <c r="AS170" s="260"/>
      <c r="AT170" s="260"/>
      <c r="AU170" s="260"/>
      <c r="AV170" s="260"/>
      <c r="AW170" s="260"/>
      <c r="AX170" s="260"/>
      <c r="AY170" s="260"/>
      <c r="AZ170" s="260"/>
      <c r="BA170" s="260"/>
      <c r="BB170" s="260"/>
      <c r="BC170" s="260"/>
      <c r="BD170" s="260"/>
      <c r="BE170" s="260"/>
      <c r="BF170" s="260"/>
      <c r="BG170" s="260"/>
      <c r="BH170" s="260"/>
      <c r="BI170" s="260"/>
      <c r="BJ170" s="260"/>
      <c r="BK170" s="260"/>
      <c r="BL170" s="260"/>
      <c r="BM170" s="260"/>
      <c r="BN170" s="260"/>
      <c r="BO170" s="260"/>
      <c r="BP170" s="260"/>
      <c r="BQ170" s="260"/>
      <c r="BR170" s="260"/>
      <c r="BS170" s="260"/>
      <c r="BT170" s="260"/>
      <c r="BU170" s="260"/>
      <c r="BV170" s="260"/>
      <c r="BW170" s="260"/>
      <c r="BX170" s="260"/>
    </row>
    <row r="171" spans="1:76" s="256" customFormat="1" ht="22.5" customHeight="1">
      <c r="A171" s="286">
        <v>166</v>
      </c>
      <c r="B171" s="286"/>
      <c r="C171" s="286"/>
      <c r="D171" s="250"/>
      <c r="E171" s="251"/>
      <c r="F171" s="250"/>
      <c r="G171" s="250"/>
      <c r="H171" s="250"/>
      <c r="I171" s="250"/>
      <c r="J171" s="250"/>
      <c r="K171" s="252"/>
      <c r="L171" s="253"/>
      <c r="M171" s="250"/>
      <c r="N171" s="254"/>
      <c r="O171" s="254"/>
      <c r="P171" s="254"/>
      <c r="Q171" s="254"/>
      <c r="R171" s="253"/>
      <c r="S171" s="252"/>
      <c r="T171" s="252"/>
      <c r="U171" s="254"/>
      <c r="V171" s="273"/>
      <c r="W171" s="255"/>
      <c r="X171" s="255"/>
      <c r="Y171" s="255"/>
      <c r="Z171" s="255"/>
      <c r="AA171" s="255"/>
      <c r="AB171" s="257"/>
      <c r="AC171" s="257"/>
      <c r="AD171" s="257"/>
      <c r="AE171" s="257"/>
      <c r="AF171" s="257"/>
      <c r="AG171" s="257"/>
      <c r="AH171" s="257"/>
      <c r="AI171" s="94"/>
      <c r="AJ171" s="94">
        <f t="shared" ca="1" si="6"/>
        <v>0</v>
      </c>
      <c r="AK171" s="94">
        <f t="shared" ca="1" si="7"/>
        <v>0</v>
      </c>
      <c r="AL171" s="260"/>
      <c r="AM171" s="260"/>
      <c r="AN171" s="260"/>
      <c r="AO171" s="260"/>
      <c r="AP171" s="260"/>
      <c r="AQ171" s="260"/>
      <c r="AR171" s="260"/>
      <c r="AS171" s="260"/>
      <c r="AT171" s="260"/>
      <c r="AU171" s="260"/>
      <c r="AV171" s="260"/>
      <c r="AW171" s="260"/>
      <c r="AX171" s="260"/>
      <c r="AY171" s="260"/>
      <c r="AZ171" s="260"/>
      <c r="BA171" s="260"/>
      <c r="BB171" s="260"/>
      <c r="BC171" s="260"/>
      <c r="BD171" s="260"/>
      <c r="BE171" s="260"/>
      <c r="BF171" s="260"/>
      <c r="BG171" s="260"/>
      <c r="BH171" s="260"/>
      <c r="BI171" s="260"/>
      <c r="BJ171" s="260"/>
      <c r="BK171" s="260"/>
      <c r="BL171" s="260"/>
      <c r="BM171" s="260"/>
      <c r="BN171" s="260"/>
      <c r="BO171" s="260"/>
      <c r="BP171" s="260"/>
      <c r="BQ171" s="260"/>
      <c r="BR171" s="260"/>
      <c r="BS171" s="260"/>
      <c r="BT171" s="260"/>
      <c r="BU171" s="260"/>
      <c r="BV171" s="260"/>
      <c r="BW171" s="260"/>
      <c r="BX171" s="260"/>
    </row>
    <row r="172" spans="1:76" s="256" customFormat="1" ht="22.5" customHeight="1">
      <c r="A172" s="286">
        <v>167</v>
      </c>
      <c r="B172" s="286"/>
      <c r="C172" s="286"/>
      <c r="D172" s="250"/>
      <c r="E172" s="251"/>
      <c r="F172" s="250"/>
      <c r="G172" s="250"/>
      <c r="H172" s="250"/>
      <c r="I172" s="250"/>
      <c r="J172" s="250"/>
      <c r="K172" s="252"/>
      <c r="L172" s="253"/>
      <c r="M172" s="250"/>
      <c r="N172" s="254"/>
      <c r="O172" s="254"/>
      <c r="P172" s="254"/>
      <c r="Q172" s="254"/>
      <c r="R172" s="253"/>
      <c r="S172" s="252"/>
      <c r="T172" s="252"/>
      <c r="U172" s="254"/>
      <c r="V172" s="273"/>
      <c r="W172" s="255"/>
      <c r="X172" s="255"/>
      <c r="Y172" s="255"/>
      <c r="Z172" s="255"/>
      <c r="AA172" s="255"/>
      <c r="AB172" s="257"/>
      <c r="AC172" s="257"/>
      <c r="AD172" s="257"/>
      <c r="AE172" s="257"/>
      <c r="AF172" s="257"/>
      <c r="AG172" s="257"/>
      <c r="AH172" s="257"/>
      <c r="AI172" s="94"/>
      <c r="AJ172" s="94">
        <f t="shared" ca="1" si="6"/>
        <v>0</v>
      </c>
      <c r="AK172" s="94">
        <f t="shared" ca="1" si="7"/>
        <v>0</v>
      </c>
      <c r="AL172" s="260"/>
      <c r="AM172" s="260"/>
      <c r="AN172" s="260"/>
      <c r="AO172" s="260"/>
      <c r="AP172" s="260"/>
      <c r="AQ172" s="260"/>
      <c r="AR172" s="260"/>
      <c r="AS172" s="260"/>
      <c r="AT172" s="260"/>
      <c r="AU172" s="260"/>
      <c r="AV172" s="260"/>
      <c r="AW172" s="260"/>
      <c r="AX172" s="260"/>
      <c r="AY172" s="260"/>
      <c r="AZ172" s="260"/>
      <c r="BA172" s="260"/>
      <c r="BB172" s="260"/>
      <c r="BC172" s="260"/>
      <c r="BD172" s="260"/>
      <c r="BE172" s="260"/>
      <c r="BF172" s="260"/>
      <c r="BG172" s="260"/>
      <c r="BH172" s="260"/>
      <c r="BI172" s="260"/>
      <c r="BJ172" s="260"/>
      <c r="BK172" s="260"/>
      <c r="BL172" s="260"/>
      <c r="BM172" s="260"/>
      <c r="BN172" s="260"/>
      <c r="BO172" s="260"/>
      <c r="BP172" s="260"/>
      <c r="BQ172" s="260"/>
      <c r="BR172" s="260"/>
      <c r="BS172" s="260"/>
      <c r="BT172" s="260"/>
      <c r="BU172" s="260"/>
      <c r="BV172" s="260"/>
      <c r="BW172" s="260"/>
      <c r="BX172" s="260"/>
    </row>
    <row r="173" spans="1:76" s="256" customFormat="1" ht="22.5" customHeight="1">
      <c r="A173" s="286">
        <v>168</v>
      </c>
      <c r="B173" s="286"/>
      <c r="C173" s="286"/>
      <c r="D173" s="250"/>
      <c r="E173" s="251"/>
      <c r="F173" s="250"/>
      <c r="G173" s="250"/>
      <c r="H173" s="250"/>
      <c r="I173" s="250"/>
      <c r="J173" s="250"/>
      <c r="K173" s="252"/>
      <c r="L173" s="253"/>
      <c r="M173" s="250"/>
      <c r="N173" s="254"/>
      <c r="O173" s="254"/>
      <c r="P173" s="254"/>
      <c r="Q173" s="254"/>
      <c r="R173" s="253"/>
      <c r="S173" s="252"/>
      <c r="T173" s="252"/>
      <c r="U173" s="254"/>
      <c r="V173" s="273"/>
      <c r="W173" s="255"/>
      <c r="X173" s="255"/>
      <c r="Y173" s="255"/>
      <c r="Z173" s="255"/>
      <c r="AA173" s="255"/>
      <c r="AB173" s="257"/>
      <c r="AC173" s="257"/>
      <c r="AD173" s="257"/>
      <c r="AE173" s="257"/>
      <c r="AF173" s="257"/>
      <c r="AG173" s="257"/>
      <c r="AH173" s="257"/>
      <c r="AI173" s="94"/>
      <c r="AJ173" s="94">
        <f t="shared" ca="1" si="6"/>
        <v>0</v>
      </c>
      <c r="AK173" s="94">
        <f t="shared" ca="1" si="7"/>
        <v>0</v>
      </c>
      <c r="AL173" s="260"/>
      <c r="AM173" s="260"/>
      <c r="AN173" s="260"/>
      <c r="AO173" s="260"/>
      <c r="AP173" s="260"/>
      <c r="AQ173" s="260"/>
      <c r="AR173" s="260"/>
      <c r="AS173" s="260"/>
      <c r="AT173" s="260"/>
      <c r="AU173" s="260"/>
      <c r="AV173" s="260"/>
      <c r="AW173" s="260"/>
      <c r="AX173" s="260"/>
      <c r="AY173" s="260"/>
      <c r="AZ173" s="260"/>
      <c r="BA173" s="260"/>
      <c r="BB173" s="260"/>
      <c r="BC173" s="260"/>
      <c r="BD173" s="260"/>
      <c r="BE173" s="260"/>
      <c r="BF173" s="260"/>
      <c r="BG173" s="260"/>
      <c r="BH173" s="260"/>
      <c r="BI173" s="260"/>
      <c r="BJ173" s="260"/>
      <c r="BK173" s="260"/>
      <c r="BL173" s="260"/>
      <c r="BM173" s="260"/>
      <c r="BN173" s="260"/>
      <c r="BO173" s="260"/>
      <c r="BP173" s="260"/>
      <c r="BQ173" s="260"/>
      <c r="BR173" s="260"/>
      <c r="BS173" s="260"/>
      <c r="BT173" s="260"/>
      <c r="BU173" s="260"/>
      <c r="BV173" s="260"/>
      <c r="BW173" s="260"/>
      <c r="BX173" s="260"/>
    </row>
    <row r="174" spans="1:76" s="256" customFormat="1" ht="22.5" customHeight="1">
      <c r="A174" s="286">
        <v>169</v>
      </c>
      <c r="B174" s="286"/>
      <c r="C174" s="286"/>
      <c r="D174" s="250"/>
      <c r="E174" s="251"/>
      <c r="F174" s="250"/>
      <c r="G174" s="250"/>
      <c r="H174" s="250"/>
      <c r="I174" s="250"/>
      <c r="J174" s="250"/>
      <c r="K174" s="252"/>
      <c r="L174" s="253"/>
      <c r="M174" s="250"/>
      <c r="N174" s="254"/>
      <c r="O174" s="254"/>
      <c r="P174" s="254"/>
      <c r="Q174" s="254"/>
      <c r="R174" s="253"/>
      <c r="S174" s="252"/>
      <c r="T174" s="252"/>
      <c r="U174" s="254"/>
      <c r="V174" s="273"/>
      <c r="W174" s="255"/>
      <c r="X174" s="255"/>
      <c r="Y174" s="255"/>
      <c r="Z174" s="255"/>
      <c r="AA174" s="255"/>
      <c r="AB174" s="257"/>
      <c r="AC174" s="257"/>
      <c r="AD174" s="257"/>
      <c r="AE174" s="257"/>
      <c r="AF174" s="257"/>
      <c r="AG174" s="257"/>
      <c r="AH174" s="257"/>
      <c r="AI174" s="94"/>
      <c r="AJ174" s="94">
        <f t="shared" ref="AJ174:AJ216" ca="1" si="8">IF(TRIM(K174)&lt;&gt;"",DATEDIF(K174,TODAY(),"y"),0)</f>
        <v>0</v>
      </c>
      <c r="AK174" s="94">
        <f t="shared" ref="AK174:AK216" ca="1" si="9">IF(TRIM(P174)&lt;&gt;"",DATEDIF(P174,TODAY(),"m"),0)</f>
        <v>0</v>
      </c>
      <c r="AL174" s="260"/>
      <c r="AM174" s="260"/>
      <c r="AN174" s="260"/>
      <c r="AO174" s="260"/>
      <c r="AP174" s="260"/>
      <c r="AQ174" s="260"/>
      <c r="AR174" s="260"/>
      <c r="AS174" s="260"/>
      <c r="AT174" s="260"/>
      <c r="AU174" s="260"/>
      <c r="AV174" s="260"/>
      <c r="AW174" s="260"/>
      <c r="AX174" s="260"/>
      <c r="AY174" s="260"/>
      <c r="AZ174" s="260"/>
      <c r="BA174" s="260"/>
      <c r="BB174" s="260"/>
      <c r="BC174" s="260"/>
      <c r="BD174" s="260"/>
      <c r="BE174" s="260"/>
      <c r="BF174" s="260"/>
      <c r="BG174" s="260"/>
      <c r="BH174" s="260"/>
      <c r="BI174" s="260"/>
      <c r="BJ174" s="260"/>
      <c r="BK174" s="260"/>
      <c r="BL174" s="260"/>
      <c r="BM174" s="260"/>
      <c r="BN174" s="260"/>
      <c r="BO174" s="260"/>
      <c r="BP174" s="260"/>
      <c r="BQ174" s="260"/>
      <c r="BR174" s="260"/>
      <c r="BS174" s="260"/>
      <c r="BT174" s="260"/>
      <c r="BU174" s="260"/>
      <c r="BV174" s="260"/>
      <c r="BW174" s="260"/>
      <c r="BX174" s="260"/>
    </row>
    <row r="175" spans="1:76" s="256" customFormat="1" ht="22.5" customHeight="1">
      <c r="A175" s="286">
        <v>170</v>
      </c>
      <c r="B175" s="286"/>
      <c r="C175" s="286"/>
      <c r="D175" s="250"/>
      <c r="E175" s="251"/>
      <c r="F175" s="250"/>
      <c r="G175" s="250"/>
      <c r="H175" s="250"/>
      <c r="I175" s="250"/>
      <c r="J175" s="250"/>
      <c r="K175" s="252"/>
      <c r="L175" s="253"/>
      <c r="M175" s="250"/>
      <c r="N175" s="254"/>
      <c r="O175" s="254"/>
      <c r="P175" s="254"/>
      <c r="Q175" s="254"/>
      <c r="R175" s="253"/>
      <c r="S175" s="252"/>
      <c r="T175" s="252"/>
      <c r="U175" s="254"/>
      <c r="V175" s="273"/>
      <c r="W175" s="255"/>
      <c r="X175" s="255"/>
      <c r="Y175" s="255"/>
      <c r="Z175" s="255"/>
      <c r="AA175" s="255"/>
      <c r="AB175" s="257"/>
      <c r="AC175" s="257"/>
      <c r="AD175" s="257"/>
      <c r="AE175" s="257"/>
      <c r="AF175" s="257"/>
      <c r="AG175" s="257"/>
      <c r="AH175" s="257"/>
      <c r="AI175" s="94"/>
      <c r="AJ175" s="94">
        <f t="shared" ca="1" si="8"/>
        <v>0</v>
      </c>
      <c r="AK175" s="94">
        <f t="shared" ca="1" si="9"/>
        <v>0</v>
      </c>
      <c r="AL175" s="260"/>
      <c r="AM175" s="260"/>
      <c r="AN175" s="260"/>
      <c r="AO175" s="260"/>
      <c r="AP175" s="260"/>
      <c r="AQ175" s="260"/>
      <c r="AR175" s="260"/>
      <c r="AS175" s="260"/>
      <c r="AT175" s="260"/>
      <c r="AU175" s="260"/>
      <c r="AV175" s="260"/>
      <c r="AW175" s="260"/>
      <c r="AX175" s="260"/>
      <c r="AY175" s="260"/>
      <c r="AZ175" s="260"/>
      <c r="BA175" s="260"/>
      <c r="BB175" s="260"/>
      <c r="BC175" s="260"/>
      <c r="BD175" s="260"/>
      <c r="BE175" s="260"/>
      <c r="BF175" s="260"/>
      <c r="BG175" s="260"/>
      <c r="BH175" s="260"/>
      <c r="BI175" s="260"/>
      <c r="BJ175" s="260"/>
      <c r="BK175" s="260"/>
      <c r="BL175" s="260"/>
      <c r="BM175" s="260"/>
      <c r="BN175" s="260"/>
      <c r="BO175" s="260"/>
      <c r="BP175" s="260"/>
      <c r="BQ175" s="260"/>
      <c r="BR175" s="260"/>
      <c r="BS175" s="260"/>
      <c r="BT175" s="260"/>
      <c r="BU175" s="260"/>
      <c r="BV175" s="260"/>
      <c r="BW175" s="260"/>
      <c r="BX175" s="260"/>
    </row>
    <row r="176" spans="1:76" s="256" customFormat="1" ht="22.5" customHeight="1">
      <c r="A176" s="286">
        <v>171</v>
      </c>
      <c r="B176" s="286"/>
      <c r="C176" s="286"/>
      <c r="D176" s="250"/>
      <c r="E176" s="251"/>
      <c r="F176" s="250"/>
      <c r="G176" s="250"/>
      <c r="H176" s="250"/>
      <c r="I176" s="250"/>
      <c r="J176" s="250"/>
      <c r="K176" s="252"/>
      <c r="L176" s="253"/>
      <c r="M176" s="250"/>
      <c r="N176" s="254"/>
      <c r="O176" s="254"/>
      <c r="P176" s="254"/>
      <c r="Q176" s="254"/>
      <c r="R176" s="253"/>
      <c r="S176" s="252"/>
      <c r="T176" s="252"/>
      <c r="U176" s="254"/>
      <c r="V176" s="273"/>
      <c r="W176" s="255"/>
      <c r="X176" s="255"/>
      <c r="Y176" s="255"/>
      <c r="Z176" s="255"/>
      <c r="AA176" s="255"/>
      <c r="AB176" s="257"/>
      <c r="AC176" s="257"/>
      <c r="AD176" s="257"/>
      <c r="AE176" s="257"/>
      <c r="AF176" s="257"/>
      <c r="AG176" s="257"/>
      <c r="AH176" s="257"/>
      <c r="AI176" s="94"/>
      <c r="AJ176" s="94">
        <f t="shared" ca="1" si="8"/>
        <v>0</v>
      </c>
      <c r="AK176" s="94">
        <f t="shared" ca="1" si="9"/>
        <v>0</v>
      </c>
      <c r="AL176" s="260"/>
      <c r="AM176" s="260"/>
      <c r="AN176" s="260"/>
      <c r="AO176" s="260"/>
      <c r="AP176" s="260"/>
      <c r="AQ176" s="260"/>
      <c r="AR176" s="260"/>
      <c r="AS176" s="260"/>
      <c r="AT176" s="260"/>
      <c r="AU176" s="260"/>
      <c r="AV176" s="260"/>
      <c r="AW176" s="260"/>
      <c r="AX176" s="260"/>
      <c r="AY176" s="260"/>
      <c r="AZ176" s="260"/>
      <c r="BA176" s="260"/>
      <c r="BB176" s="260"/>
      <c r="BC176" s="260"/>
      <c r="BD176" s="260"/>
      <c r="BE176" s="260"/>
      <c r="BF176" s="260"/>
      <c r="BG176" s="260"/>
      <c r="BH176" s="260"/>
      <c r="BI176" s="260"/>
      <c r="BJ176" s="260"/>
      <c r="BK176" s="260"/>
      <c r="BL176" s="260"/>
      <c r="BM176" s="260"/>
      <c r="BN176" s="260"/>
      <c r="BO176" s="260"/>
      <c r="BP176" s="260"/>
      <c r="BQ176" s="260"/>
      <c r="BR176" s="260"/>
      <c r="BS176" s="260"/>
      <c r="BT176" s="260"/>
      <c r="BU176" s="260"/>
      <c r="BV176" s="260"/>
      <c r="BW176" s="260"/>
      <c r="BX176" s="260"/>
    </row>
    <row r="177" spans="1:76" s="256" customFormat="1" ht="22.5" customHeight="1">
      <c r="A177" s="286">
        <v>172</v>
      </c>
      <c r="B177" s="286"/>
      <c r="C177" s="286"/>
      <c r="D177" s="250"/>
      <c r="E177" s="251"/>
      <c r="F177" s="250"/>
      <c r="G177" s="250"/>
      <c r="H177" s="250"/>
      <c r="I177" s="250"/>
      <c r="J177" s="250"/>
      <c r="K177" s="252"/>
      <c r="L177" s="253"/>
      <c r="M177" s="250"/>
      <c r="N177" s="254"/>
      <c r="O177" s="254"/>
      <c r="P177" s="254"/>
      <c r="Q177" s="254"/>
      <c r="R177" s="253"/>
      <c r="S177" s="252"/>
      <c r="T177" s="252"/>
      <c r="U177" s="254"/>
      <c r="V177" s="273"/>
      <c r="W177" s="255"/>
      <c r="X177" s="255"/>
      <c r="Y177" s="255"/>
      <c r="Z177" s="255"/>
      <c r="AA177" s="255"/>
      <c r="AB177" s="257"/>
      <c r="AC177" s="257"/>
      <c r="AD177" s="257"/>
      <c r="AE177" s="257"/>
      <c r="AF177" s="257"/>
      <c r="AG177" s="257"/>
      <c r="AH177" s="257"/>
      <c r="AI177" s="94"/>
      <c r="AJ177" s="94">
        <f t="shared" ca="1" si="8"/>
        <v>0</v>
      </c>
      <c r="AK177" s="94">
        <f t="shared" ca="1" si="9"/>
        <v>0</v>
      </c>
      <c r="AL177" s="260"/>
      <c r="AM177" s="260"/>
      <c r="AN177" s="260"/>
      <c r="AO177" s="260"/>
      <c r="AP177" s="260"/>
      <c r="AQ177" s="260"/>
      <c r="AR177" s="260"/>
      <c r="AS177" s="260"/>
      <c r="AT177" s="260"/>
      <c r="AU177" s="260"/>
      <c r="AV177" s="260"/>
      <c r="AW177" s="260"/>
      <c r="AX177" s="260"/>
      <c r="AY177" s="260"/>
      <c r="AZ177" s="260"/>
      <c r="BA177" s="260"/>
      <c r="BB177" s="260"/>
      <c r="BC177" s="260"/>
      <c r="BD177" s="260"/>
      <c r="BE177" s="260"/>
      <c r="BF177" s="260"/>
      <c r="BG177" s="260"/>
      <c r="BH177" s="260"/>
      <c r="BI177" s="260"/>
      <c r="BJ177" s="260"/>
      <c r="BK177" s="260"/>
      <c r="BL177" s="260"/>
      <c r="BM177" s="260"/>
      <c r="BN177" s="260"/>
      <c r="BO177" s="260"/>
      <c r="BP177" s="260"/>
      <c r="BQ177" s="260"/>
      <c r="BR177" s="260"/>
      <c r="BS177" s="260"/>
      <c r="BT177" s="260"/>
      <c r="BU177" s="260"/>
      <c r="BV177" s="260"/>
      <c r="BW177" s="260"/>
      <c r="BX177" s="260"/>
    </row>
    <row r="178" spans="1:76" s="256" customFormat="1" ht="22.5" customHeight="1">
      <c r="A178" s="286">
        <v>173</v>
      </c>
      <c r="B178" s="286"/>
      <c r="C178" s="286"/>
      <c r="D178" s="250"/>
      <c r="E178" s="251"/>
      <c r="F178" s="250"/>
      <c r="G178" s="250"/>
      <c r="H178" s="250"/>
      <c r="I178" s="250"/>
      <c r="J178" s="250"/>
      <c r="K178" s="252"/>
      <c r="L178" s="253"/>
      <c r="M178" s="250"/>
      <c r="N178" s="254"/>
      <c r="O178" s="254"/>
      <c r="P178" s="254"/>
      <c r="Q178" s="254"/>
      <c r="R178" s="253"/>
      <c r="S178" s="252"/>
      <c r="T178" s="252"/>
      <c r="U178" s="254"/>
      <c r="V178" s="273"/>
      <c r="W178" s="255"/>
      <c r="X178" s="255"/>
      <c r="Y178" s="255"/>
      <c r="Z178" s="255"/>
      <c r="AA178" s="255"/>
      <c r="AB178" s="257"/>
      <c r="AC178" s="257"/>
      <c r="AD178" s="257"/>
      <c r="AE178" s="257"/>
      <c r="AF178" s="257"/>
      <c r="AG178" s="257"/>
      <c r="AH178" s="257"/>
      <c r="AI178" s="94"/>
      <c r="AJ178" s="94">
        <f t="shared" ca="1" si="8"/>
        <v>0</v>
      </c>
      <c r="AK178" s="94">
        <f t="shared" ca="1" si="9"/>
        <v>0</v>
      </c>
      <c r="AL178" s="260"/>
      <c r="AM178" s="260"/>
      <c r="AN178" s="260"/>
      <c r="AO178" s="260"/>
      <c r="AP178" s="260"/>
      <c r="AQ178" s="260"/>
      <c r="AR178" s="260"/>
      <c r="AS178" s="260"/>
      <c r="AT178" s="260"/>
      <c r="AU178" s="260"/>
      <c r="AV178" s="260"/>
      <c r="AW178" s="260"/>
      <c r="AX178" s="260"/>
      <c r="AY178" s="260"/>
      <c r="AZ178" s="260"/>
      <c r="BA178" s="260"/>
      <c r="BB178" s="260"/>
      <c r="BC178" s="260"/>
      <c r="BD178" s="260"/>
      <c r="BE178" s="260"/>
      <c r="BF178" s="260"/>
      <c r="BG178" s="260"/>
      <c r="BH178" s="260"/>
      <c r="BI178" s="260"/>
      <c r="BJ178" s="260"/>
      <c r="BK178" s="260"/>
      <c r="BL178" s="260"/>
      <c r="BM178" s="260"/>
      <c r="BN178" s="260"/>
      <c r="BO178" s="260"/>
      <c r="BP178" s="260"/>
      <c r="BQ178" s="260"/>
      <c r="BR178" s="260"/>
      <c r="BS178" s="260"/>
      <c r="BT178" s="260"/>
      <c r="BU178" s="260"/>
      <c r="BV178" s="260"/>
      <c r="BW178" s="260"/>
      <c r="BX178" s="260"/>
    </row>
    <row r="179" spans="1:76" s="256" customFormat="1" ht="22.5" customHeight="1">
      <c r="A179" s="286">
        <v>174</v>
      </c>
      <c r="B179" s="286"/>
      <c r="C179" s="286"/>
      <c r="D179" s="250"/>
      <c r="E179" s="251"/>
      <c r="F179" s="250"/>
      <c r="G179" s="250"/>
      <c r="H179" s="250"/>
      <c r="I179" s="250"/>
      <c r="J179" s="250"/>
      <c r="K179" s="252"/>
      <c r="L179" s="253"/>
      <c r="M179" s="250"/>
      <c r="N179" s="254"/>
      <c r="O179" s="254"/>
      <c r="P179" s="254"/>
      <c r="Q179" s="254"/>
      <c r="R179" s="253"/>
      <c r="S179" s="252"/>
      <c r="T179" s="252"/>
      <c r="U179" s="254"/>
      <c r="V179" s="273"/>
      <c r="W179" s="255"/>
      <c r="X179" s="255"/>
      <c r="Y179" s="255"/>
      <c r="Z179" s="255"/>
      <c r="AA179" s="255"/>
      <c r="AB179" s="257"/>
      <c r="AC179" s="257"/>
      <c r="AD179" s="257"/>
      <c r="AE179" s="257"/>
      <c r="AF179" s="257"/>
      <c r="AG179" s="257"/>
      <c r="AH179" s="257"/>
      <c r="AI179" s="94"/>
      <c r="AJ179" s="94">
        <f t="shared" ca="1" si="8"/>
        <v>0</v>
      </c>
      <c r="AK179" s="94">
        <f t="shared" ca="1" si="9"/>
        <v>0</v>
      </c>
      <c r="AL179" s="260"/>
      <c r="AM179" s="260"/>
      <c r="AN179" s="260"/>
      <c r="AO179" s="260"/>
      <c r="AP179" s="260"/>
      <c r="AQ179" s="260"/>
      <c r="AR179" s="260"/>
      <c r="AS179" s="260"/>
      <c r="AT179" s="260"/>
      <c r="AU179" s="260"/>
      <c r="AV179" s="260"/>
      <c r="AW179" s="260"/>
      <c r="AX179" s="260"/>
      <c r="AY179" s="260"/>
      <c r="AZ179" s="260"/>
      <c r="BA179" s="260"/>
      <c r="BB179" s="260"/>
      <c r="BC179" s="260"/>
      <c r="BD179" s="260"/>
      <c r="BE179" s="260"/>
      <c r="BF179" s="260"/>
      <c r="BG179" s="260"/>
      <c r="BH179" s="260"/>
      <c r="BI179" s="260"/>
      <c r="BJ179" s="260"/>
      <c r="BK179" s="260"/>
      <c r="BL179" s="260"/>
      <c r="BM179" s="260"/>
      <c r="BN179" s="260"/>
      <c r="BO179" s="260"/>
      <c r="BP179" s="260"/>
      <c r="BQ179" s="260"/>
      <c r="BR179" s="260"/>
      <c r="BS179" s="260"/>
      <c r="BT179" s="260"/>
      <c r="BU179" s="260"/>
      <c r="BV179" s="260"/>
      <c r="BW179" s="260"/>
      <c r="BX179" s="260"/>
    </row>
    <row r="180" spans="1:76" s="256" customFormat="1" ht="22.5" customHeight="1">
      <c r="A180" s="286">
        <v>175</v>
      </c>
      <c r="B180" s="286"/>
      <c r="C180" s="286"/>
      <c r="D180" s="250"/>
      <c r="E180" s="251"/>
      <c r="F180" s="250"/>
      <c r="G180" s="250"/>
      <c r="H180" s="250"/>
      <c r="I180" s="250"/>
      <c r="J180" s="250"/>
      <c r="K180" s="252"/>
      <c r="L180" s="253"/>
      <c r="M180" s="250"/>
      <c r="N180" s="254"/>
      <c r="O180" s="254"/>
      <c r="P180" s="254"/>
      <c r="Q180" s="254"/>
      <c r="R180" s="253"/>
      <c r="S180" s="252"/>
      <c r="T180" s="252"/>
      <c r="U180" s="254"/>
      <c r="V180" s="273"/>
      <c r="W180" s="255"/>
      <c r="X180" s="255"/>
      <c r="Y180" s="255"/>
      <c r="Z180" s="255"/>
      <c r="AA180" s="255"/>
      <c r="AB180" s="257"/>
      <c r="AC180" s="257"/>
      <c r="AD180" s="257"/>
      <c r="AE180" s="257"/>
      <c r="AF180" s="257"/>
      <c r="AG180" s="257"/>
      <c r="AH180" s="257"/>
      <c r="AI180" s="94"/>
      <c r="AJ180" s="94">
        <f t="shared" ca="1" si="8"/>
        <v>0</v>
      </c>
      <c r="AK180" s="94">
        <f t="shared" ca="1" si="9"/>
        <v>0</v>
      </c>
      <c r="AL180" s="260"/>
      <c r="AM180" s="260"/>
      <c r="AN180" s="260"/>
      <c r="AO180" s="260"/>
      <c r="AP180" s="260"/>
      <c r="AQ180" s="260"/>
      <c r="AR180" s="260"/>
      <c r="AS180" s="260"/>
      <c r="AT180" s="260"/>
      <c r="AU180" s="260"/>
      <c r="AV180" s="260"/>
      <c r="AW180" s="260"/>
      <c r="AX180" s="260"/>
      <c r="AY180" s="260"/>
      <c r="AZ180" s="260"/>
      <c r="BA180" s="260"/>
      <c r="BB180" s="260"/>
      <c r="BC180" s="260"/>
      <c r="BD180" s="260"/>
      <c r="BE180" s="260"/>
      <c r="BF180" s="260"/>
      <c r="BG180" s="260"/>
      <c r="BH180" s="260"/>
      <c r="BI180" s="260"/>
      <c r="BJ180" s="260"/>
      <c r="BK180" s="260"/>
      <c r="BL180" s="260"/>
      <c r="BM180" s="260"/>
      <c r="BN180" s="260"/>
      <c r="BO180" s="260"/>
      <c r="BP180" s="260"/>
      <c r="BQ180" s="260"/>
      <c r="BR180" s="260"/>
      <c r="BS180" s="260"/>
      <c r="BT180" s="260"/>
      <c r="BU180" s="260"/>
      <c r="BV180" s="260"/>
      <c r="BW180" s="260"/>
      <c r="BX180" s="260"/>
    </row>
    <row r="181" spans="1:76" s="256" customFormat="1" ht="22.5" customHeight="1">
      <c r="A181" s="286">
        <v>176</v>
      </c>
      <c r="B181" s="286"/>
      <c r="C181" s="286"/>
      <c r="D181" s="250"/>
      <c r="E181" s="251"/>
      <c r="F181" s="250"/>
      <c r="G181" s="250"/>
      <c r="H181" s="250"/>
      <c r="I181" s="250"/>
      <c r="J181" s="250"/>
      <c r="K181" s="252"/>
      <c r="L181" s="253"/>
      <c r="M181" s="250"/>
      <c r="N181" s="254"/>
      <c r="O181" s="254"/>
      <c r="P181" s="254"/>
      <c r="Q181" s="254"/>
      <c r="R181" s="253"/>
      <c r="S181" s="252"/>
      <c r="T181" s="252"/>
      <c r="U181" s="254"/>
      <c r="V181" s="273"/>
      <c r="W181" s="255"/>
      <c r="X181" s="255"/>
      <c r="Y181" s="255"/>
      <c r="Z181" s="255"/>
      <c r="AA181" s="255"/>
      <c r="AB181" s="257"/>
      <c r="AC181" s="257"/>
      <c r="AD181" s="257"/>
      <c r="AE181" s="257"/>
      <c r="AF181" s="257"/>
      <c r="AG181" s="257"/>
      <c r="AH181" s="257"/>
      <c r="AI181" s="94"/>
      <c r="AJ181" s="94">
        <f t="shared" ca="1" si="8"/>
        <v>0</v>
      </c>
      <c r="AK181" s="94">
        <f t="shared" ca="1" si="9"/>
        <v>0</v>
      </c>
      <c r="AL181" s="260"/>
      <c r="AM181" s="260"/>
      <c r="AN181" s="260"/>
      <c r="AO181" s="260"/>
      <c r="AP181" s="260"/>
      <c r="AQ181" s="260"/>
      <c r="AR181" s="260"/>
      <c r="AS181" s="260"/>
      <c r="AT181" s="260"/>
      <c r="AU181" s="260"/>
      <c r="AV181" s="260"/>
      <c r="AW181" s="260"/>
      <c r="AX181" s="260"/>
      <c r="AY181" s="260"/>
      <c r="AZ181" s="260"/>
      <c r="BA181" s="260"/>
      <c r="BB181" s="260"/>
      <c r="BC181" s="260"/>
      <c r="BD181" s="260"/>
      <c r="BE181" s="260"/>
      <c r="BF181" s="260"/>
      <c r="BG181" s="260"/>
      <c r="BH181" s="260"/>
      <c r="BI181" s="260"/>
      <c r="BJ181" s="260"/>
      <c r="BK181" s="260"/>
      <c r="BL181" s="260"/>
      <c r="BM181" s="260"/>
      <c r="BN181" s="260"/>
      <c r="BO181" s="260"/>
      <c r="BP181" s="260"/>
      <c r="BQ181" s="260"/>
      <c r="BR181" s="260"/>
      <c r="BS181" s="260"/>
      <c r="BT181" s="260"/>
      <c r="BU181" s="260"/>
      <c r="BV181" s="260"/>
      <c r="BW181" s="260"/>
      <c r="BX181" s="260"/>
    </row>
    <row r="182" spans="1:76" s="256" customFormat="1" ht="22.5" customHeight="1">
      <c r="A182" s="286">
        <v>177</v>
      </c>
      <c r="B182" s="286"/>
      <c r="C182" s="286"/>
      <c r="D182" s="250"/>
      <c r="E182" s="251"/>
      <c r="F182" s="250"/>
      <c r="G182" s="250"/>
      <c r="H182" s="250"/>
      <c r="I182" s="250"/>
      <c r="J182" s="250"/>
      <c r="K182" s="252"/>
      <c r="L182" s="253"/>
      <c r="M182" s="250"/>
      <c r="N182" s="254"/>
      <c r="O182" s="254"/>
      <c r="P182" s="254"/>
      <c r="Q182" s="254"/>
      <c r="R182" s="253"/>
      <c r="S182" s="252"/>
      <c r="T182" s="252"/>
      <c r="U182" s="254"/>
      <c r="V182" s="273"/>
      <c r="W182" s="255"/>
      <c r="X182" s="255"/>
      <c r="Y182" s="255"/>
      <c r="Z182" s="255"/>
      <c r="AA182" s="255"/>
      <c r="AB182" s="257"/>
      <c r="AC182" s="257"/>
      <c r="AD182" s="257"/>
      <c r="AE182" s="257"/>
      <c r="AF182" s="257"/>
      <c r="AG182" s="257"/>
      <c r="AH182" s="257"/>
      <c r="AI182" s="94"/>
      <c r="AJ182" s="94">
        <f t="shared" ca="1" si="8"/>
        <v>0</v>
      </c>
      <c r="AK182" s="94">
        <f t="shared" ca="1" si="9"/>
        <v>0</v>
      </c>
      <c r="AL182" s="260"/>
      <c r="AM182" s="260"/>
      <c r="AN182" s="260"/>
      <c r="AO182" s="260"/>
      <c r="AP182" s="260"/>
      <c r="AQ182" s="260"/>
      <c r="AR182" s="260"/>
      <c r="AS182" s="260"/>
      <c r="AT182" s="260"/>
      <c r="AU182" s="260"/>
      <c r="AV182" s="260"/>
      <c r="AW182" s="260"/>
      <c r="AX182" s="260"/>
      <c r="AY182" s="260"/>
      <c r="AZ182" s="260"/>
      <c r="BA182" s="260"/>
      <c r="BB182" s="260"/>
      <c r="BC182" s="260"/>
      <c r="BD182" s="260"/>
      <c r="BE182" s="260"/>
      <c r="BF182" s="260"/>
      <c r="BG182" s="260"/>
      <c r="BH182" s="260"/>
      <c r="BI182" s="260"/>
      <c r="BJ182" s="260"/>
      <c r="BK182" s="260"/>
      <c r="BL182" s="260"/>
      <c r="BM182" s="260"/>
      <c r="BN182" s="260"/>
      <c r="BO182" s="260"/>
      <c r="BP182" s="260"/>
      <c r="BQ182" s="260"/>
      <c r="BR182" s="260"/>
      <c r="BS182" s="260"/>
      <c r="BT182" s="260"/>
      <c r="BU182" s="260"/>
      <c r="BV182" s="260"/>
      <c r="BW182" s="260"/>
      <c r="BX182" s="260"/>
    </row>
    <row r="183" spans="1:76" s="256" customFormat="1" ht="22.5" customHeight="1">
      <c r="A183" s="286">
        <v>178</v>
      </c>
      <c r="B183" s="286"/>
      <c r="C183" s="286"/>
      <c r="D183" s="250"/>
      <c r="E183" s="251"/>
      <c r="F183" s="250"/>
      <c r="G183" s="250"/>
      <c r="H183" s="250"/>
      <c r="I183" s="250"/>
      <c r="J183" s="250"/>
      <c r="K183" s="252"/>
      <c r="L183" s="253"/>
      <c r="M183" s="250"/>
      <c r="N183" s="254"/>
      <c r="O183" s="254"/>
      <c r="P183" s="254"/>
      <c r="Q183" s="254"/>
      <c r="R183" s="253"/>
      <c r="S183" s="252"/>
      <c r="T183" s="252"/>
      <c r="U183" s="254"/>
      <c r="V183" s="273"/>
      <c r="W183" s="255"/>
      <c r="X183" s="255"/>
      <c r="Y183" s="255"/>
      <c r="Z183" s="255"/>
      <c r="AA183" s="255"/>
      <c r="AB183" s="257"/>
      <c r="AC183" s="257"/>
      <c r="AD183" s="257"/>
      <c r="AE183" s="257"/>
      <c r="AF183" s="257"/>
      <c r="AG183" s="257"/>
      <c r="AH183" s="257"/>
      <c r="AI183" s="94"/>
      <c r="AJ183" s="94">
        <f t="shared" ca="1" si="8"/>
        <v>0</v>
      </c>
      <c r="AK183" s="94">
        <f t="shared" ca="1" si="9"/>
        <v>0</v>
      </c>
      <c r="AL183" s="260"/>
      <c r="AM183" s="260"/>
      <c r="AN183" s="260"/>
      <c r="AO183" s="260"/>
      <c r="AP183" s="260"/>
      <c r="AQ183" s="260"/>
      <c r="AR183" s="260"/>
      <c r="AS183" s="260"/>
      <c r="AT183" s="260"/>
      <c r="AU183" s="260"/>
      <c r="AV183" s="260"/>
      <c r="AW183" s="260"/>
      <c r="AX183" s="260"/>
      <c r="AY183" s="260"/>
      <c r="AZ183" s="260"/>
      <c r="BA183" s="260"/>
      <c r="BB183" s="260"/>
      <c r="BC183" s="260"/>
      <c r="BD183" s="260"/>
      <c r="BE183" s="260"/>
      <c r="BF183" s="260"/>
      <c r="BG183" s="260"/>
      <c r="BH183" s="260"/>
      <c r="BI183" s="260"/>
      <c r="BJ183" s="260"/>
      <c r="BK183" s="260"/>
      <c r="BL183" s="260"/>
      <c r="BM183" s="260"/>
      <c r="BN183" s="260"/>
      <c r="BO183" s="260"/>
      <c r="BP183" s="260"/>
      <c r="BQ183" s="260"/>
      <c r="BR183" s="260"/>
      <c r="BS183" s="260"/>
      <c r="BT183" s="260"/>
      <c r="BU183" s="260"/>
      <c r="BV183" s="260"/>
      <c r="BW183" s="260"/>
      <c r="BX183" s="260"/>
    </row>
    <row r="184" spans="1:76" s="256" customFormat="1" ht="22.5" customHeight="1">
      <c r="A184" s="286">
        <v>179</v>
      </c>
      <c r="B184" s="286"/>
      <c r="C184" s="286"/>
      <c r="D184" s="250"/>
      <c r="E184" s="251"/>
      <c r="F184" s="250"/>
      <c r="G184" s="250"/>
      <c r="H184" s="250"/>
      <c r="I184" s="250"/>
      <c r="J184" s="250"/>
      <c r="K184" s="252"/>
      <c r="L184" s="253"/>
      <c r="M184" s="250"/>
      <c r="N184" s="254"/>
      <c r="O184" s="254"/>
      <c r="P184" s="254"/>
      <c r="Q184" s="254"/>
      <c r="R184" s="253"/>
      <c r="S184" s="252"/>
      <c r="T184" s="252"/>
      <c r="U184" s="254"/>
      <c r="V184" s="273"/>
      <c r="W184" s="255"/>
      <c r="X184" s="255"/>
      <c r="Y184" s="255"/>
      <c r="Z184" s="255"/>
      <c r="AA184" s="255"/>
      <c r="AB184" s="257"/>
      <c r="AC184" s="257"/>
      <c r="AD184" s="257"/>
      <c r="AE184" s="257"/>
      <c r="AF184" s="257"/>
      <c r="AG184" s="257"/>
      <c r="AH184" s="257"/>
      <c r="AI184" s="94"/>
      <c r="AJ184" s="94">
        <f t="shared" ca="1" si="8"/>
        <v>0</v>
      </c>
      <c r="AK184" s="94">
        <f t="shared" ca="1" si="9"/>
        <v>0</v>
      </c>
      <c r="AL184" s="260"/>
      <c r="AM184" s="260"/>
      <c r="AN184" s="260"/>
      <c r="AO184" s="260"/>
      <c r="AP184" s="260"/>
      <c r="AQ184" s="260"/>
      <c r="AR184" s="260"/>
      <c r="AS184" s="260"/>
      <c r="AT184" s="260"/>
      <c r="AU184" s="260"/>
      <c r="AV184" s="260"/>
      <c r="AW184" s="260"/>
      <c r="AX184" s="260"/>
      <c r="AY184" s="260"/>
      <c r="AZ184" s="260"/>
      <c r="BA184" s="260"/>
      <c r="BB184" s="260"/>
      <c r="BC184" s="260"/>
      <c r="BD184" s="260"/>
      <c r="BE184" s="260"/>
      <c r="BF184" s="260"/>
      <c r="BG184" s="260"/>
      <c r="BH184" s="260"/>
      <c r="BI184" s="260"/>
      <c r="BJ184" s="260"/>
      <c r="BK184" s="260"/>
      <c r="BL184" s="260"/>
      <c r="BM184" s="260"/>
      <c r="BN184" s="260"/>
      <c r="BO184" s="260"/>
      <c r="BP184" s="260"/>
      <c r="BQ184" s="260"/>
      <c r="BR184" s="260"/>
      <c r="BS184" s="260"/>
      <c r="BT184" s="260"/>
      <c r="BU184" s="260"/>
      <c r="BV184" s="260"/>
      <c r="BW184" s="260"/>
      <c r="BX184" s="260"/>
    </row>
    <row r="185" spans="1:76" s="256" customFormat="1" ht="22.5" customHeight="1">
      <c r="A185" s="286">
        <v>180</v>
      </c>
      <c r="B185" s="286"/>
      <c r="C185" s="286"/>
      <c r="D185" s="250"/>
      <c r="E185" s="251"/>
      <c r="F185" s="250"/>
      <c r="G185" s="250"/>
      <c r="H185" s="250"/>
      <c r="I185" s="250"/>
      <c r="J185" s="250"/>
      <c r="K185" s="252"/>
      <c r="L185" s="253"/>
      <c r="M185" s="250"/>
      <c r="N185" s="254"/>
      <c r="O185" s="254"/>
      <c r="P185" s="254"/>
      <c r="Q185" s="254"/>
      <c r="R185" s="253"/>
      <c r="S185" s="252"/>
      <c r="T185" s="252"/>
      <c r="U185" s="254"/>
      <c r="V185" s="273"/>
      <c r="W185" s="255"/>
      <c r="X185" s="255"/>
      <c r="Y185" s="255"/>
      <c r="Z185" s="255"/>
      <c r="AA185" s="255"/>
      <c r="AB185" s="257"/>
      <c r="AC185" s="257"/>
      <c r="AD185" s="257"/>
      <c r="AE185" s="257"/>
      <c r="AF185" s="257"/>
      <c r="AG185" s="257"/>
      <c r="AH185" s="257"/>
      <c r="AI185" s="94"/>
      <c r="AJ185" s="94">
        <f t="shared" ca="1" si="8"/>
        <v>0</v>
      </c>
      <c r="AK185" s="94">
        <f t="shared" ca="1" si="9"/>
        <v>0</v>
      </c>
      <c r="AL185" s="260"/>
      <c r="AM185" s="260"/>
      <c r="AN185" s="260"/>
      <c r="AO185" s="260"/>
      <c r="AP185" s="260"/>
      <c r="AQ185" s="260"/>
      <c r="AR185" s="260"/>
      <c r="AS185" s="260"/>
      <c r="AT185" s="260"/>
      <c r="AU185" s="260"/>
      <c r="AV185" s="260"/>
      <c r="AW185" s="260"/>
      <c r="AX185" s="260"/>
      <c r="AY185" s="260"/>
      <c r="AZ185" s="260"/>
      <c r="BA185" s="260"/>
      <c r="BB185" s="260"/>
      <c r="BC185" s="260"/>
      <c r="BD185" s="260"/>
      <c r="BE185" s="260"/>
      <c r="BF185" s="260"/>
      <c r="BG185" s="260"/>
      <c r="BH185" s="260"/>
      <c r="BI185" s="260"/>
      <c r="BJ185" s="260"/>
      <c r="BK185" s="260"/>
      <c r="BL185" s="260"/>
      <c r="BM185" s="260"/>
      <c r="BN185" s="260"/>
      <c r="BO185" s="260"/>
      <c r="BP185" s="260"/>
      <c r="BQ185" s="260"/>
      <c r="BR185" s="260"/>
      <c r="BS185" s="260"/>
      <c r="BT185" s="260"/>
      <c r="BU185" s="260"/>
      <c r="BV185" s="260"/>
      <c r="BW185" s="260"/>
      <c r="BX185" s="260"/>
    </row>
    <row r="186" spans="1:76" s="256" customFormat="1" ht="22.5" customHeight="1">
      <c r="A186" s="286">
        <v>181</v>
      </c>
      <c r="B186" s="286"/>
      <c r="C186" s="286"/>
      <c r="D186" s="250"/>
      <c r="E186" s="251"/>
      <c r="F186" s="250"/>
      <c r="G186" s="250"/>
      <c r="H186" s="250"/>
      <c r="I186" s="250"/>
      <c r="J186" s="250"/>
      <c r="K186" s="252"/>
      <c r="L186" s="253"/>
      <c r="M186" s="250"/>
      <c r="N186" s="254"/>
      <c r="O186" s="254"/>
      <c r="P186" s="254"/>
      <c r="Q186" s="254"/>
      <c r="R186" s="253"/>
      <c r="S186" s="252"/>
      <c r="T186" s="252"/>
      <c r="U186" s="254"/>
      <c r="V186" s="273"/>
      <c r="W186" s="255"/>
      <c r="X186" s="255"/>
      <c r="Y186" s="255"/>
      <c r="Z186" s="255"/>
      <c r="AA186" s="255"/>
      <c r="AB186" s="257"/>
      <c r="AC186" s="257"/>
      <c r="AD186" s="257"/>
      <c r="AE186" s="257"/>
      <c r="AF186" s="257"/>
      <c r="AG186" s="257"/>
      <c r="AH186" s="257"/>
      <c r="AI186" s="94"/>
      <c r="AJ186" s="94">
        <f t="shared" ca="1" si="8"/>
        <v>0</v>
      </c>
      <c r="AK186" s="94">
        <f t="shared" ca="1" si="9"/>
        <v>0</v>
      </c>
      <c r="AL186" s="260"/>
      <c r="AM186" s="260"/>
      <c r="AN186" s="260"/>
      <c r="AO186" s="260"/>
      <c r="AP186" s="260"/>
      <c r="AQ186" s="260"/>
      <c r="AR186" s="260"/>
      <c r="AS186" s="260"/>
      <c r="AT186" s="260"/>
      <c r="AU186" s="260"/>
      <c r="AV186" s="260"/>
      <c r="AW186" s="260"/>
      <c r="AX186" s="260"/>
      <c r="AY186" s="260"/>
      <c r="AZ186" s="260"/>
      <c r="BA186" s="260"/>
      <c r="BB186" s="260"/>
      <c r="BC186" s="260"/>
      <c r="BD186" s="260"/>
      <c r="BE186" s="260"/>
      <c r="BF186" s="260"/>
      <c r="BG186" s="260"/>
      <c r="BH186" s="260"/>
      <c r="BI186" s="260"/>
      <c r="BJ186" s="260"/>
      <c r="BK186" s="260"/>
      <c r="BL186" s="260"/>
      <c r="BM186" s="260"/>
      <c r="BN186" s="260"/>
      <c r="BO186" s="260"/>
      <c r="BP186" s="260"/>
      <c r="BQ186" s="260"/>
      <c r="BR186" s="260"/>
      <c r="BS186" s="260"/>
      <c r="BT186" s="260"/>
      <c r="BU186" s="260"/>
      <c r="BV186" s="260"/>
      <c r="BW186" s="260"/>
      <c r="BX186" s="260"/>
    </row>
    <row r="187" spans="1:76" s="256" customFormat="1" ht="22.5" customHeight="1">
      <c r="A187" s="286">
        <v>182</v>
      </c>
      <c r="B187" s="286"/>
      <c r="C187" s="286"/>
      <c r="D187" s="250"/>
      <c r="E187" s="251"/>
      <c r="F187" s="250"/>
      <c r="G187" s="250"/>
      <c r="H187" s="250"/>
      <c r="I187" s="250"/>
      <c r="J187" s="250"/>
      <c r="K187" s="252"/>
      <c r="L187" s="253"/>
      <c r="M187" s="250"/>
      <c r="N187" s="254"/>
      <c r="O187" s="254"/>
      <c r="P187" s="254"/>
      <c r="Q187" s="254"/>
      <c r="R187" s="253"/>
      <c r="S187" s="252"/>
      <c r="T187" s="252"/>
      <c r="U187" s="254"/>
      <c r="V187" s="273"/>
      <c r="W187" s="255"/>
      <c r="X187" s="255"/>
      <c r="Y187" s="255"/>
      <c r="Z187" s="255"/>
      <c r="AA187" s="255"/>
      <c r="AB187" s="257"/>
      <c r="AC187" s="257"/>
      <c r="AD187" s="257"/>
      <c r="AE187" s="257"/>
      <c r="AF187" s="257"/>
      <c r="AG187" s="257"/>
      <c r="AH187" s="257"/>
      <c r="AI187" s="94"/>
      <c r="AJ187" s="94">
        <f t="shared" ca="1" si="8"/>
        <v>0</v>
      </c>
      <c r="AK187" s="94">
        <f t="shared" ca="1" si="9"/>
        <v>0</v>
      </c>
      <c r="AL187" s="260"/>
      <c r="AM187" s="260"/>
      <c r="AN187" s="260"/>
      <c r="AO187" s="260"/>
      <c r="AP187" s="260"/>
      <c r="AQ187" s="260"/>
      <c r="AR187" s="260"/>
      <c r="AS187" s="260"/>
      <c r="AT187" s="260"/>
      <c r="AU187" s="260"/>
      <c r="AV187" s="260"/>
      <c r="AW187" s="260"/>
      <c r="AX187" s="260"/>
      <c r="AY187" s="260"/>
      <c r="AZ187" s="260"/>
      <c r="BA187" s="260"/>
      <c r="BB187" s="260"/>
      <c r="BC187" s="260"/>
      <c r="BD187" s="260"/>
      <c r="BE187" s="260"/>
      <c r="BF187" s="260"/>
      <c r="BG187" s="260"/>
      <c r="BH187" s="260"/>
      <c r="BI187" s="260"/>
      <c r="BJ187" s="260"/>
      <c r="BK187" s="260"/>
      <c r="BL187" s="260"/>
      <c r="BM187" s="260"/>
      <c r="BN187" s="260"/>
      <c r="BO187" s="260"/>
      <c r="BP187" s="260"/>
      <c r="BQ187" s="260"/>
      <c r="BR187" s="260"/>
      <c r="BS187" s="260"/>
      <c r="BT187" s="260"/>
      <c r="BU187" s="260"/>
      <c r="BV187" s="260"/>
      <c r="BW187" s="260"/>
      <c r="BX187" s="260"/>
    </row>
    <row r="188" spans="1:76" s="256" customFormat="1" ht="22.5" customHeight="1">
      <c r="A188" s="286">
        <v>183</v>
      </c>
      <c r="B188" s="286"/>
      <c r="C188" s="286"/>
      <c r="D188" s="250"/>
      <c r="E188" s="251"/>
      <c r="F188" s="250"/>
      <c r="G188" s="250"/>
      <c r="H188" s="250"/>
      <c r="I188" s="250"/>
      <c r="J188" s="250"/>
      <c r="K188" s="252"/>
      <c r="L188" s="253"/>
      <c r="M188" s="250"/>
      <c r="N188" s="254"/>
      <c r="O188" s="254"/>
      <c r="P188" s="254"/>
      <c r="Q188" s="254"/>
      <c r="R188" s="253"/>
      <c r="S188" s="252"/>
      <c r="T188" s="252"/>
      <c r="U188" s="254"/>
      <c r="V188" s="273"/>
      <c r="W188" s="255"/>
      <c r="X188" s="255"/>
      <c r="Y188" s="255"/>
      <c r="Z188" s="255"/>
      <c r="AA188" s="255"/>
      <c r="AB188" s="257"/>
      <c r="AC188" s="257"/>
      <c r="AD188" s="257"/>
      <c r="AE188" s="257"/>
      <c r="AF188" s="257"/>
      <c r="AG188" s="257"/>
      <c r="AH188" s="257"/>
      <c r="AI188" s="94"/>
      <c r="AJ188" s="94">
        <f t="shared" ca="1" si="8"/>
        <v>0</v>
      </c>
      <c r="AK188" s="94">
        <f t="shared" ca="1" si="9"/>
        <v>0</v>
      </c>
      <c r="AL188" s="260"/>
      <c r="AM188" s="260"/>
      <c r="AN188" s="260"/>
      <c r="AO188" s="260"/>
      <c r="AP188" s="260"/>
      <c r="AQ188" s="260"/>
      <c r="AR188" s="260"/>
      <c r="AS188" s="260"/>
      <c r="AT188" s="260"/>
      <c r="AU188" s="260"/>
      <c r="AV188" s="260"/>
      <c r="AW188" s="260"/>
      <c r="AX188" s="260"/>
      <c r="AY188" s="260"/>
      <c r="AZ188" s="260"/>
      <c r="BA188" s="260"/>
      <c r="BB188" s="260"/>
      <c r="BC188" s="260"/>
      <c r="BD188" s="260"/>
      <c r="BE188" s="260"/>
      <c r="BF188" s="260"/>
      <c r="BG188" s="260"/>
      <c r="BH188" s="260"/>
      <c r="BI188" s="260"/>
      <c r="BJ188" s="260"/>
      <c r="BK188" s="260"/>
      <c r="BL188" s="260"/>
      <c r="BM188" s="260"/>
      <c r="BN188" s="260"/>
      <c r="BO188" s="260"/>
      <c r="BP188" s="260"/>
      <c r="BQ188" s="260"/>
      <c r="BR188" s="260"/>
      <c r="BS188" s="260"/>
      <c r="BT188" s="260"/>
      <c r="BU188" s="260"/>
      <c r="BV188" s="260"/>
      <c r="BW188" s="260"/>
      <c r="BX188" s="260"/>
    </row>
    <row r="189" spans="1:76" s="256" customFormat="1" ht="22.5" customHeight="1">
      <c r="A189" s="286">
        <v>184</v>
      </c>
      <c r="B189" s="286"/>
      <c r="C189" s="286"/>
      <c r="D189" s="250"/>
      <c r="E189" s="251"/>
      <c r="F189" s="250"/>
      <c r="G189" s="250"/>
      <c r="H189" s="250"/>
      <c r="I189" s="250"/>
      <c r="J189" s="250"/>
      <c r="K189" s="252"/>
      <c r="L189" s="253"/>
      <c r="M189" s="250"/>
      <c r="N189" s="254"/>
      <c r="O189" s="254"/>
      <c r="P189" s="254"/>
      <c r="Q189" s="254"/>
      <c r="R189" s="253"/>
      <c r="S189" s="252"/>
      <c r="T189" s="252"/>
      <c r="U189" s="254"/>
      <c r="V189" s="273"/>
      <c r="W189" s="255"/>
      <c r="X189" s="255"/>
      <c r="Y189" s="255"/>
      <c r="Z189" s="255"/>
      <c r="AA189" s="255"/>
      <c r="AB189" s="257"/>
      <c r="AC189" s="257"/>
      <c r="AD189" s="257"/>
      <c r="AE189" s="257"/>
      <c r="AF189" s="257"/>
      <c r="AG189" s="257"/>
      <c r="AH189" s="257"/>
      <c r="AI189" s="94"/>
      <c r="AJ189" s="94">
        <f t="shared" ca="1" si="8"/>
        <v>0</v>
      </c>
      <c r="AK189" s="94">
        <f t="shared" ca="1" si="9"/>
        <v>0</v>
      </c>
      <c r="AL189" s="260"/>
      <c r="AM189" s="260"/>
      <c r="AN189" s="260"/>
      <c r="AO189" s="260"/>
      <c r="AP189" s="260"/>
      <c r="AQ189" s="260"/>
      <c r="AR189" s="260"/>
      <c r="AS189" s="260"/>
      <c r="AT189" s="260"/>
      <c r="AU189" s="260"/>
      <c r="AV189" s="260"/>
      <c r="AW189" s="260"/>
      <c r="AX189" s="260"/>
      <c r="AY189" s="260"/>
      <c r="AZ189" s="260"/>
      <c r="BA189" s="260"/>
      <c r="BB189" s="260"/>
      <c r="BC189" s="260"/>
      <c r="BD189" s="260"/>
      <c r="BE189" s="260"/>
      <c r="BF189" s="260"/>
      <c r="BG189" s="260"/>
      <c r="BH189" s="260"/>
      <c r="BI189" s="260"/>
      <c r="BJ189" s="260"/>
      <c r="BK189" s="260"/>
      <c r="BL189" s="260"/>
      <c r="BM189" s="260"/>
      <c r="BN189" s="260"/>
      <c r="BO189" s="260"/>
      <c r="BP189" s="260"/>
      <c r="BQ189" s="260"/>
      <c r="BR189" s="260"/>
      <c r="BS189" s="260"/>
      <c r="BT189" s="260"/>
      <c r="BU189" s="260"/>
      <c r="BV189" s="260"/>
      <c r="BW189" s="260"/>
      <c r="BX189" s="260"/>
    </row>
    <row r="190" spans="1:76" s="256" customFormat="1" ht="22.5" customHeight="1">
      <c r="A190" s="286">
        <v>185</v>
      </c>
      <c r="B190" s="286"/>
      <c r="C190" s="286"/>
      <c r="D190" s="250"/>
      <c r="E190" s="251"/>
      <c r="F190" s="250"/>
      <c r="G190" s="250"/>
      <c r="H190" s="250"/>
      <c r="I190" s="250"/>
      <c r="J190" s="250"/>
      <c r="K190" s="252"/>
      <c r="L190" s="253"/>
      <c r="M190" s="250"/>
      <c r="N190" s="254"/>
      <c r="O190" s="254"/>
      <c r="P190" s="254"/>
      <c r="Q190" s="254"/>
      <c r="R190" s="253"/>
      <c r="S190" s="252"/>
      <c r="T190" s="252"/>
      <c r="U190" s="254"/>
      <c r="V190" s="273"/>
      <c r="W190" s="255"/>
      <c r="X190" s="255"/>
      <c r="Y190" s="255"/>
      <c r="Z190" s="255"/>
      <c r="AA190" s="255"/>
      <c r="AB190" s="257"/>
      <c r="AC190" s="257"/>
      <c r="AD190" s="257"/>
      <c r="AE190" s="257"/>
      <c r="AF190" s="257"/>
      <c r="AG190" s="257"/>
      <c r="AH190" s="257"/>
      <c r="AI190" s="94"/>
      <c r="AJ190" s="94">
        <f t="shared" ca="1" si="8"/>
        <v>0</v>
      </c>
      <c r="AK190" s="94">
        <f t="shared" ca="1" si="9"/>
        <v>0</v>
      </c>
      <c r="AL190" s="260"/>
      <c r="AM190" s="260"/>
      <c r="AN190" s="260"/>
      <c r="AO190" s="260"/>
      <c r="AP190" s="260"/>
      <c r="AQ190" s="260"/>
      <c r="AR190" s="260"/>
      <c r="AS190" s="260"/>
      <c r="AT190" s="260"/>
      <c r="AU190" s="260"/>
      <c r="AV190" s="260"/>
      <c r="AW190" s="260"/>
      <c r="AX190" s="260"/>
      <c r="AY190" s="260"/>
      <c r="AZ190" s="260"/>
      <c r="BA190" s="260"/>
      <c r="BB190" s="260"/>
      <c r="BC190" s="260"/>
      <c r="BD190" s="260"/>
      <c r="BE190" s="260"/>
      <c r="BF190" s="260"/>
      <c r="BG190" s="260"/>
      <c r="BH190" s="260"/>
      <c r="BI190" s="260"/>
      <c r="BJ190" s="260"/>
      <c r="BK190" s="260"/>
      <c r="BL190" s="260"/>
      <c r="BM190" s="260"/>
      <c r="BN190" s="260"/>
      <c r="BO190" s="260"/>
      <c r="BP190" s="260"/>
      <c r="BQ190" s="260"/>
      <c r="BR190" s="260"/>
      <c r="BS190" s="260"/>
      <c r="BT190" s="260"/>
      <c r="BU190" s="260"/>
      <c r="BV190" s="260"/>
      <c r="BW190" s="260"/>
      <c r="BX190" s="260"/>
    </row>
    <row r="191" spans="1:76" s="256" customFormat="1" ht="22.5" customHeight="1">
      <c r="A191" s="286">
        <v>186</v>
      </c>
      <c r="B191" s="286"/>
      <c r="C191" s="286"/>
      <c r="D191" s="250"/>
      <c r="E191" s="251"/>
      <c r="F191" s="250"/>
      <c r="G191" s="250"/>
      <c r="H191" s="250"/>
      <c r="I191" s="250"/>
      <c r="J191" s="250"/>
      <c r="K191" s="252"/>
      <c r="L191" s="253"/>
      <c r="M191" s="250"/>
      <c r="N191" s="254"/>
      <c r="O191" s="254"/>
      <c r="P191" s="254"/>
      <c r="Q191" s="254"/>
      <c r="R191" s="253"/>
      <c r="S191" s="252"/>
      <c r="T191" s="252"/>
      <c r="U191" s="254"/>
      <c r="V191" s="273"/>
      <c r="W191" s="255"/>
      <c r="X191" s="255"/>
      <c r="Y191" s="255"/>
      <c r="Z191" s="255"/>
      <c r="AA191" s="255"/>
      <c r="AB191" s="257"/>
      <c r="AC191" s="257"/>
      <c r="AD191" s="257"/>
      <c r="AE191" s="257"/>
      <c r="AF191" s="257"/>
      <c r="AG191" s="257"/>
      <c r="AH191" s="257"/>
      <c r="AI191" s="94"/>
      <c r="AJ191" s="94">
        <f t="shared" ca="1" si="8"/>
        <v>0</v>
      </c>
      <c r="AK191" s="94">
        <f t="shared" ca="1" si="9"/>
        <v>0</v>
      </c>
      <c r="AL191" s="260"/>
      <c r="AM191" s="260"/>
      <c r="AN191" s="260"/>
      <c r="AO191" s="260"/>
      <c r="AP191" s="260"/>
      <c r="AQ191" s="260"/>
      <c r="AR191" s="260"/>
      <c r="AS191" s="260"/>
      <c r="AT191" s="260"/>
      <c r="AU191" s="260"/>
      <c r="AV191" s="260"/>
      <c r="AW191" s="260"/>
      <c r="AX191" s="260"/>
      <c r="AY191" s="260"/>
      <c r="AZ191" s="260"/>
      <c r="BA191" s="260"/>
      <c r="BB191" s="260"/>
      <c r="BC191" s="260"/>
      <c r="BD191" s="260"/>
      <c r="BE191" s="260"/>
      <c r="BF191" s="260"/>
      <c r="BG191" s="260"/>
      <c r="BH191" s="260"/>
      <c r="BI191" s="260"/>
      <c r="BJ191" s="260"/>
      <c r="BK191" s="260"/>
      <c r="BL191" s="260"/>
      <c r="BM191" s="260"/>
      <c r="BN191" s="260"/>
      <c r="BO191" s="260"/>
      <c r="BP191" s="260"/>
      <c r="BQ191" s="260"/>
      <c r="BR191" s="260"/>
      <c r="BS191" s="260"/>
      <c r="BT191" s="260"/>
      <c r="BU191" s="260"/>
      <c r="BV191" s="260"/>
      <c r="BW191" s="260"/>
      <c r="BX191" s="260"/>
    </row>
    <row r="192" spans="1:76" s="256" customFormat="1" ht="22.5" customHeight="1">
      <c r="A192" s="286">
        <v>187</v>
      </c>
      <c r="B192" s="286"/>
      <c r="C192" s="286"/>
      <c r="D192" s="250"/>
      <c r="E192" s="251"/>
      <c r="F192" s="250"/>
      <c r="G192" s="250"/>
      <c r="H192" s="250"/>
      <c r="I192" s="250"/>
      <c r="J192" s="250"/>
      <c r="K192" s="252"/>
      <c r="L192" s="253"/>
      <c r="M192" s="250"/>
      <c r="N192" s="254"/>
      <c r="O192" s="254"/>
      <c r="P192" s="254"/>
      <c r="Q192" s="254"/>
      <c r="R192" s="253"/>
      <c r="S192" s="252"/>
      <c r="T192" s="252"/>
      <c r="U192" s="254"/>
      <c r="V192" s="273"/>
      <c r="W192" s="255"/>
      <c r="X192" s="255"/>
      <c r="Y192" s="255"/>
      <c r="Z192" s="255"/>
      <c r="AA192" s="255"/>
      <c r="AB192" s="257"/>
      <c r="AC192" s="257"/>
      <c r="AD192" s="257"/>
      <c r="AE192" s="257"/>
      <c r="AF192" s="257"/>
      <c r="AG192" s="257"/>
      <c r="AH192" s="257"/>
      <c r="AI192" s="94"/>
      <c r="AJ192" s="94">
        <f t="shared" ca="1" si="8"/>
        <v>0</v>
      </c>
      <c r="AK192" s="94">
        <f t="shared" ca="1" si="9"/>
        <v>0</v>
      </c>
      <c r="AL192" s="260"/>
      <c r="AM192" s="260"/>
      <c r="AN192" s="260"/>
      <c r="AO192" s="260"/>
      <c r="AP192" s="260"/>
      <c r="AQ192" s="260"/>
      <c r="AR192" s="260"/>
      <c r="AS192" s="260"/>
      <c r="AT192" s="260"/>
      <c r="AU192" s="260"/>
      <c r="AV192" s="260"/>
      <c r="AW192" s="260"/>
      <c r="AX192" s="260"/>
      <c r="AY192" s="260"/>
      <c r="AZ192" s="260"/>
      <c r="BA192" s="260"/>
      <c r="BB192" s="260"/>
      <c r="BC192" s="260"/>
      <c r="BD192" s="260"/>
      <c r="BE192" s="260"/>
      <c r="BF192" s="260"/>
      <c r="BG192" s="260"/>
      <c r="BH192" s="260"/>
      <c r="BI192" s="260"/>
      <c r="BJ192" s="260"/>
      <c r="BK192" s="260"/>
      <c r="BL192" s="260"/>
      <c r="BM192" s="260"/>
      <c r="BN192" s="260"/>
      <c r="BO192" s="260"/>
      <c r="BP192" s="260"/>
      <c r="BQ192" s="260"/>
      <c r="BR192" s="260"/>
      <c r="BS192" s="260"/>
      <c r="BT192" s="260"/>
      <c r="BU192" s="260"/>
      <c r="BV192" s="260"/>
      <c r="BW192" s="260"/>
      <c r="BX192" s="260"/>
    </row>
    <row r="193" spans="1:76" s="256" customFormat="1" ht="22.5" customHeight="1">
      <c r="A193" s="286">
        <v>188</v>
      </c>
      <c r="B193" s="286"/>
      <c r="C193" s="286"/>
      <c r="D193" s="250"/>
      <c r="E193" s="251"/>
      <c r="F193" s="250"/>
      <c r="G193" s="250"/>
      <c r="H193" s="250"/>
      <c r="I193" s="250"/>
      <c r="J193" s="250"/>
      <c r="K193" s="252"/>
      <c r="L193" s="253"/>
      <c r="M193" s="250"/>
      <c r="N193" s="254"/>
      <c r="O193" s="254"/>
      <c r="P193" s="254"/>
      <c r="Q193" s="254"/>
      <c r="R193" s="253"/>
      <c r="S193" s="252"/>
      <c r="T193" s="252"/>
      <c r="U193" s="254"/>
      <c r="V193" s="273"/>
      <c r="W193" s="255"/>
      <c r="X193" s="255"/>
      <c r="Y193" s="255"/>
      <c r="Z193" s="255"/>
      <c r="AA193" s="255"/>
      <c r="AB193" s="257"/>
      <c r="AC193" s="257"/>
      <c r="AD193" s="257"/>
      <c r="AE193" s="257"/>
      <c r="AF193" s="257"/>
      <c r="AG193" s="257"/>
      <c r="AH193" s="257"/>
      <c r="AI193" s="94"/>
      <c r="AJ193" s="94">
        <f t="shared" ca="1" si="8"/>
        <v>0</v>
      </c>
      <c r="AK193" s="94">
        <f t="shared" ca="1" si="9"/>
        <v>0</v>
      </c>
      <c r="AL193" s="260"/>
      <c r="AM193" s="260"/>
      <c r="AN193" s="260"/>
      <c r="AO193" s="260"/>
      <c r="AP193" s="260"/>
      <c r="AQ193" s="260"/>
      <c r="AR193" s="260"/>
      <c r="AS193" s="260"/>
      <c r="AT193" s="260"/>
      <c r="AU193" s="260"/>
      <c r="AV193" s="260"/>
      <c r="AW193" s="260"/>
      <c r="AX193" s="260"/>
      <c r="AY193" s="260"/>
      <c r="AZ193" s="260"/>
      <c r="BA193" s="260"/>
      <c r="BB193" s="260"/>
      <c r="BC193" s="260"/>
      <c r="BD193" s="260"/>
      <c r="BE193" s="260"/>
      <c r="BF193" s="260"/>
      <c r="BG193" s="260"/>
      <c r="BH193" s="260"/>
      <c r="BI193" s="260"/>
      <c r="BJ193" s="260"/>
      <c r="BK193" s="260"/>
      <c r="BL193" s="260"/>
      <c r="BM193" s="260"/>
      <c r="BN193" s="260"/>
      <c r="BO193" s="260"/>
      <c r="BP193" s="260"/>
      <c r="BQ193" s="260"/>
      <c r="BR193" s="260"/>
      <c r="BS193" s="260"/>
      <c r="BT193" s="260"/>
      <c r="BU193" s="260"/>
      <c r="BV193" s="260"/>
      <c r="BW193" s="260"/>
      <c r="BX193" s="260"/>
    </row>
    <row r="194" spans="1:76" s="256" customFormat="1" ht="22.5" customHeight="1">
      <c r="A194" s="286">
        <v>189</v>
      </c>
      <c r="B194" s="286"/>
      <c r="C194" s="286"/>
      <c r="D194" s="250"/>
      <c r="E194" s="251"/>
      <c r="F194" s="250"/>
      <c r="G194" s="250"/>
      <c r="H194" s="250"/>
      <c r="I194" s="250"/>
      <c r="J194" s="250"/>
      <c r="K194" s="252"/>
      <c r="L194" s="253"/>
      <c r="M194" s="250"/>
      <c r="N194" s="254"/>
      <c r="O194" s="254"/>
      <c r="P194" s="254"/>
      <c r="Q194" s="254"/>
      <c r="R194" s="253"/>
      <c r="S194" s="252"/>
      <c r="T194" s="252"/>
      <c r="U194" s="254"/>
      <c r="V194" s="273"/>
      <c r="W194" s="255"/>
      <c r="X194" s="255"/>
      <c r="Y194" s="255"/>
      <c r="Z194" s="255"/>
      <c r="AA194" s="255"/>
      <c r="AB194" s="257"/>
      <c r="AC194" s="257"/>
      <c r="AD194" s="257"/>
      <c r="AE194" s="257"/>
      <c r="AF194" s="257"/>
      <c r="AG194" s="257"/>
      <c r="AH194" s="257"/>
      <c r="AI194" s="94"/>
      <c r="AJ194" s="94">
        <f t="shared" ca="1" si="8"/>
        <v>0</v>
      </c>
      <c r="AK194" s="94">
        <f t="shared" ca="1" si="9"/>
        <v>0</v>
      </c>
      <c r="AL194" s="260"/>
      <c r="AM194" s="260"/>
      <c r="AN194" s="260"/>
      <c r="AO194" s="260"/>
      <c r="AP194" s="260"/>
      <c r="AQ194" s="260"/>
      <c r="AR194" s="260"/>
      <c r="AS194" s="260"/>
      <c r="AT194" s="260"/>
      <c r="AU194" s="260"/>
      <c r="AV194" s="260"/>
      <c r="AW194" s="260"/>
      <c r="AX194" s="260"/>
      <c r="AY194" s="260"/>
      <c r="AZ194" s="260"/>
      <c r="BA194" s="260"/>
      <c r="BB194" s="260"/>
      <c r="BC194" s="260"/>
      <c r="BD194" s="260"/>
      <c r="BE194" s="260"/>
      <c r="BF194" s="260"/>
      <c r="BG194" s="260"/>
      <c r="BH194" s="260"/>
      <c r="BI194" s="260"/>
      <c r="BJ194" s="260"/>
      <c r="BK194" s="260"/>
      <c r="BL194" s="260"/>
      <c r="BM194" s="260"/>
      <c r="BN194" s="260"/>
      <c r="BO194" s="260"/>
      <c r="BP194" s="260"/>
      <c r="BQ194" s="260"/>
      <c r="BR194" s="260"/>
      <c r="BS194" s="260"/>
      <c r="BT194" s="260"/>
      <c r="BU194" s="260"/>
      <c r="BV194" s="260"/>
      <c r="BW194" s="260"/>
      <c r="BX194" s="260"/>
    </row>
    <row r="195" spans="1:76" s="256" customFormat="1" ht="22.5" customHeight="1">
      <c r="A195" s="286">
        <v>190</v>
      </c>
      <c r="B195" s="286"/>
      <c r="C195" s="286"/>
      <c r="D195" s="250"/>
      <c r="E195" s="251"/>
      <c r="F195" s="250"/>
      <c r="G195" s="250"/>
      <c r="H195" s="250"/>
      <c r="I195" s="250"/>
      <c r="J195" s="250"/>
      <c r="K195" s="252"/>
      <c r="L195" s="253"/>
      <c r="M195" s="250"/>
      <c r="N195" s="254"/>
      <c r="O195" s="254"/>
      <c r="P195" s="254"/>
      <c r="Q195" s="254"/>
      <c r="R195" s="253"/>
      <c r="S195" s="252"/>
      <c r="T195" s="252"/>
      <c r="U195" s="254"/>
      <c r="V195" s="273"/>
      <c r="W195" s="255"/>
      <c r="X195" s="255"/>
      <c r="Y195" s="255"/>
      <c r="Z195" s="255"/>
      <c r="AA195" s="255"/>
      <c r="AB195" s="257"/>
      <c r="AC195" s="257"/>
      <c r="AD195" s="257"/>
      <c r="AE195" s="257"/>
      <c r="AF195" s="257"/>
      <c r="AG195" s="257"/>
      <c r="AH195" s="257"/>
      <c r="AI195" s="94"/>
      <c r="AJ195" s="94">
        <f t="shared" ca="1" si="8"/>
        <v>0</v>
      </c>
      <c r="AK195" s="94">
        <f t="shared" ca="1" si="9"/>
        <v>0</v>
      </c>
      <c r="AL195" s="260"/>
      <c r="AM195" s="260"/>
      <c r="AN195" s="260"/>
      <c r="AO195" s="260"/>
      <c r="AP195" s="260"/>
      <c r="AQ195" s="260"/>
      <c r="AR195" s="260"/>
      <c r="AS195" s="260"/>
      <c r="AT195" s="260"/>
      <c r="AU195" s="260"/>
      <c r="AV195" s="260"/>
      <c r="AW195" s="260"/>
      <c r="AX195" s="260"/>
      <c r="AY195" s="260"/>
      <c r="AZ195" s="260"/>
      <c r="BA195" s="260"/>
      <c r="BB195" s="260"/>
      <c r="BC195" s="260"/>
      <c r="BD195" s="260"/>
      <c r="BE195" s="260"/>
      <c r="BF195" s="260"/>
      <c r="BG195" s="260"/>
      <c r="BH195" s="260"/>
      <c r="BI195" s="260"/>
      <c r="BJ195" s="260"/>
      <c r="BK195" s="260"/>
      <c r="BL195" s="260"/>
      <c r="BM195" s="260"/>
      <c r="BN195" s="260"/>
      <c r="BO195" s="260"/>
      <c r="BP195" s="260"/>
      <c r="BQ195" s="260"/>
      <c r="BR195" s="260"/>
      <c r="BS195" s="260"/>
      <c r="BT195" s="260"/>
      <c r="BU195" s="260"/>
      <c r="BV195" s="260"/>
      <c r="BW195" s="260"/>
      <c r="BX195" s="260"/>
    </row>
    <row r="196" spans="1:76" s="256" customFormat="1" ht="22.5" customHeight="1">
      <c r="A196" s="286">
        <v>191</v>
      </c>
      <c r="B196" s="286"/>
      <c r="C196" s="286"/>
      <c r="D196" s="250"/>
      <c r="E196" s="251"/>
      <c r="F196" s="250"/>
      <c r="G196" s="250"/>
      <c r="H196" s="250"/>
      <c r="I196" s="250"/>
      <c r="J196" s="250"/>
      <c r="K196" s="252"/>
      <c r="L196" s="253"/>
      <c r="M196" s="250"/>
      <c r="N196" s="254"/>
      <c r="O196" s="254"/>
      <c r="P196" s="254"/>
      <c r="Q196" s="254"/>
      <c r="R196" s="253"/>
      <c r="S196" s="252"/>
      <c r="T196" s="252"/>
      <c r="U196" s="254"/>
      <c r="V196" s="273"/>
      <c r="W196" s="255"/>
      <c r="X196" s="255"/>
      <c r="Y196" s="255"/>
      <c r="Z196" s="255"/>
      <c r="AA196" s="255"/>
      <c r="AB196" s="257"/>
      <c r="AC196" s="257"/>
      <c r="AD196" s="257"/>
      <c r="AE196" s="257"/>
      <c r="AF196" s="257"/>
      <c r="AG196" s="257"/>
      <c r="AH196" s="257"/>
      <c r="AI196" s="94"/>
      <c r="AJ196" s="94">
        <f t="shared" ca="1" si="8"/>
        <v>0</v>
      </c>
      <c r="AK196" s="94">
        <f t="shared" ca="1" si="9"/>
        <v>0</v>
      </c>
      <c r="AL196" s="260"/>
      <c r="AM196" s="260"/>
      <c r="AN196" s="260"/>
      <c r="AO196" s="260"/>
      <c r="AP196" s="260"/>
      <c r="AQ196" s="260"/>
      <c r="AR196" s="260"/>
      <c r="AS196" s="260"/>
      <c r="AT196" s="260"/>
      <c r="AU196" s="260"/>
      <c r="AV196" s="260"/>
      <c r="AW196" s="260"/>
      <c r="AX196" s="260"/>
      <c r="AY196" s="260"/>
      <c r="AZ196" s="260"/>
      <c r="BA196" s="260"/>
      <c r="BB196" s="260"/>
      <c r="BC196" s="260"/>
      <c r="BD196" s="260"/>
      <c r="BE196" s="260"/>
      <c r="BF196" s="260"/>
      <c r="BG196" s="260"/>
      <c r="BH196" s="260"/>
      <c r="BI196" s="260"/>
      <c r="BJ196" s="260"/>
      <c r="BK196" s="260"/>
      <c r="BL196" s="260"/>
      <c r="BM196" s="260"/>
      <c r="BN196" s="260"/>
      <c r="BO196" s="260"/>
      <c r="BP196" s="260"/>
      <c r="BQ196" s="260"/>
      <c r="BR196" s="260"/>
      <c r="BS196" s="260"/>
      <c r="BT196" s="260"/>
      <c r="BU196" s="260"/>
      <c r="BV196" s="260"/>
      <c r="BW196" s="260"/>
      <c r="BX196" s="260"/>
    </row>
    <row r="197" spans="1:76" s="256" customFormat="1" ht="22.5" customHeight="1">
      <c r="A197" s="286">
        <v>192</v>
      </c>
      <c r="B197" s="286"/>
      <c r="C197" s="286"/>
      <c r="D197" s="250"/>
      <c r="E197" s="251"/>
      <c r="F197" s="250"/>
      <c r="G197" s="250"/>
      <c r="H197" s="250"/>
      <c r="I197" s="250"/>
      <c r="J197" s="250"/>
      <c r="K197" s="252"/>
      <c r="L197" s="253"/>
      <c r="M197" s="250"/>
      <c r="N197" s="254"/>
      <c r="O197" s="254"/>
      <c r="P197" s="254"/>
      <c r="Q197" s="254"/>
      <c r="R197" s="253"/>
      <c r="S197" s="252"/>
      <c r="T197" s="252"/>
      <c r="U197" s="254"/>
      <c r="V197" s="273"/>
      <c r="W197" s="255"/>
      <c r="X197" s="255"/>
      <c r="Y197" s="255"/>
      <c r="Z197" s="255"/>
      <c r="AA197" s="255"/>
      <c r="AB197" s="257"/>
      <c r="AC197" s="257"/>
      <c r="AD197" s="257"/>
      <c r="AE197" s="257"/>
      <c r="AF197" s="257"/>
      <c r="AG197" s="257"/>
      <c r="AH197" s="257"/>
      <c r="AI197" s="94"/>
      <c r="AJ197" s="94">
        <f t="shared" ca="1" si="8"/>
        <v>0</v>
      </c>
      <c r="AK197" s="94">
        <f t="shared" ca="1" si="9"/>
        <v>0</v>
      </c>
      <c r="AL197" s="260"/>
      <c r="AM197" s="260"/>
      <c r="AN197" s="260"/>
      <c r="AO197" s="260"/>
      <c r="AP197" s="260"/>
      <c r="AQ197" s="260"/>
      <c r="AR197" s="260"/>
      <c r="AS197" s="260"/>
      <c r="AT197" s="260"/>
      <c r="AU197" s="260"/>
      <c r="AV197" s="260"/>
      <c r="AW197" s="260"/>
      <c r="AX197" s="260"/>
      <c r="AY197" s="260"/>
      <c r="AZ197" s="260"/>
      <c r="BA197" s="260"/>
      <c r="BB197" s="260"/>
      <c r="BC197" s="260"/>
      <c r="BD197" s="260"/>
      <c r="BE197" s="260"/>
      <c r="BF197" s="260"/>
      <c r="BG197" s="260"/>
      <c r="BH197" s="260"/>
      <c r="BI197" s="260"/>
      <c r="BJ197" s="260"/>
      <c r="BK197" s="260"/>
      <c r="BL197" s="260"/>
      <c r="BM197" s="260"/>
      <c r="BN197" s="260"/>
      <c r="BO197" s="260"/>
      <c r="BP197" s="260"/>
      <c r="BQ197" s="260"/>
      <c r="BR197" s="260"/>
      <c r="BS197" s="260"/>
      <c r="BT197" s="260"/>
      <c r="BU197" s="260"/>
      <c r="BV197" s="260"/>
      <c r="BW197" s="260"/>
      <c r="BX197" s="260"/>
    </row>
    <row r="198" spans="1:76" s="256" customFormat="1" ht="22.5" customHeight="1">
      <c r="A198" s="286">
        <v>193</v>
      </c>
      <c r="B198" s="286"/>
      <c r="C198" s="286"/>
      <c r="D198" s="250"/>
      <c r="E198" s="251"/>
      <c r="F198" s="250"/>
      <c r="G198" s="250"/>
      <c r="H198" s="250"/>
      <c r="I198" s="250"/>
      <c r="J198" s="250"/>
      <c r="K198" s="252"/>
      <c r="L198" s="253"/>
      <c r="M198" s="250"/>
      <c r="N198" s="254"/>
      <c r="O198" s="254"/>
      <c r="P198" s="254"/>
      <c r="Q198" s="254"/>
      <c r="R198" s="253"/>
      <c r="S198" s="252"/>
      <c r="T198" s="252"/>
      <c r="U198" s="254"/>
      <c r="V198" s="273"/>
      <c r="W198" s="255"/>
      <c r="X198" s="255"/>
      <c r="Y198" s="255"/>
      <c r="Z198" s="255"/>
      <c r="AA198" s="255"/>
      <c r="AB198" s="257"/>
      <c r="AC198" s="257"/>
      <c r="AD198" s="257"/>
      <c r="AE198" s="257"/>
      <c r="AF198" s="257"/>
      <c r="AG198" s="257"/>
      <c r="AH198" s="257"/>
      <c r="AI198" s="94"/>
      <c r="AJ198" s="94">
        <f t="shared" ca="1" si="8"/>
        <v>0</v>
      </c>
      <c r="AK198" s="94">
        <f t="shared" ca="1" si="9"/>
        <v>0</v>
      </c>
      <c r="AL198" s="260"/>
      <c r="AM198" s="260"/>
      <c r="AN198" s="260"/>
      <c r="AO198" s="260"/>
      <c r="AP198" s="260"/>
      <c r="AQ198" s="260"/>
      <c r="AR198" s="260"/>
      <c r="AS198" s="260"/>
      <c r="AT198" s="260"/>
      <c r="AU198" s="260"/>
      <c r="AV198" s="260"/>
      <c r="AW198" s="260"/>
      <c r="AX198" s="260"/>
      <c r="AY198" s="260"/>
      <c r="AZ198" s="260"/>
      <c r="BA198" s="260"/>
      <c r="BB198" s="260"/>
      <c r="BC198" s="260"/>
      <c r="BD198" s="260"/>
      <c r="BE198" s="260"/>
      <c r="BF198" s="260"/>
      <c r="BG198" s="260"/>
      <c r="BH198" s="260"/>
      <c r="BI198" s="260"/>
      <c r="BJ198" s="260"/>
      <c r="BK198" s="260"/>
      <c r="BL198" s="260"/>
      <c r="BM198" s="260"/>
      <c r="BN198" s="260"/>
      <c r="BO198" s="260"/>
      <c r="BP198" s="260"/>
      <c r="BQ198" s="260"/>
      <c r="BR198" s="260"/>
      <c r="BS198" s="260"/>
      <c r="BT198" s="260"/>
      <c r="BU198" s="260"/>
      <c r="BV198" s="260"/>
      <c r="BW198" s="260"/>
      <c r="BX198" s="260"/>
    </row>
    <row r="199" spans="1:76" s="256" customFormat="1" ht="22.5" customHeight="1">
      <c r="A199" s="286">
        <v>194</v>
      </c>
      <c r="B199" s="286"/>
      <c r="C199" s="286"/>
      <c r="D199" s="250"/>
      <c r="E199" s="251"/>
      <c r="F199" s="250"/>
      <c r="G199" s="250"/>
      <c r="H199" s="250"/>
      <c r="I199" s="250"/>
      <c r="J199" s="250"/>
      <c r="K199" s="252"/>
      <c r="L199" s="253"/>
      <c r="M199" s="250"/>
      <c r="N199" s="254"/>
      <c r="O199" s="254"/>
      <c r="P199" s="254"/>
      <c r="Q199" s="254"/>
      <c r="R199" s="253"/>
      <c r="S199" s="252"/>
      <c r="T199" s="252"/>
      <c r="U199" s="254"/>
      <c r="V199" s="273"/>
      <c r="W199" s="255"/>
      <c r="X199" s="255"/>
      <c r="Y199" s="255"/>
      <c r="Z199" s="255"/>
      <c r="AA199" s="255"/>
      <c r="AB199" s="257"/>
      <c r="AC199" s="257"/>
      <c r="AD199" s="257"/>
      <c r="AE199" s="257"/>
      <c r="AF199" s="257"/>
      <c r="AG199" s="257"/>
      <c r="AH199" s="257"/>
      <c r="AI199" s="94"/>
      <c r="AJ199" s="94">
        <f t="shared" ca="1" si="8"/>
        <v>0</v>
      </c>
      <c r="AK199" s="94">
        <f t="shared" ca="1" si="9"/>
        <v>0</v>
      </c>
      <c r="AL199" s="260"/>
      <c r="AM199" s="260"/>
      <c r="AN199" s="260"/>
      <c r="AO199" s="260"/>
      <c r="AP199" s="260"/>
      <c r="AQ199" s="260"/>
      <c r="AR199" s="260"/>
      <c r="AS199" s="260"/>
      <c r="AT199" s="260"/>
      <c r="AU199" s="260"/>
      <c r="AV199" s="260"/>
      <c r="AW199" s="260"/>
      <c r="AX199" s="260"/>
      <c r="AY199" s="260"/>
      <c r="AZ199" s="260"/>
      <c r="BA199" s="260"/>
      <c r="BB199" s="260"/>
      <c r="BC199" s="260"/>
      <c r="BD199" s="260"/>
      <c r="BE199" s="260"/>
      <c r="BF199" s="260"/>
      <c r="BG199" s="260"/>
      <c r="BH199" s="260"/>
      <c r="BI199" s="260"/>
      <c r="BJ199" s="260"/>
      <c r="BK199" s="260"/>
      <c r="BL199" s="260"/>
      <c r="BM199" s="260"/>
      <c r="BN199" s="260"/>
      <c r="BO199" s="260"/>
      <c r="BP199" s="260"/>
      <c r="BQ199" s="260"/>
      <c r="BR199" s="260"/>
      <c r="BS199" s="260"/>
      <c r="BT199" s="260"/>
      <c r="BU199" s="260"/>
      <c r="BV199" s="260"/>
      <c r="BW199" s="260"/>
      <c r="BX199" s="260"/>
    </row>
    <row r="200" spans="1:76" s="256" customFormat="1" ht="22.5" customHeight="1">
      <c r="A200" s="286">
        <v>195</v>
      </c>
      <c r="B200" s="286"/>
      <c r="C200" s="286"/>
      <c r="D200" s="250"/>
      <c r="E200" s="251"/>
      <c r="F200" s="250"/>
      <c r="G200" s="250"/>
      <c r="H200" s="250"/>
      <c r="I200" s="250"/>
      <c r="J200" s="250"/>
      <c r="K200" s="252"/>
      <c r="L200" s="253"/>
      <c r="M200" s="250"/>
      <c r="N200" s="254"/>
      <c r="O200" s="254"/>
      <c r="P200" s="254"/>
      <c r="Q200" s="254"/>
      <c r="R200" s="253"/>
      <c r="S200" s="252"/>
      <c r="T200" s="252"/>
      <c r="U200" s="254"/>
      <c r="V200" s="273"/>
      <c r="W200" s="255"/>
      <c r="X200" s="255"/>
      <c r="Y200" s="255"/>
      <c r="Z200" s="255"/>
      <c r="AA200" s="255"/>
      <c r="AB200" s="257"/>
      <c r="AC200" s="257"/>
      <c r="AD200" s="257"/>
      <c r="AE200" s="257"/>
      <c r="AF200" s="257"/>
      <c r="AG200" s="257"/>
      <c r="AH200" s="257"/>
      <c r="AI200" s="94"/>
      <c r="AJ200" s="94">
        <f t="shared" ca="1" si="8"/>
        <v>0</v>
      </c>
      <c r="AK200" s="94">
        <f t="shared" ca="1" si="9"/>
        <v>0</v>
      </c>
      <c r="AL200" s="260"/>
      <c r="AM200" s="260"/>
      <c r="AN200" s="260"/>
      <c r="AO200" s="260"/>
      <c r="AP200" s="260"/>
      <c r="AQ200" s="260"/>
      <c r="AR200" s="260"/>
      <c r="AS200" s="260"/>
      <c r="AT200" s="260"/>
      <c r="AU200" s="260"/>
      <c r="AV200" s="260"/>
      <c r="AW200" s="260"/>
      <c r="AX200" s="260"/>
      <c r="AY200" s="260"/>
      <c r="AZ200" s="260"/>
      <c r="BA200" s="260"/>
      <c r="BB200" s="260"/>
      <c r="BC200" s="260"/>
      <c r="BD200" s="260"/>
      <c r="BE200" s="260"/>
      <c r="BF200" s="260"/>
      <c r="BG200" s="260"/>
      <c r="BH200" s="260"/>
      <c r="BI200" s="260"/>
      <c r="BJ200" s="260"/>
      <c r="BK200" s="260"/>
      <c r="BL200" s="260"/>
      <c r="BM200" s="260"/>
      <c r="BN200" s="260"/>
      <c r="BO200" s="260"/>
      <c r="BP200" s="260"/>
      <c r="BQ200" s="260"/>
      <c r="BR200" s="260"/>
      <c r="BS200" s="260"/>
      <c r="BT200" s="260"/>
      <c r="BU200" s="260"/>
      <c r="BV200" s="260"/>
      <c r="BW200" s="260"/>
      <c r="BX200" s="260"/>
    </row>
    <row r="201" spans="1:76" s="256" customFormat="1" ht="22.5" customHeight="1">
      <c r="A201" s="286">
        <v>196</v>
      </c>
      <c r="B201" s="286"/>
      <c r="C201" s="286"/>
      <c r="D201" s="250"/>
      <c r="E201" s="251"/>
      <c r="F201" s="250"/>
      <c r="G201" s="250"/>
      <c r="H201" s="250"/>
      <c r="I201" s="250"/>
      <c r="J201" s="250"/>
      <c r="K201" s="252"/>
      <c r="L201" s="253"/>
      <c r="M201" s="250"/>
      <c r="N201" s="254"/>
      <c r="O201" s="254"/>
      <c r="P201" s="254"/>
      <c r="Q201" s="254"/>
      <c r="R201" s="253"/>
      <c r="S201" s="252"/>
      <c r="T201" s="252"/>
      <c r="U201" s="254"/>
      <c r="V201" s="273"/>
      <c r="W201" s="255"/>
      <c r="X201" s="255"/>
      <c r="Y201" s="255"/>
      <c r="Z201" s="255"/>
      <c r="AA201" s="255"/>
      <c r="AB201" s="257"/>
      <c r="AC201" s="257"/>
      <c r="AD201" s="257"/>
      <c r="AE201" s="257"/>
      <c r="AF201" s="257"/>
      <c r="AG201" s="257"/>
      <c r="AH201" s="257"/>
      <c r="AI201" s="94"/>
      <c r="AJ201" s="94">
        <f t="shared" ca="1" si="8"/>
        <v>0</v>
      </c>
      <c r="AK201" s="94">
        <f t="shared" ca="1" si="9"/>
        <v>0</v>
      </c>
      <c r="AL201" s="260"/>
      <c r="AM201" s="260"/>
      <c r="AN201" s="260"/>
      <c r="AO201" s="260"/>
      <c r="AP201" s="260"/>
      <c r="AQ201" s="260"/>
      <c r="AR201" s="260"/>
      <c r="AS201" s="260"/>
      <c r="AT201" s="260"/>
      <c r="AU201" s="260"/>
      <c r="AV201" s="260"/>
      <c r="AW201" s="260"/>
      <c r="AX201" s="260"/>
      <c r="AY201" s="260"/>
      <c r="AZ201" s="260"/>
      <c r="BA201" s="260"/>
      <c r="BB201" s="260"/>
      <c r="BC201" s="260"/>
      <c r="BD201" s="260"/>
      <c r="BE201" s="260"/>
      <c r="BF201" s="260"/>
      <c r="BG201" s="260"/>
      <c r="BH201" s="260"/>
      <c r="BI201" s="260"/>
      <c r="BJ201" s="260"/>
      <c r="BK201" s="260"/>
      <c r="BL201" s="260"/>
      <c r="BM201" s="260"/>
      <c r="BN201" s="260"/>
      <c r="BO201" s="260"/>
      <c r="BP201" s="260"/>
      <c r="BQ201" s="260"/>
      <c r="BR201" s="260"/>
      <c r="BS201" s="260"/>
      <c r="BT201" s="260"/>
      <c r="BU201" s="260"/>
      <c r="BV201" s="260"/>
      <c r="BW201" s="260"/>
      <c r="BX201" s="260"/>
    </row>
    <row r="202" spans="1:76" s="256" customFormat="1" ht="22.5" customHeight="1">
      <c r="A202" s="286">
        <v>197</v>
      </c>
      <c r="B202" s="286"/>
      <c r="C202" s="286"/>
      <c r="D202" s="250"/>
      <c r="E202" s="251"/>
      <c r="F202" s="250"/>
      <c r="G202" s="250"/>
      <c r="H202" s="250"/>
      <c r="I202" s="250"/>
      <c r="J202" s="250"/>
      <c r="K202" s="252"/>
      <c r="L202" s="253"/>
      <c r="M202" s="250"/>
      <c r="N202" s="254"/>
      <c r="O202" s="254"/>
      <c r="P202" s="254"/>
      <c r="Q202" s="254"/>
      <c r="R202" s="253"/>
      <c r="S202" s="252"/>
      <c r="T202" s="252"/>
      <c r="U202" s="254"/>
      <c r="V202" s="273"/>
      <c r="W202" s="255"/>
      <c r="X202" s="255"/>
      <c r="Y202" s="255"/>
      <c r="Z202" s="255"/>
      <c r="AA202" s="255"/>
      <c r="AB202" s="257"/>
      <c r="AC202" s="257"/>
      <c r="AD202" s="257"/>
      <c r="AE202" s="257"/>
      <c r="AF202" s="257"/>
      <c r="AG202" s="257"/>
      <c r="AH202" s="257"/>
      <c r="AI202" s="94"/>
      <c r="AJ202" s="94">
        <f t="shared" ca="1" si="8"/>
        <v>0</v>
      </c>
      <c r="AK202" s="94">
        <f t="shared" ca="1" si="9"/>
        <v>0</v>
      </c>
      <c r="AL202" s="260"/>
      <c r="AM202" s="260"/>
      <c r="AN202" s="260"/>
      <c r="AO202" s="260"/>
      <c r="AP202" s="260"/>
      <c r="AQ202" s="260"/>
      <c r="AR202" s="260"/>
      <c r="AS202" s="260"/>
      <c r="AT202" s="260"/>
      <c r="AU202" s="260"/>
      <c r="AV202" s="260"/>
      <c r="AW202" s="260"/>
      <c r="AX202" s="260"/>
      <c r="AY202" s="260"/>
      <c r="AZ202" s="260"/>
      <c r="BA202" s="260"/>
      <c r="BB202" s="260"/>
      <c r="BC202" s="260"/>
      <c r="BD202" s="260"/>
      <c r="BE202" s="260"/>
      <c r="BF202" s="260"/>
      <c r="BG202" s="260"/>
      <c r="BH202" s="260"/>
      <c r="BI202" s="260"/>
      <c r="BJ202" s="260"/>
      <c r="BK202" s="260"/>
      <c r="BL202" s="260"/>
      <c r="BM202" s="260"/>
      <c r="BN202" s="260"/>
      <c r="BO202" s="260"/>
      <c r="BP202" s="260"/>
      <c r="BQ202" s="260"/>
      <c r="BR202" s="260"/>
      <c r="BS202" s="260"/>
      <c r="BT202" s="260"/>
      <c r="BU202" s="260"/>
      <c r="BV202" s="260"/>
      <c r="BW202" s="260"/>
      <c r="BX202" s="260"/>
    </row>
    <row r="203" spans="1:76" s="256" customFormat="1" ht="22.5" customHeight="1">
      <c r="A203" s="286">
        <v>198</v>
      </c>
      <c r="B203" s="286"/>
      <c r="C203" s="286"/>
      <c r="D203" s="250"/>
      <c r="E203" s="251"/>
      <c r="F203" s="250"/>
      <c r="G203" s="250"/>
      <c r="H203" s="250"/>
      <c r="I203" s="250"/>
      <c r="J203" s="250"/>
      <c r="K203" s="252"/>
      <c r="L203" s="253"/>
      <c r="M203" s="250"/>
      <c r="N203" s="254"/>
      <c r="O203" s="254"/>
      <c r="P203" s="254"/>
      <c r="Q203" s="254"/>
      <c r="R203" s="253"/>
      <c r="S203" s="252"/>
      <c r="T203" s="252"/>
      <c r="U203" s="254"/>
      <c r="V203" s="273"/>
      <c r="W203" s="255"/>
      <c r="X203" s="255"/>
      <c r="Y203" s="255"/>
      <c r="Z203" s="255"/>
      <c r="AA203" s="255"/>
      <c r="AB203" s="257"/>
      <c r="AC203" s="257"/>
      <c r="AD203" s="257"/>
      <c r="AE203" s="257"/>
      <c r="AF203" s="257"/>
      <c r="AG203" s="257"/>
      <c r="AH203" s="257"/>
      <c r="AI203" s="94"/>
      <c r="AJ203" s="94">
        <f t="shared" ca="1" si="8"/>
        <v>0</v>
      </c>
      <c r="AK203" s="94">
        <f t="shared" ca="1" si="9"/>
        <v>0</v>
      </c>
      <c r="AL203" s="260"/>
      <c r="AM203" s="260"/>
      <c r="AN203" s="260"/>
      <c r="AO203" s="260"/>
      <c r="AP203" s="260"/>
      <c r="AQ203" s="260"/>
      <c r="AR203" s="260"/>
      <c r="AS203" s="260"/>
      <c r="AT203" s="260"/>
      <c r="AU203" s="260"/>
      <c r="AV203" s="260"/>
      <c r="AW203" s="260"/>
      <c r="AX203" s="260"/>
      <c r="AY203" s="260"/>
      <c r="AZ203" s="260"/>
      <c r="BA203" s="260"/>
      <c r="BB203" s="260"/>
      <c r="BC203" s="260"/>
      <c r="BD203" s="260"/>
      <c r="BE203" s="260"/>
      <c r="BF203" s="260"/>
      <c r="BG203" s="260"/>
      <c r="BH203" s="260"/>
      <c r="BI203" s="260"/>
      <c r="BJ203" s="260"/>
      <c r="BK203" s="260"/>
      <c r="BL203" s="260"/>
      <c r="BM203" s="260"/>
      <c r="BN203" s="260"/>
      <c r="BO203" s="260"/>
      <c r="BP203" s="260"/>
      <c r="BQ203" s="260"/>
      <c r="BR203" s="260"/>
      <c r="BS203" s="260"/>
      <c r="BT203" s="260"/>
      <c r="BU203" s="260"/>
      <c r="BV203" s="260"/>
      <c r="BW203" s="260"/>
      <c r="BX203" s="260"/>
    </row>
    <row r="204" spans="1:76" s="256" customFormat="1" ht="22.5" customHeight="1">
      <c r="A204" s="286">
        <v>199</v>
      </c>
      <c r="B204" s="286"/>
      <c r="C204" s="286"/>
      <c r="D204" s="250"/>
      <c r="E204" s="251"/>
      <c r="F204" s="250"/>
      <c r="G204" s="250"/>
      <c r="H204" s="250"/>
      <c r="I204" s="250"/>
      <c r="J204" s="250"/>
      <c r="K204" s="252"/>
      <c r="L204" s="253"/>
      <c r="M204" s="250"/>
      <c r="N204" s="254"/>
      <c r="O204" s="254"/>
      <c r="P204" s="254"/>
      <c r="Q204" s="254"/>
      <c r="R204" s="253"/>
      <c r="S204" s="252"/>
      <c r="T204" s="252"/>
      <c r="U204" s="254"/>
      <c r="V204" s="273"/>
      <c r="W204" s="255"/>
      <c r="X204" s="255"/>
      <c r="Y204" s="255"/>
      <c r="Z204" s="255"/>
      <c r="AA204" s="255"/>
      <c r="AB204" s="257"/>
      <c r="AC204" s="257"/>
      <c r="AD204" s="257"/>
      <c r="AE204" s="257"/>
      <c r="AF204" s="257"/>
      <c r="AG204" s="257"/>
      <c r="AH204" s="257"/>
      <c r="AI204" s="94"/>
      <c r="AJ204" s="94">
        <f t="shared" ca="1" si="8"/>
        <v>0</v>
      </c>
      <c r="AK204" s="94">
        <f t="shared" ca="1" si="9"/>
        <v>0</v>
      </c>
      <c r="AL204" s="260"/>
      <c r="AM204" s="260"/>
      <c r="AN204" s="260"/>
      <c r="AO204" s="260"/>
      <c r="AP204" s="260"/>
      <c r="AQ204" s="260"/>
      <c r="AR204" s="260"/>
      <c r="AS204" s="260"/>
      <c r="AT204" s="260"/>
      <c r="AU204" s="260"/>
      <c r="AV204" s="260"/>
      <c r="AW204" s="260"/>
      <c r="AX204" s="260"/>
      <c r="AY204" s="260"/>
      <c r="AZ204" s="260"/>
      <c r="BA204" s="260"/>
      <c r="BB204" s="260"/>
      <c r="BC204" s="260"/>
      <c r="BD204" s="260"/>
      <c r="BE204" s="260"/>
      <c r="BF204" s="260"/>
      <c r="BG204" s="260"/>
      <c r="BH204" s="260"/>
      <c r="BI204" s="260"/>
      <c r="BJ204" s="260"/>
      <c r="BK204" s="260"/>
      <c r="BL204" s="260"/>
      <c r="BM204" s="260"/>
      <c r="BN204" s="260"/>
      <c r="BO204" s="260"/>
      <c r="BP204" s="260"/>
      <c r="BQ204" s="260"/>
      <c r="BR204" s="260"/>
      <c r="BS204" s="260"/>
      <c r="BT204" s="260"/>
      <c r="BU204" s="260"/>
      <c r="BV204" s="260"/>
      <c r="BW204" s="260"/>
      <c r="BX204" s="260"/>
    </row>
    <row r="205" spans="1:76" s="256" customFormat="1" ht="22.5" customHeight="1">
      <c r="A205" s="286">
        <v>200</v>
      </c>
      <c r="B205" s="286"/>
      <c r="C205" s="286"/>
      <c r="D205" s="250"/>
      <c r="E205" s="251"/>
      <c r="F205" s="250"/>
      <c r="G205" s="250"/>
      <c r="H205" s="250"/>
      <c r="I205" s="250"/>
      <c r="J205" s="250"/>
      <c r="K205" s="252"/>
      <c r="L205" s="253"/>
      <c r="M205" s="250"/>
      <c r="N205" s="254"/>
      <c r="O205" s="254"/>
      <c r="P205" s="254"/>
      <c r="Q205" s="254"/>
      <c r="R205" s="253"/>
      <c r="S205" s="252"/>
      <c r="T205" s="252"/>
      <c r="U205" s="254"/>
      <c r="V205" s="273"/>
      <c r="W205" s="255"/>
      <c r="X205" s="255"/>
      <c r="Y205" s="255"/>
      <c r="Z205" s="255"/>
      <c r="AA205" s="255"/>
      <c r="AB205" s="257"/>
      <c r="AC205" s="257"/>
      <c r="AD205" s="257"/>
      <c r="AE205" s="257"/>
      <c r="AF205" s="257"/>
      <c r="AG205" s="257"/>
      <c r="AH205" s="257"/>
      <c r="AI205" s="94"/>
      <c r="AJ205" s="94">
        <f t="shared" ca="1" si="8"/>
        <v>0</v>
      </c>
      <c r="AK205" s="94">
        <f t="shared" ca="1" si="9"/>
        <v>0</v>
      </c>
      <c r="AL205" s="260"/>
      <c r="AM205" s="260"/>
      <c r="AN205" s="260"/>
      <c r="AO205" s="260"/>
      <c r="AP205" s="260"/>
      <c r="AQ205" s="260"/>
      <c r="AR205" s="260"/>
      <c r="AS205" s="260"/>
      <c r="AT205" s="260"/>
      <c r="AU205" s="260"/>
      <c r="AV205" s="260"/>
      <c r="AW205" s="260"/>
      <c r="AX205" s="260"/>
      <c r="AY205" s="260"/>
      <c r="AZ205" s="260"/>
      <c r="BA205" s="260"/>
      <c r="BB205" s="260"/>
      <c r="BC205" s="260"/>
      <c r="BD205" s="260"/>
      <c r="BE205" s="260"/>
      <c r="BF205" s="260"/>
      <c r="BG205" s="260"/>
      <c r="BH205" s="260"/>
      <c r="BI205" s="260"/>
      <c r="BJ205" s="260"/>
      <c r="BK205" s="260"/>
      <c r="BL205" s="260"/>
      <c r="BM205" s="260"/>
      <c r="BN205" s="260"/>
      <c r="BO205" s="260"/>
      <c r="BP205" s="260"/>
      <c r="BQ205" s="260"/>
      <c r="BR205" s="260"/>
      <c r="BS205" s="260"/>
      <c r="BT205" s="260"/>
      <c r="BU205" s="260"/>
      <c r="BV205" s="260"/>
      <c r="BW205" s="260"/>
      <c r="BX205" s="260"/>
    </row>
    <row r="206" spans="1:76" s="256" customFormat="1" ht="22.5" customHeight="1">
      <c r="A206" s="286">
        <v>201</v>
      </c>
      <c r="B206" s="286"/>
      <c r="C206" s="286"/>
      <c r="D206" s="250"/>
      <c r="E206" s="251"/>
      <c r="F206" s="250"/>
      <c r="G206" s="250"/>
      <c r="H206" s="250"/>
      <c r="I206" s="250"/>
      <c r="J206" s="250"/>
      <c r="K206" s="252"/>
      <c r="L206" s="253"/>
      <c r="M206" s="250"/>
      <c r="N206" s="254"/>
      <c r="O206" s="254"/>
      <c r="P206" s="254"/>
      <c r="Q206" s="254"/>
      <c r="R206" s="253"/>
      <c r="S206" s="252"/>
      <c r="T206" s="252"/>
      <c r="U206" s="254"/>
      <c r="V206" s="273"/>
      <c r="W206" s="255"/>
      <c r="X206" s="255"/>
      <c r="Y206" s="255"/>
      <c r="Z206" s="255"/>
      <c r="AA206" s="255"/>
      <c r="AB206" s="257"/>
      <c r="AC206" s="257"/>
      <c r="AD206" s="257"/>
      <c r="AE206" s="257"/>
      <c r="AF206" s="257"/>
      <c r="AG206" s="257"/>
      <c r="AH206" s="257"/>
      <c r="AI206" s="94"/>
      <c r="AJ206" s="94">
        <f t="shared" ca="1" si="8"/>
        <v>0</v>
      </c>
      <c r="AK206" s="94">
        <f t="shared" ca="1" si="9"/>
        <v>0</v>
      </c>
      <c r="AL206" s="260"/>
      <c r="AM206" s="260"/>
      <c r="AN206" s="260"/>
      <c r="AO206" s="260"/>
      <c r="AP206" s="260"/>
      <c r="AQ206" s="260"/>
      <c r="AR206" s="260"/>
      <c r="AS206" s="260"/>
      <c r="AT206" s="260"/>
      <c r="AU206" s="260"/>
      <c r="AV206" s="260"/>
      <c r="AW206" s="260"/>
      <c r="AX206" s="260"/>
      <c r="AY206" s="260"/>
      <c r="AZ206" s="260"/>
      <c r="BA206" s="260"/>
      <c r="BB206" s="260"/>
      <c r="BC206" s="260"/>
      <c r="BD206" s="260"/>
      <c r="BE206" s="260"/>
      <c r="BF206" s="260"/>
      <c r="BG206" s="260"/>
      <c r="BH206" s="260"/>
      <c r="BI206" s="260"/>
      <c r="BJ206" s="260"/>
      <c r="BK206" s="260"/>
      <c r="BL206" s="260"/>
      <c r="BM206" s="260"/>
      <c r="BN206" s="260"/>
      <c r="BO206" s="260"/>
      <c r="BP206" s="260"/>
      <c r="BQ206" s="260"/>
      <c r="BR206" s="260"/>
      <c r="BS206" s="260"/>
      <c r="BT206" s="260"/>
      <c r="BU206" s="260"/>
      <c r="BV206" s="260"/>
      <c r="BW206" s="260"/>
      <c r="BX206" s="260"/>
    </row>
    <row r="207" spans="1:76" s="256" customFormat="1" ht="22.5" customHeight="1">
      <c r="A207" s="286">
        <v>202</v>
      </c>
      <c r="B207" s="286"/>
      <c r="C207" s="286"/>
      <c r="D207" s="250"/>
      <c r="E207" s="251"/>
      <c r="F207" s="250"/>
      <c r="G207" s="250"/>
      <c r="H207" s="250"/>
      <c r="I207" s="250"/>
      <c r="J207" s="250"/>
      <c r="K207" s="252"/>
      <c r="L207" s="253"/>
      <c r="M207" s="250"/>
      <c r="N207" s="254"/>
      <c r="O207" s="254"/>
      <c r="P207" s="254"/>
      <c r="Q207" s="254"/>
      <c r="R207" s="253"/>
      <c r="S207" s="252"/>
      <c r="T207" s="252"/>
      <c r="U207" s="254"/>
      <c r="V207" s="273"/>
      <c r="W207" s="255"/>
      <c r="X207" s="255"/>
      <c r="Y207" s="255"/>
      <c r="Z207" s="255"/>
      <c r="AA207" s="255"/>
      <c r="AB207" s="257"/>
      <c r="AC207" s="257"/>
      <c r="AD207" s="257"/>
      <c r="AE207" s="257"/>
      <c r="AF207" s="257"/>
      <c r="AG207" s="257"/>
      <c r="AH207" s="257"/>
      <c r="AI207" s="94"/>
      <c r="AJ207" s="94">
        <f t="shared" ca="1" si="8"/>
        <v>0</v>
      </c>
      <c r="AK207" s="94">
        <f t="shared" ca="1" si="9"/>
        <v>0</v>
      </c>
      <c r="AL207" s="260"/>
      <c r="AM207" s="260"/>
      <c r="AN207" s="260"/>
      <c r="AO207" s="260"/>
      <c r="AP207" s="260"/>
      <c r="AQ207" s="260"/>
      <c r="AR207" s="260"/>
      <c r="AS207" s="260"/>
      <c r="AT207" s="260"/>
      <c r="AU207" s="260"/>
      <c r="AV207" s="260"/>
      <c r="AW207" s="260"/>
      <c r="AX207" s="260"/>
      <c r="AY207" s="260"/>
      <c r="AZ207" s="260"/>
      <c r="BA207" s="260"/>
      <c r="BB207" s="260"/>
      <c r="BC207" s="260"/>
      <c r="BD207" s="260"/>
      <c r="BE207" s="260"/>
      <c r="BF207" s="260"/>
      <c r="BG207" s="260"/>
      <c r="BH207" s="260"/>
      <c r="BI207" s="260"/>
      <c r="BJ207" s="260"/>
      <c r="BK207" s="260"/>
      <c r="BL207" s="260"/>
      <c r="BM207" s="260"/>
      <c r="BN207" s="260"/>
      <c r="BO207" s="260"/>
      <c r="BP207" s="260"/>
      <c r="BQ207" s="260"/>
      <c r="BR207" s="260"/>
      <c r="BS207" s="260"/>
      <c r="BT207" s="260"/>
      <c r="BU207" s="260"/>
      <c r="BV207" s="260"/>
      <c r="BW207" s="260"/>
      <c r="BX207" s="260"/>
    </row>
    <row r="208" spans="1:76" s="256" customFormat="1" ht="22.5" customHeight="1">
      <c r="A208" s="286">
        <v>203</v>
      </c>
      <c r="B208" s="286"/>
      <c r="C208" s="286"/>
      <c r="D208" s="250"/>
      <c r="E208" s="251"/>
      <c r="F208" s="250"/>
      <c r="G208" s="250"/>
      <c r="H208" s="250"/>
      <c r="I208" s="250"/>
      <c r="J208" s="250"/>
      <c r="K208" s="252"/>
      <c r="L208" s="253"/>
      <c r="M208" s="250"/>
      <c r="N208" s="254"/>
      <c r="O208" s="254"/>
      <c r="P208" s="254"/>
      <c r="Q208" s="254"/>
      <c r="R208" s="253"/>
      <c r="S208" s="252"/>
      <c r="T208" s="252"/>
      <c r="U208" s="254"/>
      <c r="V208" s="273"/>
      <c r="W208" s="255"/>
      <c r="X208" s="255"/>
      <c r="Y208" s="255"/>
      <c r="Z208" s="255"/>
      <c r="AA208" s="255"/>
      <c r="AB208" s="257"/>
      <c r="AC208" s="257"/>
      <c r="AD208" s="257"/>
      <c r="AE208" s="257"/>
      <c r="AF208" s="257"/>
      <c r="AG208" s="257"/>
      <c r="AH208" s="257"/>
      <c r="AI208" s="94"/>
      <c r="AJ208" s="94">
        <f t="shared" ca="1" si="8"/>
        <v>0</v>
      </c>
      <c r="AK208" s="94">
        <f t="shared" ca="1" si="9"/>
        <v>0</v>
      </c>
      <c r="AL208" s="260"/>
      <c r="AM208" s="260"/>
      <c r="AN208" s="260"/>
      <c r="AO208" s="260"/>
      <c r="AP208" s="260"/>
      <c r="AQ208" s="260"/>
      <c r="AR208" s="260"/>
      <c r="AS208" s="260"/>
      <c r="AT208" s="260"/>
      <c r="AU208" s="260"/>
      <c r="AV208" s="260"/>
      <c r="AW208" s="260"/>
      <c r="AX208" s="260"/>
      <c r="AY208" s="260"/>
      <c r="AZ208" s="260"/>
      <c r="BA208" s="260"/>
      <c r="BB208" s="260"/>
      <c r="BC208" s="260"/>
      <c r="BD208" s="260"/>
      <c r="BE208" s="260"/>
      <c r="BF208" s="260"/>
      <c r="BG208" s="260"/>
      <c r="BH208" s="260"/>
      <c r="BI208" s="260"/>
      <c r="BJ208" s="260"/>
      <c r="BK208" s="260"/>
      <c r="BL208" s="260"/>
      <c r="BM208" s="260"/>
      <c r="BN208" s="260"/>
      <c r="BO208" s="260"/>
      <c r="BP208" s="260"/>
      <c r="BQ208" s="260"/>
      <c r="BR208" s="260"/>
      <c r="BS208" s="260"/>
      <c r="BT208" s="260"/>
      <c r="BU208" s="260"/>
      <c r="BV208" s="260"/>
      <c r="BW208" s="260"/>
      <c r="BX208" s="260"/>
    </row>
    <row r="209" spans="1:76" s="256" customFormat="1" ht="22.5" customHeight="1">
      <c r="A209" s="286">
        <v>204</v>
      </c>
      <c r="B209" s="286"/>
      <c r="C209" s="286"/>
      <c r="D209" s="250"/>
      <c r="E209" s="251"/>
      <c r="F209" s="250"/>
      <c r="G209" s="250"/>
      <c r="H209" s="250"/>
      <c r="I209" s="250"/>
      <c r="J209" s="250"/>
      <c r="K209" s="252"/>
      <c r="L209" s="253"/>
      <c r="M209" s="250"/>
      <c r="N209" s="254"/>
      <c r="O209" s="254"/>
      <c r="P209" s="254"/>
      <c r="Q209" s="254"/>
      <c r="R209" s="253"/>
      <c r="S209" s="252"/>
      <c r="T209" s="252"/>
      <c r="U209" s="254"/>
      <c r="V209" s="273"/>
      <c r="W209" s="255"/>
      <c r="X209" s="255"/>
      <c r="Y209" s="255"/>
      <c r="Z209" s="255"/>
      <c r="AA209" s="255"/>
      <c r="AB209" s="257"/>
      <c r="AC209" s="257"/>
      <c r="AD209" s="257"/>
      <c r="AE209" s="257"/>
      <c r="AF209" s="257"/>
      <c r="AG209" s="257"/>
      <c r="AH209" s="257"/>
      <c r="AI209" s="94"/>
      <c r="AJ209" s="94">
        <f t="shared" ca="1" si="8"/>
        <v>0</v>
      </c>
      <c r="AK209" s="94">
        <f t="shared" ca="1" si="9"/>
        <v>0</v>
      </c>
      <c r="AL209" s="260"/>
      <c r="AM209" s="260"/>
      <c r="AN209" s="260"/>
      <c r="AO209" s="260"/>
      <c r="AP209" s="260"/>
      <c r="AQ209" s="260"/>
      <c r="AR209" s="260"/>
      <c r="AS209" s="260"/>
      <c r="AT209" s="260"/>
      <c r="AU209" s="260"/>
      <c r="AV209" s="260"/>
      <c r="AW209" s="260"/>
      <c r="AX209" s="260"/>
      <c r="AY209" s="260"/>
      <c r="AZ209" s="260"/>
      <c r="BA209" s="260"/>
      <c r="BB209" s="260"/>
      <c r="BC209" s="260"/>
      <c r="BD209" s="260"/>
      <c r="BE209" s="260"/>
      <c r="BF209" s="260"/>
      <c r="BG209" s="260"/>
      <c r="BH209" s="260"/>
      <c r="BI209" s="260"/>
      <c r="BJ209" s="260"/>
      <c r="BK209" s="260"/>
      <c r="BL209" s="260"/>
      <c r="BM209" s="260"/>
      <c r="BN209" s="260"/>
      <c r="BO209" s="260"/>
      <c r="BP209" s="260"/>
      <c r="BQ209" s="260"/>
      <c r="BR209" s="260"/>
      <c r="BS209" s="260"/>
      <c r="BT209" s="260"/>
      <c r="BU209" s="260"/>
      <c r="BV209" s="260"/>
      <c r="BW209" s="260"/>
      <c r="BX209" s="260"/>
    </row>
    <row r="210" spans="1:76" s="256" customFormat="1" ht="22.5" customHeight="1">
      <c r="A210" s="286">
        <v>205</v>
      </c>
      <c r="B210" s="286"/>
      <c r="C210" s="286"/>
      <c r="D210" s="250"/>
      <c r="E210" s="251"/>
      <c r="F210" s="250"/>
      <c r="G210" s="250"/>
      <c r="H210" s="250"/>
      <c r="I210" s="250"/>
      <c r="J210" s="250"/>
      <c r="K210" s="252"/>
      <c r="L210" s="253"/>
      <c r="M210" s="250"/>
      <c r="N210" s="254"/>
      <c r="O210" s="254"/>
      <c r="P210" s="254"/>
      <c r="Q210" s="254"/>
      <c r="R210" s="253"/>
      <c r="S210" s="252"/>
      <c r="T210" s="252"/>
      <c r="U210" s="254"/>
      <c r="V210" s="273"/>
      <c r="W210" s="255"/>
      <c r="X210" s="255"/>
      <c r="Y210" s="255"/>
      <c r="Z210" s="255"/>
      <c r="AA210" s="255"/>
      <c r="AB210" s="257"/>
      <c r="AC210" s="257"/>
      <c r="AD210" s="257"/>
      <c r="AE210" s="257"/>
      <c r="AF210" s="257"/>
      <c r="AG210" s="257"/>
      <c r="AH210" s="257"/>
      <c r="AI210" s="94"/>
      <c r="AJ210" s="94">
        <f t="shared" ca="1" si="8"/>
        <v>0</v>
      </c>
      <c r="AK210" s="94">
        <f t="shared" ca="1" si="9"/>
        <v>0</v>
      </c>
      <c r="AL210" s="260"/>
      <c r="AM210" s="260"/>
      <c r="AN210" s="260"/>
      <c r="AO210" s="260"/>
      <c r="AP210" s="260"/>
      <c r="AQ210" s="260"/>
      <c r="AR210" s="260"/>
      <c r="AS210" s="260"/>
      <c r="AT210" s="260"/>
      <c r="AU210" s="260"/>
      <c r="AV210" s="260"/>
      <c r="AW210" s="260"/>
      <c r="AX210" s="260"/>
      <c r="AY210" s="260"/>
      <c r="AZ210" s="260"/>
      <c r="BA210" s="260"/>
      <c r="BB210" s="260"/>
      <c r="BC210" s="260"/>
      <c r="BD210" s="260"/>
      <c r="BE210" s="260"/>
      <c r="BF210" s="260"/>
      <c r="BG210" s="260"/>
      <c r="BH210" s="260"/>
      <c r="BI210" s="260"/>
      <c r="BJ210" s="260"/>
      <c r="BK210" s="260"/>
      <c r="BL210" s="260"/>
      <c r="BM210" s="260"/>
      <c r="BN210" s="260"/>
      <c r="BO210" s="260"/>
      <c r="BP210" s="260"/>
      <c r="BQ210" s="260"/>
      <c r="BR210" s="260"/>
      <c r="BS210" s="260"/>
      <c r="BT210" s="260"/>
      <c r="BU210" s="260"/>
      <c r="BV210" s="260"/>
      <c r="BW210" s="260"/>
      <c r="BX210" s="260"/>
    </row>
    <row r="211" spans="1:76" s="256" customFormat="1" ht="22.5" customHeight="1">
      <c r="A211" s="286">
        <v>206</v>
      </c>
      <c r="B211" s="286"/>
      <c r="C211" s="286"/>
      <c r="D211" s="250"/>
      <c r="E211" s="251"/>
      <c r="F211" s="250"/>
      <c r="G211" s="250"/>
      <c r="H211" s="250"/>
      <c r="I211" s="250"/>
      <c r="J211" s="250"/>
      <c r="K211" s="252"/>
      <c r="L211" s="253"/>
      <c r="M211" s="250"/>
      <c r="N211" s="254"/>
      <c r="O211" s="254"/>
      <c r="P211" s="254"/>
      <c r="Q211" s="254"/>
      <c r="R211" s="253"/>
      <c r="S211" s="252"/>
      <c r="T211" s="252"/>
      <c r="U211" s="254"/>
      <c r="V211" s="273"/>
      <c r="W211" s="255"/>
      <c r="X211" s="255"/>
      <c r="Y211" s="255"/>
      <c r="Z211" s="255"/>
      <c r="AA211" s="255"/>
      <c r="AB211" s="257"/>
      <c r="AC211" s="257"/>
      <c r="AD211" s="257"/>
      <c r="AE211" s="257"/>
      <c r="AF211" s="257"/>
      <c r="AG211" s="257"/>
      <c r="AH211" s="257"/>
      <c r="AI211" s="94"/>
      <c r="AJ211" s="94">
        <f t="shared" ca="1" si="8"/>
        <v>0</v>
      </c>
      <c r="AK211" s="94">
        <f t="shared" ca="1" si="9"/>
        <v>0</v>
      </c>
      <c r="AL211" s="260"/>
      <c r="AM211" s="260"/>
      <c r="AN211" s="260"/>
      <c r="AO211" s="260"/>
      <c r="AP211" s="260"/>
      <c r="AQ211" s="260"/>
      <c r="AR211" s="260"/>
      <c r="AS211" s="260"/>
      <c r="AT211" s="260"/>
      <c r="AU211" s="260"/>
      <c r="AV211" s="260"/>
      <c r="AW211" s="260"/>
      <c r="AX211" s="260"/>
      <c r="AY211" s="260"/>
      <c r="AZ211" s="260"/>
      <c r="BA211" s="260"/>
      <c r="BB211" s="260"/>
      <c r="BC211" s="260"/>
      <c r="BD211" s="260"/>
      <c r="BE211" s="260"/>
      <c r="BF211" s="260"/>
      <c r="BG211" s="260"/>
      <c r="BH211" s="260"/>
      <c r="BI211" s="260"/>
      <c r="BJ211" s="260"/>
      <c r="BK211" s="260"/>
      <c r="BL211" s="260"/>
      <c r="BM211" s="260"/>
      <c r="BN211" s="260"/>
      <c r="BO211" s="260"/>
      <c r="BP211" s="260"/>
      <c r="BQ211" s="260"/>
      <c r="BR211" s="260"/>
      <c r="BS211" s="260"/>
      <c r="BT211" s="260"/>
      <c r="BU211" s="260"/>
      <c r="BV211" s="260"/>
      <c r="BW211" s="260"/>
      <c r="BX211" s="260"/>
    </row>
    <row r="212" spans="1:76" s="256" customFormat="1" ht="22.5" customHeight="1">
      <c r="A212" s="286">
        <v>207</v>
      </c>
      <c r="B212" s="286"/>
      <c r="C212" s="286"/>
      <c r="D212" s="250"/>
      <c r="E212" s="251"/>
      <c r="F212" s="250"/>
      <c r="G212" s="250"/>
      <c r="H212" s="250"/>
      <c r="I212" s="250"/>
      <c r="J212" s="250"/>
      <c r="K212" s="252"/>
      <c r="L212" s="253"/>
      <c r="M212" s="250"/>
      <c r="N212" s="254"/>
      <c r="O212" s="254"/>
      <c r="P212" s="254"/>
      <c r="Q212" s="254"/>
      <c r="R212" s="253"/>
      <c r="S212" s="252"/>
      <c r="T212" s="252"/>
      <c r="U212" s="254"/>
      <c r="V212" s="273"/>
      <c r="W212" s="255"/>
      <c r="X212" s="255"/>
      <c r="Y212" s="255"/>
      <c r="Z212" s="255"/>
      <c r="AA212" s="255"/>
      <c r="AB212" s="257"/>
      <c r="AC212" s="257"/>
      <c r="AD212" s="257"/>
      <c r="AE212" s="257"/>
      <c r="AF212" s="257"/>
      <c r="AG212" s="257"/>
      <c r="AH212" s="257"/>
      <c r="AI212" s="94"/>
      <c r="AJ212" s="94">
        <f t="shared" ca="1" si="8"/>
        <v>0</v>
      </c>
      <c r="AK212" s="94">
        <f t="shared" ca="1" si="9"/>
        <v>0</v>
      </c>
      <c r="AL212" s="260"/>
      <c r="AM212" s="260"/>
      <c r="AN212" s="260"/>
      <c r="AO212" s="260"/>
      <c r="AP212" s="260"/>
      <c r="AQ212" s="260"/>
      <c r="AR212" s="260"/>
      <c r="AS212" s="260"/>
      <c r="AT212" s="260"/>
      <c r="AU212" s="260"/>
      <c r="AV212" s="260"/>
      <c r="AW212" s="260"/>
      <c r="AX212" s="260"/>
      <c r="AY212" s="260"/>
      <c r="AZ212" s="260"/>
      <c r="BA212" s="260"/>
      <c r="BB212" s="260"/>
      <c r="BC212" s="260"/>
      <c r="BD212" s="260"/>
      <c r="BE212" s="260"/>
      <c r="BF212" s="260"/>
      <c r="BG212" s="260"/>
      <c r="BH212" s="260"/>
      <c r="BI212" s="260"/>
      <c r="BJ212" s="260"/>
      <c r="BK212" s="260"/>
      <c r="BL212" s="260"/>
      <c r="BM212" s="260"/>
      <c r="BN212" s="260"/>
      <c r="BO212" s="260"/>
      <c r="BP212" s="260"/>
      <c r="BQ212" s="260"/>
      <c r="BR212" s="260"/>
      <c r="BS212" s="260"/>
      <c r="BT212" s="260"/>
      <c r="BU212" s="260"/>
      <c r="BV212" s="260"/>
      <c r="BW212" s="260"/>
      <c r="BX212" s="260"/>
    </row>
    <row r="213" spans="1:76" s="256" customFormat="1" ht="22.5" customHeight="1">
      <c r="A213" s="286">
        <v>208</v>
      </c>
      <c r="B213" s="286"/>
      <c r="C213" s="286"/>
      <c r="D213" s="250"/>
      <c r="E213" s="251"/>
      <c r="F213" s="250"/>
      <c r="G213" s="250"/>
      <c r="H213" s="250"/>
      <c r="I213" s="250"/>
      <c r="J213" s="250"/>
      <c r="K213" s="252"/>
      <c r="L213" s="253"/>
      <c r="M213" s="250"/>
      <c r="N213" s="254"/>
      <c r="O213" s="254"/>
      <c r="P213" s="254"/>
      <c r="Q213" s="254"/>
      <c r="R213" s="253"/>
      <c r="S213" s="252"/>
      <c r="T213" s="252"/>
      <c r="U213" s="254"/>
      <c r="V213" s="273"/>
      <c r="W213" s="255"/>
      <c r="X213" s="255"/>
      <c r="Y213" s="255"/>
      <c r="Z213" s="255"/>
      <c r="AA213" s="255"/>
      <c r="AB213" s="257"/>
      <c r="AC213" s="257"/>
      <c r="AD213" s="257"/>
      <c r="AE213" s="257"/>
      <c r="AF213" s="257"/>
      <c r="AG213" s="257"/>
      <c r="AH213" s="257"/>
      <c r="AI213" s="94"/>
      <c r="AJ213" s="94">
        <f t="shared" ca="1" si="8"/>
        <v>0</v>
      </c>
      <c r="AK213" s="94">
        <f t="shared" ca="1" si="9"/>
        <v>0</v>
      </c>
      <c r="AL213" s="260"/>
      <c r="AM213" s="260"/>
      <c r="AN213" s="260"/>
      <c r="AO213" s="260"/>
      <c r="AP213" s="260"/>
      <c r="AQ213" s="260"/>
      <c r="AR213" s="260"/>
      <c r="AS213" s="260"/>
      <c r="AT213" s="260"/>
      <c r="AU213" s="260"/>
      <c r="AV213" s="260"/>
      <c r="AW213" s="260"/>
      <c r="AX213" s="260"/>
      <c r="AY213" s="260"/>
      <c r="AZ213" s="260"/>
      <c r="BA213" s="260"/>
      <c r="BB213" s="260"/>
      <c r="BC213" s="260"/>
      <c r="BD213" s="260"/>
      <c r="BE213" s="260"/>
      <c r="BF213" s="260"/>
      <c r="BG213" s="260"/>
      <c r="BH213" s="260"/>
      <c r="BI213" s="260"/>
      <c r="BJ213" s="260"/>
      <c r="BK213" s="260"/>
      <c r="BL213" s="260"/>
      <c r="BM213" s="260"/>
      <c r="BN213" s="260"/>
      <c r="BO213" s="260"/>
      <c r="BP213" s="260"/>
      <c r="BQ213" s="260"/>
      <c r="BR213" s="260"/>
      <c r="BS213" s="260"/>
      <c r="BT213" s="260"/>
      <c r="BU213" s="260"/>
      <c r="BV213" s="260"/>
      <c r="BW213" s="260"/>
      <c r="BX213" s="260"/>
    </row>
    <row r="214" spans="1:76" s="256" customFormat="1" ht="22.5" customHeight="1">
      <c r="A214" s="286">
        <v>209</v>
      </c>
      <c r="B214" s="286"/>
      <c r="C214" s="286"/>
      <c r="D214" s="250"/>
      <c r="E214" s="251"/>
      <c r="F214" s="250"/>
      <c r="G214" s="250"/>
      <c r="H214" s="250"/>
      <c r="I214" s="250"/>
      <c r="J214" s="250"/>
      <c r="K214" s="252"/>
      <c r="L214" s="253"/>
      <c r="M214" s="250"/>
      <c r="N214" s="254"/>
      <c r="O214" s="254"/>
      <c r="P214" s="254"/>
      <c r="Q214" s="254"/>
      <c r="R214" s="253"/>
      <c r="S214" s="252"/>
      <c r="T214" s="252"/>
      <c r="U214" s="254"/>
      <c r="V214" s="273"/>
      <c r="W214" s="255"/>
      <c r="X214" s="255"/>
      <c r="Y214" s="255"/>
      <c r="Z214" s="255"/>
      <c r="AA214" s="255"/>
      <c r="AB214" s="257"/>
      <c r="AC214" s="257"/>
      <c r="AD214" s="257"/>
      <c r="AE214" s="257"/>
      <c r="AF214" s="257"/>
      <c r="AG214" s="257"/>
      <c r="AH214" s="257"/>
      <c r="AI214" s="94"/>
      <c r="AJ214" s="94">
        <f t="shared" ca="1" si="8"/>
        <v>0</v>
      </c>
      <c r="AK214" s="94">
        <f t="shared" ca="1" si="9"/>
        <v>0</v>
      </c>
      <c r="AL214" s="260"/>
      <c r="AM214" s="260"/>
      <c r="AN214" s="260"/>
      <c r="AO214" s="260"/>
      <c r="AP214" s="260"/>
      <c r="AQ214" s="260"/>
      <c r="AR214" s="260"/>
      <c r="AS214" s="260"/>
      <c r="AT214" s="260"/>
      <c r="AU214" s="260"/>
      <c r="AV214" s="260"/>
      <c r="AW214" s="260"/>
      <c r="AX214" s="260"/>
      <c r="AY214" s="260"/>
      <c r="AZ214" s="260"/>
      <c r="BA214" s="260"/>
      <c r="BB214" s="260"/>
      <c r="BC214" s="260"/>
      <c r="BD214" s="260"/>
      <c r="BE214" s="260"/>
      <c r="BF214" s="260"/>
      <c r="BG214" s="260"/>
      <c r="BH214" s="260"/>
      <c r="BI214" s="260"/>
      <c r="BJ214" s="260"/>
      <c r="BK214" s="260"/>
      <c r="BL214" s="260"/>
      <c r="BM214" s="260"/>
      <c r="BN214" s="260"/>
      <c r="BO214" s="260"/>
      <c r="BP214" s="260"/>
      <c r="BQ214" s="260"/>
      <c r="BR214" s="260"/>
      <c r="BS214" s="260"/>
      <c r="BT214" s="260"/>
      <c r="BU214" s="260"/>
      <c r="BV214" s="260"/>
      <c r="BW214" s="260"/>
      <c r="BX214" s="260"/>
    </row>
    <row r="215" spans="1:76" s="256" customFormat="1" ht="22.5" customHeight="1">
      <c r="A215" s="286">
        <v>210</v>
      </c>
      <c r="B215" s="286"/>
      <c r="C215" s="286"/>
      <c r="D215" s="250"/>
      <c r="E215" s="251"/>
      <c r="F215" s="250"/>
      <c r="G215" s="250"/>
      <c r="H215" s="250"/>
      <c r="I215" s="250"/>
      <c r="J215" s="250"/>
      <c r="K215" s="252"/>
      <c r="L215" s="253"/>
      <c r="M215" s="250"/>
      <c r="N215" s="254"/>
      <c r="O215" s="254"/>
      <c r="P215" s="254"/>
      <c r="Q215" s="254"/>
      <c r="R215" s="253"/>
      <c r="S215" s="252"/>
      <c r="T215" s="252"/>
      <c r="U215" s="254"/>
      <c r="V215" s="273"/>
      <c r="W215" s="255"/>
      <c r="X215" s="255"/>
      <c r="Y215" s="255"/>
      <c r="Z215" s="255"/>
      <c r="AA215" s="255"/>
      <c r="AB215" s="257"/>
      <c r="AC215" s="257"/>
      <c r="AD215" s="257"/>
      <c r="AE215" s="257"/>
      <c r="AF215" s="257"/>
      <c r="AG215" s="257"/>
      <c r="AH215" s="257"/>
      <c r="AI215" s="94"/>
      <c r="AJ215" s="94">
        <f t="shared" ca="1" si="8"/>
        <v>0</v>
      </c>
      <c r="AK215" s="94">
        <f t="shared" ca="1" si="9"/>
        <v>0</v>
      </c>
      <c r="AL215" s="260"/>
      <c r="AM215" s="260"/>
      <c r="AN215" s="260"/>
      <c r="AO215" s="260"/>
      <c r="AP215" s="260"/>
      <c r="AQ215" s="260"/>
      <c r="AR215" s="260"/>
      <c r="AS215" s="260"/>
      <c r="AT215" s="260"/>
      <c r="AU215" s="260"/>
      <c r="AV215" s="260"/>
      <c r="AW215" s="260"/>
      <c r="AX215" s="260"/>
      <c r="AY215" s="260"/>
      <c r="AZ215" s="260"/>
      <c r="BA215" s="260"/>
      <c r="BB215" s="260"/>
      <c r="BC215" s="260"/>
      <c r="BD215" s="260"/>
      <c r="BE215" s="260"/>
      <c r="BF215" s="260"/>
      <c r="BG215" s="260"/>
      <c r="BH215" s="260"/>
      <c r="BI215" s="260"/>
      <c r="BJ215" s="260"/>
      <c r="BK215" s="260"/>
      <c r="BL215" s="260"/>
      <c r="BM215" s="260"/>
      <c r="BN215" s="260"/>
      <c r="BO215" s="260"/>
      <c r="BP215" s="260"/>
      <c r="BQ215" s="260"/>
      <c r="BR215" s="260"/>
      <c r="BS215" s="260"/>
      <c r="BT215" s="260"/>
      <c r="BU215" s="260"/>
      <c r="BV215" s="260"/>
      <c r="BW215" s="260"/>
      <c r="BX215" s="260"/>
    </row>
    <row r="216" spans="1:76" ht="22.5" customHeight="1">
      <c r="A216" s="286">
        <v>211</v>
      </c>
      <c r="B216" s="287"/>
      <c r="C216" s="287"/>
      <c r="D216" s="262"/>
      <c r="E216" s="245"/>
      <c r="F216" s="244"/>
      <c r="G216" s="244"/>
      <c r="H216" s="244"/>
      <c r="I216" s="244"/>
      <c r="J216" s="244"/>
      <c r="K216" s="246"/>
      <c r="L216" s="247"/>
      <c r="M216" s="244"/>
      <c r="N216" s="248"/>
      <c r="O216" s="248"/>
      <c r="P216" s="248"/>
      <c r="Q216" s="248"/>
      <c r="R216" s="247"/>
      <c r="S216" s="246"/>
      <c r="T216" s="246"/>
      <c r="U216" s="248"/>
      <c r="V216" s="274"/>
      <c r="W216" s="249"/>
      <c r="X216" s="249"/>
      <c r="Y216" s="249"/>
      <c r="Z216" s="249"/>
      <c r="AA216" s="249"/>
      <c r="AB216" s="285"/>
      <c r="AC216" s="285"/>
      <c r="AD216" s="285"/>
      <c r="AE216" s="285"/>
      <c r="AF216" s="285"/>
      <c r="AG216" s="245"/>
      <c r="AH216" s="245"/>
      <c r="AI216" s="94"/>
      <c r="AJ216" s="94">
        <f t="shared" ca="1" si="8"/>
        <v>0</v>
      </c>
      <c r="AK216" s="94">
        <f t="shared" ca="1" si="9"/>
        <v>0</v>
      </c>
      <c r="AL216" s="260"/>
      <c r="AM216" s="260"/>
      <c r="AN216" s="260"/>
      <c r="AO216" s="260"/>
      <c r="AP216" s="260"/>
      <c r="AQ216" s="260"/>
      <c r="AR216" s="260"/>
      <c r="AS216" s="260"/>
      <c r="AT216" s="260"/>
      <c r="AU216" s="260"/>
      <c r="AV216" s="260"/>
      <c r="AW216" s="260"/>
      <c r="AX216" s="260"/>
      <c r="AY216" s="260"/>
      <c r="AZ216" s="260"/>
      <c r="BA216" s="260"/>
      <c r="BB216" s="260"/>
      <c r="BC216" s="260"/>
      <c r="BD216" s="260"/>
      <c r="BE216" s="260"/>
      <c r="BF216" s="260"/>
      <c r="BG216" s="260"/>
      <c r="BH216" s="260"/>
      <c r="BI216" s="260"/>
      <c r="BJ216" s="260"/>
      <c r="BK216" s="260"/>
      <c r="BL216" s="260"/>
      <c r="BM216" s="260"/>
      <c r="BN216" s="260"/>
      <c r="BO216" s="260"/>
      <c r="BP216" s="260"/>
      <c r="BQ216" s="260"/>
      <c r="BR216" s="260"/>
      <c r="BS216" s="260"/>
      <c r="BT216" s="260"/>
      <c r="BU216" s="260"/>
      <c r="BV216" s="260"/>
      <c r="BW216" s="260"/>
      <c r="BX216" s="260"/>
    </row>
    <row r="217" spans="1:76">
      <c r="S217" s="281"/>
      <c r="T217" s="282"/>
      <c r="U217" s="209"/>
      <c r="V217" s="275"/>
      <c r="W217" s="114"/>
      <c r="X217" s="204"/>
      <c r="Y217" s="201"/>
      <c r="Z217" s="201"/>
      <c r="AB217" s="203"/>
      <c r="AC217" s="275"/>
      <c r="AD217" s="275"/>
      <c r="AE217" s="275"/>
      <c r="AF217" s="275"/>
      <c r="AG217" s="114"/>
      <c r="AI217" s="94"/>
      <c r="AJ217" s="94"/>
      <c r="AK217" s="94"/>
      <c r="AL217" s="260"/>
      <c r="AM217" s="260"/>
      <c r="AN217" s="260"/>
      <c r="AO217" s="260"/>
      <c r="AP217" s="260"/>
      <c r="AQ217" s="260"/>
      <c r="AR217" s="260"/>
      <c r="AS217" s="260"/>
      <c r="AT217" s="260"/>
      <c r="AU217" s="260"/>
      <c r="AV217" s="260"/>
      <c r="AW217" s="260"/>
      <c r="AX217" s="260"/>
      <c r="AY217" s="260"/>
      <c r="AZ217" s="260"/>
      <c r="BA217" s="260"/>
      <c r="BB217" s="260"/>
      <c r="BC217" s="260"/>
      <c r="BD217" s="260"/>
      <c r="BE217" s="260"/>
      <c r="BF217" s="260"/>
      <c r="BG217" s="260"/>
      <c r="BH217" s="260"/>
      <c r="BI217" s="260"/>
      <c r="BJ217" s="260"/>
      <c r="BK217" s="260"/>
      <c r="BL217" s="260"/>
      <c r="BM217" s="260"/>
      <c r="BN217" s="260"/>
      <c r="BO217" s="260"/>
      <c r="BP217" s="260"/>
      <c r="BQ217" s="260"/>
      <c r="BR217" s="260"/>
      <c r="BS217" s="260"/>
      <c r="BT217" s="260"/>
      <c r="BU217" s="260"/>
      <c r="BV217" s="260"/>
      <c r="BW217" s="260"/>
      <c r="BX217" s="260"/>
    </row>
    <row r="218" spans="1:76">
      <c r="R218" s="114"/>
      <c r="S218" s="275"/>
      <c r="T218" s="203"/>
      <c r="V218" s="203"/>
      <c r="W218" s="204"/>
      <c r="X218" s="204"/>
      <c r="AA218" s="115"/>
      <c r="AB218" s="275"/>
      <c r="AC218" s="275"/>
      <c r="AD218" s="275"/>
      <c r="AE218" s="275"/>
      <c r="AF218" s="275"/>
      <c r="AG218" s="114"/>
      <c r="AI218" s="94"/>
      <c r="AJ218" s="94"/>
      <c r="AK218" s="94"/>
      <c r="AL218" s="260"/>
      <c r="AM218" s="260"/>
      <c r="AN218" s="260"/>
      <c r="AO218" s="260"/>
      <c r="AP218" s="260"/>
      <c r="AQ218" s="260"/>
      <c r="AR218" s="260"/>
      <c r="AS218" s="260"/>
      <c r="AT218" s="260"/>
      <c r="AU218" s="260"/>
      <c r="AV218" s="260"/>
      <c r="AW218" s="260"/>
      <c r="AX218" s="260"/>
      <c r="AY218" s="260"/>
      <c r="AZ218" s="260"/>
      <c r="BA218" s="260"/>
      <c r="BB218" s="260"/>
      <c r="BC218" s="260"/>
      <c r="BD218" s="260"/>
      <c r="BE218" s="260"/>
      <c r="BF218" s="260"/>
      <c r="BG218" s="260"/>
      <c r="BH218" s="260"/>
      <c r="BI218" s="260"/>
      <c r="BJ218" s="260"/>
      <c r="BK218" s="260"/>
      <c r="BL218" s="260"/>
      <c r="BM218" s="260"/>
      <c r="BN218" s="260"/>
      <c r="BO218" s="260"/>
      <c r="BP218" s="260"/>
      <c r="BQ218" s="260"/>
      <c r="BR218" s="260"/>
      <c r="BS218" s="260"/>
      <c r="BT218" s="260"/>
      <c r="BU218" s="260"/>
      <c r="BV218" s="260"/>
      <c r="BW218" s="260"/>
      <c r="BX218" s="260"/>
    </row>
    <row r="219" spans="1:76">
      <c r="R219" s="210"/>
      <c r="S219" s="282"/>
      <c r="T219" s="282"/>
      <c r="U219" s="115"/>
      <c r="V219" s="275"/>
      <c r="W219" s="204"/>
      <c r="X219" s="201"/>
      <c r="Y219" s="204"/>
      <c r="Z219" s="204"/>
      <c r="AB219" s="275"/>
      <c r="AC219" s="275"/>
      <c r="AD219" s="275"/>
      <c r="AE219" s="275"/>
      <c r="AF219" s="275"/>
      <c r="AG219" s="114"/>
      <c r="AI219" s="94"/>
      <c r="AJ219" s="94"/>
      <c r="AK219" s="94"/>
      <c r="AL219" s="260"/>
      <c r="AM219" s="260"/>
      <c r="AN219" s="260"/>
      <c r="AO219" s="260"/>
      <c r="AP219" s="260"/>
      <c r="AQ219" s="260"/>
      <c r="AR219" s="260"/>
      <c r="AS219" s="260"/>
      <c r="AT219" s="260"/>
      <c r="AU219" s="260"/>
      <c r="AV219" s="260"/>
      <c r="AW219" s="260"/>
      <c r="AX219" s="260"/>
      <c r="AY219" s="260"/>
      <c r="AZ219" s="260"/>
      <c r="BA219" s="260"/>
      <c r="BB219" s="260"/>
      <c r="BC219" s="260"/>
      <c r="BD219" s="260"/>
      <c r="BE219" s="260"/>
      <c r="BF219" s="260"/>
      <c r="BG219" s="260"/>
      <c r="BH219" s="260"/>
      <c r="BI219" s="260"/>
      <c r="BJ219" s="260"/>
      <c r="BK219" s="260"/>
      <c r="BL219" s="260"/>
      <c r="BM219" s="260"/>
      <c r="BN219" s="260"/>
      <c r="BO219" s="260"/>
      <c r="BP219" s="260"/>
      <c r="BQ219" s="260"/>
      <c r="BR219" s="260"/>
      <c r="BS219" s="260"/>
      <c r="BT219" s="260"/>
      <c r="BU219" s="260"/>
      <c r="BV219" s="260"/>
      <c r="BW219" s="260"/>
      <c r="BX219" s="260"/>
    </row>
    <row r="220" spans="1:76">
      <c r="R220" s="210"/>
      <c r="S220" s="282"/>
      <c r="T220" s="282"/>
      <c r="U220" s="115"/>
      <c r="V220" s="275"/>
      <c r="W220" s="204"/>
      <c r="X220" s="201"/>
      <c r="Y220" s="204"/>
      <c r="Z220" s="204"/>
      <c r="AB220" s="275"/>
      <c r="AC220" s="275"/>
      <c r="AD220" s="275"/>
      <c r="AE220" s="275"/>
      <c r="AF220" s="275"/>
      <c r="AG220" s="114"/>
      <c r="AI220" s="94"/>
      <c r="AJ220" s="94"/>
      <c r="AK220" s="94"/>
      <c r="AL220" s="260"/>
      <c r="AM220" s="260"/>
      <c r="AN220" s="260"/>
      <c r="AO220" s="260"/>
      <c r="AP220" s="260"/>
      <c r="AQ220" s="260"/>
      <c r="AR220" s="260"/>
      <c r="AS220" s="260"/>
      <c r="AT220" s="260"/>
      <c r="AU220" s="260"/>
      <c r="AV220" s="260"/>
      <c r="AW220" s="260"/>
      <c r="AX220" s="260"/>
      <c r="AY220" s="260"/>
      <c r="AZ220" s="260"/>
      <c r="BA220" s="260"/>
      <c r="BB220" s="260"/>
      <c r="BC220" s="260"/>
      <c r="BD220" s="260"/>
      <c r="BE220" s="260"/>
      <c r="BF220" s="260"/>
      <c r="BG220" s="260"/>
      <c r="BH220" s="260"/>
      <c r="BI220" s="260"/>
      <c r="BJ220" s="260"/>
      <c r="BK220" s="260"/>
      <c r="BL220" s="260"/>
      <c r="BM220" s="260"/>
      <c r="BN220" s="260"/>
      <c r="BO220" s="260"/>
      <c r="BP220" s="260"/>
      <c r="BQ220" s="260"/>
      <c r="BR220" s="260"/>
      <c r="BS220" s="260"/>
      <c r="BT220" s="260"/>
      <c r="BU220" s="260"/>
      <c r="BV220" s="260"/>
      <c r="BW220" s="260"/>
      <c r="BX220" s="260"/>
    </row>
    <row r="221" spans="1:76">
      <c r="R221" s="210"/>
      <c r="S221" s="282"/>
      <c r="T221" s="282"/>
      <c r="U221" s="115"/>
      <c r="V221" s="275"/>
      <c r="W221" s="204"/>
      <c r="X221" s="201"/>
      <c r="Y221" s="204"/>
      <c r="Z221" s="204"/>
      <c r="AB221" s="275"/>
      <c r="AC221" s="275"/>
      <c r="AD221" s="275"/>
      <c r="AE221" s="275"/>
      <c r="AF221" s="275"/>
      <c r="AG221" s="114"/>
      <c r="AI221" s="94"/>
      <c r="AJ221" s="94"/>
      <c r="AK221" s="94"/>
      <c r="AL221" s="260"/>
      <c r="AM221" s="260"/>
      <c r="AN221" s="260"/>
      <c r="AO221" s="260"/>
      <c r="AP221" s="260"/>
      <c r="AQ221" s="260"/>
      <c r="AR221" s="260"/>
      <c r="AS221" s="260"/>
      <c r="AT221" s="260"/>
      <c r="AU221" s="260"/>
      <c r="AV221" s="260"/>
      <c r="AW221" s="260"/>
      <c r="AX221" s="260"/>
      <c r="AY221" s="260"/>
      <c r="AZ221" s="260"/>
      <c r="BA221" s="260"/>
      <c r="BB221" s="260"/>
      <c r="BC221" s="260"/>
      <c r="BD221" s="260"/>
      <c r="BE221" s="260"/>
      <c r="BF221" s="260"/>
      <c r="BG221" s="260"/>
      <c r="BH221" s="260"/>
      <c r="BI221" s="260"/>
      <c r="BJ221" s="260"/>
      <c r="BK221" s="260"/>
      <c r="BL221" s="260"/>
      <c r="BM221" s="260"/>
      <c r="BN221" s="260"/>
      <c r="BO221" s="260"/>
      <c r="BP221" s="260"/>
      <c r="BQ221" s="260"/>
      <c r="BR221" s="260"/>
      <c r="BS221" s="260"/>
      <c r="BT221" s="260"/>
      <c r="BU221" s="260"/>
      <c r="BV221" s="260"/>
      <c r="BW221" s="260"/>
      <c r="BX221" s="260"/>
    </row>
    <row r="222" spans="1:76">
      <c r="R222" s="210"/>
      <c r="S222" s="282"/>
      <c r="T222" s="282"/>
      <c r="U222" s="115"/>
      <c r="V222" s="275"/>
      <c r="W222" s="204"/>
      <c r="X222" s="201"/>
      <c r="Y222" s="204"/>
      <c r="Z222" s="204"/>
      <c r="AB222" s="275"/>
      <c r="AC222" s="275"/>
      <c r="AD222" s="275"/>
      <c r="AE222" s="275"/>
      <c r="AF222" s="275"/>
      <c r="AG222" s="114"/>
      <c r="AI222" s="94"/>
      <c r="AJ222" s="94"/>
      <c r="AK222" s="94"/>
      <c r="AL222" s="260"/>
      <c r="AM222" s="260"/>
      <c r="AN222" s="260"/>
      <c r="AO222" s="260"/>
      <c r="AP222" s="260"/>
      <c r="AQ222" s="260"/>
      <c r="AR222" s="260"/>
      <c r="AS222" s="260"/>
      <c r="AT222" s="260"/>
      <c r="AU222" s="260"/>
      <c r="AV222" s="260"/>
      <c r="AW222" s="260"/>
      <c r="AX222" s="260"/>
      <c r="AY222" s="260"/>
      <c r="AZ222" s="260"/>
      <c r="BA222" s="260"/>
      <c r="BB222" s="260"/>
      <c r="BC222" s="260"/>
      <c r="BD222" s="260"/>
      <c r="BE222" s="260"/>
      <c r="BF222" s="260"/>
      <c r="BG222" s="260"/>
      <c r="BH222" s="260"/>
      <c r="BI222" s="260"/>
      <c r="BJ222" s="260"/>
      <c r="BK222" s="260"/>
      <c r="BL222" s="260"/>
      <c r="BM222" s="260"/>
      <c r="BN222" s="260"/>
      <c r="BO222" s="260"/>
      <c r="BP222" s="260"/>
      <c r="BQ222" s="260"/>
      <c r="BR222" s="260"/>
      <c r="BS222" s="260"/>
      <c r="BT222" s="260"/>
      <c r="BU222" s="260"/>
      <c r="BV222" s="260"/>
      <c r="BW222" s="260"/>
      <c r="BX222" s="260"/>
    </row>
    <row r="223" spans="1:76">
      <c r="R223" s="210"/>
      <c r="S223" s="282"/>
      <c r="T223" s="282"/>
      <c r="U223" s="115"/>
      <c r="V223" s="275"/>
      <c r="W223" s="204"/>
      <c r="X223" s="201"/>
      <c r="Y223" s="204"/>
      <c r="Z223" s="204"/>
      <c r="AB223" s="275"/>
      <c r="AC223" s="275"/>
      <c r="AD223" s="275"/>
      <c r="AE223" s="275"/>
      <c r="AF223" s="275"/>
      <c r="AG223" s="114"/>
    </row>
    <row r="224" spans="1:76">
      <c r="R224" s="210"/>
      <c r="S224" s="282"/>
      <c r="T224" s="282"/>
      <c r="U224" s="115"/>
      <c r="V224" s="275"/>
      <c r="W224" s="204"/>
      <c r="X224" s="201"/>
      <c r="Y224" s="204"/>
      <c r="Z224" s="204"/>
      <c r="AB224" s="275"/>
      <c r="AC224" s="275"/>
      <c r="AD224" s="275"/>
      <c r="AE224" s="275"/>
      <c r="AF224" s="275"/>
      <c r="AG224" s="114"/>
    </row>
    <row r="225" spans="18:33">
      <c r="R225" s="210"/>
      <c r="S225" s="282"/>
      <c r="T225" s="282"/>
      <c r="U225" s="115"/>
      <c r="V225" s="275"/>
      <c r="W225" s="204"/>
      <c r="X225" s="201"/>
      <c r="Y225" s="204"/>
      <c r="Z225" s="204"/>
      <c r="AB225" s="275"/>
      <c r="AC225" s="275"/>
      <c r="AD225" s="275"/>
      <c r="AE225" s="275"/>
      <c r="AF225" s="275"/>
      <c r="AG225" s="114"/>
    </row>
    <row r="226" spans="18:33">
      <c r="R226" s="210"/>
      <c r="S226" s="282"/>
      <c r="T226" s="282"/>
      <c r="U226" s="115"/>
      <c r="V226" s="275"/>
      <c r="W226" s="204"/>
      <c r="X226" s="201"/>
      <c r="Y226" s="204"/>
      <c r="Z226" s="204"/>
      <c r="AB226" s="275"/>
      <c r="AC226" s="275"/>
      <c r="AD226" s="275"/>
      <c r="AE226" s="275"/>
      <c r="AF226" s="275"/>
      <c r="AG226" s="114"/>
    </row>
    <row r="227" spans="18:33">
      <c r="R227" s="210"/>
      <c r="S227" s="282"/>
      <c r="T227" s="282"/>
      <c r="U227" s="115"/>
      <c r="V227" s="275"/>
      <c r="W227" s="204"/>
      <c r="X227" s="201"/>
      <c r="Y227" s="204"/>
      <c r="Z227" s="204"/>
      <c r="AB227" s="275"/>
      <c r="AC227" s="275"/>
      <c r="AD227" s="275"/>
      <c r="AE227" s="275"/>
      <c r="AF227" s="275"/>
      <c r="AG227" s="114"/>
    </row>
    <row r="228" spans="18:33">
      <c r="R228" s="210"/>
      <c r="S228" s="282"/>
      <c r="T228" s="282"/>
      <c r="U228" s="115"/>
      <c r="V228" s="275"/>
      <c r="W228" s="204"/>
      <c r="X228" s="201"/>
      <c r="Y228" s="204"/>
      <c r="Z228" s="204"/>
      <c r="AB228" s="275"/>
      <c r="AC228" s="275"/>
      <c r="AD228" s="275"/>
      <c r="AE228" s="275"/>
      <c r="AF228" s="275"/>
      <c r="AG228" s="114"/>
    </row>
    <row r="229" spans="18:33">
      <c r="R229" s="210"/>
      <c r="S229" s="282"/>
      <c r="T229" s="282"/>
      <c r="U229" s="115"/>
      <c r="V229" s="275"/>
      <c r="W229" s="204"/>
      <c r="X229" s="201"/>
      <c r="Y229" s="204"/>
      <c r="Z229" s="204"/>
      <c r="AB229" s="275"/>
      <c r="AC229" s="275"/>
      <c r="AD229" s="275"/>
      <c r="AE229" s="275"/>
      <c r="AF229" s="275"/>
      <c r="AG229" s="114"/>
    </row>
    <row r="230" spans="18:33">
      <c r="R230" s="210"/>
      <c r="S230" s="282"/>
      <c r="T230" s="282"/>
      <c r="U230" s="115"/>
      <c r="V230" s="275"/>
      <c r="W230" s="204"/>
      <c r="X230" s="201"/>
      <c r="Y230" s="204"/>
      <c r="Z230" s="204"/>
      <c r="AB230" s="275"/>
      <c r="AC230" s="275"/>
      <c r="AD230" s="275"/>
      <c r="AE230" s="275"/>
      <c r="AF230" s="275"/>
      <c r="AG230" s="114"/>
    </row>
    <row r="231" spans="18:33">
      <c r="R231" s="210"/>
      <c r="S231" s="282"/>
      <c r="T231" s="282"/>
      <c r="U231" s="115"/>
      <c r="V231" s="275"/>
      <c r="W231" s="204"/>
      <c r="X231" s="201"/>
      <c r="Y231" s="204"/>
      <c r="Z231" s="204"/>
      <c r="AB231" s="275"/>
      <c r="AC231" s="275"/>
      <c r="AD231" s="275"/>
      <c r="AE231" s="275"/>
      <c r="AF231" s="275"/>
      <c r="AG231" s="114"/>
    </row>
    <row r="232" spans="18:33">
      <c r="R232" s="210"/>
      <c r="S232" s="282"/>
      <c r="T232" s="282"/>
      <c r="U232" s="115"/>
      <c r="V232" s="275"/>
      <c r="W232" s="204"/>
      <c r="X232" s="201"/>
      <c r="Y232" s="204"/>
      <c r="Z232" s="204"/>
      <c r="AB232" s="275"/>
      <c r="AC232" s="275"/>
      <c r="AD232" s="275"/>
      <c r="AE232" s="275"/>
      <c r="AF232" s="275"/>
      <c r="AG232" s="114"/>
    </row>
    <row r="233" spans="18:33">
      <c r="R233" s="210"/>
      <c r="S233" s="282"/>
      <c r="T233" s="282"/>
      <c r="U233" s="115"/>
      <c r="V233" s="275"/>
      <c r="W233" s="204"/>
      <c r="X233" s="201"/>
      <c r="Y233" s="204"/>
      <c r="Z233" s="204"/>
      <c r="AB233" s="275"/>
      <c r="AC233" s="275"/>
      <c r="AD233" s="275"/>
      <c r="AE233" s="275"/>
      <c r="AF233" s="275"/>
      <c r="AG233" s="114"/>
    </row>
    <row r="234" spans="18:33">
      <c r="R234" s="210"/>
      <c r="S234" s="282"/>
      <c r="T234" s="282"/>
      <c r="U234" s="115"/>
      <c r="V234" s="275"/>
      <c r="W234" s="204"/>
      <c r="X234" s="201"/>
      <c r="Y234" s="204"/>
      <c r="Z234" s="204"/>
      <c r="AB234" s="275"/>
      <c r="AC234" s="275"/>
      <c r="AD234" s="275"/>
      <c r="AE234" s="275"/>
      <c r="AF234" s="275"/>
      <c r="AG234" s="114"/>
    </row>
    <row r="235" spans="18:33">
      <c r="R235" s="210"/>
      <c r="S235" s="282"/>
      <c r="T235" s="282"/>
      <c r="U235" s="115"/>
      <c r="V235" s="275"/>
      <c r="W235" s="204"/>
      <c r="X235" s="201"/>
      <c r="Y235" s="204"/>
      <c r="Z235" s="204"/>
      <c r="AB235" s="275"/>
      <c r="AC235" s="275"/>
      <c r="AD235" s="275"/>
      <c r="AE235" s="275"/>
      <c r="AF235" s="275"/>
      <c r="AG235" s="114"/>
    </row>
    <row r="236" spans="18:33">
      <c r="R236" s="210"/>
      <c r="S236" s="282"/>
      <c r="T236" s="282"/>
      <c r="U236" s="115"/>
      <c r="V236" s="275"/>
      <c r="W236" s="204"/>
      <c r="X236" s="201"/>
      <c r="Y236" s="204"/>
      <c r="Z236" s="204"/>
      <c r="AB236" s="275"/>
      <c r="AC236" s="275"/>
      <c r="AD236" s="275"/>
      <c r="AE236" s="275"/>
      <c r="AF236" s="275"/>
      <c r="AG236" s="114"/>
    </row>
    <row r="237" spans="18:33">
      <c r="R237" s="210"/>
      <c r="S237" s="282"/>
      <c r="T237" s="282"/>
      <c r="U237" s="115"/>
      <c r="V237" s="275"/>
      <c r="W237" s="204"/>
      <c r="X237" s="201"/>
      <c r="Y237" s="204"/>
      <c r="Z237" s="204"/>
      <c r="AB237" s="275"/>
      <c r="AC237" s="275"/>
      <c r="AD237" s="275"/>
      <c r="AE237" s="275"/>
      <c r="AF237" s="275"/>
      <c r="AG237" s="114"/>
    </row>
    <row r="238" spans="18:33">
      <c r="R238" s="210"/>
      <c r="S238" s="282"/>
      <c r="T238" s="282"/>
      <c r="U238" s="115"/>
      <c r="V238" s="275"/>
      <c r="W238" s="204"/>
      <c r="X238" s="201"/>
      <c r="Y238" s="204"/>
      <c r="Z238" s="204"/>
      <c r="AB238" s="275"/>
      <c r="AC238" s="275"/>
      <c r="AD238" s="275"/>
      <c r="AE238" s="275"/>
      <c r="AF238" s="275"/>
      <c r="AG238" s="114"/>
    </row>
    <row r="239" spans="18:33">
      <c r="R239" s="210"/>
      <c r="S239" s="282"/>
      <c r="T239" s="282"/>
      <c r="U239" s="115"/>
      <c r="V239" s="275"/>
      <c r="W239" s="204"/>
      <c r="X239" s="201"/>
      <c r="Y239" s="204"/>
      <c r="Z239" s="204"/>
      <c r="AB239" s="275"/>
      <c r="AC239" s="275"/>
      <c r="AD239" s="275"/>
      <c r="AE239" s="275"/>
      <c r="AF239" s="275"/>
      <c r="AG239" s="114"/>
    </row>
    <row r="240" spans="18:33">
      <c r="R240" s="210"/>
      <c r="S240" s="282"/>
      <c r="T240" s="282"/>
      <c r="U240" s="115"/>
      <c r="V240" s="275"/>
      <c r="W240" s="204"/>
      <c r="X240" s="201"/>
      <c r="Y240" s="204"/>
      <c r="Z240" s="204"/>
      <c r="AB240" s="275"/>
      <c r="AC240" s="275"/>
      <c r="AD240" s="275"/>
      <c r="AE240" s="275"/>
      <c r="AF240" s="275"/>
      <c r="AG240" s="114"/>
    </row>
    <row r="241" spans="18:33">
      <c r="R241" s="210"/>
      <c r="S241" s="282"/>
      <c r="T241" s="282"/>
      <c r="U241" s="115"/>
      <c r="V241" s="275"/>
      <c r="W241" s="204"/>
      <c r="X241" s="201"/>
      <c r="Y241" s="204"/>
      <c r="Z241" s="204"/>
      <c r="AB241" s="275"/>
      <c r="AC241" s="275"/>
      <c r="AD241" s="275"/>
      <c r="AE241" s="275"/>
      <c r="AF241" s="275"/>
      <c r="AG241" s="114"/>
    </row>
    <row r="242" spans="18:33">
      <c r="R242" s="210"/>
      <c r="S242" s="282"/>
      <c r="T242" s="282"/>
      <c r="U242" s="115"/>
      <c r="V242" s="275"/>
      <c r="W242" s="204"/>
      <c r="X242" s="201"/>
      <c r="Y242" s="204"/>
      <c r="Z242" s="204"/>
      <c r="AB242" s="275"/>
      <c r="AC242" s="275"/>
      <c r="AD242" s="275"/>
      <c r="AE242" s="275"/>
      <c r="AF242" s="275"/>
      <c r="AG242" s="114"/>
    </row>
    <row r="243" spans="18:33">
      <c r="R243" s="210"/>
      <c r="S243" s="282"/>
      <c r="T243" s="282"/>
      <c r="U243" s="115"/>
      <c r="V243" s="275"/>
      <c r="W243" s="204"/>
      <c r="X243" s="201"/>
      <c r="Y243" s="204"/>
      <c r="Z243" s="204"/>
      <c r="AB243" s="275"/>
      <c r="AC243" s="275"/>
      <c r="AD243" s="275"/>
      <c r="AE243" s="275"/>
      <c r="AF243" s="275"/>
      <c r="AG243" s="114"/>
    </row>
    <row r="244" spans="18:33">
      <c r="R244" s="210"/>
      <c r="S244" s="282"/>
      <c r="T244" s="282"/>
      <c r="U244" s="115"/>
      <c r="V244" s="275"/>
      <c r="W244" s="204"/>
      <c r="X244" s="201"/>
      <c r="Y244" s="204"/>
      <c r="Z244" s="204"/>
      <c r="AB244" s="275"/>
      <c r="AC244" s="275"/>
      <c r="AD244" s="275"/>
      <c r="AE244" s="275"/>
      <c r="AF244" s="275"/>
      <c r="AG244" s="114"/>
    </row>
    <row r="245" spans="18:33">
      <c r="R245" s="210"/>
      <c r="S245" s="282"/>
      <c r="T245" s="282"/>
      <c r="U245" s="115"/>
      <c r="V245" s="275"/>
      <c r="W245" s="204"/>
      <c r="X245" s="201"/>
      <c r="Y245" s="204"/>
      <c r="Z245" s="204"/>
      <c r="AB245" s="275"/>
      <c r="AC245" s="275"/>
      <c r="AD245" s="275"/>
      <c r="AE245" s="275"/>
      <c r="AF245" s="275"/>
      <c r="AG245" s="114"/>
    </row>
    <row r="246" spans="18:33">
      <c r="R246" s="210"/>
      <c r="S246" s="282"/>
      <c r="T246" s="282"/>
      <c r="U246" s="115"/>
      <c r="V246" s="275"/>
      <c r="W246" s="204"/>
      <c r="X246" s="201"/>
      <c r="Y246" s="204"/>
      <c r="Z246" s="204"/>
      <c r="AB246" s="275"/>
      <c r="AC246" s="275"/>
      <c r="AD246" s="275"/>
      <c r="AE246" s="275"/>
      <c r="AF246" s="275"/>
      <c r="AG246" s="114"/>
    </row>
    <row r="247" spans="18:33">
      <c r="R247" s="210"/>
      <c r="S247" s="282"/>
      <c r="T247" s="282"/>
      <c r="U247" s="115"/>
      <c r="V247" s="275"/>
      <c r="W247" s="204"/>
      <c r="X247" s="201"/>
      <c r="Y247" s="204"/>
      <c r="Z247" s="204"/>
      <c r="AB247" s="275"/>
      <c r="AC247" s="275"/>
      <c r="AD247" s="275"/>
      <c r="AE247" s="275"/>
      <c r="AF247" s="275"/>
      <c r="AG247" s="114"/>
    </row>
    <row r="248" spans="18:33">
      <c r="R248" s="210"/>
      <c r="S248" s="282"/>
      <c r="T248" s="282"/>
      <c r="U248" s="115"/>
      <c r="V248" s="275"/>
      <c r="W248" s="204"/>
      <c r="X248" s="201"/>
      <c r="Y248" s="204"/>
      <c r="Z248" s="204"/>
      <c r="AB248" s="275"/>
      <c r="AC248" s="275"/>
      <c r="AD248" s="275"/>
      <c r="AE248" s="275"/>
      <c r="AF248" s="275"/>
      <c r="AG248" s="114"/>
    </row>
    <row r="249" spans="18:33">
      <c r="R249" s="210"/>
      <c r="S249" s="282"/>
      <c r="T249" s="282"/>
      <c r="U249" s="115"/>
      <c r="V249" s="275"/>
      <c r="W249" s="204"/>
      <c r="X249" s="201"/>
      <c r="Y249" s="204"/>
      <c r="Z249" s="204"/>
      <c r="AB249" s="275"/>
      <c r="AC249" s="275"/>
      <c r="AD249" s="275"/>
      <c r="AE249" s="275"/>
      <c r="AF249" s="275"/>
      <c r="AG249" s="114"/>
    </row>
    <row r="250" spans="18:33">
      <c r="R250" s="210"/>
      <c r="S250" s="282"/>
      <c r="T250" s="282"/>
      <c r="U250" s="115"/>
      <c r="V250" s="275"/>
      <c r="W250" s="204"/>
      <c r="X250" s="201"/>
      <c r="Y250" s="204"/>
      <c r="Z250" s="204"/>
      <c r="AB250" s="275"/>
      <c r="AC250" s="275"/>
      <c r="AD250" s="275"/>
      <c r="AE250" s="275"/>
      <c r="AF250" s="275"/>
      <c r="AG250" s="114"/>
    </row>
    <row r="251" spans="18:33">
      <c r="R251" s="210"/>
      <c r="S251" s="282"/>
      <c r="T251" s="282"/>
      <c r="U251" s="115"/>
      <c r="V251" s="275"/>
      <c r="W251" s="204"/>
      <c r="X251" s="201"/>
      <c r="Y251" s="204"/>
      <c r="Z251" s="204"/>
      <c r="AB251" s="275"/>
      <c r="AC251" s="275"/>
      <c r="AD251" s="275"/>
      <c r="AE251" s="275"/>
      <c r="AF251" s="275"/>
      <c r="AG251" s="114"/>
    </row>
    <row r="252" spans="18:33">
      <c r="R252" s="210"/>
      <c r="S252" s="282"/>
      <c r="T252" s="282"/>
      <c r="U252" s="115"/>
      <c r="V252" s="275"/>
      <c r="W252" s="204"/>
      <c r="X252" s="201"/>
      <c r="Y252" s="204"/>
      <c r="Z252" s="204"/>
      <c r="AB252" s="275"/>
      <c r="AC252" s="275"/>
      <c r="AD252" s="275"/>
      <c r="AE252" s="275"/>
      <c r="AF252" s="275"/>
      <c r="AG252" s="114"/>
    </row>
    <row r="253" spans="18:33">
      <c r="R253" s="210"/>
      <c r="S253" s="282"/>
      <c r="T253" s="282"/>
      <c r="U253" s="115"/>
      <c r="V253" s="275"/>
      <c r="W253" s="204"/>
      <c r="X253" s="201"/>
      <c r="Y253" s="204"/>
      <c r="Z253" s="204"/>
      <c r="AB253" s="275"/>
      <c r="AC253" s="275"/>
      <c r="AD253" s="275"/>
      <c r="AE253" s="275"/>
      <c r="AF253" s="275"/>
      <c r="AG253" s="114"/>
    </row>
    <row r="254" spans="18:33">
      <c r="R254" s="210"/>
      <c r="S254" s="282"/>
      <c r="T254" s="282"/>
      <c r="U254" s="115"/>
      <c r="V254" s="275"/>
      <c r="W254" s="204"/>
      <c r="X254" s="201"/>
      <c r="Y254" s="204"/>
      <c r="Z254" s="204"/>
      <c r="AB254" s="275"/>
      <c r="AC254" s="275"/>
      <c r="AD254" s="275"/>
      <c r="AE254" s="275"/>
      <c r="AF254" s="275"/>
      <c r="AG254" s="114"/>
    </row>
    <row r="255" spans="18:33">
      <c r="R255" s="210"/>
      <c r="S255" s="282"/>
      <c r="T255" s="282"/>
      <c r="U255" s="115"/>
      <c r="V255" s="275"/>
      <c r="W255" s="204"/>
      <c r="X255" s="201"/>
      <c r="Y255" s="204"/>
      <c r="Z255" s="204"/>
      <c r="AB255" s="275"/>
      <c r="AC255" s="275"/>
      <c r="AD255" s="275"/>
      <c r="AE255" s="275"/>
      <c r="AF255" s="275"/>
      <c r="AG255" s="114"/>
    </row>
  </sheetData>
  <sortState ref="B7:AK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D3:AD4"/>
    <mergeCell ref="AG3:AG4"/>
    <mergeCell ref="AF3:AF4"/>
    <mergeCell ref="AB3:AB4"/>
    <mergeCell ref="AC3:AC4"/>
    <mergeCell ref="AE3:AE4"/>
  </mergeCells>
  <dataValidations count="3">
    <dataValidation allowBlank="1" showInputMessage="1" showErrorMessage="1" errorTitle="Lỗi nhập liệu" error="Dữ liệu chưa hợp lý" sqref="Z7:AA216 L7:N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A7:Q216 AB7:AC216 AE7:AF216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ThietLap!$D$9:$D$15</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tabSelected="1" workbookViewId="0">
      <pane ySplit="3" topLeftCell="A4" activePane="bottomLeft" state="frozen"/>
      <selection activeCell="C13" sqref="C13"/>
      <selection pane="bottomLeft" activeCell="F9" sqref="F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05" t="s">
        <v>249</v>
      </c>
      <c r="B1" s="505"/>
      <c r="C1" s="505"/>
    </row>
    <row r="2" spans="1:7" ht="18" customHeight="1">
      <c r="A2" s="512" t="s">
        <v>224</v>
      </c>
      <c r="B2" s="512" t="s">
        <v>219</v>
      </c>
      <c r="C2" s="518" t="s">
        <v>223</v>
      </c>
    </row>
    <row r="3" spans="1:7" ht="22.5" customHeight="1">
      <c r="A3" s="512"/>
      <c r="B3" s="512"/>
      <c r="C3" s="519"/>
      <c r="F3" s="726" t="s">
        <v>528</v>
      </c>
      <c r="G3" s="727" t="s">
        <v>513</v>
      </c>
    </row>
    <row r="4" spans="1:7" ht="19.899999999999999" customHeight="1">
      <c r="A4" s="506" t="s">
        <v>10</v>
      </c>
      <c r="B4" s="153" t="s">
        <v>220</v>
      </c>
      <c r="C4" s="154">
        <f>C5+C6</f>
        <v>2</v>
      </c>
    </row>
    <row r="5" spans="1:7" ht="19.899999999999999" customHeight="1">
      <c r="A5" s="507"/>
      <c r="B5" s="155" t="s">
        <v>6</v>
      </c>
      <c r="C5" s="156">
        <f>IF(G3&lt;&gt;"",COUNTIFS(DSDV!$H$7:$H$216,ThietLap!$C$9,DSDV!$W$7:$W$216,G3),COUNTIFS(DSDV!$H$7:$H$216,ThietLap!$C$9))</f>
        <v>1</v>
      </c>
    </row>
    <row r="6" spans="1:7" ht="19.899999999999999" customHeight="1">
      <c r="A6" s="508"/>
      <c r="B6" s="157" t="s">
        <v>7</v>
      </c>
      <c r="C6" s="156">
        <f>IF(G3&lt;&gt;"",COUNTIFS(DSDV!$H$7:$H$216,ThietLap!$C$10,DSDV!$W$7:$W$216,G3),COUNTIFS(DSDV!$H$7:$H$216,ThietLap!$C$9))</f>
        <v>1</v>
      </c>
    </row>
    <row r="7" spans="1:7" ht="18" customHeight="1">
      <c r="A7" s="513" t="s">
        <v>96</v>
      </c>
      <c r="B7" s="158" t="s">
        <v>221</v>
      </c>
      <c r="C7" s="159">
        <f>IF(G3&lt;&gt;"",COUNTIFS(DSDV!$X$7:$X$216,ThietLap!$S$2,DSDV!$W$7:$W$216,G3),COUNTIFS(DSDV!$X$7:$X$216,ThietLap!$S$2))</f>
        <v>2</v>
      </c>
    </row>
    <row r="8" spans="1:7" ht="18" customHeight="1">
      <c r="A8" s="514"/>
      <c r="B8" s="160" t="s">
        <v>162</v>
      </c>
      <c r="C8" s="161">
        <f>IF(G3&lt;&gt;"",COUNTIFS(DSDV!$X$7:$X$216,"&lt;&gt;"&amp;"",DSDV!$W$7:$W$216,G3),COUNTIFS(DSDV!$X$7:$X$216,"&lt;&gt;"&amp;""))-C7</f>
        <v>0</v>
      </c>
    </row>
    <row r="9" spans="1:7" ht="19.899999999999999" customHeight="1">
      <c r="A9" s="515" t="s">
        <v>222</v>
      </c>
      <c r="B9" s="162" t="s">
        <v>149</v>
      </c>
      <c r="C9" s="163">
        <f>IF(G3&lt;&gt;"",COUNTIFS(DSDV!$AC$7:$AC$216,ThietLap!$H$9,DSDV!$W$7:$W$216,G3),COUNTIFS(DSDV!$AC$7:$AC$216,ThietLap!$H$9))</f>
        <v>0</v>
      </c>
    </row>
    <row r="10" spans="1:7" ht="19.899999999999999" customHeight="1">
      <c r="A10" s="516"/>
      <c r="B10" s="164" t="s">
        <v>15</v>
      </c>
      <c r="C10" s="165">
        <f>IF(G3&lt;&gt;"",COUNTIFS(DSDV!$AC$7:$AC$216,ThietLap!$H$10,DSDV!$W$7:$W$216,G3),COUNTIFS(DSDV!$AC$7:$AC$216,ThietLap!$H$10))</f>
        <v>0</v>
      </c>
    </row>
    <row r="11" spans="1:7" ht="19.899999999999999" customHeight="1">
      <c r="A11" s="516"/>
      <c r="B11" s="164" t="s">
        <v>150</v>
      </c>
      <c r="C11" s="165">
        <f>IF(G3&lt;&gt;"",COUNTIFS(DSDV!$AC$7:$AC$216,ThietLap!$H$11,DSDV!$W$7:$W$216,G3),COUNTIFS(DSDV!$AC$7:$AC$216,ThietLap!$H$11))</f>
        <v>2</v>
      </c>
    </row>
    <row r="12" spans="1:7" ht="19.899999999999999" customHeight="1">
      <c r="A12" s="517"/>
      <c r="B12" s="166" t="s">
        <v>151</v>
      </c>
      <c r="C12" s="167">
        <f>IF(G3&lt;&gt;"",COUNTIFS(DSDV!$AC$7:$AC$216,ThietLap!$H$12,DSDV!$W$7:$W$216,G3),COUNTIFS(DSDV!$AC$7:$AC$216,ThietLap!$H$12))</f>
        <v>0</v>
      </c>
    </row>
    <row r="13" spans="1:7" ht="19.899999999999999" customHeight="1">
      <c r="A13" s="509" t="s">
        <v>113</v>
      </c>
      <c r="B13" s="168" t="s">
        <v>114</v>
      </c>
      <c r="C13" s="169">
        <f>IF(G3&lt;&gt;"",COUNTIFS(DSDV!$I$7:$I$216,ThietLap!$U$2,DSDV!$W$7:$W$216,G3),COUNTIFS(DSDV!$I$7:$I$216,ThietLap!$U$2))</f>
        <v>0</v>
      </c>
    </row>
    <row r="14" spans="1:7" ht="19.899999999999999" customHeight="1">
      <c r="A14" s="510"/>
      <c r="B14" s="170" t="s">
        <v>230</v>
      </c>
      <c r="C14" s="17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10"/>
      <c r="B15" s="170" t="s">
        <v>231</v>
      </c>
      <c r="C15" s="17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11"/>
      <c r="B16" s="172" t="s">
        <v>232</v>
      </c>
      <c r="C16" s="173">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520" t="s">
        <v>120</v>
      </c>
      <c r="B17" s="174" t="s">
        <v>128</v>
      </c>
      <c r="C17" s="175">
        <f>IF(G3&lt;&gt;"",COUNTIFS(DSDV!$AF$7:$AF$216,ThietLap!$E$9,DSDV!$W$7:$W$216,G3),COUNTIFS(DSDV!$AF$7:$AF$216,ThietLap!$E$9))</f>
        <v>0</v>
      </c>
    </row>
    <row r="18" spans="1:3" ht="19.899999999999999" customHeight="1">
      <c r="A18" s="521"/>
      <c r="B18" s="176" t="s">
        <v>129</v>
      </c>
      <c r="C18" s="177">
        <f>IF(G3&lt;&gt;"",COUNTIFS(DSDV!$AF$7:$AF$216,ThietLap!$E$10,DSDV!$W$7:$W$216,G3),COUNTIFS(DSDV!$AF$7:$AF$216,ThietLap!$E$10))</f>
        <v>0</v>
      </c>
    </row>
    <row r="19" spans="1:3" ht="19.899999999999999" customHeight="1">
      <c r="A19" s="521"/>
      <c r="B19" s="176" t="s">
        <v>130</v>
      </c>
      <c r="C19" s="177">
        <f>IF(G3&lt;&gt;"",COUNTIFS(DSDV!$AF$7:$AF$216,ThietLap!$E$11,DSDV!$W$7:$W$216,G3),COUNTIFS(DSDV!$AF$7:$AF$216,ThietLap!$E$11))</f>
        <v>0</v>
      </c>
    </row>
    <row r="20" spans="1:3" ht="19.899999999999999" customHeight="1">
      <c r="A20" s="521"/>
      <c r="B20" s="176" t="s">
        <v>131</v>
      </c>
      <c r="C20" s="178">
        <f>IF(G2&lt;&gt;"",COUNTIFS(DSDV!$AF$7:$AF$216,ThietLap!$E$12,DSDV!$W$7:$W$216,G2),COUNTIFS(DSDV!$AF$7:$AF$216,ThietLap!$E$12))</f>
        <v>0</v>
      </c>
    </row>
    <row r="21" spans="1:3" ht="19.899999999999999" customHeight="1">
      <c r="A21" s="522"/>
      <c r="B21" s="176" t="s">
        <v>162</v>
      </c>
      <c r="C21" s="178">
        <f>IF(G3&lt;&gt;"",COUNTIFS(DSDV!$AF$7:$AF$216,ThietLap!$E$12,DSDV!$W$7:$W$216,G3),COUNTIFS(DSDV!$AF$7:$AF$216,ThietLap!$E$12))</f>
        <v>0</v>
      </c>
    </row>
    <row r="22" spans="1:3" ht="19.899999999999999" customHeight="1">
      <c r="A22" s="523" t="s">
        <v>233</v>
      </c>
      <c r="B22" s="179" t="s">
        <v>236</v>
      </c>
      <c r="C22" s="180">
        <f ca="1">IF(G3&lt;&gt;"",COUNTIFS(DSDV!$AK$7:$AK$216,"&gt;="&amp;12,DSDV!$W$7:$W$216,G3),COUNTIFS(DSDV!$AK$7:$AK$216,"&gt;="&amp;12))-IF(G3&lt;&gt;"",COUNTIFS(DSDV!$AK$7:$AK$216,"&gt;"&amp;24,DSDV!$W$7:$W$216,G3),COUNTIFS(DSDV!$AK$7:$AK$216,"&gt;"&amp;24))</f>
        <v>0</v>
      </c>
    </row>
    <row r="23" spans="1:3" ht="19.899999999999999" customHeight="1">
      <c r="A23" s="524"/>
      <c r="B23" s="181" t="s">
        <v>237</v>
      </c>
      <c r="C23" s="182">
        <f ca="1">IF(G3&lt;&gt;"",COUNTIFS(DSDV!$AK$7:$AK$216,"&gt;"&amp;24,DSDV!$W$7:$W$216,G3),COUNTIFS(DSDV!$AK$7:$AK$216,"&gt;"&amp;24))-IF(G3&lt;&gt;"",COUNTIFS(DSDV!$AK$7:$AK$216,"&gt;"&amp;36,DSDV!$W$7:$W$216,G3),COUNTIFS(DSDV!$AK$7:$AK$216,"&gt;"&amp;36))</f>
        <v>0</v>
      </c>
    </row>
    <row r="24" spans="1:3" ht="19.899999999999999" customHeight="1">
      <c r="A24" s="525"/>
      <c r="B24" s="183" t="s">
        <v>234</v>
      </c>
      <c r="C24" s="276">
        <f ca="1">IF(G3&lt;&gt;"",COUNTIFS(DSDV!$AK$7:$AK$216,"&gt;"&amp;36,DSDV!$W$7:$W$216,G3),COUNTIFS(DSDV!$AK$7:$AK$216,"&gt;"&amp;36))</f>
        <v>1</v>
      </c>
    </row>
    <row r="25" spans="1:3" ht="19.899999999999999" customHeight="1">
      <c r="A25" s="526" t="s">
        <v>119</v>
      </c>
      <c r="B25" s="184" t="s">
        <v>121</v>
      </c>
      <c r="C25" s="185">
        <f>COUNTIFS(DSDV!$J$7:$J$216,B25,DSDV!$W$7:$W$216,$G$3)</f>
        <v>0</v>
      </c>
    </row>
    <row r="26" spans="1:3" ht="19.899999999999999" customHeight="1">
      <c r="A26" s="527"/>
      <c r="B26" s="186" t="s">
        <v>122</v>
      </c>
      <c r="C26" s="187">
        <f>COUNTIFS(DSDV!$J$7:$J$216,B26,DSDV!$W$7:$W$216,$G$3)</f>
        <v>1</v>
      </c>
    </row>
    <row r="27" spans="1:3" ht="19.899999999999999" customHeight="1">
      <c r="A27" s="527"/>
      <c r="B27" s="186" t="s">
        <v>123</v>
      </c>
      <c r="C27" s="187">
        <f>COUNTIFS(DSDV!$J$7:$J$216,B27,DSDV!$W$7:$W$216,$G$3)</f>
        <v>0</v>
      </c>
    </row>
    <row r="28" spans="1:3" ht="19.899999999999999" customHeight="1">
      <c r="A28" s="527"/>
      <c r="B28" s="186" t="s">
        <v>124</v>
      </c>
      <c r="C28" s="187">
        <f>COUNTIFS(DSDV!$J$7:$J$216,B28,DSDV!$W$7:$W$216,$G$3)</f>
        <v>0</v>
      </c>
    </row>
    <row r="29" spans="1:3" ht="19.899999999999999" customHeight="1">
      <c r="A29" s="527"/>
      <c r="B29" s="186" t="s">
        <v>125</v>
      </c>
      <c r="C29" s="187">
        <f>COUNTIFS(DSDV!$J$7:$J$216,B29,DSDV!$W$7:$W$216,$G$3)</f>
        <v>0</v>
      </c>
    </row>
    <row r="30" spans="1:3" ht="19.899999999999999" customHeight="1">
      <c r="A30" s="527"/>
      <c r="B30" s="725" t="s">
        <v>736</v>
      </c>
      <c r="C30" s="187">
        <f>COUNTIFS(DSDV!$J$7:$J$216,B30,DSDV!$W$7:$W$216,$G$3)</f>
        <v>1</v>
      </c>
    </row>
    <row r="31" spans="1:3" ht="19.899999999999999" customHeight="1">
      <c r="A31" s="528"/>
      <c r="B31" s="188" t="s">
        <v>126</v>
      </c>
      <c r="C31" s="189">
        <f>COUNTIFS(DSDV!$J$7:$J$216,B31,DSDV!$W$7:$W$216,$G$3)</f>
        <v>0</v>
      </c>
    </row>
    <row r="32" spans="1:3" ht="19.899999999999999" customHeight="1">
      <c r="A32" s="529" t="s">
        <v>239</v>
      </c>
      <c r="B32" s="190" t="s">
        <v>15</v>
      </c>
      <c r="C32" s="191">
        <f>IF(G3&lt;&gt;"",COUNTIFS(DSDV!$AB$7:$AB$216,ThietLap!$G$13,DSDV!$W$7:$W$216,G3),COUNTIFS(DSDV!$AB$7:$AB$216,ThietLap!$G$13))</f>
        <v>2</v>
      </c>
    </row>
    <row r="33" spans="1:3" ht="19.899999999999999" customHeight="1">
      <c r="A33" s="530"/>
      <c r="B33" s="192" t="s">
        <v>154</v>
      </c>
      <c r="C33" s="193">
        <f>IF(G3&lt;&gt;"",COUNTIFS(DSDV!$AB$7:$AB$216,ThietLap!$G$12,DSDV!$W$7:$W$216,G3),COUNTIFS(DSDV!$AB$7:$AB$216,ThietLap!$G$12))</f>
        <v>0</v>
      </c>
    </row>
    <row r="34" spans="1:3" ht="19.899999999999999" customHeight="1">
      <c r="A34" s="530"/>
      <c r="B34" s="192" t="s">
        <v>4</v>
      </c>
      <c r="C34" s="193">
        <f>IF(G3&lt;&gt;"",COUNTIFS(DSDV!$AB$7:$AB$216,ThietLap!$G$11,DSDV!$W$7:$W$216,G3),COUNTIFS(DSDV!$AB$7:$AB$216,ThietLap!$G$11))</f>
        <v>0</v>
      </c>
    </row>
    <row r="35" spans="1:3" ht="19.899999999999999" customHeight="1">
      <c r="A35" s="530"/>
      <c r="B35" s="192" t="s">
        <v>153</v>
      </c>
      <c r="C35" s="193">
        <f>IF(G3&lt;&gt;"",COUNTIFS(DSDV!$AB$7:$AB$216,ThietLap!$G$10,DSDV!$W$7:$W$216,G3),COUNTIFS(DSDV!$AB$7:$AB$216,ThietLap!$G$10))</f>
        <v>0</v>
      </c>
    </row>
    <row r="36" spans="1:3" ht="19.899999999999999" customHeight="1">
      <c r="A36" s="531"/>
      <c r="B36" s="194" t="s">
        <v>152</v>
      </c>
      <c r="C36" s="195">
        <f>IF(G3&lt;&gt;"",COUNTIFS(DSDV!$AB$7:$AB$216,ThietLap!$G$9,DSDV!$W$7:$W$216,G3),COUNTIFS(DSDV!$AB$7:$AB$216,ThietLap!$G$9))</f>
        <v>0</v>
      </c>
    </row>
    <row r="37" spans="1:3" ht="19.899999999999999" customHeight="1">
      <c r="A37" s="509" t="s">
        <v>241</v>
      </c>
      <c r="B37" s="168" t="s">
        <v>242</v>
      </c>
      <c r="C37" s="169">
        <f ca="1">IF(G3&lt;&gt;"",COUNTIFS(DSDV!$AJ$7:$AJ$216,"&lt;="&amp;30,DSDV!$AJ$7:$AJ$216,"&gt;="&amp;18,DSDV!$W$7:$W$216,G3),COUNTIFS(DSDV!$AJ$7:$AJ$216,"&lt;="&amp;30,DSDV!$AJ$7:$AJ$216,"&gt;="&amp;18))</f>
        <v>0</v>
      </c>
    </row>
    <row r="38" spans="1:3" ht="19.899999999999999" customHeight="1">
      <c r="A38" s="510"/>
      <c r="B38" s="170" t="s">
        <v>243</v>
      </c>
      <c r="C38" s="171">
        <f ca="1">IF(G3&lt;&gt;"",COUNTIFS(DSDV!$AJ$7:$AJ$216,"&lt;="&amp;35,DSDV!$AJ$7:$AJ$216,"&gt;="&amp;31,DSDV!$W$7:$W$216,G3),COUNTIFS(DSDV!$AJ$7:$AJ$216,"&lt;="&amp;35,DSDV!$AJ$7:$AJ$216,"&gt;="&amp;31))</f>
        <v>0</v>
      </c>
    </row>
    <row r="39" spans="1:3" ht="19.899999999999999" customHeight="1">
      <c r="A39" s="510"/>
      <c r="B39" s="170" t="s">
        <v>244</v>
      </c>
      <c r="C39" s="171">
        <f ca="1">IF(G3&lt;&gt;"",COUNTIFS(DSDV!$AJ$7:$AJ$216,"&lt;="&amp;40,DSDV!$AJ$7:$AJ$216,"&gt;="&amp;36,DSDV!$W$7:$W$216,G3),COUNTIFS(DSDV!$AJ$7:$AJ$216,"&lt;="&amp;40,DSDV!$AJ$7:$AJ$216,"&gt;="&amp;36))</f>
        <v>1</v>
      </c>
    </row>
    <row r="40" spans="1:3" ht="19.899999999999999" customHeight="1">
      <c r="A40" s="510"/>
      <c r="B40" s="170" t="s">
        <v>245</v>
      </c>
      <c r="C40" s="171">
        <f ca="1">IF(G3&lt;&gt;"",COUNTIFS(DSDV!$AJ$7:$AJ$216,"&lt;="&amp;45,DSDV!$AJ$7:$AJ$216,"&gt;="&amp;41,DSDV!$W$7:$W$216,G3),COUNTIFS(DSDV!$AJ$7:$AJ$216,"&lt;="&amp;45,DSDV!$AJ$7:$AJ$216,"&gt;="&amp;41))</f>
        <v>0</v>
      </c>
    </row>
    <row r="41" spans="1:3" ht="19.899999999999999" customHeight="1">
      <c r="A41" s="510"/>
      <c r="B41" s="170" t="s">
        <v>246</v>
      </c>
      <c r="C41" s="171">
        <f ca="1">IF(G3&lt;&gt;"",COUNTIFS(DSDV!$AJ$7:$AJ$216,"&lt;="&amp;50,DSDV!$AJ$7:$AJ$216,"&gt;="&amp;46,DSDV!$W$7:$W$216,G3),COUNTIFS(DSDV!$AJ$7:$AJ$216,"&lt;="&amp;50,DSDV!$AJ$7:$AJ$216,"&gt;="&amp;46))</f>
        <v>0</v>
      </c>
    </row>
    <row r="42" spans="1:3" ht="19.899999999999999" customHeight="1">
      <c r="A42" s="510"/>
      <c r="B42" s="170" t="s">
        <v>247</v>
      </c>
      <c r="C42" s="171">
        <f ca="1">IF(G3&lt;&gt;"",COUNTIFS(DSDV!$AJ$7:$AJ$216,"&lt;="&amp;55,DSDV!$AJ$7:$AJ$216,"&gt;="&amp;51,DSDV!$W$7:$W$216,G3),COUNTIFS(DSDV!$AJ$7:$AJ$216,"&lt;="&amp;55,DSDV!$AJ$7:$AJ$216,"&gt;="&amp;51))</f>
        <v>0</v>
      </c>
    </row>
    <row r="43" spans="1:3" ht="19.899999999999999" customHeight="1">
      <c r="A43" s="511"/>
      <c r="B43" s="172" t="s">
        <v>248</v>
      </c>
      <c r="C43" s="173">
        <f ca="1">(SUM(DSDV!$AJ$7:$AJ$216))/COUNTIFS(DSDV!$AJ$7:$AJ$216,"&gt;"&amp;0)</f>
        <v>38</v>
      </c>
    </row>
    <row r="44" spans="1:3" ht="19.899999999999999" customHeight="1">
      <c r="A44" s="502" t="s">
        <v>132</v>
      </c>
      <c r="B44" s="277" t="s">
        <v>493</v>
      </c>
      <c r="C44" s="185">
        <f>IF(G3&lt;&gt;"",COUNTIFS(DSDV!$T$7:$T$216,ThietLap!$F$9,DSDV!$W$7:$W$216,G3),COUNTIFS(DSDV!$T$7:$T$216,ThietLap!$F$9))</f>
        <v>0</v>
      </c>
    </row>
    <row r="45" spans="1:3" ht="19.899999999999999" customHeight="1">
      <c r="A45" s="503"/>
      <c r="B45" s="279" t="s">
        <v>494</v>
      </c>
      <c r="C45" s="187">
        <f>IF(G3&lt;&gt;"",COUNTIFS(DSDV!$T$7:$T$216,ThietLap!$F$10,DSDV!$W$7:$W$216,G3),COUNTIFS(DSDV!$T$7:$T$216,ThietLap!$F$10))</f>
        <v>0</v>
      </c>
    </row>
    <row r="46" spans="1:3" ht="19.899999999999999" customHeight="1">
      <c r="A46" s="503"/>
      <c r="B46" s="279" t="s">
        <v>135</v>
      </c>
      <c r="C46" s="187">
        <f>IF(G3&lt;&gt;"",COUNTIFS(DSDV!$T$7:$T$216,ThietLap!$F$11,DSDV!$W$7:$W$216,G3),COUNTIFS(DSDV!$T$7:$T$216,ThietLap!$F$11))</f>
        <v>0</v>
      </c>
    </row>
    <row r="47" spans="1:3" ht="19.899999999999999" customHeight="1">
      <c r="A47" s="503"/>
      <c r="B47" s="279" t="s">
        <v>134</v>
      </c>
      <c r="C47" s="187">
        <f>IF(G3&lt;&gt;"",COUNTIFS(DSDV!$T$7:$T$216,ThietLap!$F$12,DSDV!$W$7:$W$216,G3),COUNTIFS(DSDV!$T$7:$T$216,ThietLap!$F$12))</f>
        <v>0</v>
      </c>
    </row>
    <row r="48" spans="1:3" ht="19.899999999999999" customHeight="1">
      <c r="A48" s="503"/>
      <c r="B48" s="279" t="s">
        <v>495</v>
      </c>
      <c r="C48" s="187">
        <f>IF(G3&lt;&gt;"",COUNTIFS(DSDV!$T$7:$T$216,ThietLap!$F$13,DSDV!$W$7:$W$216,G3),COUNTIFS(DSDV!$T$7:$T$216,ThietLap!$F$13))</f>
        <v>0</v>
      </c>
    </row>
    <row r="49" spans="1:3" ht="19.899999999999999" customHeight="1">
      <c r="A49" s="503"/>
      <c r="B49" s="279" t="s">
        <v>136</v>
      </c>
      <c r="C49" s="187">
        <f>IF(G3&lt;&gt;"",COUNTIFS(DSDV!$T$7:$T$216,ThietLap!$F$14,DSDV!$W$7:$W$216,G3),COUNTIFS(DSDV!$T$7:$T$216,ThietLap!$F$14))</f>
        <v>2</v>
      </c>
    </row>
    <row r="50" spans="1:3" ht="16.5">
      <c r="A50" s="504"/>
      <c r="B50" s="278" t="s">
        <v>533</v>
      </c>
      <c r="C50" s="196">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U1517"/>
  <sheetViews>
    <sheetView showGridLines="0" showZeros="0" zoomScale="85" zoomScaleNormal="85" workbookViewId="0">
      <pane ySplit="1" topLeftCell="A70" activePane="bottomLeft" state="frozen"/>
      <selection activeCell="C13" sqref="C13"/>
      <selection pane="bottomLeft" activeCell="A2" sqref="A2"/>
    </sheetView>
  </sheetViews>
  <sheetFormatPr defaultColWidth="11.5703125" defaultRowHeight="12.75"/>
  <cols>
    <col min="1" max="1" width="3.85546875" style="134" customWidth="1"/>
    <col min="2" max="3" width="10.7109375" style="6" customWidth="1"/>
    <col min="4" max="4" width="10.7109375" style="136" customWidth="1"/>
    <col min="5" max="7" width="10.7109375" style="7" customWidth="1"/>
    <col min="8" max="8" width="2.7109375" style="6" customWidth="1"/>
    <col min="9" max="17" width="2.7109375" style="145" customWidth="1"/>
    <col min="18" max="18" width="3.85546875" style="145" customWidth="1"/>
    <col min="19" max="19" width="11.5703125" style="6"/>
    <col min="20" max="20" width="19.5703125" style="6" customWidth="1"/>
    <col min="21" max="21" width="15" style="6" customWidth="1"/>
    <col min="22" max="22" width="3.85546875" style="6" customWidth="1"/>
    <col min="23" max="32" width="2.42578125" style="6" customWidth="1"/>
    <col min="33"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48.75" customHeight="1">
      <c r="A1" s="454" t="s">
        <v>207</v>
      </c>
      <c r="B1" s="454"/>
      <c r="C1" s="454"/>
      <c r="D1" s="454"/>
      <c r="E1" s="454"/>
      <c r="F1" s="454"/>
      <c r="G1" s="454"/>
      <c r="H1" s="454"/>
      <c r="I1" s="454"/>
      <c r="J1" s="454"/>
      <c r="K1" s="454"/>
      <c r="L1" s="454"/>
      <c r="M1" s="454"/>
      <c r="N1" s="454"/>
      <c r="O1" s="454"/>
      <c r="P1" s="454"/>
      <c r="Q1" s="454"/>
      <c r="R1" s="454"/>
      <c r="U1" s="290" t="s">
        <v>557</v>
      </c>
    </row>
    <row r="2" spans="1:21" ht="17.25" customHeight="1">
      <c r="A2" s="146"/>
      <c r="B2" s="419" t="s">
        <v>208</v>
      </c>
      <c r="C2" s="419"/>
      <c r="D2" s="419"/>
      <c r="E2" s="139"/>
      <c r="F2" s="139"/>
      <c r="G2" s="139"/>
      <c r="H2" s="290"/>
      <c r="I2" s="143"/>
      <c r="J2" s="143"/>
      <c r="K2" s="143"/>
      <c r="L2" s="143"/>
      <c r="M2" s="143"/>
      <c r="N2" s="143"/>
      <c r="O2" s="143"/>
      <c r="P2" s="143"/>
      <c r="Q2" s="143"/>
      <c r="R2" s="143"/>
    </row>
    <row r="3" spans="1:21" ht="17.25" customHeight="1">
      <c r="A3" s="146"/>
      <c r="B3" s="318" t="s">
        <v>253</v>
      </c>
      <c r="C3" s="419" t="s">
        <v>511</v>
      </c>
      <c r="D3" s="419"/>
      <c r="F3" s="270" t="s">
        <v>209</v>
      </c>
      <c r="G3" s="217"/>
      <c r="H3" s="268" t="str">
        <f>MID(U3,1,1)</f>
        <v>9</v>
      </c>
      <c r="I3" s="268" t="str">
        <f>MID(U3,2,1)</f>
        <v>2</v>
      </c>
      <c r="J3" s="268" t="str">
        <f>MID(U3,3,1)</f>
        <v>0</v>
      </c>
      <c r="K3" s="268" t="str">
        <f>MID(U3,4,1)</f>
        <v>0</v>
      </c>
      <c r="L3" s="268" t="str">
        <f>MID(U3,5,1)</f>
        <v>1</v>
      </c>
      <c r="M3" s="268" t="str">
        <f>MID(U3,6,1)</f>
        <v>6</v>
      </c>
      <c r="N3" s="269"/>
      <c r="O3" s="268" t="s">
        <v>508</v>
      </c>
      <c r="P3" s="268" t="s">
        <v>509</v>
      </c>
      <c r="Q3" s="268" t="s">
        <v>510</v>
      </c>
      <c r="R3" s="269"/>
      <c r="T3" s="140" t="s">
        <v>209</v>
      </c>
      <c r="U3" s="267">
        <f>IF($D$15="","",INDEX(DSDV!$B$7:$B$216,MATCH($D$15,DSDV!$G$7:$G$216,0)))</f>
        <v>920016</v>
      </c>
    </row>
    <row r="4" spans="1:21" ht="17.25" customHeight="1">
      <c r="A4" s="146"/>
      <c r="B4" s="420" t="s">
        <v>212</v>
      </c>
      <c r="C4" s="420"/>
      <c r="D4" s="420"/>
      <c r="F4" s="6"/>
      <c r="G4" s="6"/>
      <c r="I4" s="6"/>
      <c r="J4" s="6"/>
      <c r="K4" s="6"/>
      <c r="L4" s="6"/>
      <c r="M4" s="6"/>
      <c r="N4" s="6"/>
      <c r="O4" s="6"/>
      <c r="P4" s="6"/>
      <c r="Q4" s="6"/>
      <c r="R4" s="6"/>
      <c r="T4" s="140" t="s">
        <v>210</v>
      </c>
      <c r="U4" s="150">
        <f>IF($D$15="","",INDEX(DSDV!$C$7:$C$216,MATCH($D$15,DSDV!$G$7:$G$216,0)))</f>
        <v>77194808</v>
      </c>
    </row>
    <row r="5" spans="1:21" ht="17.25" customHeight="1">
      <c r="A5" s="146"/>
      <c r="B5" s="318" t="s">
        <v>253</v>
      </c>
      <c r="C5" s="419"/>
      <c r="D5" s="419"/>
      <c r="F5" s="423" t="s">
        <v>210</v>
      </c>
      <c r="G5" s="423"/>
      <c r="I5" s="268" t="str">
        <f>MID(U4,1,1)</f>
        <v>7</v>
      </c>
      <c r="J5" s="268" t="str">
        <f>MID(U4,2,1)</f>
        <v>7</v>
      </c>
      <c r="K5" s="217"/>
      <c r="L5" s="268" t="str">
        <f>MID(U4,3,1)</f>
        <v>1</v>
      </c>
      <c r="M5" s="268" t="str">
        <f>MID(U4,4,1)</f>
        <v>9</v>
      </c>
      <c r="N5" s="268" t="str">
        <f>MID(U4,5,1)</f>
        <v>4</v>
      </c>
      <c r="O5" s="268" t="str">
        <f>MID(U4,6,1)</f>
        <v>8</v>
      </c>
      <c r="P5" s="268" t="str">
        <f>MID(U4,7,1)</f>
        <v>0</v>
      </c>
      <c r="Q5" s="268" t="str">
        <f>MID(U4,8,1)</f>
        <v>8</v>
      </c>
      <c r="R5" s="318"/>
    </row>
    <row r="6" spans="1:21" ht="17.25" customHeight="1">
      <c r="A6" s="146" t="s">
        <v>211</v>
      </c>
      <c r="B6" s="420" t="s">
        <v>213</v>
      </c>
      <c r="C6" s="420"/>
      <c r="D6" s="420"/>
      <c r="E6" s="139"/>
      <c r="F6" s="139"/>
      <c r="G6" s="139"/>
      <c r="H6" s="139"/>
      <c r="I6" s="143"/>
      <c r="J6" s="143"/>
      <c r="K6" s="143"/>
      <c r="L6" s="143"/>
      <c r="M6" s="143"/>
      <c r="N6" s="143"/>
      <c r="O6" s="143"/>
      <c r="P6" s="143"/>
      <c r="Q6" s="143"/>
      <c r="R6" s="143"/>
    </row>
    <row r="7" spans="1:21" ht="17.25" customHeight="1">
      <c r="A7" s="146"/>
      <c r="B7" s="420" t="s">
        <v>214</v>
      </c>
      <c r="C7" s="420"/>
      <c r="D7" s="420"/>
      <c r="E7" s="139"/>
      <c r="F7" s="139"/>
      <c r="G7" s="139"/>
      <c r="H7" s="139"/>
      <c r="I7" s="143"/>
      <c r="J7" s="143"/>
      <c r="K7" s="143"/>
      <c r="L7" s="143"/>
      <c r="M7" s="143"/>
      <c r="N7" s="143"/>
      <c r="O7" s="143"/>
      <c r="P7" s="143"/>
      <c r="Q7" s="143"/>
      <c r="R7" s="143"/>
    </row>
    <row r="8" spans="1:21" ht="17.25" customHeight="1">
      <c r="A8" s="146"/>
      <c r="B8" s="318" t="str">
        <f>IF($D$15="","",VLOOKUP($D$15,Bang_DSDV,17,0))</f>
        <v>CỤC CHÍNH TRỊ</v>
      </c>
      <c r="C8" s="318"/>
      <c r="D8" s="318"/>
      <c r="E8" s="139"/>
      <c r="F8" s="139"/>
      <c r="G8" s="139"/>
      <c r="H8" s="139"/>
      <c r="I8" s="143"/>
      <c r="J8" s="143"/>
      <c r="K8" s="143"/>
      <c r="L8" s="143"/>
      <c r="M8" s="143"/>
      <c r="N8" s="143"/>
      <c r="O8" s="143"/>
      <c r="P8" s="143"/>
      <c r="Q8" s="143"/>
      <c r="R8" s="143"/>
    </row>
    <row r="9" spans="1:21" ht="17.25" customHeight="1">
      <c r="A9" s="146"/>
      <c r="B9" s="420" t="s">
        <v>215</v>
      </c>
      <c r="C9" s="420"/>
      <c r="D9" s="420"/>
      <c r="E9" s="139"/>
      <c r="F9" s="139"/>
      <c r="G9" s="139"/>
      <c r="H9" s="139"/>
      <c r="I9" s="143"/>
      <c r="J9" s="143"/>
      <c r="K9" s="143"/>
      <c r="L9" s="143"/>
      <c r="M9" s="143"/>
      <c r="N9" s="143"/>
      <c r="O9" s="143"/>
      <c r="P9" s="143"/>
      <c r="Q9" s="143"/>
      <c r="R9" s="143"/>
    </row>
    <row r="10" spans="1:21" ht="12.75" customHeight="1">
      <c r="A10" s="146"/>
      <c r="B10" s="318" t="s">
        <v>254</v>
      </c>
      <c r="C10" s="318" t="str">
        <f>IF($D$15="","",VLOOKUP($D$15,Bang_DSDV,16,0))</f>
        <v>Tổ chức</v>
      </c>
      <c r="D10" s="318"/>
      <c r="E10" s="139"/>
      <c r="F10" s="139"/>
      <c r="G10" s="139"/>
      <c r="H10" s="139"/>
      <c r="I10" s="143"/>
      <c r="J10" s="143"/>
      <c r="K10" s="143"/>
      <c r="L10" s="143"/>
      <c r="M10" s="143"/>
      <c r="N10" s="143"/>
      <c r="O10" s="143"/>
      <c r="P10" s="143"/>
      <c r="Q10" s="143"/>
      <c r="R10" s="143"/>
    </row>
    <row r="11" spans="1:21" ht="30" customHeight="1">
      <c r="B11" s="417" t="s">
        <v>178</v>
      </c>
      <c r="C11" s="417"/>
      <c r="D11" s="417"/>
      <c r="E11" s="417"/>
      <c r="F11" s="417"/>
      <c r="G11" s="417"/>
      <c r="H11" s="417"/>
      <c r="I11" s="417"/>
      <c r="J11" s="417"/>
      <c r="K11" s="417"/>
      <c r="L11" s="417"/>
      <c r="M11" s="417"/>
      <c r="N11" s="417"/>
      <c r="O11" s="417"/>
      <c r="P11" s="417"/>
      <c r="Q11" s="417"/>
      <c r="R11" s="311"/>
    </row>
    <row r="12" spans="1:21" ht="30" customHeight="1">
      <c r="B12" s="417"/>
      <c r="C12" s="417"/>
      <c r="D12" s="417"/>
      <c r="E12" s="417"/>
      <c r="F12" s="417"/>
      <c r="G12" s="417"/>
      <c r="H12" s="417"/>
      <c r="I12" s="417"/>
      <c r="J12" s="417"/>
      <c r="K12" s="417"/>
      <c r="L12" s="417"/>
      <c r="M12" s="417"/>
      <c r="N12" s="417"/>
      <c r="O12" s="417"/>
      <c r="P12" s="417"/>
      <c r="Q12" s="417"/>
      <c r="R12" s="311"/>
    </row>
    <row r="13" spans="1:21" ht="15.75" customHeight="1"/>
    <row r="14" spans="1:21" s="8" customFormat="1" ht="20.25" customHeight="1">
      <c r="A14" s="65"/>
      <c r="B14" s="8" t="s">
        <v>181</v>
      </c>
      <c r="D14" s="144" t="str">
        <f>IF($D$15="","",INDEX(DSDV!$F$7:$F$216,MATCH($D$15,DSDV!$G$7:$G$216,0)))</f>
        <v>Lê Duy Nguyện</v>
      </c>
      <c r="E14" s="144"/>
      <c r="F14" s="144"/>
      <c r="G14" s="422" t="s">
        <v>179</v>
      </c>
      <c r="H14" s="422"/>
      <c r="I14" s="141" t="str">
        <f>IF($D$15="","",VLOOKUP($D$15,Bang_DSDV,2,0))</f>
        <v>Nam</v>
      </c>
      <c r="J14" s="313"/>
      <c r="K14" s="313"/>
      <c r="L14" s="313"/>
      <c r="M14" s="313"/>
      <c r="N14" s="313"/>
      <c r="O14" s="313"/>
      <c r="P14" s="313"/>
      <c r="Q14" s="313"/>
      <c r="R14" s="313"/>
      <c r="T14" s="6"/>
    </row>
    <row r="15" spans="1:21" s="8" customFormat="1" ht="18" customHeight="1">
      <c r="A15" s="65"/>
      <c r="B15" s="8" t="s">
        <v>180</v>
      </c>
      <c r="D15" s="144" t="s">
        <v>551</v>
      </c>
      <c r="E15" s="144"/>
      <c r="F15" s="144"/>
      <c r="G15" s="422" t="s">
        <v>182</v>
      </c>
      <c r="H15" s="422"/>
      <c r="I15" s="422">
        <f>IF($D$15="","",VLOOKUP($D$15,Bang_DSDV,5,0))</f>
        <v>30339</v>
      </c>
      <c r="J15" s="422"/>
      <c r="K15" s="422"/>
      <c r="L15" s="422"/>
      <c r="M15" s="422"/>
      <c r="N15" s="422"/>
      <c r="O15" s="312"/>
      <c r="P15" s="312"/>
      <c r="Q15" s="312"/>
      <c r="R15" s="312"/>
    </row>
    <row r="16" spans="1:21" s="8" customFormat="1" ht="18" customHeight="1">
      <c r="B16" s="8" t="s">
        <v>255</v>
      </c>
      <c r="D16" s="215" t="str">
        <f>IF($D$15="","",VLOOKUP($D$15,Bang_DSDV,27,0))</f>
        <v>X. Thiệu Lý, H. Thiệu Hóa, T. Thanh Hóa</v>
      </c>
      <c r="E16" s="144"/>
      <c r="F16" s="222"/>
      <c r="G16" s="222"/>
      <c r="H16" s="222"/>
      <c r="I16" s="222"/>
      <c r="J16" s="222"/>
      <c r="K16" s="222"/>
      <c r="L16" s="222"/>
      <c r="M16" s="222"/>
      <c r="N16" s="222"/>
      <c r="O16" s="222"/>
      <c r="P16" s="222"/>
      <c r="Q16" s="222"/>
      <c r="R16" s="222"/>
    </row>
    <row r="17" spans="1:18" s="8" customFormat="1" ht="15.75">
      <c r="B17" s="8" t="s">
        <v>183</v>
      </c>
      <c r="D17" s="135"/>
      <c r="E17" s="144"/>
      <c r="F17" s="144" t="str">
        <f>IF($D$15="","",VLOOKUP($D$15,Bang_DSDV,28,0))</f>
        <v>P407, Nhà C4, P. Nghĩa Tân, Q. Cầu Giấy, TP. Hà Nội</v>
      </c>
      <c r="G17" s="144"/>
      <c r="H17" s="144"/>
      <c r="I17" s="144"/>
      <c r="J17" s="144"/>
      <c r="K17" s="144"/>
      <c r="L17" s="144"/>
      <c r="M17" s="144"/>
      <c r="N17" s="144"/>
      <c r="O17" s="144"/>
      <c r="P17" s="144"/>
      <c r="Q17" s="144"/>
      <c r="R17" s="144"/>
    </row>
    <row r="18" spans="1:18" s="8" customFormat="1" ht="18" customHeight="1">
      <c r="B18" s="8" t="s">
        <v>184</v>
      </c>
      <c r="C18" s="8" t="str">
        <f>IF($D$15="","",VLOOKUP($D$15,Bang_DSDV,18,0))</f>
        <v>Kinh</v>
      </c>
      <c r="E18" s="9"/>
      <c r="F18" s="9"/>
      <c r="G18" s="422" t="s">
        <v>185</v>
      </c>
      <c r="H18" s="422"/>
      <c r="I18" s="424" t="str">
        <f>IF($D$15="","",VLOOKUP($D$15,Bang_DSDV,19,0))</f>
        <v>Không</v>
      </c>
      <c r="J18" s="424"/>
      <c r="K18" s="424"/>
      <c r="L18" s="424"/>
      <c r="M18" s="313"/>
      <c r="N18" s="313"/>
      <c r="O18" s="313"/>
      <c r="P18" s="313"/>
      <c r="Q18" s="313"/>
      <c r="R18" s="313"/>
    </row>
    <row r="19" spans="1:18" s="8" customFormat="1" ht="18" customHeight="1">
      <c r="B19" s="8" t="s">
        <v>186</v>
      </c>
      <c r="C19" s="8" t="str">
        <f>IF($D$15="","",VLOOKUP($D$15,Bang_DSDV,3,0))</f>
        <v>3/CN</v>
      </c>
      <c r="E19" s="9"/>
      <c r="F19" s="9"/>
      <c r="G19" s="422" t="s">
        <v>187</v>
      </c>
      <c r="H19" s="422"/>
      <c r="I19" s="424" t="str">
        <f>IF($D$15="","",VLOOKUP($D$15,Bang_DSDV,13,0))</f>
        <v>Nhân viên</v>
      </c>
      <c r="J19" s="424"/>
      <c r="K19" s="424"/>
      <c r="L19" s="424"/>
      <c r="M19" s="313"/>
      <c r="N19" s="313"/>
      <c r="O19" s="313"/>
      <c r="P19" s="313"/>
      <c r="Q19" s="313"/>
      <c r="R19" s="313"/>
    </row>
    <row r="20" spans="1:18" s="8" customFormat="1" ht="18" customHeight="1">
      <c r="B20" s="8" t="s">
        <v>203</v>
      </c>
      <c r="D20" s="135"/>
      <c r="E20" s="9"/>
      <c r="F20" s="144" t="str">
        <f>IF($D$15="","",VLOOKUP($D$15,Bang_DSDV,4,0))</f>
        <v>QNCN</v>
      </c>
      <c r="G20" s="144"/>
      <c r="H20" s="144"/>
      <c r="I20" s="141"/>
      <c r="J20" s="313"/>
      <c r="K20" s="313"/>
      <c r="L20" s="313"/>
      <c r="M20" s="313"/>
      <c r="N20" s="313"/>
      <c r="O20" s="313"/>
      <c r="P20" s="313"/>
      <c r="Q20" s="313"/>
      <c r="R20" s="313"/>
    </row>
    <row r="21" spans="1:18" s="8" customFormat="1" ht="18" customHeight="1">
      <c r="B21" s="8" t="s">
        <v>202</v>
      </c>
      <c r="D21" s="135"/>
      <c r="E21" s="9"/>
      <c r="F21" s="138"/>
      <c r="G21" s="144" t="str">
        <f>IF($D$15="","",VLOOKUP($D$15,Bang_DSDV,25,0))</f>
        <v>SQPH</v>
      </c>
      <c r="H21" s="144"/>
      <c r="I21" s="144"/>
      <c r="J21" s="144"/>
      <c r="K21" s="144"/>
      <c r="L21" s="144"/>
      <c r="M21" s="144"/>
      <c r="N21" s="144"/>
      <c r="O21" s="144"/>
      <c r="P21" s="144"/>
      <c r="Q21" s="144"/>
      <c r="R21" s="144"/>
    </row>
    <row r="22" spans="1:18" s="8" customFormat="1" ht="18" customHeight="1">
      <c r="B22" s="8" t="s">
        <v>188</v>
      </c>
      <c r="D22" s="144" t="str">
        <f>IF($D$15="","",VLOOKUP($D$15,Bang_DSDV,14,0))</f>
        <v>Đảng viên</v>
      </c>
      <c r="E22" s="144"/>
      <c r="F22" s="144"/>
      <c r="G22" s="9"/>
      <c r="I22" s="141"/>
      <c r="J22" s="313"/>
      <c r="K22" s="313"/>
      <c r="L22" s="313"/>
      <c r="M22" s="313"/>
      <c r="N22" s="313"/>
      <c r="O22" s="313"/>
      <c r="P22" s="313"/>
      <c r="Q22" s="313"/>
      <c r="R22" s="313"/>
    </row>
    <row r="23" spans="1:18" s="8" customFormat="1" ht="18" customHeight="1">
      <c r="B23" s="8" t="s">
        <v>189</v>
      </c>
      <c r="D23" s="319">
        <f>IF($D$15="","",VLOOKUP($D$15,Bang_DSDV,6,0))</f>
        <v>38236</v>
      </c>
      <c r="E23" s="144"/>
      <c r="F23" s="293" t="s">
        <v>190</v>
      </c>
      <c r="G23" s="8" t="str">
        <f>IF($D$15="","",VLOOKUP($D$15,Bang_DSDV,7,0))</f>
        <v>dbộ, d901, e86, BCHH</v>
      </c>
    </row>
    <row r="24" spans="1:18" s="8" customFormat="1" ht="18" customHeight="1">
      <c r="B24" s="8" t="s">
        <v>191</v>
      </c>
      <c r="D24" s="319">
        <f>IF($D$15="","",VLOOKUP($D$15,Bang_DSDV,8,0))</f>
        <v>38601</v>
      </c>
      <c r="E24" s="144"/>
      <c r="F24" s="293" t="s">
        <v>190</v>
      </c>
      <c r="G24" s="8" t="str">
        <f>IF($D$15="","",VLOOKUP($D$15,Bang_DSDV,9,0))</f>
        <v>c11, dCMKT, TSQPH, BCHH</v>
      </c>
    </row>
    <row r="25" spans="1:18" s="8" customFormat="1" ht="18" customHeight="1">
      <c r="B25" s="8" t="s">
        <v>192</v>
      </c>
      <c r="D25" s="319">
        <f>IF($D$15="","",VLOOKUP($D$15,Bang_DSDV,10,0))</f>
        <v>37531</v>
      </c>
      <c r="E25" s="144"/>
      <c r="F25" s="9"/>
      <c r="G25" s="422" t="s">
        <v>193</v>
      </c>
      <c r="H25" s="422"/>
      <c r="I25" s="422"/>
      <c r="J25" s="421">
        <f>IF($D$15="","",VLOOKUP($D$15,Bang_DSDV,11,0))</f>
        <v>39083</v>
      </c>
      <c r="K25" s="421"/>
      <c r="L25" s="421"/>
      <c r="M25" s="421"/>
      <c r="N25" s="312"/>
      <c r="O25" s="312"/>
      <c r="P25" s="312"/>
      <c r="Q25" s="312"/>
      <c r="R25" s="312"/>
    </row>
    <row r="26" spans="1:18" s="8" customFormat="1" ht="18" customHeight="1">
      <c r="B26" s="8" t="s">
        <v>194</v>
      </c>
      <c r="D26" s="135"/>
      <c r="E26" s="9"/>
      <c r="F26" s="9">
        <f>IF($D$15="","",VLOOKUP($D$15,Bang_DSDV,12,0))</f>
        <v>0</v>
      </c>
      <c r="G26" s="9"/>
      <c r="I26" s="141"/>
      <c r="J26" s="313"/>
      <c r="K26" s="313"/>
      <c r="L26" s="313"/>
      <c r="M26" s="313"/>
      <c r="N26" s="313"/>
      <c r="O26" s="313"/>
      <c r="P26" s="313"/>
      <c r="Q26" s="313"/>
      <c r="R26" s="313"/>
    </row>
    <row r="27" spans="1:18" s="8" customFormat="1" ht="18" customHeight="1">
      <c r="B27" s="8" t="s">
        <v>216</v>
      </c>
      <c r="D27" s="421"/>
      <c r="E27" s="421"/>
      <c r="F27" s="9"/>
      <c r="G27" s="9"/>
      <c r="I27" s="141"/>
      <c r="J27" s="313"/>
      <c r="K27" s="313"/>
      <c r="L27" s="313"/>
      <c r="M27" s="313"/>
      <c r="N27" s="313"/>
      <c r="O27" s="313"/>
      <c r="P27" s="313"/>
      <c r="Q27" s="313"/>
      <c r="R27" s="313"/>
    </row>
    <row r="28" spans="1:18" s="8" customFormat="1" ht="18" customHeight="1">
      <c r="B28" s="137" t="s">
        <v>196</v>
      </c>
      <c r="D28" s="147" t="str">
        <f>IF($D$15="","",VLOOKUP($D$15,Bang_DSDV,20,0))</f>
        <v>12/12</v>
      </c>
      <c r="F28" s="415" t="s">
        <v>195</v>
      </c>
      <c r="G28" s="415"/>
      <c r="H28" s="415" t="str">
        <f>IF($D$15="","",VLOOKUP($D$15,Bang_DSDV,21,0))</f>
        <v>Trung cấp</v>
      </c>
      <c r="I28" s="415"/>
      <c r="J28" s="415"/>
      <c r="K28" s="415"/>
      <c r="L28" s="313"/>
      <c r="M28" s="313"/>
      <c r="N28" s="313"/>
      <c r="O28" s="313"/>
      <c r="P28" s="313"/>
      <c r="Q28" s="313"/>
      <c r="R28" s="313"/>
    </row>
    <row r="29" spans="1:18" s="8" customFormat="1" ht="18" customHeight="1">
      <c r="B29" s="137" t="s">
        <v>197</v>
      </c>
      <c r="D29" s="147" t="str">
        <f>IF($D$15="","",VLOOKUP($D$15,Bang_DSDV,24,0))</f>
        <v>Trung cấp</v>
      </c>
      <c r="E29" s="147"/>
      <c r="F29" s="456" t="s">
        <v>198</v>
      </c>
      <c r="G29" s="456"/>
      <c r="H29" s="429">
        <f>IF($D$15="","",VLOOKUP($D$15,Bang_DSDV,26,0))</f>
        <v>0</v>
      </c>
      <c r="I29" s="429"/>
      <c r="J29" s="429"/>
      <c r="K29" s="429"/>
      <c r="L29" s="147"/>
      <c r="M29" s="147"/>
      <c r="N29" s="147"/>
      <c r="O29" s="147"/>
      <c r="P29" s="147"/>
      <c r="Q29" s="147"/>
      <c r="R29" s="147"/>
    </row>
    <row r="30" spans="1:18" s="8" customFormat="1" ht="18" customHeight="1">
      <c r="B30" s="8" t="s">
        <v>199</v>
      </c>
      <c r="D30" s="135"/>
      <c r="E30" s="151">
        <f>IF($D$15="","",INDEX(DSDV!$D$7:$D$216,MATCH($D$15,DSDV!$G$7:$G$216,0)))</f>
        <v>111111</v>
      </c>
      <c r="F30" s="144"/>
      <c r="G30" s="305" t="s">
        <v>200</v>
      </c>
      <c r="I30" s="415">
        <f>IF($D$15="","",INDEX(DSDV!$E$7:$E$216,MATCH($D$15,DSDV!$G$7:$G$216,0)))</f>
        <v>22222</v>
      </c>
      <c r="J30" s="415"/>
      <c r="K30" s="415"/>
      <c r="L30" s="415"/>
      <c r="M30" s="415"/>
      <c r="N30" s="313"/>
      <c r="O30" s="313"/>
      <c r="P30" s="313"/>
      <c r="Q30" s="313"/>
      <c r="R30" s="313"/>
    </row>
    <row r="31" spans="1:18" ht="18" customHeight="1">
      <c r="A31" s="6"/>
      <c r="B31" s="424" t="s">
        <v>201</v>
      </c>
      <c r="C31" s="424"/>
      <c r="D31" s="424"/>
      <c r="E31" s="424"/>
      <c r="F31" s="424"/>
      <c r="G31" s="424"/>
      <c r="H31" s="424"/>
      <c r="I31" s="424"/>
      <c r="J31" s="313"/>
      <c r="K31" s="313"/>
      <c r="L31" s="313"/>
      <c r="M31" s="313"/>
      <c r="N31" s="313"/>
      <c r="O31" s="313"/>
      <c r="P31" s="313"/>
      <c r="Q31" s="313"/>
      <c r="R31" s="313"/>
    </row>
    <row r="32" spans="1:18" ht="7.5" customHeight="1">
      <c r="A32" s="6"/>
    </row>
    <row r="33" spans="1:18" ht="18" customHeight="1">
      <c r="A33" s="6"/>
      <c r="B33" s="427" t="s">
        <v>166</v>
      </c>
      <c r="C33" s="428"/>
      <c r="D33" s="425" t="s">
        <v>205</v>
      </c>
      <c r="E33" s="425"/>
      <c r="F33" s="425"/>
      <c r="G33" s="425"/>
      <c r="H33" s="416" t="s">
        <v>206</v>
      </c>
      <c r="I33" s="416"/>
      <c r="J33" s="416"/>
      <c r="K33" s="416"/>
      <c r="L33" s="416"/>
      <c r="M33" s="416"/>
      <c r="N33" s="416"/>
      <c r="O33" s="416"/>
      <c r="P33" s="416"/>
      <c r="Q33" s="416"/>
      <c r="R33" s="8"/>
    </row>
    <row r="34" spans="1:18" ht="18" customHeight="1">
      <c r="A34" s="6"/>
      <c r="B34" s="142" t="s">
        <v>167</v>
      </c>
      <c r="C34" s="142" t="s">
        <v>204</v>
      </c>
      <c r="D34" s="425"/>
      <c r="E34" s="425"/>
      <c r="F34" s="425"/>
      <c r="G34" s="425"/>
      <c r="H34" s="416"/>
      <c r="I34" s="416"/>
      <c r="J34" s="416"/>
      <c r="K34" s="416"/>
      <c r="L34" s="416"/>
      <c r="M34" s="416"/>
      <c r="N34" s="416"/>
      <c r="O34" s="416"/>
      <c r="P34" s="416"/>
      <c r="Q34" s="416"/>
      <c r="R34" s="8"/>
    </row>
    <row r="35" spans="1:18" ht="24.95" customHeight="1">
      <c r="A35" s="6"/>
      <c r="B35" s="220" t="s">
        <v>558</v>
      </c>
      <c r="C35" s="220" t="s">
        <v>559</v>
      </c>
      <c r="D35" s="426" t="s">
        <v>560</v>
      </c>
      <c r="E35" s="426" t="s">
        <v>560</v>
      </c>
      <c r="F35" s="426" t="s">
        <v>560</v>
      </c>
      <c r="G35" s="426" t="s">
        <v>560</v>
      </c>
      <c r="H35" s="418">
        <v>0</v>
      </c>
      <c r="I35" s="418">
        <v>0</v>
      </c>
      <c r="J35" s="418">
        <v>0</v>
      </c>
      <c r="K35" s="418">
        <v>0</v>
      </c>
      <c r="L35" s="418">
        <v>0</v>
      </c>
      <c r="M35" s="418">
        <v>0</v>
      </c>
      <c r="N35" s="418">
        <v>0</v>
      </c>
      <c r="O35" s="418">
        <v>0</v>
      </c>
      <c r="P35" s="418">
        <v>0</v>
      </c>
      <c r="Q35" s="418">
        <v>0</v>
      </c>
      <c r="R35" s="258"/>
    </row>
    <row r="36" spans="1:18" ht="24.95" customHeight="1">
      <c r="A36" s="6"/>
      <c r="B36" s="223" t="s">
        <v>561</v>
      </c>
      <c r="C36" s="223" t="s">
        <v>562</v>
      </c>
      <c r="D36" s="426" t="s">
        <v>563</v>
      </c>
      <c r="E36" s="426" t="s">
        <v>563</v>
      </c>
      <c r="F36" s="426" t="s">
        <v>563</v>
      </c>
      <c r="G36" s="426" t="s">
        <v>563</v>
      </c>
      <c r="H36" s="418">
        <v>0</v>
      </c>
      <c r="I36" s="418">
        <v>0</v>
      </c>
      <c r="J36" s="418">
        <v>0</v>
      </c>
      <c r="K36" s="418">
        <v>0</v>
      </c>
      <c r="L36" s="418">
        <v>0</v>
      </c>
      <c r="M36" s="418">
        <v>0</v>
      </c>
      <c r="N36" s="418">
        <v>0</v>
      </c>
      <c r="O36" s="418">
        <v>0</v>
      </c>
      <c r="P36" s="418">
        <v>0</v>
      </c>
      <c r="Q36" s="418">
        <v>0</v>
      </c>
      <c r="R36" s="314"/>
    </row>
    <row r="37" spans="1:18" ht="24.95" customHeight="1">
      <c r="A37" s="6"/>
      <c r="B37" s="223" t="s">
        <v>564</v>
      </c>
      <c r="C37" s="223" t="s">
        <v>565</v>
      </c>
      <c r="D37" s="426" t="s">
        <v>566</v>
      </c>
      <c r="E37" s="426" t="s">
        <v>566</v>
      </c>
      <c r="F37" s="426" t="s">
        <v>566</v>
      </c>
      <c r="G37" s="426" t="s">
        <v>566</v>
      </c>
      <c r="H37" s="418" t="s">
        <v>136</v>
      </c>
      <c r="I37" s="418" t="s">
        <v>136</v>
      </c>
      <c r="J37" s="418" t="s">
        <v>136</v>
      </c>
      <c r="K37" s="418" t="s">
        <v>136</v>
      </c>
      <c r="L37" s="418" t="s">
        <v>136</v>
      </c>
      <c r="M37" s="418" t="s">
        <v>136</v>
      </c>
      <c r="N37" s="418" t="s">
        <v>136</v>
      </c>
      <c r="O37" s="418" t="s">
        <v>136</v>
      </c>
      <c r="P37" s="418" t="s">
        <v>136</v>
      </c>
      <c r="Q37" s="418" t="s">
        <v>136</v>
      </c>
      <c r="R37" s="314"/>
    </row>
    <row r="38" spans="1:18" ht="24.95" customHeight="1">
      <c r="A38" s="6"/>
      <c r="B38" s="223" t="s">
        <v>565</v>
      </c>
      <c r="C38" s="223" t="s">
        <v>569</v>
      </c>
      <c r="D38" s="426" t="s">
        <v>570</v>
      </c>
      <c r="E38" s="426" t="s">
        <v>570</v>
      </c>
      <c r="F38" s="426" t="s">
        <v>570</v>
      </c>
      <c r="G38" s="426" t="s">
        <v>570</v>
      </c>
      <c r="H38" s="418" t="s">
        <v>136</v>
      </c>
      <c r="I38" s="418" t="s">
        <v>136</v>
      </c>
      <c r="J38" s="418" t="s">
        <v>136</v>
      </c>
      <c r="K38" s="418" t="s">
        <v>136</v>
      </c>
      <c r="L38" s="418" t="s">
        <v>136</v>
      </c>
      <c r="M38" s="418" t="s">
        <v>136</v>
      </c>
      <c r="N38" s="418" t="s">
        <v>136</v>
      </c>
      <c r="O38" s="418" t="s">
        <v>136</v>
      </c>
      <c r="P38" s="418" t="s">
        <v>136</v>
      </c>
      <c r="Q38" s="418" t="s">
        <v>136</v>
      </c>
      <c r="R38" s="314"/>
    </row>
    <row r="39" spans="1:18" ht="24.95" customHeight="1">
      <c r="A39" s="6"/>
      <c r="B39" s="223" t="s">
        <v>571</v>
      </c>
      <c r="C39" s="223" t="s">
        <v>572</v>
      </c>
      <c r="D39" s="426" t="s">
        <v>573</v>
      </c>
      <c r="E39" s="426" t="s">
        <v>573</v>
      </c>
      <c r="F39" s="426" t="s">
        <v>573</v>
      </c>
      <c r="G39" s="426" t="s">
        <v>573</v>
      </c>
      <c r="H39" s="418" t="s">
        <v>136</v>
      </c>
      <c r="I39" s="418" t="s">
        <v>136</v>
      </c>
      <c r="J39" s="418" t="s">
        <v>136</v>
      </c>
      <c r="K39" s="418" t="s">
        <v>136</v>
      </c>
      <c r="L39" s="418" t="s">
        <v>136</v>
      </c>
      <c r="M39" s="418" t="s">
        <v>136</v>
      </c>
      <c r="N39" s="418" t="s">
        <v>136</v>
      </c>
      <c r="O39" s="418" t="s">
        <v>136</v>
      </c>
      <c r="P39" s="418" t="s">
        <v>136</v>
      </c>
      <c r="Q39" s="418" t="s">
        <v>136</v>
      </c>
      <c r="R39" s="314"/>
    </row>
    <row r="40" spans="1:18" ht="24.95" customHeight="1">
      <c r="A40" s="6"/>
      <c r="B40" s="223" t="s">
        <v>574</v>
      </c>
      <c r="C40" s="223" t="s">
        <v>575</v>
      </c>
      <c r="D40" s="426" t="s">
        <v>576</v>
      </c>
      <c r="E40" s="426" t="s">
        <v>576</v>
      </c>
      <c r="F40" s="426" t="s">
        <v>576</v>
      </c>
      <c r="G40" s="426" t="s">
        <v>576</v>
      </c>
      <c r="H40" s="418" t="s">
        <v>136</v>
      </c>
      <c r="I40" s="418" t="s">
        <v>136</v>
      </c>
      <c r="J40" s="418" t="s">
        <v>136</v>
      </c>
      <c r="K40" s="418" t="s">
        <v>136</v>
      </c>
      <c r="L40" s="418" t="s">
        <v>136</v>
      </c>
      <c r="M40" s="418" t="s">
        <v>136</v>
      </c>
      <c r="N40" s="418" t="s">
        <v>136</v>
      </c>
      <c r="O40" s="418" t="s">
        <v>136</v>
      </c>
      <c r="P40" s="418" t="s">
        <v>136</v>
      </c>
      <c r="Q40" s="418" t="s">
        <v>136</v>
      </c>
      <c r="R40" s="314"/>
    </row>
    <row r="41" spans="1:18" ht="24.95" customHeight="1">
      <c r="A41" s="6"/>
      <c r="B41" s="223" t="s">
        <v>657</v>
      </c>
      <c r="C41" s="223" t="s">
        <v>658</v>
      </c>
      <c r="D41" s="426" t="s">
        <v>659</v>
      </c>
      <c r="E41" s="426" t="s">
        <v>659</v>
      </c>
      <c r="F41" s="426" t="s">
        <v>659</v>
      </c>
      <c r="G41" s="426" t="s">
        <v>659</v>
      </c>
      <c r="H41" s="418" t="s">
        <v>660</v>
      </c>
      <c r="I41" s="418" t="s">
        <v>660</v>
      </c>
      <c r="J41" s="418" t="s">
        <v>660</v>
      </c>
      <c r="K41" s="418" t="s">
        <v>660</v>
      </c>
      <c r="L41" s="418" t="s">
        <v>660</v>
      </c>
      <c r="M41" s="418" t="s">
        <v>660</v>
      </c>
      <c r="N41" s="418" t="s">
        <v>660</v>
      </c>
      <c r="O41" s="418" t="s">
        <v>660</v>
      </c>
      <c r="P41" s="418" t="s">
        <v>660</v>
      </c>
      <c r="Q41" s="418" t="s">
        <v>660</v>
      </c>
      <c r="R41" s="314"/>
    </row>
    <row r="42" spans="1:18" ht="24.95" customHeight="1">
      <c r="A42" s="6"/>
      <c r="B42" s="83"/>
      <c r="C42" s="83"/>
      <c r="D42" s="426"/>
      <c r="E42" s="426"/>
      <c r="F42" s="426"/>
      <c r="G42" s="426"/>
      <c r="H42" s="439"/>
      <c r="I42" s="439"/>
      <c r="J42" s="439"/>
      <c r="K42" s="439"/>
      <c r="L42" s="439"/>
      <c r="M42" s="439"/>
      <c r="N42" s="439"/>
      <c r="O42" s="439"/>
      <c r="P42" s="439"/>
      <c r="Q42" s="439"/>
      <c r="R42" s="314"/>
    </row>
    <row r="43" spans="1:18" ht="18" customHeight="1">
      <c r="A43" s="6"/>
      <c r="B43" s="216"/>
      <c r="C43" s="216"/>
      <c r="D43" s="134"/>
      <c r="E43" s="217"/>
      <c r="F43" s="217"/>
      <c r="G43" s="217"/>
    </row>
    <row r="44" spans="1:18" ht="18" customHeight="1">
      <c r="A44" s="6"/>
      <c r="B44" s="440" t="s">
        <v>626</v>
      </c>
      <c r="C44" s="440"/>
      <c r="D44" s="440"/>
      <c r="E44" s="440"/>
      <c r="F44" s="440"/>
      <c r="G44" s="440"/>
      <c r="H44" s="440"/>
      <c r="I44" s="440"/>
      <c r="J44" s="440"/>
      <c r="K44" s="440"/>
      <c r="L44" s="440"/>
      <c r="M44" s="440"/>
      <c r="N44" s="440"/>
      <c r="O44" s="440"/>
      <c r="P44" s="440"/>
      <c r="Q44" s="440"/>
      <c r="R44" s="310"/>
    </row>
    <row r="45" spans="1:18" ht="18" customHeight="1">
      <c r="A45" s="6"/>
      <c r="B45" s="440"/>
      <c r="C45" s="440"/>
      <c r="D45" s="440"/>
      <c r="E45" s="440"/>
      <c r="F45" s="440"/>
      <c r="G45" s="440"/>
      <c r="H45" s="440"/>
      <c r="I45" s="440"/>
      <c r="J45" s="440"/>
      <c r="K45" s="440"/>
      <c r="L45" s="440"/>
      <c r="M45" s="440"/>
      <c r="N45" s="440"/>
      <c r="O45" s="440"/>
      <c r="P45" s="440"/>
      <c r="Q45" s="440"/>
      <c r="R45" s="310"/>
    </row>
    <row r="46" spans="1:18" ht="18" customHeight="1">
      <c r="A46" s="6"/>
      <c r="B46" s="296"/>
      <c r="C46"/>
      <c r="D46"/>
      <c r="E46"/>
      <c r="F46"/>
      <c r="G46"/>
      <c r="H46"/>
    </row>
    <row r="47" spans="1:18" ht="26.25" customHeight="1">
      <c r="A47" s="6"/>
      <c r="B47" s="448" t="s">
        <v>627</v>
      </c>
      <c r="C47" s="444" t="s">
        <v>628</v>
      </c>
      <c r="D47" s="445"/>
      <c r="E47" s="431" t="s">
        <v>166</v>
      </c>
      <c r="F47" s="433"/>
      <c r="G47" s="448" t="s">
        <v>629</v>
      </c>
      <c r="H47" s="443" t="s">
        <v>630</v>
      </c>
      <c r="I47" s="443"/>
      <c r="J47" s="443"/>
      <c r="K47" s="443"/>
      <c r="L47" s="443"/>
      <c r="M47" s="443"/>
      <c r="N47" s="453" t="s">
        <v>222</v>
      </c>
      <c r="O47" s="453"/>
      <c r="P47" s="453"/>
      <c r="Q47" s="453"/>
      <c r="R47" s="300"/>
    </row>
    <row r="48" spans="1:18" ht="26.25" customHeight="1">
      <c r="A48" s="6"/>
      <c r="B48" s="449"/>
      <c r="C48" s="446"/>
      <c r="D48" s="447"/>
      <c r="E48" s="306" t="s">
        <v>167</v>
      </c>
      <c r="F48" s="306" t="s">
        <v>168</v>
      </c>
      <c r="G48" s="449"/>
      <c r="H48" s="443"/>
      <c r="I48" s="443"/>
      <c r="J48" s="443"/>
      <c r="K48" s="443"/>
      <c r="L48" s="443"/>
      <c r="M48" s="443"/>
      <c r="N48" s="453"/>
      <c r="O48" s="453"/>
      <c r="P48" s="453"/>
      <c r="Q48" s="453"/>
      <c r="R48" s="300"/>
    </row>
    <row r="49" spans="1:18" ht="18" customHeight="1">
      <c r="A49" s="6"/>
      <c r="B49" s="352" t="s">
        <v>652</v>
      </c>
      <c r="C49" s="441" t="s">
        <v>653</v>
      </c>
      <c r="D49" s="442" t="s">
        <v>653</v>
      </c>
      <c r="E49" s="328">
        <v>43832</v>
      </c>
      <c r="F49" s="353">
        <v>44209</v>
      </c>
      <c r="G49" s="352" t="s">
        <v>654</v>
      </c>
      <c r="H49" s="437" t="s">
        <v>655</v>
      </c>
      <c r="I49" s="437" t="s">
        <v>655</v>
      </c>
      <c r="J49" s="437" t="s">
        <v>655</v>
      </c>
      <c r="K49" s="437" t="s">
        <v>655</v>
      </c>
      <c r="L49" s="437" t="s">
        <v>655</v>
      </c>
      <c r="M49" s="437" t="s">
        <v>655</v>
      </c>
      <c r="N49" s="437" t="s">
        <v>656</v>
      </c>
      <c r="O49" s="437" t="s">
        <v>656</v>
      </c>
      <c r="P49" s="437" t="s">
        <v>656</v>
      </c>
      <c r="Q49" s="437" t="s">
        <v>656</v>
      </c>
      <c r="R49" s="315"/>
    </row>
    <row r="50" spans="1:18" ht="18" customHeight="1">
      <c r="A50" s="6"/>
      <c r="B50" s="352" t="s">
        <v>661</v>
      </c>
      <c r="C50" s="441" t="s">
        <v>662</v>
      </c>
      <c r="D50" s="442" t="s">
        <v>662</v>
      </c>
      <c r="E50" s="328">
        <v>43832</v>
      </c>
      <c r="F50" s="353">
        <v>44209</v>
      </c>
      <c r="G50" s="352" t="s">
        <v>654</v>
      </c>
      <c r="H50" s="437" t="s">
        <v>655</v>
      </c>
      <c r="I50" s="437" t="s">
        <v>655</v>
      </c>
      <c r="J50" s="437" t="s">
        <v>655</v>
      </c>
      <c r="K50" s="437" t="s">
        <v>655</v>
      </c>
      <c r="L50" s="437" t="s">
        <v>655</v>
      </c>
      <c r="M50" s="437" t="s">
        <v>655</v>
      </c>
      <c r="N50" s="437" t="s">
        <v>656</v>
      </c>
      <c r="O50" s="437" t="s">
        <v>656</v>
      </c>
      <c r="P50" s="437" t="s">
        <v>656</v>
      </c>
      <c r="Q50" s="437" t="s">
        <v>656</v>
      </c>
      <c r="R50" s="315"/>
    </row>
    <row r="51" spans="1:18" ht="18" customHeight="1">
      <c r="A51" s="6"/>
      <c r="B51" s="352" t="s">
        <v>661</v>
      </c>
      <c r="C51" s="441" t="s">
        <v>662</v>
      </c>
      <c r="D51" s="442" t="s">
        <v>662</v>
      </c>
      <c r="E51" s="328">
        <v>43832</v>
      </c>
      <c r="F51" s="353">
        <v>44209</v>
      </c>
      <c r="G51" s="352" t="s">
        <v>654</v>
      </c>
      <c r="H51" s="437" t="s">
        <v>655</v>
      </c>
      <c r="I51" s="437" t="s">
        <v>655</v>
      </c>
      <c r="J51" s="437" t="s">
        <v>655</v>
      </c>
      <c r="K51" s="437" t="s">
        <v>655</v>
      </c>
      <c r="L51" s="437" t="s">
        <v>655</v>
      </c>
      <c r="M51" s="437" t="s">
        <v>655</v>
      </c>
      <c r="N51" s="437" t="s">
        <v>662</v>
      </c>
      <c r="O51" s="437" t="s">
        <v>662</v>
      </c>
      <c r="P51" s="437" t="s">
        <v>662</v>
      </c>
      <c r="Q51" s="437" t="s">
        <v>662</v>
      </c>
      <c r="R51" s="315"/>
    </row>
    <row r="52" spans="1:18" ht="18" customHeight="1">
      <c r="A52" s="6"/>
      <c r="B52" s="321"/>
      <c r="C52" s="441"/>
      <c r="D52" s="442"/>
      <c r="E52" s="297"/>
      <c r="F52" s="321"/>
      <c r="G52" s="321"/>
      <c r="H52" s="437"/>
      <c r="I52" s="437"/>
      <c r="J52" s="437"/>
      <c r="K52" s="437"/>
      <c r="L52" s="437"/>
      <c r="M52" s="437"/>
      <c r="N52" s="437"/>
      <c r="O52" s="437"/>
      <c r="P52" s="437"/>
      <c r="Q52" s="437"/>
      <c r="R52" s="315"/>
    </row>
    <row r="53" spans="1:18" ht="18" customHeight="1">
      <c r="A53" s="6"/>
      <c r="B53" s="321"/>
      <c r="C53" s="441"/>
      <c r="D53" s="442"/>
      <c r="E53" s="297"/>
      <c r="F53" s="321"/>
      <c r="G53" s="321"/>
      <c r="H53" s="437"/>
      <c r="I53" s="437"/>
      <c r="J53" s="437"/>
      <c r="K53" s="437"/>
      <c r="L53" s="437"/>
      <c r="M53" s="437"/>
      <c r="N53" s="437"/>
      <c r="O53" s="437"/>
      <c r="P53" s="437"/>
      <c r="Q53" s="437"/>
      <c r="R53" s="315"/>
    </row>
    <row r="54" spans="1:18" ht="18" customHeight="1">
      <c r="A54" s="6"/>
      <c r="B54" s="321"/>
      <c r="C54" s="441"/>
      <c r="D54" s="442"/>
      <c r="E54" s="297"/>
      <c r="F54" s="321"/>
      <c r="G54" s="321"/>
      <c r="H54" s="437"/>
      <c r="I54" s="437"/>
      <c r="J54" s="437"/>
      <c r="K54" s="437"/>
      <c r="L54" s="437"/>
      <c r="M54" s="437"/>
      <c r="N54" s="437"/>
      <c r="O54" s="437"/>
      <c r="P54" s="437"/>
      <c r="Q54" s="437"/>
      <c r="R54" s="315"/>
    </row>
    <row r="55" spans="1:18" ht="18" customHeight="1">
      <c r="A55" s="6"/>
      <c r="B55" s="321"/>
      <c r="C55" s="441"/>
      <c r="D55" s="442"/>
      <c r="E55" s="297"/>
      <c r="F55" s="321"/>
      <c r="G55" s="321"/>
      <c r="H55" s="437"/>
      <c r="I55" s="437"/>
      <c r="J55" s="437"/>
      <c r="K55" s="437"/>
      <c r="L55" s="437"/>
      <c r="M55" s="437"/>
      <c r="N55" s="437"/>
      <c r="O55" s="437"/>
      <c r="P55" s="437"/>
      <c r="Q55" s="437"/>
      <c r="R55" s="315"/>
    </row>
    <row r="56" spans="1:18" ht="18" customHeight="1">
      <c r="A56" s="6"/>
      <c r="B56" s="321"/>
      <c r="C56" s="441"/>
      <c r="D56" s="442"/>
      <c r="E56" s="297"/>
      <c r="F56" s="321"/>
      <c r="G56" s="321"/>
      <c r="H56" s="437"/>
      <c r="I56" s="437"/>
      <c r="J56" s="437"/>
      <c r="K56" s="437"/>
      <c r="L56" s="437"/>
      <c r="M56" s="437"/>
      <c r="N56" s="437"/>
      <c r="O56" s="437"/>
      <c r="P56" s="437"/>
      <c r="Q56" s="437"/>
      <c r="R56" s="315"/>
    </row>
    <row r="57" spans="1:18" ht="18" customHeight="1">
      <c r="A57" s="6"/>
      <c r="B57" s="321"/>
      <c r="C57" s="441"/>
      <c r="D57" s="442"/>
      <c r="E57" s="297"/>
      <c r="F57" s="321"/>
      <c r="G57" s="321"/>
      <c r="H57" s="437"/>
      <c r="I57" s="437"/>
      <c r="J57" s="437"/>
      <c r="K57" s="437"/>
      <c r="L57" s="437"/>
      <c r="M57" s="437"/>
      <c r="N57" s="437"/>
      <c r="O57" s="437"/>
      <c r="P57" s="437"/>
      <c r="Q57" s="437"/>
      <c r="R57" s="315"/>
    </row>
    <row r="58" spans="1:18" ht="18" customHeight="1">
      <c r="A58" s="6"/>
      <c r="B58" s="298"/>
      <c r="C58" s="441"/>
      <c r="D58" s="442"/>
      <c r="E58" s="298"/>
      <c r="F58" s="298"/>
      <c r="G58" s="298"/>
      <c r="H58" s="437"/>
      <c r="I58" s="437"/>
      <c r="J58" s="437"/>
      <c r="K58" s="437"/>
      <c r="L58" s="437"/>
      <c r="M58" s="437"/>
      <c r="N58" s="437"/>
      <c r="O58" s="437"/>
      <c r="P58" s="437"/>
      <c r="Q58" s="437"/>
      <c r="R58" s="316"/>
    </row>
    <row r="59" spans="1:18" ht="18" customHeight="1">
      <c r="A59" s="6"/>
      <c r="B59" s="216"/>
      <c r="C59" s="216"/>
      <c r="D59" s="134"/>
      <c r="E59" s="217"/>
      <c r="F59" s="217"/>
      <c r="G59" s="217"/>
    </row>
    <row r="60" spans="1:18" ht="18" customHeight="1">
      <c r="B60" s="62" t="s">
        <v>716</v>
      </c>
      <c r="C60" s="216"/>
      <c r="D60" s="134"/>
      <c r="E60" s="217"/>
      <c r="F60" s="217"/>
      <c r="G60" s="217"/>
    </row>
    <row r="61" spans="1:18" ht="102.75" customHeight="1">
      <c r="A61" s="329"/>
      <c r="B61" s="469" t="s">
        <v>718</v>
      </c>
      <c r="C61" s="469"/>
      <c r="D61" s="469"/>
      <c r="E61" s="469"/>
      <c r="F61" s="469"/>
      <c r="G61" s="469"/>
      <c r="H61" s="469"/>
      <c r="I61" s="469"/>
      <c r="J61" s="469"/>
      <c r="K61" s="469"/>
      <c r="L61" s="469"/>
      <c r="M61" s="469"/>
      <c r="N61" s="469"/>
      <c r="O61" s="469"/>
      <c r="P61" s="469"/>
      <c r="Q61" s="469"/>
    </row>
    <row r="62" spans="1:18" ht="18" customHeight="1">
      <c r="A62" s="6"/>
      <c r="B62" s="440" t="s">
        <v>600</v>
      </c>
      <c r="C62" s="440"/>
      <c r="D62" s="440"/>
      <c r="E62" s="440"/>
      <c r="F62" s="440"/>
      <c r="G62" s="440"/>
      <c r="H62" s="440"/>
      <c r="I62" s="440"/>
      <c r="J62" s="440"/>
      <c r="K62" s="440"/>
      <c r="L62" s="440"/>
      <c r="M62" s="440"/>
      <c r="N62" s="440"/>
      <c r="O62" s="440"/>
      <c r="P62" s="440"/>
      <c r="Q62" s="440"/>
      <c r="R62" s="309"/>
    </row>
    <row r="63" spans="1:18" ht="15" customHeight="1">
      <c r="B63" s="440"/>
      <c r="C63" s="440"/>
      <c r="D63" s="440"/>
      <c r="E63" s="440"/>
      <c r="F63" s="440"/>
      <c r="G63" s="440"/>
      <c r="H63" s="440"/>
      <c r="I63" s="440"/>
      <c r="J63" s="440"/>
      <c r="K63" s="440"/>
      <c r="L63" s="440"/>
      <c r="M63" s="440"/>
      <c r="N63" s="440"/>
      <c r="O63" s="440"/>
      <c r="P63" s="440"/>
      <c r="Q63" s="440"/>
      <c r="R63" s="309"/>
    </row>
    <row r="64" spans="1:18" ht="15.75">
      <c r="B64" s="452" t="s">
        <v>595</v>
      </c>
      <c r="C64" s="452"/>
      <c r="D64" s="452"/>
      <c r="E64" s="452"/>
      <c r="F64" s="452"/>
      <c r="G64" s="452"/>
      <c r="H64" s="452"/>
      <c r="I64" s="452"/>
      <c r="J64" s="452"/>
      <c r="K64" s="452"/>
      <c r="L64" s="452"/>
      <c r="M64" s="452"/>
      <c r="N64" s="452"/>
      <c r="O64" s="452"/>
      <c r="P64" s="452"/>
      <c r="Q64" s="452"/>
      <c r="R64" s="317"/>
    </row>
    <row r="65" spans="1:18" ht="52.5" customHeight="1">
      <c r="A65" s="300"/>
      <c r="B65" s="299" t="s">
        <v>596</v>
      </c>
      <c r="C65" s="453" t="s">
        <v>597</v>
      </c>
      <c r="D65" s="453"/>
      <c r="E65" s="299" t="s">
        <v>598</v>
      </c>
      <c r="F65" s="431" t="s">
        <v>599</v>
      </c>
      <c r="G65" s="432"/>
      <c r="H65" s="432"/>
      <c r="I65" s="432"/>
      <c r="J65" s="432"/>
      <c r="K65" s="432"/>
      <c r="L65" s="432"/>
      <c r="M65" s="432"/>
      <c r="N65" s="432"/>
      <c r="O65" s="432"/>
      <c r="P65" s="432"/>
      <c r="Q65" s="433"/>
      <c r="R65" s="6"/>
    </row>
    <row r="66" spans="1:18" ht="18.75" customHeight="1">
      <c r="A66" s="301"/>
      <c r="B66" s="346" t="s">
        <v>686</v>
      </c>
      <c r="C66" s="450" t="s">
        <v>663</v>
      </c>
      <c r="D66" s="451" t="s">
        <v>663</v>
      </c>
      <c r="E66" s="346">
        <v>1999</v>
      </c>
      <c r="F66" s="434" t="s">
        <v>687</v>
      </c>
      <c r="G66" s="435" t="s">
        <v>687</v>
      </c>
      <c r="H66" s="435" t="s">
        <v>687</v>
      </c>
      <c r="I66" s="435" t="s">
        <v>687</v>
      </c>
      <c r="J66" s="435" t="s">
        <v>687</v>
      </c>
      <c r="K66" s="435" t="s">
        <v>687</v>
      </c>
      <c r="L66" s="435" t="s">
        <v>687</v>
      </c>
      <c r="M66" s="435" t="s">
        <v>687</v>
      </c>
      <c r="N66" s="435" t="s">
        <v>687</v>
      </c>
      <c r="O66" s="435" t="s">
        <v>687</v>
      </c>
      <c r="P66" s="435" t="s">
        <v>687</v>
      </c>
      <c r="Q66" s="436" t="s">
        <v>687</v>
      </c>
      <c r="R66" s="6"/>
    </row>
    <row r="67" spans="1:18" ht="18.75" customHeight="1">
      <c r="A67" s="302"/>
      <c r="B67" s="346" t="s">
        <v>688</v>
      </c>
      <c r="C67" s="450" t="s">
        <v>689</v>
      </c>
      <c r="D67" s="451" t="s">
        <v>689</v>
      </c>
      <c r="E67" s="346">
        <v>1989</v>
      </c>
      <c r="F67" s="434" t="s">
        <v>690</v>
      </c>
      <c r="G67" s="435" t="s">
        <v>690</v>
      </c>
      <c r="H67" s="435" t="s">
        <v>690</v>
      </c>
      <c r="I67" s="435" t="s">
        <v>690</v>
      </c>
      <c r="J67" s="435" t="s">
        <v>690</v>
      </c>
      <c r="K67" s="435" t="s">
        <v>690</v>
      </c>
      <c r="L67" s="435" t="s">
        <v>690</v>
      </c>
      <c r="M67" s="435" t="s">
        <v>690</v>
      </c>
      <c r="N67" s="435" t="s">
        <v>690</v>
      </c>
      <c r="O67" s="435" t="s">
        <v>690</v>
      </c>
      <c r="P67" s="435" t="s">
        <v>690</v>
      </c>
      <c r="Q67" s="436" t="s">
        <v>690</v>
      </c>
      <c r="R67" s="6"/>
    </row>
    <row r="68" spans="1:18" ht="18.75" customHeight="1">
      <c r="A68" s="302"/>
      <c r="B68" s="346" t="s">
        <v>692</v>
      </c>
      <c r="C68" s="450" t="s">
        <v>691</v>
      </c>
      <c r="D68" s="451" t="s">
        <v>691</v>
      </c>
      <c r="E68" s="346">
        <v>1989</v>
      </c>
      <c r="F68" s="434" t="s">
        <v>690</v>
      </c>
      <c r="G68" s="435" t="s">
        <v>690</v>
      </c>
      <c r="H68" s="435" t="s">
        <v>690</v>
      </c>
      <c r="I68" s="435" t="s">
        <v>690</v>
      </c>
      <c r="J68" s="435" t="s">
        <v>690</v>
      </c>
      <c r="K68" s="435" t="s">
        <v>690</v>
      </c>
      <c r="L68" s="435" t="s">
        <v>690</v>
      </c>
      <c r="M68" s="435" t="s">
        <v>690</v>
      </c>
      <c r="N68" s="435" t="s">
        <v>690</v>
      </c>
      <c r="O68" s="435" t="s">
        <v>690</v>
      </c>
      <c r="P68" s="435" t="s">
        <v>690</v>
      </c>
      <c r="Q68" s="436" t="s">
        <v>690</v>
      </c>
      <c r="R68" s="6"/>
    </row>
    <row r="69" spans="1:18" ht="18.75" customHeight="1">
      <c r="A69" s="302"/>
      <c r="B69" s="346" t="s">
        <v>686</v>
      </c>
      <c r="C69" s="450" t="s">
        <v>693</v>
      </c>
      <c r="D69" s="451" t="s">
        <v>693</v>
      </c>
      <c r="E69" s="346">
        <v>1995</v>
      </c>
      <c r="F69" s="434" t="s">
        <v>694</v>
      </c>
      <c r="G69" s="435" t="s">
        <v>694</v>
      </c>
      <c r="H69" s="435" t="s">
        <v>694</v>
      </c>
      <c r="I69" s="435" t="s">
        <v>694</v>
      </c>
      <c r="J69" s="435" t="s">
        <v>694</v>
      </c>
      <c r="K69" s="435" t="s">
        <v>694</v>
      </c>
      <c r="L69" s="435" t="s">
        <v>694</v>
      </c>
      <c r="M69" s="435" t="s">
        <v>694</v>
      </c>
      <c r="N69" s="435" t="s">
        <v>694</v>
      </c>
      <c r="O69" s="435" t="s">
        <v>694</v>
      </c>
      <c r="P69" s="435" t="s">
        <v>694</v>
      </c>
      <c r="Q69" s="436" t="s">
        <v>694</v>
      </c>
      <c r="R69" s="6"/>
    </row>
    <row r="70" spans="1:18" ht="18.75" customHeight="1">
      <c r="A70" s="302"/>
      <c r="B70" s="346"/>
      <c r="C70" s="450"/>
      <c r="D70" s="451"/>
      <c r="E70" s="346"/>
      <c r="F70" s="434"/>
      <c r="G70" s="435"/>
      <c r="H70" s="435"/>
      <c r="I70" s="435"/>
      <c r="J70" s="435"/>
      <c r="K70" s="435"/>
      <c r="L70" s="435"/>
      <c r="M70" s="435"/>
      <c r="N70" s="435"/>
      <c r="O70" s="435"/>
      <c r="P70" s="435"/>
      <c r="Q70" s="436"/>
      <c r="R70" s="6"/>
    </row>
    <row r="71" spans="1:18" ht="18.75" customHeight="1">
      <c r="A71" s="302"/>
      <c r="B71" s="346"/>
      <c r="C71" s="450"/>
      <c r="D71" s="451"/>
      <c r="E71" s="346"/>
      <c r="F71" s="434"/>
      <c r="G71" s="435"/>
      <c r="H71" s="435"/>
      <c r="I71" s="435"/>
      <c r="J71" s="435"/>
      <c r="K71" s="435"/>
      <c r="L71" s="435"/>
      <c r="M71" s="435"/>
      <c r="N71" s="435"/>
      <c r="O71" s="435"/>
      <c r="P71" s="435"/>
      <c r="Q71" s="436"/>
      <c r="R71" s="6"/>
    </row>
    <row r="72" spans="1:18" ht="18.75" customHeight="1">
      <c r="A72" s="302"/>
      <c r="B72" s="346"/>
      <c r="C72" s="450"/>
      <c r="D72" s="451"/>
      <c r="E72" s="346"/>
      <c r="F72" s="434"/>
      <c r="G72" s="435"/>
      <c r="H72" s="435"/>
      <c r="I72" s="435"/>
      <c r="J72" s="435"/>
      <c r="K72" s="435"/>
      <c r="L72" s="435"/>
      <c r="M72" s="435"/>
      <c r="N72" s="435"/>
      <c r="O72" s="435"/>
      <c r="P72" s="435"/>
      <c r="Q72" s="436"/>
      <c r="R72" s="6"/>
    </row>
    <row r="73" spans="1:18" ht="18.75" customHeight="1">
      <c r="A73" s="302"/>
      <c r="B73" s="346"/>
      <c r="C73" s="450"/>
      <c r="D73" s="451"/>
      <c r="E73" s="346"/>
      <c r="F73" s="434"/>
      <c r="G73" s="435"/>
      <c r="H73" s="435"/>
      <c r="I73" s="435"/>
      <c r="J73" s="435"/>
      <c r="K73" s="435"/>
      <c r="L73" s="435"/>
      <c r="M73" s="435"/>
      <c r="N73" s="435"/>
      <c r="O73" s="435"/>
      <c r="P73" s="435"/>
      <c r="Q73" s="436"/>
      <c r="R73" s="6"/>
    </row>
    <row r="74" spans="1:18">
      <c r="A74" s="6"/>
      <c r="B74" s="216"/>
      <c r="C74" s="216"/>
      <c r="D74" s="134"/>
      <c r="E74" s="217"/>
      <c r="F74" s="217"/>
      <c r="G74" s="217"/>
    </row>
    <row r="75" spans="1:18" ht="15.75">
      <c r="A75" s="6"/>
      <c r="B75" s="438" t="s">
        <v>609</v>
      </c>
      <c r="C75" s="438"/>
      <c r="D75" s="438"/>
      <c r="E75" s="438"/>
      <c r="F75" s="438"/>
      <c r="G75" s="438"/>
      <c r="H75" s="438"/>
      <c r="I75" s="438"/>
      <c r="J75" s="438"/>
      <c r="K75" s="438"/>
      <c r="L75" s="438"/>
      <c r="M75" s="438"/>
      <c r="N75" s="438"/>
      <c r="O75" s="438"/>
      <c r="P75" s="438"/>
      <c r="Q75" s="438"/>
      <c r="R75" s="308"/>
    </row>
    <row r="76" spans="1:18" ht="15">
      <c r="A76" s="6"/>
      <c r="B76" s="304"/>
      <c r="C76"/>
      <c r="D76"/>
      <c r="E76"/>
      <c r="F76"/>
      <c r="G76"/>
      <c r="H76"/>
      <c r="I76"/>
      <c r="J76"/>
      <c r="K76"/>
      <c r="L76"/>
      <c r="M76"/>
      <c r="N76"/>
      <c r="O76"/>
      <c r="P76"/>
      <c r="Q76"/>
      <c r="R76"/>
    </row>
    <row r="77" spans="1:18" ht="12.75" customHeight="1">
      <c r="A77" s="6"/>
      <c r="B77" s="455" t="s">
        <v>601</v>
      </c>
      <c r="C77" s="455" t="s">
        <v>602</v>
      </c>
      <c r="D77" s="455"/>
      <c r="E77" s="455"/>
      <c r="F77" s="455"/>
      <c r="G77" s="455" t="s">
        <v>603</v>
      </c>
      <c r="H77" s="455"/>
      <c r="I77" s="455"/>
      <c r="J77" s="455"/>
      <c r="K77" s="455"/>
      <c r="L77" s="455"/>
      <c r="M77" s="455"/>
      <c r="N77" s="455" t="s">
        <v>604</v>
      </c>
      <c r="O77" s="455"/>
      <c r="P77" s="455"/>
      <c r="Q77" s="455"/>
      <c r="R77" s="6"/>
    </row>
    <row r="78" spans="1:18" ht="51" customHeight="1">
      <c r="A78" s="6"/>
      <c r="B78" s="455"/>
      <c r="C78" s="307" t="s">
        <v>269</v>
      </c>
      <c r="D78" s="307" t="s">
        <v>605</v>
      </c>
      <c r="E78" s="307" t="s">
        <v>606</v>
      </c>
      <c r="F78" s="307" t="s">
        <v>136</v>
      </c>
      <c r="G78" s="459" t="s">
        <v>480</v>
      </c>
      <c r="H78" s="461"/>
      <c r="I78" s="459" t="s">
        <v>607</v>
      </c>
      <c r="J78" s="460"/>
      <c r="K78" s="460"/>
      <c r="L78" s="460"/>
      <c r="M78" s="461"/>
      <c r="N78" s="455"/>
      <c r="O78" s="455"/>
      <c r="P78" s="455"/>
      <c r="Q78" s="455"/>
      <c r="R78" s="6"/>
    </row>
    <row r="79" spans="1:18" ht="16.5">
      <c r="A79" s="6"/>
      <c r="B79" s="303"/>
      <c r="C79" s="303"/>
      <c r="D79" s="303"/>
      <c r="E79" s="303"/>
      <c r="F79" s="303"/>
      <c r="G79" s="459"/>
      <c r="H79" s="461"/>
      <c r="I79" s="459"/>
      <c r="J79" s="460"/>
      <c r="K79" s="460"/>
      <c r="L79" s="460"/>
      <c r="M79" s="461"/>
      <c r="N79" s="430"/>
      <c r="O79" s="430"/>
      <c r="P79" s="430"/>
      <c r="Q79" s="430"/>
      <c r="R79" s="6"/>
    </row>
    <row r="80" spans="1:18" ht="16.5">
      <c r="A80" s="6"/>
      <c r="B80" s="303"/>
      <c r="C80" s="303"/>
      <c r="D80" s="303"/>
      <c r="E80" s="303"/>
      <c r="F80" s="303"/>
      <c r="G80" s="459"/>
      <c r="H80" s="461"/>
      <c r="I80" s="459"/>
      <c r="J80" s="460"/>
      <c r="K80" s="460"/>
      <c r="L80" s="460"/>
      <c r="M80" s="461"/>
      <c r="N80" s="430"/>
      <c r="O80" s="430"/>
      <c r="P80" s="430"/>
      <c r="Q80" s="430"/>
      <c r="R80" s="6"/>
    </row>
    <row r="81" spans="1:18" ht="16.5">
      <c r="A81" s="6"/>
      <c r="B81" s="303"/>
      <c r="C81" s="303"/>
      <c r="D81" s="303"/>
      <c r="E81" s="303"/>
      <c r="F81" s="303"/>
      <c r="G81" s="459"/>
      <c r="H81" s="461"/>
      <c r="I81" s="459"/>
      <c r="J81" s="460"/>
      <c r="K81" s="460"/>
      <c r="L81" s="460"/>
      <c r="M81" s="461"/>
      <c r="N81" s="430"/>
      <c r="O81" s="430"/>
      <c r="P81" s="430"/>
      <c r="Q81" s="430"/>
      <c r="R81" s="6"/>
    </row>
    <row r="82" spans="1:18" ht="16.5">
      <c r="A82" s="6"/>
      <c r="B82" s="303"/>
      <c r="C82" s="303"/>
      <c r="D82" s="303"/>
      <c r="E82" s="303"/>
      <c r="F82" s="303"/>
      <c r="G82" s="459"/>
      <c r="H82" s="461"/>
      <c r="I82" s="459"/>
      <c r="J82" s="460"/>
      <c r="K82" s="460"/>
      <c r="L82" s="460"/>
      <c r="M82" s="461"/>
      <c r="N82" s="430"/>
      <c r="O82" s="430"/>
      <c r="P82" s="430"/>
      <c r="Q82" s="430"/>
      <c r="R82" s="6"/>
    </row>
    <row r="83" spans="1:18" ht="16.5">
      <c r="A83" s="6"/>
      <c r="B83" s="303"/>
      <c r="C83" s="303"/>
      <c r="D83" s="303"/>
      <c r="E83" s="303"/>
      <c r="F83" s="303"/>
      <c r="G83" s="459"/>
      <c r="H83" s="461"/>
      <c r="I83" s="459"/>
      <c r="J83" s="460"/>
      <c r="K83" s="460"/>
      <c r="L83" s="460"/>
      <c r="M83" s="461"/>
      <c r="N83" s="430"/>
      <c r="O83" s="430"/>
      <c r="P83" s="430"/>
      <c r="Q83" s="430"/>
      <c r="R83" s="6"/>
    </row>
    <row r="84" spans="1:18" ht="16.5">
      <c r="A84" s="6"/>
      <c r="B84" s="303"/>
      <c r="C84" s="303"/>
      <c r="D84" s="303"/>
      <c r="E84" s="303"/>
      <c r="F84" s="303"/>
      <c r="G84" s="459"/>
      <c r="H84" s="461"/>
      <c r="I84" s="459"/>
      <c r="J84" s="460"/>
      <c r="K84" s="460"/>
      <c r="L84" s="460"/>
      <c r="M84" s="461"/>
      <c r="N84" s="430"/>
      <c r="O84" s="430"/>
      <c r="P84" s="430"/>
      <c r="Q84" s="430"/>
      <c r="R84" s="6"/>
    </row>
    <row r="85" spans="1:18" ht="16.5">
      <c r="A85" s="6"/>
      <c r="B85" s="303"/>
      <c r="C85" s="303"/>
      <c r="D85" s="303"/>
      <c r="E85" s="303"/>
      <c r="F85" s="303"/>
      <c r="G85" s="459"/>
      <c r="H85" s="461"/>
      <c r="I85" s="459"/>
      <c r="J85" s="460"/>
      <c r="K85" s="460"/>
      <c r="L85" s="460"/>
      <c r="M85" s="461"/>
      <c r="N85" s="430"/>
      <c r="O85" s="430"/>
      <c r="P85" s="430"/>
      <c r="Q85" s="430"/>
      <c r="R85" s="6"/>
    </row>
    <row r="86" spans="1:18" ht="16.5">
      <c r="A86" s="6"/>
      <c r="B86" s="303"/>
      <c r="C86" s="303"/>
      <c r="D86" s="303"/>
      <c r="E86" s="303"/>
      <c r="F86" s="303"/>
      <c r="G86" s="459"/>
      <c r="H86" s="461"/>
      <c r="I86" s="459"/>
      <c r="J86" s="460"/>
      <c r="K86" s="460"/>
      <c r="L86" s="460"/>
      <c r="M86" s="461"/>
      <c r="N86" s="430"/>
      <c r="O86" s="430"/>
      <c r="P86" s="430"/>
      <c r="Q86" s="430"/>
      <c r="R86" s="6"/>
    </row>
    <row r="87" spans="1:18" ht="16.5">
      <c r="A87" s="6"/>
      <c r="B87" s="303"/>
      <c r="C87" s="303"/>
      <c r="D87" s="303"/>
      <c r="E87" s="303"/>
      <c r="F87" s="303"/>
      <c r="G87" s="459"/>
      <c r="H87" s="461"/>
      <c r="I87" s="459"/>
      <c r="J87" s="460"/>
      <c r="K87" s="460"/>
      <c r="L87" s="460"/>
      <c r="M87" s="461"/>
      <c r="N87" s="430"/>
      <c r="O87" s="430"/>
      <c r="P87" s="430"/>
      <c r="Q87" s="430"/>
      <c r="R87" s="6"/>
    </row>
    <row r="88" spans="1:18" ht="16.5">
      <c r="A88" s="6"/>
      <c r="B88" s="303"/>
      <c r="C88" s="303"/>
      <c r="D88" s="303"/>
      <c r="E88" s="303"/>
      <c r="F88" s="303"/>
      <c r="G88" s="459"/>
      <c r="H88" s="461"/>
      <c r="I88" s="459"/>
      <c r="J88" s="460"/>
      <c r="K88" s="460"/>
      <c r="L88" s="460"/>
      <c r="M88" s="461"/>
      <c r="N88" s="430"/>
      <c r="O88" s="430"/>
      <c r="P88" s="430"/>
      <c r="Q88" s="430"/>
      <c r="R88" s="6"/>
    </row>
    <row r="89" spans="1:18" ht="16.5">
      <c r="A89" s="6"/>
      <c r="B89" s="303"/>
      <c r="C89" s="303"/>
      <c r="D89" s="303"/>
      <c r="E89" s="303"/>
      <c r="F89" s="303"/>
      <c r="G89" s="459"/>
      <c r="H89" s="461"/>
      <c r="I89" s="459"/>
      <c r="J89" s="460"/>
      <c r="K89" s="460"/>
      <c r="L89" s="460"/>
      <c r="M89" s="461"/>
      <c r="N89" s="430"/>
      <c r="O89" s="430"/>
      <c r="P89" s="430"/>
      <c r="Q89" s="430"/>
      <c r="R89" s="318"/>
    </row>
    <row r="90" spans="1:18" ht="33" customHeight="1">
      <c r="A90" s="6"/>
      <c r="B90" s="462" t="s">
        <v>608</v>
      </c>
      <c r="C90" s="462"/>
      <c r="D90" s="462"/>
      <c r="E90" s="462"/>
      <c r="F90" s="462"/>
      <c r="G90" s="462"/>
      <c r="H90" s="462"/>
      <c r="I90" s="462"/>
      <c r="J90" s="462"/>
      <c r="K90" s="462"/>
      <c r="L90" s="462"/>
      <c r="M90" s="462"/>
      <c r="N90" s="462"/>
      <c r="O90" s="462"/>
      <c r="P90" s="462"/>
      <c r="Q90" s="462"/>
      <c r="R90" s="463"/>
    </row>
    <row r="91" spans="1:18">
      <c r="A91" s="6"/>
      <c r="B91" s="216"/>
      <c r="C91" s="216"/>
      <c r="D91" s="134"/>
      <c r="E91" s="217"/>
      <c r="F91" s="467" t="s">
        <v>636</v>
      </c>
      <c r="G91" s="467"/>
      <c r="H91" s="467"/>
      <c r="I91" s="467"/>
      <c r="J91" s="467"/>
      <c r="K91" s="467"/>
      <c r="L91" s="467"/>
      <c r="M91" s="467"/>
      <c r="N91" s="467"/>
      <c r="O91" s="467"/>
      <c r="P91" s="467"/>
      <c r="Q91" s="467"/>
    </row>
    <row r="92" spans="1:18" ht="15" customHeight="1">
      <c r="A92" s="6"/>
      <c r="B92" s="465" t="s">
        <v>631</v>
      </c>
      <c r="C92" s="465"/>
      <c r="D92" s="470" t="s">
        <v>634</v>
      </c>
      <c r="E92" s="470"/>
      <c r="F92" s="470"/>
      <c r="G92" s="470"/>
      <c r="H92" s="423" t="s">
        <v>635</v>
      </c>
      <c r="I92" s="423"/>
      <c r="J92" s="423"/>
      <c r="K92" s="423"/>
      <c r="L92" s="423"/>
      <c r="M92" s="423"/>
      <c r="N92" s="423"/>
      <c r="O92" s="423"/>
      <c r="P92" s="423"/>
      <c r="Q92" s="423"/>
      <c r="R92" s="320"/>
    </row>
    <row r="93" spans="1:18" ht="13.5" customHeight="1">
      <c r="A93" s="6"/>
      <c r="B93" s="466" t="s">
        <v>632</v>
      </c>
      <c r="C93" s="466"/>
      <c r="D93" s="468" t="s">
        <v>669</v>
      </c>
      <c r="E93" s="468"/>
      <c r="F93" s="468"/>
      <c r="G93" s="468"/>
      <c r="H93" s="464" t="s">
        <v>639</v>
      </c>
      <c r="I93" s="464"/>
      <c r="J93" s="464"/>
      <c r="K93" s="464"/>
      <c r="L93" s="464"/>
      <c r="M93" s="464"/>
      <c r="N93" s="464"/>
      <c r="O93" s="464"/>
      <c r="P93" s="464"/>
      <c r="Q93" s="464"/>
    </row>
    <row r="94" spans="1:18" ht="13.5" customHeight="1">
      <c r="A94" s="6"/>
      <c r="B94" s="466"/>
      <c r="C94" s="466"/>
      <c r="D94" s="468" t="s">
        <v>669</v>
      </c>
      <c r="E94" s="468"/>
      <c r="F94" s="468"/>
      <c r="G94" s="468"/>
    </row>
    <row r="95" spans="1:18" ht="13.5" customHeight="1">
      <c r="A95" s="6"/>
      <c r="B95" s="457" t="s">
        <v>633</v>
      </c>
      <c r="C95" s="457"/>
      <c r="D95" s="457" t="s">
        <v>633</v>
      </c>
      <c r="E95" s="457"/>
      <c r="F95" s="457"/>
      <c r="G95" s="457"/>
    </row>
    <row r="96" spans="1:18" ht="15" customHeight="1">
      <c r="A96" s="6"/>
      <c r="B96" s="458" t="s">
        <v>637</v>
      </c>
      <c r="C96" s="458"/>
      <c r="D96" s="458" t="s">
        <v>638</v>
      </c>
      <c r="E96" s="458"/>
      <c r="F96" s="458"/>
      <c r="G96" s="458"/>
    </row>
    <row r="97" spans="1:7">
      <c r="A97" s="6"/>
      <c r="D97" s="134"/>
      <c r="E97" s="217"/>
      <c r="F97" s="217"/>
      <c r="G97" s="217"/>
    </row>
    <row r="98" spans="1:7">
      <c r="A98" s="6"/>
      <c r="C98" s="216"/>
      <c r="D98" s="134"/>
      <c r="E98" s="217"/>
      <c r="F98" s="217"/>
      <c r="G98" s="217"/>
    </row>
    <row r="99" spans="1:7">
      <c r="A99" s="6"/>
      <c r="B99" s="216"/>
      <c r="C99" s="216"/>
      <c r="D99" s="134"/>
      <c r="E99" s="217"/>
      <c r="F99" s="217"/>
      <c r="G99" s="217"/>
    </row>
    <row r="100" spans="1:7">
      <c r="A100" s="6"/>
      <c r="B100" s="216"/>
      <c r="C100" s="216"/>
      <c r="D100" s="134"/>
      <c r="E100" s="217"/>
      <c r="F100" s="217"/>
      <c r="G100" s="217"/>
    </row>
    <row r="101" spans="1:7">
      <c r="A101" s="6"/>
      <c r="B101" s="216"/>
      <c r="C101" s="216"/>
      <c r="D101" s="134"/>
      <c r="E101" s="217"/>
      <c r="F101" s="217"/>
      <c r="G101" s="217"/>
    </row>
    <row r="102" spans="1:7">
      <c r="A102" s="6"/>
      <c r="B102" s="216"/>
      <c r="C102" s="216"/>
      <c r="D102" s="134"/>
      <c r="E102" s="217"/>
      <c r="F102" s="217"/>
      <c r="G102" s="217"/>
    </row>
    <row r="103" spans="1:7">
      <c r="A103" s="6"/>
      <c r="B103" s="216"/>
      <c r="C103" s="216"/>
      <c r="D103" s="134"/>
      <c r="E103" s="217"/>
      <c r="F103" s="217"/>
      <c r="G103" s="217"/>
    </row>
    <row r="104" spans="1:7">
      <c r="A104" s="6"/>
      <c r="B104" s="216"/>
      <c r="C104" s="216"/>
      <c r="D104" s="134"/>
      <c r="E104" s="217"/>
      <c r="F104" s="217"/>
      <c r="G104" s="217"/>
    </row>
    <row r="105" spans="1:7">
      <c r="A105" s="6"/>
      <c r="B105" s="216"/>
      <c r="C105" s="216"/>
      <c r="D105" s="134"/>
      <c r="E105" s="217"/>
      <c r="F105" s="217"/>
      <c r="G105" s="217"/>
    </row>
    <row r="106" spans="1:7">
      <c r="A106" s="6"/>
      <c r="B106" s="216"/>
      <c r="C106" s="216"/>
      <c r="D106" s="134"/>
      <c r="E106" s="217"/>
      <c r="F106" s="217"/>
      <c r="G106" s="217"/>
    </row>
    <row r="107" spans="1:7">
      <c r="A107" s="6"/>
      <c r="B107" s="216"/>
      <c r="C107" s="216"/>
      <c r="D107" s="134"/>
      <c r="E107" s="217"/>
      <c r="F107" s="217"/>
      <c r="G107" s="217"/>
    </row>
    <row r="108" spans="1:7">
      <c r="A108" s="6"/>
      <c r="B108" s="216"/>
      <c r="C108" s="216"/>
      <c r="D108" s="134"/>
      <c r="E108" s="217"/>
      <c r="F108" s="217"/>
      <c r="G108" s="217"/>
    </row>
    <row r="109" spans="1:7">
      <c r="A109" s="6"/>
      <c r="B109" s="216"/>
      <c r="C109" s="216"/>
      <c r="D109" s="134"/>
      <c r="E109" s="217"/>
      <c r="F109" s="217"/>
      <c r="G109" s="217"/>
    </row>
    <row r="110" spans="1:7">
      <c r="A110" s="6"/>
      <c r="B110" s="216"/>
      <c r="C110" s="216"/>
      <c r="D110" s="134"/>
      <c r="E110" s="217"/>
      <c r="F110" s="217"/>
      <c r="G110" s="217"/>
    </row>
    <row r="111" spans="1:7">
      <c r="A111" s="6"/>
      <c r="B111" s="216"/>
      <c r="C111" s="216"/>
      <c r="D111" s="134"/>
      <c r="E111" s="217"/>
      <c r="F111" s="217"/>
      <c r="G111" s="217"/>
    </row>
    <row r="112" spans="1:7">
      <c r="A112" s="6"/>
      <c r="B112" s="216"/>
      <c r="C112" s="216"/>
      <c r="D112" s="134"/>
      <c r="E112" s="217"/>
      <c r="F112" s="217"/>
      <c r="G112" s="217"/>
    </row>
    <row r="113" spans="1:7">
      <c r="A113" s="6"/>
      <c r="B113" s="216"/>
      <c r="C113" s="216"/>
      <c r="D113" s="134"/>
      <c r="E113" s="217"/>
      <c r="F113" s="217"/>
      <c r="G113" s="217"/>
    </row>
    <row r="114" spans="1:7">
      <c r="A114" s="6"/>
      <c r="B114" s="216"/>
      <c r="C114" s="216"/>
      <c r="D114" s="134"/>
      <c r="E114" s="217"/>
      <c r="F114" s="217"/>
      <c r="G114" s="217"/>
    </row>
    <row r="115" spans="1:7">
      <c r="A115" s="6"/>
      <c r="B115" s="216"/>
      <c r="C115" s="216"/>
      <c r="D115" s="134"/>
      <c r="E115" s="217"/>
      <c r="F115" s="217"/>
      <c r="G115" s="217"/>
    </row>
    <row r="116" spans="1:7">
      <c r="A116" s="6"/>
      <c r="B116" s="216"/>
      <c r="C116" s="216"/>
      <c r="D116" s="134"/>
      <c r="E116" s="217"/>
      <c r="F116" s="217"/>
      <c r="G116" s="217"/>
    </row>
    <row r="117" spans="1:7">
      <c r="A117" s="6"/>
      <c r="B117" s="216"/>
      <c r="C117" s="216"/>
      <c r="D117" s="134"/>
      <c r="E117" s="217"/>
      <c r="F117" s="217"/>
      <c r="G117" s="217"/>
    </row>
    <row r="118" spans="1:7">
      <c r="A118" s="6"/>
      <c r="B118" s="216"/>
      <c r="C118" s="216"/>
      <c r="D118" s="134"/>
      <c r="E118" s="217"/>
      <c r="F118" s="217"/>
      <c r="G118" s="217"/>
    </row>
    <row r="119" spans="1:7">
      <c r="A119" s="6"/>
      <c r="B119" s="216"/>
      <c r="C119" s="216"/>
      <c r="D119" s="134"/>
      <c r="E119" s="217"/>
      <c r="F119" s="217"/>
      <c r="G119" s="217"/>
    </row>
    <row r="120" spans="1:7">
      <c r="A120" s="6"/>
      <c r="B120" s="216"/>
      <c r="C120" s="216"/>
      <c r="D120" s="134"/>
      <c r="E120" s="217"/>
      <c r="F120" s="217"/>
      <c r="G120" s="217"/>
    </row>
    <row r="121" spans="1:7">
      <c r="A121" s="6"/>
      <c r="B121" s="216"/>
      <c r="C121" s="216"/>
      <c r="D121" s="134"/>
      <c r="E121" s="217"/>
      <c r="F121" s="217"/>
      <c r="G121" s="217"/>
    </row>
    <row r="122" spans="1:7">
      <c r="A122" s="6"/>
      <c r="B122" s="216"/>
      <c r="C122" s="216"/>
      <c r="D122" s="134"/>
      <c r="E122" s="217"/>
      <c r="F122" s="217"/>
      <c r="G122" s="217"/>
    </row>
    <row r="123" spans="1:7">
      <c r="A123" s="6"/>
      <c r="B123" s="216"/>
      <c r="C123" s="216"/>
      <c r="D123" s="134"/>
      <c r="E123" s="217"/>
      <c r="F123" s="217"/>
      <c r="G123" s="217"/>
    </row>
    <row r="124" spans="1:7">
      <c r="A124" s="6"/>
      <c r="B124" s="216"/>
      <c r="C124" s="216"/>
      <c r="D124" s="134"/>
      <c r="E124" s="217"/>
      <c r="F124" s="217"/>
      <c r="G124" s="217"/>
    </row>
    <row r="125" spans="1:7">
      <c r="A125" s="6"/>
      <c r="B125" s="216"/>
      <c r="C125" s="216"/>
      <c r="D125" s="134"/>
      <c r="E125" s="217"/>
      <c r="F125" s="217"/>
      <c r="G125" s="217"/>
    </row>
    <row r="126" spans="1:7">
      <c r="A126" s="6"/>
      <c r="B126" s="216"/>
      <c r="C126" s="216"/>
      <c r="D126" s="134"/>
      <c r="E126" s="217"/>
      <c r="F126" s="217"/>
      <c r="G126" s="217"/>
    </row>
    <row r="127" spans="1:7">
      <c r="A127" s="6"/>
      <c r="B127" s="216"/>
      <c r="C127" s="216"/>
      <c r="D127" s="134"/>
      <c r="E127" s="217"/>
      <c r="F127" s="217"/>
      <c r="G127" s="217"/>
    </row>
    <row r="128" spans="1:7">
      <c r="A128" s="6"/>
      <c r="B128" s="216"/>
      <c r="C128" s="216"/>
      <c r="D128" s="134"/>
      <c r="E128" s="217"/>
      <c r="F128" s="217"/>
      <c r="G128" s="217"/>
    </row>
    <row r="129" spans="1:7">
      <c r="A129" s="6"/>
      <c r="B129" s="216"/>
      <c r="C129" s="216"/>
      <c r="D129" s="134"/>
      <c r="E129" s="217"/>
      <c r="F129" s="217"/>
      <c r="G129" s="217"/>
    </row>
    <row r="130" spans="1:7">
      <c r="A130" s="6"/>
      <c r="B130" s="216"/>
      <c r="C130" s="216"/>
      <c r="D130" s="134"/>
      <c r="E130" s="217"/>
      <c r="F130" s="217"/>
      <c r="G130" s="217"/>
    </row>
    <row r="131" spans="1:7">
      <c r="A131" s="6"/>
      <c r="B131" s="216"/>
      <c r="C131" s="216"/>
      <c r="D131" s="134"/>
      <c r="E131" s="217"/>
      <c r="F131" s="217"/>
      <c r="G131" s="217"/>
    </row>
    <row r="132" spans="1:7">
      <c r="A132" s="6"/>
      <c r="B132" s="216"/>
      <c r="C132" s="216"/>
      <c r="D132" s="134"/>
      <c r="E132" s="217"/>
      <c r="F132" s="217"/>
      <c r="G132" s="217"/>
    </row>
    <row r="133" spans="1:7">
      <c r="A133" s="6"/>
      <c r="B133" s="216"/>
      <c r="C133" s="216"/>
      <c r="D133" s="134"/>
      <c r="E133" s="217"/>
      <c r="F133" s="217"/>
      <c r="G133" s="217"/>
    </row>
    <row r="134" spans="1:7">
      <c r="A134" s="6"/>
      <c r="B134" s="216"/>
      <c r="C134" s="216"/>
      <c r="D134" s="134"/>
      <c r="E134" s="217"/>
      <c r="F134" s="217"/>
      <c r="G134" s="217"/>
    </row>
    <row r="135" spans="1:7">
      <c r="A135" s="6"/>
      <c r="B135" s="216"/>
      <c r="C135" s="216"/>
      <c r="D135" s="134"/>
      <c r="E135" s="217"/>
      <c r="F135" s="217"/>
      <c r="G135" s="217"/>
    </row>
    <row r="136" spans="1:7">
      <c r="A136" s="6"/>
      <c r="B136" s="216"/>
      <c r="C136" s="216"/>
      <c r="D136" s="134"/>
      <c r="E136" s="217"/>
      <c r="F136" s="217"/>
      <c r="G136" s="217"/>
    </row>
    <row r="137" spans="1:7">
      <c r="A137" s="6"/>
      <c r="B137" s="216"/>
      <c r="C137" s="216"/>
      <c r="D137" s="134"/>
      <c r="E137" s="217"/>
      <c r="F137" s="217"/>
      <c r="G137" s="217"/>
    </row>
    <row r="138" spans="1:7">
      <c r="A138" s="6"/>
      <c r="B138" s="216"/>
      <c r="C138" s="216"/>
      <c r="D138" s="134"/>
      <c r="E138" s="217"/>
      <c r="F138" s="217"/>
      <c r="G138" s="217"/>
    </row>
    <row r="139" spans="1:7">
      <c r="A139" s="6"/>
      <c r="B139" s="216"/>
      <c r="C139" s="216"/>
      <c r="D139" s="134"/>
      <c r="E139" s="217"/>
      <c r="F139" s="217"/>
      <c r="G139" s="217"/>
    </row>
    <row r="140" spans="1:7">
      <c r="A140" s="6"/>
      <c r="B140" s="216"/>
      <c r="C140" s="216"/>
      <c r="D140" s="134"/>
      <c r="E140" s="217"/>
      <c r="F140" s="217"/>
      <c r="G140" s="217"/>
    </row>
    <row r="141" spans="1:7">
      <c r="A141" s="6"/>
      <c r="B141" s="216"/>
      <c r="C141" s="216"/>
      <c r="D141" s="134"/>
      <c r="E141" s="217"/>
      <c r="F141" s="217"/>
      <c r="G141" s="217"/>
    </row>
    <row r="142" spans="1:7">
      <c r="A142" s="6"/>
      <c r="B142" s="216"/>
      <c r="C142" s="216"/>
      <c r="D142" s="134"/>
      <c r="E142" s="217"/>
      <c r="F142" s="217"/>
      <c r="G142" s="217"/>
    </row>
    <row r="143" spans="1:7">
      <c r="A143" s="6"/>
      <c r="B143" s="216"/>
      <c r="C143" s="216"/>
      <c r="D143" s="134"/>
      <c r="E143" s="217"/>
      <c r="F143" s="217"/>
      <c r="G143" s="217"/>
    </row>
    <row r="144" spans="1:7">
      <c r="A144" s="6"/>
      <c r="B144" s="216"/>
      <c r="C144" s="216"/>
      <c r="D144" s="134"/>
      <c r="E144" s="217"/>
      <c r="F144" s="217"/>
      <c r="G144" s="217"/>
    </row>
    <row r="145" spans="1:7">
      <c r="A145" s="6"/>
      <c r="B145" s="216"/>
      <c r="C145" s="216"/>
      <c r="D145" s="134"/>
      <c r="E145" s="217"/>
      <c r="F145" s="217"/>
      <c r="G145" s="217"/>
    </row>
    <row r="146" spans="1:7">
      <c r="A146" s="6"/>
      <c r="B146" s="216"/>
      <c r="C146" s="216"/>
      <c r="D146" s="134"/>
      <c r="E146" s="217"/>
      <c r="F146" s="217"/>
      <c r="G146" s="217"/>
    </row>
    <row r="147" spans="1:7">
      <c r="A147" s="6"/>
      <c r="B147" s="216"/>
      <c r="C147" s="216"/>
      <c r="D147" s="134"/>
      <c r="E147" s="217"/>
      <c r="F147" s="217"/>
      <c r="G147" s="217"/>
    </row>
    <row r="148" spans="1:7">
      <c r="A148" s="6"/>
      <c r="B148" s="216"/>
      <c r="C148" s="216"/>
      <c r="D148" s="134"/>
      <c r="E148" s="217"/>
      <c r="F148" s="217"/>
      <c r="G148" s="217"/>
    </row>
    <row r="149" spans="1:7">
      <c r="A149" s="6"/>
      <c r="B149" s="216"/>
      <c r="C149" s="216"/>
      <c r="D149" s="134"/>
      <c r="E149" s="217"/>
      <c r="F149" s="217"/>
      <c r="G149" s="217"/>
    </row>
    <row r="150" spans="1:7">
      <c r="A150" s="6"/>
      <c r="B150" s="216"/>
      <c r="C150" s="216"/>
      <c r="D150" s="134"/>
      <c r="E150" s="217"/>
      <c r="F150" s="217"/>
      <c r="G150" s="217"/>
    </row>
    <row r="151" spans="1:7">
      <c r="A151" s="6"/>
      <c r="B151" s="216"/>
      <c r="C151" s="216"/>
      <c r="D151" s="134"/>
      <c r="E151" s="217"/>
      <c r="F151" s="217"/>
      <c r="G151" s="217"/>
    </row>
    <row r="152" spans="1:7">
      <c r="A152" s="6"/>
      <c r="B152" s="216"/>
      <c r="C152" s="216"/>
      <c r="D152" s="134"/>
      <c r="E152" s="217"/>
      <c r="F152" s="217"/>
      <c r="G152" s="217"/>
    </row>
    <row r="153" spans="1:7">
      <c r="A153" s="6"/>
      <c r="B153" s="216"/>
      <c r="C153" s="216"/>
      <c r="D153" s="134"/>
      <c r="E153" s="217"/>
      <c r="F153" s="217"/>
      <c r="G153" s="217"/>
    </row>
    <row r="154" spans="1:7">
      <c r="A154" s="6"/>
      <c r="B154" s="216"/>
      <c r="C154" s="216"/>
      <c r="D154" s="134"/>
      <c r="E154" s="217"/>
      <c r="F154" s="217"/>
      <c r="G154" s="217"/>
    </row>
    <row r="155" spans="1:7">
      <c r="A155" s="6"/>
      <c r="B155" s="216"/>
      <c r="C155" s="216"/>
      <c r="D155" s="134"/>
      <c r="E155" s="217"/>
      <c r="F155" s="217"/>
      <c r="G155" s="217"/>
    </row>
    <row r="156" spans="1:7">
      <c r="A156" s="6"/>
      <c r="B156" s="216"/>
      <c r="C156" s="216"/>
      <c r="D156" s="134"/>
      <c r="E156" s="217"/>
      <c r="F156" s="217"/>
      <c r="G156" s="217"/>
    </row>
    <row r="157" spans="1:7">
      <c r="A157" s="6"/>
      <c r="B157" s="216"/>
      <c r="C157" s="216"/>
      <c r="D157" s="134"/>
      <c r="E157" s="217"/>
      <c r="F157" s="217"/>
      <c r="G157" s="217"/>
    </row>
    <row r="158" spans="1:7">
      <c r="A158" s="6"/>
      <c r="B158" s="216"/>
      <c r="C158" s="216"/>
      <c r="D158" s="134"/>
      <c r="E158" s="217"/>
      <c r="F158" s="217"/>
      <c r="G158" s="217"/>
    </row>
    <row r="159" spans="1:7">
      <c r="A159" s="6"/>
      <c r="B159" s="216"/>
      <c r="C159" s="216"/>
      <c r="D159" s="134"/>
      <c r="E159" s="217"/>
      <c r="F159" s="217"/>
      <c r="G159" s="217"/>
    </row>
    <row r="160" spans="1:7">
      <c r="A160" s="6"/>
      <c r="B160" s="216"/>
      <c r="C160" s="216"/>
      <c r="D160" s="134"/>
      <c r="E160" s="217"/>
      <c r="F160" s="217"/>
      <c r="G160" s="217"/>
    </row>
    <row r="161" spans="1:7">
      <c r="A161" s="6"/>
      <c r="B161" s="216"/>
      <c r="C161" s="216"/>
      <c r="D161" s="134"/>
      <c r="E161" s="217"/>
      <c r="F161" s="217"/>
      <c r="G161" s="217"/>
    </row>
    <row r="162" spans="1:7">
      <c r="A162" s="6"/>
      <c r="B162" s="216"/>
      <c r="C162" s="216"/>
      <c r="D162" s="134"/>
      <c r="E162" s="217"/>
      <c r="F162" s="217"/>
      <c r="G162" s="217"/>
    </row>
    <row r="163" spans="1:7">
      <c r="A163" s="6"/>
      <c r="B163" s="216"/>
      <c r="C163" s="216"/>
      <c r="D163" s="134"/>
      <c r="E163" s="217"/>
      <c r="F163" s="217"/>
      <c r="G163" s="217"/>
    </row>
    <row r="164" spans="1:7">
      <c r="A164" s="6"/>
      <c r="B164" s="216"/>
      <c r="C164" s="216"/>
      <c r="D164" s="134"/>
      <c r="E164" s="217"/>
      <c r="F164" s="217"/>
      <c r="G164" s="217"/>
    </row>
    <row r="165" spans="1:7">
      <c r="A165" s="6"/>
      <c r="B165" s="216"/>
      <c r="C165" s="216"/>
      <c r="D165" s="134"/>
      <c r="E165" s="217"/>
      <c r="F165" s="217"/>
      <c r="G165" s="217"/>
    </row>
    <row r="166" spans="1:7">
      <c r="A166" s="6"/>
      <c r="B166" s="216"/>
      <c r="C166" s="216"/>
      <c r="D166" s="134"/>
      <c r="E166" s="217"/>
      <c r="F166" s="217"/>
      <c r="G166" s="217"/>
    </row>
    <row r="167" spans="1:7">
      <c r="A167" s="6"/>
      <c r="B167" s="216"/>
      <c r="C167" s="216"/>
      <c r="D167" s="134"/>
      <c r="E167" s="217"/>
      <c r="F167" s="217"/>
      <c r="G167" s="217"/>
    </row>
    <row r="168" spans="1:7">
      <c r="A168" s="6"/>
      <c r="B168" s="216"/>
      <c r="C168" s="216"/>
      <c r="D168" s="134"/>
      <c r="E168" s="217"/>
      <c r="F168" s="217"/>
      <c r="G168" s="217"/>
    </row>
    <row r="169" spans="1:7">
      <c r="A169" s="6"/>
      <c r="B169" s="216"/>
      <c r="C169" s="216"/>
      <c r="D169" s="134"/>
      <c r="E169" s="217"/>
      <c r="F169" s="217"/>
      <c r="G169" s="217"/>
    </row>
    <row r="170" spans="1:7">
      <c r="A170" s="6"/>
      <c r="B170" s="216"/>
      <c r="C170" s="216"/>
      <c r="D170" s="134"/>
      <c r="E170" s="217"/>
      <c r="F170" s="217"/>
      <c r="G170" s="217"/>
    </row>
    <row r="171" spans="1:7">
      <c r="A171" s="6"/>
      <c r="B171" s="216"/>
      <c r="C171" s="216"/>
      <c r="D171" s="134"/>
      <c r="E171" s="217"/>
      <c r="F171" s="217"/>
      <c r="G171" s="217"/>
    </row>
    <row r="172" spans="1:7">
      <c r="A172" s="6"/>
      <c r="B172" s="216"/>
      <c r="C172" s="216"/>
      <c r="D172" s="134"/>
      <c r="E172" s="217"/>
      <c r="F172" s="217"/>
      <c r="G172" s="217"/>
    </row>
    <row r="173" spans="1:7">
      <c r="A173" s="6"/>
      <c r="B173" s="216"/>
      <c r="C173" s="216"/>
      <c r="D173" s="134"/>
      <c r="E173" s="217"/>
      <c r="F173" s="217"/>
      <c r="G173" s="217"/>
    </row>
    <row r="174" spans="1:7">
      <c r="A174" s="6"/>
      <c r="B174" s="216"/>
      <c r="C174" s="216"/>
      <c r="D174" s="134"/>
      <c r="E174" s="217"/>
      <c r="F174" s="217"/>
      <c r="G174" s="217"/>
    </row>
    <row r="175" spans="1:7">
      <c r="A175" s="6"/>
      <c r="B175" s="216"/>
      <c r="C175" s="216"/>
      <c r="D175" s="134"/>
      <c r="E175" s="217"/>
      <c r="F175" s="217"/>
      <c r="G175" s="217"/>
    </row>
    <row r="176" spans="1:7">
      <c r="A176" s="6"/>
      <c r="B176" s="216"/>
      <c r="C176" s="216"/>
      <c r="D176" s="134"/>
      <c r="E176" s="217"/>
      <c r="F176" s="217"/>
      <c r="G176" s="217"/>
    </row>
    <row r="177" spans="1:7">
      <c r="A177" s="6"/>
      <c r="B177" s="216"/>
      <c r="C177" s="216"/>
      <c r="D177" s="134"/>
      <c r="E177" s="217"/>
      <c r="F177" s="217"/>
      <c r="G177" s="217"/>
    </row>
    <row r="178" spans="1:7">
      <c r="A178" s="6"/>
      <c r="B178" s="216"/>
      <c r="C178" s="216"/>
      <c r="D178" s="134"/>
      <c r="E178" s="217"/>
      <c r="F178" s="217"/>
      <c r="G178" s="217"/>
    </row>
    <row r="179" spans="1:7">
      <c r="A179" s="6"/>
      <c r="B179" s="216"/>
      <c r="C179" s="216"/>
      <c r="D179" s="134"/>
      <c r="E179" s="217"/>
      <c r="F179" s="217"/>
      <c r="G179" s="217"/>
    </row>
    <row r="180" spans="1:7">
      <c r="A180" s="6"/>
      <c r="B180" s="216"/>
      <c r="C180" s="216"/>
      <c r="D180" s="134"/>
      <c r="E180" s="217"/>
      <c r="F180" s="217"/>
      <c r="G180" s="217"/>
    </row>
    <row r="181" spans="1:7">
      <c r="A181" s="6"/>
      <c r="B181" s="216"/>
      <c r="C181" s="216"/>
      <c r="D181" s="134"/>
      <c r="E181" s="217"/>
      <c r="F181" s="217"/>
      <c r="G181" s="217"/>
    </row>
    <row r="182" spans="1:7">
      <c r="A182" s="6"/>
      <c r="B182" s="216"/>
      <c r="C182" s="216"/>
      <c r="D182" s="134"/>
      <c r="E182" s="217"/>
      <c r="F182" s="217"/>
      <c r="G182" s="217"/>
    </row>
    <row r="183" spans="1:7">
      <c r="A183" s="6"/>
      <c r="B183" s="216"/>
      <c r="C183" s="216"/>
      <c r="D183" s="134"/>
      <c r="E183" s="217"/>
      <c r="F183" s="217"/>
      <c r="G183" s="217"/>
    </row>
    <row r="184" spans="1:7">
      <c r="A184" s="6"/>
      <c r="B184" s="216"/>
      <c r="C184" s="216"/>
      <c r="D184" s="134"/>
      <c r="E184" s="217"/>
      <c r="F184" s="217"/>
      <c r="G184" s="217"/>
    </row>
    <row r="185" spans="1:7">
      <c r="A185" s="6"/>
      <c r="B185" s="216"/>
      <c r="C185" s="216"/>
      <c r="D185" s="134"/>
      <c r="E185" s="217"/>
      <c r="F185" s="217"/>
      <c r="G185" s="217"/>
    </row>
    <row r="186" spans="1:7">
      <c r="A186" s="6"/>
      <c r="B186" s="216"/>
      <c r="C186" s="216"/>
      <c r="D186" s="134"/>
      <c r="E186" s="217"/>
      <c r="F186" s="217"/>
      <c r="G186" s="217"/>
    </row>
    <row r="187" spans="1:7">
      <c r="A187" s="6"/>
      <c r="B187" s="216"/>
      <c r="C187" s="216"/>
      <c r="D187" s="134"/>
      <c r="E187" s="217"/>
      <c r="F187" s="217"/>
      <c r="G187" s="217"/>
    </row>
    <row r="188" spans="1:7">
      <c r="A188" s="6"/>
      <c r="B188" s="216"/>
      <c r="C188" s="216"/>
      <c r="D188" s="134"/>
      <c r="E188" s="217"/>
      <c r="F188" s="217"/>
      <c r="G188" s="217"/>
    </row>
    <row r="189" spans="1:7">
      <c r="A189" s="6"/>
      <c r="B189" s="216"/>
      <c r="C189" s="216"/>
      <c r="D189" s="134"/>
      <c r="E189" s="217"/>
      <c r="F189" s="217"/>
      <c r="G189" s="217"/>
    </row>
    <row r="190" spans="1:7">
      <c r="A190" s="6"/>
      <c r="B190" s="216"/>
      <c r="C190" s="216"/>
      <c r="D190" s="134"/>
      <c r="E190" s="217"/>
      <c r="F190" s="217"/>
      <c r="G190" s="217"/>
    </row>
    <row r="191" spans="1:7">
      <c r="A191" s="6"/>
      <c r="B191" s="216"/>
      <c r="C191" s="216"/>
      <c r="D191" s="134"/>
      <c r="E191" s="217"/>
      <c r="F191" s="217"/>
      <c r="G191" s="217"/>
    </row>
    <row r="192" spans="1:7">
      <c r="A192" s="6"/>
      <c r="B192" s="216"/>
      <c r="C192" s="216"/>
      <c r="D192" s="134"/>
      <c r="E192" s="217"/>
      <c r="F192" s="217"/>
      <c r="G192" s="217"/>
    </row>
    <row r="193" spans="1:7">
      <c r="A193" s="6"/>
      <c r="B193" s="216"/>
      <c r="C193" s="216"/>
      <c r="D193" s="134"/>
      <c r="E193" s="217"/>
      <c r="F193" s="217"/>
      <c r="G193" s="217"/>
    </row>
    <row r="194" spans="1:7">
      <c r="A194" s="6"/>
      <c r="B194" s="216"/>
      <c r="C194" s="216"/>
      <c r="D194" s="134"/>
      <c r="E194" s="217"/>
      <c r="F194" s="217"/>
      <c r="G194" s="217"/>
    </row>
    <row r="195" spans="1:7">
      <c r="A195" s="6"/>
      <c r="B195" s="216"/>
      <c r="C195" s="216"/>
      <c r="D195" s="134"/>
      <c r="E195" s="217"/>
      <c r="F195" s="217"/>
      <c r="G195" s="217"/>
    </row>
    <row r="196" spans="1:7">
      <c r="A196" s="6"/>
      <c r="B196" s="216"/>
      <c r="C196" s="216"/>
      <c r="D196" s="134"/>
      <c r="E196" s="217"/>
      <c r="F196" s="217"/>
      <c r="G196" s="217"/>
    </row>
    <row r="197" spans="1:7">
      <c r="A197" s="6"/>
      <c r="B197" s="216"/>
      <c r="C197" s="216"/>
      <c r="D197" s="134"/>
      <c r="E197" s="217"/>
      <c r="F197" s="217"/>
      <c r="G197" s="217"/>
    </row>
    <row r="198" spans="1:7">
      <c r="A198" s="6"/>
      <c r="B198" s="216"/>
      <c r="C198" s="216"/>
      <c r="D198" s="134"/>
      <c r="E198" s="217"/>
      <c r="F198" s="217"/>
      <c r="G198" s="217"/>
    </row>
    <row r="199" spans="1:7">
      <c r="A199" s="6"/>
      <c r="B199" s="216"/>
      <c r="C199" s="216"/>
      <c r="D199" s="134"/>
      <c r="E199" s="217"/>
      <c r="F199" s="217"/>
      <c r="G199" s="217"/>
    </row>
    <row r="200" spans="1:7">
      <c r="A200" s="6"/>
      <c r="B200" s="216"/>
      <c r="C200" s="216"/>
      <c r="D200" s="134"/>
      <c r="E200" s="217"/>
      <c r="F200" s="217"/>
      <c r="G200" s="217"/>
    </row>
    <row r="201" spans="1:7">
      <c r="A201" s="6"/>
      <c r="B201" s="216"/>
      <c r="C201" s="216"/>
      <c r="D201" s="134"/>
      <c r="E201" s="217"/>
      <c r="F201" s="217"/>
      <c r="G201" s="217"/>
    </row>
    <row r="202" spans="1:7">
      <c r="A202" s="6"/>
      <c r="B202" s="216"/>
      <c r="C202" s="216"/>
      <c r="D202" s="134"/>
      <c r="E202" s="217"/>
      <c r="F202" s="217"/>
      <c r="G202" s="217"/>
    </row>
    <row r="203" spans="1:7">
      <c r="A203" s="6"/>
      <c r="B203" s="216"/>
      <c r="C203" s="216"/>
      <c r="D203" s="134"/>
      <c r="E203" s="217"/>
      <c r="F203" s="217"/>
      <c r="G203" s="217"/>
    </row>
    <row r="204" spans="1:7">
      <c r="A204" s="6"/>
      <c r="B204" s="216"/>
      <c r="C204" s="216"/>
      <c r="D204" s="134"/>
      <c r="E204" s="217"/>
      <c r="F204" s="217"/>
      <c r="G204" s="217"/>
    </row>
    <row r="205" spans="1:7">
      <c r="A205" s="6"/>
      <c r="B205" s="216"/>
      <c r="C205" s="216"/>
      <c r="D205" s="134"/>
      <c r="E205" s="217"/>
      <c r="F205" s="217"/>
      <c r="G205" s="217"/>
    </row>
    <row r="206" spans="1:7">
      <c r="A206" s="6"/>
      <c r="B206" s="216"/>
      <c r="C206" s="216"/>
      <c r="D206" s="134"/>
      <c r="E206" s="217"/>
      <c r="F206" s="217"/>
      <c r="G206" s="217"/>
    </row>
    <row r="207" spans="1:7">
      <c r="A207" s="6"/>
      <c r="B207" s="216"/>
      <c r="C207" s="216"/>
      <c r="D207" s="134"/>
      <c r="E207" s="217"/>
      <c r="F207" s="217"/>
      <c r="G207" s="217"/>
    </row>
    <row r="208" spans="1:7">
      <c r="A208" s="6"/>
      <c r="B208" s="216"/>
      <c r="C208" s="216"/>
      <c r="D208" s="134"/>
      <c r="E208" s="217"/>
      <c r="F208" s="217"/>
      <c r="G208" s="217"/>
    </row>
    <row r="209" spans="1:7">
      <c r="A209" s="6"/>
      <c r="B209" s="216"/>
      <c r="C209" s="216"/>
      <c r="D209" s="134"/>
      <c r="E209" s="217"/>
      <c r="F209" s="217"/>
      <c r="G209" s="217"/>
    </row>
    <row r="210" spans="1:7">
      <c r="A210" s="6"/>
      <c r="B210" s="216"/>
      <c r="C210" s="216"/>
      <c r="D210" s="134"/>
      <c r="E210" s="217"/>
      <c r="F210" s="217"/>
      <c r="G210" s="217"/>
    </row>
    <row r="211" spans="1:7">
      <c r="A211" s="6"/>
      <c r="B211" s="216"/>
      <c r="C211" s="216"/>
      <c r="D211" s="134"/>
      <c r="E211" s="217"/>
      <c r="F211" s="217"/>
      <c r="G211" s="217"/>
    </row>
    <row r="212" spans="1:7">
      <c r="A212" s="6"/>
      <c r="B212" s="216"/>
      <c r="C212" s="216"/>
      <c r="D212" s="134"/>
      <c r="E212" s="217"/>
      <c r="F212" s="217"/>
      <c r="G212" s="217"/>
    </row>
    <row r="213" spans="1:7">
      <c r="A213" s="6"/>
      <c r="B213" s="216"/>
      <c r="C213" s="216"/>
      <c r="D213" s="134"/>
      <c r="E213" s="217"/>
      <c r="F213" s="217"/>
      <c r="G213" s="217"/>
    </row>
    <row r="214" spans="1:7">
      <c r="A214" s="6"/>
      <c r="B214" s="216"/>
      <c r="C214" s="216"/>
      <c r="D214" s="134"/>
      <c r="E214" s="217"/>
      <c r="F214" s="217"/>
      <c r="G214" s="217"/>
    </row>
    <row r="215" spans="1:7">
      <c r="A215" s="6"/>
      <c r="B215" s="216"/>
      <c r="C215" s="216"/>
      <c r="D215" s="134"/>
      <c r="E215" s="217"/>
      <c r="F215" s="217"/>
      <c r="G215" s="217"/>
    </row>
    <row r="216" spans="1:7">
      <c r="A216" s="6"/>
      <c r="B216" s="216"/>
      <c r="C216" s="216"/>
      <c r="D216" s="134"/>
      <c r="E216" s="217"/>
      <c r="F216" s="217"/>
      <c r="G216" s="217"/>
    </row>
    <row r="217" spans="1:7">
      <c r="A217" s="6"/>
      <c r="B217" s="216"/>
      <c r="C217" s="216"/>
      <c r="D217" s="134"/>
      <c r="E217" s="217"/>
      <c r="F217" s="217"/>
      <c r="G217" s="217"/>
    </row>
    <row r="218" spans="1:7">
      <c r="A218" s="6"/>
      <c r="B218" s="216"/>
      <c r="C218" s="216"/>
      <c r="D218" s="134"/>
      <c r="E218" s="217"/>
      <c r="F218" s="217"/>
      <c r="G218" s="217"/>
    </row>
    <row r="219" spans="1:7">
      <c r="A219" s="6"/>
      <c r="B219" s="216"/>
      <c r="C219" s="216"/>
      <c r="D219" s="134"/>
      <c r="E219" s="217"/>
      <c r="F219" s="217"/>
      <c r="G219" s="217"/>
    </row>
    <row r="220" spans="1:7">
      <c r="A220" s="6"/>
      <c r="B220" s="216"/>
      <c r="C220" s="216"/>
      <c r="D220" s="134"/>
      <c r="E220" s="217"/>
      <c r="F220" s="217"/>
      <c r="G220" s="217"/>
    </row>
    <row r="221" spans="1:7">
      <c r="A221" s="6"/>
      <c r="B221" s="216"/>
      <c r="C221" s="216"/>
      <c r="D221" s="134"/>
      <c r="E221" s="217"/>
      <c r="F221" s="217"/>
      <c r="G221" s="217"/>
    </row>
    <row r="222" spans="1:7">
      <c r="A222" s="6"/>
      <c r="B222" s="216"/>
      <c r="C222" s="216"/>
      <c r="D222" s="134"/>
      <c r="E222" s="217"/>
      <c r="F222" s="217"/>
      <c r="G222" s="217"/>
    </row>
    <row r="223" spans="1:7">
      <c r="A223" s="6"/>
      <c r="B223" s="216"/>
      <c r="C223" s="216"/>
      <c r="D223" s="134"/>
      <c r="E223" s="217"/>
      <c r="F223" s="217"/>
      <c r="G223" s="217"/>
    </row>
    <row r="224" spans="1:7">
      <c r="A224" s="6"/>
      <c r="B224" s="216"/>
      <c r="C224" s="216"/>
      <c r="D224" s="134"/>
      <c r="E224" s="217"/>
      <c r="F224" s="217"/>
      <c r="G224" s="217"/>
    </row>
    <row r="225" spans="1:7">
      <c r="A225" s="6"/>
      <c r="B225" s="216"/>
      <c r="C225" s="216"/>
      <c r="D225" s="134"/>
      <c r="E225" s="217"/>
      <c r="F225" s="217"/>
      <c r="G225" s="217"/>
    </row>
    <row r="226" spans="1:7">
      <c r="A226" s="6"/>
      <c r="B226" s="216"/>
      <c r="C226" s="216"/>
      <c r="D226" s="134"/>
      <c r="E226" s="217"/>
      <c r="F226" s="217"/>
      <c r="G226" s="217"/>
    </row>
    <row r="227" spans="1:7">
      <c r="A227" s="6"/>
      <c r="B227" s="216"/>
      <c r="C227" s="216"/>
      <c r="D227" s="134"/>
      <c r="E227" s="217"/>
      <c r="F227" s="217"/>
      <c r="G227" s="217"/>
    </row>
    <row r="228" spans="1:7">
      <c r="A228" s="6"/>
      <c r="B228" s="216"/>
      <c r="C228" s="216"/>
      <c r="D228" s="134"/>
      <c r="E228" s="217"/>
      <c r="F228" s="217"/>
      <c r="G228" s="217"/>
    </row>
    <row r="229" spans="1:7">
      <c r="A229" s="6"/>
      <c r="B229" s="216"/>
      <c r="C229" s="216"/>
      <c r="D229" s="134"/>
      <c r="E229" s="217"/>
      <c r="F229" s="217"/>
      <c r="G229" s="217"/>
    </row>
    <row r="230" spans="1:7">
      <c r="A230" s="6"/>
      <c r="B230" s="216"/>
      <c r="C230" s="216"/>
      <c r="D230" s="134"/>
      <c r="E230" s="217"/>
      <c r="F230" s="217"/>
      <c r="G230" s="217"/>
    </row>
    <row r="231" spans="1:7">
      <c r="A231" s="6"/>
      <c r="B231" s="216"/>
      <c r="C231" s="216"/>
      <c r="D231" s="134"/>
      <c r="E231" s="217"/>
      <c r="F231" s="217"/>
      <c r="G231" s="217"/>
    </row>
    <row r="232" spans="1:7">
      <c r="A232" s="6"/>
      <c r="B232" s="216"/>
      <c r="C232" s="216"/>
      <c r="D232" s="134"/>
      <c r="E232" s="217"/>
      <c r="F232" s="217"/>
      <c r="G232" s="217"/>
    </row>
    <row r="233" spans="1:7">
      <c r="A233" s="6"/>
      <c r="B233" s="216"/>
      <c r="C233" s="216"/>
      <c r="D233" s="134"/>
      <c r="E233" s="217"/>
      <c r="F233" s="217"/>
      <c r="G233" s="217"/>
    </row>
    <row r="234" spans="1:7">
      <c r="A234" s="6"/>
      <c r="B234" s="216"/>
      <c r="C234" s="216"/>
      <c r="D234" s="134"/>
      <c r="E234" s="217"/>
      <c r="F234" s="217"/>
      <c r="G234" s="217"/>
    </row>
    <row r="235" spans="1:7">
      <c r="A235" s="6"/>
      <c r="B235" s="216"/>
      <c r="C235" s="216"/>
      <c r="D235" s="134"/>
      <c r="E235" s="217"/>
      <c r="F235" s="217"/>
      <c r="G235" s="217"/>
    </row>
    <row r="236" spans="1:7">
      <c r="A236" s="6"/>
      <c r="B236" s="216"/>
      <c r="C236" s="216"/>
      <c r="D236" s="134"/>
      <c r="E236" s="217"/>
      <c r="F236" s="217"/>
      <c r="G236" s="217"/>
    </row>
    <row r="237" spans="1:7">
      <c r="A237" s="6"/>
      <c r="B237" s="216"/>
      <c r="C237" s="216"/>
      <c r="D237" s="134"/>
      <c r="E237" s="217"/>
      <c r="F237" s="217"/>
      <c r="G237" s="217"/>
    </row>
    <row r="238" spans="1:7">
      <c r="A238" s="6"/>
      <c r="B238" s="216"/>
      <c r="C238" s="216"/>
      <c r="D238" s="134"/>
      <c r="E238" s="217"/>
      <c r="F238" s="217"/>
      <c r="G238" s="217"/>
    </row>
    <row r="239" spans="1:7">
      <c r="A239" s="6"/>
      <c r="B239" s="216"/>
      <c r="C239" s="216"/>
      <c r="D239" s="134"/>
      <c r="E239" s="217"/>
      <c r="F239" s="217"/>
      <c r="G239" s="217"/>
    </row>
    <row r="240" spans="1:7">
      <c r="A240" s="6"/>
      <c r="B240" s="216"/>
      <c r="C240" s="216"/>
      <c r="D240" s="134"/>
      <c r="E240" s="217"/>
      <c r="F240" s="217"/>
      <c r="G240" s="217"/>
    </row>
    <row r="241" spans="1:7">
      <c r="A241" s="6"/>
      <c r="B241" s="216"/>
      <c r="C241" s="216"/>
      <c r="D241" s="134"/>
      <c r="E241" s="217"/>
      <c r="F241" s="217"/>
      <c r="G241" s="217"/>
    </row>
    <row r="242" spans="1:7">
      <c r="A242" s="6"/>
      <c r="B242" s="216"/>
      <c r="C242" s="216"/>
      <c r="D242" s="134"/>
      <c r="E242" s="217"/>
      <c r="F242" s="217"/>
      <c r="G242" s="217"/>
    </row>
    <row r="243" spans="1:7">
      <c r="A243" s="6"/>
      <c r="B243" s="216"/>
      <c r="C243" s="216"/>
      <c r="D243" s="134"/>
      <c r="E243" s="217"/>
      <c r="F243" s="217"/>
      <c r="G243" s="217"/>
    </row>
    <row r="244" spans="1:7">
      <c r="A244" s="6"/>
      <c r="B244" s="216"/>
      <c r="C244" s="216"/>
      <c r="D244" s="134"/>
      <c r="E244" s="217"/>
      <c r="F244" s="217"/>
      <c r="G244" s="217"/>
    </row>
    <row r="245" spans="1:7">
      <c r="A245" s="6"/>
      <c r="B245" s="216"/>
      <c r="C245" s="216"/>
      <c r="D245" s="134"/>
      <c r="E245" s="217"/>
      <c r="F245" s="217"/>
      <c r="G245" s="217"/>
    </row>
    <row r="246" spans="1:7">
      <c r="A246" s="6"/>
      <c r="B246" s="216"/>
      <c r="C246" s="216"/>
      <c r="D246" s="134"/>
      <c r="E246" s="217"/>
      <c r="F246" s="217"/>
      <c r="G246" s="217"/>
    </row>
    <row r="247" spans="1:7">
      <c r="A247" s="6"/>
      <c r="B247" s="216"/>
      <c r="C247" s="216"/>
      <c r="D247" s="134"/>
      <c r="E247" s="217"/>
      <c r="F247" s="217"/>
      <c r="G247" s="217"/>
    </row>
    <row r="248" spans="1:7">
      <c r="A248" s="6"/>
      <c r="B248" s="216"/>
      <c r="C248" s="216"/>
      <c r="D248" s="134"/>
      <c r="E248" s="217"/>
      <c r="F248" s="217"/>
      <c r="G248" s="217"/>
    </row>
    <row r="249" spans="1:7">
      <c r="A249" s="6"/>
      <c r="B249" s="216"/>
      <c r="C249" s="216"/>
      <c r="D249" s="134"/>
      <c r="E249" s="217"/>
      <c r="F249" s="217"/>
      <c r="G249" s="217"/>
    </row>
    <row r="250" spans="1:7">
      <c r="A250" s="6"/>
      <c r="B250" s="216"/>
      <c r="C250" s="216"/>
      <c r="D250" s="134"/>
      <c r="E250" s="217"/>
      <c r="F250" s="217"/>
      <c r="G250" s="217"/>
    </row>
    <row r="251" spans="1:7">
      <c r="A251" s="6"/>
      <c r="B251" s="216"/>
      <c r="C251" s="216"/>
      <c r="D251" s="134"/>
      <c r="E251" s="217"/>
      <c r="F251" s="217"/>
      <c r="G251" s="217"/>
    </row>
    <row r="252" spans="1:7">
      <c r="A252" s="6"/>
      <c r="B252" s="216"/>
      <c r="C252" s="216"/>
      <c r="D252" s="134"/>
      <c r="E252" s="217"/>
      <c r="F252" s="217"/>
      <c r="G252" s="217"/>
    </row>
    <row r="253" spans="1:7">
      <c r="A253" s="6"/>
      <c r="B253" s="216"/>
      <c r="C253" s="216"/>
      <c r="D253" s="134"/>
      <c r="E253" s="217"/>
      <c r="F253" s="217"/>
      <c r="G253" s="217"/>
    </row>
    <row r="254" spans="1:7">
      <c r="A254" s="6"/>
      <c r="B254" s="216"/>
      <c r="C254" s="216"/>
      <c r="D254" s="134"/>
      <c r="E254" s="217"/>
      <c r="F254" s="217"/>
      <c r="G254" s="217"/>
    </row>
    <row r="255" spans="1:7">
      <c r="A255" s="6"/>
      <c r="B255" s="216"/>
      <c r="C255" s="216"/>
      <c r="D255" s="134"/>
      <c r="E255" s="217"/>
      <c r="F255" s="217"/>
      <c r="G255" s="217"/>
    </row>
    <row r="256" spans="1:7">
      <c r="A256" s="6"/>
      <c r="B256" s="216"/>
      <c r="C256" s="216"/>
      <c r="D256" s="134"/>
      <c r="E256" s="217"/>
      <c r="F256" s="217"/>
      <c r="G256" s="217"/>
    </row>
    <row r="257" spans="1:7">
      <c r="A257" s="6"/>
      <c r="B257" s="216"/>
      <c r="C257" s="216"/>
      <c r="D257" s="134"/>
      <c r="E257" s="217"/>
      <c r="F257" s="217"/>
      <c r="G257" s="217"/>
    </row>
    <row r="258" spans="1:7">
      <c r="A258" s="6"/>
      <c r="B258" s="216"/>
      <c r="C258" s="216"/>
      <c r="D258" s="134"/>
      <c r="E258" s="217"/>
      <c r="F258" s="217"/>
      <c r="G258" s="217"/>
    </row>
    <row r="259" spans="1:7">
      <c r="A259" s="6"/>
      <c r="B259" s="216"/>
      <c r="C259" s="216"/>
      <c r="D259" s="134"/>
      <c r="E259" s="217"/>
      <c r="F259" s="217"/>
      <c r="G259" s="217"/>
    </row>
    <row r="260" spans="1:7">
      <c r="A260" s="6"/>
      <c r="B260" s="216"/>
      <c r="C260" s="216"/>
      <c r="D260" s="134"/>
      <c r="E260" s="217"/>
      <c r="F260" s="217"/>
      <c r="G260" s="217"/>
    </row>
    <row r="261" spans="1:7">
      <c r="A261" s="6"/>
      <c r="B261" s="216"/>
      <c r="C261" s="216"/>
      <c r="D261" s="134"/>
      <c r="E261" s="217"/>
      <c r="F261" s="217"/>
      <c r="G261" s="217"/>
    </row>
    <row r="262" spans="1:7">
      <c r="A262" s="6"/>
      <c r="B262" s="216"/>
      <c r="C262" s="216"/>
      <c r="D262" s="134"/>
      <c r="E262" s="217"/>
      <c r="F262" s="217"/>
      <c r="G262" s="217"/>
    </row>
    <row r="263" spans="1:7">
      <c r="A263" s="6"/>
      <c r="B263" s="216"/>
      <c r="C263" s="216"/>
      <c r="D263" s="134"/>
      <c r="E263" s="217"/>
      <c r="F263" s="217"/>
      <c r="G263" s="217"/>
    </row>
    <row r="264" spans="1:7">
      <c r="A264" s="6"/>
      <c r="B264" s="216"/>
      <c r="C264" s="216"/>
      <c r="D264" s="134"/>
      <c r="E264" s="217"/>
      <c r="F264" s="217"/>
      <c r="G264" s="217"/>
    </row>
    <row r="265" spans="1:7">
      <c r="A265" s="6"/>
      <c r="B265" s="216"/>
      <c r="C265" s="216"/>
      <c r="D265" s="134"/>
      <c r="E265" s="217"/>
      <c r="F265" s="217"/>
      <c r="G265" s="217"/>
    </row>
    <row r="266" spans="1:7">
      <c r="A266" s="6"/>
      <c r="B266" s="216"/>
      <c r="C266" s="216"/>
      <c r="D266" s="134"/>
      <c r="E266" s="217"/>
      <c r="F266" s="217"/>
      <c r="G266" s="217"/>
    </row>
    <row r="267" spans="1:7">
      <c r="A267" s="6"/>
      <c r="B267" s="216"/>
      <c r="C267" s="216"/>
      <c r="D267" s="134"/>
      <c r="E267" s="217"/>
      <c r="F267" s="217"/>
      <c r="G267" s="217"/>
    </row>
    <row r="268" spans="1:7">
      <c r="A268" s="6"/>
      <c r="B268" s="216"/>
      <c r="C268" s="216"/>
      <c r="D268" s="134"/>
      <c r="E268" s="217"/>
      <c r="F268" s="217"/>
      <c r="G268" s="217"/>
    </row>
    <row r="269" spans="1:7">
      <c r="A269" s="6"/>
      <c r="B269" s="216"/>
      <c r="C269" s="216"/>
      <c r="D269" s="134"/>
      <c r="E269" s="217"/>
      <c r="F269" s="217"/>
      <c r="G269" s="217"/>
    </row>
    <row r="270" spans="1:7">
      <c r="A270" s="6"/>
      <c r="B270" s="216"/>
      <c r="C270" s="216"/>
      <c r="D270" s="134"/>
      <c r="E270" s="217"/>
      <c r="F270" s="217"/>
      <c r="G270" s="217"/>
    </row>
    <row r="271" spans="1:7">
      <c r="A271" s="6"/>
      <c r="B271" s="216"/>
      <c r="C271" s="216"/>
      <c r="D271" s="134"/>
      <c r="E271" s="217"/>
      <c r="F271" s="217"/>
      <c r="G271" s="217"/>
    </row>
    <row r="272" spans="1:7">
      <c r="A272" s="6"/>
      <c r="B272" s="216"/>
      <c r="C272" s="216"/>
      <c r="D272" s="134"/>
      <c r="E272" s="217"/>
      <c r="F272" s="217"/>
      <c r="G272" s="217"/>
    </row>
    <row r="273" spans="1:7">
      <c r="A273" s="6"/>
      <c r="B273" s="216"/>
      <c r="C273" s="216"/>
      <c r="D273" s="134"/>
      <c r="E273" s="217"/>
      <c r="F273" s="217"/>
      <c r="G273" s="217"/>
    </row>
    <row r="274" spans="1:7">
      <c r="A274" s="6"/>
      <c r="B274" s="216"/>
      <c r="C274" s="216"/>
      <c r="D274" s="134"/>
      <c r="E274" s="217"/>
      <c r="F274" s="217"/>
      <c r="G274" s="217"/>
    </row>
    <row r="275" spans="1:7">
      <c r="A275" s="6"/>
      <c r="B275" s="216"/>
      <c r="C275" s="216"/>
      <c r="D275" s="134"/>
      <c r="E275" s="217"/>
      <c r="F275" s="217"/>
      <c r="G275" s="217"/>
    </row>
    <row r="276" spans="1:7">
      <c r="A276" s="6"/>
      <c r="B276" s="216"/>
      <c r="C276" s="216"/>
      <c r="D276" s="134"/>
      <c r="E276" s="217"/>
      <c r="F276" s="217"/>
      <c r="G276" s="217"/>
    </row>
    <row r="277" spans="1:7">
      <c r="A277" s="6"/>
      <c r="B277" s="216"/>
      <c r="C277" s="216"/>
      <c r="D277" s="134"/>
      <c r="E277" s="217"/>
      <c r="F277" s="217"/>
      <c r="G277" s="217"/>
    </row>
    <row r="278" spans="1:7">
      <c r="A278" s="6"/>
      <c r="B278" s="216"/>
      <c r="C278" s="216"/>
      <c r="D278" s="134"/>
      <c r="E278" s="217"/>
      <c r="F278" s="217"/>
      <c r="G278" s="217"/>
    </row>
    <row r="279" spans="1:7">
      <c r="A279" s="6"/>
      <c r="B279" s="216"/>
      <c r="C279" s="216"/>
      <c r="D279" s="134"/>
      <c r="E279" s="217"/>
      <c r="F279" s="217"/>
      <c r="G279" s="217"/>
    </row>
    <row r="280" spans="1:7">
      <c r="A280" s="6"/>
      <c r="B280" s="216"/>
      <c r="C280" s="216"/>
      <c r="D280" s="134"/>
      <c r="E280" s="217"/>
      <c r="F280" s="217"/>
      <c r="G280" s="217"/>
    </row>
    <row r="281" spans="1:7">
      <c r="A281" s="6"/>
      <c r="B281" s="216"/>
      <c r="C281" s="216"/>
      <c r="D281" s="134"/>
      <c r="E281" s="217"/>
      <c r="F281" s="217"/>
      <c r="G281" s="217"/>
    </row>
    <row r="282" spans="1:7">
      <c r="A282" s="6"/>
      <c r="B282" s="216"/>
      <c r="C282" s="216"/>
      <c r="D282" s="134"/>
      <c r="E282" s="217"/>
      <c r="F282" s="217"/>
      <c r="G282" s="217"/>
    </row>
    <row r="283" spans="1:7">
      <c r="A283" s="6"/>
      <c r="B283" s="216"/>
      <c r="C283" s="216"/>
      <c r="D283" s="134"/>
      <c r="E283" s="217"/>
      <c r="F283" s="217"/>
      <c r="G283" s="217"/>
    </row>
    <row r="284" spans="1:7">
      <c r="A284" s="6"/>
      <c r="B284" s="216"/>
      <c r="C284" s="216"/>
      <c r="D284" s="134"/>
      <c r="E284" s="217"/>
      <c r="F284" s="217"/>
      <c r="G284" s="217"/>
    </row>
    <row r="285" spans="1:7">
      <c r="A285" s="6"/>
      <c r="B285" s="216"/>
      <c r="C285" s="216"/>
      <c r="D285" s="134"/>
      <c r="E285" s="217"/>
      <c r="F285" s="217"/>
      <c r="G285" s="217"/>
    </row>
    <row r="286" spans="1:7">
      <c r="A286" s="6"/>
      <c r="B286" s="216"/>
      <c r="C286" s="216"/>
      <c r="D286" s="134"/>
      <c r="E286" s="217"/>
      <c r="F286" s="217"/>
      <c r="G286" s="217"/>
    </row>
    <row r="287" spans="1:7">
      <c r="A287" s="6"/>
      <c r="B287" s="216"/>
      <c r="C287" s="216"/>
      <c r="D287" s="134"/>
      <c r="E287" s="217"/>
      <c r="F287" s="217"/>
      <c r="G287" s="217"/>
    </row>
    <row r="288" spans="1:7">
      <c r="A288" s="6"/>
      <c r="B288" s="216"/>
      <c r="C288" s="216"/>
      <c r="D288" s="134"/>
      <c r="E288" s="217"/>
      <c r="F288" s="217"/>
      <c r="G288" s="217"/>
    </row>
    <row r="289" spans="1:7">
      <c r="A289" s="6"/>
      <c r="B289" s="216"/>
      <c r="C289" s="216"/>
      <c r="D289" s="134"/>
      <c r="E289" s="217"/>
      <c r="F289" s="217"/>
      <c r="G289" s="217"/>
    </row>
    <row r="290" spans="1:7">
      <c r="A290" s="6"/>
      <c r="B290" s="216"/>
      <c r="C290" s="216"/>
      <c r="D290" s="134"/>
      <c r="E290" s="217"/>
      <c r="F290" s="217"/>
      <c r="G290" s="217"/>
    </row>
    <row r="291" spans="1:7">
      <c r="A291" s="6"/>
      <c r="B291" s="216"/>
      <c r="C291" s="216"/>
      <c r="D291" s="134"/>
      <c r="E291" s="217"/>
      <c r="F291" s="217"/>
      <c r="G291" s="217"/>
    </row>
    <row r="292" spans="1:7">
      <c r="A292" s="6"/>
      <c r="B292" s="216"/>
      <c r="C292" s="216"/>
      <c r="D292" s="134"/>
      <c r="E292" s="217"/>
      <c r="F292" s="217"/>
      <c r="G292" s="217"/>
    </row>
    <row r="293" spans="1:7">
      <c r="A293" s="6"/>
      <c r="B293" s="216"/>
      <c r="C293" s="216"/>
      <c r="D293" s="134"/>
      <c r="E293" s="217"/>
      <c r="F293" s="217"/>
      <c r="G293" s="217"/>
    </row>
    <row r="294" spans="1:7">
      <c r="A294" s="6"/>
      <c r="B294" s="216"/>
      <c r="C294" s="216"/>
      <c r="D294" s="134"/>
      <c r="E294" s="217"/>
      <c r="F294" s="217"/>
      <c r="G294" s="217"/>
    </row>
    <row r="295" spans="1:7">
      <c r="A295" s="6"/>
      <c r="B295" s="216"/>
      <c r="C295" s="216"/>
      <c r="D295" s="134"/>
      <c r="E295" s="217"/>
      <c r="F295" s="217"/>
      <c r="G295" s="217"/>
    </row>
    <row r="296" spans="1:7">
      <c r="A296" s="6"/>
      <c r="B296" s="216"/>
      <c r="C296" s="216"/>
      <c r="D296" s="134"/>
      <c r="E296" s="217"/>
      <c r="F296" s="217"/>
      <c r="G296" s="217"/>
    </row>
    <row r="297" spans="1:7">
      <c r="A297" s="6"/>
      <c r="B297" s="216"/>
      <c r="C297" s="216"/>
      <c r="D297" s="134"/>
      <c r="E297" s="217"/>
      <c r="F297" s="217"/>
      <c r="G297" s="217"/>
    </row>
    <row r="298" spans="1:7" ht="22.5" customHeight="1">
      <c r="B298" s="144"/>
      <c r="C298" s="144"/>
      <c r="D298" s="65"/>
      <c r="E298" s="212"/>
      <c r="F298" s="212"/>
      <c r="G298" s="217"/>
    </row>
    <row r="299" spans="1:7" ht="21" customHeight="1">
      <c r="B299" s="144"/>
      <c r="C299" s="144"/>
      <c r="D299" s="65"/>
      <c r="E299" s="212"/>
      <c r="F299" s="212"/>
      <c r="G299" s="217"/>
    </row>
    <row r="300" spans="1:7" ht="15.75">
      <c r="B300" s="144"/>
      <c r="C300" s="144"/>
      <c r="D300" s="65"/>
      <c r="E300" s="212"/>
      <c r="F300" s="212"/>
      <c r="G300" s="217"/>
    </row>
    <row r="301" spans="1:7" ht="15.75">
      <c r="B301" s="144"/>
      <c r="C301" s="144"/>
      <c r="D301" s="65"/>
      <c r="E301" s="212"/>
      <c r="F301" s="212"/>
      <c r="G301" s="217"/>
    </row>
    <row r="302" spans="1:7" ht="15.75">
      <c r="B302" s="144"/>
      <c r="C302" s="144"/>
      <c r="D302" s="65"/>
      <c r="E302" s="212"/>
      <c r="F302" s="212"/>
      <c r="G302" s="217"/>
    </row>
    <row r="303" spans="1:7" ht="15.75">
      <c r="B303" s="144"/>
      <c r="C303" s="144"/>
      <c r="D303" s="65"/>
      <c r="E303" s="212"/>
      <c r="F303" s="212"/>
      <c r="G303" s="217"/>
    </row>
    <row r="304" spans="1:7">
      <c r="B304" s="216"/>
      <c r="C304" s="216"/>
      <c r="D304" s="134"/>
      <c r="E304" s="217"/>
      <c r="F304" s="217"/>
      <c r="G304" s="217"/>
    </row>
    <row r="305" spans="2:7">
      <c r="B305" s="216"/>
      <c r="C305" s="216"/>
      <c r="D305" s="134"/>
      <c r="E305" s="217"/>
      <c r="F305" s="217"/>
      <c r="G305" s="217"/>
    </row>
    <row r="306" spans="2:7">
      <c r="B306" s="216"/>
      <c r="C306" s="216"/>
      <c r="D306" s="134"/>
      <c r="E306" s="217"/>
      <c r="F306" s="217"/>
      <c r="G306" s="217"/>
    </row>
    <row r="307" spans="2:7">
      <c r="B307" s="216"/>
      <c r="C307" s="216"/>
      <c r="D307" s="134"/>
      <c r="E307" s="217"/>
      <c r="F307" s="217"/>
      <c r="G307" s="217"/>
    </row>
    <row r="308" spans="2:7">
      <c r="B308" s="216"/>
      <c r="C308" s="216"/>
      <c r="D308" s="134"/>
      <c r="E308" s="217"/>
      <c r="F308" s="217"/>
      <c r="G308" s="217"/>
    </row>
    <row r="309" spans="2:7">
      <c r="B309" s="216"/>
      <c r="C309" s="216"/>
      <c r="D309" s="134"/>
      <c r="E309" s="217"/>
      <c r="F309" s="217"/>
      <c r="G309" s="217"/>
    </row>
    <row r="310" spans="2:7">
      <c r="B310" s="216"/>
      <c r="C310" s="216"/>
      <c r="D310" s="134"/>
      <c r="E310" s="217"/>
      <c r="F310" s="217"/>
      <c r="G310" s="217"/>
    </row>
    <row r="311" spans="2:7">
      <c r="B311" s="216"/>
      <c r="C311" s="216"/>
      <c r="D311" s="134"/>
      <c r="E311" s="217"/>
      <c r="F311" s="217"/>
      <c r="G311" s="217"/>
    </row>
    <row r="312" spans="2:7">
      <c r="B312" s="216"/>
      <c r="C312" s="216"/>
      <c r="D312" s="134"/>
      <c r="E312" s="217"/>
      <c r="F312" s="217"/>
      <c r="G312" s="217"/>
    </row>
    <row r="313" spans="2:7">
      <c r="B313" s="216"/>
      <c r="C313" s="216"/>
      <c r="D313" s="134"/>
      <c r="E313" s="217"/>
      <c r="F313" s="217"/>
      <c r="G313" s="217"/>
    </row>
    <row r="314" spans="2:7">
      <c r="B314" s="216"/>
      <c r="C314" s="216"/>
      <c r="D314" s="134"/>
      <c r="E314" s="217"/>
      <c r="F314" s="217"/>
      <c r="G314" s="217"/>
    </row>
    <row r="315" spans="2:7">
      <c r="B315" s="216"/>
      <c r="C315" s="216"/>
      <c r="D315" s="134"/>
      <c r="E315" s="217"/>
      <c r="F315" s="217"/>
      <c r="G315" s="217"/>
    </row>
    <row r="316" spans="2:7">
      <c r="B316" s="216"/>
      <c r="C316" s="216"/>
      <c r="D316" s="134"/>
      <c r="E316" s="217"/>
      <c r="F316" s="217"/>
      <c r="G316" s="217"/>
    </row>
    <row r="317" spans="2:7">
      <c r="B317" s="216"/>
      <c r="C317" s="216"/>
      <c r="D317" s="134"/>
      <c r="E317" s="217"/>
      <c r="F317" s="217"/>
      <c r="G317" s="217"/>
    </row>
    <row r="318" spans="2:7">
      <c r="B318" s="216"/>
      <c r="C318" s="216"/>
      <c r="D318" s="134"/>
      <c r="E318" s="217"/>
      <c r="F318" s="217"/>
      <c r="G318" s="217"/>
    </row>
    <row r="319" spans="2:7">
      <c r="B319" s="216"/>
      <c r="C319" s="216"/>
      <c r="D319" s="134"/>
      <c r="E319" s="217"/>
      <c r="F319" s="217"/>
      <c r="G319" s="217"/>
    </row>
    <row r="320" spans="2:7">
      <c r="B320" s="216"/>
      <c r="C320" s="216"/>
      <c r="D320" s="134"/>
      <c r="E320" s="217"/>
      <c r="F320" s="217"/>
      <c r="G320" s="217"/>
    </row>
    <row r="321" spans="2:7">
      <c r="B321" s="216"/>
      <c r="C321" s="216"/>
      <c r="D321" s="134"/>
      <c r="E321" s="217"/>
      <c r="F321" s="217"/>
      <c r="G321" s="217"/>
    </row>
    <row r="322" spans="2:7">
      <c r="B322" s="216"/>
      <c r="C322" s="216"/>
      <c r="D322" s="134"/>
      <c r="E322" s="217"/>
      <c r="F322" s="217"/>
      <c r="G322" s="217"/>
    </row>
    <row r="323" spans="2:7">
      <c r="B323" s="216"/>
      <c r="C323" s="216"/>
      <c r="D323" s="134"/>
      <c r="E323" s="217"/>
      <c r="F323" s="217"/>
      <c r="G323" s="217"/>
    </row>
    <row r="324" spans="2:7">
      <c r="B324" s="216"/>
      <c r="C324" s="216"/>
      <c r="D324" s="134"/>
      <c r="E324" s="217"/>
      <c r="F324" s="217"/>
      <c r="G324" s="217"/>
    </row>
    <row r="325" spans="2:7">
      <c r="B325" s="216"/>
      <c r="C325" s="216"/>
      <c r="D325" s="134"/>
      <c r="E325" s="217"/>
      <c r="F325" s="217"/>
      <c r="G325" s="217"/>
    </row>
    <row r="326" spans="2:7">
      <c r="B326" s="216"/>
      <c r="C326" s="216"/>
      <c r="D326" s="134"/>
      <c r="E326" s="217"/>
      <c r="F326" s="217"/>
      <c r="G326" s="217"/>
    </row>
    <row r="327" spans="2:7">
      <c r="B327" s="216"/>
      <c r="C327" s="216"/>
      <c r="D327" s="134"/>
      <c r="E327" s="217"/>
      <c r="F327" s="217"/>
      <c r="G327" s="217"/>
    </row>
    <row r="328" spans="2:7">
      <c r="B328" s="216"/>
      <c r="C328" s="216"/>
      <c r="D328" s="134"/>
      <c r="E328" s="217"/>
      <c r="F328" s="217"/>
      <c r="G328" s="217"/>
    </row>
    <row r="329" spans="2:7">
      <c r="B329" s="216"/>
      <c r="C329" s="216"/>
      <c r="D329" s="134"/>
      <c r="E329" s="217"/>
      <c r="F329" s="217"/>
      <c r="G329" s="217"/>
    </row>
    <row r="330" spans="2:7">
      <c r="B330" s="216"/>
      <c r="C330" s="216"/>
      <c r="D330" s="134"/>
      <c r="E330" s="217"/>
      <c r="F330" s="217"/>
      <c r="G330" s="217"/>
    </row>
    <row r="331" spans="2:7">
      <c r="B331" s="216"/>
      <c r="C331" s="216"/>
      <c r="D331" s="134"/>
      <c r="E331" s="217"/>
      <c r="F331" s="217"/>
      <c r="G331" s="217"/>
    </row>
    <row r="332" spans="2:7">
      <c r="B332" s="216"/>
      <c r="C332" s="216"/>
      <c r="D332" s="134"/>
      <c r="E332" s="217"/>
      <c r="F332" s="217"/>
      <c r="G332" s="217"/>
    </row>
    <row r="333" spans="2:7">
      <c r="B333" s="216"/>
      <c r="C333" s="216"/>
      <c r="D333" s="134"/>
      <c r="E333" s="217"/>
      <c r="F333" s="217"/>
      <c r="G333" s="217"/>
    </row>
    <row r="334" spans="2:7">
      <c r="B334" s="216"/>
      <c r="C334" s="216"/>
      <c r="D334" s="134"/>
      <c r="E334" s="217"/>
      <c r="F334" s="217"/>
      <c r="G334" s="217"/>
    </row>
    <row r="335" spans="2:7">
      <c r="B335" s="216"/>
      <c r="C335" s="216"/>
      <c r="D335" s="134"/>
      <c r="E335" s="217"/>
      <c r="F335" s="217"/>
      <c r="G335" s="217"/>
    </row>
    <row r="336" spans="2:7">
      <c r="B336" s="216"/>
      <c r="C336" s="216"/>
      <c r="D336" s="134"/>
      <c r="E336" s="217"/>
      <c r="F336" s="217"/>
      <c r="G336" s="217"/>
    </row>
    <row r="337" spans="2:7">
      <c r="B337" s="216"/>
      <c r="C337" s="216"/>
      <c r="D337" s="134"/>
      <c r="E337" s="217"/>
      <c r="F337" s="217"/>
      <c r="G337" s="217"/>
    </row>
    <row r="338" spans="2:7">
      <c r="B338" s="216"/>
      <c r="C338" s="216"/>
      <c r="D338" s="134"/>
      <c r="E338" s="217"/>
      <c r="F338" s="217"/>
      <c r="G338" s="217"/>
    </row>
    <row r="339" spans="2:7">
      <c r="B339" s="216"/>
      <c r="C339" s="216"/>
      <c r="D339" s="134"/>
      <c r="E339" s="217"/>
      <c r="F339" s="217"/>
      <c r="G339" s="217"/>
    </row>
    <row r="340" spans="2:7">
      <c r="B340" s="216"/>
      <c r="C340" s="216"/>
      <c r="D340" s="134"/>
      <c r="E340" s="217"/>
      <c r="F340" s="217"/>
      <c r="G340" s="217"/>
    </row>
    <row r="341" spans="2:7">
      <c r="B341" s="216"/>
      <c r="C341" s="216"/>
      <c r="D341" s="134"/>
      <c r="E341" s="217"/>
      <c r="F341" s="217"/>
      <c r="G341" s="217"/>
    </row>
    <row r="342" spans="2:7">
      <c r="B342" s="216"/>
      <c r="C342" s="216"/>
      <c r="D342" s="134"/>
      <c r="E342" s="217"/>
      <c r="F342" s="217"/>
      <c r="G342" s="217"/>
    </row>
    <row r="343" spans="2:7">
      <c r="B343" s="216"/>
      <c r="C343" s="216"/>
      <c r="D343" s="134"/>
      <c r="E343" s="217"/>
      <c r="F343" s="217"/>
      <c r="G343" s="217"/>
    </row>
    <row r="344" spans="2:7">
      <c r="B344" s="216"/>
      <c r="C344" s="216"/>
      <c r="D344" s="134"/>
      <c r="E344" s="217"/>
      <c r="F344" s="217"/>
      <c r="G344" s="217"/>
    </row>
    <row r="345" spans="2:7">
      <c r="B345" s="216"/>
      <c r="C345" s="216"/>
      <c r="D345" s="134"/>
      <c r="E345" s="217"/>
      <c r="F345" s="217"/>
      <c r="G345" s="217"/>
    </row>
    <row r="346" spans="2:7">
      <c r="B346" s="216"/>
      <c r="C346" s="216"/>
      <c r="D346" s="134"/>
      <c r="E346" s="217"/>
      <c r="F346" s="217"/>
      <c r="G346" s="217"/>
    </row>
    <row r="347" spans="2:7">
      <c r="B347" s="216"/>
      <c r="C347" s="216"/>
      <c r="D347" s="134"/>
      <c r="E347" s="217"/>
      <c r="F347" s="217"/>
      <c r="G347" s="217"/>
    </row>
    <row r="348" spans="2:7">
      <c r="B348" s="216"/>
      <c r="C348" s="216"/>
      <c r="D348" s="134"/>
      <c r="E348" s="217"/>
      <c r="F348" s="217"/>
      <c r="G348" s="217"/>
    </row>
    <row r="349" spans="2:7">
      <c r="B349" s="216"/>
      <c r="C349" s="216"/>
      <c r="D349" s="134"/>
      <c r="E349" s="217"/>
      <c r="F349" s="217"/>
      <c r="G349" s="217"/>
    </row>
    <row r="350" spans="2:7">
      <c r="B350" s="216"/>
      <c r="C350" s="216"/>
      <c r="D350" s="134"/>
      <c r="E350" s="217"/>
      <c r="F350" s="217"/>
      <c r="G350" s="217"/>
    </row>
    <row r="351" spans="2:7">
      <c r="B351" s="216"/>
      <c r="C351" s="216"/>
      <c r="D351" s="134"/>
      <c r="E351" s="217"/>
      <c r="F351" s="217"/>
      <c r="G351" s="217"/>
    </row>
    <row r="352" spans="2:7">
      <c r="B352" s="216"/>
      <c r="C352" s="216"/>
      <c r="D352" s="134"/>
      <c r="E352" s="217"/>
      <c r="F352" s="217"/>
      <c r="G352" s="217"/>
    </row>
    <row r="353" spans="2:7">
      <c r="B353" s="216"/>
      <c r="C353" s="216"/>
      <c r="D353" s="134"/>
      <c r="E353" s="217"/>
      <c r="F353" s="217"/>
      <c r="G353" s="217"/>
    </row>
    <row r="354" spans="2:7">
      <c r="B354" s="216"/>
      <c r="C354" s="216"/>
      <c r="D354" s="134"/>
      <c r="E354" s="217"/>
      <c r="F354" s="217"/>
      <c r="G354" s="217"/>
    </row>
    <row r="355" spans="2:7">
      <c r="B355" s="216"/>
      <c r="C355" s="216"/>
      <c r="D355" s="134"/>
      <c r="E355" s="217"/>
      <c r="F355" s="217"/>
      <c r="G355" s="217"/>
    </row>
    <row r="356" spans="2:7">
      <c r="B356" s="216"/>
      <c r="C356" s="216"/>
      <c r="D356" s="134"/>
      <c r="E356" s="217"/>
      <c r="F356" s="217"/>
      <c r="G356" s="217"/>
    </row>
    <row r="357" spans="2:7">
      <c r="B357" s="216"/>
      <c r="C357" s="216"/>
      <c r="D357" s="134"/>
      <c r="E357" s="217"/>
      <c r="F357" s="217"/>
      <c r="G357" s="217"/>
    </row>
    <row r="358" spans="2:7">
      <c r="B358" s="216"/>
      <c r="C358" s="216"/>
      <c r="D358" s="134"/>
      <c r="E358" s="217"/>
      <c r="F358" s="217"/>
      <c r="G358" s="217"/>
    </row>
    <row r="359" spans="2:7">
      <c r="B359" s="216"/>
      <c r="C359" s="216"/>
      <c r="D359" s="134"/>
      <c r="E359" s="217"/>
      <c r="F359" s="217"/>
      <c r="G359" s="217"/>
    </row>
    <row r="360" spans="2:7">
      <c r="B360" s="216"/>
      <c r="C360" s="216"/>
      <c r="D360" s="134"/>
      <c r="E360" s="217"/>
      <c r="F360" s="217"/>
      <c r="G360" s="217"/>
    </row>
    <row r="361" spans="2:7">
      <c r="B361" s="216"/>
      <c r="C361" s="216"/>
      <c r="D361" s="134"/>
      <c r="E361" s="217"/>
      <c r="F361" s="217"/>
      <c r="G361" s="217"/>
    </row>
    <row r="362" spans="2:7">
      <c r="B362" s="216"/>
      <c r="C362" s="216"/>
      <c r="D362" s="134"/>
      <c r="E362" s="217"/>
      <c r="F362" s="217"/>
      <c r="G362" s="217"/>
    </row>
    <row r="363" spans="2:7">
      <c r="B363" s="216"/>
      <c r="C363" s="216"/>
      <c r="D363" s="134"/>
      <c r="E363" s="217"/>
      <c r="F363" s="217"/>
      <c r="G363" s="217"/>
    </row>
    <row r="364" spans="2:7">
      <c r="B364" s="216"/>
      <c r="C364" s="216"/>
      <c r="D364" s="134"/>
      <c r="E364" s="217"/>
      <c r="F364" s="217"/>
      <c r="G364" s="217"/>
    </row>
    <row r="365" spans="2:7">
      <c r="B365" s="216"/>
      <c r="C365" s="216"/>
      <c r="D365" s="134"/>
      <c r="E365" s="217"/>
      <c r="F365" s="217"/>
      <c r="G365" s="217"/>
    </row>
    <row r="366" spans="2:7">
      <c r="B366" s="216"/>
      <c r="C366" s="216"/>
      <c r="D366" s="134"/>
      <c r="E366" s="217"/>
      <c r="F366" s="217"/>
      <c r="G366" s="217"/>
    </row>
    <row r="367" spans="2:7">
      <c r="B367" s="216"/>
      <c r="C367" s="216"/>
      <c r="D367" s="134"/>
      <c r="E367" s="217"/>
      <c r="F367" s="217"/>
      <c r="G367" s="217"/>
    </row>
    <row r="368" spans="2:7">
      <c r="B368" s="216"/>
      <c r="C368" s="216"/>
      <c r="D368" s="134"/>
      <c r="E368" s="217"/>
      <c r="F368" s="217"/>
      <c r="G368" s="217"/>
    </row>
    <row r="369" spans="2:7">
      <c r="B369" s="216"/>
      <c r="C369" s="216"/>
      <c r="D369" s="134"/>
      <c r="E369" s="217"/>
      <c r="F369" s="217"/>
      <c r="G369" s="217"/>
    </row>
    <row r="370" spans="2:7">
      <c r="B370" s="216"/>
      <c r="C370" s="216"/>
      <c r="D370" s="134"/>
      <c r="E370" s="217"/>
      <c r="F370" s="217"/>
      <c r="G370" s="217"/>
    </row>
    <row r="371" spans="2:7">
      <c r="B371" s="216"/>
      <c r="C371" s="216"/>
      <c r="D371" s="134"/>
      <c r="E371" s="217"/>
      <c r="F371" s="217"/>
      <c r="G371" s="217"/>
    </row>
    <row r="372" spans="2:7">
      <c r="B372" s="216"/>
      <c r="C372" s="216"/>
      <c r="D372" s="134"/>
      <c r="E372" s="217"/>
      <c r="F372" s="217"/>
      <c r="G372" s="217"/>
    </row>
    <row r="373" spans="2:7">
      <c r="B373" s="216"/>
      <c r="C373" s="216"/>
      <c r="D373" s="134"/>
      <c r="E373" s="217"/>
      <c r="F373" s="217"/>
      <c r="G373" s="217"/>
    </row>
    <row r="374" spans="2:7">
      <c r="B374" s="216"/>
      <c r="C374" s="216"/>
      <c r="D374" s="134"/>
      <c r="E374" s="217"/>
      <c r="F374" s="217"/>
      <c r="G374" s="217"/>
    </row>
    <row r="375" spans="2:7">
      <c r="B375" s="216"/>
      <c r="C375" s="216"/>
      <c r="D375" s="134"/>
      <c r="E375" s="217"/>
      <c r="F375" s="217"/>
      <c r="G375" s="217"/>
    </row>
    <row r="376" spans="2:7">
      <c r="B376" s="216"/>
      <c r="C376" s="216"/>
      <c r="D376" s="134"/>
      <c r="E376" s="217"/>
      <c r="F376" s="217"/>
      <c r="G376" s="217"/>
    </row>
    <row r="377" spans="2:7">
      <c r="B377" s="216"/>
      <c r="C377" s="216"/>
      <c r="D377" s="134"/>
      <c r="E377" s="217"/>
      <c r="F377" s="217"/>
      <c r="G377" s="217"/>
    </row>
    <row r="378" spans="2:7">
      <c r="B378" s="216"/>
      <c r="C378" s="216"/>
      <c r="D378" s="134"/>
      <c r="E378" s="217"/>
      <c r="F378" s="217"/>
      <c r="G378" s="217"/>
    </row>
    <row r="379" spans="2:7">
      <c r="B379" s="216"/>
      <c r="C379" s="216"/>
      <c r="D379" s="134"/>
      <c r="E379" s="217"/>
      <c r="F379" s="217"/>
      <c r="G379" s="217"/>
    </row>
    <row r="380" spans="2:7">
      <c r="B380" s="216"/>
      <c r="C380" s="216"/>
      <c r="D380" s="134"/>
      <c r="E380" s="217"/>
      <c r="F380" s="217"/>
      <c r="G380" s="217"/>
    </row>
    <row r="381" spans="2:7">
      <c r="B381" s="216"/>
      <c r="C381" s="216"/>
      <c r="D381" s="134"/>
      <c r="E381" s="217"/>
      <c r="F381" s="217"/>
      <c r="G381" s="217"/>
    </row>
    <row r="382" spans="2:7">
      <c r="B382" s="216"/>
      <c r="C382" s="216"/>
      <c r="D382" s="134"/>
      <c r="E382" s="217"/>
      <c r="F382" s="217"/>
      <c r="G382" s="217"/>
    </row>
    <row r="383" spans="2:7">
      <c r="B383" s="216"/>
      <c r="C383" s="216"/>
      <c r="D383" s="134"/>
      <c r="E383" s="217"/>
      <c r="F383" s="217"/>
      <c r="G383" s="217"/>
    </row>
    <row r="384" spans="2:7">
      <c r="B384" s="216"/>
      <c r="C384" s="216"/>
      <c r="D384" s="134"/>
      <c r="E384" s="217"/>
      <c r="F384" s="217"/>
      <c r="G384" s="217"/>
    </row>
    <row r="385" spans="2:7">
      <c r="B385" s="216"/>
      <c r="C385" s="216"/>
      <c r="D385" s="134"/>
      <c r="E385" s="217"/>
      <c r="F385" s="217"/>
      <c r="G385" s="217"/>
    </row>
    <row r="386" spans="2:7">
      <c r="B386" s="216"/>
      <c r="C386" s="216"/>
      <c r="D386" s="134"/>
      <c r="E386" s="217"/>
      <c r="F386" s="217"/>
      <c r="G386" s="217"/>
    </row>
    <row r="387" spans="2:7">
      <c r="B387" s="216"/>
      <c r="C387" s="216"/>
      <c r="D387" s="134"/>
      <c r="E387" s="217"/>
      <c r="F387" s="217"/>
      <c r="G387" s="217"/>
    </row>
    <row r="388" spans="2:7">
      <c r="B388" s="216"/>
      <c r="C388" s="216"/>
      <c r="D388" s="134"/>
      <c r="E388" s="217"/>
      <c r="F388" s="217"/>
      <c r="G388" s="217"/>
    </row>
    <row r="389" spans="2:7">
      <c r="B389" s="216"/>
      <c r="C389" s="216"/>
      <c r="D389" s="134"/>
      <c r="E389" s="217"/>
      <c r="F389" s="217"/>
      <c r="G389" s="217"/>
    </row>
    <row r="390" spans="2:7">
      <c r="B390" s="216"/>
      <c r="C390" s="216"/>
      <c r="D390" s="134"/>
      <c r="E390" s="217"/>
      <c r="F390" s="217"/>
      <c r="G390" s="217"/>
    </row>
    <row r="391" spans="2:7">
      <c r="B391" s="216"/>
      <c r="C391" s="216"/>
      <c r="D391" s="134"/>
      <c r="E391" s="217"/>
      <c r="F391" s="217"/>
      <c r="G391" s="217"/>
    </row>
    <row r="392" spans="2:7">
      <c r="B392" s="216"/>
      <c r="C392" s="216"/>
      <c r="D392" s="134"/>
      <c r="E392" s="217"/>
      <c r="F392" s="217"/>
      <c r="G392" s="217"/>
    </row>
    <row r="393" spans="2:7">
      <c r="B393" s="216"/>
      <c r="C393" s="216"/>
      <c r="D393" s="134"/>
      <c r="E393" s="217"/>
      <c r="F393" s="217"/>
      <c r="G393" s="217"/>
    </row>
    <row r="394" spans="2:7">
      <c r="B394" s="216"/>
      <c r="C394" s="216"/>
      <c r="D394" s="134"/>
      <c r="E394" s="217"/>
      <c r="F394" s="217"/>
      <c r="G394" s="217"/>
    </row>
    <row r="395" spans="2:7">
      <c r="B395" s="216"/>
      <c r="C395" s="216"/>
      <c r="D395" s="134"/>
      <c r="E395" s="217"/>
      <c r="F395" s="217"/>
      <c r="G395" s="217"/>
    </row>
    <row r="396" spans="2:7">
      <c r="B396" s="216"/>
      <c r="C396" s="216"/>
      <c r="D396" s="134"/>
      <c r="E396" s="217"/>
      <c r="F396" s="217"/>
      <c r="G396" s="217"/>
    </row>
    <row r="397" spans="2:7">
      <c r="B397" s="216"/>
      <c r="C397" s="216"/>
      <c r="D397" s="134"/>
      <c r="E397" s="217"/>
      <c r="F397" s="217"/>
      <c r="G397" s="217"/>
    </row>
    <row r="398" spans="2:7">
      <c r="B398" s="216"/>
      <c r="C398" s="216"/>
      <c r="D398" s="134"/>
      <c r="E398" s="217"/>
      <c r="F398" s="217"/>
      <c r="G398" s="217"/>
    </row>
    <row r="399" spans="2:7">
      <c r="B399" s="216"/>
      <c r="C399" s="216"/>
      <c r="D399" s="134"/>
      <c r="E399" s="217"/>
      <c r="F399" s="217"/>
      <c r="G399" s="217"/>
    </row>
    <row r="400" spans="2:7">
      <c r="B400" s="216"/>
      <c r="C400" s="216"/>
      <c r="D400" s="134"/>
      <c r="E400" s="217"/>
      <c r="F400" s="217"/>
      <c r="G400" s="217"/>
    </row>
    <row r="401" spans="2:7">
      <c r="B401" s="216"/>
      <c r="C401" s="216"/>
      <c r="D401" s="134"/>
      <c r="E401" s="217"/>
      <c r="F401" s="217"/>
      <c r="G401" s="217"/>
    </row>
    <row r="402" spans="2:7">
      <c r="B402" s="216"/>
      <c r="C402" s="216"/>
      <c r="D402" s="134"/>
      <c r="E402" s="217"/>
      <c r="F402" s="217"/>
      <c r="G402" s="217"/>
    </row>
    <row r="403" spans="2:7">
      <c r="B403" s="216"/>
      <c r="C403" s="216"/>
      <c r="D403" s="134"/>
      <c r="E403" s="217"/>
      <c r="F403" s="217"/>
      <c r="G403" s="217"/>
    </row>
    <row r="404" spans="2:7">
      <c r="B404" s="216"/>
      <c r="C404" s="216"/>
      <c r="D404" s="134"/>
      <c r="E404" s="217"/>
      <c r="F404" s="217"/>
      <c r="G404" s="217"/>
    </row>
    <row r="405" spans="2:7">
      <c r="B405" s="216"/>
      <c r="C405" s="216"/>
      <c r="D405" s="134"/>
      <c r="E405" s="217"/>
      <c r="F405" s="217"/>
      <c r="G405" s="217"/>
    </row>
    <row r="406" spans="2:7">
      <c r="B406" s="216"/>
      <c r="C406" s="216"/>
      <c r="D406" s="134"/>
      <c r="E406" s="217"/>
      <c r="F406" s="217"/>
      <c r="G406" s="217"/>
    </row>
    <row r="407" spans="2:7">
      <c r="B407" s="216"/>
      <c r="C407" s="216"/>
      <c r="D407" s="134"/>
      <c r="E407" s="217"/>
      <c r="F407" s="217"/>
      <c r="G407" s="217"/>
    </row>
    <row r="408" spans="2:7">
      <c r="B408" s="216"/>
      <c r="C408" s="216"/>
      <c r="D408" s="134"/>
      <c r="E408" s="217"/>
      <c r="F408" s="217"/>
      <c r="G408" s="217"/>
    </row>
    <row r="409" spans="2:7">
      <c r="B409" s="216"/>
      <c r="C409" s="216"/>
      <c r="D409" s="134"/>
      <c r="E409" s="217"/>
      <c r="F409" s="217"/>
      <c r="G409" s="217"/>
    </row>
    <row r="410" spans="2:7">
      <c r="B410" s="216"/>
      <c r="C410" s="216"/>
      <c r="D410" s="134"/>
      <c r="E410" s="217"/>
      <c r="F410" s="217"/>
      <c r="G410" s="217"/>
    </row>
    <row r="411" spans="2:7">
      <c r="B411" s="216"/>
      <c r="C411" s="216"/>
      <c r="D411" s="134"/>
      <c r="E411" s="217"/>
      <c r="F411" s="217"/>
      <c r="G411" s="217"/>
    </row>
    <row r="412" spans="2:7">
      <c r="B412" s="216"/>
      <c r="C412" s="216"/>
      <c r="D412" s="134"/>
      <c r="E412" s="217"/>
      <c r="F412" s="217"/>
      <c r="G412" s="217"/>
    </row>
    <row r="413" spans="2:7">
      <c r="B413" s="216"/>
      <c r="C413" s="216"/>
      <c r="D413" s="134"/>
      <c r="E413" s="217"/>
      <c r="F413" s="217"/>
      <c r="G413" s="217"/>
    </row>
    <row r="414" spans="2:7">
      <c r="B414" s="216"/>
      <c r="C414" s="216"/>
      <c r="D414" s="134"/>
      <c r="E414" s="217"/>
      <c r="F414" s="217"/>
      <c r="G414" s="217"/>
    </row>
    <row r="415" spans="2:7">
      <c r="B415" s="216"/>
      <c r="C415" s="216"/>
      <c r="D415" s="134"/>
      <c r="E415" s="217"/>
      <c r="F415" s="217"/>
      <c r="G415" s="217"/>
    </row>
    <row r="416" spans="2:7">
      <c r="B416" s="216"/>
      <c r="C416" s="216"/>
      <c r="D416" s="134"/>
      <c r="E416" s="217"/>
      <c r="F416" s="217"/>
      <c r="G416" s="217"/>
    </row>
    <row r="417" spans="2:7">
      <c r="B417" s="216"/>
      <c r="C417" s="216"/>
      <c r="D417" s="134"/>
      <c r="E417" s="217"/>
      <c r="F417" s="217"/>
      <c r="G417" s="217"/>
    </row>
    <row r="418" spans="2:7">
      <c r="B418" s="216"/>
      <c r="C418" s="216"/>
      <c r="D418" s="134"/>
      <c r="E418" s="217"/>
      <c r="F418" s="217"/>
      <c r="G418" s="217"/>
    </row>
    <row r="419" spans="2:7">
      <c r="B419" s="216"/>
      <c r="C419" s="216"/>
      <c r="D419" s="134"/>
      <c r="E419" s="217"/>
      <c r="F419" s="217"/>
      <c r="G419" s="217"/>
    </row>
    <row r="420" spans="2:7">
      <c r="B420" s="216"/>
      <c r="C420" s="216"/>
      <c r="D420" s="134"/>
      <c r="E420" s="217"/>
      <c r="F420" s="217"/>
      <c r="G420" s="217"/>
    </row>
    <row r="421" spans="2:7">
      <c r="B421" s="216"/>
      <c r="C421" s="216"/>
      <c r="D421" s="134"/>
      <c r="E421" s="217"/>
      <c r="F421" s="217"/>
      <c r="G421" s="217"/>
    </row>
    <row r="422" spans="2:7">
      <c r="B422" s="216"/>
      <c r="C422" s="216"/>
      <c r="D422" s="134"/>
      <c r="E422" s="217"/>
      <c r="F422" s="217"/>
      <c r="G422" s="217"/>
    </row>
    <row r="423" spans="2:7">
      <c r="B423" s="216"/>
      <c r="C423" s="216"/>
      <c r="D423" s="134"/>
      <c r="E423" s="217"/>
      <c r="F423" s="217"/>
      <c r="G423" s="217"/>
    </row>
    <row r="424" spans="2:7">
      <c r="B424" s="216"/>
      <c r="C424" s="216"/>
      <c r="D424" s="134"/>
      <c r="E424" s="217"/>
      <c r="F424" s="217"/>
      <c r="G424" s="217"/>
    </row>
    <row r="425" spans="2:7">
      <c r="B425" s="216"/>
      <c r="C425" s="216"/>
      <c r="D425" s="134"/>
      <c r="E425" s="217"/>
      <c r="F425" s="217"/>
      <c r="G425" s="217"/>
    </row>
    <row r="426" spans="2:7">
      <c r="B426" s="216"/>
      <c r="C426" s="216"/>
      <c r="D426" s="134"/>
      <c r="E426" s="217"/>
      <c r="F426" s="217"/>
      <c r="G426" s="217"/>
    </row>
    <row r="427" spans="2:7">
      <c r="B427" s="216"/>
      <c r="C427" s="216"/>
      <c r="D427" s="134"/>
      <c r="E427" s="217"/>
      <c r="F427" s="217"/>
      <c r="G427" s="217"/>
    </row>
    <row r="428" spans="2:7">
      <c r="B428" s="216"/>
      <c r="C428" s="216"/>
      <c r="D428" s="134"/>
      <c r="E428" s="217"/>
      <c r="F428" s="217"/>
      <c r="G428" s="217"/>
    </row>
    <row r="429" spans="2:7">
      <c r="B429" s="216"/>
      <c r="C429" s="216"/>
      <c r="D429" s="134"/>
      <c r="E429" s="217"/>
      <c r="F429" s="217"/>
      <c r="G429" s="217"/>
    </row>
    <row r="430" spans="2:7">
      <c r="B430" s="216"/>
      <c r="C430" s="216"/>
      <c r="D430" s="134"/>
      <c r="E430" s="217"/>
      <c r="F430" s="217"/>
      <c r="G430" s="217"/>
    </row>
    <row r="431" spans="2:7">
      <c r="B431" s="216"/>
      <c r="C431" s="216"/>
      <c r="D431" s="134"/>
      <c r="E431" s="217"/>
      <c r="F431" s="217"/>
      <c r="G431" s="217"/>
    </row>
    <row r="432" spans="2:7">
      <c r="B432" s="216"/>
      <c r="C432" s="216"/>
      <c r="D432" s="134"/>
      <c r="E432" s="217"/>
      <c r="F432" s="217"/>
      <c r="G432" s="217"/>
    </row>
    <row r="433" spans="2:7">
      <c r="B433" s="216"/>
      <c r="C433" s="216"/>
      <c r="D433" s="134"/>
      <c r="E433" s="217"/>
      <c r="F433" s="217"/>
      <c r="G433" s="217"/>
    </row>
    <row r="434" spans="2:7">
      <c r="B434" s="216"/>
      <c r="C434" s="216"/>
      <c r="D434" s="134"/>
      <c r="E434" s="217"/>
      <c r="F434" s="217"/>
      <c r="G434" s="217"/>
    </row>
    <row r="435" spans="2:7">
      <c r="B435" s="216"/>
      <c r="C435" s="216"/>
      <c r="D435" s="134"/>
      <c r="E435" s="217"/>
      <c r="F435" s="217"/>
      <c r="G435" s="217"/>
    </row>
    <row r="436" spans="2:7">
      <c r="B436" s="216"/>
      <c r="C436" s="216"/>
      <c r="D436" s="134"/>
      <c r="E436" s="217"/>
      <c r="F436" s="217"/>
      <c r="G436" s="217"/>
    </row>
    <row r="437" spans="2:7">
      <c r="B437" s="216"/>
      <c r="C437" s="216"/>
      <c r="D437" s="134"/>
      <c r="E437" s="217"/>
      <c r="F437" s="217"/>
      <c r="G437" s="217"/>
    </row>
    <row r="438" spans="2:7">
      <c r="B438" s="216"/>
      <c r="C438" s="216"/>
      <c r="D438" s="134"/>
      <c r="E438" s="217"/>
      <c r="F438" s="217"/>
      <c r="G438" s="217"/>
    </row>
    <row r="439" spans="2:7">
      <c r="B439" s="216"/>
      <c r="C439" s="216"/>
      <c r="D439" s="134"/>
      <c r="E439" s="217"/>
      <c r="F439" s="217"/>
      <c r="G439" s="217"/>
    </row>
    <row r="440" spans="2:7">
      <c r="B440" s="216"/>
      <c r="C440" s="216"/>
      <c r="D440" s="134"/>
      <c r="E440" s="217"/>
      <c r="F440" s="217"/>
      <c r="G440" s="217"/>
    </row>
    <row r="441" spans="2:7">
      <c r="B441" s="216"/>
      <c r="C441" s="216"/>
      <c r="D441" s="134"/>
      <c r="E441" s="217"/>
      <c r="F441" s="217"/>
      <c r="G441" s="217"/>
    </row>
    <row r="442" spans="2:7">
      <c r="B442" s="216"/>
      <c r="C442" s="216"/>
      <c r="D442" s="134"/>
      <c r="E442" s="217"/>
      <c r="F442" s="217"/>
      <c r="G442" s="217"/>
    </row>
    <row r="443" spans="2:7">
      <c r="B443" s="216"/>
      <c r="C443" s="216"/>
      <c r="D443" s="134"/>
      <c r="E443" s="217"/>
      <c r="F443" s="217"/>
      <c r="G443" s="217"/>
    </row>
    <row r="444" spans="2:7">
      <c r="B444" s="216"/>
      <c r="C444" s="216"/>
      <c r="D444" s="134"/>
      <c r="E444" s="217"/>
      <c r="F444" s="217"/>
      <c r="G444" s="217"/>
    </row>
    <row r="445" spans="2:7">
      <c r="B445" s="216"/>
      <c r="C445" s="216"/>
      <c r="D445" s="134"/>
      <c r="E445" s="217"/>
      <c r="F445" s="217"/>
      <c r="G445" s="217"/>
    </row>
    <row r="446" spans="2:7">
      <c r="B446" s="216"/>
      <c r="C446" s="216"/>
      <c r="D446" s="134"/>
      <c r="E446" s="217"/>
      <c r="F446" s="217"/>
      <c r="G446" s="217"/>
    </row>
    <row r="447" spans="2:7">
      <c r="B447" s="216"/>
      <c r="C447" s="216"/>
      <c r="D447" s="134"/>
      <c r="E447" s="217"/>
      <c r="F447" s="217"/>
      <c r="G447" s="217"/>
    </row>
    <row r="448" spans="2:7">
      <c r="B448" s="216"/>
      <c r="C448" s="216"/>
      <c r="D448" s="134"/>
      <c r="E448" s="217"/>
      <c r="F448" s="217"/>
      <c r="G448" s="217"/>
    </row>
    <row r="449" spans="2:7">
      <c r="B449" s="216"/>
      <c r="C449" s="216"/>
      <c r="D449" s="134"/>
      <c r="E449" s="217"/>
      <c r="F449" s="217"/>
      <c r="G449" s="217"/>
    </row>
    <row r="450" spans="2:7">
      <c r="B450" s="216"/>
      <c r="C450" s="216"/>
      <c r="D450" s="134"/>
      <c r="E450" s="217"/>
      <c r="F450" s="217"/>
      <c r="G450" s="217"/>
    </row>
    <row r="451" spans="2:7">
      <c r="B451" s="216"/>
      <c r="C451" s="216"/>
      <c r="D451" s="134"/>
      <c r="E451" s="217"/>
      <c r="F451" s="217"/>
      <c r="G451" s="217"/>
    </row>
    <row r="452" spans="2:7">
      <c r="B452" s="216"/>
      <c r="C452" s="216"/>
      <c r="D452" s="134"/>
      <c r="E452" s="217"/>
      <c r="F452" s="217"/>
      <c r="G452" s="217"/>
    </row>
    <row r="453" spans="2:7">
      <c r="B453" s="216"/>
      <c r="C453" s="216"/>
      <c r="D453" s="134"/>
      <c r="E453" s="217"/>
      <c r="F453" s="217"/>
      <c r="G453" s="217"/>
    </row>
    <row r="454" spans="2:7">
      <c r="B454" s="216"/>
      <c r="C454" s="216"/>
      <c r="D454" s="134"/>
      <c r="E454" s="217"/>
      <c r="F454" s="217"/>
      <c r="G454" s="217"/>
    </row>
    <row r="455" spans="2:7">
      <c r="B455" s="216"/>
      <c r="C455" s="216"/>
      <c r="D455" s="134"/>
      <c r="E455" s="217"/>
      <c r="F455" s="217"/>
      <c r="G455" s="217"/>
    </row>
    <row r="456" spans="2:7">
      <c r="B456" s="216"/>
      <c r="C456" s="216"/>
      <c r="D456" s="134"/>
      <c r="E456" s="217"/>
      <c r="F456" s="217"/>
      <c r="G456" s="217"/>
    </row>
    <row r="457" spans="2:7">
      <c r="B457" s="216"/>
      <c r="C457" s="216"/>
      <c r="D457" s="134"/>
      <c r="E457" s="217"/>
      <c r="F457" s="217"/>
      <c r="G457" s="217"/>
    </row>
    <row r="458" spans="2:7">
      <c r="B458" s="216"/>
      <c r="C458" s="216"/>
      <c r="D458" s="134"/>
      <c r="E458" s="217"/>
      <c r="F458" s="217"/>
      <c r="G458" s="217"/>
    </row>
    <row r="459" spans="2:7">
      <c r="B459" s="216"/>
      <c r="C459" s="216"/>
      <c r="D459" s="134"/>
      <c r="E459" s="217"/>
      <c r="F459" s="217"/>
      <c r="G459" s="217"/>
    </row>
    <row r="460" spans="2:7">
      <c r="B460" s="216"/>
      <c r="C460" s="216"/>
      <c r="D460" s="134"/>
      <c r="E460" s="217"/>
      <c r="F460" s="217"/>
      <c r="G460" s="217"/>
    </row>
    <row r="461" spans="2:7">
      <c r="B461" s="216"/>
      <c r="C461" s="216"/>
      <c r="D461" s="134"/>
      <c r="E461" s="217"/>
      <c r="F461" s="217"/>
      <c r="G461" s="217"/>
    </row>
    <row r="462" spans="2:7">
      <c r="B462" s="216"/>
      <c r="C462" s="216"/>
      <c r="D462" s="134"/>
      <c r="E462" s="217"/>
      <c r="F462" s="217"/>
      <c r="G462" s="217"/>
    </row>
    <row r="463" spans="2:7">
      <c r="B463" s="216"/>
      <c r="C463" s="216"/>
      <c r="D463" s="134"/>
      <c r="E463" s="217"/>
      <c r="F463" s="217"/>
      <c r="G463" s="217"/>
    </row>
    <row r="464" spans="2:7">
      <c r="B464" s="216"/>
      <c r="C464" s="216"/>
      <c r="D464" s="134"/>
      <c r="E464" s="217"/>
      <c r="F464" s="217"/>
      <c r="G464" s="217"/>
    </row>
    <row r="465" spans="2:7">
      <c r="B465" s="216"/>
      <c r="C465" s="216"/>
      <c r="D465" s="134"/>
      <c r="E465" s="217"/>
      <c r="F465" s="217"/>
      <c r="G465" s="217"/>
    </row>
    <row r="466" spans="2:7">
      <c r="B466" s="216"/>
      <c r="C466" s="216"/>
      <c r="D466" s="134"/>
      <c r="E466" s="217"/>
      <c r="F466" s="217"/>
      <c r="G466" s="217"/>
    </row>
    <row r="467" spans="2:7">
      <c r="B467" s="216"/>
      <c r="C467" s="216"/>
      <c r="D467" s="134"/>
      <c r="E467" s="217"/>
      <c r="F467" s="217"/>
      <c r="G467" s="217"/>
    </row>
    <row r="468" spans="2:7">
      <c r="B468" s="216"/>
      <c r="C468" s="216"/>
      <c r="D468" s="134"/>
      <c r="E468" s="217"/>
      <c r="F468" s="217"/>
      <c r="G468" s="217"/>
    </row>
    <row r="469" spans="2:7">
      <c r="B469" s="216"/>
      <c r="C469" s="216"/>
      <c r="D469" s="134"/>
      <c r="E469" s="217"/>
      <c r="F469" s="217"/>
      <c r="G469" s="217"/>
    </row>
    <row r="470" spans="2:7">
      <c r="B470" s="216"/>
      <c r="C470" s="216"/>
      <c r="D470" s="134"/>
      <c r="E470" s="217"/>
      <c r="F470" s="217"/>
      <c r="G470" s="217"/>
    </row>
    <row r="471" spans="2:7">
      <c r="B471" s="216"/>
      <c r="C471" s="216"/>
      <c r="D471" s="134"/>
      <c r="E471" s="217"/>
      <c r="F471" s="217"/>
      <c r="G471" s="217"/>
    </row>
    <row r="472" spans="2:7">
      <c r="B472" s="216"/>
      <c r="C472" s="216"/>
      <c r="D472" s="134"/>
      <c r="E472" s="217"/>
      <c r="F472" s="217"/>
      <c r="G472" s="217"/>
    </row>
    <row r="473" spans="2:7">
      <c r="B473" s="216"/>
      <c r="C473" s="216"/>
      <c r="D473" s="134"/>
      <c r="E473" s="217"/>
      <c r="F473" s="217"/>
      <c r="G473" s="217"/>
    </row>
    <row r="474" spans="2:7">
      <c r="B474" s="216"/>
      <c r="C474" s="216"/>
      <c r="D474" s="134"/>
      <c r="E474" s="217"/>
      <c r="F474" s="217"/>
      <c r="G474" s="217"/>
    </row>
    <row r="475" spans="2:7">
      <c r="B475" s="216"/>
      <c r="C475" s="216"/>
      <c r="D475" s="134"/>
      <c r="E475" s="217"/>
      <c r="F475" s="217"/>
      <c r="G475" s="217"/>
    </row>
    <row r="476" spans="2:7">
      <c r="B476" s="216"/>
      <c r="C476" s="216"/>
      <c r="D476" s="134"/>
      <c r="E476" s="217"/>
      <c r="F476" s="217"/>
      <c r="G476" s="217"/>
    </row>
    <row r="477" spans="2:7">
      <c r="B477" s="216"/>
      <c r="C477" s="216"/>
      <c r="D477" s="134"/>
      <c r="E477" s="217"/>
      <c r="F477" s="217"/>
      <c r="G477" s="217"/>
    </row>
    <row r="478" spans="2:7">
      <c r="B478" s="216"/>
      <c r="C478" s="216"/>
      <c r="D478" s="134"/>
      <c r="E478" s="217"/>
      <c r="F478" s="217"/>
      <c r="G478" s="217"/>
    </row>
    <row r="479" spans="2:7">
      <c r="B479" s="216"/>
      <c r="C479" s="216"/>
      <c r="D479" s="134"/>
      <c r="E479" s="217"/>
      <c r="F479" s="217"/>
      <c r="G479" s="217"/>
    </row>
    <row r="480" spans="2:7">
      <c r="B480" s="216"/>
      <c r="C480" s="216"/>
      <c r="D480" s="134"/>
      <c r="E480" s="217"/>
      <c r="F480" s="217"/>
      <c r="G480" s="217"/>
    </row>
    <row r="481" spans="2:7">
      <c r="B481" s="216"/>
      <c r="C481" s="216"/>
      <c r="D481" s="134"/>
      <c r="E481" s="217"/>
      <c r="F481" s="217"/>
      <c r="G481" s="217"/>
    </row>
    <row r="482" spans="2:7">
      <c r="B482" s="216"/>
      <c r="C482" s="216"/>
      <c r="D482" s="134"/>
      <c r="E482" s="217"/>
      <c r="F482" s="217"/>
      <c r="G482" s="217"/>
    </row>
    <row r="483" spans="2:7">
      <c r="B483" s="216"/>
      <c r="C483" s="216"/>
      <c r="D483" s="134"/>
      <c r="E483" s="217"/>
      <c r="F483" s="217"/>
      <c r="G483" s="217"/>
    </row>
    <row r="484" spans="2:7">
      <c r="B484" s="216"/>
      <c r="C484" s="216"/>
      <c r="D484" s="134"/>
      <c r="E484" s="217"/>
      <c r="F484" s="217"/>
      <c r="G484" s="217"/>
    </row>
    <row r="485" spans="2:7">
      <c r="B485" s="216"/>
      <c r="C485" s="216"/>
      <c r="D485" s="134"/>
      <c r="E485" s="217"/>
      <c r="F485" s="217"/>
      <c r="G485" s="217"/>
    </row>
    <row r="486" spans="2:7">
      <c r="B486" s="216"/>
      <c r="C486" s="216"/>
      <c r="D486" s="134"/>
      <c r="E486" s="217"/>
      <c r="F486" s="217"/>
      <c r="G486" s="217"/>
    </row>
    <row r="487" spans="2:7">
      <c r="B487" s="216"/>
      <c r="C487" s="216"/>
      <c r="D487" s="134"/>
      <c r="E487" s="217"/>
      <c r="F487" s="217"/>
      <c r="G487" s="217"/>
    </row>
    <row r="488" spans="2:7">
      <c r="B488" s="216"/>
      <c r="C488" s="216"/>
      <c r="D488" s="134"/>
      <c r="E488" s="217"/>
      <c r="F488" s="217"/>
      <c r="G488" s="217"/>
    </row>
    <row r="489" spans="2:7">
      <c r="B489" s="216"/>
      <c r="C489" s="216"/>
      <c r="D489" s="134"/>
      <c r="E489" s="217"/>
      <c r="F489" s="217"/>
      <c r="G489" s="217"/>
    </row>
    <row r="490" spans="2:7">
      <c r="B490" s="216"/>
      <c r="C490" s="216"/>
      <c r="D490" s="134"/>
      <c r="E490" s="217"/>
      <c r="F490" s="217"/>
      <c r="G490" s="217"/>
    </row>
    <row r="491" spans="2:7">
      <c r="B491" s="216"/>
      <c r="C491" s="216"/>
      <c r="D491" s="134"/>
      <c r="E491" s="217"/>
      <c r="F491" s="217"/>
      <c r="G491" s="217"/>
    </row>
    <row r="492" spans="2:7">
      <c r="B492" s="216"/>
      <c r="C492" s="216"/>
      <c r="D492" s="134"/>
      <c r="E492" s="217"/>
      <c r="F492" s="217"/>
      <c r="G492" s="217"/>
    </row>
    <row r="493" spans="2:7">
      <c r="B493" s="216"/>
      <c r="C493" s="216"/>
      <c r="D493" s="134"/>
      <c r="E493" s="217"/>
      <c r="F493" s="217"/>
      <c r="G493" s="217"/>
    </row>
    <row r="494" spans="2:7">
      <c r="B494" s="216"/>
      <c r="C494" s="216"/>
      <c r="D494" s="134"/>
      <c r="E494" s="217"/>
      <c r="F494" s="217"/>
      <c r="G494" s="217"/>
    </row>
    <row r="495" spans="2:7">
      <c r="B495" s="216"/>
      <c r="C495" s="216"/>
      <c r="D495" s="134"/>
      <c r="E495" s="217"/>
      <c r="F495" s="217"/>
      <c r="G495" s="217"/>
    </row>
    <row r="496" spans="2:7">
      <c r="B496" s="216"/>
      <c r="C496" s="216"/>
      <c r="D496" s="134"/>
      <c r="E496" s="217"/>
      <c r="F496" s="217"/>
      <c r="G496" s="217"/>
    </row>
    <row r="497" spans="2:7">
      <c r="B497" s="216"/>
      <c r="C497" s="216"/>
      <c r="D497" s="134"/>
      <c r="E497" s="217"/>
      <c r="F497" s="217"/>
      <c r="G497" s="217"/>
    </row>
    <row r="498" spans="2:7">
      <c r="B498" s="216"/>
      <c r="C498" s="216"/>
      <c r="D498" s="134"/>
      <c r="E498" s="217"/>
      <c r="F498" s="217"/>
      <c r="G498" s="217"/>
    </row>
    <row r="499" spans="2:7">
      <c r="B499" s="216"/>
      <c r="C499" s="216"/>
      <c r="D499" s="134"/>
      <c r="E499" s="217"/>
      <c r="F499" s="217"/>
      <c r="G499" s="217"/>
    </row>
    <row r="500" spans="2:7">
      <c r="B500" s="216"/>
      <c r="C500" s="216"/>
      <c r="D500" s="134"/>
      <c r="E500" s="217"/>
      <c r="F500" s="217"/>
      <c r="G500" s="217"/>
    </row>
    <row r="501" spans="2:7">
      <c r="B501" s="216"/>
      <c r="C501" s="216"/>
      <c r="D501" s="134"/>
      <c r="E501" s="217"/>
      <c r="F501" s="217"/>
      <c r="G501" s="217"/>
    </row>
    <row r="502" spans="2:7">
      <c r="B502" s="216"/>
      <c r="C502" s="216"/>
      <c r="D502" s="134"/>
      <c r="E502" s="217"/>
      <c r="F502" s="217"/>
      <c r="G502" s="217"/>
    </row>
    <row r="503" spans="2:7">
      <c r="B503" s="216"/>
      <c r="C503" s="216"/>
      <c r="D503" s="134"/>
      <c r="E503" s="217"/>
      <c r="F503" s="217"/>
      <c r="G503" s="217"/>
    </row>
    <row r="504" spans="2:7">
      <c r="B504" s="216"/>
      <c r="C504" s="216"/>
      <c r="D504" s="134"/>
      <c r="E504" s="217"/>
      <c r="F504" s="217"/>
      <c r="G504" s="217"/>
    </row>
    <row r="505" spans="2:7">
      <c r="B505" s="216"/>
      <c r="C505" s="216"/>
      <c r="D505" s="134"/>
      <c r="E505" s="217"/>
      <c r="F505" s="217"/>
      <c r="G505" s="217"/>
    </row>
    <row r="506" spans="2:7">
      <c r="B506" s="216"/>
      <c r="C506" s="216"/>
      <c r="D506" s="134"/>
      <c r="E506" s="217"/>
      <c r="F506" s="217"/>
      <c r="G506" s="217"/>
    </row>
    <row r="507" spans="2:7">
      <c r="B507" s="216"/>
      <c r="C507" s="216"/>
      <c r="D507" s="134"/>
      <c r="E507" s="217"/>
      <c r="F507" s="217"/>
      <c r="G507" s="217"/>
    </row>
    <row r="508" spans="2:7">
      <c r="B508" s="216"/>
      <c r="C508" s="216"/>
      <c r="D508" s="134"/>
      <c r="E508" s="217"/>
      <c r="F508" s="217"/>
      <c r="G508" s="217"/>
    </row>
    <row r="509" spans="2:7">
      <c r="B509" s="216"/>
      <c r="C509" s="216"/>
      <c r="D509" s="134"/>
      <c r="E509" s="217"/>
      <c r="F509" s="217"/>
      <c r="G509" s="217"/>
    </row>
    <row r="510" spans="2:7">
      <c r="B510" s="216"/>
      <c r="C510" s="216"/>
      <c r="D510" s="134"/>
      <c r="E510" s="217"/>
      <c r="F510" s="217"/>
      <c r="G510" s="217"/>
    </row>
    <row r="511" spans="2:7">
      <c r="B511" s="216"/>
      <c r="C511" s="216"/>
      <c r="D511" s="134"/>
      <c r="E511" s="217"/>
      <c r="F511" s="217"/>
      <c r="G511" s="217"/>
    </row>
    <row r="512" spans="2:7">
      <c r="B512" s="216"/>
      <c r="C512" s="216"/>
      <c r="D512" s="134"/>
      <c r="E512" s="217"/>
      <c r="F512" s="217"/>
      <c r="G512" s="217"/>
    </row>
    <row r="513" spans="2:7">
      <c r="B513" s="216"/>
      <c r="C513" s="216"/>
      <c r="D513" s="134"/>
      <c r="E513" s="217"/>
      <c r="F513" s="217"/>
      <c r="G513" s="217"/>
    </row>
    <row r="514" spans="2:7">
      <c r="B514" s="216"/>
      <c r="C514" s="216"/>
      <c r="D514" s="134"/>
      <c r="E514" s="217"/>
      <c r="F514" s="217"/>
      <c r="G514" s="217"/>
    </row>
    <row r="515" spans="2:7">
      <c r="B515" s="216"/>
      <c r="C515" s="216"/>
      <c r="D515" s="134"/>
      <c r="E515" s="217"/>
      <c r="F515" s="217"/>
      <c r="G515" s="217"/>
    </row>
    <row r="516" spans="2:7">
      <c r="B516" s="216"/>
      <c r="C516" s="216"/>
      <c r="D516" s="134"/>
      <c r="E516" s="217"/>
      <c r="F516" s="217"/>
      <c r="G516" s="217"/>
    </row>
    <row r="517" spans="2:7">
      <c r="B517" s="216"/>
      <c r="C517" s="216"/>
      <c r="D517" s="134"/>
      <c r="E517" s="217"/>
      <c r="F517" s="217"/>
      <c r="G517" s="217"/>
    </row>
    <row r="518" spans="2:7">
      <c r="B518" s="216"/>
      <c r="C518" s="216"/>
      <c r="D518" s="134"/>
      <c r="E518" s="217"/>
      <c r="F518" s="217"/>
      <c r="G518" s="217"/>
    </row>
    <row r="519" spans="2:7">
      <c r="B519" s="216"/>
      <c r="C519" s="216"/>
      <c r="D519" s="134"/>
      <c r="E519" s="217"/>
      <c r="F519" s="217"/>
      <c r="G519" s="217"/>
    </row>
    <row r="520" spans="2:7">
      <c r="B520" s="216"/>
      <c r="C520" s="216"/>
      <c r="D520" s="134"/>
      <c r="E520" s="217"/>
      <c r="F520" s="217"/>
      <c r="G520" s="217"/>
    </row>
    <row r="521" spans="2:7">
      <c r="B521" s="216"/>
      <c r="C521" s="216"/>
      <c r="D521" s="134"/>
      <c r="E521" s="217"/>
      <c r="F521" s="217"/>
      <c r="G521" s="217"/>
    </row>
    <row r="522" spans="2:7">
      <c r="B522" s="216"/>
      <c r="C522" s="216"/>
      <c r="D522" s="134"/>
      <c r="E522" s="217"/>
      <c r="F522" s="217"/>
      <c r="G522" s="217"/>
    </row>
    <row r="523" spans="2:7">
      <c r="B523" s="216"/>
      <c r="C523" s="216"/>
      <c r="D523" s="134"/>
      <c r="E523" s="217"/>
      <c r="F523" s="217"/>
      <c r="G523" s="217"/>
    </row>
    <row r="524" spans="2:7">
      <c r="B524" s="216"/>
      <c r="C524" s="216"/>
      <c r="D524" s="134"/>
      <c r="E524" s="217"/>
      <c r="F524" s="217"/>
      <c r="G524" s="217"/>
    </row>
    <row r="525" spans="2:7">
      <c r="B525" s="216"/>
      <c r="C525" s="216"/>
      <c r="D525" s="134"/>
      <c r="E525" s="217"/>
      <c r="F525" s="217"/>
      <c r="G525" s="217"/>
    </row>
    <row r="526" spans="2:7">
      <c r="B526" s="216"/>
      <c r="C526" s="216"/>
      <c r="D526" s="134"/>
      <c r="E526" s="217"/>
      <c r="F526" s="217"/>
      <c r="G526" s="217"/>
    </row>
    <row r="527" spans="2:7">
      <c r="B527" s="216"/>
      <c r="C527" s="216"/>
      <c r="D527" s="134"/>
      <c r="E527" s="217"/>
      <c r="F527" s="217"/>
      <c r="G527" s="217"/>
    </row>
    <row r="528" spans="2:7">
      <c r="B528" s="216"/>
      <c r="C528" s="216"/>
      <c r="D528" s="134"/>
      <c r="E528" s="217"/>
      <c r="F528" s="217"/>
      <c r="G528" s="217"/>
    </row>
    <row r="529" spans="2:7">
      <c r="B529" s="216"/>
      <c r="C529" s="216"/>
      <c r="D529" s="134"/>
      <c r="E529" s="217"/>
      <c r="F529" s="217"/>
      <c r="G529" s="217"/>
    </row>
    <row r="530" spans="2:7">
      <c r="B530" s="216"/>
      <c r="C530" s="216"/>
      <c r="D530" s="134"/>
      <c r="E530" s="217"/>
      <c r="F530" s="217"/>
      <c r="G530" s="217"/>
    </row>
    <row r="531" spans="2:7">
      <c r="B531" s="216"/>
      <c r="C531" s="216"/>
      <c r="D531" s="134"/>
      <c r="E531" s="217"/>
      <c r="F531" s="217"/>
      <c r="G531" s="217"/>
    </row>
    <row r="532" spans="2:7">
      <c r="B532" s="216"/>
      <c r="C532" s="216"/>
      <c r="D532" s="134"/>
      <c r="E532" s="217"/>
      <c r="F532" s="217"/>
      <c r="G532" s="217"/>
    </row>
    <row r="533" spans="2:7">
      <c r="B533" s="216"/>
      <c r="C533" s="216"/>
      <c r="D533" s="134"/>
      <c r="E533" s="217"/>
      <c r="F533" s="217"/>
      <c r="G533" s="217"/>
    </row>
    <row r="534" spans="2:7">
      <c r="B534" s="216"/>
      <c r="C534" s="216"/>
      <c r="D534" s="134"/>
      <c r="E534" s="217"/>
      <c r="F534" s="217"/>
      <c r="G534" s="217"/>
    </row>
    <row r="535" spans="2:7">
      <c r="B535" s="216"/>
      <c r="C535" s="216"/>
      <c r="D535" s="134"/>
      <c r="E535" s="217"/>
      <c r="F535" s="217"/>
      <c r="G535" s="217"/>
    </row>
    <row r="536" spans="2:7">
      <c r="B536" s="216"/>
      <c r="C536" s="216"/>
      <c r="D536" s="134"/>
      <c r="E536" s="217"/>
      <c r="F536" s="217"/>
      <c r="G536" s="217"/>
    </row>
    <row r="537" spans="2:7">
      <c r="B537" s="216"/>
      <c r="C537" s="216"/>
      <c r="D537" s="134"/>
      <c r="E537" s="217"/>
      <c r="F537" s="217"/>
      <c r="G537" s="217"/>
    </row>
    <row r="538" spans="2:7">
      <c r="B538" s="216"/>
      <c r="C538" s="216"/>
      <c r="D538" s="134"/>
      <c r="E538" s="217"/>
      <c r="F538" s="217"/>
      <c r="G538" s="217"/>
    </row>
    <row r="539" spans="2:7">
      <c r="B539" s="216"/>
      <c r="C539" s="216"/>
      <c r="D539" s="134"/>
      <c r="E539" s="217"/>
      <c r="F539" s="217"/>
      <c r="G539" s="217"/>
    </row>
    <row r="540" spans="2:7">
      <c r="B540" s="216"/>
      <c r="C540" s="216"/>
      <c r="D540" s="134"/>
      <c r="E540" s="217"/>
      <c r="F540" s="217"/>
      <c r="G540" s="217"/>
    </row>
    <row r="541" spans="2:7">
      <c r="B541" s="216"/>
      <c r="C541" s="216"/>
      <c r="D541" s="134"/>
      <c r="E541" s="217"/>
      <c r="F541" s="217"/>
      <c r="G541" s="217"/>
    </row>
    <row r="542" spans="2:7">
      <c r="B542" s="216"/>
      <c r="C542" s="216"/>
      <c r="D542" s="134"/>
      <c r="E542" s="217"/>
      <c r="F542" s="217"/>
      <c r="G542" s="217"/>
    </row>
    <row r="543" spans="2:7">
      <c r="B543" s="216"/>
      <c r="C543" s="216"/>
      <c r="D543" s="134"/>
      <c r="E543" s="217"/>
      <c r="F543" s="217"/>
      <c r="G543" s="217"/>
    </row>
    <row r="544" spans="2:7">
      <c r="B544" s="216"/>
      <c r="C544" s="216"/>
      <c r="D544" s="134"/>
      <c r="E544" s="217"/>
      <c r="F544" s="217"/>
      <c r="G544" s="217"/>
    </row>
    <row r="545" spans="2:7">
      <c r="B545" s="216"/>
      <c r="C545" s="216"/>
      <c r="D545" s="134"/>
      <c r="E545" s="217"/>
      <c r="F545" s="217"/>
      <c r="G545" s="217"/>
    </row>
    <row r="546" spans="2:7">
      <c r="B546" s="216"/>
      <c r="C546" s="216"/>
      <c r="D546" s="134"/>
      <c r="E546" s="217"/>
      <c r="F546" s="217"/>
      <c r="G546" s="217"/>
    </row>
    <row r="547" spans="2:7">
      <c r="B547" s="216"/>
      <c r="C547" s="216"/>
      <c r="D547" s="134"/>
      <c r="E547" s="217"/>
      <c r="F547" s="217"/>
      <c r="G547" s="217"/>
    </row>
    <row r="548" spans="2:7">
      <c r="B548" s="216"/>
      <c r="C548" s="216"/>
      <c r="D548" s="134"/>
      <c r="E548" s="217"/>
      <c r="F548" s="217"/>
      <c r="G548" s="217"/>
    </row>
    <row r="549" spans="2:7">
      <c r="B549" s="216"/>
      <c r="C549" s="216"/>
      <c r="D549" s="134"/>
      <c r="E549" s="217"/>
      <c r="F549" s="217"/>
      <c r="G549" s="217"/>
    </row>
    <row r="550" spans="2:7">
      <c r="B550" s="216"/>
      <c r="C550" s="216"/>
      <c r="D550" s="134"/>
      <c r="E550" s="217"/>
      <c r="F550" s="217"/>
      <c r="G550" s="217"/>
    </row>
    <row r="551" spans="2:7">
      <c r="B551" s="216"/>
      <c r="C551" s="216"/>
      <c r="D551" s="134"/>
      <c r="E551" s="217"/>
      <c r="F551" s="217"/>
      <c r="G551" s="217"/>
    </row>
    <row r="552" spans="2:7">
      <c r="B552" s="216"/>
      <c r="C552" s="216"/>
      <c r="D552" s="134"/>
      <c r="E552" s="217"/>
      <c r="F552" s="217"/>
      <c r="G552" s="217"/>
    </row>
    <row r="553" spans="2:7">
      <c r="B553" s="216"/>
      <c r="C553" s="216"/>
      <c r="D553" s="134"/>
      <c r="E553" s="217"/>
      <c r="F553" s="217"/>
      <c r="G553" s="217"/>
    </row>
    <row r="554" spans="2:7">
      <c r="B554" s="216"/>
      <c r="C554" s="216"/>
      <c r="D554" s="134"/>
      <c r="E554" s="217"/>
      <c r="F554" s="217"/>
      <c r="G554" s="217"/>
    </row>
    <row r="555" spans="2:7">
      <c r="B555" s="216"/>
      <c r="C555" s="216"/>
      <c r="D555" s="134"/>
      <c r="E555" s="217"/>
      <c r="F555" s="217"/>
      <c r="G555" s="217"/>
    </row>
    <row r="556" spans="2:7">
      <c r="B556" s="216"/>
      <c r="C556" s="216"/>
      <c r="D556" s="134"/>
      <c r="E556" s="217"/>
      <c r="F556" s="217"/>
      <c r="G556" s="217"/>
    </row>
    <row r="557" spans="2:7">
      <c r="B557" s="216"/>
      <c r="C557" s="216"/>
      <c r="D557" s="134"/>
      <c r="E557" s="217"/>
      <c r="F557" s="217"/>
      <c r="G557" s="217"/>
    </row>
    <row r="558" spans="2:7">
      <c r="B558" s="216"/>
      <c r="C558" s="216"/>
      <c r="D558" s="134"/>
      <c r="E558" s="217"/>
      <c r="F558" s="217"/>
      <c r="G558" s="217"/>
    </row>
    <row r="559" spans="2:7">
      <c r="B559" s="216"/>
      <c r="C559" s="216"/>
      <c r="D559" s="134"/>
      <c r="E559" s="217"/>
      <c r="F559" s="217"/>
      <c r="G559" s="217"/>
    </row>
    <row r="560" spans="2:7">
      <c r="B560" s="216"/>
      <c r="C560" s="216"/>
      <c r="D560" s="134"/>
      <c r="E560" s="217"/>
      <c r="F560" s="217"/>
      <c r="G560" s="217"/>
    </row>
    <row r="561" spans="2:7">
      <c r="B561" s="216"/>
      <c r="C561" s="216"/>
      <c r="D561" s="134"/>
      <c r="E561" s="217"/>
      <c r="F561" s="217"/>
      <c r="G561" s="217"/>
    </row>
    <row r="562" spans="2:7">
      <c r="B562" s="216"/>
      <c r="C562" s="216"/>
      <c r="D562" s="134"/>
      <c r="E562" s="217"/>
      <c r="F562" s="217"/>
      <c r="G562" s="217"/>
    </row>
    <row r="563" spans="2:7">
      <c r="B563" s="216"/>
      <c r="C563" s="216"/>
      <c r="D563" s="134"/>
      <c r="E563" s="217"/>
      <c r="F563" s="217"/>
      <c r="G563" s="217"/>
    </row>
    <row r="564" spans="2:7">
      <c r="B564" s="216"/>
      <c r="C564" s="216"/>
      <c r="D564" s="134"/>
      <c r="E564" s="217"/>
      <c r="F564" s="217"/>
      <c r="G564" s="217"/>
    </row>
    <row r="565" spans="2:7">
      <c r="B565" s="216"/>
      <c r="C565" s="216"/>
      <c r="D565" s="134"/>
      <c r="E565" s="217"/>
      <c r="F565" s="217"/>
      <c r="G565" s="217"/>
    </row>
    <row r="566" spans="2:7">
      <c r="B566" s="216"/>
      <c r="C566" s="216"/>
      <c r="D566" s="134"/>
      <c r="E566" s="217"/>
      <c r="F566" s="217"/>
      <c r="G566" s="217"/>
    </row>
    <row r="567" spans="2:7">
      <c r="B567" s="216"/>
      <c r="C567" s="216"/>
      <c r="D567" s="134"/>
      <c r="E567" s="217"/>
      <c r="F567" s="217"/>
      <c r="G567" s="217"/>
    </row>
    <row r="568" spans="2:7">
      <c r="B568" s="216"/>
      <c r="C568" s="216"/>
      <c r="D568" s="134"/>
      <c r="E568" s="217"/>
      <c r="F568" s="217"/>
      <c r="G568" s="217"/>
    </row>
    <row r="569" spans="2:7">
      <c r="B569" s="216"/>
      <c r="C569" s="216"/>
      <c r="D569" s="134"/>
      <c r="E569" s="217"/>
      <c r="F569" s="217"/>
      <c r="G569" s="217"/>
    </row>
    <row r="570" spans="2:7">
      <c r="B570" s="216"/>
      <c r="C570" s="216"/>
      <c r="D570" s="134"/>
      <c r="E570" s="217"/>
      <c r="F570" s="217"/>
      <c r="G570" s="217"/>
    </row>
    <row r="571" spans="2:7">
      <c r="B571" s="216"/>
      <c r="C571" s="216"/>
      <c r="D571" s="134"/>
      <c r="E571" s="217"/>
      <c r="F571" s="217"/>
      <c r="G571" s="217"/>
    </row>
    <row r="572" spans="2:7">
      <c r="B572" s="216"/>
      <c r="C572" s="216"/>
      <c r="D572" s="134"/>
      <c r="E572" s="217"/>
      <c r="F572" s="217"/>
      <c r="G572" s="217"/>
    </row>
    <row r="573" spans="2:7">
      <c r="B573" s="216"/>
      <c r="C573" s="216"/>
      <c r="D573" s="134"/>
      <c r="E573" s="217"/>
      <c r="F573" s="217"/>
      <c r="G573" s="217"/>
    </row>
    <row r="574" spans="2:7">
      <c r="B574" s="216"/>
      <c r="C574" s="216"/>
      <c r="D574" s="134"/>
      <c r="E574" s="217"/>
      <c r="F574" s="217"/>
      <c r="G574" s="217"/>
    </row>
    <row r="575" spans="2:7">
      <c r="B575" s="216"/>
      <c r="C575" s="216"/>
      <c r="D575" s="134"/>
      <c r="E575" s="217"/>
      <c r="F575" s="217"/>
      <c r="G575" s="217"/>
    </row>
    <row r="576" spans="2:7">
      <c r="B576" s="216"/>
      <c r="C576" s="216"/>
      <c r="D576" s="134"/>
      <c r="E576" s="217"/>
      <c r="F576" s="217"/>
      <c r="G576" s="217"/>
    </row>
    <row r="577" spans="2:7">
      <c r="B577" s="216"/>
      <c r="C577" s="216"/>
      <c r="D577" s="134"/>
      <c r="E577" s="217"/>
      <c r="F577" s="217"/>
      <c r="G577" s="217"/>
    </row>
    <row r="578" spans="2:7">
      <c r="B578" s="216"/>
      <c r="C578" s="216"/>
      <c r="D578" s="134"/>
      <c r="E578" s="217"/>
      <c r="F578" s="217"/>
      <c r="G578" s="217"/>
    </row>
    <row r="579" spans="2:7">
      <c r="B579" s="216"/>
      <c r="C579" s="216"/>
      <c r="D579" s="134"/>
      <c r="E579" s="217"/>
      <c r="F579" s="217"/>
      <c r="G579" s="217"/>
    </row>
    <row r="580" spans="2:7">
      <c r="B580" s="216"/>
      <c r="C580" s="216"/>
      <c r="D580" s="134"/>
      <c r="E580" s="217"/>
      <c r="F580" s="217"/>
      <c r="G580" s="217"/>
    </row>
    <row r="581" spans="2:7">
      <c r="B581" s="216"/>
      <c r="C581" s="216"/>
      <c r="D581" s="134"/>
      <c r="E581" s="217"/>
      <c r="F581" s="217"/>
      <c r="G581" s="217"/>
    </row>
    <row r="582" spans="2:7">
      <c r="B582" s="216"/>
      <c r="C582" s="216"/>
      <c r="D582" s="134"/>
      <c r="E582" s="217"/>
      <c r="F582" s="217"/>
      <c r="G582" s="217"/>
    </row>
    <row r="583" spans="2:7">
      <c r="B583" s="216"/>
      <c r="C583" s="216"/>
      <c r="D583" s="134"/>
      <c r="E583" s="217"/>
      <c r="F583" s="217"/>
      <c r="G583" s="217"/>
    </row>
    <row r="584" spans="2:7">
      <c r="B584" s="216"/>
      <c r="C584" s="216"/>
      <c r="D584" s="134"/>
      <c r="E584" s="217"/>
      <c r="F584" s="217"/>
      <c r="G584" s="217"/>
    </row>
    <row r="585" spans="2:7">
      <c r="B585" s="216"/>
      <c r="C585" s="216"/>
      <c r="D585" s="134"/>
      <c r="E585" s="217"/>
      <c r="F585" s="217"/>
      <c r="G585" s="217"/>
    </row>
    <row r="586" spans="2:7">
      <c r="B586" s="216"/>
      <c r="C586" s="216"/>
      <c r="D586" s="134"/>
      <c r="E586" s="217"/>
      <c r="F586" s="217"/>
      <c r="G586" s="217"/>
    </row>
    <row r="587" spans="2:7">
      <c r="B587" s="216"/>
      <c r="C587" s="216"/>
      <c r="D587" s="134"/>
      <c r="E587" s="217"/>
      <c r="F587" s="217"/>
      <c r="G587" s="217"/>
    </row>
    <row r="588" spans="2:7">
      <c r="B588" s="216"/>
      <c r="C588" s="216"/>
      <c r="D588" s="134"/>
      <c r="E588" s="217"/>
      <c r="F588" s="217"/>
      <c r="G588" s="217"/>
    </row>
    <row r="589" spans="2:7">
      <c r="B589" s="216"/>
      <c r="C589" s="216"/>
      <c r="D589" s="134"/>
      <c r="E589" s="217"/>
      <c r="F589" s="217"/>
      <c r="G589" s="217"/>
    </row>
    <row r="590" spans="2:7">
      <c r="B590" s="216"/>
      <c r="C590" s="216"/>
      <c r="D590" s="134"/>
      <c r="E590" s="217"/>
      <c r="F590" s="217"/>
      <c r="G590" s="217"/>
    </row>
    <row r="591" spans="2:7">
      <c r="B591" s="216"/>
      <c r="C591" s="216"/>
      <c r="D591" s="134"/>
      <c r="E591" s="217"/>
      <c r="F591" s="217"/>
      <c r="G591" s="217"/>
    </row>
    <row r="592" spans="2:7">
      <c r="B592" s="216"/>
      <c r="C592" s="216"/>
      <c r="D592" s="134"/>
      <c r="E592" s="217"/>
      <c r="F592" s="217"/>
      <c r="G592" s="217"/>
    </row>
    <row r="593" spans="2:7">
      <c r="B593" s="216"/>
      <c r="C593" s="216"/>
      <c r="D593" s="134"/>
      <c r="E593" s="217"/>
      <c r="F593" s="217"/>
      <c r="G593" s="217"/>
    </row>
    <row r="594" spans="2:7">
      <c r="B594" s="216"/>
      <c r="C594" s="216"/>
      <c r="D594" s="134"/>
      <c r="E594" s="217"/>
      <c r="F594" s="217"/>
      <c r="G594" s="217"/>
    </row>
    <row r="595" spans="2:7">
      <c r="B595" s="216"/>
      <c r="C595" s="216"/>
      <c r="D595" s="134"/>
      <c r="E595" s="217"/>
      <c r="F595" s="217"/>
      <c r="G595" s="217"/>
    </row>
    <row r="596" spans="2:7">
      <c r="B596" s="216"/>
      <c r="C596" s="216"/>
      <c r="D596" s="134"/>
      <c r="E596" s="217"/>
      <c r="F596" s="217"/>
      <c r="G596" s="217"/>
    </row>
    <row r="597" spans="2:7">
      <c r="B597" s="216"/>
      <c r="C597" s="216"/>
      <c r="D597" s="134"/>
      <c r="E597" s="217"/>
      <c r="F597" s="217"/>
      <c r="G597" s="217"/>
    </row>
    <row r="598" spans="2:7">
      <c r="B598" s="216"/>
      <c r="C598" s="216"/>
      <c r="D598" s="134"/>
      <c r="E598" s="217"/>
      <c r="F598" s="217"/>
      <c r="G598" s="217"/>
    </row>
    <row r="599" spans="2:7">
      <c r="B599" s="218"/>
      <c r="C599" s="219"/>
      <c r="D599" s="134"/>
      <c r="E599" s="217"/>
      <c r="F599" s="217"/>
      <c r="G599" s="217"/>
    </row>
    <row r="600" spans="2:7">
      <c r="B600" s="218"/>
      <c r="C600" s="219"/>
      <c r="D600" s="134"/>
      <c r="E600" s="217"/>
      <c r="F600" s="217"/>
      <c r="G600" s="217"/>
    </row>
    <row r="601" spans="2:7">
      <c r="B601" s="218"/>
      <c r="C601" s="219"/>
      <c r="D601" s="134"/>
      <c r="E601" s="217"/>
      <c r="F601" s="217"/>
      <c r="G601" s="217"/>
    </row>
    <row r="602" spans="2:7">
      <c r="B602" s="218"/>
      <c r="C602" s="219"/>
      <c r="D602" s="134"/>
      <c r="E602" s="217"/>
      <c r="F602" s="217"/>
      <c r="G602" s="217"/>
    </row>
    <row r="603" spans="2:7">
      <c r="B603" s="218"/>
      <c r="C603" s="219"/>
      <c r="D603" s="134"/>
      <c r="E603" s="217"/>
      <c r="F603" s="217"/>
      <c r="G603" s="217"/>
    </row>
    <row r="604" spans="2:7">
      <c r="B604" s="218"/>
      <c r="C604" s="219"/>
      <c r="D604" s="134"/>
      <c r="E604" s="217"/>
      <c r="F604" s="217"/>
      <c r="G604" s="217"/>
    </row>
    <row r="605" spans="2:7">
      <c r="B605" s="218"/>
      <c r="C605" s="219"/>
      <c r="D605" s="134"/>
      <c r="E605" s="217"/>
      <c r="F605" s="217"/>
      <c r="G605" s="217"/>
    </row>
    <row r="606" spans="2:7">
      <c r="B606" s="218"/>
      <c r="C606" s="219"/>
      <c r="D606" s="134"/>
      <c r="E606" s="217"/>
      <c r="F606" s="217"/>
      <c r="G606" s="217"/>
    </row>
    <row r="607" spans="2:7">
      <c r="B607" s="218"/>
      <c r="C607" s="219"/>
      <c r="D607" s="134"/>
      <c r="E607" s="217"/>
      <c r="F607" s="217"/>
      <c r="G607" s="217"/>
    </row>
    <row r="608" spans="2:7">
      <c r="B608" s="218"/>
      <c r="C608" s="219"/>
      <c r="D608" s="134"/>
      <c r="E608" s="217"/>
      <c r="F608" s="217"/>
      <c r="G608" s="217"/>
    </row>
    <row r="609" spans="2:7">
      <c r="B609" s="218"/>
      <c r="C609" s="219"/>
      <c r="D609" s="134"/>
      <c r="E609" s="217"/>
      <c r="F609" s="217"/>
      <c r="G609" s="217"/>
    </row>
    <row r="610" spans="2:7">
      <c r="B610" s="218"/>
      <c r="C610" s="219"/>
      <c r="D610" s="134"/>
      <c r="E610" s="217"/>
      <c r="F610" s="217"/>
      <c r="G610" s="217"/>
    </row>
    <row r="611" spans="2:7">
      <c r="B611" s="218"/>
      <c r="C611" s="219"/>
      <c r="D611" s="134"/>
      <c r="E611" s="217"/>
      <c r="F611" s="217"/>
      <c r="G611" s="217"/>
    </row>
    <row r="612" spans="2:7">
      <c r="B612" s="218"/>
      <c r="C612" s="219"/>
      <c r="D612" s="134"/>
      <c r="E612" s="217"/>
      <c r="F612" s="217"/>
      <c r="G612" s="217"/>
    </row>
    <row r="613" spans="2:7">
      <c r="B613" s="218"/>
      <c r="C613" s="219"/>
      <c r="D613" s="134"/>
      <c r="E613" s="217"/>
      <c r="F613" s="217"/>
      <c r="G613" s="217"/>
    </row>
    <row r="614" spans="2:7">
      <c r="B614" s="218"/>
      <c r="C614" s="219"/>
      <c r="D614" s="134"/>
      <c r="E614" s="217"/>
      <c r="F614" s="217"/>
      <c r="G614" s="217"/>
    </row>
    <row r="615" spans="2:7">
      <c r="B615" s="218"/>
      <c r="C615" s="219"/>
      <c r="D615" s="134"/>
      <c r="E615" s="217"/>
      <c r="F615" s="217"/>
      <c r="G615" s="217"/>
    </row>
    <row r="616" spans="2:7">
      <c r="B616" s="218"/>
      <c r="C616" s="219"/>
      <c r="D616" s="134"/>
      <c r="E616" s="217"/>
      <c r="F616" s="217"/>
      <c r="G616" s="217"/>
    </row>
    <row r="617" spans="2:7">
      <c r="B617" s="218"/>
      <c r="C617" s="219"/>
      <c r="D617" s="134"/>
      <c r="E617" s="217"/>
      <c r="F617" s="217"/>
      <c r="G617" s="217"/>
    </row>
    <row r="618" spans="2:7">
      <c r="B618" s="218"/>
      <c r="C618" s="219"/>
      <c r="D618" s="134"/>
      <c r="E618" s="217"/>
      <c r="F618" s="217"/>
      <c r="G618" s="217"/>
    </row>
    <row r="619" spans="2:7">
      <c r="B619" s="218"/>
      <c r="C619" s="219"/>
      <c r="D619" s="134"/>
      <c r="E619" s="217"/>
      <c r="F619" s="217"/>
      <c r="G619" s="217"/>
    </row>
    <row r="620" spans="2:7">
      <c r="B620" s="218"/>
      <c r="C620" s="219"/>
      <c r="D620" s="134"/>
      <c r="E620" s="217"/>
      <c r="F620" s="217"/>
      <c r="G620" s="217"/>
    </row>
    <row r="621" spans="2:7">
      <c r="B621" s="218"/>
      <c r="C621" s="219"/>
      <c r="D621" s="134"/>
      <c r="E621" s="217"/>
      <c r="F621" s="217"/>
      <c r="G621" s="217"/>
    </row>
    <row r="622" spans="2:7">
      <c r="B622" s="218"/>
      <c r="C622" s="219"/>
      <c r="D622" s="134"/>
      <c r="E622" s="217"/>
      <c r="F622" s="217"/>
      <c r="G622" s="217"/>
    </row>
    <row r="623" spans="2:7">
      <c r="B623" s="218"/>
      <c r="C623" s="219"/>
      <c r="D623" s="134"/>
      <c r="E623" s="217"/>
      <c r="F623" s="217"/>
      <c r="G623" s="217"/>
    </row>
    <row r="624" spans="2:7">
      <c r="B624" s="218"/>
      <c r="C624" s="219"/>
      <c r="D624" s="134"/>
      <c r="E624" s="217"/>
      <c r="F624" s="217"/>
      <c r="G624" s="217"/>
    </row>
    <row r="625" spans="2:7">
      <c r="B625" s="218"/>
      <c r="C625" s="219"/>
      <c r="D625" s="134"/>
      <c r="E625" s="217"/>
      <c r="F625" s="217"/>
      <c r="G625" s="217"/>
    </row>
    <row r="626" spans="2:7">
      <c r="B626" s="218"/>
      <c r="C626" s="219"/>
      <c r="D626" s="134"/>
      <c r="E626" s="217"/>
      <c r="F626" s="217"/>
      <c r="G626" s="217"/>
    </row>
    <row r="627" spans="2:7">
      <c r="B627" s="218"/>
      <c r="C627" s="219"/>
      <c r="D627" s="134"/>
      <c r="E627" s="217"/>
      <c r="F627" s="217"/>
      <c r="G627" s="217"/>
    </row>
    <row r="628" spans="2:7">
      <c r="B628" s="218"/>
      <c r="C628" s="219"/>
      <c r="D628" s="134"/>
      <c r="E628" s="217"/>
      <c r="F628" s="217"/>
      <c r="G628" s="217"/>
    </row>
    <row r="629" spans="2:7">
      <c r="B629" s="218"/>
      <c r="C629" s="219"/>
      <c r="D629" s="134"/>
      <c r="E629" s="217"/>
      <c r="F629" s="217"/>
      <c r="G629" s="217"/>
    </row>
    <row r="630" spans="2:7">
      <c r="B630" s="218"/>
      <c r="C630" s="219"/>
      <c r="D630" s="134"/>
      <c r="E630" s="217"/>
      <c r="F630" s="217"/>
      <c r="G630" s="217"/>
    </row>
    <row r="631" spans="2:7">
      <c r="B631" s="218"/>
      <c r="C631" s="219"/>
      <c r="D631" s="134"/>
      <c r="E631" s="217"/>
      <c r="F631" s="217"/>
      <c r="G631" s="217"/>
    </row>
    <row r="632" spans="2:7">
      <c r="B632" s="218"/>
      <c r="C632" s="219"/>
      <c r="D632" s="134"/>
      <c r="E632" s="217"/>
      <c r="F632" s="217"/>
      <c r="G632" s="217"/>
    </row>
    <row r="633" spans="2:7">
      <c r="B633" s="218"/>
      <c r="C633" s="219"/>
      <c r="D633" s="134"/>
      <c r="E633" s="217"/>
      <c r="F633" s="217"/>
      <c r="G633" s="217"/>
    </row>
    <row r="634" spans="2:7">
      <c r="B634" s="218"/>
      <c r="C634" s="219"/>
      <c r="D634" s="134"/>
      <c r="E634" s="217"/>
      <c r="F634" s="217"/>
      <c r="G634" s="217"/>
    </row>
    <row r="635" spans="2:7">
      <c r="B635" s="218"/>
      <c r="C635" s="219"/>
      <c r="D635" s="134"/>
      <c r="E635" s="217"/>
      <c r="F635" s="217"/>
      <c r="G635" s="217"/>
    </row>
    <row r="636" spans="2:7">
      <c r="B636" s="218"/>
      <c r="C636" s="219"/>
      <c r="D636" s="134"/>
      <c r="E636" s="217"/>
      <c r="F636" s="217"/>
      <c r="G636" s="217"/>
    </row>
    <row r="637" spans="2:7">
      <c r="B637" s="218"/>
      <c r="C637" s="219"/>
      <c r="D637" s="134"/>
      <c r="E637" s="217"/>
      <c r="F637" s="217"/>
      <c r="G637" s="217"/>
    </row>
    <row r="638" spans="2:7">
      <c r="B638" s="218"/>
      <c r="C638" s="219"/>
      <c r="D638" s="134"/>
      <c r="E638" s="217"/>
      <c r="F638" s="217"/>
      <c r="G638" s="217"/>
    </row>
    <row r="639" spans="2:7">
      <c r="B639" s="218"/>
      <c r="C639" s="219"/>
      <c r="D639" s="134"/>
      <c r="E639" s="217"/>
      <c r="F639" s="217"/>
      <c r="G639" s="217"/>
    </row>
    <row r="640" spans="2:7">
      <c r="B640" s="218"/>
      <c r="C640" s="219"/>
      <c r="D640" s="134"/>
      <c r="E640" s="217"/>
      <c r="F640" s="217"/>
      <c r="G640" s="217"/>
    </row>
    <row r="641" spans="2:7">
      <c r="B641" s="218"/>
      <c r="C641" s="219"/>
      <c r="D641" s="134"/>
      <c r="E641" s="217"/>
      <c r="F641" s="217"/>
      <c r="G641" s="217"/>
    </row>
    <row r="642" spans="2:7">
      <c r="B642" s="218"/>
      <c r="C642" s="219"/>
      <c r="D642" s="134"/>
      <c r="E642" s="217"/>
      <c r="F642" s="217"/>
      <c r="G642" s="217"/>
    </row>
    <row r="643" spans="2:7">
      <c r="B643" s="218"/>
      <c r="C643" s="219"/>
      <c r="D643" s="134"/>
      <c r="E643" s="217"/>
      <c r="F643" s="217"/>
      <c r="G643" s="217"/>
    </row>
    <row r="644" spans="2:7">
      <c r="B644" s="218"/>
      <c r="C644" s="219"/>
      <c r="D644" s="134"/>
      <c r="E644" s="217"/>
      <c r="F644" s="217"/>
      <c r="G644" s="217"/>
    </row>
    <row r="645" spans="2:7">
      <c r="B645" s="218"/>
      <c r="C645" s="219"/>
      <c r="D645" s="134"/>
      <c r="E645" s="217"/>
      <c r="F645" s="217"/>
      <c r="G645" s="217"/>
    </row>
    <row r="646" spans="2:7">
      <c r="B646" s="218"/>
      <c r="C646" s="219"/>
      <c r="D646" s="134"/>
      <c r="E646" s="217"/>
      <c r="F646" s="217"/>
      <c r="G646" s="217"/>
    </row>
    <row r="647" spans="2:7">
      <c r="B647" s="218"/>
      <c r="C647" s="219"/>
      <c r="D647" s="134"/>
      <c r="E647" s="217"/>
      <c r="F647" s="217"/>
      <c r="G647" s="217"/>
    </row>
    <row r="648" spans="2:7">
      <c r="B648" s="218"/>
      <c r="C648" s="219"/>
      <c r="D648" s="134"/>
      <c r="E648" s="217"/>
      <c r="F648" s="217"/>
      <c r="G648" s="217"/>
    </row>
    <row r="649" spans="2:7">
      <c r="B649" s="218"/>
      <c r="C649" s="219"/>
      <c r="D649" s="134"/>
      <c r="E649" s="217"/>
      <c r="F649" s="217"/>
      <c r="G649" s="217"/>
    </row>
    <row r="650" spans="2:7">
      <c r="B650" s="218"/>
      <c r="C650" s="219"/>
      <c r="D650" s="134"/>
      <c r="E650" s="217"/>
      <c r="F650" s="217"/>
      <c r="G650" s="217"/>
    </row>
    <row r="651" spans="2:7">
      <c r="B651" s="218"/>
      <c r="C651" s="219"/>
      <c r="D651" s="134"/>
      <c r="E651" s="217"/>
      <c r="F651" s="217"/>
      <c r="G651" s="217"/>
    </row>
    <row r="652" spans="2:7">
      <c r="B652" s="218"/>
      <c r="C652" s="219"/>
      <c r="D652" s="134"/>
      <c r="E652" s="217"/>
      <c r="F652" s="217"/>
      <c r="G652" s="217"/>
    </row>
    <row r="653" spans="2:7">
      <c r="B653" s="218"/>
      <c r="C653" s="219"/>
      <c r="D653" s="134"/>
      <c r="E653" s="217"/>
      <c r="F653" s="217"/>
      <c r="G653" s="217"/>
    </row>
    <row r="654" spans="2:7">
      <c r="B654" s="218"/>
      <c r="C654" s="219"/>
      <c r="D654" s="134"/>
      <c r="E654" s="217"/>
      <c r="F654" s="217"/>
      <c r="G654" s="217"/>
    </row>
    <row r="655" spans="2:7">
      <c r="B655" s="218"/>
      <c r="C655" s="219"/>
      <c r="D655" s="134"/>
      <c r="E655" s="217"/>
      <c r="F655" s="217"/>
      <c r="G655" s="217"/>
    </row>
    <row r="656" spans="2:7">
      <c r="B656" s="218"/>
      <c r="C656" s="219"/>
      <c r="D656" s="134"/>
      <c r="E656" s="217"/>
      <c r="F656" s="217"/>
      <c r="G656" s="217"/>
    </row>
    <row r="657" spans="2:7">
      <c r="B657" s="218"/>
      <c r="C657" s="219"/>
      <c r="D657" s="134"/>
      <c r="E657" s="217"/>
      <c r="F657" s="217"/>
      <c r="G657" s="217"/>
    </row>
    <row r="658" spans="2:7">
      <c r="B658" s="218"/>
      <c r="C658" s="219"/>
      <c r="D658" s="134"/>
      <c r="E658" s="217"/>
      <c r="F658" s="217"/>
      <c r="G658" s="217"/>
    </row>
    <row r="659" spans="2:7">
      <c r="B659" s="218"/>
      <c r="C659" s="219"/>
      <c r="D659" s="134"/>
      <c r="E659" s="217"/>
      <c r="F659" s="217"/>
      <c r="G659" s="217"/>
    </row>
    <row r="660" spans="2:7">
      <c r="B660" s="218"/>
      <c r="C660" s="219"/>
      <c r="D660" s="134"/>
      <c r="E660" s="217"/>
      <c r="F660" s="217"/>
      <c r="G660" s="217"/>
    </row>
    <row r="661" spans="2:7">
      <c r="B661" s="218"/>
      <c r="C661" s="219"/>
      <c r="D661" s="134"/>
      <c r="E661" s="217"/>
      <c r="F661" s="217"/>
      <c r="G661" s="217"/>
    </row>
    <row r="662" spans="2:7">
      <c r="B662" s="218"/>
      <c r="C662" s="219"/>
      <c r="D662" s="134"/>
      <c r="E662" s="217"/>
      <c r="F662" s="217"/>
      <c r="G662" s="217"/>
    </row>
    <row r="663" spans="2:7">
      <c r="B663" s="218"/>
      <c r="C663" s="219"/>
      <c r="D663" s="134"/>
      <c r="E663" s="217"/>
      <c r="F663" s="217"/>
      <c r="G663" s="217"/>
    </row>
    <row r="664" spans="2:7">
      <c r="B664" s="218"/>
      <c r="C664" s="219"/>
      <c r="D664" s="134"/>
      <c r="E664" s="217"/>
      <c r="F664" s="217"/>
      <c r="G664" s="217"/>
    </row>
    <row r="665" spans="2:7">
      <c r="B665" s="218"/>
      <c r="C665" s="219"/>
      <c r="D665" s="134"/>
      <c r="E665" s="217"/>
      <c r="F665" s="217"/>
      <c r="G665" s="217"/>
    </row>
    <row r="666" spans="2:7">
      <c r="B666" s="218"/>
      <c r="C666" s="219"/>
      <c r="D666" s="134"/>
      <c r="E666" s="217"/>
      <c r="F666" s="217"/>
      <c r="G666" s="217"/>
    </row>
    <row r="667" spans="2:7">
      <c r="B667" s="218"/>
      <c r="C667" s="219"/>
      <c r="D667" s="134"/>
      <c r="E667" s="217"/>
      <c r="F667" s="217"/>
      <c r="G667" s="217"/>
    </row>
    <row r="668" spans="2:7">
      <c r="B668" s="218"/>
      <c r="C668" s="219"/>
      <c r="D668" s="134"/>
      <c r="E668" s="217"/>
      <c r="F668" s="217"/>
      <c r="G668" s="217"/>
    </row>
    <row r="669" spans="2:7">
      <c r="B669" s="218"/>
      <c r="C669" s="219"/>
      <c r="D669" s="134"/>
      <c r="E669" s="217"/>
      <c r="F669" s="217"/>
      <c r="G669" s="217"/>
    </row>
    <row r="670" spans="2:7">
      <c r="B670" s="218"/>
      <c r="C670" s="219"/>
      <c r="D670" s="134"/>
      <c r="E670" s="217"/>
      <c r="F670" s="217"/>
      <c r="G670" s="217"/>
    </row>
    <row r="671" spans="2:7">
      <c r="B671" s="218"/>
      <c r="C671" s="219"/>
      <c r="D671" s="134"/>
      <c r="E671" s="217"/>
      <c r="F671" s="217"/>
      <c r="G671" s="217"/>
    </row>
    <row r="672" spans="2:7">
      <c r="B672" s="218"/>
      <c r="C672" s="219"/>
      <c r="D672" s="134"/>
      <c r="E672" s="217"/>
      <c r="F672" s="217"/>
      <c r="G672" s="217"/>
    </row>
    <row r="673" spans="2:7">
      <c r="B673" s="218"/>
      <c r="C673" s="219"/>
      <c r="D673" s="134"/>
      <c r="E673" s="217"/>
      <c r="F673" s="217"/>
      <c r="G673" s="217"/>
    </row>
    <row r="674" spans="2:7">
      <c r="B674" s="218"/>
      <c r="C674" s="219"/>
      <c r="D674" s="134"/>
      <c r="E674" s="217"/>
      <c r="F674" s="217"/>
      <c r="G674" s="217"/>
    </row>
    <row r="675" spans="2:7">
      <c r="B675" s="218"/>
      <c r="C675" s="219"/>
      <c r="D675" s="134"/>
      <c r="E675" s="217"/>
      <c r="F675" s="217"/>
      <c r="G675" s="217"/>
    </row>
    <row r="676" spans="2:7">
      <c r="B676" s="218"/>
      <c r="C676" s="219"/>
      <c r="D676" s="134"/>
      <c r="E676" s="217"/>
      <c r="F676" s="217"/>
      <c r="G676" s="217"/>
    </row>
    <row r="677" spans="2:7">
      <c r="B677" s="218"/>
      <c r="C677" s="219"/>
      <c r="D677" s="134"/>
      <c r="E677" s="217"/>
      <c r="F677" s="217"/>
      <c r="G677" s="217"/>
    </row>
    <row r="678" spans="2:7">
      <c r="B678" s="218"/>
      <c r="C678" s="219"/>
      <c r="D678" s="134"/>
      <c r="E678" s="217"/>
      <c r="F678" s="217"/>
      <c r="G678" s="217"/>
    </row>
    <row r="679" spans="2:7">
      <c r="B679" s="218"/>
      <c r="C679" s="219"/>
      <c r="D679" s="134"/>
      <c r="E679" s="217"/>
      <c r="F679" s="217"/>
      <c r="G679" s="217"/>
    </row>
    <row r="680" spans="2:7">
      <c r="B680" s="218"/>
      <c r="C680" s="219"/>
      <c r="D680" s="134"/>
      <c r="E680" s="217"/>
      <c r="F680" s="217"/>
      <c r="G680" s="217"/>
    </row>
    <row r="681" spans="2:7">
      <c r="B681" s="218"/>
      <c r="C681" s="219"/>
      <c r="D681" s="134"/>
      <c r="E681" s="217"/>
      <c r="F681" s="217"/>
      <c r="G681" s="217"/>
    </row>
    <row r="682" spans="2:7">
      <c r="B682" s="218"/>
      <c r="C682" s="219"/>
      <c r="D682" s="134"/>
      <c r="E682" s="217"/>
      <c r="F682" s="217"/>
      <c r="G682" s="217"/>
    </row>
    <row r="683" spans="2:7">
      <c r="B683" s="218"/>
      <c r="C683" s="219"/>
      <c r="D683" s="134"/>
      <c r="E683" s="217"/>
      <c r="F683" s="217"/>
      <c r="G683" s="217"/>
    </row>
    <row r="684" spans="2:7">
      <c r="B684" s="218"/>
      <c r="C684" s="219"/>
      <c r="D684" s="134"/>
      <c r="E684" s="217"/>
      <c r="F684" s="217"/>
      <c r="G684" s="217"/>
    </row>
    <row r="685" spans="2:7">
      <c r="B685" s="218"/>
      <c r="C685" s="219"/>
      <c r="D685" s="134"/>
      <c r="E685" s="217"/>
      <c r="F685" s="217"/>
      <c r="G685" s="217"/>
    </row>
    <row r="686" spans="2:7">
      <c r="B686" s="218"/>
      <c r="C686" s="219"/>
      <c r="D686" s="134"/>
      <c r="E686" s="217"/>
      <c r="F686" s="217"/>
      <c r="G686" s="217"/>
    </row>
    <row r="687" spans="2:7">
      <c r="B687" s="218"/>
      <c r="C687" s="219"/>
      <c r="D687" s="134"/>
      <c r="E687" s="217"/>
      <c r="F687" s="217"/>
      <c r="G687" s="217"/>
    </row>
    <row r="688" spans="2:7">
      <c r="B688" s="218"/>
      <c r="C688" s="219"/>
      <c r="D688" s="134"/>
      <c r="E688" s="217"/>
      <c r="F688" s="217"/>
      <c r="G688" s="217"/>
    </row>
    <row r="689" spans="2:7">
      <c r="B689" s="218"/>
      <c r="C689" s="219"/>
      <c r="D689" s="134"/>
      <c r="E689" s="217"/>
      <c r="F689" s="217"/>
      <c r="G689" s="217"/>
    </row>
    <row r="690" spans="2:7">
      <c r="B690" s="218"/>
      <c r="C690" s="219"/>
      <c r="D690" s="134"/>
      <c r="E690" s="217"/>
      <c r="F690" s="217"/>
      <c r="G690" s="217"/>
    </row>
    <row r="691" spans="2:7">
      <c r="B691" s="218"/>
      <c r="C691" s="219"/>
      <c r="D691" s="134"/>
      <c r="E691" s="217"/>
      <c r="F691" s="217"/>
      <c r="G691" s="217"/>
    </row>
    <row r="692" spans="2:7">
      <c r="B692" s="218"/>
      <c r="C692" s="219"/>
      <c r="D692" s="134"/>
      <c r="E692" s="217"/>
      <c r="F692" s="217"/>
      <c r="G692" s="217"/>
    </row>
    <row r="693" spans="2:7">
      <c r="B693" s="218"/>
      <c r="C693" s="219"/>
      <c r="D693" s="134"/>
      <c r="E693" s="217"/>
      <c r="F693" s="217"/>
      <c r="G693" s="217"/>
    </row>
    <row r="694" spans="2:7">
      <c r="B694" s="218"/>
      <c r="C694" s="219"/>
      <c r="D694" s="134"/>
      <c r="E694" s="217"/>
      <c r="F694" s="217"/>
      <c r="G694" s="217"/>
    </row>
    <row r="695" spans="2:7">
      <c r="B695" s="218"/>
      <c r="C695" s="219"/>
      <c r="D695" s="134"/>
      <c r="E695" s="217"/>
      <c r="F695" s="217"/>
      <c r="G695" s="217"/>
    </row>
    <row r="696" spans="2:7">
      <c r="B696" s="218"/>
      <c r="C696" s="219"/>
      <c r="D696" s="134"/>
      <c r="E696" s="217"/>
      <c r="F696" s="217"/>
      <c r="G696" s="217"/>
    </row>
    <row r="697" spans="2:7">
      <c r="B697" s="218"/>
      <c r="C697" s="219"/>
      <c r="D697" s="134"/>
      <c r="E697" s="217"/>
      <c r="F697" s="217"/>
      <c r="G697" s="217"/>
    </row>
    <row r="698" spans="2:7">
      <c r="B698" s="218"/>
      <c r="C698" s="219"/>
      <c r="D698" s="134"/>
      <c r="E698" s="217"/>
      <c r="F698" s="217"/>
      <c r="G698" s="217"/>
    </row>
    <row r="699" spans="2:7">
      <c r="B699" s="218"/>
      <c r="C699" s="219"/>
      <c r="D699" s="134"/>
      <c r="E699" s="217"/>
      <c r="F699" s="217"/>
      <c r="G699" s="217"/>
    </row>
    <row r="700" spans="2:7">
      <c r="B700" s="218"/>
      <c r="C700" s="219"/>
      <c r="D700" s="134"/>
      <c r="E700" s="217"/>
      <c r="F700" s="217"/>
      <c r="G700" s="217"/>
    </row>
    <row r="701" spans="2:7">
      <c r="B701" s="218"/>
      <c r="C701" s="219"/>
      <c r="D701" s="134"/>
      <c r="E701" s="217"/>
      <c r="F701" s="217"/>
      <c r="G701" s="217"/>
    </row>
    <row r="702" spans="2:7">
      <c r="B702" s="218"/>
      <c r="C702" s="219"/>
      <c r="D702" s="134"/>
      <c r="E702" s="217"/>
      <c r="F702" s="217"/>
      <c r="G702" s="217"/>
    </row>
    <row r="703" spans="2:7">
      <c r="B703" s="218"/>
      <c r="C703" s="219"/>
      <c r="D703" s="134"/>
      <c r="E703" s="217"/>
      <c r="F703" s="217"/>
      <c r="G703" s="217"/>
    </row>
    <row r="704" spans="2:7">
      <c r="B704" s="218"/>
      <c r="C704" s="219"/>
      <c r="D704" s="134"/>
      <c r="E704" s="217"/>
      <c r="F704" s="217"/>
      <c r="G704" s="217"/>
    </row>
    <row r="705" spans="2:7">
      <c r="B705" s="218"/>
      <c r="C705" s="219"/>
      <c r="D705" s="134"/>
      <c r="E705" s="217"/>
      <c r="F705" s="217"/>
      <c r="G705" s="217"/>
    </row>
    <row r="706" spans="2:7">
      <c r="B706" s="218"/>
      <c r="C706" s="219"/>
      <c r="D706" s="134"/>
      <c r="E706" s="217"/>
      <c r="F706" s="217"/>
      <c r="G706" s="217"/>
    </row>
    <row r="707" spans="2:7">
      <c r="B707" s="218"/>
      <c r="C707" s="219"/>
      <c r="D707" s="134"/>
      <c r="E707" s="217"/>
      <c r="F707" s="217"/>
      <c r="G707" s="217"/>
    </row>
    <row r="708" spans="2:7">
      <c r="B708" s="218"/>
      <c r="C708" s="219"/>
      <c r="D708" s="134"/>
      <c r="E708" s="217"/>
      <c r="F708" s="217"/>
      <c r="G708" s="217"/>
    </row>
    <row r="709" spans="2:7">
      <c r="B709" s="218"/>
      <c r="C709" s="219"/>
      <c r="D709" s="134"/>
      <c r="E709" s="217"/>
      <c r="F709" s="217"/>
      <c r="G709" s="217"/>
    </row>
    <row r="710" spans="2:7">
      <c r="B710" s="218"/>
      <c r="C710" s="219"/>
      <c r="D710" s="134"/>
      <c r="E710" s="217"/>
      <c r="F710" s="217"/>
      <c r="G710" s="217"/>
    </row>
    <row r="711" spans="2:7">
      <c r="B711" s="218"/>
      <c r="C711" s="219"/>
      <c r="D711" s="134"/>
      <c r="E711" s="217"/>
      <c r="F711" s="217"/>
      <c r="G711" s="217"/>
    </row>
    <row r="712" spans="2:7">
      <c r="B712" s="218"/>
      <c r="C712" s="219"/>
      <c r="D712" s="134"/>
      <c r="E712" s="217"/>
      <c r="F712" s="217"/>
      <c r="G712" s="217"/>
    </row>
    <row r="713" spans="2:7">
      <c r="B713" s="218"/>
      <c r="C713" s="219"/>
      <c r="D713" s="134"/>
      <c r="E713" s="217"/>
      <c r="F713" s="217"/>
      <c r="G713" s="217"/>
    </row>
    <row r="714" spans="2:7">
      <c r="B714" s="218"/>
      <c r="C714" s="219"/>
      <c r="D714" s="134"/>
      <c r="E714" s="217"/>
      <c r="F714" s="217"/>
      <c r="G714" s="217"/>
    </row>
    <row r="715" spans="2:7">
      <c r="B715" s="218"/>
      <c r="C715" s="219"/>
      <c r="D715" s="134"/>
      <c r="E715" s="217"/>
      <c r="F715" s="217"/>
      <c r="G715" s="217"/>
    </row>
    <row r="716" spans="2:7">
      <c r="B716" s="218"/>
      <c r="C716" s="219"/>
      <c r="D716" s="134"/>
      <c r="E716" s="217"/>
      <c r="F716" s="217"/>
      <c r="G716" s="217"/>
    </row>
    <row r="717" spans="2:7">
      <c r="B717" s="218"/>
      <c r="C717" s="219"/>
      <c r="D717" s="134"/>
      <c r="E717" s="217"/>
      <c r="F717" s="217"/>
      <c r="G717" s="217"/>
    </row>
    <row r="718" spans="2:7">
      <c r="B718" s="218"/>
      <c r="C718" s="219"/>
      <c r="D718" s="134"/>
      <c r="E718" s="217"/>
      <c r="F718" s="217"/>
      <c r="G718" s="217"/>
    </row>
    <row r="719" spans="2:7">
      <c r="B719" s="218"/>
      <c r="C719" s="219"/>
      <c r="D719" s="134"/>
      <c r="E719" s="217"/>
      <c r="F719" s="217"/>
      <c r="G719" s="217"/>
    </row>
    <row r="720" spans="2:7">
      <c r="B720" s="218"/>
      <c r="C720" s="219"/>
      <c r="D720" s="134"/>
      <c r="E720" s="217"/>
      <c r="F720" s="217"/>
      <c r="G720" s="217"/>
    </row>
    <row r="721" spans="2:7">
      <c r="B721" s="218"/>
      <c r="C721" s="219"/>
      <c r="D721" s="134"/>
      <c r="E721" s="217"/>
      <c r="F721" s="217"/>
      <c r="G721" s="217"/>
    </row>
    <row r="722" spans="2:7">
      <c r="B722" s="218"/>
      <c r="C722" s="219"/>
      <c r="D722" s="134"/>
      <c r="E722" s="217"/>
      <c r="F722" s="217"/>
      <c r="G722" s="217"/>
    </row>
    <row r="723" spans="2:7">
      <c r="B723" s="218"/>
      <c r="C723" s="219"/>
      <c r="D723" s="134"/>
      <c r="E723" s="217"/>
      <c r="F723" s="217"/>
      <c r="G723" s="217"/>
    </row>
    <row r="724" spans="2:7">
      <c r="B724" s="218"/>
      <c r="C724" s="219"/>
      <c r="D724" s="134"/>
      <c r="E724" s="217"/>
      <c r="F724" s="217"/>
      <c r="G724" s="217"/>
    </row>
    <row r="725" spans="2:7">
      <c r="B725" s="218"/>
      <c r="C725" s="219"/>
      <c r="D725" s="134"/>
      <c r="E725" s="217"/>
      <c r="F725" s="217"/>
      <c r="G725" s="217"/>
    </row>
    <row r="726" spans="2:7">
      <c r="B726" s="218"/>
      <c r="C726" s="219"/>
      <c r="D726" s="134"/>
      <c r="E726" s="217"/>
      <c r="F726" s="217"/>
      <c r="G726" s="217"/>
    </row>
    <row r="727" spans="2:7">
      <c r="B727" s="218"/>
      <c r="C727" s="219"/>
      <c r="D727" s="134"/>
      <c r="E727" s="217"/>
      <c r="F727" s="217"/>
      <c r="G727" s="217"/>
    </row>
    <row r="728" spans="2:7">
      <c r="B728" s="218"/>
      <c r="C728" s="219"/>
      <c r="D728" s="134"/>
      <c r="E728" s="217"/>
      <c r="F728" s="217"/>
      <c r="G728" s="217"/>
    </row>
    <row r="729" spans="2:7">
      <c r="B729" s="218"/>
      <c r="C729" s="219"/>
      <c r="D729" s="134"/>
      <c r="E729" s="217"/>
      <c r="F729" s="217"/>
      <c r="G729" s="217"/>
    </row>
    <row r="730" spans="2:7">
      <c r="B730" s="218"/>
      <c r="C730" s="219"/>
      <c r="D730" s="134"/>
      <c r="E730" s="217"/>
      <c r="F730" s="217"/>
      <c r="G730" s="217"/>
    </row>
    <row r="731" spans="2:7">
      <c r="B731" s="218"/>
      <c r="C731" s="219"/>
      <c r="D731" s="134"/>
      <c r="E731" s="217"/>
      <c r="F731" s="217"/>
      <c r="G731" s="217"/>
    </row>
    <row r="732" spans="2:7">
      <c r="B732" s="218"/>
      <c r="C732" s="219"/>
      <c r="D732" s="134"/>
      <c r="E732" s="217"/>
      <c r="F732" s="217"/>
      <c r="G732" s="217"/>
    </row>
    <row r="733" spans="2:7">
      <c r="B733" s="218"/>
      <c r="C733" s="219"/>
      <c r="D733" s="134"/>
      <c r="E733" s="217"/>
      <c r="F733" s="217"/>
      <c r="G733" s="217"/>
    </row>
    <row r="734" spans="2:7">
      <c r="B734" s="218"/>
      <c r="C734" s="219"/>
      <c r="D734" s="134"/>
      <c r="E734" s="217"/>
      <c r="F734" s="217"/>
      <c r="G734" s="217"/>
    </row>
    <row r="735" spans="2:7">
      <c r="B735" s="218"/>
      <c r="C735" s="219"/>
      <c r="D735" s="134"/>
      <c r="E735" s="217"/>
      <c r="F735" s="217"/>
      <c r="G735" s="217"/>
    </row>
    <row r="736" spans="2:7">
      <c r="B736" s="218"/>
      <c r="C736" s="219"/>
      <c r="D736" s="134"/>
      <c r="E736" s="217"/>
      <c r="F736" s="217"/>
      <c r="G736" s="217"/>
    </row>
    <row r="737" spans="2:7">
      <c r="B737" s="218"/>
      <c r="C737" s="219"/>
      <c r="D737" s="134"/>
      <c r="E737" s="217"/>
      <c r="F737" s="217"/>
      <c r="G737" s="217"/>
    </row>
    <row r="738" spans="2:7">
      <c r="B738" s="218"/>
      <c r="C738" s="219"/>
      <c r="D738" s="134"/>
      <c r="E738" s="217"/>
      <c r="F738" s="217"/>
      <c r="G738" s="217"/>
    </row>
    <row r="739" spans="2:7">
      <c r="B739" s="218"/>
      <c r="C739" s="219"/>
      <c r="D739" s="134"/>
      <c r="E739" s="217"/>
      <c r="F739" s="217"/>
      <c r="G739" s="217"/>
    </row>
    <row r="740" spans="2:7">
      <c r="B740" s="218"/>
      <c r="C740" s="219"/>
      <c r="D740" s="134"/>
      <c r="E740" s="217"/>
      <c r="F740" s="217"/>
      <c r="G740" s="217"/>
    </row>
    <row r="741" spans="2:7">
      <c r="B741" s="218"/>
      <c r="C741" s="219"/>
      <c r="D741" s="134"/>
      <c r="E741" s="217"/>
      <c r="F741" s="217"/>
      <c r="G741" s="217"/>
    </row>
    <row r="742" spans="2:7">
      <c r="B742" s="218"/>
      <c r="C742" s="219"/>
      <c r="D742" s="134"/>
      <c r="E742" s="217"/>
      <c r="F742" s="217"/>
      <c r="G742" s="217"/>
    </row>
    <row r="743" spans="2:7">
      <c r="B743" s="218"/>
      <c r="C743" s="219"/>
      <c r="D743" s="134"/>
      <c r="E743" s="217"/>
      <c r="F743" s="217"/>
      <c r="G743" s="217"/>
    </row>
    <row r="744" spans="2:7">
      <c r="B744" s="218"/>
      <c r="C744" s="219"/>
      <c r="D744" s="134"/>
      <c r="E744" s="217"/>
      <c r="F744" s="217"/>
      <c r="G744" s="217"/>
    </row>
    <row r="745" spans="2:7">
      <c r="B745" s="218"/>
      <c r="C745" s="219"/>
      <c r="D745" s="134"/>
      <c r="E745" s="217"/>
      <c r="F745" s="217"/>
      <c r="G745" s="217"/>
    </row>
    <row r="746" spans="2:7">
      <c r="B746" s="218"/>
      <c r="C746" s="219"/>
      <c r="D746" s="134"/>
      <c r="E746" s="217"/>
      <c r="F746" s="217"/>
      <c r="G746" s="217"/>
    </row>
    <row r="747" spans="2:7">
      <c r="B747" s="218"/>
      <c r="C747" s="219"/>
      <c r="D747" s="134"/>
      <c r="E747" s="217"/>
      <c r="F747" s="217"/>
      <c r="G747" s="217"/>
    </row>
    <row r="748" spans="2:7">
      <c r="B748" s="218"/>
      <c r="C748" s="219"/>
      <c r="D748" s="134"/>
      <c r="E748" s="217"/>
      <c r="F748" s="217"/>
      <c r="G748" s="217"/>
    </row>
    <row r="749" spans="2:7">
      <c r="B749" s="218"/>
      <c r="C749" s="219"/>
      <c r="D749" s="134"/>
      <c r="E749" s="217"/>
      <c r="F749" s="217"/>
      <c r="G749" s="217"/>
    </row>
    <row r="750" spans="2:7">
      <c r="B750" s="218"/>
      <c r="C750" s="219"/>
      <c r="D750" s="134"/>
      <c r="E750" s="217"/>
      <c r="F750" s="217"/>
      <c r="G750" s="217"/>
    </row>
    <row r="751" spans="2:7">
      <c r="B751" s="218"/>
      <c r="C751" s="219"/>
      <c r="D751" s="134"/>
      <c r="E751" s="217"/>
      <c r="F751" s="217"/>
      <c r="G751" s="217"/>
    </row>
    <row r="752" spans="2:7">
      <c r="B752" s="218"/>
      <c r="C752" s="219"/>
      <c r="D752" s="134"/>
      <c r="E752" s="217"/>
      <c r="F752" s="217"/>
      <c r="G752" s="217"/>
    </row>
    <row r="753" spans="2:7">
      <c r="B753" s="218"/>
      <c r="C753" s="219"/>
      <c r="D753" s="134"/>
      <c r="E753" s="217"/>
      <c r="F753" s="217"/>
      <c r="G753" s="217"/>
    </row>
    <row r="754" spans="2:7">
      <c r="B754" s="218"/>
      <c r="C754" s="219"/>
      <c r="D754" s="134"/>
      <c r="E754" s="217"/>
      <c r="F754" s="217"/>
      <c r="G754" s="217"/>
    </row>
    <row r="755" spans="2:7">
      <c r="B755" s="218"/>
      <c r="C755" s="219"/>
      <c r="D755" s="134"/>
      <c r="E755" s="217"/>
      <c r="F755" s="217"/>
      <c r="G755" s="217"/>
    </row>
    <row r="756" spans="2:7">
      <c r="B756" s="218"/>
      <c r="C756" s="219"/>
      <c r="D756" s="134"/>
      <c r="E756" s="217"/>
      <c r="F756" s="217"/>
      <c r="G756" s="217"/>
    </row>
    <row r="757" spans="2:7">
      <c r="B757" s="218"/>
      <c r="C757" s="219"/>
      <c r="D757" s="134"/>
      <c r="E757" s="217"/>
      <c r="F757" s="217"/>
      <c r="G757" s="217"/>
    </row>
    <row r="758" spans="2:7">
      <c r="B758" s="218"/>
      <c r="C758" s="219"/>
      <c r="D758" s="134"/>
      <c r="E758" s="217"/>
      <c r="F758" s="217"/>
      <c r="G758" s="217"/>
    </row>
    <row r="759" spans="2:7">
      <c r="B759" s="218"/>
      <c r="C759" s="219"/>
      <c r="D759" s="134"/>
      <c r="E759" s="217"/>
      <c r="F759" s="217"/>
      <c r="G759" s="217"/>
    </row>
    <row r="760" spans="2:7">
      <c r="B760" s="218"/>
      <c r="C760" s="219"/>
      <c r="D760" s="134"/>
      <c r="E760" s="217"/>
      <c r="F760" s="217"/>
      <c r="G760" s="217"/>
    </row>
    <row r="761" spans="2:7">
      <c r="B761" s="218"/>
      <c r="C761" s="219"/>
      <c r="D761" s="134"/>
      <c r="E761" s="217"/>
      <c r="F761" s="217"/>
      <c r="G761" s="217"/>
    </row>
    <row r="762" spans="2:7">
      <c r="B762" s="218"/>
      <c r="C762" s="219"/>
      <c r="D762" s="134"/>
      <c r="E762" s="217"/>
      <c r="F762" s="217"/>
      <c r="G762" s="217"/>
    </row>
    <row r="763" spans="2:7">
      <c r="B763" s="218"/>
      <c r="C763" s="219"/>
      <c r="D763" s="134"/>
      <c r="E763" s="217"/>
      <c r="F763" s="217"/>
      <c r="G763" s="217"/>
    </row>
    <row r="764" spans="2:7">
      <c r="B764" s="218"/>
      <c r="C764" s="219"/>
      <c r="D764" s="134"/>
      <c r="E764" s="217"/>
      <c r="F764" s="217"/>
      <c r="G764" s="217"/>
    </row>
    <row r="765" spans="2:7">
      <c r="B765" s="218"/>
      <c r="C765" s="219"/>
      <c r="D765" s="134"/>
      <c r="E765" s="217"/>
      <c r="F765" s="217"/>
      <c r="G765" s="217"/>
    </row>
    <row r="766" spans="2:7">
      <c r="B766" s="218"/>
      <c r="C766" s="219"/>
      <c r="D766" s="134"/>
      <c r="E766" s="217"/>
      <c r="F766" s="217"/>
      <c r="G766" s="217"/>
    </row>
    <row r="767" spans="2:7">
      <c r="B767" s="218"/>
      <c r="C767" s="219"/>
      <c r="D767" s="134"/>
      <c r="E767" s="217"/>
      <c r="F767" s="217"/>
      <c r="G767" s="217"/>
    </row>
    <row r="768" spans="2:7">
      <c r="B768" s="218"/>
      <c r="C768" s="219"/>
      <c r="D768" s="134"/>
      <c r="E768" s="217"/>
      <c r="F768" s="217"/>
      <c r="G768" s="217"/>
    </row>
    <row r="769" spans="2:7">
      <c r="B769" s="218"/>
      <c r="C769" s="219"/>
      <c r="D769" s="134"/>
      <c r="E769" s="217"/>
      <c r="F769" s="217"/>
      <c r="G769" s="217"/>
    </row>
    <row r="770" spans="2:7">
      <c r="B770" s="218"/>
      <c r="C770" s="219"/>
      <c r="D770" s="134"/>
      <c r="E770" s="217"/>
      <c r="F770" s="217"/>
      <c r="G770" s="217"/>
    </row>
    <row r="771" spans="2:7">
      <c r="B771" s="218"/>
      <c r="C771" s="219"/>
      <c r="D771" s="134"/>
      <c r="E771" s="217"/>
      <c r="F771" s="217"/>
      <c r="G771" s="217"/>
    </row>
    <row r="772" spans="2:7">
      <c r="B772" s="218"/>
      <c r="C772" s="219"/>
      <c r="D772" s="134"/>
      <c r="E772" s="217"/>
      <c r="F772" s="217"/>
      <c r="G772" s="217"/>
    </row>
    <row r="773" spans="2:7">
      <c r="B773" s="218"/>
      <c r="C773" s="219"/>
      <c r="D773" s="134"/>
      <c r="E773" s="217"/>
      <c r="F773" s="217"/>
      <c r="G773" s="217"/>
    </row>
    <row r="774" spans="2:7">
      <c r="B774" s="218"/>
      <c r="C774" s="219"/>
      <c r="D774" s="134"/>
      <c r="E774" s="217"/>
      <c r="F774" s="217"/>
      <c r="G774" s="217"/>
    </row>
    <row r="775" spans="2:7">
      <c r="B775" s="218"/>
      <c r="C775" s="219"/>
      <c r="D775" s="134"/>
      <c r="E775" s="217"/>
      <c r="F775" s="217"/>
      <c r="G775" s="217"/>
    </row>
    <row r="776" spans="2:7">
      <c r="B776" s="218"/>
      <c r="C776" s="219"/>
      <c r="D776" s="134"/>
      <c r="E776" s="217"/>
      <c r="F776" s="217"/>
      <c r="G776" s="217"/>
    </row>
    <row r="777" spans="2:7">
      <c r="B777" s="218"/>
      <c r="C777" s="219"/>
      <c r="D777" s="134"/>
      <c r="E777" s="217"/>
      <c r="F777" s="217"/>
      <c r="G777" s="217"/>
    </row>
    <row r="778" spans="2:7">
      <c r="B778" s="218"/>
      <c r="C778" s="219"/>
      <c r="D778" s="134"/>
      <c r="E778" s="217"/>
      <c r="F778" s="217"/>
      <c r="G778" s="217"/>
    </row>
    <row r="779" spans="2:7">
      <c r="B779" s="218"/>
      <c r="C779" s="219"/>
      <c r="D779" s="134"/>
      <c r="E779" s="217"/>
      <c r="F779" s="217"/>
      <c r="G779" s="217"/>
    </row>
    <row r="780" spans="2:7">
      <c r="B780" s="218"/>
      <c r="C780" s="219"/>
      <c r="D780" s="134"/>
      <c r="E780" s="217"/>
      <c r="F780" s="217"/>
      <c r="G780" s="217"/>
    </row>
    <row r="781" spans="2:7">
      <c r="B781" s="218"/>
      <c r="C781" s="219"/>
      <c r="D781" s="134"/>
      <c r="E781" s="217"/>
      <c r="F781" s="217"/>
      <c r="G781" s="217"/>
    </row>
    <row r="782" spans="2:7">
      <c r="B782" s="218"/>
      <c r="C782" s="219"/>
      <c r="D782" s="134"/>
      <c r="E782" s="217"/>
      <c r="F782" s="217"/>
      <c r="G782" s="217"/>
    </row>
    <row r="783" spans="2:7">
      <c r="B783" s="218"/>
      <c r="C783" s="219"/>
      <c r="D783" s="134"/>
      <c r="E783" s="217"/>
      <c r="F783" s="217"/>
      <c r="G783" s="217"/>
    </row>
    <row r="784" spans="2:7">
      <c r="B784" s="218"/>
      <c r="C784" s="219"/>
      <c r="D784" s="134"/>
      <c r="E784" s="217"/>
      <c r="F784" s="217"/>
      <c r="G784" s="217"/>
    </row>
    <row r="785" spans="2:7">
      <c r="B785" s="218"/>
      <c r="C785" s="219"/>
      <c r="D785" s="134"/>
      <c r="E785" s="217"/>
      <c r="F785" s="217"/>
      <c r="G785" s="217"/>
    </row>
    <row r="786" spans="2:7">
      <c r="B786" s="218"/>
      <c r="C786" s="219"/>
      <c r="D786" s="134"/>
      <c r="E786" s="217"/>
      <c r="F786" s="217"/>
      <c r="G786" s="217"/>
    </row>
    <row r="787" spans="2:7">
      <c r="B787" s="218"/>
      <c r="C787" s="219"/>
      <c r="D787" s="134"/>
      <c r="E787" s="217"/>
      <c r="F787" s="217"/>
      <c r="G787" s="217"/>
    </row>
    <row r="788" spans="2:7">
      <c r="B788" s="218"/>
      <c r="C788" s="219"/>
      <c r="D788" s="134"/>
      <c r="E788" s="217"/>
      <c r="F788" s="217"/>
      <c r="G788" s="217"/>
    </row>
    <row r="789" spans="2:7">
      <c r="B789" s="218"/>
      <c r="C789" s="219"/>
      <c r="D789" s="134"/>
      <c r="E789" s="217"/>
      <c r="F789" s="217"/>
      <c r="G789" s="217"/>
    </row>
    <row r="790" spans="2:7">
      <c r="B790" s="218"/>
      <c r="C790" s="219"/>
      <c r="D790" s="134"/>
      <c r="E790" s="217"/>
      <c r="F790" s="217"/>
      <c r="G790" s="217"/>
    </row>
    <row r="791" spans="2:7">
      <c r="B791" s="218"/>
      <c r="C791" s="219"/>
      <c r="D791" s="134"/>
      <c r="E791" s="217"/>
      <c r="F791" s="217"/>
      <c r="G791" s="217"/>
    </row>
    <row r="792" spans="2:7">
      <c r="B792" s="218"/>
      <c r="C792" s="219"/>
      <c r="D792" s="134"/>
      <c r="E792" s="217"/>
      <c r="F792" s="217"/>
      <c r="G792" s="217"/>
    </row>
    <row r="793" spans="2:7">
      <c r="B793" s="218"/>
      <c r="C793" s="219"/>
      <c r="D793" s="134"/>
      <c r="E793" s="217"/>
      <c r="F793" s="217"/>
      <c r="G793" s="217"/>
    </row>
    <row r="794" spans="2:7">
      <c r="B794" s="218"/>
      <c r="C794" s="219"/>
      <c r="D794" s="134"/>
      <c r="E794" s="217"/>
      <c r="F794" s="217"/>
      <c r="G794" s="217"/>
    </row>
    <row r="795" spans="2:7">
      <c r="B795" s="218"/>
      <c r="C795" s="219"/>
      <c r="D795" s="134"/>
      <c r="E795" s="217"/>
      <c r="F795" s="217"/>
      <c r="G795" s="217"/>
    </row>
    <row r="796" spans="2:7">
      <c r="B796" s="218"/>
      <c r="C796" s="219"/>
      <c r="D796" s="134"/>
      <c r="E796" s="217"/>
      <c r="F796" s="217"/>
      <c r="G796" s="217"/>
    </row>
    <row r="797" spans="2:7">
      <c r="B797" s="218"/>
      <c r="C797" s="219"/>
      <c r="D797" s="134"/>
      <c r="E797" s="217"/>
      <c r="F797" s="217"/>
      <c r="G797" s="217"/>
    </row>
    <row r="798" spans="2:7">
      <c r="B798" s="218"/>
      <c r="C798" s="219"/>
      <c r="D798" s="134"/>
      <c r="E798" s="217"/>
      <c r="F798" s="217"/>
      <c r="G798" s="217"/>
    </row>
    <row r="799" spans="2:7">
      <c r="B799" s="218"/>
      <c r="C799" s="219"/>
      <c r="D799" s="134"/>
      <c r="E799" s="217"/>
      <c r="F799" s="217"/>
      <c r="G799" s="217"/>
    </row>
    <row r="800" spans="2:7">
      <c r="B800" s="218"/>
      <c r="C800" s="219"/>
      <c r="D800" s="134"/>
      <c r="E800" s="217"/>
      <c r="F800" s="217"/>
      <c r="G800" s="217"/>
    </row>
    <row r="801" spans="2:7">
      <c r="B801" s="218"/>
      <c r="C801" s="219"/>
      <c r="D801" s="134"/>
      <c r="E801" s="217"/>
      <c r="F801" s="217"/>
      <c r="G801" s="217"/>
    </row>
    <row r="802" spans="2:7">
      <c r="B802" s="218"/>
      <c r="C802" s="219"/>
      <c r="D802" s="134"/>
      <c r="E802" s="217"/>
      <c r="F802" s="217"/>
      <c r="G802" s="217"/>
    </row>
    <row r="803" spans="2:7">
      <c r="B803" s="218"/>
      <c r="C803" s="219"/>
      <c r="D803" s="134"/>
      <c r="E803" s="217"/>
      <c r="F803" s="217"/>
      <c r="G803" s="217"/>
    </row>
    <row r="804" spans="2:7">
      <c r="B804" s="218"/>
      <c r="C804" s="219"/>
      <c r="D804" s="134"/>
      <c r="E804" s="217"/>
      <c r="F804" s="217"/>
      <c r="G804" s="217"/>
    </row>
    <row r="805" spans="2:7">
      <c r="B805" s="218"/>
      <c r="C805" s="219"/>
      <c r="D805" s="134"/>
      <c r="E805" s="217"/>
      <c r="F805" s="217"/>
      <c r="G805" s="217"/>
    </row>
    <row r="806" spans="2:7">
      <c r="B806" s="218"/>
      <c r="C806" s="219"/>
      <c r="D806" s="134"/>
      <c r="E806" s="217"/>
      <c r="F806" s="217"/>
      <c r="G806" s="217"/>
    </row>
    <row r="807" spans="2:7">
      <c r="B807" s="218"/>
      <c r="C807" s="219"/>
      <c r="D807" s="134"/>
      <c r="E807" s="217"/>
      <c r="F807" s="217"/>
      <c r="G807" s="217"/>
    </row>
    <row r="808" spans="2:7">
      <c r="B808" s="218"/>
      <c r="C808" s="219"/>
      <c r="D808" s="134"/>
      <c r="E808" s="217"/>
      <c r="F808" s="217"/>
      <c r="G808" s="217"/>
    </row>
    <row r="809" spans="2:7">
      <c r="B809" s="218"/>
      <c r="C809" s="219"/>
      <c r="D809" s="134"/>
      <c r="E809" s="217"/>
      <c r="F809" s="217"/>
      <c r="G809" s="217"/>
    </row>
    <row r="810" spans="2:7">
      <c r="B810" s="218"/>
      <c r="C810" s="219"/>
      <c r="D810" s="134"/>
      <c r="E810" s="217"/>
      <c r="F810" s="217"/>
      <c r="G810" s="217"/>
    </row>
    <row r="811" spans="2:7">
      <c r="B811" s="218"/>
      <c r="C811" s="219"/>
      <c r="D811" s="134"/>
      <c r="E811" s="217"/>
      <c r="F811" s="217"/>
      <c r="G811" s="217"/>
    </row>
    <row r="812" spans="2:7">
      <c r="B812" s="218"/>
      <c r="C812" s="219"/>
      <c r="D812" s="134"/>
      <c r="E812" s="217"/>
      <c r="F812" s="217"/>
      <c r="G812" s="217"/>
    </row>
    <row r="813" spans="2:7">
      <c r="B813" s="218"/>
      <c r="C813" s="219"/>
      <c r="D813" s="134"/>
      <c r="E813" s="217"/>
      <c r="F813" s="217"/>
      <c r="G813" s="217"/>
    </row>
    <row r="814" spans="2:7">
      <c r="B814" s="218"/>
      <c r="C814" s="219"/>
      <c r="D814" s="134"/>
      <c r="E814" s="217"/>
      <c r="F814" s="217"/>
      <c r="G814" s="217"/>
    </row>
    <row r="815" spans="2:7">
      <c r="B815" s="218"/>
      <c r="C815" s="219"/>
      <c r="D815" s="134"/>
      <c r="E815" s="217"/>
      <c r="F815" s="217"/>
      <c r="G815" s="217"/>
    </row>
    <row r="816" spans="2:7">
      <c r="B816" s="218"/>
      <c r="C816" s="219"/>
      <c r="D816" s="134"/>
      <c r="E816" s="217"/>
      <c r="F816" s="217"/>
      <c r="G816" s="217"/>
    </row>
    <row r="817" spans="2:7">
      <c r="B817" s="218"/>
      <c r="C817" s="219"/>
      <c r="D817" s="134"/>
      <c r="E817" s="217"/>
      <c r="F817" s="217"/>
      <c r="G817" s="217"/>
    </row>
    <row r="818" spans="2:7">
      <c r="B818" s="218"/>
      <c r="C818" s="219"/>
      <c r="D818" s="134"/>
      <c r="E818" s="217"/>
      <c r="F818" s="217"/>
      <c r="G818" s="217"/>
    </row>
    <row r="819" spans="2:7">
      <c r="B819" s="218"/>
      <c r="C819" s="219"/>
      <c r="D819" s="134"/>
      <c r="E819" s="217"/>
      <c r="F819" s="217"/>
      <c r="G819" s="217"/>
    </row>
    <row r="820" spans="2:7">
      <c r="B820" s="218"/>
      <c r="C820" s="219"/>
      <c r="D820" s="134"/>
      <c r="E820" s="217"/>
      <c r="F820" s="217"/>
      <c r="G820" s="217"/>
    </row>
    <row r="821" spans="2:7">
      <c r="B821" s="218"/>
      <c r="C821" s="219"/>
      <c r="D821" s="134"/>
      <c r="E821" s="217"/>
      <c r="F821" s="217"/>
      <c r="G821" s="217"/>
    </row>
    <row r="822" spans="2:7">
      <c r="B822" s="218"/>
      <c r="C822" s="219"/>
      <c r="D822" s="134"/>
      <c r="E822" s="217"/>
      <c r="F822" s="217"/>
      <c r="G822" s="217"/>
    </row>
    <row r="823" spans="2:7">
      <c r="B823" s="218"/>
      <c r="C823" s="219"/>
      <c r="D823" s="134"/>
      <c r="E823" s="217"/>
      <c r="F823" s="217"/>
      <c r="G823" s="217"/>
    </row>
    <row r="824" spans="2:7">
      <c r="B824" s="218"/>
      <c r="C824" s="219"/>
      <c r="D824" s="134"/>
      <c r="E824" s="217"/>
      <c r="F824" s="217"/>
      <c r="G824" s="217"/>
    </row>
    <row r="825" spans="2:7">
      <c r="B825" s="218"/>
      <c r="C825" s="219"/>
      <c r="D825" s="134"/>
      <c r="E825" s="217"/>
      <c r="F825" s="217"/>
      <c r="G825" s="217"/>
    </row>
    <row r="826" spans="2:7">
      <c r="B826" s="218"/>
      <c r="C826" s="219"/>
      <c r="D826" s="134"/>
      <c r="E826" s="217"/>
      <c r="F826" s="217"/>
      <c r="G826" s="217"/>
    </row>
    <row r="827" spans="2:7">
      <c r="B827" s="218"/>
      <c r="C827" s="219"/>
      <c r="D827" s="134"/>
      <c r="E827" s="217"/>
      <c r="F827" s="217"/>
      <c r="G827" s="217"/>
    </row>
    <row r="828" spans="2:7">
      <c r="B828" s="218"/>
      <c r="C828" s="219"/>
      <c r="D828" s="134"/>
      <c r="E828" s="217"/>
      <c r="F828" s="217"/>
      <c r="G828" s="217"/>
    </row>
    <row r="829" spans="2:7">
      <c r="B829" s="218"/>
      <c r="C829" s="219"/>
      <c r="D829" s="134"/>
      <c r="E829" s="217"/>
      <c r="F829" s="217"/>
      <c r="G829" s="217"/>
    </row>
    <row r="830" spans="2:7">
      <c r="B830" s="218"/>
      <c r="C830" s="219"/>
      <c r="D830" s="134"/>
      <c r="E830" s="217"/>
      <c r="F830" s="217"/>
      <c r="G830" s="217"/>
    </row>
    <row r="831" spans="2:7">
      <c r="B831" s="218"/>
      <c r="C831" s="219"/>
      <c r="D831" s="134"/>
      <c r="E831" s="217"/>
      <c r="F831" s="217"/>
      <c r="G831" s="217"/>
    </row>
    <row r="832" spans="2:7">
      <c r="B832" s="218"/>
      <c r="C832" s="219"/>
      <c r="D832" s="134"/>
      <c r="E832" s="217"/>
      <c r="F832" s="217"/>
      <c r="G832" s="217"/>
    </row>
    <row r="833" spans="2:7">
      <c r="B833" s="218"/>
      <c r="C833" s="219"/>
      <c r="D833" s="134"/>
      <c r="E833" s="217"/>
      <c r="F833" s="217"/>
      <c r="G833" s="217"/>
    </row>
    <row r="834" spans="2:7">
      <c r="B834" s="218"/>
      <c r="C834" s="219"/>
      <c r="D834" s="134"/>
      <c r="E834" s="217"/>
      <c r="F834" s="217"/>
      <c r="G834" s="217"/>
    </row>
    <row r="835" spans="2:7">
      <c r="B835" s="218"/>
      <c r="C835" s="219"/>
      <c r="D835" s="134"/>
      <c r="E835" s="217"/>
      <c r="F835" s="217"/>
      <c r="G835" s="217"/>
    </row>
    <row r="836" spans="2:7">
      <c r="B836" s="218"/>
      <c r="C836" s="219"/>
      <c r="D836" s="134"/>
      <c r="E836" s="217"/>
      <c r="F836" s="217"/>
      <c r="G836" s="217"/>
    </row>
    <row r="837" spans="2:7">
      <c r="B837" s="218"/>
      <c r="C837" s="219"/>
      <c r="D837" s="134"/>
      <c r="E837" s="217"/>
      <c r="F837" s="217"/>
      <c r="G837" s="217"/>
    </row>
    <row r="838" spans="2:7">
      <c r="B838" s="218"/>
      <c r="C838" s="219"/>
      <c r="D838" s="134"/>
      <c r="E838" s="217"/>
      <c r="F838" s="217"/>
      <c r="G838" s="217"/>
    </row>
    <row r="839" spans="2:7">
      <c r="B839" s="218"/>
      <c r="C839" s="219"/>
      <c r="D839" s="134"/>
      <c r="E839" s="217"/>
      <c r="F839" s="217"/>
      <c r="G839" s="217"/>
    </row>
    <row r="840" spans="2:7">
      <c r="B840" s="218"/>
      <c r="C840" s="219"/>
      <c r="D840" s="134"/>
      <c r="E840" s="217"/>
      <c r="F840" s="217"/>
      <c r="G840" s="217"/>
    </row>
    <row r="841" spans="2:7">
      <c r="B841" s="218"/>
      <c r="C841" s="219"/>
      <c r="D841" s="134"/>
      <c r="E841" s="217"/>
      <c r="F841" s="217"/>
      <c r="G841" s="217"/>
    </row>
    <row r="842" spans="2:7">
      <c r="B842" s="218"/>
      <c r="C842" s="219"/>
      <c r="D842" s="134"/>
      <c r="E842" s="217"/>
      <c r="F842" s="217"/>
      <c r="G842" s="217"/>
    </row>
    <row r="843" spans="2:7">
      <c r="B843" s="218"/>
      <c r="C843" s="219"/>
      <c r="D843" s="134"/>
      <c r="E843" s="217"/>
      <c r="F843" s="217"/>
      <c r="G843" s="217"/>
    </row>
    <row r="844" spans="2:7">
      <c r="B844" s="218"/>
      <c r="C844" s="219"/>
      <c r="D844" s="134"/>
      <c r="E844" s="217"/>
      <c r="F844" s="217"/>
      <c r="G844" s="217"/>
    </row>
    <row r="845" spans="2:7">
      <c r="B845" s="218"/>
      <c r="C845" s="219"/>
      <c r="D845" s="134"/>
      <c r="E845" s="217"/>
      <c r="F845" s="217"/>
      <c r="G845" s="217"/>
    </row>
    <row r="846" spans="2:7">
      <c r="B846" s="218"/>
      <c r="C846" s="219"/>
      <c r="D846" s="134"/>
      <c r="E846" s="217"/>
      <c r="F846" s="217"/>
      <c r="G846" s="217"/>
    </row>
    <row r="847" spans="2:7">
      <c r="B847" s="218"/>
      <c r="C847" s="219"/>
      <c r="D847" s="134"/>
      <c r="E847" s="217"/>
      <c r="F847" s="217"/>
      <c r="G847" s="217"/>
    </row>
    <row r="848" spans="2:7">
      <c r="B848" s="218"/>
      <c r="C848" s="219"/>
      <c r="D848" s="134"/>
      <c r="E848" s="217"/>
      <c r="F848" s="217"/>
      <c r="G848" s="217"/>
    </row>
    <row r="849" spans="2:7">
      <c r="B849" s="218"/>
      <c r="C849" s="219"/>
      <c r="D849" s="134"/>
      <c r="E849" s="217"/>
      <c r="F849" s="217"/>
      <c r="G849" s="217"/>
    </row>
    <row r="850" spans="2:7">
      <c r="B850" s="218"/>
      <c r="C850" s="219"/>
      <c r="D850" s="134"/>
      <c r="E850" s="217"/>
      <c r="F850" s="217"/>
      <c r="G850" s="217"/>
    </row>
    <row r="851" spans="2:7">
      <c r="B851" s="218"/>
      <c r="C851" s="219"/>
      <c r="D851" s="134"/>
      <c r="E851" s="217"/>
      <c r="F851" s="217"/>
      <c r="G851" s="217"/>
    </row>
    <row r="852" spans="2:7">
      <c r="B852" s="218"/>
      <c r="C852" s="219"/>
      <c r="D852" s="134"/>
      <c r="E852" s="217"/>
      <c r="F852" s="217"/>
      <c r="G852" s="217"/>
    </row>
    <row r="853" spans="2:7">
      <c r="B853" s="218"/>
      <c r="C853" s="219"/>
      <c r="D853" s="134"/>
      <c r="E853" s="217"/>
      <c r="F853" s="217"/>
      <c r="G853" s="217"/>
    </row>
    <row r="854" spans="2:7">
      <c r="B854" s="218"/>
      <c r="C854" s="219"/>
      <c r="D854" s="134"/>
      <c r="E854" s="217"/>
      <c r="F854" s="217"/>
      <c r="G854" s="217"/>
    </row>
    <row r="855" spans="2:7">
      <c r="B855" s="218"/>
      <c r="C855" s="219"/>
      <c r="D855" s="134"/>
      <c r="E855" s="217"/>
      <c r="F855" s="217"/>
      <c r="G855" s="217"/>
    </row>
    <row r="856" spans="2:7">
      <c r="B856" s="218"/>
      <c r="C856" s="219"/>
      <c r="D856" s="134"/>
      <c r="E856" s="217"/>
      <c r="F856" s="217"/>
      <c r="G856" s="217"/>
    </row>
    <row r="857" spans="2:7">
      <c r="B857" s="218"/>
      <c r="C857" s="219"/>
      <c r="D857" s="134"/>
      <c r="E857" s="217"/>
      <c r="F857" s="217"/>
      <c r="G857" s="217"/>
    </row>
    <row r="858" spans="2:7">
      <c r="B858" s="218"/>
      <c r="C858" s="219"/>
      <c r="D858" s="134"/>
      <c r="E858" s="217"/>
      <c r="F858" s="217"/>
      <c r="G858" s="217"/>
    </row>
    <row r="859" spans="2:7">
      <c r="B859" s="218"/>
      <c r="C859" s="219"/>
      <c r="D859" s="134"/>
      <c r="E859" s="217"/>
      <c r="F859" s="217"/>
      <c r="G859" s="217"/>
    </row>
    <row r="860" spans="2:7">
      <c r="B860" s="218"/>
      <c r="C860" s="219"/>
      <c r="D860" s="134"/>
      <c r="E860" s="217"/>
      <c r="F860" s="217"/>
      <c r="G860" s="217"/>
    </row>
    <row r="861" spans="2:7">
      <c r="B861" s="218"/>
      <c r="C861" s="219"/>
      <c r="D861" s="134"/>
      <c r="E861" s="217"/>
      <c r="F861" s="217"/>
      <c r="G861" s="217"/>
    </row>
    <row r="862" spans="2:7">
      <c r="B862" s="218"/>
      <c r="C862" s="219"/>
      <c r="D862" s="134"/>
      <c r="E862" s="217"/>
      <c r="F862" s="217"/>
      <c r="G862" s="217"/>
    </row>
    <row r="863" spans="2:7">
      <c r="B863" s="218"/>
      <c r="C863" s="219"/>
      <c r="D863" s="134"/>
      <c r="E863" s="217"/>
      <c r="F863" s="217"/>
      <c r="G863" s="217"/>
    </row>
    <row r="864" spans="2:7">
      <c r="B864" s="218"/>
      <c r="C864" s="219"/>
      <c r="D864" s="134"/>
      <c r="E864" s="217"/>
      <c r="F864" s="217"/>
      <c r="G864" s="217"/>
    </row>
    <row r="865" spans="2:7">
      <c r="B865" s="218"/>
      <c r="C865" s="219"/>
      <c r="D865" s="134"/>
      <c r="E865" s="217"/>
      <c r="F865" s="217"/>
      <c r="G865" s="217"/>
    </row>
    <row r="866" spans="2:7">
      <c r="B866" s="218"/>
      <c r="C866" s="219"/>
      <c r="D866" s="134"/>
      <c r="E866" s="217"/>
      <c r="F866" s="217"/>
      <c r="G866" s="217"/>
    </row>
    <row r="867" spans="2:7">
      <c r="B867" s="218"/>
      <c r="C867" s="219"/>
      <c r="D867" s="134"/>
      <c r="E867" s="217"/>
      <c r="F867" s="217"/>
      <c r="G867" s="217"/>
    </row>
    <row r="868" spans="2:7">
      <c r="B868" s="218"/>
      <c r="C868" s="219"/>
      <c r="D868" s="134"/>
      <c r="E868" s="217"/>
      <c r="F868" s="217"/>
      <c r="G868" s="217"/>
    </row>
    <row r="869" spans="2:7">
      <c r="B869" s="218"/>
      <c r="C869" s="219"/>
      <c r="D869" s="134"/>
      <c r="E869" s="217"/>
      <c r="F869" s="217"/>
      <c r="G869" s="217"/>
    </row>
    <row r="870" spans="2:7">
      <c r="B870" s="218"/>
      <c r="C870" s="219"/>
      <c r="D870" s="134"/>
      <c r="E870" s="217"/>
      <c r="F870" s="217"/>
      <c r="G870" s="217"/>
    </row>
    <row r="871" spans="2:7">
      <c r="B871" s="218"/>
      <c r="C871" s="219"/>
      <c r="D871" s="134"/>
      <c r="E871" s="217"/>
      <c r="F871" s="217"/>
      <c r="G871" s="217"/>
    </row>
    <row r="872" spans="2:7">
      <c r="B872" s="218"/>
      <c r="C872" s="219"/>
      <c r="D872" s="134"/>
      <c r="E872" s="217"/>
      <c r="F872" s="217"/>
      <c r="G872" s="217"/>
    </row>
    <row r="873" spans="2:7">
      <c r="B873" s="218"/>
      <c r="C873" s="219"/>
      <c r="D873" s="134"/>
      <c r="E873" s="217"/>
      <c r="F873" s="217"/>
      <c r="G873" s="217"/>
    </row>
    <row r="874" spans="2:7">
      <c r="B874" s="218"/>
      <c r="C874" s="219"/>
      <c r="D874" s="134"/>
      <c r="E874" s="217"/>
      <c r="F874" s="217"/>
      <c r="G874" s="217"/>
    </row>
    <row r="875" spans="2:7">
      <c r="B875" s="218"/>
      <c r="C875" s="219"/>
      <c r="D875" s="134"/>
      <c r="E875" s="217"/>
      <c r="F875" s="217"/>
      <c r="G875" s="217"/>
    </row>
    <row r="876" spans="2:7">
      <c r="B876" s="218"/>
      <c r="C876" s="219"/>
      <c r="D876" s="134"/>
      <c r="E876" s="217"/>
      <c r="F876" s="217"/>
      <c r="G876" s="217"/>
    </row>
    <row r="877" spans="2:7">
      <c r="B877" s="218"/>
      <c r="C877" s="219"/>
      <c r="D877" s="134"/>
      <c r="E877" s="217"/>
      <c r="F877" s="217"/>
      <c r="G877" s="217"/>
    </row>
    <row r="878" spans="2:7">
      <c r="B878" s="218"/>
      <c r="C878" s="219"/>
      <c r="D878" s="134"/>
      <c r="E878" s="217"/>
      <c r="F878" s="217"/>
      <c r="G878" s="217"/>
    </row>
    <row r="879" spans="2:7">
      <c r="B879" s="218"/>
      <c r="C879" s="219"/>
      <c r="D879" s="134"/>
      <c r="E879" s="217"/>
      <c r="F879" s="217"/>
      <c r="G879" s="217"/>
    </row>
    <row r="880" spans="2:7">
      <c r="B880" s="218"/>
      <c r="C880" s="219"/>
      <c r="D880" s="134"/>
      <c r="E880" s="217"/>
      <c r="F880" s="217"/>
      <c r="G880" s="217"/>
    </row>
    <row r="881" spans="2:7">
      <c r="B881" s="218"/>
      <c r="C881" s="219"/>
      <c r="D881" s="134"/>
      <c r="E881" s="217"/>
      <c r="F881" s="217"/>
      <c r="G881" s="217"/>
    </row>
    <row r="882" spans="2:7">
      <c r="B882" s="218"/>
      <c r="C882" s="219"/>
      <c r="D882" s="134"/>
      <c r="E882" s="217"/>
      <c r="F882" s="217"/>
      <c r="G882" s="217"/>
    </row>
    <row r="883" spans="2:7">
      <c r="B883" s="218"/>
      <c r="C883" s="219"/>
      <c r="D883" s="134"/>
      <c r="E883" s="217"/>
      <c r="F883" s="217"/>
      <c r="G883" s="217"/>
    </row>
    <row r="884" spans="2:7">
      <c r="B884" s="218"/>
      <c r="C884" s="219"/>
      <c r="D884" s="134"/>
      <c r="E884" s="217"/>
      <c r="F884" s="217"/>
      <c r="G884" s="217"/>
    </row>
    <row r="885" spans="2:7">
      <c r="B885" s="218"/>
      <c r="C885" s="219"/>
      <c r="D885" s="134"/>
      <c r="E885" s="217"/>
      <c r="F885" s="217"/>
      <c r="G885" s="217"/>
    </row>
    <row r="886" spans="2:7">
      <c r="B886" s="218"/>
      <c r="C886" s="219"/>
      <c r="D886" s="134"/>
      <c r="E886" s="217"/>
      <c r="F886" s="217"/>
      <c r="G886" s="217"/>
    </row>
    <row r="887" spans="2:7">
      <c r="B887" s="218"/>
      <c r="C887" s="219"/>
      <c r="D887" s="134"/>
      <c r="E887" s="217"/>
      <c r="F887" s="217"/>
      <c r="G887" s="217"/>
    </row>
    <row r="888" spans="2:7">
      <c r="B888" s="218"/>
      <c r="C888" s="219"/>
      <c r="D888" s="134"/>
      <c r="E888" s="217"/>
      <c r="F888" s="217"/>
      <c r="G888" s="217"/>
    </row>
    <row r="889" spans="2:7">
      <c r="B889" s="218"/>
      <c r="C889" s="219"/>
      <c r="D889" s="134"/>
      <c r="E889" s="217"/>
      <c r="F889" s="217"/>
      <c r="G889" s="217"/>
    </row>
    <row r="890" spans="2:7">
      <c r="B890" s="218"/>
      <c r="C890" s="219"/>
      <c r="D890" s="134"/>
      <c r="E890" s="217"/>
      <c r="F890" s="217"/>
      <c r="G890" s="217"/>
    </row>
    <row r="891" spans="2:7">
      <c r="B891" s="218"/>
      <c r="C891" s="219"/>
      <c r="D891" s="134"/>
      <c r="E891" s="217"/>
      <c r="F891" s="217"/>
      <c r="G891" s="217"/>
    </row>
    <row r="892" spans="2:7">
      <c r="B892" s="218"/>
      <c r="C892" s="219"/>
      <c r="D892" s="134"/>
      <c r="E892" s="217"/>
      <c r="F892" s="217"/>
      <c r="G892" s="217"/>
    </row>
    <row r="893" spans="2:7">
      <c r="B893" s="218"/>
      <c r="C893" s="219"/>
      <c r="D893" s="134"/>
      <c r="E893" s="217"/>
      <c r="F893" s="217"/>
      <c r="G893" s="217"/>
    </row>
    <row r="894" spans="2:7">
      <c r="B894" s="218"/>
      <c r="C894" s="219"/>
      <c r="D894" s="134"/>
      <c r="E894" s="217"/>
      <c r="F894" s="217"/>
      <c r="G894" s="217"/>
    </row>
    <row r="895" spans="2:7">
      <c r="B895" s="218"/>
      <c r="C895" s="219"/>
      <c r="D895" s="134"/>
      <c r="E895" s="217"/>
      <c r="F895" s="217"/>
      <c r="G895" s="217"/>
    </row>
    <row r="896" spans="2:7">
      <c r="B896" s="218"/>
      <c r="C896" s="219"/>
      <c r="D896" s="134"/>
      <c r="E896" s="217"/>
      <c r="F896" s="217"/>
      <c r="G896" s="217"/>
    </row>
    <row r="897" spans="2:7">
      <c r="B897" s="218"/>
      <c r="C897" s="219"/>
      <c r="D897" s="134"/>
      <c r="E897" s="217"/>
      <c r="F897" s="217"/>
      <c r="G897" s="217"/>
    </row>
    <row r="898" spans="2:7">
      <c r="B898" s="218"/>
      <c r="C898" s="219"/>
      <c r="D898" s="134"/>
      <c r="E898" s="217"/>
      <c r="F898" s="217"/>
      <c r="G898" s="217"/>
    </row>
    <row r="899" spans="2:7">
      <c r="B899" s="218"/>
      <c r="C899" s="219"/>
      <c r="D899" s="134"/>
      <c r="E899" s="217"/>
      <c r="F899" s="217"/>
      <c r="G899" s="217"/>
    </row>
    <row r="900" spans="2:7">
      <c r="B900" s="218"/>
      <c r="C900" s="219"/>
      <c r="D900" s="134"/>
      <c r="E900" s="217"/>
      <c r="F900" s="217"/>
      <c r="G900" s="217"/>
    </row>
    <row r="901" spans="2:7">
      <c r="B901" s="218"/>
      <c r="C901" s="219"/>
      <c r="D901" s="134"/>
      <c r="E901" s="217"/>
      <c r="F901" s="217"/>
      <c r="G901" s="217"/>
    </row>
    <row r="902" spans="2:7">
      <c r="B902" s="218"/>
      <c r="C902" s="219"/>
      <c r="D902" s="134"/>
      <c r="E902" s="217"/>
      <c r="F902" s="217"/>
      <c r="G902" s="217"/>
    </row>
    <row r="903" spans="2:7">
      <c r="B903" s="218"/>
      <c r="C903" s="219"/>
      <c r="D903" s="134"/>
      <c r="E903" s="217"/>
      <c r="F903" s="217"/>
      <c r="G903" s="217"/>
    </row>
    <row r="904" spans="2:7">
      <c r="B904" s="218"/>
      <c r="C904" s="219"/>
      <c r="D904" s="134"/>
      <c r="E904" s="217"/>
      <c r="F904" s="217"/>
      <c r="G904" s="217"/>
    </row>
    <row r="905" spans="2:7">
      <c r="B905" s="218"/>
      <c r="C905" s="219"/>
      <c r="D905" s="134"/>
      <c r="E905" s="217"/>
      <c r="F905" s="217"/>
      <c r="G905" s="217"/>
    </row>
    <row r="906" spans="2:7">
      <c r="B906" s="218"/>
      <c r="C906" s="219"/>
      <c r="D906" s="134"/>
      <c r="E906" s="217"/>
      <c r="F906" s="217"/>
      <c r="G906" s="217"/>
    </row>
    <row r="907" spans="2:7">
      <c r="B907" s="218"/>
      <c r="C907" s="219"/>
      <c r="D907" s="134"/>
      <c r="E907" s="217"/>
      <c r="F907" s="217"/>
      <c r="G907" s="217"/>
    </row>
    <row r="908" spans="2:7">
      <c r="B908" s="218"/>
      <c r="C908" s="219"/>
      <c r="D908" s="134"/>
      <c r="E908" s="217"/>
      <c r="F908" s="217"/>
      <c r="G908" s="217"/>
    </row>
    <row r="909" spans="2:7">
      <c r="B909" s="218"/>
      <c r="C909" s="219"/>
      <c r="D909" s="134"/>
      <c r="E909" s="217"/>
      <c r="F909" s="217"/>
      <c r="G909" s="217"/>
    </row>
    <row r="910" spans="2:7">
      <c r="B910" s="218"/>
      <c r="C910" s="219"/>
      <c r="D910" s="134"/>
      <c r="E910" s="217"/>
      <c r="F910" s="217"/>
      <c r="G910" s="217"/>
    </row>
    <row r="911" spans="2:7">
      <c r="B911" s="218"/>
      <c r="C911" s="219"/>
      <c r="D911" s="134"/>
      <c r="E911" s="217"/>
      <c r="F911" s="217"/>
      <c r="G911" s="217"/>
    </row>
    <row r="912" spans="2:7">
      <c r="B912" s="218"/>
      <c r="C912" s="219"/>
      <c r="D912" s="134"/>
      <c r="E912" s="217"/>
      <c r="F912" s="217"/>
      <c r="G912" s="217"/>
    </row>
    <row r="913" spans="2:7">
      <c r="B913" s="218"/>
      <c r="C913" s="219"/>
      <c r="D913" s="134"/>
      <c r="E913" s="217"/>
      <c r="F913" s="217"/>
      <c r="G913" s="217"/>
    </row>
    <row r="914" spans="2:7">
      <c r="B914" s="218"/>
      <c r="C914" s="219"/>
      <c r="D914" s="134"/>
      <c r="E914" s="217"/>
      <c r="F914" s="217"/>
      <c r="G914" s="217"/>
    </row>
    <row r="915" spans="2:7">
      <c r="B915" s="218"/>
      <c r="C915" s="219"/>
      <c r="D915" s="134"/>
      <c r="E915" s="217"/>
      <c r="F915" s="217"/>
      <c r="G915" s="217"/>
    </row>
    <row r="916" spans="2:7">
      <c r="B916" s="218"/>
      <c r="C916" s="219"/>
      <c r="D916" s="134"/>
      <c r="E916" s="217"/>
      <c r="F916" s="217"/>
      <c r="G916" s="217"/>
    </row>
    <row r="917" spans="2:7">
      <c r="B917" s="218"/>
      <c r="C917" s="219"/>
      <c r="D917" s="134"/>
      <c r="E917" s="217"/>
      <c r="F917" s="217"/>
      <c r="G917" s="217"/>
    </row>
    <row r="918" spans="2:7">
      <c r="B918" s="218"/>
      <c r="C918" s="219"/>
      <c r="D918" s="134"/>
      <c r="E918" s="217"/>
      <c r="F918" s="217"/>
      <c r="G918" s="217"/>
    </row>
    <row r="919" spans="2:7">
      <c r="B919" s="218"/>
      <c r="C919" s="219"/>
      <c r="D919" s="134"/>
      <c r="E919" s="217"/>
      <c r="F919" s="217"/>
      <c r="G919" s="217"/>
    </row>
    <row r="920" spans="2:7">
      <c r="B920" s="218"/>
      <c r="C920" s="219"/>
      <c r="D920" s="134"/>
      <c r="E920" s="217"/>
      <c r="F920" s="217"/>
      <c r="G920" s="217"/>
    </row>
    <row r="921" spans="2:7">
      <c r="B921" s="218"/>
      <c r="C921" s="219"/>
      <c r="D921" s="134"/>
      <c r="E921" s="217"/>
      <c r="F921" s="217"/>
      <c r="G921" s="217"/>
    </row>
    <row r="922" spans="2:7">
      <c r="B922" s="218"/>
      <c r="C922" s="219"/>
      <c r="D922" s="134"/>
      <c r="E922" s="217"/>
      <c r="F922" s="217"/>
      <c r="G922" s="217"/>
    </row>
    <row r="923" spans="2:7">
      <c r="B923" s="218"/>
      <c r="C923" s="219"/>
      <c r="D923" s="134"/>
      <c r="E923" s="217"/>
      <c r="F923" s="217"/>
      <c r="G923" s="217"/>
    </row>
    <row r="924" spans="2:7">
      <c r="B924" s="218"/>
      <c r="C924" s="219"/>
      <c r="D924" s="134"/>
      <c r="E924" s="217"/>
      <c r="F924" s="217"/>
      <c r="G924" s="217"/>
    </row>
    <row r="925" spans="2:7">
      <c r="B925" s="218"/>
      <c r="C925" s="219"/>
      <c r="D925" s="134"/>
      <c r="E925" s="217"/>
      <c r="F925" s="217"/>
      <c r="G925" s="217"/>
    </row>
    <row r="926" spans="2:7">
      <c r="B926" s="218"/>
      <c r="C926" s="219"/>
      <c r="D926" s="134"/>
      <c r="E926" s="217"/>
      <c r="F926" s="217"/>
      <c r="G926" s="217"/>
    </row>
    <row r="927" spans="2:7">
      <c r="B927" s="218"/>
      <c r="C927" s="219"/>
      <c r="D927" s="134"/>
      <c r="E927" s="217"/>
      <c r="F927" s="217"/>
      <c r="G927" s="217"/>
    </row>
    <row r="928" spans="2:7">
      <c r="B928" s="218"/>
      <c r="C928" s="219"/>
      <c r="D928" s="134"/>
      <c r="E928" s="217"/>
      <c r="F928" s="217"/>
      <c r="G928" s="217"/>
    </row>
    <row r="929" spans="2:7">
      <c r="B929" s="218"/>
      <c r="C929" s="219"/>
      <c r="D929" s="134"/>
      <c r="E929" s="217"/>
      <c r="F929" s="217"/>
      <c r="G929" s="217"/>
    </row>
    <row r="930" spans="2:7">
      <c r="B930" s="218"/>
      <c r="C930" s="219"/>
      <c r="D930" s="134"/>
      <c r="E930" s="217"/>
      <c r="F930" s="217"/>
      <c r="G930" s="217"/>
    </row>
    <row r="931" spans="2:7">
      <c r="B931" s="218"/>
      <c r="C931" s="219"/>
      <c r="D931" s="134"/>
      <c r="E931" s="217"/>
      <c r="F931" s="217"/>
      <c r="G931" s="217"/>
    </row>
    <row r="932" spans="2:7">
      <c r="B932" s="218"/>
      <c r="C932" s="219"/>
      <c r="D932" s="134"/>
      <c r="E932" s="217"/>
      <c r="F932" s="217"/>
      <c r="G932" s="217"/>
    </row>
    <row r="933" spans="2:7">
      <c r="B933" s="218"/>
      <c r="C933" s="219"/>
      <c r="D933" s="134"/>
      <c r="E933" s="217"/>
      <c r="F933" s="217"/>
      <c r="G933" s="217"/>
    </row>
    <row r="934" spans="2:7">
      <c r="B934" s="218"/>
      <c r="C934" s="219"/>
      <c r="D934" s="134"/>
      <c r="E934" s="217"/>
      <c r="F934" s="217"/>
      <c r="G934" s="217"/>
    </row>
    <row r="935" spans="2:7">
      <c r="B935" s="218"/>
      <c r="C935" s="219"/>
      <c r="D935" s="134"/>
      <c r="E935" s="217"/>
      <c r="F935" s="217"/>
      <c r="G935" s="217"/>
    </row>
    <row r="936" spans="2:7">
      <c r="B936" s="218"/>
      <c r="C936" s="219"/>
      <c r="D936" s="134"/>
      <c r="E936" s="217"/>
      <c r="F936" s="217"/>
      <c r="G936" s="217"/>
    </row>
    <row r="937" spans="2:7">
      <c r="B937" s="218"/>
      <c r="C937" s="219"/>
      <c r="D937" s="134"/>
      <c r="E937" s="217"/>
      <c r="F937" s="217"/>
      <c r="G937" s="217"/>
    </row>
    <row r="938" spans="2:7">
      <c r="B938" s="218"/>
      <c r="C938" s="219"/>
      <c r="D938" s="134"/>
      <c r="E938" s="217"/>
      <c r="F938" s="217"/>
      <c r="G938" s="217"/>
    </row>
    <row r="939" spans="2:7">
      <c r="B939" s="218"/>
      <c r="C939" s="219"/>
      <c r="D939" s="134"/>
      <c r="E939" s="217"/>
      <c r="F939" s="217"/>
      <c r="G939" s="217"/>
    </row>
    <row r="940" spans="2:7">
      <c r="B940" s="218"/>
      <c r="C940" s="219"/>
      <c r="D940" s="134"/>
      <c r="E940" s="217"/>
      <c r="F940" s="217"/>
      <c r="G940" s="217"/>
    </row>
    <row r="941" spans="2:7">
      <c r="B941" s="218"/>
      <c r="C941" s="219"/>
      <c r="D941" s="134"/>
      <c r="E941" s="217"/>
      <c r="F941" s="217"/>
      <c r="G941" s="217"/>
    </row>
    <row r="942" spans="2:7">
      <c r="B942" s="218"/>
      <c r="C942" s="219"/>
      <c r="D942" s="134"/>
      <c r="E942" s="217"/>
      <c r="F942" s="217"/>
      <c r="G942" s="217"/>
    </row>
    <row r="943" spans="2:7">
      <c r="B943" s="218"/>
      <c r="C943" s="219"/>
      <c r="D943" s="134"/>
      <c r="E943" s="217"/>
      <c r="F943" s="217"/>
      <c r="G943" s="217"/>
    </row>
    <row r="944" spans="2:7">
      <c r="B944" s="218"/>
      <c r="C944" s="219"/>
      <c r="D944" s="134"/>
      <c r="E944" s="217"/>
      <c r="F944" s="217"/>
      <c r="G944" s="217"/>
    </row>
    <row r="945" spans="2:7">
      <c r="B945" s="218"/>
      <c r="C945" s="219"/>
      <c r="D945" s="134"/>
      <c r="E945" s="217"/>
      <c r="F945" s="217"/>
      <c r="G945" s="217"/>
    </row>
    <row r="946" spans="2:7">
      <c r="B946" s="218"/>
      <c r="C946" s="219"/>
      <c r="D946" s="134"/>
      <c r="E946" s="217"/>
      <c r="F946" s="217"/>
      <c r="G946" s="217"/>
    </row>
    <row r="947" spans="2:7">
      <c r="B947" s="218"/>
      <c r="C947" s="219"/>
      <c r="D947" s="134"/>
      <c r="E947" s="217"/>
      <c r="F947" s="217"/>
      <c r="G947" s="217"/>
    </row>
    <row r="948" spans="2:7">
      <c r="B948" s="218"/>
      <c r="C948" s="219"/>
      <c r="D948" s="134"/>
      <c r="E948" s="217"/>
      <c r="F948" s="217"/>
      <c r="G948" s="217"/>
    </row>
    <row r="949" spans="2:7">
      <c r="B949" s="218"/>
      <c r="C949" s="219"/>
      <c r="D949" s="134"/>
      <c r="E949" s="217"/>
      <c r="F949" s="217"/>
      <c r="G949" s="217"/>
    </row>
    <row r="950" spans="2:7">
      <c r="B950" s="218"/>
      <c r="C950" s="219"/>
      <c r="D950" s="134"/>
      <c r="E950" s="217"/>
      <c r="F950" s="217"/>
      <c r="G950" s="217"/>
    </row>
    <row r="951" spans="2:7">
      <c r="B951" s="218"/>
      <c r="C951" s="219"/>
      <c r="D951" s="134"/>
      <c r="E951" s="217"/>
      <c r="F951" s="217"/>
      <c r="G951" s="217"/>
    </row>
    <row r="952" spans="2:7">
      <c r="B952" s="218"/>
      <c r="C952" s="219"/>
      <c r="D952" s="134"/>
      <c r="E952" s="217"/>
      <c r="F952" s="217"/>
      <c r="G952" s="217"/>
    </row>
    <row r="953" spans="2:7">
      <c r="B953" s="218"/>
      <c r="C953" s="219"/>
      <c r="D953" s="134"/>
      <c r="E953" s="217"/>
      <c r="F953" s="217"/>
      <c r="G953" s="217"/>
    </row>
    <row r="954" spans="2:7">
      <c r="B954" s="218"/>
      <c r="C954" s="219"/>
      <c r="D954" s="134"/>
      <c r="E954" s="217"/>
      <c r="F954" s="217"/>
      <c r="G954" s="217"/>
    </row>
    <row r="955" spans="2:7">
      <c r="B955" s="218"/>
      <c r="C955" s="219"/>
      <c r="D955" s="134"/>
      <c r="E955" s="217"/>
      <c r="F955" s="217"/>
      <c r="G955" s="217"/>
    </row>
    <row r="956" spans="2:7">
      <c r="B956" s="218"/>
      <c r="C956" s="219"/>
      <c r="D956" s="134"/>
      <c r="E956" s="217"/>
      <c r="F956" s="217"/>
      <c r="G956" s="217"/>
    </row>
    <row r="957" spans="2:7">
      <c r="B957" s="218"/>
      <c r="C957" s="219"/>
      <c r="D957" s="134"/>
      <c r="E957" s="217"/>
      <c r="F957" s="217"/>
      <c r="G957" s="217"/>
    </row>
    <row r="958" spans="2:7">
      <c r="B958" s="218"/>
      <c r="C958" s="219"/>
      <c r="D958" s="134"/>
      <c r="E958" s="217"/>
      <c r="F958" s="217"/>
      <c r="G958" s="217"/>
    </row>
    <row r="959" spans="2:7">
      <c r="B959" s="218"/>
      <c r="C959" s="219"/>
      <c r="D959" s="134"/>
      <c r="E959" s="217"/>
      <c r="F959" s="217"/>
      <c r="G959" s="217"/>
    </row>
    <row r="960" spans="2:7">
      <c r="B960" s="218"/>
      <c r="C960" s="219"/>
      <c r="D960" s="134"/>
      <c r="E960" s="217"/>
      <c r="F960" s="217"/>
      <c r="G960" s="217"/>
    </row>
    <row r="961" spans="2:7">
      <c r="B961" s="218"/>
      <c r="C961" s="219"/>
      <c r="D961" s="134"/>
      <c r="E961" s="217"/>
      <c r="F961" s="217"/>
      <c r="G961" s="217"/>
    </row>
    <row r="962" spans="2:7">
      <c r="B962" s="218"/>
      <c r="C962" s="219"/>
      <c r="D962" s="134"/>
      <c r="E962" s="217"/>
      <c r="F962" s="217"/>
      <c r="G962" s="217"/>
    </row>
    <row r="963" spans="2:7">
      <c r="B963" s="218"/>
      <c r="C963" s="219"/>
      <c r="D963" s="134"/>
      <c r="E963" s="217"/>
      <c r="F963" s="217"/>
      <c r="G963" s="217"/>
    </row>
    <row r="964" spans="2:7">
      <c r="B964" s="218"/>
      <c r="C964" s="219"/>
      <c r="D964" s="134"/>
      <c r="E964" s="217"/>
      <c r="F964" s="217"/>
      <c r="G964" s="217"/>
    </row>
    <row r="965" spans="2:7">
      <c r="B965" s="218"/>
      <c r="C965" s="219"/>
      <c r="D965" s="134"/>
      <c r="E965" s="217"/>
      <c r="F965" s="217"/>
      <c r="G965" s="217"/>
    </row>
    <row r="966" spans="2:7">
      <c r="B966" s="218"/>
      <c r="C966" s="219"/>
      <c r="D966" s="134"/>
      <c r="E966" s="217"/>
      <c r="F966" s="217"/>
      <c r="G966" s="217"/>
    </row>
    <row r="967" spans="2:7">
      <c r="B967" s="218"/>
      <c r="C967" s="219"/>
      <c r="D967" s="134"/>
      <c r="E967" s="217"/>
      <c r="F967" s="217"/>
      <c r="G967" s="217"/>
    </row>
    <row r="968" spans="2:7">
      <c r="B968" s="218"/>
      <c r="C968" s="219"/>
      <c r="D968" s="134"/>
      <c r="E968" s="217"/>
      <c r="F968" s="217"/>
      <c r="G968" s="217"/>
    </row>
    <row r="969" spans="2:7">
      <c r="B969" s="218"/>
      <c r="C969" s="219"/>
      <c r="D969" s="134"/>
      <c r="E969" s="217"/>
      <c r="F969" s="217"/>
      <c r="G969" s="217"/>
    </row>
    <row r="970" spans="2:7">
      <c r="B970" s="218"/>
      <c r="C970" s="219"/>
      <c r="D970" s="134"/>
      <c r="E970" s="217"/>
      <c r="F970" s="217"/>
      <c r="G970" s="217"/>
    </row>
    <row r="971" spans="2:7">
      <c r="B971" s="218"/>
      <c r="C971" s="219"/>
      <c r="D971" s="134"/>
      <c r="E971" s="217"/>
      <c r="F971" s="217"/>
      <c r="G971" s="217"/>
    </row>
    <row r="972" spans="2:7">
      <c r="B972" s="218"/>
      <c r="C972" s="219"/>
      <c r="D972" s="134"/>
      <c r="E972" s="217"/>
      <c r="F972" s="217"/>
      <c r="G972" s="217"/>
    </row>
    <row r="973" spans="2:7">
      <c r="B973" s="218"/>
      <c r="C973" s="219"/>
      <c r="D973" s="134"/>
      <c r="E973" s="217"/>
      <c r="F973" s="217"/>
      <c r="G973" s="217"/>
    </row>
    <row r="974" spans="2:7">
      <c r="B974" s="218"/>
      <c r="C974" s="219"/>
      <c r="D974" s="134"/>
      <c r="E974" s="217"/>
      <c r="F974" s="217"/>
      <c r="G974" s="217"/>
    </row>
    <row r="975" spans="2:7">
      <c r="B975" s="218"/>
      <c r="C975" s="219"/>
      <c r="D975" s="134"/>
      <c r="E975" s="217"/>
      <c r="F975" s="217"/>
      <c r="G975" s="217"/>
    </row>
    <row r="976" spans="2:7">
      <c r="B976" s="218"/>
      <c r="C976" s="219"/>
      <c r="D976" s="134"/>
      <c r="E976" s="217"/>
      <c r="F976" s="217"/>
      <c r="G976" s="217"/>
    </row>
    <row r="977" spans="2:7">
      <c r="B977" s="218"/>
      <c r="C977" s="219"/>
      <c r="D977" s="134"/>
      <c r="E977" s="217"/>
      <c r="F977" s="217"/>
      <c r="G977" s="217"/>
    </row>
    <row r="978" spans="2:7">
      <c r="B978" s="218"/>
      <c r="C978" s="219"/>
      <c r="D978" s="134"/>
      <c r="E978" s="217"/>
      <c r="F978" s="217"/>
      <c r="G978" s="217"/>
    </row>
    <row r="979" spans="2:7">
      <c r="B979" s="218"/>
      <c r="C979" s="219"/>
      <c r="D979" s="134"/>
      <c r="E979" s="217"/>
      <c r="F979" s="217"/>
      <c r="G979" s="217"/>
    </row>
    <row r="980" spans="2:7">
      <c r="B980" s="218"/>
      <c r="C980" s="219"/>
      <c r="D980" s="134"/>
      <c r="E980" s="217"/>
      <c r="F980" s="217"/>
      <c r="G980" s="217"/>
    </row>
    <row r="981" spans="2:7">
      <c r="B981" s="218"/>
      <c r="C981" s="219"/>
      <c r="D981" s="134"/>
      <c r="E981" s="217"/>
      <c r="F981" s="217"/>
      <c r="G981" s="217"/>
    </row>
    <row r="982" spans="2:7">
      <c r="B982" s="218"/>
      <c r="C982" s="219"/>
      <c r="D982" s="134"/>
      <c r="E982" s="217"/>
      <c r="F982" s="217"/>
      <c r="G982" s="217"/>
    </row>
    <row r="983" spans="2:7">
      <c r="B983" s="218"/>
      <c r="C983" s="219"/>
      <c r="D983" s="134"/>
      <c r="E983" s="217"/>
      <c r="F983" s="217"/>
      <c r="G983" s="217"/>
    </row>
    <row r="984" spans="2:7">
      <c r="B984" s="218"/>
      <c r="C984" s="219"/>
      <c r="D984" s="134"/>
      <c r="E984" s="217"/>
      <c r="F984" s="217"/>
      <c r="G984" s="217"/>
    </row>
    <row r="985" spans="2:7">
      <c r="B985" s="218"/>
      <c r="C985" s="219"/>
      <c r="D985" s="134"/>
      <c r="E985" s="217"/>
      <c r="F985" s="217"/>
      <c r="G985" s="217"/>
    </row>
    <row r="986" spans="2:7">
      <c r="B986" s="218"/>
      <c r="C986" s="219"/>
      <c r="D986" s="134"/>
      <c r="E986" s="217"/>
      <c r="F986" s="217"/>
      <c r="G986" s="217"/>
    </row>
    <row r="987" spans="2:7">
      <c r="B987" s="218"/>
      <c r="C987" s="219"/>
      <c r="D987" s="134"/>
      <c r="E987" s="217"/>
      <c r="F987" s="217"/>
      <c r="G987" s="217"/>
    </row>
    <row r="988" spans="2:7">
      <c r="B988" s="218"/>
      <c r="C988" s="219"/>
      <c r="D988" s="134"/>
      <c r="E988" s="217"/>
      <c r="F988" s="217"/>
      <c r="G988" s="217"/>
    </row>
    <row r="989" spans="2:7">
      <c r="B989" s="218"/>
      <c r="C989" s="219"/>
      <c r="D989" s="134"/>
      <c r="E989" s="217"/>
      <c r="F989" s="217"/>
      <c r="G989" s="217"/>
    </row>
    <row r="990" spans="2:7">
      <c r="B990" s="218"/>
      <c r="C990" s="219"/>
      <c r="D990" s="134"/>
      <c r="E990" s="217"/>
      <c r="F990" s="217"/>
      <c r="G990" s="217"/>
    </row>
    <row r="991" spans="2:7">
      <c r="B991" s="218"/>
      <c r="C991" s="219"/>
      <c r="D991" s="134"/>
      <c r="E991" s="217"/>
      <c r="F991" s="217"/>
      <c r="G991" s="217"/>
    </row>
    <row r="992" spans="2:7">
      <c r="B992" s="218"/>
      <c r="C992" s="219"/>
      <c r="D992" s="134"/>
      <c r="E992" s="217"/>
      <c r="F992" s="217"/>
      <c r="G992" s="217"/>
    </row>
    <row r="993" spans="2:7">
      <c r="B993" s="218"/>
      <c r="C993" s="219"/>
      <c r="D993" s="134"/>
      <c r="E993" s="217"/>
      <c r="F993" s="217"/>
      <c r="G993" s="217"/>
    </row>
    <row r="994" spans="2:7">
      <c r="B994" s="218"/>
      <c r="C994" s="219"/>
      <c r="D994" s="134"/>
      <c r="E994" s="217"/>
      <c r="F994" s="217"/>
      <c r="G994" s="217"/>
    </row>
    <row r="995" spans="2:7">
      <c r="B995" s="218"/>
      <c r="C995" s="219"/>
      <c r="D995" s="134"/>
      <c r="E995" s="217"/>
      <c r="F995" s="217"/>
      <c r="G995" s="217"/>
    </row>
    <row r="996" spans="2:7">
      <c r="B996" s="218"/>
      <c r="C996" s="219"/>
      <c r="D996" s="134"/>
      <c r="E996" s="217"/>
      <c r="F996" s="217"/>
      <c r="G996" s="217"/>
    </row>
    <row r="997" spans="2:7">
      <c r="B997" s="218"/>
      <c r="C997" s="219"/>
      <c r="D997" s="134"/>
      <c r="E997" s="217"/>
      <c r="F997" s="217"/>
      <c r="G997" s="217"/>
    </row>
    <row r="998" spans="2:7">
      <c r="B998" s="218"/>
      <c r="C998" s="219"/>
      <c r="D998" s="134"/>
      <c r="E998" s="217"/>
      <c r="F998" s="217"/>
      <c r="G998" s="217"/>
    </row>
    <row r="999" spans="2:7">
      <c r="B999" s="218"/>
      <c r="C999" s="219"/>
      <c r="D999" s="134"/>
      <c r="E999" s="217"/>
      <c r="F999" s="217"/>
      <c r="G999" s="217"/>
    </row>
    <row r="1000" spans="2:7">
      <c r="B1000" s="218"/>
      <c r="C1000" s="219"/>
      <c r="D1000" s="134"/>
      <c r="E1000" s="217"/>
      <c r="F1000" s="217"/>
      <c r="G1000" s="217"/>
    </row>
    <row r="1001" spans="2:7">
      <c r="B1001" s="218"/>
      <c r="C1001" s="219"/>
      <c r="D1001" s="134"/>
      <c r="E1001" s="217"/>
      <c r="F1001" s="217"/>
      <c r="G1001" s="217"/>
    </row>
    <row r="1002" spans="2:7">
      <c r="B1002" s="218"/>
      <c r="C1002" s="219"/>
      <c r="D1002" s="134"/>
      <c r="E1002" s="217"/>
      <c r="F1002" s="217"/>
      <c r="G1002" s="217"/>
    </row>
    <row r="1003" spans="2:7">
      <c r="B1003" s="218"/>
      <c r="C1003" s="219"/>
      <c r="D1003" s="134"/>
      <c r="E1003" s="217"/>
      <c r="F1003" s="217"/>
      <c r="G1003" s="217"/>
    </row>
    <row r="1004" spans="2:7">
      <c r="B1004" s="218"/>
      <c r="C1004" s="219"/>
      <c r="D1004" s="134"/>
      <c r="E1004" s="217"/>
      <c r="F1004" s="217"/>
      <c r="G1004" s="217"/>
    </row>
    <row r="1005" spans="2:7">
      <c r="B1005" s="218"/>
      <c r="C1005" s="219"/>
      <c r="D1005" s="134"/>
      <c r="E1005" s="217"/>
      <c r="F1005" s="217"/>
      <c r="G1005" s="217"/>
    </row>
    <row r="1006" spans="2:7">
      <c r="B1006" s="218"/>
      <c r="C1006" s="219"/>
      <c r="D1006" s="134"/>
      <c r="E1006" s="217"/>
      <c r="F1006" s="217"/>
      <c r="G1006" s="217"/>
    </row>
    <row r="1007" spans="2:7">
      <c r="B1007" s="218"/>
      <c r="C1007" s="219"/>
      <c r="D1007" s="134"/>
      <c r="E1007" s="217"/>
      <c r="F1007" s="217"/>
      <c r="G1007" s="217"/>
    </row>
    <row r="1008" spans="2:7">
      <c r="B1008" s="218"/>
      <c r="C1008" s="219"/>
      <c r="D1008" s="134"/>
      <c r="E1008" s="217"/>
      <c r="F1008" s="217"/>
      <c r="G1008" s="217"/>
    </row>
    <row r="1009" spans="2:7">
      <c r="B1009" s="218"/>
      <c r="C1009" s="219"/>
      <c r="D1009" s="134"/>
      <c r="E1009" s="217"/>
      <c r="F1009" s="217"/>
      <c r="G1009" s="217"/>
    </row>
    <row r="1010" spans="2:7">
      <c r="B1010" s="218"/>
      <c r="C1010" s="219"/>
      <c r="D1010" s="134"/>
      <c r="E1010" s="217"/>
      <c r="F1010" s="217"/>
      <c r="G1010" s="217"/>
    </row>
    <row r="1011" spans="2:7">
      <c r="B1011" s="218"/>
      <c r="C1011" s="219"/>
      <c r="D1011" s="134"/>
      <c r="E1011" s="217"/>
      <c r="F1011" s="217"/>
      <c r="G1011" s="217"/>
    </row>
    <row r="1012" spans="2:7">
      <c r="B1012" s="218"/>
      <c r="C1012" s="219"/>
      <c r="D1012" s="134"/>
      <c r="E1012" s="217"/>
      <c r="F1012" s="217"/>
      <c r="G1012" s="217"/>
    </row>
    <row r="1013" spans="2:7">
      <c r="B1013" s="218"/>
      <c r="C1013" s="219"/>
      <c r="D1013" s="134"/>
      <c r="E1013" s="217"/>
      <c r="F1013" s="217"/>
      <c r="G1013" s="217"/>
    </row>
    <row r="1014" spans="2:7">
      <c r="B1014" s="218"/>
      <c r="C1014" s="219"/>
      <c r="D1014" s="134"/>
      <c r="E1014" s="217"/>
      <c r="F1014" s="217"/>
      <c r="G1014" s="217"/>
    </row>
    <row r="1015" spans="2:7">
      <c r="B1015" s="218"/>
      <c r="C1015" s="219"/>
      <c r="D1015" s="134"/>
      <c r="E1015" s="217"/>
      <c r="F1015" s="217"/>
      <c r="G1015" s="217"/>
    </row>
    <row r="1016" spans="2:7">
      <c r="B1016" s="218"/>
      <c r="C1016" s="219"/>
      <c r="D1016" s="134"/>
      <c r="E1016" s="217"/>
      <c r="F1016" s="217"/>
      <c r="G1016" s="217"/>
    </row>
    <row r="1017" spans="2:7">
      <c r="B1017" s="218"/>
      <c r="C1017" s="219"/>
      <c r="D1017" s="134"/>
      <c r="E1017" s="217"/>
      <c r="F1017" s="217"/>
      <c r="G1017" s="217"/>
    </row>
    <row r="1018" spans="2:7">
      <c r="B1018" s="218"/>
      <c r="C1018" s="219"/>
      <c r="D1018" s="134"/>
      <c r="E1018" s="217"/>
      <c r="F1018" s="217"/>
      <c r="G1018" s="217"/>
    </row>
    <row r="1019" spans="2:7">
      <c r="B1019" s="218"/>
      <c r="C1019" s="219"/>
      <c r="D1019" s="134"/>
      <c r="E1019" s="217"/>
      <c r="F1019" s="217"/>
      <c r="G1019" s="217"/>
    </row>
    <row r="1020" spans="2:7">
      <c r="B1020" s="218"/>
      <c r="C1020" s="219"/>
      <c r="D1020" s="134"/>
      <c r="E1020" s="217"/>
      <c r="F1020" s="217"/>
      <c r="G1020" s="217"/>
    </row>
    <row r="1021" spans="2:7">
      <c r="B1021" s="218"/>
      <c r="C1021" s="219"/>
      <c r="D1021" s="134"/>
      <c r="E1021" s="217"/>
      <c r="F1021" s="217"/>
      <c r="G1021" s="217"/>
    </row>
    <row r="1022" spans="2:7">
      <c r="B1022" s="218"/>
      <c r="C1022" s="219"/>
      <c r="D1022" s="134"/>
      <c r="E1022" s="217"/>
      <c r="F1022" s="217"/>
      <c r="G1022" s="217"/>
    </row>
    <row r="1023" spans="2:7">
      <c r="B1023" s="218"/>
      <c r="C1023" s="219"/>
      <c r="D1023" s="134"/>
      <c r="E1023" s="217"/>
      <c r="F1023" s="217"/>
      <c r="G1023" s="217"/>
    </row>
    <row r="1024" spans="2:7">
      <c r="B1024" s="218"/>
      <c r="C1024" s="219"/>
      <c r="D1024" s="134"/>
      <c r="E1024" s="217"/>
      <c r="F1024" s="217"/>
      <c r="G1024" s="217"/>
    </row>
    <row r="1025" spans="2:7">
      <c r="B1025" s="218"/>
      <c r="C1025" s="219"/>
      <c r="D1025" s="134"/>
      <c r="E1025" s="217"/>
      <c r="F1025" s="217"/>
      <c r="G1025" s="217"/>
    </row>
    <row r="1026" spans="2:7">
      <c r="B1026" s="218"/>
      <c r="C1026" s="219"/>
      <c r="D1026" s="134"/>
      <c r="E1026" s="217"/>
      <c r="F1026" s="217"/>
      <c r="G1026" s="217"/>
    </row>
    <row r="1027" spans="2:7">
      <c r="B1027" s="218"/>
      <c r="C1027" s="219"/>
      <c r="D1027" s="134"/>
      <c r="E1027" s="217"/>
      <c r="F1027" s="217"/>
      <c r="G1027" s="217"/>
    </row>
    <row r="1028" spans="2:7">
      <c r="B1028" s="218"/>
      <c r="C1028" s="219"/>
      <c r="D1028" s="134"/>
      <c r="E1028" s="217"/>
      <c r="F1028" s="217"/>
      <c r="G1028" s="217"/>
    </row>
    <row r="1029" spans="2:7">
      <c r="B1029" s="218"/>
      <c r="C1029" s="219"/>
      <c r="D1029" s="134"/>
      <c r="E1029" s="217"/>
      <c r="F1029" s="217"/>
      <c r="G1029" s="217"/>
    </row>
    <row r="1030" spans="2:7">
      <c r="B1030" s="218"/>
      <c r="C1030" s="219"/>
      <c r="D1030" s="134"/>
      <c r="E1030" s="217"/>
      <c r="F1030" s="217"/>
      <c r="G1030" s="217"/>
    </row>
    <row r="1031" spans="2:7">
      <c r="B1031" s="218"/>
      <c r="C1031" s="219"/>
      <c r="D1031" s="134"/>
      <c r="E1031" s="217"/>
      <c r="F1031" s="217"/>
      <c r="G1031" s="217"/>
    </row>
    <row r="1032" spans="2:7">
      <c r="B1032" s="218"/>
      <c r="C1032" s="219"/>
      <c r="D1032" s="134"/>
      <c r="E1032" s="217"/>
      <c r="F1032" s="217"/>
      <c r="G1032" s="217"/>
    </row>
    <row r="1033" spans="2:7">
      <c r="B1033" s="218"/>
      <c r="C1033" s="219"/>
      <c r="D1033" s="134"/>
      <c r="E1033" s="217"/>
      <c r="F1033" s="217"/>
      <c r="G1033" s="217"/>
    </row>
    <row r="1034" spans="2:7">
      <c r="B1034" s="218"/>
      <c r="C1034" s="219"/>
      <c r="D1034" s="134"/>
      <c r="E1034" s="217"/>
      <c r="F1034" s="217"/>
      <c r="G1034" s="217"/>
    </row>
    <row r="1035" spans="2:7">
      <c r="B1035" s="218"/>
      <c r="C1035" s="219"/>
      <c r="D1035" s="134"/>
      <c r="E1035" s="217"/>
      <c r="F1035" s="217"/>
      <c r="G1035" s="217"/>
    </row>
    <row r="1036" spans="2:7">
      <c r="B1036" s="218"/>
      <c r="C1036" s="219"/>
      <c r="D1036" s="134"/>
      <c r="E1036" s="217"/>
      <c r="F1036" s="217"/>
      <c r="G1036" s="217"/>
    </row>
    <row r="1037" spans="2:7">
      <c r="B1037" s="218"/>
      <c r="C1037" s="219"/>
      <c r="D1037" s="134"/>
      <c r="E1037" s="217"/>
      <c r="F1037" s="217"/>
      <c r="G1037" s="217"/>
    </row>
    <row r="1038" spans="2:7">
      <c r="B1038" s="218"/>
      <c r="C1038" s="219"/>
      <c r="D1038" s="134"/>
      <c r="E1038" s="217"/>
      <c r="F1038" s="217"/>
      <c r="G1038" s="217"/>
    </row>
    <row r="1039" spans="2:7">
      <c r="B1039" s="218"/>
      <c r="C1039" s="219"/>
      <c r="D1039" s="134"/>
      <c r="E1039" s="217"/>
      <c r="F1039" s="217"/>
      <c r="G1039" s="217"/>
    </row>
    <row r="1040" spans="2:7">
      <c r="B1040" s="218"/>
      <c r="C1040" s="219"/>
      <c r="D1040" s="134"/>
      <c r="E1040" s="217"/>
      <c r="F1040" s="217"/>
      <c r="G1040" s="217"/>
    </row>
    <row r="1041" spans="2:7">
      <c r="B1041" s="218"/>
      <c r="C1041" s="219"/>
      <c r="D1041" s="134"/>
      <c r="E1041" s="217"/>
      <c r="F1041" s="217"/>
      <c r="G1041" s="217"/>
    </row>
    <row r="1042" spans="2:7">
      <c r="B1042" s="218"/>
      <c r="C1042" s="219"/>
      <c r="D1042" s="134"/>
      <c r="E1042" s="217"/>
      <c r="F1042" s="217"/>
      <c r="G1042" s="217"/>
    </row>
    <row r="1043" spans="2:7">
      <c r="B1043" s="218"/>
      <c r="C1043" s="219"/>
      <c r="D1043" s="134"/>
      <c r="E1043" s="217"/>
      <c r="F1043" s="217"/>
      <c r="G1043" s="217"/>
    </row>
    <row r="1044" spans="2:7">
      <c r="B1044" s="218"/>
      <c r="C1044" s="219"/>
      <c r="D1044" s="134"/>
      <c r="E1044" s="217"/>
      <c r="F1044" s="217"/>
      <c r="G1044" s="217"/>
    </row>
    <row r="1045" spans="2:7">
      <c r="B1045" s="218"/>
      <c r="C1045" s="219"/>
      <c r="D1045" s="134"/>
      <c r="E1045" s="217"/>
      <c r="F1045" s="217"/>
      <c r="G1045" s="217"/>
    </row>
    <row r="1046" spans="2:7">
      <c r="B1046" s="218"/>
      <c r="C1046" s="219"/>
      <c r="D1046" s="134"/>
      <c r="E1046" s="217"/>
      <c r="F1046" s="217"/>
      <c r="G1046" s="217"/>
    </row>
    <row r="1047" spans="2:7">
      <c r="B1047" s="218"/>
      <c r="C1047" s="219"/>
      <c r="D1047" s="134"/>
      <c r="E1047" s="217"/>
      <c r="F1047" s="217"/>
      <c r="G1047" s="217"/>
    </row>
    <row r="1048" spans="2:7">
      <c r="B1048" s="218"/>
      <c r="C1048" s="219"/>
      <c r="D1048" s="134"/>
      <c r="E1048" s="217"/>
      <c r="F1048" s="217"/>
      <c r="G1048" s="217"/>
    </row>
    <row r="1049" spans="2:7">
      <c r="B1049" s="218"/>
      <c r="C1049" s="219"/>
      <c r="D1049" s="134"/>
      <c r="E1049" s="217"/>
      <c r="F1049" s="217"/>
      <c r="G1049" s="217"/>
    </row>
    <row r="1050" spans="2:7">
      <c r="B1050" s="218"/>
      <c r="C1050" s="219"/>
      <c r="D1050" s="134"/>
      <c r="E1050" s="217"/>
      <c r="F1050" s="217"/>
      <c r="G1050" s="217"/>
    </row>
    <row r="1051" spans="2:7">
      <c r="B1051" s="218"/>
      <c r="C1051" s="219"/>
      <c r="D1051" s="134"/>
      <c r="E1051" s="217"/>
      <c r="F1051" s="217"/>
      <c r="G1051" s="217"/>
    </row>
    <row r="1052" spans="2:7">
      <c r="B1052" s="218"/>
      <c r="C1052" s="219"/>
      <c r="D1052" s="134"/>
      <c r="E1052" s="217"/>
      <c r="F1052" s="217"/>
      <c r="G1052" s="217"/>
    </row>
    <row r="1053" spans="2:7">
      <c r="B1053" s="218"/>
      <c r="C1053" s="219"/>
      <c r="D1053" s="134"/>
      <c r="E1053" s="217"/>
      <c r="F1053" s="217"/>
      <c r="G1053" s="217"/>
    </row>
    <row r="1054" spans="2:7">
      <c r="B1054" s="218"/>
      <c r="C1054" s="219"/>
      <c r="D1054" s="134"/>
      <c r="E1054" s="217"/>
      <c r="F1054" s="217"/>
      <c r="G1054" s="217"/>
    </row>
    <row r="1055" spans="2:7">
      <c r="B1055" s="218"/>
      <c r="C1055" s="219"/>
      <c r="D1055" s="134"/>
      <c r="E1055" s="217"/>
      <c r="F1055" s="217"/>
      <c r="G1055" s="217"/>
    </row>
    <row r="1056" spans="2:7">
      <c r="B1056" s="218"/>
      <c r="C1056" s="219"/>
      <c r="D1056" s="134"/>
      <c r="E1056" s="217"/>
      <c r="F1056" s="217"/>
      <c r="G1056" s="217"/>
    </row>
    <row r="1057" spans="2:7">
      <c r="B1057" s="218"/>
      <c r="C1057" s="219"/>
      <c r="D1057" s="134"/>
      <c r="E1057" s="217"/>
      <c r="F1057" s="217"/>
      <c r="G1057" s="217"/>
    </row>
    <row r="1058" spans="2:7">
      <c r="B1058" s="218"/>
      <c r="C1058" s="219"/>
      <c r="D1058" s="134"/>
      <c r="E1058" s="217"/>
      <c r="F1058" s="217"/>
      <c r="G1058" s="217"/>
    </row>
    <row r="1059" spans="2:7">
      <c r="B1059" s="218"/>
      <c r="C1059" s="219"/>
      <c r="D1059" s="134"/>
      <c r="E1059" s="217"/>
      <c r="F1059" s="217"/>
      <c r="G1059" s="217"/>
    </row>
    <row r="1060" spans="2:7">
      <c r="B1060" s="218"/>
      <c r="C1060" s="219"/>
      <c r="D1060" s="134"/>
      <c r="E1060" s="217"/>
      <c r="F1060" s="217"/>
      <c r="G1060" s="217"/>
    </row>
    <row r="1061" spans="2:7">
      <c r="B1061" s="218"/>
      <c r="C1061" s="219"/>
      <c r="D1061" s="134"/>
      <c r="E1061" s="217"/>
      <c r="F1061" s="217"/>
      <c r="G1061" s="217"/>
    </row>
    <row r="1062" spans="2:7">
      <c r="B1062" s="218"/>
      <c r="C1062" s="219"/>
      <c r="D1062" s="134"/>
      <c r="E1062" s="217"/>
      <c r="F1062" s="217"/>
      <c r="G1062" s="217"/>
    </row>
    <row r="1063" spans="2:7">
      <c r="B1063" s="218"/>
      <c r="C1063" s="219"/>
      <c r="D1063" s="134"/>
      <c r="E1063" s="217"/>
      <c r="F1063" s="217"/>
      <c r="G1063" s="217"/>
    </row>
    <row r="1064" spans="2:7">
      <c r="B1064" s="218"/>
      <c r="C1064" s="219"/>
      <c r="D1064" s="134"/>
      <c r="E1064" s="217"/>
      <c r="F1064" s="217"/>
      <c r="G1064" s="217"/>
    </row>
    <row r="1065" spans="2:7">
      <c r="B1065" s="218"/>
      <c r="C1065" s="219"/>
      <c r="D1065" s="134"/>
      <c r="E1065" s="217"/>
      <c r="F1065" s="217"/>
      <c r="G1065" s="217"/>
    </row>
    <row r="1066" spans="2:7">
      <c r="B1066" s="218"/>
      <c r="C1066" s="219"/>
      <c r="D1066" s="134"/>
      <c r="E1066" s="217"/>
      <c r="F1066" s="217"/>
      <c r="G1066" s="217"/>
    </row>
    <row r="1067" spans="2:7">
      <c r="B1067" s="218"/>
      <c r="C1067" s="219"/>
      <c r="D1067" s="134"/>
      <c r="E1067" s="217"/>
      <c r="F1067" s="217"/>
      <c r="G1067" s="217"/>
    </row>
    <row r="1068" spans="2:7">
      <c r="B1068" s="218"/>
      <c r="C1068" s="219"/>
      <c r="D1068" s="134"/>
      <c r="E1068" s="217"/>
      <c r="F1068" s="217"/>
      <c r="G1068" s="217"/>
    </row>
    <row r="1069" spans="2:7">
      <c r="B1069" s="218"/>
      <c r="C1069" s="219"/>
      <c r="D1069" s="134"/>
      <c r="E1069" s="217"/>
      <c r="F1069" s="217"/>
      <c r="G1069" s="217"/>
    </row>
    <row r="1070" spans="2:7">
      <c r="B1070" s="218"/>
      <c r="C1070" s="219"/>
      <c r="D1070" s="134"/>
      <c r="E1070" s="217"/>
      <c r="F1070" s="217"/>
      <c r="G1070" s="217"/>
    </row>
    <row r="1071" spans="2:7">
      <c r="B1071" s="218"/>
      <c r="C1071" s="219"/>
      <c r="D1071" s="134"/>
      <c r="E1071" s="217"/>
      <c r="F1071" s="217"/>
      <c r="G1071" s="217"/>
    </row>
    <row r="1072" spans="2:7">
      <c r="B1072" s="218"/>
      <c r="C1072" s="219"/>
      <c r="D1072" s="134"/>
      <c r="E1072" s="217"/>
      <c r="F1072" s="217"/>
      <c r="G1072" s="217"/>
    </row>
    <row r="1073" spans="2:7">
      <c r="B1073" s="218"/>
      <c r="C1073" s="219"/>
      <c r="D1073" s="134"/>
      <c r="E1073" s="217"/>
      <c r="F1073" s="217"/>
      <c r="G1073" s="217"/>
    </row>
    <row r="1074" spans="2:7">
      <c r="B1074" s="218"/>
      <c r="C1074" s="219"/>
      <c r="D1074" s="134"/>
      <c r="E1074" s="217"/>
      <c r="F1074" s="217"/>
      <c r="G1074" s="217"/>
    </row>
    <row r="1075" spans="2:7">
      <c r="B1075" s="218"/>
      <c r="C1075" s="219"/>
      <c r="D1075" s="134"/>
      <c r="E1075" s="217"/>
      <c r="F1075" s="217"/>
      <c r="G1075" s="217"/>
    </row>
    <row r="1076" spans="2:7">
      <c r="B1076" s="218"/>
      <c r="C1076" s="219"/>
      <c r="D1076" s="134"/>
      <c r="E1076" s="217"/>
      <c r="F1076" s="217"/>
      <c r="G1076" s="217"/>
    </row>
    <row r="1077" spans="2:7">
      <c r="B1077" s="218"/>
      <c r="C1077" s="219"/>
      <c r="D1077" s="134"/>
      <c r="E1077" s="217"/>
      <c r="F1077" s="217"/>
      <c r="G1077" s="217"/>
    </row>
    <row r="1078" spans="2:7">
      <c r="B1078" s="218"/>
      <c r="C1078" s="219"/>
      <c r="D1078" s="134"/>
      <c r="E1078" s="217"/>
      <c r="F1078" s="217"/>
      <c r="G1078" s="217"/>
    </row>
    <row r="1079" spans="2:7">
      <c r="B1079" s="218"/>
      <c r="C1079" s="219"/>
      <c r="D1079" s="134"/>
      <c r="E1079" s="217"/>
      <c r="F1079" s="217"/>
      <c r="G1079" s="217"/>
    </row>
    <row r="1080" spans="2:7">
      <c r="B1080" s="218"/>
      <c r="C1080" s="219"/>
      <c r="D1080" s="134"/>
      <c r="E1080" s="217"/>
      <c r="F1080" s="217"/>
      <c r="G1080" s="217"/>
    </row>
    <row r="1081" spans="2:7">
      <c r="B1081" s="218"/>
      <c r="C1081" s="219"/>
      <c r="D1081" s="134"/>
      <c r="E1081" s="217"/>
      <c r="F1081" s="217"/>
      <c r="G1081" s="217"/>
    </row>
    <row r="1082" spans="2:7">
      <c r="B1082" s="218"/>
      <c r="C1082" s="219"/>
      <c r="D1082" s="134"/>
      <c r="E1082" s="217"/>
      <c r="F1082" s="217"/>
      <c r="G1082" s="217"/>
    </row>
    <row r="1083" spans="2:7">
      <c r="B1083" s="218"/>
      <c r="C1083" s="219"/>
      <c r="D1083" s="134"/>
      <c r="E1083" s="217"/>
      <c r="F1083" s="217"/>
      <c r="G1083" s="217"/>
    </row>
    <row r="1084" spans="2:7">
      <c r="B1084" s="218"/>
      <c r="C1084" s="219"/>
      <c r="D1084" s="134"/>
      <c r="E1084" s="217"/>
      <c r="F1084" s="217"/>
      <c r="G1084" s="217"/>
    </row>
    <row r="1085" spans="2:7">
      <c r="B1085" s="218"/>
      <c r="C1085" s="219"/>
      <c r="D1085" s="134"/>
      <c r="E1085" s="217"/>
      <c r="F1085" s="217"/>
      <c r="G1085" s="217"/>
    </row>
    <row r="1086" spans="2:7">
      <c r="B1086" s="218"/>
      <c r="C1086" s="219"/>
      <c r="D1086" s="134"/>
      <c r="E1086" s="217"/>
      <c r="F1086" s="217"/>
      <c r="G1086" s="217"/>
    </row>
    <row r="1087" spans="2:7">
      <c r="B1087" s="218"/>
      <c r="C1087" s="219"/>
      <c r="D1087" s="134"/>
      <c r="E1087" s="217"/>
      <c r="F1087" s="217"/>
      <c r="G1087" s="217"/>
    </row>
    <row r="1088" spans="2:7">
      <c r="B1088" s="218"/>
      <c r="C1088" s="219"/>
      <c r="D1088" s="134"/>
      <c r="E1088" s="217"/>
      <c r="F1088" s="217"/>
      <c r="G1088" s="217"/>
    </row>
    <row r="1089" spans="2:7">
      <c r="B1089" s="218"/>
      <c r="C1089" s="219"/>
      <c r="D1089" s="134"/>
      <c r="E1089" s="217"/>
      <c r="F1089" s="217"/>
      <c r="G1089" s="217"/>
    </row>
    <row r="1090" spans="2:7">
      <c r="B1090" s="218"/>
      <c r="C1090" s="219"/>
      <c r="D1090" s="134"/>
      <c r="E1090" s="217"/>
      <c r="F1090" s="217"/>
      <c r="G1090" s="217"/>
    </row>
    <row r="1091" spans="2:7">
      <c r="B1091" s="218"/>
      <c r="C1091" s="219"/>
      <c r="D1091" s="134"/>
      <c r="E1091" s="217"/>
      <c r="F1091" s="217"/>
      <c r="G1091" s="217"/>
    </row>
    <row r="1092" spans="2:7">
      <c r="B1092" s="218"/>
      <c r="C1092" s="219"/>
      <c r="D1092" s="134"/>
      <c r="E1092" s="217"/>
      <c r="F1092" s="217"/>
      <c r="G1092" s="217"/>
    </row>
    <row r="1093" spans="2:7">
      <c r="B1093" s="218"/>
      <c r="C1093" s="219"/>
      <c r="D1093" s="134"/>
      <c r="E1093" s="217"/>
      <c r="F1093" s="217"/>
      <c r="G1093" s="217"/>
    </row>
    <row r="1094" spans="2:7">
      <c r="B1094" s="218"/>
      <c r="C1094" s="219"/>
      <c r="D1094" s="134"/>
      <c r="E1094" s="217"/>
      <c r="F1094" s="217"/>
      <c r="G1094" s="217"/>
    </row>
    <row r="1095" spans="2:7">
      <c r="B1095" s="218"/>
      <c r="C1095" s="219"/>
      <c r="D1095" s="134"/>
      <c r="E1095" s="217"/>
      <c r="F1095" s="217"/>
      <c r="G1095" s="217"/>
    </row>
    <row r="1096" spans="2:7">
      <c r="B1096" s="218"/>
      <c r="C1096" s="219"/>
      <c r="D1096" s="134"/>
      <c r="E1096" s="217"/>
      <c r="F1096" s="217"/>
      <c r="G1096" s="217"/>
    </row>
    <row r="1097" spans="2:7">
      <c r="B1097" s="218"/>
      <c r="C1097" s="219"/>
      <c r="D1097" s="134"/>
      <c r="E1097" s="217"/>
      <c r="F1097" s="217"/>
      <c r="G1097" s="217"/>
    </row>
    <row r="1098" spans="2:7">
      <c r="B1098" s="218"/>
      <c r="C1098" s="219"/>
      <c r="D1098" s="134"/>
      <c r="E1098" s="217"/>
      <c r="F1098" s="217"/>
      <c r="G1098" s="217"/>
    </row>
    <row r="1099" spans="2:7">
      <c r="B1099" s="218"/>
      <c r="C1099" s="219"/>
      <c r="D1099" s="134"/>
      <c r="E1099" s="217"/>
      <c r="F1099" s="217"/>
      <c r="G1099" s="217"/>
    </row>
    <row r="1100" spans="2:7">
      <c r="B1100" s="218"/>
      <c r="C1100" s="219"/>
      <c r="D1100" s="134"/>
      <c r="E1100" s="217"/>
      <c r="F1100" s="217"/>
      <c r="G1100" s="217"/>
    </row>
    <row r="1101" spans="2:7">
      <c r="B1101" s="218"/>
      <c r="C1101" s="219"/>
      <c r="D1101" s="134"/>
      <c r="E1101" s="217"/>
      <c r="F1101" s="217"/>
      <c r="G1101" s="217"/>
    </row>
    <row r="1102" spans="2:7">
      <c r="B1102" s="218"/>
      <c r="C1102" s="219"/>
      <c r="D1102" s="134"/>
      <c r="E1102" s="217"/>
      <c r="F1102" s="217"/>
      <c r="G1102" s="217"/>
    </row>
    <row r="1103" spans="2:7">
      <c r="B1103" s="218"/>
      <c r="C1103" s="219"/>
      <c r="D1103" s="134"/>
      <c r="E1103" s="217"/>
      <c r="F1103" s="217"/>
      <c r="G1103" s="217"/>
    </row>
    <row r="1104" spans="2:7">
      <c r="B1104" s="218"/>
      <c r="C1104" s="219"/>
      <c r="D1104" s="134"/>
      <c r="E1104" s="217"/>
      <c r="F1104" s="217"/>
      <c r="G1104" s="217"/>
    </row>
    <row r="1105" spans="2:7">
      <c r="B1105" s="218"/>
      <c r="C1105" s="219"/>
      <c r="D1105" s="134"/>
      <c r="E1105" s="217"/>
      <c r="F1105" s="217"/>
      <c r="G1105" s="217"/>
    </row>
    <row r="1106" spans="2:7">
      <c r="B1106" s="218"/>
      <c r="C1106" s="219"/>
      <c r="D1106" s="134"/>
      <c r="E1106" s="217"/>
      <c r="F1106" s="217"/>
      <c r="G1106" s="217"/>
    </row>
    <row r="1107" spans="2:7">
      <c r="B1107" s="218"/>
      <c r="C1107" s="219"/>
      <c r="D1107" s="134"/>
      <c r="E1107" s="217"/>
      <c r="F1107" s="217"/>
      <c r="G1107" s="217"/>
    </row>
    <row r="1108" spans="2:7">
      <c r="B1108" s="218"/>
      <c r="C1108" s="219"/>
      <c r="D1108" s="134"/>
      <c r="E1108" s="217"/>
      <c r="F1108" s="217"/>
      <c r="G1108" s="217"/>
    </row>
    <row r="1109" spans="2:7">
      <c r="B1109" s="218"/>
      <c r="C1109" s="219"/>
      <c r="D1109" s="134"/>
      <c r="E1109" s="217"/>
      <c r="F1109" s="217"/>
      <c r="G1109" s="217"/>
    </row>
    <row r="1110" spans="2:7">
      <c r="B1110" s="218"/>
      <c r="C1110" s="219"/>
      <c r="D1110" s="134"/>
      <c r="E1110" s="217"/>
      <c r="F1110" s="217"/>
      <c r="G1110" s="217"/>
    </row>
    <row r="1111" spans="2:7">
      <c r="B1111" s="218"/>
      <c r="C1111" s="219"/>
      <c r="D1111" s="134"/>
      <c r="E1111" s="217"/>
      <c r="F1111" s="217"/>
      <c r="G1111" s="217"/>
    </row>
    <row r="1112" spans="2:7">
      <c r="B1112" s="218"/>
      <c r="C1112" s="219"/>
      <c r="D1112" s="134"/>
      <c r="E1112" s="217"/>
      <c r="F1112" s="217"/>
      <c r="G1112" s="217"/>
    </row>
    <row r="1113" spans="2:7">
      <c r="B1113" s="218"/>
      <c r="C1113" s="219"/>
      <c r="D1113" s="134"/>
      <c r="E1113" s="217"/>
      <c r="F1113" s="217"/>
      <c r="G1113" s="217"/>
    </row>
    <row r="1114" spans="2:7">
      <c r="B1114" s="218"/>
      <c r="C1114" s="219"/>
      <c r="D1114" s="134"/>
      <c r="E1114" s="217"/>
      <c r="F1114" s="217"/>
      <c r="G1114" s="217"/>
    </row>
    <row r="1115" spans="2:7">
      <c r="B1115" s="218"/>
      <c r="C1115" s="219"/>
      <c r="D1115" s="134"/>
      <c r="E1115" s="217"/>
      <c r="F1115" s="217"/>
      <c r="G1115" s="217"/>
    </row>
    <row r="1116" spans="2:7">
      <c r="B1116" s="218"/>
      <c r="C1116" s="219"/>
      <c r="D1116" s="134"/>
      <c r="E1116" s="217"/>
      <c r="F1116" s="217"/>
      <c r="G1116" s="217"/>
    </row>
    <row r="1117" spans="2:7">
      <c r="B1117" s="218"/>
      <c r="C1117" s="219"/>
      <c r="D1117" s="134"/>
      <c r="E1117" s="217"/>
      <c r="F1117" s="217"/>
      <c r="G1117" s="217"/>
    </row>
    <row r="1118" spans="2:7">
      <c r="B1118" s="218"/>
      <c r="C1118" s="219"/>
      <c r="D1118" s="134"/>
      <c r="E1118" s="217"/>
      <c r="F1118" s="217"/>
      <c r="G1118" s="217"/>
    </row>
    <row r="1119" spans="2:7">
      <c r="B1119" s="218"/>
      <c r="C1119" s="219"/>
      <c r="D1119" s="134"/>
      <c r="E1119" s="217"/>
      <c r="F1119" s="217"/>
      <c r="G1119" s="217"/>
    </row>
    <row r="1120" spans="2:7">
      <c r="B1120" s="218"/>
      <c r="C1120" s="219"/>
      <c r="D1120" s="134"/>
      <c r="E1120" s="217"/>
      <c r="F1120" s="217"/>
      <c r="G1120" s="217"/>
    </row>
    <row r="1121" spans="2:7">
      <c r="B1121" s="218"/>
      <c r="C1121" s="219"/>
      <c r="D1121" s="134"/>
      <c r="E1121" s="217"/>
      <c r="F1121" s="217"/>
      <c r="G1121" s="217"/>
    </row>
    <row r="1122" spans="2:7">
      <c r="B1122" s="218"/>
      <c r="C1122" s="219"/>
      <c r="D1122" s="134"/>
      <c r="E1122" s="217"/>
      <c r="F1122" s="217"/>
      <c r="G1122" s="217"/>
    </row>
    <row r="1123" spans="2:7">
      <c r="B1123" s="218"/>
      <c r="C1123" s="219"/>
      <c r="D1123" s="134"/>
      <c r="E1123" s="217"/>
      <c r="F1123" s="217"/>
      <c r="G1123" s="217"/>
    </row>
    <row r="1124" spans="2:7">
      <c r="B1124" s="218"/>
      <c r="C1124" s="219"/>
      <c r="D1124" s="134"/>
      <c r="E1124" s="217"/>
      <c r="F1124" s="217"/>
      <c r="G1124" s="217"/>
    </row>
    <row r="1125" spans="2:7">
      <c r="B1125" s="218"/>
      <c r="C1125" s="219"/>
      <c r="D1125" s="134"/>
      <c r="E1125" s="217"/>
      <c r="F1125" s="217"/>
      <c r="G1125" s="217"/>
    </row>
    <row r="1126" spans="2:7">
      <c r="B1126" s="218"/>
      <c r="C1126" s="219"/>
      <c r="D1126" s="134"/>
      <c r="E1126" s="217"/>
      <c r="F1126" s="217"/>
      <c r="G1126" s="217"/>
    </row>
    <row r="1127" spans="2:7">
      <c r="B1127" s="218"/>
      <c r="C1127" s="219"/>
      <c r="D1127" s="134"/>
      <c r="E1127" s="217"/>
      <c r="F1127" s="217"/>
      <c r="G1127" s="217"/>
    </row>
    <row r="1128" spans="2:7">
      <c r="B1128" s="218"/>
      <c r="C1128" s="219"/>
      <c r="D1128" s="134"/>
      <c r="E1128" s="217"/>
      <c r="F1128" s="217"/>
      <c r="G1128" s="217"/>
    </row>
    <row r="1129" spans="2:7">
      <c r="B1129" s="218"/>
      <c r="C1129" s="219"/>
      <c r="D1129" s="134"/>
      <c r="E1129" s="217"/>
      <c r="F1129" s="217"/>
      <c r="G1129" s="217"/>
    </row>
    <row r="1130" spans="2:7">
      <c r="B1130" s="218"/>
      <c r="C1130" s="219"/>
      <c r="D1130" s="134"/>
      <c r="E1130" s="217"/>
      <c r="F1130" s="217"/>
      <c r="G1130" s="217"/>
    </row>
    <row r="1131" spans="2:7">
      <c r="B1131" s="218"/>
      <c r="C1131" s="219"/>
      <c r="D1131" s="134"/>
      <c r="E1131" s="217"/>
      <c r="F1131" s="217"/>
      <c r="G1131" s="217"/>
    </row>
    <row r="1132" spans="2:7">
      <c r="B1132" s="218"/>
      <c r="C1132" s="219"/>
      <c r="D1132" s="134"/>
      <c r="E1132" s="217"/>
      <c r="F1132" s="217"/>
      <c r="G1132" s="217"/>
    </row>
    <row r="1133" spans="2:7">
      <c r="B1133" s="218"/>
      <c r="C1133" s="219"/>
      <c r="D1133" s="134"/>
      <c r="E1133" s="217"/>
      <c r="F1133" s="217"/>
      <c r="G1133" s="217"/>
    </row>
    <row r="1134" spans="2:7">
      <c r="B1134" s="218"/>
      <c r="C1134" s="219"/>
      <c r="D1134" s="134"/>
      <c r="E1134" s="217"/>
      <c r="F1134" s="217"/>
      <c r="G1134" s="217"/>
    </row>
    <row r="1135" spans="2:7">
      <c r="B1135" s="218"/>
      <c r="C1135" s="219"/>
      <c r="D1135" s="134"/>
      <c r="E1135" s="217"/>
      <c r="F1135" s="217"/>
      <c r="G1135" s="217"/>
    </row>
    <row r="1136" spans="2:7">
      <c r="B1136" s="218"/>
      <c r="C1136" s="219"/>
      <c r="D1136" s="134"/>
      <c r="E1136" s="217"/>
      <c r="F1136" s="217"/>
      <c r="G1136" s="217"/>
    </row>
    <row r="1137" spans="2:7">
      <c r="B1137" s="218"/>
      <c r="C1137" s="219"/>
      <c r="D1137" s="134"/>
      <c r="E1137" s="217"/>
      <c r="F1137" s="217"/>
      <c r="G1137" s="217"/>
    </row>
    <row r="1138" spans="2:7">
      <c r="B1138" s="218"/>
      <c r="C1138" s="219"/>
      <c r="D1138" s="134"/>
      <c r="E1138" s="217"/>
      <c r="F1138" s="217"/>
      <c r="G1138" s="217"/>
    </row>
    <row r="1139" spans="2:7">
      <c r="B1139" s="218"/>
      <c r="C1139" s="219"/>
      <c r="D1139" s="134"/>
      <c r="E1139" s="217"/>
      <c r="F1139" s="217"/>
      <c r="G1139" s="217"/>
    </row>
    <row r="1140" spans="2:7">
      <c r="B1140" s="218"/>
      <c r="C1140" s="219"/>
      <c r="D1140" s="134"/>
      <c r="E1140" s="217"/>
      <c r="F1140" s="217"/>
      <c r="G1140" s="217"/>
    </row>
    <row r="1141" spans="2:7">
      <c r="B1141" s="218"/>
      <c r="C1141" s="219"/>
      <c r="D1141" s="134"/>
      <c r="E1141" s="217"/>
      <c r="F1141" s="217"/>
      <c r="G1141" s="217"/>
    </row>
    <row r="1142" spans="2:7">
      <c r="B1142" s="218"/>
      <c r="C1142" s="219"/>
      <c r="D1142" s="134"/>
      <c r="E1142" s="217"/>
      <c r="F1142" s="217"/>
      <c r="G1142" s="217"/>
    </row>
    <row r="1143" spans="2:7">
      <c r="B1143" s="218"/>
      <c r="C1143" s="219"/>
      <c r="D1143" s="134"/>
      <c r="E1143" s="217"/>
      <c r="F1143" s="217"/>
      <c r="G1143" s="217"/>
    </row>
    <row r="1144" spans="2:7">
      <c r="B1144" s="218"/>
      <c r="C1144" s="219"/>
      <c r="D1144" s="134"/>
      <c r="E1144" s="217"/>
      <c r="F1144" s="217"/>
      <c r="G1144" s="217"/>
    </row>
    <row r="1145" spans="2:7">
      <c r="B1145" s="218"/>
      <c r="C1145" s="219"/>
      <c r="D1145" s="134"/>
      <c r="E1145" s="217"/>
      <c r="F1145" s="217"/>
      <c r="G1145" s="217"/>
    </row>
    <row r="1146" spans="2:7">
      <c r="B1146" s="218"/>
      <c r="C1146" s="219"/>
      <c r="D1146" s="134"/>
      <c r="E1146" s="217"/>
      <c r="F1146" s="217"/>
      <c r="G1146" s="217"/>
    </row>
    <row r="1147" spans="2:7">
      <c r="B1147" s="218"/>
      <c r="C1147" s="219"/>
      <c r="D1147" s="134"/>
      <c r="E1147" s="217"/>
      <c r="F1147" s="217"/>
      <c r="G1147" s="217"/>
    </row>
    <row r="1148" spans="2:7">
      <c r="B1148" s="218"/>
      <c r="C1148" s="219"/>
      <c r="D1148" s="134"/>
      <c r="E1148" s="217"/>
      <c r="F1148" s="217"/>
      <c r="G1148" s="217"/>
    </row>
    <row r="1149" spans="2:7">
      <c r="B1149" s="218"/>
      <c r="C1149" s="219"/>
      <c r="D1149" s="134"/>
      <c r="E1149" s="217"/>
      <c r="F1149" s="217"/>
      <c r="G1149" s="217"/>
    </row>
    <row r="1150" spans="2:7">
      <c r="B1150" s="218"/>
      <c r="C1150" s="219"/>
      <c r="D1150" s="134"/>
      <c r="E1150" s="217"/>
      <c r="F1150" s="217"/>
      <c r="G1150" s="217"/>
    </row>
    <row r="1151" spans="2:7">
      <c r="B1151" s="218"/>
      <c r="C1151" s="219"/>
      <c r="D1151" s="134"/>
      <c r="E1151" s="217"/>
      <c r="F1151" s="217"/>
      <c r="G1151" s="217"/>
    </row>
    <row r="1152" spans="2:7">
      <c r="B1152" s="218"/>
      <c r="C1152" s="219"/>
      <c r="D1152" s="134"/>
      <c r="E1152" s="217"/>
      <c r="F1152" s="217"/>
      <c r="G1152" s="217"/>
    </row>
    <row r="1153" spans="2:7">
      <c r="B1153" s="218"/>
      <c r="C1153" s="219"/>
      <c r="D1153" s="134"/>
      <c r="E1153" s="217"/>
      <c r="F1153" s="217"/>
      <c r="G1153" s="217"/>
    </row>
    <row r="1154" spans="2:7">
      <c r="B1154" s="218"/>
      <c r="C1154" s="219"/>
      <c r="D1154" s="134"/>
      <c r="E1154" s="217"/>
      <c r="F1154" s="217"/>
      <c r="G1154" s="217"/>
    </row>
    <row r="1155" spans="2:7">
      <c r="B1155" s="218"/>
      <c r="C1155" s="219"/>
      <c r="D1155" s="134"/>
      <c r="E1155" s="217"/>
      <c r="F1155" s="217"/>
      <c r="G1155" s="217"/>
    </row>
    <row r="1156" spans="2:7">
      <c r="B1156" s="218"/>
      <c r="C1156" s="219"/>
      <c r="D1156" s="134"/>
      <c r="E1156" s="217"/>
      <c r="F1156" s="217"/>
      <c r="G1156" s="217"/>
    </row>
    <row r="1157" spans="2:7">
      <c r="B1157" s="218"/>
      <c r="C1157" s="219"/>
      <c r="D1157" s="134"/>
      <c r="E1157" s="217"/>
      <c r="F1157" s="217"/>
      <c r="G1157" s="217"/>
    </row>
    <row r="1158" spans="2:7">
      <c r="B1158" s="218"/>
      <c r="C1158" s="219"/>
      <c r="D1158" s="134"/>
      <c r="E1158" s="217"/>
      <c r="F1158" s="217"/>
      <c r="G1158" s="217"/>
    </row>
    <row r="1159" spans="2:7">
      <c r="B1159" s="218"/>
      <c r="C1159" s="219"/>
      <c r="D1159" s="134"/>
      <c r="E1159" s="217"/>
      <c r="F1159" s="217"/>
      <c r="G1159" s="217"/>
    </row>
    <row r="1160" spans="2:7">
      <c r="B1160" s="218"/>
      <c r="C1160" s="219"/>
      <c r="D1160" s="134"/>
      <c r="E1160" s="217"/>
      <c r="F1160" s="217"/>
      <c r="G1160" s="217"/>
    </row>
    <row r="1161" spans="2:7">
      <c r="B1161" s="218"/>
      <c r="C1161" s="219"/>
      <c r="D1161" s="134"/>
      <c r="E1161" s="217"/>
      <c r="F1161" s="217"/>
      <c r="G1161" s="217"/>
    </row>
    <row r="1162" spans="2:7">
      <c r="B1162" s="218"/>
      <c r="C1162" s="219"/>
      <c r="D1162" s="134"/>
      <c r="E1162" s="217"/>
      <c r="F1162" s="217"/>
      <c r="G1162" s="217"/>
    </row>
    <row r="1163" spans="2:7">
      <c r="B1163" s="218"/>
      <c r="C1163" s="219"/>
      <c r="D1163" s="134"/>
      <c r="E1163" s="217"/>
      <c r="F1163" s="217"/>
      <c r="G1163" s="217"/>
    </row>
    <row r="1164" spans="2:7">
      <c r="B1164" s="218"/>
      <c r="C1164" s="219"/>
      <c r="D1164" s="134"/>
      <c r="E1164" s="217"/>
      <c r="F1164" s="217"/>
      <c r="G1164" s="217"/>
    </row>
    <row r="1165" spans="2:7">
      <c r="B1165" s="218"/>
      <c r="C1165" s="219"/>
      <c r="D1165" s="134"/>
      <c r="E1165" s="217"/>
      <c r="F1165" s="217"/>
      <c r="G1165" s="217"/>
    </row>
    <row r="1166" spans="2:7">
      <c r="B1166" s="218"/>
      <c r="C1166" s="219"/>
      <c r="D1166" s="134"/>
      <c r="E1166" s="217"/>
      <c r="F1166" s="217"/>
      <c r="G1166" s="217"/>
    </row>
    <row r="1167" spans="2:7">
      <c r="B1167" s="218"/>
      <c r="C1167" s="219"/>
      <c r="D1167" s="134"/>
      <c r="E1167" s="217"/>
      <c r="F1167" s="217"/>
      <c r="G1167" s="217"/>
    </row>
    <row r="1168" spans="2:7">
      <c r="B1168" s="218"/>
      <c r="C1168" s="219"/>
      <c r="D1168" s="134"/>
      <c r="E1168" s="217"/>
      <c r="F1168" s="217"/>
      <c r="G1168" s="217"/>
    </row>
    <row r="1169" spans="2:7">
      <c r="B1169" s="218"/>
      <c r="C1169" s="219"/>
      <c r="D1169" s="134"/>
      <c r="E1169" s="217"/>
      <c r="F1169" s="217"/>
      <c r="G1169" s="217"/>
    </row>
    <row r="1170" spans="2:7">
      <c r="B1170" s="218"/>
      <c r="C1170" s="219"/>
      <c r="D1170" s="134"/>
      <c r="E1170" s="217"/>
      <c r="F1170" s="217"/>
      <c r="G1170" s="217"/>
    </row>
    <row r="1171" spans="2:7">
      <c r="B1171" s="218"/>
      <c r="C1171" s="219"/>
      <c r="D1171" s="134"/>
      <c r="E1171" s="217"/>
      <c r="F1171" s="217"/>
      <c r="G1171" s="217"/>
    </row>
    <row r="1172" spans="2:7">
      <c r="B1172" s="218"/>
      <c r="C1172" s="219"/>
      <c r="D1172" s="134"/>
      <c r="E1172" s="217"/>
      <c r="F1172" s="217"/>
      <c r="G1172" s="217"/>
    </row>
    <row r="1173" spans="2:7">
      <c r="B1173" s="218"/>
      <c r="C1173" s="219"/>
      <c r="D1173" s="134"/>
      <c r="E1173" s="217"/>
      <c r="F1173" s="217"/>
      <c r="G1173" s="217"/>
    </row>
    <row r="1174" spans="2:7">
      <c r="B1174" s="218"/>
      <c r="C1174" s="219"/>
      <c r="D1174" s="134"/>
      <c r="E1174" s="217"/>
      <c r="F1174" s="217"/>
      <c r="G1174" s="217"/>
    </row>
    <row r="1175" spans="2:7">
      <c r="B1175" s="218"/>
      <c r="C1175" s="219"/>
      <c r="D1175" s="134"/>
      <c r="E1175" s="217"/>
      <c r="F1175" s="217"/>
      <c r="G1175" s="217"/>
    </row>
    <row r="1176" spans="2:7">
      <c r="B1176" s="218"/>
      <c r="C1176" s="219"/>
      <c r="D1176" s="134"/>
      <c r="E1176" s="217"/>
      <c r="F1176" s="217"/>
      <c r="G1176" s="217"/>
    </row>
    <row r="1177" spans="2:7">
      <c r="B1177" s="218"/>
      <c r="C1177" s="219"/>
      <c r="D1177" s="134"/>
      <c r="E1177" s="217"/>
      <c r="F1177" s="217"/>
      <c r="G1177" s="217"/>
    </row>
    <row r="1178" spans="2:7">
      <c r="B1178" s="218"/>
      <c r="C1178" s="219"/>
      <c r="D1178" s="134"/>
      <c r="E1178" s="217"/>
      <c r="F1178" s="217"/>
      <c r="G1178" s="217"/>
    </row>
    <row r="1179" spans="2:7">
      <c r="B1179" s="218"/>
      <c r="C1179" s="219"/>
      <c r="D1179" s="134"/>
      <c r="E1179" s="217"/>
      <c r="F1179" s="217"/>
      <c r="G1179" s="217"/>
    </row>
    <row r="1180" spans="2:7">
      <c r="B1180" s="218"/>
      <c r="C1180" s="219"/>
      <c r="D1180" s="134"/>
      <c r="E1180" s="217"/>
      <c r="F1180" s="217"/>
      <c r="G1180" s="217"/>
    </row>
    <row r="1181" spans="2:7">
      <c r="B1181" s="218"/>
      <c r="C1181" s="219"/>
      <c r="D1181" s="134"/>
      <c r="E1181" s="217"/>
      <c r="F1181" s="217"/>
      <c r="G1181" s="217"/>
    </row>
    <row r="1182" spans="2:7">
      <c r="B1182" s="218"/>
      <c r="C1182" s="219"/>
      <c r="D1182" s="134"/>
      <c r="E1182" s="217"/>
      <c r="F1182" s="217"/>
      <c r="G1182" s="217"/>
    </row>
    <row r="1183" spans="2:7">
      <c r="B1183" s="218"/>
      <c r="C1183" s="219"/>
      <c r="D1183" s="134"/>
      <c r="E1183" s="217"/>
      <c r="F1183" s="217"/>
      <c r="G1183" s="217"/>
    </row>
    <row r="1184" spans="2:7">
      <c r="B1184" s="218"/>
      <c r="C1184" s="219"/>
      <c r="D1184" s="134"/>
      <c r="E1184" s="217"/>
      <c r="F1184" s="217"/>
      <c r="G1184" s="217"/>
    </row>
    <row r="1185" spans="2:7">
      <c r="B1185" s="218"/>
      <c r="C1185" s="219"/>
      <c r="D1185" s="134"/>
      <c r="E1185" s="217"/>
      <c r="F1185" s="217"/>
      <c r="G1185" s="217"/>
    </row>
    <row r="1186" spans="2:7">
      <c r="B1186" s="218"/>
      <c r="C1186" s="219"/>
      <c r="D1186" s="134"/>
      <c r="E1186" s="217"/>
      <c r="F1186" s="217"/>
      <c r="G1186" s="217"/>
    </row>
    <row r="1187" spans="2:7">
      <c r="B1187" s="218"/>
      <c r="C1187" s="219"/>
      <c r="D1187" s="134"/>
      <c r="E1187" s="217"/>
      <c r="F1187" s="217"/>
      <c r="G1187" s="217"/>
    </row>
    <row r="1188" spans="2:7">
      <c r="B1188" s="218"/>
      <c r="C1188" s="219"/>
      <c r="D1188" s="134"/>
      <c r="E1188" s="217"/>
      <c r="F1188" s="217"/>
      <c r="G1188" s="217"/>
    </row>
    <row r="1189" spans="2:7">
      <c r="B1189" s="218"/>
      <c r="C1189" s="219"/>
      <c r="D1189" s="134"/>
      <c r="E1189" s="217"/>
      <c r="F1189" s="217"/>
      <c r="G1189" s="217"/>
    </row>
    <row r="1190" spans="2:7">
      <c r="B1190" s="218"/>
      <c r="C1190" s="219"/>
      <c r="D1190" s="134"/>
      <c r="E1190" s="217"/>
      <c r="F1190" s="217"/>
      <c r="G1190" s="217"/>
    </row>
    <row r="1191" spans="2:7">
      <c r="B1191" s="218"/>
      <c r="C1191" s="219"/>
      <c r="D1191" s="134"/>
      <c r="E1191" s="217"/>
      <c r="F1191" s="217"/>
      <c r="G1191" s="217"/>
    </row>
    <row r="1192" spans="2:7">
      <c r="B1192" s="218"/>
      <c r="C1192" s="219"/>
      <c r="D1192" s="134"/>
      <c r="E1192" s="217"/>
      <c r="F1192" s="217"/>
      <c r="G1192" s="217"/>
    </row>
    <row r="1193" spans="2:7">
      <c r="B1193" s="218"/>
      <c r="C1193" s="219"/>
      <c r="D1193" s="134"/>
      <c r="E1193" s="217"/>
      <c r="F1193" s="217"/>
      <c r="G1193" s="217"/>
    </row>
    <row r="1194" spans="2:7">
      <c r="B1194" s="218"/>
      <c r="C1194" s="219"/>
      <c r="D1194" s="134"/>
      <c r="E1194" s="217"/>
      <c r="F1194" s="217"/>
      <c r="G1194" s="217"/>
    </row>
    <row r="1195" spans="2:7">
      <c r="B1195" s="218"/>
      <c r="C1195" s="219"/>
      <c r="D1195" s="134"/>
      <c r="E1195" s="217"/>
      <c r="F1195" s="217"/>
      <c r="G1195" s="217"/>
    </row>
    <row r="1196" spans="2:7">
      <c r="B1196" s="218"/>
      <c r="C1196" s="219"/>
      <c r="D1196" s="134"/>
      <c r="E1196" s="217"/>
      <c r="F1196" s="217"/>
      <c r="G1196" s="217"/>
    </row>
    <row r="1197" spans="2:7">
      <c r="B1197" s="218"/>
      <c r="C1197" s="219"/>
      <c r="D1197" s="134"/>
      <c r="E1197" s="217"/>
      <c r="F1197" s="217"/>
      <c r="G1197" s="217"/>
    </row>
    <row r="1198" spans="2:7">
      <c r="B1198" s="218"/>
      <c r="C1198" s="219"/>
      <c r="D1198" s="134"/>
      <c r="E1198" s="217"/>
      <c r="F1198" s="217"/>
      <c r="G1198" s="217"/>
    </row>
    <row r="1199" spans="2:7">
      <c r="B1199" s="218"/>
      <c r="C1199" s="219"/>
      <c r="D1199" s="134"/>
      <c r="E1199" s="217"/>
      <c r="F1199" s="217"/>
      <c r="G1199" s="217"/>
    </row>
    <row r="1200" spans="2:7">
      <c r="B1200" s="218"/>
      <c r="C1200" s="219"/>
      <c r="D1200" s="134"/>
      <c r="E1200" s="217"/>
      <c r="F1200" s="217"/>
      <c r="G1200" s="217"/>
    </row>
    <row r="1201" spans="2:7">
      <c r="B1201" s="218"/>
      <c r="C1201" s="219"/>
      <c r="D1201" s="134"/>
      <c r="E1201" s="217"/>
      <c r="F1201" s="217"/>
      <c r="G1201" s="217"/>
    </row>
    <row r="1202" spans="2:7">
      <c r="B1202" s="218"/>
      <c r="C1202" s="219"/>
      <c r="D1202" s="134"/>
      <c r="E1202" s="217"/>
      <c r="F1202" s="217"/>
      <c r="G1202" s="217"/>
    </row>
    <row r="1203" spans="2:7">
      <c r="B1203" s="218"/>
      <c r="C1203" s="219"/>
      <c r="D1203" s="134"/>
      <c r="E1203" s="217"/>
      <c r="F1203" s="217"/>
      <c r="G1203" s="217"/>
    </row>
    <row r="1204" spans="2:7">
      <c r="B1204" s="218"/>
      <c r="C1204" s="219"/>
      <c r="D1204" s="134"/>
      <c r="E1204" s="217"/>
      <c r="F1204" s="217"/>
      <c r="G1204" s="217"/>
    </row>
    <row r="1205" spans="2:7">
      <c r="B1205" s="218"/>
      <c r="C1205" s="219"/>
      <c r="D1205" s="134"/>
      <c r="E1205" s="217"/>
      <c r="F1205" s="217"/>
      <c r="G1205" s="217"/>
    </row>
    <row r="1206" spans="2:7">
      <c r="B1206" s="218"/>
      <c r="C1206" s="219"/>
      <c r="D1206" s="134"/>
      <c r="E1206" s="217"/>
      <c r="F1206" s="217"/>
      <c r="G1206" s="217"/>
    </row>
    <row r="1207" spans="2:7">
      <c r="B1207" s="218"/>
      <c r="C1207" s="219"/>
      <c r="D1207" s="134"/>
      <c r="E1207" s="217"/>
      <c r="F1207" s="217"/>
      <c r="G1207" s="217"/>
    </row>
    <row r="1208" spans="2:7">
      <c r="B1208" s="218"/>
      <c r="C1208" s="219"/>
      <c r="D1208" s="134"/>
      <c r="E1208" s="217"/>
      <c r="F1208" s="217"/>
      <c r="G1208" s="217"/>
    </row>
    <row r="1209" spans="2:7">
      <c r="B1209" s="218"/>
      <c r="C1209" s="219"/>
      <c r="D1209" s="134"/>
      <c r="E1209" s="217"/>
      <c r="F1209" s="217"/>
      <c r="G1209" s="217"/>
    </row>
    <row r="1210" spans="2:7">
      <c r="B1210" s="218"/>
      <c r="C1210" s="219"/>
      <c r="D1210" s="134"/>
      <c r="E1210" s="217"/>
      <c r="F1210" s="217"/>
      <c r="G1210" s="217"/>
    </row>
    <row r="1211" spans="2:7">
      <c r="B1211" s="218"/>
      <c r="C1211" s="219"/>
      <c r="D1211" s="134"/>
      <c r="E1211" s="217"/>
      <c r="F1211" s="217"/>
      <c r="G1211" s="217"/>
    </row>
    <row r="1212" spans="2:7">
      <c r="B1212" s="218"/>
      <c r="C1212" s="219"/>
      <c r="D1212" s="134"/>
      <c r="E1212" s="217"/>
      <c r="F1212" s="217"/>
      <c r="G1212" s="217"/>
    </row>
    <row r="1213" spans="2:7">
      <c r="B1213" s="218"/>
      <c r="C1213" s="219"/>
      <c r="D1213" s="134"/>
      <c r="E1213" s="217"/>
      <c r="F1213" s="217"/>
      <c r="G1213" s="217"/>
    </row>
    <row r="1214" spans="2:7">
      <c r="B1214" s="218"/>
      <c r="C1214" s="219"/>
      <c r="D1214" s="134"/>
      <c r="E1214" s="217"/>
      <c r="F1214" s="217"/>
      <c r="G1214" s="217"/>
    </row>
    <row r="1215" spans="2:7">
      <c r="B1215" s="218"/>
      <c r="C1215" s="219"/>
      <c r="D1215" s="134"/>
      <c r="E1215" s="217"/>
      <c r="F1215" s="217"/>
      <c r="G1215" s="217"/>
    </row>
    <row r="1216" spans="2:7">
      <c r="B1216" s="218"/>
      <c r="C1216" s="219"/>
      <c r="D1216" s="134"/>
      <c r="E1216" s="217"/>
      <c r="F1216" s="217"/>
      <c r="G1216" s="217"/>
    </row>
    <row r="1217" spans="2:7">
      <c r="B1217" s="218"/>
      <c r="C1217" s="219"/>
      <c r="D1217" s="134"/>
      <c r="E1217" s="217"/>
      <c r="F1217" s="217"/>
      <c r="G1217" s="217"/>
    </row>
    <row r="1218" spans="2:7">
      <c r="B1218" s="218"/>
      <c r="C1218" s="219"/>
      <c r="D1218" s="134"/>
      <c r="E1218" s="217"/>
      <c r="F1218" s="217"/>
      <c r="G1218" s="217"/>
    </row>
    <row r="1219" spans="2:7">
      <c r="B1219" s="218"/>
      <c r="C1219" s="219"/>
      <c r="D1219" s="134"/>
      <c r="E1219" s="217"/>
      <c r="F1219" s="217"/>
      <c r="G1219" s="217"/>
    </row>
    <row r="1220" spans="2:7">
      <c r="B1220" s="218"/>
      <c r="C1220" s="219"/>
      <c r="D1220" s="134"/>
      <c r="E1220" s="217"/>
      <c r="F1220" s="217"/>
      <c r="G1220" s="217"/>
    </row>
    <row r="1221" spans="2:7">
      <c r="B1221" s="218"/>
      <c r="C1221" s="219"/>
      <c r="D1221" s="134"/>
      <c r="E1221" s="217"/>
      <c r="F1221" s="217"/>
      <c r="G1221" s="217"/>
    </row>
    <row r="1222" spans="2:7">
      <c r="B1222" s="218"/>
      <c r="C1222" s="219"/>
      <c r="D1222" s="134"/>
      <c r="E1222" s="217"/>
      <c r="F1222" s="217"/>
      <c r="G1222" s="217"/>
    </row>
    <row r="1223" spans="2:7">
      <c r="B1223" s="218"/>
      <c r="C1223" s="219"/>
      <c r="D1223" s="134"/>
      <c r="E1223" s="217"/>
      <c r="F1223" s="217"/>
      <c r="G1223" s="217"/>
    </row>
    <row r="1224" spans="2:7">
      <c r="B1224" s="218"/>
      <c r="C1224" s="219"/>
      <c r="D1224" s="134"/>
      <c r="E1224" s="217"/>
      <c r="F1224" s="217"/>
      <c r="G1224" s="217"/>
    </row>
    <row r="1225" spans="2:7">
      <c r="B1225" s="218"/>
      <c r="C1225" s="219"/>
      <c r="D1225" s="134"/>
      <c r="E1225" s="217"/>
      <c r="F1225" s="217"/>
      <c r="G1225" s="217"/>
    </row>
    <row r="1226" spans="2:7">
      <c r="B1226" s="218"/>
      <c r="C1226" s="219"/>
      <c r="D1226" s="134"/>
      <c r="E1226" s="217"/>
      <c r="F1226" s="217"/>
      <c r="G1226" s="217"/>
    </row>
    <row r="1227" spans="2:7">
      <c r="B1227" s="218"/>
      <c r="C1227" s="219"/>
      <c r="D1227" s="134"/>
      <c r="E1227" s="217"/>
      <c r="F1227" s="217"/>
      <c r="G1227" s="217"/>
    </row>
    <row r="1228" spans="2:7">
      <c r="B1228" s="218"/>
      <c r="C1228" s="219"/>
      <c r="D1228" s="134"/>
      <c r="E1228" s="217"/>
      <c r="F1228" s="217"/>
      <c r="G1228" s="217"/>
    </row>
    <row r="1229" spans="2:7">
      <c r="B1229" s="218"/>
      <c r="C1229" s="219"/>
      <c r="D1229" s="134"/>
      <c r="E1229" s="217"/>
      <c r="F1229" s="217"/>
      <c r="G1229" s="217"/>
    </row>
    <row r="1230" spans="2:7">
      <c r="B1230" s="218"/>
      <c r="C1230" s="219"/>
      <c r="D1230" s="134"/>
      <c r="E1230" s="217"/>
      <c r="F1230" s="217"/>
      <c r="G1230" s="217"/>
    </row>
    <row r="1231" spans="2:7">
      <c r="B1231" s="218"/>
      <c r="C1231" s="219"/>
      <c r="D1231" s="134"/>
      <c r="E1231" s="217"/>
      <c r="F1231" s="217"/>
      <c r="G1231" s="217"/>
    </row>
    <row r="1232" spans="2:7">
      <c r="B1232" s="218"/>
      <c r="C1232" s="219"/>
      <c r="D1232" s="134"/>
      <c r="E1232" s="217"/>
      <c r="F1232" s="217"/>
      <c r="G1232" s="217"/>
    </row>
    <row r="1233" spans="2:7">
      <c r="B1233" s="218"/>
      <c r="C1233" s="219"/>
      <c r="D1233" s="134"/>
      <c r="E1233" s="217"/>
      <c r="F1233" s="217"/>
      <c r="G1233" s="217"/>
    </row>
    <row r="1234" spans="2:7">
      <c r="B1234" s="218"/>
      <c r="C1234" s="219"/>
      <c r="D1234" s="134"/>
      <c r="E1234" s="217"/>
      <c r="F1234" s="217"/>
      <c r="G1234" s="217"/>
    </row>
    <row r="1235" spans="2:7">
      <c r="B1235" s="218"/>
      <c r="C1235" s="219"/>
      <c r="D1235" s="134"/>
      <c r="E1235" s="217"/>
      <c r="F1235" s="217"/>
      <c r="G1235" s="217"/>
    </row>
    <row r="1236" spans="2:7">
      <c r="B1236" s="218"/>
      <c r="C1236" s="219"/>
      <c r="D1236" s="134"/>
      <c r="E1236" s="217"/>
      <c r="F1236" s="217"/>
      <c r="G1236" s="217"/>
    </row>
    <row r="1237" spans="2:7">
      <c r="B1237" s="218"/>
      <c r="C1237" s="219"/>
      <c r="D1237" s="134"/>
      <c r="E1237" s="217"/>
      <c r="F1237" s="217"/>
      <c r="G1237" s="217"/>
    </row>
    <row r="1238" spans="2:7">
      <c r="B1238" s="218"/>
      <c r="C1238" s="219"/>
      <c r="D1238" s="134"/>
      <c r="E1238" s="217"/>
      <c r="F1238" s="217"/>
      <c r="G1238" s="217"/>
    </row>
    <row r="1239" spans="2:7">
      <c r="B1239" s="218"/>
      <c r="C1239" s="219"/>
      <c r="D1239" s="134"/>
      <c r="E1239" s="217"/>
      <c r="F1239" s="217"/>
      <c r="G1239" s="217"/>
    </row>
    <row r="1240" spans="2:7">
      <c r="B1240" s="218"/>
      <c r="C1240" s="219"/>
      <c r="D1240" s="134"/>
      <c r="E1240" s="217"/>
      <c r="F1240" s="217"/>
      <c r="G1240" s="217"/>
    </row>
    <row r="1241" spans="2:7">
      <c r="B1241" s="218"/>
      <c r="C1241" s="219"/>
      <c r="D1241" s="134"/>
      <c r="E1241" s="217"/>
      <c r="F1241" s="217"/>
      <c r="G1241" s="217"/>
    </row>
    <row r="1242" spans="2:7">
      <c r="B1242" s="218"/>
      <c r="C1242" s="219"/>
      <c r="D1242" s="134"/>
      <c r="E1242" s="217"/>
      <c r="F1242" s="217"/>
      <c r="G1242" s="217"/>
    </row>
    <row r="1243" spans="2:7">
      <c r="B1243" s="218"/>
      <c r="C1243" s="219"/>
      <c r="D1243" s="134"/>
      <c r="E1243" s="217"/>
      <c r="F1243" s="217"/>
      <c r="G1243" s="217"/>
    </row>
    <row r="1244" spans="2:7">
      <c r="B1244" s="218"/>
      <c r="C1244" s="219"/>
      <c r="D1244" s="134"/>
      <c r="E1244" s="217"/>
      <c r="F1244" s="217"/>
      <c r="G1244" s="217"/>
    </row>
    <row r="1245" spans="2:7">
      <c r="B1245" s="218"/>
      <c r="C1245" s="219"/>
      <c r="D1245" s="134"/>
      <c r="E1245" s="217"/>
      <c r="F1245" s="217"/>
      <c r="G1245" s="217"/>
    </row>
    <row r="1246" spans="2:7">
      <c r="B1246" s="218"/>
      <c r="C1246" s="219"/>
      <c r="D1246" s="134"/>
      <c r="E1246" s="217"/>
      <c r="F1246" s="217"/>
      <c r="G1246" s="217"/>
    </row>
    <row r="1247" spans="2:7">
      <c r="B1247" s="218"/>
      <c r="C1247" s="219"/>
      <c r="D1247" s="134"/>
      <c r="E1247" s="217"/>
      <c r="F1247" s="217"/>
      <c r="G1247" s="217"/>
    </row>
    <row r="1248" spans="2:7">
      <c r="B1248" s="218"/>
      <c r="C1248" s="219"/>
      <c r="D1248" s="134"/>
      <c r="E1248" s="217"/>
      <c r="F1248" s="217"/>
      <c r="G1248" s="217"/>
    </row>
    <row r="1249" spans="2:7">
      <c r="B1249" s="218"/>
      <c r="C1249" s="219"/>
      <c r="D1249" s="134"/>
      <c r="E1249" s="217"/>
      <c r="F1249" s="217"/>
      <c r="G1249" s="217"/>
    </row>
    <row r="1250" spans="2:7">
      <c r="B1250" s="218"/>
      <c r="C1250" s="219"/>
      <c r="D1250" s="134"/>
      <c r="E1250" s="217"/>
      <c r="F1250" s="217"/>
      <c r="G1250" s="217"/>
    </row>
    <row r="1251" spans="2:7">
      <c r="B1251" s="218"/>
      <c r="C1251" s="219"/>
      <c r="D1251" s="134"/>
      <c r="E1251" s="217"/>
      <c r="F1251" s="217"/>
      <c r="G1251" s="217"/>
    </row>
    <row r="1252" spans="2:7">
      <c r="B1252" s="218"/>
      <c r="C1252" s="219"/>
      <c r="D1252" s="134"/>
      <c r="E1252" s="217"/>
      <c r="F1252" s="217"/>
      <c r="G1252" s="217"/>
    </row>
    <row r="1253" spans="2:7">
      <c r="B1253" s="218"/>
      <c r="C1253" s="219"/>
      <c r="D1253" s="134"/>
      <c r="E1253" s="217"/>
      <c r="F1253" s="217"/>
      <c r="G1253" s="217"/>
    </row>
    <row r="1254" spans="2:7">
      <c r="B1254" s="218"/>
      <c r="C1254" s="219"/>
      <c r="D1254" s="134"/>
      <c r="E1254" s="217"/>
      <c r="F1254" s="217"/>
      <c r="G1254" s="217"/>
    </row>
    <row r="1255" spans="2:7">
      <c r="B1255" s="218"/>
      <c r="C1255" s="219"/>
      <c r="D1255" s="134"/>
      <c r="E1255" s="217"/>
      <c r="F1255" s="217"/>
      <c r="G1255" s="217"/>
    </row>
    <row r="1256" spans="2:7">
      <c r="B1256" s="218"/>
      <c r="C1256" s="219"/>
      <c r="D1256" s="134"/>
      <c r="E1256" s="217"/>
      <c r="F1256" s="217"/>
      <c r="G1256" s="217"/>
    </row>
    <row r="1257" spans="2:7">
      <c r="B1257" s="218"/>
      <c r="C1257" s="219"/>
      <c r="D1257" s="134"/>
      <c r="E1257" s="217"/>
      <c r="F1257" s="217"/>
      <c r="G1257" s="217"/>
    </row>
    <row r="1258" spans="2:7">
      <c r="B1258" s="218"/>
      <c r="C1258" s="219"/>
      <c r="D1258" s="134"/>
      <c r="E1258" s="217"/>
      <c r="F1258" s="217"/>
      <c r="G1258" s="217"/>
    </row>
    <row r="1259" spans="2:7">
      <c r="B1259" s="218"/>
      <c r="C1259" s="219"/>
      <c r="D1259" s="134"/>
      <c r="E1259" s="217"/>
      <c r="F1259" s="217"/>
      <c r="G1259" s="217"/>
    </row>
    <row r="1260" spans="2:7">
      <c r="B1260" s="218"/>
      <c r="C1260" s="219"/>
      <c r="D1260" s="134"/>
      <c r="E1260" s="217"/>
      <c r="F1260" s="217"/>
      <c r="G1260" s="217"/>
    </row>
    <row r="1261" spans="2:7">
      <c r="B1261" s="218"/>
      <c r="C1261" s="219"/>
      <c r="D1261" s="134"/>
      <c r="E1261" s="217"/>
      <c r="F1261" s="217"/>
      <c r="G1261" s="217"/>
    </row>
    <row r="1262" spans="2:7">
      <c r="B1262" s="218"/>
      <c r="C1262" s="219"/>
      <c r="D1262" s="134"/>
      <c r="E1262" s="217"/>
      <c r="F1262" s="217"/>
      <c r="G1262" s="217"/>
    </row>
    <row r="1263" spans="2:7">
      <c r="B1263" s="218"/>
      <c r="C1263" s="219"/>
      <c r="D1263" s="134"/>
      <c r="E1263" s="217"/>
      <c r="F1263" s="217"/>
      <c r="G1263" s="217"/>
    </row>
    <row r="1264" spans="2:7">
      <c r="B1264" s="218"/>
      <c r="C1264" s="219"/>
      <c r="D1264" s="134"/>
      <c r="E1264" s="217"/>
      <c r="F1264" s="217"/>
      <c r="G1264" s="217"/>
    </row>
    <row r="1265" spans="2:7">
      <c r="B1265" s="218"/>
      <c r="C1265" s="219"/>
      <c r="D1265" s="134"/>
      <c r="E1265" s="217"/>
      <c r="F1265" s="217"/>
      <c r="G1265" s="217"/>
    </row>
    <row r="1266" spans="2:7">
      <c r="B1266" s="218"/>
      <c r="C1266" s="219"/>
      <c r="D1266" s="134"/>
      <c r="E1266" s="217"/>
      <c r="F1266" s="217"/>
      <c r="G1266" s="217"/>
    </row>
    <row r="1267" spans="2:7">
      <c r="B1267" s="218"/>
      <c r="C1267" s="219"/>
      <c r="D1267" s="134"/>
      <c r="E1267" s="217"/>
      <c r="F1267" s="217"/>
      <c r="G1267" s="217"/>
    </row>
    <row r="1268" spans="2:7">
      <c r="B1268" s="218"/>
      <c r="C1268" s="219"/>
      <c r="D1268" s="134"/>
      <c r="E1268" s="217"/>
      <c r="F1268" s="217"/>
      <c r="G1268" s="217"/>
    </row>
    <row r="1269" spans="2:7">
      <c r="B1269" s="218"/>
      <c r="C1269" s="219"/>
      <c r="D1269" s="134"/>
      <c r="E1269" s="217"/>
      <c r="F1269" s="217"/>
      <c r="G1269" s="217"/>
    </row>
    <row r="1270" spans="2:7">
      <c r="B1270" s="218"/>
      <c r="C1270" s="219"/>
      <c r="D1270" s="134"/>
      <c r="E1270" s="217"/>
      <c r="F1270" s="217"/>
      <c r="G1270" s="217"/>
    </row>
    <row r="1271" spans="2:7">
      <c r="B1271" s="218"/>
      <c r="C1271" s="219"/>
      <c r="D1271" s="134"/>
      <c r="E1271" s="217"/>
      <c r="F1271" s="217"/>
      <c r="G1271" s="217"/>
    </row>
    <row r="1272" spans="2:7">
      <c r="B1272" s="218"/>
      <c r="C1272" s="219"/>
      <c r="D1272" s="134"/>
      <c r="E1272" s="217"/>
      <c r="F1272" s="217"/>
      <c r="G1272" s="217"/>
    </row>
    <row r="1273" spans="2:7">
      <c r="B1273" s="218"/>
      <c r="C1273" s="219"/>
      <c r="D1273" s="134"/>
      <c r="E1273" s="217"/>
      <c r="F1273" s="217"/>
      <c r="G1273" s="217"/>
    </row>
    <row r="1274" spans="2:7">
      <c r="B1274" s="218"/>
      <c r="C1274" s="219"/>
      <c r="D1274" s="134"/>
      <c r="E1274" s="217"/>
      <c r="F1274" s="217"/>
      <c r="G1274" s="217"/>
    </row>
    <row r="1275" spans="2:7">
      <c r="B1275" s="218"/>
      <c r="C1275" s="219"/>
      <c r="D1275" s="134"/>
      <c r="E1275" s="217"/>
      <c r="F1275" s="217"/>
      <c r="G1275" s="217"/>
    </row>
    <row r="1276" spans="2:7">
      <c r="B1276" s="218"/>
      <c r="C1276" s="219"/>
      <c r="D1276" s="134"/>
      <c r="E1276" s="217"/>
      <c r="F1276" s="217"/>
      <c r="G1276" s="217"/>
    </row>
    <row r="1277" spans="2:7">
      <c r="B1277" s="218"/>
      <c r="C1277" s="219"/>
      <c r="D1277" s="134"/>
      <c r="E1277" s="217"/>
      <c r="F1277" s="217"/>
      <c r="G1277" s="217"/>
    </row>
    <row r="1278" spans="2:7">
      <c r="B1278" s="218"/>
      <c r="C1278" s="219"/>
      <c r="D1278" s="134"/>
      <c r="E1278" s="217"/>
      <c r="F1278" s="217"/>
      <c r="G1278" s="217"/>
    </row>
    <row r="1279" spans="2:7">
      <c r="B1279" s="218"/>
      <c r="C1279" s="219"/>
      <c r="D1279" s="134"/>
      <c r="E1279" s="217"/>
      <c r="F1279" s="217"/>
      <c r="G1279" s="217"/>
    </row>
    <row r="1280" spans="2:7">
      <c r="B1280" s="218"/>
      <c r="C1280" s="219"/>
      <c r="D1280" s="134"/>
      <c r="E1280" s="217"/>
      <c r="F1280" s="217"/>
      <c r="G1280" s="217"/>
    </row>
    <row r="1281" spans="2:7">
      <c r="B1281" s="218"/>
      <c r="C1281" s="219"/>
      <c r="D1281" s="134"/>
      <c r="E1281" s="217"/>
      <c r="F1281" s="217"/>
      <c r="G1281" s="217"/>
    </row>
    <row r="1282" spans="2:7">
      <c r="B1282" s="218"/>
      <c r="C1282" s="219"/>
      <c r="D1282" s="134"/>
      <c r="E1282" s="217"/>
      <c r="F1282" s="217"/>
      <c r="G1282" s="217"/>
    </row>
    <row r="1283" spans="2:7">
      <c r="B1283" s="218"/>
      <c r="C1283" s="219"/>
      <c r="D1283" s="134"/>
      <c r="E1283" s="217"/>
      <c r="F1283" s="217"/>
      <c r="G1283" s="217"/>
    </row>
    <row r="1284" spans="2:7">
      <c r="B1284" s="218"/>
      <c r="C1284" s="219"/>
      <c r="D1284" s="134"/>
      <c r="E1284" s="217"/>
      <c r="F1284" s="217"/>
      <c r="G1284" s="217"/>
    </row>
    <row r="1285" spans="2:7">
      <c r="B1285" s="218"/>
      <c r="C1285" s="219"/>
      <c r="D1285" s="134"/>
      <c r="E1285" s="217"/>
      <c r="F1285" s="217"/>
      <c r="G1285" s="217"/>
    </row>
    <row r="1286" spans="2:7">
      <c r="B1286" s="218"/>
      <c r="C1286" s="219"/>
      <c r="D1286" s="134"/>
      <c r="E1286" s="217"/>
      <c r="F1286" s="217"/>
      <c r="G1286" s="217"/>
    </row>
    <row r="1287" spans="2:7">
      <c r="B1287" s="218"/>
      <c r="C1287" s="219"/>
      <c r="D1287" s="134"/>
      <c r="E1287" s="217"/>
      <c r="F1287" s="217"/>
      <c r="G1287" s="217"/>
    </row>
    <row r="1288" spans="2:7">
      <c r="B1288" s="218"/>
      <c r="C1288" s="219"/>
      <c r="D1288" s="134"/>
      <c r="E1288" s="217"/>
      <c r="F1288" s="217"/>
      <c r="G1288" s="217"/>
    </row>
    <row r="1289" spans="2:7">
      <c r="B1289" s="218"/>
      <c r="C1289" s="219"/>
      <c r="D1289" s="134"/>
      <c r="E1289" s="217"/>
      <c r="F1289" s="217"/>
      <c r="G1289" s="217"/>
    </row>
    <row r="1290" spans="2:7">
      <c r="B1290" s="218"/>
      <c r="C1290" s="219"/>
      <c r="D1290" s="134"/>
      <c r="E1290" s="217"/>
      <c r="F1290" s="217"/>
      <c r="G1290" s="217"/>
    </row>
    <row r="1291" spans="2:7">
      <c r="B1291" s="218"/>
      <c r="C1291" s="219"/>
      <c r="D1291" s="134"/>
      <c r="E1291" s="217"/>
      <c r="F1291" s="217"/>
      <c r="G1291" s="217"/>
    </row>
    <row r="1292" spans="2:7">
      <c r="B1292" s="218"/>
      <c r="C1292" s="219"/>
      <c r="D1292" s="134"/>
      <c r="E1292" s="217"/>
      <c r="F1292" s="217"/>
      <c r="G1292" s="217"/>
    </row>
    <row r="1293" spans="2:7">
      <c r="B1293" s="218"/>
      <c r="C1293" s="219"/>
      <c r="D1293" s="134"/>
      <c r="E1293" s="217"/>
      <c r="F1293" s="217"/>
      <c r="G1293" s="217"/>
    </row>
    <row r="1294" spans="2:7">
      <c r="B1294" s="218"/>
      <c r="C1294" s="219"/>
      <c r="D1294" s="134"/>
      <c r="E1294" s="217"/>
      <c r="F1294" s="217"/>
      <c r="G1294" s="217"/>
    </row>
    <row r="1295" spans="2:7">
      <c r="B1295" s="218"/>
      <c r="C1295" s="219"/>
      <c r="D1295" s="134"/>
      <c r="E1295" s="217"/>
      <c r="F1295" s="217"/>
      <c r="G1295" s="217"/>
    </row>
    <row r="1296" spans="2:7">
      <c r="B1296" s="218"/>
      <c r="C1296" s="219"/>
      <c r="D1296" s="134"/>
      <c r="E1296" s="217"/>
      <c r="F1296" s="217"/>
      <c r="G1296" s="217"/>
    </row>
    <row r="1297" spans="2:7">
      <c r="B1297" s="218"/>
      <c r="C1297" s="219"/>
      <c r="D1297" s="134"/>
      <c r="E1297" s="217"/>
      <c r="F1297" s="217"/>
      <c r="G1297" s="217"/>
    </row>
    <row r="1298" spans="2:7">
      <c r="B1298" s="218"/>
      <c r="C1298" s="219"/>
      <c r="D1298" s="134"/>
      <c r="E1298" s="217"/>
      <c r="F1298" s="217"/>
      <c r="G1298" s="217"/>
    </row>
    <row r="1299" spans="2:7">
      <c r="B1299" s="218"/>
      <c r="C1299" s="219"/>
      <c r="D1299" s="134"/>
      <c r="E1299" s="217"/>
      <c r="F1299" s="217"/>
      <c r="G1299" s="217"/>
    </row>
    <row r="1300" spans="2:7">
      <c r="B1300" s="218"/>
      <c r="C1300" s="219"/>
      <c r="D1300" s="134"/>
      <c r="E1300" s="217"/>
      <c r="F1300" s="217"/>
      <c r="G1300" s="217"/>
    </row>
    <row r="1301" spans="2:7">
      <c r="B1301" s="218"/>
      <c r="C1301" s="219"/>
      <c r="D1301" s="134"/>
      <c r="E1301" s="217"/>
      <c r="F1301" s="217"/>
      <c r="G1301" s="217"/>
    </row>
    <row r="1302" spans="2:7">
      <c r="B1302" s="218"/>
      <c r="C1302" s="219"/>
      <c r="D1302" s="134"/>
      <c r="E1302" s="217"/>
      <c r="F1302" s="217"/>
      <c r="G1302" s="217"/>
    </row>
    <row r="1303" spans="2:7">
      <c r="B1303" s="218"/>
      <c r="C1303" s="219"/>
      <c r="D1303" s="134"/>
      <c r="E1303" s="217"/>
      <c r="F1303" s="217"/>
      <c r="G1303" s="217"/>
    </row>
    <row r="1304" spans="2:7">
      <c r="B1304" s="218"/>
      <c r="C1304" s="219"/>
      <c r="D1304" s="134"/>
      <c r="E1304" s="217"/>
      <c r="F1304" s="217"/>
      <c r="G1304" s="217"/>
    </row>
    <row r="1305" spans="2:7">
      <c r="B1305" s="218"/>
      <c r="C1305" s="219"/>
      <c r="D1305" s="134"/>
      <c r="E1305" s="217"/>
      <c r="F1305" s="217"/>
      <c r="G1305" s="217"/>
    </row>
    <row r="1306" spans="2:7">
      <c r="B1306" s="218"/>
      <c r="C1306" s="219"/>
      <c r="D1306" s="134"/>
      <c r="E1306" s="217"/>
      <c r="F1306" s="217"/>
      <c r="G1306" s="217"/>
    </row>
    <row r="1307" spans="2:7">
      <c r="B1307" s="218"/>
      <c r="C1307" s="219"/>
      <c r="D1307" s="134"/>
      <c r="E1307" s="217"/>
      <c r="F1307" s="217"/>
      <c r="G1307" s="217"/>
    </row>
    <row r="1308" spans="2:7">
      <c r="B1308" s="218"/>
      <c r="C1308" s="219"/>
      <c r="D1308" s="134"/>
      <c r="E1308" s="217"/>
      <c r="F1308" s="217"/>
      <c r="G1308" s="217"/>
    </row>
    <row r="1309" spans="2:7">
      <c r="B1309" s="218"/>
      <c r="C1309" s="219"/>
      <c r="D1309" s="134"/>
      <c r="E1309" s="217"/>
      <c r="F1309" s="217"/>
      <c r="G1309" s="217"/>
    </row>
    <row r="1310" spans="2:7">
      <c r="B1310" s="218"/>
      <c r="C1310" s="219"/>
      <c r="D1310" s="134"/>
      <c r="E1310" s="217"/>
      <c r="F1310" s="217"/>
      <c r="G1310" s="217"/>
    </row>
    <row r="1311" spans="2:7">
      <c r="B1311" s="218"/>
      <c r="C1311" s="219"/>
      <c r="D1311" s="134"/>
      <c r="E1311" s="217"/>
      <c r="F1311" s="217"/>
      <c r="G1311" s="217"/>
    </row>
    <row r="1312" spans="2:7">
      <c r="B1312" s="218"/>
      <c r="C1312" s="219"/>
      <c r="D1312" s="134"/>
      <c r="E1312" s="217"/>
      <c r="F1312" s="217"/>
      <c r="G1312" s="217"/>
    </row>
    <row r="1313" spans="2:7">
      <c r="B1313" s="218"/>
      <c r="C1313" s="219"/>
      <c r="D1313" s="134"/>
      <c r="E1313" s="217"/>
      <c r="F1313" s="217"/>
      <c r="G1313" s="217"/>
    </row>
    <row r="1314" spans="2:7">
      <c r="B1314" s="218"/>
      <c r="C1314" s="219"/>
      <c r="D1314" s="134"/>
      <c r="E1314" s="217"/>
      <c r="F1314" s="217"/>
      <c r="G1314" s="217"/>
    </row>
    <row r="1315" spans="2:7">
      <c r="B1315" s="218"/>
      <c r="C1315" s="219"/>
      <c r="D1315" s="134"/>
      <c r="E1315" s="217"/>
      <c r="F1315" s="217"/>
      <c r="G1315" s="217"/>
    </row>
    <row r="1316" spans="2:7">
      <c r="B1316" s="218"/>
      <c r="C1316" s="219"/>
      <c r="D1316" s="134"/>
      <c r="E1316" s="217"/>
      <c r="F1316" s="217"/>
      <c r="G1316" s="217"/>
    </row>
    <row r="1317" spans="2:7">
      <c r="B1317" s="218"/>
      <c r="C1317" s="219"/>
      <c r="D1317" s="134"/>
      <c r="E1317" s="217"/>
      <c r="F1317" s="217"/>
      <c r="G1317" s="217"/>
    </row>
    <row r="1318" spans="2:7">
      <c r="B1318" s="218"/>
      <c r="C1318" s="219"/>
      <c r="D1318" s="134"/>
      <c r="E1318" s="217"/>
      <c r="F1318" s="217"/>
      <c r="G1318" s="217"/>
    </row>
    <row r="1319" spans="2:7">
      <c r="B1319" s="218"/>
      <c r="C1319" s="219"/>
      <c r="D1319" s="134"/>
      <c r="E1319" s="217"/>
      <c r="F1319" s="217"/>
      <c r="G1319" s="217"/>
    </row>
    <row r="1320" spans="2:7">
      <c r="B1320" s="218"/>
      <c r="C1320" s="219"/>
      <c r="D1320" s="134"/>
      <c r="E1320" s="217"/>
      <c r="F1320" s="217"/>
      <c r="G1320" s="217"/>
    </row>
    <row r="1321" spans="2:7">
      <c r="B1321" s="218"/>
      <c r="C1321" s="219"/>
      <c r="D1321" s="134"/>
      <c r="E1321" s="217"/>
      <c r="F1321" s="217"/>
      <c r="G1321" s="217"/>
    </row>
    <row r="1322" spans="2:7">
      <c r="B1322" s="218"/>
      <c r="C1322" s="219"/>
      <c r="D1322" s="134"/>
      <c r="E1322" s="217"/>
      <c r="F1322" s="217"/>
      <c r="G1322" s="217"/>
    </row>
    <row r="1323" spans="2:7">
      <c r="B1323" s="218"/>
      <c r="C1323" s="219"/>
      <c r="D1323" s="134"/>
      <c r="E1323" s="217"/>
      <c r="F1323" s="217"/>
      <c r="G1323" s="217"/>
    </row>
    <row r="1324" spans="2:7">
      <c r="B1324" s="218"/>
      <c r="C1324" s="219"/>
      <c r="D1324" s="134"/>
      <c r="E1324" s="217"/>
      <c r="F1324" s="217"/>
      <c r="G1324" s="217"/>
    </row>
    <row r="1325" spans="2:7">
      <c r="B1325" s="218"/>
      <c r="C1325" s="219"/>
      <c r="D1325" s="134"/>
      <c r="E1325" s="217"/>
      <c r="F1325" s="217"/>
      <c r="G1325" s="217"/>
    </row>
    <row r="1326" spans="2:7">
      <c r="B1326" s="218"/>
      <c r="C1326" s="219"/>
      <c r="D1326" s="134"/>
      <c r="E1326" s="217"/>
      <c r="F1326" s="217"/>
      <c r="G1326" s="217"/>
    </row>
    <row r="1327" spans="2:7">
      <c r="B1327" s="218"/>
      <c r="C1327" s="219"/>
      <c r="D1327" s="134"/>
      <c r="E1327" s="217"/>
      <c r="F1327" s="217"/>
      <c r="G1327" s="217"/>
    </row>
    <row r="1328" spans="2:7">
      <c r="B1328" s="218"/>
      <c r="C1328" s="219"/>
      <c r="D1328" s="134"/>
      <c r="E1328" s="217"/>
      <c r="F1328" s="217"/>
      <c r="G1328" s="217"/>
    </row>
    <row r="1329" spans="2:7">
      <c r="B1329" s="218"/>
      <c r="C1329" s="219"/>
      <c r="D1329" s="134"/>
      <c r="E1329" s="217"/>
      <c r="F1329" s="217"/>
      <c r="G1329" s="217"/>
    </row>
    <row r="1330" spans="2:7">
      <c r="B1330" s="218"/>
      <c r="C1330" s="219"/>
      <c r="D1330" s="134"/>
      <c r="E1330" s="217"/>
      <c r="F1330" s="217"/>
      <c r="G1330" s="217"/>
    </row>
    <row r="1331" spans="2:7">
      <c r="B1331" s="218"/>
      <c r="C1331" s="219"/>
      <c r="D1331" s="134"/>
      <c r="E1331" s="217"/>
      <c r="F1331" s="217"/>
      <c r="G1331" s="217"/>
    </row>
    <row r="1332" spans="2:7">
      <c r="B1332" s="218"/>
      <c r="C1332" s="219"/>
      <c r="D1332" s="134"/>
      <c r="E1332" s="217"/>
      <c r="F1332" s="217"/>
      <c r="G1332" s="217"/>
    </row>
    <row r="1333" spans="2:7">
      <c r="B1333" s="218"/>
      <c r="C1333" s="219"/>
      <c r="D1333" s="134"/>
      <c r="E1333" s="217"/>
      <c r="F1333" s="217"/>
      <c r="G1333" s="217"/>
    </row>
    <row r="1334" spans="2:7">
      <c r="B1334" s="218"/>
      <c r="C1334" s="219"/>
      <c r="D1334" s="134"/>
      <c r="E1334" s="217"/>
      <c r="F1334" s="217"/>
      <c r="G1334" s="217"/>
    </row>
    <row r="1335" spans="2:7">
      <c r="B1335" s="218"/>
      <c r="C1335" s="219"/>
      <c r="D1335" s="134"/>
      <c r="E1335" s="217"/>
      <c r="F1335" s="217"/>
      <c r="G1335" s="217"/>
    </row>
    <row r="1336" spans="2:7">
      <c r="B1336" s="218"/>
      <c r="C1336" s="219"/>
      <c r="D1336" s="134"/>
      <c r="E1336" s="217"/>
      <c r="F1336" s="217"/>
      <c r="G1336" s="217"/>
    </row>
    <row r="1337" spans="2:7">
      <c r="B1337" s="218"/>
      <c r="C1337" s="219"/>
      <c r="D1337" s="134"/>
      <c r="E1337" s="217"/>
      <c r="F1337" s="217"/>
      <c r="G1337" s="217"/>
    </row>
    <row r="1338" spans="2:7">
      <c r="B1338" s="218"/>
      <c r="C1338" s="219"/>
      <c r="D1338" s="134"/>
      <c r="E1338" s="217"/>
      <c r="F1338" s="217"/>
      <c r="G1338" s="217"/>
    </row>
    <row r="1339" spans="2:7">
      <c r="B1339" s="218"/>
      <c r="C1339" s="219"/>
      <c r="D1339" s="134"/>
      <c r="E1339" s="217"/>
      <c r="F1339" s="217"/>
      <c r="G1339" s="217"/>
    </row>
    <row r="1340" spans="2:7">
      <c r="B1340" s="218"/>
      <c r="C1340" s="219"/>
      <c r="D1340" s="134"/>
      <c r="E1340" s="217"/>
      <c r="F1340" s="217"/>
      <c r="G1340" s="217"/>
    </row>
    <row r="1341" spans="2:7">
      <c r="B1341" s="218"/>
      <c r="C1341" s="219"/>
      <c r="D1341" s="134"/>
      <c r="E1341" s="217"/>
      <c r="F1341" s="217"/>
      <c r="G1341" s="217"/>
    </row>
    <row r="1342" spans="2:7">
      <c r="B1342" s="218"/>
      <c r="C1342" s="219"/>
      <c r="D1342" s="134"/>
      <c r="E1342" s="217"/>
      <c r="F1342" s="217"/>
      <c r="G1342" s="217"/>
    </row>
    <row r="1343" spans="2:7">
      <c r="B1343" s="218"/>
      <c r="C1343" s="219"/>
      <c r="D1343" s="134"/>
      <c r="E1343" s="217"/>
      <c r="F1343" s="217"/>
      <c r="G1343" s="217"/>
    </row>
    <row r="1344" spans="2:7">
      <c r="B1344" s="218"/>
      <c r="C1344" s="219"/>
      <c r="D1344" s="134"/>
      <c r="E1344" s="217"/>
      <c r="F1344" s="217"/>
      <c r="G1344" s="217"/>
    </row>
    <row r="1345" spans="2:7">
      <c r="B1345" s="218"/>
      <c r="C1345" s="219"/>
      <c r="D1345" s="134"/>
      <c r="E1345" s="217"/>
      <c r="F1345" s="217"/>
      <c r="G1345" s="217"/>
    </row>
    <row r="1346" spans="2:7">
      <c r="B1346" s="218"/>
      <c r="C1346" s="219"/>
      <c r="D1346" s="134"/>
      <c r="E1346" s="217"/>
      <c r="F1346" s="217"/>
      <c r="G1346" s="217"/>
    </row>
    <row r="1347" spans="2:7">
      <c r="B1347" s="218"/>
      <c r="C1347" s="219"/>
      <c r="D1347" s="134"/>
      <c r="E1347" s="217"/>
      <c r="F1347" s="217"/>
      <c r="G1347" s="217"/>
    </row>
    <row r="1348" spans="2:7">
      <c r="B1348" s="218"/>
      <c r="C1348" s="219"/>
      <c r="D1348" s="134"/>
      <c r="E1348" s="217"/>
      <c r="F1348" s="217"/>
      <c r="G1348" s="217"/>
    </row>
    <row r="1349" spans="2:7">
      <c r="B1349" s="218"/>
      <c r="C1349" s="219"/>
      <c r="D1349" s="134"/>
      <c r="E1349" s="217"/>
      <c r="F1349" s="217"/>
      <c r="G1349" s="217"/>
    </row>
    <row r="1350" spans="2:7">
      <c r="B1350" s="218"/>
      <c r="C1350" s="219"/>
      <c r="D1350" s="134"/>
      <c r="E1350" s="217"/>
      <c r="F1350" s="217"/>
      <c r="G1350" s="217"/>
    </row>
    <row r="1351" spans="2:7">
      <c r="B1351" s="218"/>
      <c r="C1351" s="219"/>
      <c r="D1351" s="134"/>
      <c r="E1351" s="217"/>
      <c r="F1351" s="217"/>
      <c r="G1351" s="217"/>
    </row>
    <row r="1352" spans="2:7">
      <c r="B1352" s="218"/>
      <c r="C1352" s="219"/>
      <c r="D1352" s="134"/>
      <c r="E1352" s="217"/>
      <c r="F1352" s="217"/>
      <c r="G1352" s="217"/>
    </row>
    <row r="1353" spans="2:7">
      <c r="B1353" s="218"/>
      <c r="C1353" s="219"/>
      <c r="D1353" s="134"/>
      <c r="E1353" s="217"/>
      <c r="F1353" s="217"/>
      <c r="G1353" s="217"/>
    </row>
    <row r="1354" spans="2:7">
      <c r="B1354" s="218"/>
      <c r="C1354" s="219"/>
      <c r="D1354" s="134"/>
      <c r="E1354" s="217"/>
      <c r="F1354" s="217"/>
      <c r="G1354" s="217"/>
    </row>
    <row r="1355" spans="2:7">
      <c r="B1355" s="218"/>
      <c r="C1355" s="219"/>
      <c r="D1355" s="134"/>
      <c r="E1355" s="217"/>
      <c r="F1355" s="217"/>
      <c r="G1355" s="217"/>
    </row>
    <row r="1356" spans="2:7">
      <c r="B1356" s="218"/>
      <c r="C1356" s="219"/>
      <c r="D1356" s="134"/>
      <c r="E1356" s="217"/>
      <c r="F1356" s="217"/>
      <c r="G1356" s="217"/>
    </row>
    <row r="1357" spans="2:7">
      <c r="B1357" s="218"/>
      <c r="C1357" s="219"/>
      <c r="D1357" s="134"/>
      <c r="E1357" s="217"/>
      <c r="F1357" s="217"/>
      <c r="G1357" s="217"/>
    </row>
    <row r="1358" spans="2:7">
      <c r="B1358" s="218"/>
      <c r="C1358" s="219"/>
      <c r="D1358" s="134"/>
      <c r="E1358" s="217"/>
      <c r="F1358" s="217"/>
      <c r="G1358" s="217"/>
    </row>
    <row r="1359" spans="2:7">
      <c r="B1359" s="218"/>
      <c r="C1359" s="219"/>
      <c r="D1359" s="134"/>
      <c r="E1359" s="217"/>
      <c r="F1359" s="217"/>
      <c r="G1359" s="217"/>
    </row>
    <row r="1360" spans="2:7">
      <c r="B1360" s="218"/>
      <c r="C1360" s="219"/>
      <c r="D1360" s="134"/>
      <c r="E1360" s="217"/>
      <c r="F1360" s="217"/>
      <c r="G1360" s="217"/>
    </row>
    <row r="1361" spans="2:7">
      <c r="B1361" s="218"/>
      <c r="C1361" s="219"/>
      <c r="D1361" s="134"/>
      <c r="E1361" s="217"/>
      <c r="F1361" s="217"/>
      <c r="G1361" s="217"/>
    </row>
    <row r="1362" spans="2:7">
      <c r="B1362" s="218"/>
      <c r="C1362" s="219"/>
      <c r="D1362" s="134"/>
      <c r="E1362" s="217"/>
      <c r="F1362" s="217"/>
      <c r="G1362" s="217"/>
    </row>
    <row r="1363" spans="2:7">
      <c r="B1363" s="218"/>
      <c r="C1363" s="219"/>
      <c r="D1363" s="134"/>
      <c r="E1363" s="217"/>
      <c r="F1363" s="217"/>
      <c r="G1363" s="217"/>
    </row>
    <row r="1364" spans="2:7">
      <c r="B1364" s="218"/>
      <c r="C1364" s="219"/>
      <c r="D1364" s="134"/>
      <c r="E1364" s="217"/>
      <c r="F1364" s="217"/>
      <c r="G1364" s="217"/>
    </row>
    <row r="1365" spans="2:7">
      <c r="B1365" s="218"/>
      <c r="C1365" s="219"/>
      <c r="D1365" s="134"/>
      <c r="E1365" s="217"/>
      <c r="F1365" s="217"/>
      <c r="G1365" s="217"/>
    </row>
    <row r="1366" spans="2:7">
      <c r="B1366" s="218"/>
      <c r="C1366" s="219"/>
      <c r="D1366" s="134"/>
      <c r="E1366" s="217"/>
      <c r="F1366" s="217"/>
      <c r="G1366" s="217"/>
    </row>
    <row r="1367" spans="2:7">
      <c r="B1367" s="218"/>
      <c r="C1367" s="219"/>
      <c r="D1367" s="134"/>
      <c r="E1367" s="217"/>
      <c r="F1367" s="217"/>
      <c r="G1367" s="217"/>
    </row>
    <row r="1368" spans="2:7">
      <c r="B1368" s="218"/>
      <c r="C1368" s="219"/>
      <c r="D1368" s="134"/>
      <c r="E1368" s="217"/>
      <c r="F1368" s="217"/>
      <c r="G1368" s="217"/>
    </row>
    <row r="1369" spans="2:7">
      <c r="B1369" s="218"/>
      <c r="C1369" s="219"/>
      <c r="D1369" s="134"/>
      <c r="E1369" s="217"/>
      <c r="F1369" s="217"/>
      <c r="G1369" s="217"/>
    </row>
    <row r="1370" spans="2:7">
      <c r="B1370" s="218"/>
      <c r="C1370" s="219"/>
      <c r="D1370" s="134"/>
      <c r="E1370" s="217"/>
      <c r="F1370" s="217"/>
      <c r="G1370" s="217"/>
    </row>
    <row r="1371" spans="2:7">
      <c r="B1371" s="218"/>
      <c r="C1371" s="219"/>
      <c r="D1371" s="134"/>
      <c r="E1371" s="217"/>
      <c r="F1371" s="217"/>
      <c r="G1371" s="217"/>
    </row>
    <row r="1372" spans="2:7">
      <c r="B1372" s="218"/>
      <c r="C1372" s="219"/>
      <c r="D1372" s="134"/>
      <c r="E1372" s="217"/>
      <c r="F1372" s="217"/>
      <c r="G1372" s="217"/>
    </row>
    <row r="1373" spans="2:7">
      <c r="B1373" s="218"/>
      <c r="C1373" s="219"/>
      <c r="D1373" s="134"/>
      <c r="E1373" s="217"/>
      <c r="F1373" s="217"/>
      <c r="G1373" s="217"/>
    </row>
    <row r="1374" spans="2:7">
      <c r="B1374" s="218"/>
      <c r="C1374" s="219"/>
      <c r="D1374" s="134"/>
      <c r="E1374" s="217"/>
      <c r="F1374" s="217"/>
      <c r="G1374" s="217"/>
    </row>
    <row r="1375" spans="2:7">
      <c r="B1375" s="218"/>
      <c r="C1375" s="219"/>
      <c r="D1375" s="134"/>
      <c r="E1375" s="217"/>
      <c r="F1375" s="217"/>
      <c r="G1375" s="217"/>
    </row>
    <row r="1376" spans="2:7">
      <c r="B1376" s="218"/>
      <c r="C1376" s="219"/>
      <c r="D1376" s="134"/>
      <c r="E1376" s="217"/>
      <c r="F1376" s="217"/>
      <c r="G1376" s="217"/>
    </row>
    <row r="1377" spans="2:7">
      <c r="B1377" s="218"/>
      <c r="C1377" s="219"/>
      <c r="D1377" s="134"/>
      <c r="E1377" s="217"/>
      <c r="F1377" s="217"/>
      <c r="G1377" s="217"/>
    </row>
    <row r="1378" spans="2:7">
      <c r="B1378" s="218"/>
      <c r="C1378" s="219"/>
      <c r="D1378" s="134"/>
      <c r="E1378" s="217"/>
      <c r="F1378" s="217"/>
      <c r="G1378" s="217"/>
    </row>
    <row r="1379" spans="2:7">
      <c r="B1379" s="218"/>
      <c r="C1379" s="219"/>
      <c r="D1379" s="134"/>
      <c r="E1379" s="217"/>
      <c r="F1379" s="217"/>
      <c r="G1379" s="217"/>
    </row>
    <row r="1380" spans="2:7">
      <c r="B1380" s="218"/>
      <c r="C1380" s="219"/>
      <c r="D1380" s="134"/>
      <c r="E1380" s="217"/>
      <c r="F1380" s="217"/>
      <c r="G1380" s="217"/>
    </row>
    <row r="1381" spans="2:7">
      <c r="B1381" s="218"/>
      <c r="C1381" s="219"/>
      <c r="D1381" s="134"/>
      <c r="E1381" s="217"/>
      <c r="F1381" s="217"/>
      <c r="G1381" s="217"/>
    </row>
    <row r="1382" spans="2:7">
      <c r="B1382" s="218"/>
      <c r="C1382" s="219"/>
      <c r="D1382" s="134"/>
      <c r="E1382" s="217"/>
      <c r="F1382" s="217"/>
      <c r="G1382" s="217"/>
    </row>
    <row r="1383" spans="2:7">
      <c r="B1383" s="218"/>
      <c r="C1383" s="219"/>
      <c r="D1383" s="134"/>
      <c r="E1383" s="217"/>
      <c r="F1383" s="217"/>
      <c r="G1383" s="217"/>
    </row>
    <row r="1384" spans="2:7">
      <c r="B1384" s="218"/>
      <c r="C1384" s="219"/>
      <c r="D1384" s="134"/>
      <c r="E1384" s="217"/>
      <c r="F1384" s="217"/>
      <c r="G1384" s="217"/>
    </row>
    <row r="1385" spans="2:7">
      <c r="B1385" s="218"/>
      <c r="C1385" s="219"/>
      <c r="D1385" s="134"/>
      <c r="E1385" s="217"/>
      <c r="F1385" s="217"/>
      <c r="G1385" s="217"/>
    </row>
    <row r="1386" spans="2:7">
      <c r="B1386" s="218"/>
      <c r="C1386" s="219"/>
      <c r="D1386" s="134"/>
      <c r="E1386" s="217"/>
      <c r="F1386" s="217"/>
      <c r="G1386" s="217"/>
    </row>
    <row r="1387" spans="2:7">
      <c r="B1387" s="218"/>
      <c r="C1387" s="219"/>
      <c r="D1387" s="134"/>
      <c r="E1387" s="217"/>
      <c r="F1387" s="217"/>
      <c r="G1387" s="217"/>
    </row>
    <row r="1388" spans="2:7">
      <c r="B1388" s="218"/>
      <c r="C1388" s="219"/>
      <c r="D1388" s="134"/>
      <c r="E1388" s="217"/>
      <c r="F1388" s="217"/>
      <c r="G1388" s="217"/>
    </row>
    <row r="1389" spans="2:7">
      <c r="B1389" s="218"/>
      <c r="C1389" s="219"/>
      <c r="D1389" s="134"/>
      <c r="E1389" s="217"/>
      <c r="F1389" s="217"/>
      <c r="G1389" s="217"/>
    </row>
    <row r="1390" spans="2:7">
      <c r="B1390" s="218"/>
      <c r="C1390" s="219"/>
      <c r="D1390" s="134"/>
      <c r="E1390" s="217"/>
      <c r="F1390" s="217"/>
      <c r="G1390" s="217"/>
    </row>
    <row r="1391" spans="2:7">
      <c r="B1391" s="218"/>
      <c r="C1391" s="219"/>
      <c r="D1391" s="134"/>
      <c r="E1391" s="217"/>
      <c r="F1391" s="217"/>
      <c r="G1391" s="217"/>
    </row>
    <row r="1392" spans="2:7">
      <c r="B1392" s="218"/>
      <c r="C1392" s="219"/>
      <c r="D1392" s="134"/>
      <c r="E1392" s="217"/>
      <c r="F1392" s="217"/>
      <c r="G1392" s="217"/>
    </row>
    <row r="1393" spans="2:7">
      <c r="B1393" s="218"/>
      <c r="C1393" s="219"/>
      <c r="D1393" s="134"/>
      <c r="E1393" s="217"/>
      <c r="F1393" s="217"/>
      <c r="G1393" s="217"/>
    </row>
    <row r="1394" spans="2:7">
      <c r="B1394" s="218"/>
      <c r="C1394" s="219"/>
      <c r="D1394" s="134"/>
      <c r="E1394" s="217"/>
      <c r="F1394" s="217"/>
      <c r="G1394" s="217"/>
    </row>
    <row r="1395" spans="2:7">
      <c r="B1395" s="218"/>
      <c r="C1395" s="219"/>
      <c r="D1395" s="134"/>
      <c r="E1395" s="217"/>
      <c r="F1395" s="217"/>
      <c r="G1395" s="217"/>
    </row>
    <row r="1396" spans="2:7">
      <c r="B1396" s="218"/>
      <c r="C1396" s="219"/>
      <c r="D1396" s="134"/>
      <c r="E1396" s="217"/>
      <c r="F1396" s="217"/>
      <c r="G1396" s="217"/>
    </row>
    <row r="1397" spans="2:7">
      <c r="B1397" s="218"/>
      <c r="C1397" s="219"/>
      <c r="D1397" s="134"/>
      <c r="E1397" s="217"/>
      <c r="F1397" s="217"/>
      <c r="G1397" s="217"/>
    </row>
    <row r="1398" spans="2:7">
      <c r="B1398" s="218"/>
      <c r="C1398" s="219"/>
      <c r="D1398" s="134"/>
      <c r="E1398" s="217"/>
      <c r="F1398" s="217"/>
      <c r="G1398" s="217"/>
    </row>
    <row r="1399" spans="2:7">
      <c r="B1399" s="218"/>
      <c r="C1399" s="219"/>
      <c r="D1399" s="134"/>
      <c r="E1399" s="217"/>
      <c r="F1399" s="217"/>
      <c r="G1399" s="217"/>
    </row>
    <row r="1400" spans="2:7">
      <c r="B1400" s="218"/>
      <c r="C1400" s="219"/>
      <c r="D1400" s="134"/>
      <c r="E1400" s="217"/>
      <c r="F1400" s="217"/>
      <c r="G1400" s="217"/>
    </row>
    <row r="1401" spans="2:7">
      <c r="B1401" s="218"/>
      <c r="C1401" s="219"/>
      <c r="D1401" s="134"/>
      <c r="E1401" s="217"/>
      <c r="F1401" s="217"/>
      <c r="G1401" s="217"/>
    </row>
    <row r="1402" spans="2:7">
      <c r="B1402" s="218"/>
      <c r="C1402" s="219"/>
      <c r="D1402" s="134"/>
      <c r="E1402" s="217"/>
      <c r="F1402" s="217"/>
      <c r="G1402" s="217"/>
    </row>
    <row r="1403" spans="2:7">
      <c r="B1403" s="218"/>
      <c r="C1403" s="219"/>
      <c r="D1403" s="134"/>
      <c r="E1403" s="217"/>
      <c r="F1403" s="217"/>
      <c r="G1403" s="217"/>
    </row>
    <row r="1404" spans="2:7">
      <c r="B1404" s="218"/>
      <c r="C1404" s="219"/>
      <c r="D1404" s="134"/>
      <c r="E1404" s="217"/>
      <c r="F1404" s="217"/>
      <c r="G1404" s="217"/>
    </row>
    <row r="1405" spans="2:7">
      <c r="B1405" s="218"/>
      <c r="C1405" s="219"/>
      <c r="D1405" s="134"/>
      <c r="E1405" s="217"/>
      <c r="F1405" s="217"/>
      <c r="G1405" s="217"/>
    </row>
    <row r="1406" spans="2:7">
      <c r="B1406" s="218"/>
      <c r="C1406" s="219"/>
      <c r="D1406" s="134"/>
      <c r="E1406" s="217"/>
      <c r="F1406" s="217"/>
      <c r="G1406" s="217"/>
    </row>
    <row r="1407" spans="2:7">
      <c r="B1407" s="218"/>
      <c r="C1407" s="219"/>
      <c r="D1407" s="134"/>
      <c r="E1407" s="217"/>
      <c r="F1407" s="217"/>
      <c r="G1407" s="217"/>
    </row>
    <row r="1408" spans="2:7">
      <c r="B1408" s="218"/>
      <c r="C1408" s="219"/>
      <c r="D1408" s="134"/>
      <c r="E1408" s="217"/>
      <c r="F1408" s="217"/>
      <c r="G1408" s="217"/>
    </row>
    <row r="1409" spans="2:7">
      <c r="B1409" s="218"/>
      <c r="C1409" s="219"/>
      <c r="D1409" s="134"/>
      <c r="E1409" s="217"/>
      <c r="F1409" s="217"/>
      <c r="G1409" s="217"/>
    </row>
    <row r="1410" spans="2:7">
      <c r="B1410" s="218"/>
      <c r="C1410" s="219"/>
      <c r="D1410" s="134"/>
      <c r="E1410" s="217"/>
      <c r="F1410" s="217"/>
      <c r="G1410" s="217"/>
    </row>
    <row r="1411" spans="2:7">
      <c r="B1411" s="218"/>
      <c r="C1411" s="219"/>
      <c r="D1411" s="134"/>
      <c r="E1411" s="217"/>
      <c r="F1411" s="217"/>
      <c r="G1411" s="217"/>
    </row>
    <row r="1412" spans="2:7">
      <c r="B1412" s="218"/>
      <c r="C1412" s="219"/>
      <c r="D1412" s="134"/>
      <c r="E1412" s="217"/>
      <c r="F1412" s="217"/>
      <c r="G1412" s="217"/>
    </row>
    <row r="1413" spans="2:7">
      <c r="B1413" s="218"/>
      <c r="C1413" s="219"/>
      <c r="D1413" s="134"/>
      <c r="E1413" s="217"/>
      <c r="F1413" s="217"/>
      <c r="G1413" s="217"/>
    </row>
    <row r="1414" spans="2:7">
      <c r="B1414" s="218"/>
      <c r="C1414" s="219"/>
      <c r="D1414" s="134"/>
      <c r="E1414" s="217"/>
      <c r="F1414" s="217"/>
      <c r="G1414" s="217"/>
    </row>
    <row r="1415" spans="2:7">
      <c r="B1415" s="218"/>
      <c r="C1415" s="219"/>
      <c r="D1415" s="134"/>
      <c r="E1415" s="217"/>
      <c r="F1415" s="217"/>
      <c r="G1415" s="217"/>
    </row>
    <row r="1416" spans="2:7">
      <c r="B1416" s="218"/>
      <c r="C1416" s="219"/>
      <c r="D1416" s="134"/>
      <c r="E1416" s="217"/>
      <c r="F1416" s="217"/>
      <c r="G1416" s="217"/>
    </row>
    <row r="1417" spans="2:7">
      <c r="B1417" s="218"/>
      <c r="C1417" s="219"/>
      <c r="D1417" s="134"/>
      <c r="E1417" s="217"/>
      <c r="F1417" s="217"/>
      <c r="G1417" s="217"/>
    </row>
    <row r="1418" spans="2:7">
      <c r="B1418" s="218"/>
      <c r="C1418" s="219"/>
      <c r="D1418" s="134"/>
      <c r="E1418" s="217"/>
      <c r="F1418" s="217"/>
      <c r="G1418" s="217"/>
    </row>
    <row r="1419" spans="2:7">
      <c r="B1419" s="218"/>
      <c r="C1419" s="219"/>
      <c r="D1419" s="134"/>
      <c r="E1419" s="217"/>
      <c r="F1419" s="217"/>
      <c r="G1419" s="217"/>
    </row>
    <row r="1420" spans="2:7">
      <c r="B1420" s="218"/>
      <c r="C1420" s="219"/>
      <c r="D1420" s="134"/>
      <c r="E1420" s="217"/>
      <c r="F1420" s="217"/>
      <c r="G1420" s="217"/>
    </row>
    <row r="1421" spans="2:7">
      <c r="B1421" s="218"/>
      <c r="C1421" s="219"/>
      <c r="D1421" s="134"/>
      <c r="E1421" s="217"/>
      <c r="F1421" s="217"/>
      <c r="G1421" s="217"/>
    </row>
    <row r="1422" spans="2:7">
      <c r="B1422" s="218"/>
      <c r="C1422" s="219"/>
      <c r="D1422" s="134"/>
      <c r="E1422" s="217"/>
      <c r="F1422" s="217"/>
      <c r="G1422" s="217"/>
    </row>
    <row r="1423" spans="2:7">
      <c r="B1423" s="218"/>
      <c r="C1423" s="219"/>
      <c r="D1423" s="134"/>
      <c r="E1423" s="217"/>
      <c r="F1423" s="217"/>
      <c r="G1423" s="217"/>
    </row>
    <row r="1424" spans="2:7">
      <c r="B1424" s="218"/>
      <c r="C1424" s="219"/>
      <c r="D1424" s="134"/>
      <c r="E1424" s="217"/>
      <c r="F1424" s="217"/>
      <c r="G1424" s="217"/>
    </row>
    <row r="1425" spans="2:7">
      <c r="B1425" s="218"/>
      <c r="C1425" s="219"/>
      <c r="D1425" s="134"/>
      <c r="E1425" s="217"/>
      <c r="F1425" s="217"/>
      <c r="G1425" s="217"/>
    </row>
    <row r="1426" spans="2:7">
      <c r="B1426" s="218"/>
      <c r="C1426" s="219"/>
      <c r="D1426" s="134"/>
      <c r="E1426" s="217"/>
      <c r="F1426" s="217"/>
      <c r="G1426" s="217"/>
    </row>
    <row r="1427" spans="2:7">
      <c r="B1427" s="218"/>
      <c r="C1427" s="219"/>
      <c r="D1427" s="134"/>
      <c r="E1427" s="217"/>
      <c r="F1427" s="217"/>
      <c r="G1427" s="217"/>
    </row>
    <row r="1428" spans="2:7">
      <c r="B1428" s="218"/>
      <c r="C1428" s="219"/>
      <c r="D1428" s="134"/>
      <c r="E1428" s="217"/>
      <c r="F1428" s="217"/>
      <c r="G1428" s="217"/>
    </row>
    <row r="1429" spans="2:7">
      <c r="B1429" s="218"/>
      <c r="C1429" s="219"/>
      <c r="D1429" s="134"/>
      <c r="E1429" s="217"/>
      <c r="F1429" s="217"/>
      <c r="G1429" s="217"/>
    </row>
    <row r="1430" spans="2:7">
      <c r="B1430" s="218"/>
      <c r="C1430" s="219"/>
      <c r="D1430" s="134"/>
      <c r="E1430" s="217"/>
      <c r="F1430" s="217"/>
      <c r="G1430" s="217"/>
    </row>
    <row r="1431" spans="2:7">
      <c r="B1431" s="218"/>
      <c r="C1431" s="219"/>
      <c r="D1431" s="134"/>
      <c r="E1431" s="217"/>
      <c r="F1431" s="217"/>
      <c r="G1431" s="217"/>
    </row>
    <row r="1432" spans="2:7">
      <c r="B1432" s="218"/>
      <c r="C1432" s="219"/>
      <c r="D1432" s="134"/>
      <c r="E1432" s="217"/>
      <c r="F1432" s="217"/>
      <c r="G1432" s="217"/>
    </row>
    <row r="1433" spans="2:7">
      <c r="B1433" s="218"/>
      <c r="C1433" s="219"/>
      <c r="D1433" s="134"/>
      <c r="E1433" s="217"/>
      <c r="F1433" s="217"/>
      <c r="G1433" s="217"/>
    </row>
    <row r="1434" spans="2:7">
      <c r="B1434" s="218"/>
      <c r="C1434" s="219"/>
      <c r="D1434" s="134"/>
      <c r="E1434" s="217"/>
      <c r="F1434" s="217"/>
      <c r="G1434" s="217"/>
    </row>
    <row r="1435" spans="2:7">
      <c r="B1435" s="218"/>
      <c r="C1435" s="219"/>
      <c r="D1435" s="134"/>
      <c r="E1435" s="217"/>
      <c r="F1435" s="217"/>
      <c r="G1435" s="217"/>
    </row>
    <row r="1436" spans="2:7">
      <c r="B1436" s="218"/>
      <c r="C1436" s="219"/>
      <c r="D1436" s="134"/>
      <c r="E1436" s="217"/>
      <c r="F1436" s="217"/>
      <c r="G1436" s="217"/>
    </row>
    <row r="1437" spans="2:7">
      <c r="B1437" s="218"/>
      <c r="C1437" s="219"/>
      <c r="D1437" s="134"/>
      <c r="E1437" s="217"/>
      <c r="F1437" s="217"/>
      <c r="G1437" s="217"/>
    </row>
    <row r="1438" spans="2:7">
      <c r="B1438" s="218"/>
      <c r="C1438" s="219"/>
      <c r="D1438" s="134"/>
      <c r="E1438" s="217"/>
      <c r="F1438" s="217"/>
      <c r="G1438" s="217"/>
    </row>
    <row r="1439" spans="2:7">
      <c r="B1439" s="218"/>
      <c r="C1439" s="219"/>
      <c r="D1439" s="134"/>
      <c r="E1439" s="217"/>
      <c r="F1439" s="217"/>
      <c r="G1439" s="217"/>
    </row>
    <row r="1440" spans="2:7">
      <c r="B1440" s="218"/>
      <c r="C1440" s="219"/>
      <c r="D1440" s="134"/>
      <c r="E1440" s="217"/>
      <c r="F1440" s="217"/>
      <c r="G1440" s="217"/>
    </row>
    <row r="1441" spans="2:7">
      <c r="B1441" s="218"/>
      <c r="C1441" s="219"/>
      <c r="D1441" s="134"/>
      <c r="E1441" s="217"/>
      <c r="F1441" s="217"/>
      <c r="G1441" s="217"/>
    </row>
    <row r="1442" spans="2:7">
      <c r="B1442" s="218"/>
      <c r="C1442" s="219"/>
      <c r="D1442" s="134"/>
      <c r="E1442" s="217"/>
      <c r="F1442" s="217"/>
      <c r="G1442" s="217"/>
    </row>
    <row r="1443" spans="2:7">
      <c r="B1443" s="218"/>
      <c r="C1443" s="219"/>
      <c r="D1443" s="134"/>
      <c r="E1443" s="217"/>
      <c r="F1443" s="217"/>
      <c r="G1443" s="217"/>
    </row>
    <row r="1444" spans="2:7">
      <c r="B1444" s="218"/>
      <c r="C1444" s="219"/>
      <c r="D1444" s="134"/>
      <c r="E1444" s="217"/>
      <c r="F1444" s="217"/>
      <c r="G1444" s="217"/>
    </row>
    <row r="1445" spans="2:7">
      <c r="B1445" s="218"/>
      <c r="C1445" s="219"/>
      <c r="D1445" s="134"/>
      <c r="E1445" s="217"/>
      <c r="F1445" s="217"/>
      <c r="G1445" s="217"/>
    </row>
    <row r="1446" spans="2:7">
      <c r="B1446" s="218"/>
      <c r="C1446" s="219"/>
      <c r="D1446" s="134"/>
      <c r="E1446" s="217"/>
      <c r="F1446" s="217"/>
      <c r="G1446" s="217"/>
    </row>
    <row r="1447" spans="2:7">
      <c r="B1447" s="218"/>
      <c r="C1447" s="219"/>
      <c r="D1447" s="134"/>
      <c r="E1447" s="217"/>
      <c r="F1447" s="217"/>
      <c r="G1447" s="217"/>
    </row>
    <row r="1448" spans="2:7">
      <c r="B1448" s="218"/>
      <c r="C1448" s="219"/>
      <c r="D1448" s="134"/>
      <c r="E1448" s="217"/>
      <c r="F1448" s="217"/>
      <c r="G1448" s="217"/>
    </row>
    <row r="1449" spans="2:7">
      <c r="B1449" s="218"/>
      <c r="C1449" s="219"/>
      <c r="D1449" s="134"/>
      <c r="E1449" s="217"/>
      <c r="F1449" s="217"/>
      <c r="G1449" s="217"/>
    </row>
    <row r="1450" spans="2:7">
      <c r="B1450" s="218"/>
      <c r="C1450" s="219"/>
      <c r="D1450" s="134"/>
      <c r="E1450" s="217"/>
      <c r="F1450" s="217"/>
      <c r="G1450" s="217"/>
    </row>
    <row r="1451" spans="2:7">
      <c r="B1451" s="218"/>
      <c r="C1451" s="219"/>
      <c r="D1451" s="134"/>
      <c r="E1451" s="217"/>
      <c r="F1451" s="217"/>
      <c r="G1451" s="217"/>
    </row>
    <row r="1452" spans="2:7">
      <c r="B1452" s="218"/>
      <c r="C1452" s="219"/>
      <c r="D1452" s="134"/>
      <c r="E1452" s="217"/>
      <c r="F1452" s="217"/>
      <c r="G1452" s="217"/>
    </row>
    <row r="1453" spans="2:7">
      <c r="B1453" s="218"/>
      <c r="C1453" s="219"/>
      <c r="D1453" s="134"/>
      <c r="E1453" s="217"/>
      <c r="F1453" s="217"/>
      <c r="G1453" s="217"/>
    </row>
    <row r="1454" spans="2:7">
      <c r="B1454" s="218"/>
      <c r="C1454" s="219"/>
      <c r="D1454" s="134"/>
      <c r="E1454" s="217"/>
      <c r="F1454" s="217"/>
      <c r="G1454" s="217"/>
    </row>
    <row r="1455" spans="2:7">
      <c r="B1455" s="218"/>
      <c r="C1455" s="219"/>
      <c r="D1455" s="134"/>
      <c r="E1455" s="217"/>
      <c r="F1455" s="217"/>
      <c r="G1455" s="217"/>
    </row>
    <row r="1456" spans="2:7">
      <c r="B1456" s="218"/>
      <c r="C1456" s="219"/>
      <c r="D1456" s="134"/>
      <c r="E1456" s="217"/>
      <c r="F1456" s="217"/>
      <c r="G1456" s="217"/>
    </row>
    <row r="1457" spans="2:7">
      <c r="B1457" s="218"/>
      <c r="C1457" s="219"/>
      <c r="D1457" s="134"/>
      <c r="E1457" s="217"/>
      <c r="F1457" s="217"/>
      <c r="G1457" s="217"/>
    </row>
    <row r="1458" spans="2:7">
      <c r="B1458" s="218"/>
      <c r="C1458" s="219"/>
      <c r="D1458" s="134"/>
      <c r="E1458" s="217"/>
      <c r="F1458" s="217"/>
      <c r="G1458" s="217"/>
    </row>
    <row r="1459" spans="2:7">
      <c r="B1459" s="218"/>
      <c r="C1459" s="219"/>
      <c r="D1459" s="134"/>
      <c r="E1459" s="217"/>
      <c r="F1459" s="217"/>
      <c r="G1459" s="217"/>
    </row>
    <row r="1460" spans="2:7">
      <c r="B1460" s="218"/>
      <c r="C1460" s="219"/>
      <c r="D1460" s="134"/>
      <c r="E1460" s="217"/>
      <c r="F1460" s="217"/>
      <c r="G1460" s="217"/>
    </row>
    <row r="1461" spans="2:7">
      <c r="B1461" s="218"/>
      <c r="C1461" s="219"/>
      <c r="D1461" s="134"/>
      <c r="E1461" s="217"/>
      <c r="F1461" s="217"/>
      <c r="G1461" s="217"/>
    </row>
    <row r="1462" spans="2:7">
      <c r="B1462" s="218"/>
      <c r="C1462" s="219"/>
      <c r="D1462" s="134"/>
      <c r="E1462" s="217"/>
      <c r="F1462" s="217"/>
      <c r="G1462" s="217"/>
    </row>
    <row r="1463" spans="2:7">
      <c r="B1463" s="218"/>
      <c r="C1463" s="219"/>
      <c r="D1463" s="134"/>
      <c r="E1463" s="217"/>
      <c r="F1463" s="217"/>
      <c r="G1463" s="217"/>
    </row>
    <row r="1464" spans="2:7">
      <c r="B1464" s="218"/>
      <c r="C1464" s="219"/>
      <c r="D1464" s="134"/>
      <c r="E1464" s="217"/>
      <c r="F1464" s="217"/>
      <c r="G1464" s="217"/>
    </row>
    <row r="1465" spans="2:7">
      <c r="B1465" s="218"/>
      <c r="C1465" s="219"/>
      <c r="D1465" s="134"/>
      <c r="E1465" s="217"/>
      <c r="F1465" s="217"/>
      <c r="G1465" s="217"/>
    </row>
    <row r="1466" spans="2:7">
      <c r="B1466" s="218"/>
      <c r="C1466" s="219"/>
      <c r="D1466" s="134"/>
      <c r="E1466" s="217"/>
      <c r="F1466" s="217"/>
      <c r="G1466" s="217"/>
    </row>
    <row r="1467" spans="2:7">
      <c r="B1467" s="218"/>
      <c r="C1467" s="219"/>
      <c r="D1467" s="134"/>
      <c r="E1467" s="217"/>
      <c r="F1467" s="217"/>
      <c r="G1467" s="217"/>
    </row>
    <row r="1468" spans="2:7">
      <c r="B1468" s="218"/>
      <c r="C1468" s="219"/>
      <c r="D1468" s="134"/>
      <c r="E1468" s="217"/>
      <c r="F1468" s="217"/>
      <c r="G1468" s="217"/>
    </row>
    <row r="1469" spans="2:7">
      <c r="B1469" s="218"/>
      <c r="C1469" s="219"/>
      <c r="D1469" s="134"/>
      <c r="E1469" s="217"/>
      <c r="F1469" s="217"/>
      <c r="G1469" s="217"/>
    </row>
    <row r="1470" spans="2:7">
      <c r="B1470" s="218"/>
      <c r="C1470" s="219"/>
      <c r="D1470" s="134"/>
      <c r="E1470" s="217"/>
      <c r="F1470" s="217"/>
      <c r="G1470" s="217"/>
    </row>
    <row r="1471" spans="2:7">
      <c r="B1471" s="218"/>
      <c r="C1471" s="219"/>
      <c r="D1471" s="134"/>
      <c r="E1471" s="217"/>
      <c r="F1471" s="217"/>
      <c r="G1471" s="217"/>
    </row>
    <row r="1472" spans="2:7">
      <c r="B1472" s="218"/>
      <c r="C1472" s="219"/>
      <c r="D1472" s="134"/>
      <c r="E1472" s="217"/>
      <c r="F1472" s="217"/>
      <c r="G1472" s="217"/>
    </row>
    <row r="1473" spans="2:7">
      <c r="B1473" s="218"/>
      <c r="C1473" s="219"/>
      <c r="D1473" s="134"/>
      <c r="E1473" s="217"/>
      <c r="F1473" s="217"/>
      <c r="G1473" s="217"/>
    </row>
    <row r="1474" spans="2:7">
      <c r="B1474" s="218"/>
      <c r="C1474" s="219"/>
      <c r="D1474" s="134"/>
      <c r="E1474" s="217"/>
      <c r="F1474" s="217"/>
      <c r="G1474" s="217"/>
    </row>
    <row r="1475" spans="2:7">
      <c r="B1475" s="218"/>
      <c r="C1475" s="219"/>
      <c r="D1475" s="134"/>
      <c r="E1475" s="217"/>
      <c r="F1475" s="217"/>
      <c r="G1475" s="217"/>
    </row>
    <row r="1476" spans="2:7">
      <c r="B1476" s="218"/>
      <c r="C1476" s="219"/>
      <c r="D1476" s="134"/>
      <c r="E1476" s="217"/>
      <c r="F1476" s="217"/>
      <c r="G1476" s="217"/>
    </row>
    <row r="1477" spans="2:7">
      <c r="B1477" s="218"/>
      <c r="C1477" s="219"/>
      <c r="D1477" s="134"/>
      <c r="E1477" s="217"/>
      <c r="F1477" s="217"/>
      <c r="G1477" s="217"/>
    </row>
    <row r="1478" spans="2:7">
      <c r="B1478" s="218"/>
      <c r="C1478" s="219"/>
      <c r="D1478" s="134"/>
      <c r="E1478" s="217"/>
      <c r="F1478" s="217"/>
      <c r="G1478" s="217"/>
    </row>
    <row r="1479" spans="2:7">
      <c r="B1479" s="218"/>
      <c r="C1479" s="219"/>
      <c r="D1479" s="134"/>
      <c r="E1479" s="217"/>
      <c r="F1479" s="217"/>
      <c r="G1479" s="217"/>
    </row>
    <row r="1480" spans="2:7">
      <c r="B1480" s="218"/>
      <c r="C1480" s="219"/>
      <c r="D1480" s="134"/>
      <c r="E1480" s="217"/>
      <c r="F1480" s="217"/>
      <c r="G1480" s="217"/>
    </row>
    <row r="1481" spans="2:7">
      <c r="B1481" s="218"/>
      <c r="C1481" s="219"/>
      <c r="D1481" s="134"/>
      <c r="E1481" s="217"/>
      <c r="F1481" s="217"/>
      <c r="G1481" s="217"/>
    </row>
    <row r="1482" spans="2:7">
      <c r="B1482" s="218"/>
      <c r="C1482" s="219"/>
      <c r="D1482" s="134"/>
      <c r="E1482" s="217"/>
      <c r="F1482" s="217"/>
      <c r="G1482" s="217"/>
    </row>
    <row r="1483" spans="2:7">
      <c r="B1483" s="218"/>
      <c r="C1483" s="219"/>
      <c r="D1483" s="134"/>
      <c r="E1483" s="217"/>
      <c r="F1483" s="217"/>
      <c r="G1483" s="217"/>
    </row>
    <row r="1484" spans="2:7">
      <c r="B1484" s="218"/>
      <c r="C1484" s="219"/>
      <c r="D1484" s="134"/>
      <c r="E1484" s="217"/>
      <c r="F1484" s="217"/>
      <c r="G1484" s="217"/>
    </row>
    <row r="1485" spans="2:7">
      <c r="B1485" s="218"/>
      <c r="C1485" s="219"/>
      <c r="D1485" s="134"/>
      <c r="E1485" s="217"/>
      <c r="F1485" s="217"/>
      <c r="G1485" s="217"/>
    </row>
    <row r="1486" spans="2:7">
      <c r="B1486" s="218"/>
      <c r="C1486" s="219"/>
      <c r="D1486" s="134"/>
      <c r="E1486" s="217"/>
      <c r="F1486" s="217"/>
      <c r="G1486" s="217"/>
    </row>
    <row r="1487" spans="2:7">
      <c r="B1487" s="218"/>
      <c r="C1487" s="219"/>
      <c r="D1487" s="134"/>
      <c r="E1487" s="217"/>
      <c r="F1487" s="217"/>
      <c r="G1487" s="217"/>
    </row>
    <row r="1488" spans="2:7">
      <c r="B1488" s="218"/>
      <c r="C1488" s="219"/>
      <c r="D1488" s="134"/>
      <c r="E1488" s="217"/>
      <c r="F1488" s="217"/>
      <c r="G1488" s="217"/>
    </row>
    <row r="1489" spans="2:7">
      <c r="B1489" s="218"/>
      <c r="C1489" s="219"/>
      <c r="D1489" s="134"/>
      <c r="E1489" s="217"/>
      <c r="F1489" s="217"/>
      <c r="G1489" s="217"/>
    </row>
    <row r="1490" spans="2:7">
      <c r="B1490" s="218"/>
      <c r="C1490" s="219"/>
      <c r="D1490" s="134"/>
      <c r="E1490" s="217"/>
      <c r="F1490" s="217"/>
      <c r="G1490" s="217"/>
    </row>
    <row r="1491" spans="2:7">
      <c r="B1491" s="218"/>
      <c r="C1491" s="219"/>
      <c r="D1491" s="134"/>
      <c r="E1491" s="217"/>
      <c r="F1491" s="217"/>
      <c r="G1491" s="217"/>
    </row>
    <row r="1492" spans="2:7">
      <c r="B1492" s="218"/>
      <c r="C1492" s="219"/>
      <c r="D1492" s="134"/>
      <c r="E1492" s="217"/>
      <c r="F1492" s="217"/>
      <c r="G1492" s="217"/>
    </row>
    <row r="1493" spans="2:7">
      <c r="B1493" s="218"/>
      <c r="C1493" s="219"/>
      <c r="D1493" s="134"/>
      <c r="E1493" s="217"/>
      <c r="F1493" s="217"/>
      <c r="G1493" s="217"/>
    </row>
    <row r="1494" spans="2:7">
      <c r="B1494" s="218"/>
      <c r="C1494" s="219"/>
      <c r="D1494" s="134"/>
      <c r="E1494" s="217"/>
      <c r="F1494" s="217"/>
      <c r="G1494" s="217"/>
    </row>
    <row r="1495" spans="2:7">
      <c r="B1495" s="218"/>
      <c r="C1495" s="219"/>
      <c r="D1495" s="134"/>
      <c r="E1495" s="217"/>
      <c r="F1495" s="217"/>
      <c r="G1495" s="217"/>
    </row>
    <row r="1496" spans="2:7">
      <c r="B1496" s="218"/>
      <c r="C1496" s="219"/>
      <c r="D1496" s="134"/>
      <c r="E1496" s="217"/>
      <c r="F1496" s="217"/>
      <c r="G1496" s="217"/>
    </row>
    <row r="1497" spans="2:7">
      <c r="B1497" s="218"/>
      <c r="C1497" s="219"/>
      <c r="D1497" s="134"/>
      <c r="E1497" s="217"/>
      <c r="F1497" s="217"/>
      <c r="G1497" s="217"/>
    </row>
    <row r="1498" spans="2:7">
      <c r="B1498" s="218"/>
      <c r="C1498" s="219"/>
      <c r="D1498" s="134"/>
      <c r="E1498" s="217"/>
      <c r="F1498" s="217"/>
      <c r="G1498" s="217"/>
    </row>
    <row r="1499" spans="2:7">
      <c r="B1499" s="218"/>
      <c r="C1499" s="219"/>
      <c r="D1499" s="134"/>
      <c r="E1499" s="217"/>
      <c r="F1499" s="217"/>
      <c r="G1499" s="217"/>
    </row>
    <row r="1500" spans="2:7">
      <c r="B1500" s="218"/>
      <c r="C1500" s="219"/>
      <c r="D1500" s="134"/>
      <c r="E1500" s="217"/>
      <c r="F1500" s="217"/>
      <c r="G1500" s="217"/>
    </row>
    <row r="1501" spans="2:7">
      <c r="B1501" s="218"/>
      <c r="C1501" s="219"/>
      <c r="D1501" s="134"/>
      <c r="E1501" s="217"/>
      <c r="F1501" s="217"/>
      <c r="G1501" s="217"/>
    </row>
    <row r="1502" spans="2:7">
      <c r="B1502" s="218"/>
      <c r="C1502" s="219"/>
      <c r="D1502" s="134"/>
      <c r="E1502" s="217"/>
      <c r="F1502" s="217"/>
      <c r="G1502" s="217"/>
    </row>
    <row r="1503" spans="2:7">
      <c r="B1503" s="218"/>
      <c r="C1503" s="219"/>
      <c r="D1503" s="134"/>
      <c r="E1503" s="217"/>
      <c r="F1503" s="217"/>
      <c r="G1503" s="217"/>
    </row>
    <row r="1504" spans="2:7">
      <c r="B1504" s="218"/>
      <c r="C1504" s="219"/>
      <c r="D1504" s="134"/>
      <c r="E1504" s="217"/>
      <c r="F1504" s="217"/>
      <c r="G1504" s="217"/>
    </row>
    <row r="1505" spans="2:7">
      <c r="B1505" s="218"/>
      <c r="C1505" s="219"/>
      <c r="D1505" s="134"/>
      <c r="E1505" s="217"/>
      <c r="F1505" s="217"/>
      <c r="G1505" s="217"/>
    </row>
    <row r="1506" spans="2:7">
      <c r="B1506" s="218"/>
      <c r="C1506" s="219"/>
      <c r="D1506" s="134"/>
      <c r="E1506" s="217"/>
      <c r="F1506" s="217"/>
      <c r="G1506" s="217"/>
    </row>
    <row r="1507" spans="2:7">
      <c r="B1507" s="218"/>
      <c r="C1507" s="219"/>
      <c r="D1507" s="134"/>
      <c r="E1507" s="217"/>
      <c r="F1507" s="217"/>
      <c r="G1507" s="217"/>
    </row>
    <row r="1508" spans="2:7">
      <c r="B1508" s="218"/>
      <c r="C1508" s="219"/>
      <c r="D1508" s="134"/>
      <c r="E1508" s="217"/>
      <c r="F1508" s="217"/>
      <c r="G1508" s="217"/>
    </row>
    <row r="1509" spans="2:7">
      <c r="B1509" s="218"/>
      <c r="C1509" s="219"/>
      <c r="D1509" s="134"/>
      <c r="E1509" s="217"/>
      <c r="F1509" s="217"/>
      <c r="G1509" s="217"/>
    </row>
    <row r="1510" spans="2:7">
      <c r="B1510" s="218"/>
      <c r="C1510" s="219"/>
      <c r="D1510" s="134"/>
      <c r="E1510" s="217"/>
      <c r="F1510" s="217"/>
      <c r="G1510" s="217"/>
    </row>
    <row r="1511" spans="2:7">
      <c r="B1511" s="218"/>
      <c r="C1511" s="219"/>
      <c r="D1511" s="134"/>
      <c r="E1511" s="217"/>
      <c r="F1511" s="217"/>
      <c r="G1511" s="217"/>
    </row>
    <row r="1512" spans="2:7">
      <c r="B1512" s="218"/>
      <c r="C1512" s="219"/>
      <c r="D1512" s="134"/>
      <c r="E1512" s="217"/>
      <c r="F1512" s="217"/>
      <c r="G1512" s="217"/>
    </row>
    <row r="1513" spans="2:7">
      <c r="B1513" s="218"/>
      <c r="C1513" s="219"/>
      <c r="D1513" s="134"/>
      <c r="E1513" s="217"/>
      <c r="F1513" s="217"/>
      <c r="G1513" s="217"/>
    </row>
    <row r="1514" spans="2:7">
      <c r="B1514" s="218"/>
      <c r="C1514" s="219"/>
      <c r="D1514" s="134"/>
      <c r="E1514" s="217"/>
      <c r="F1514" s="217"/>
      <c r="G1514" s="217"/>
    </row>
    <row r="1515" spans="2:7">
      <c r="B1515" s="218"/>
      <c r="C1515" s="219"/>
      <c r="D1515" s="134"/>
      <c r="E1515" s="217"/>
      <c r="F1515" s="217"/>
      <c r="G1515" s="217"/>
    </row>
    <row r="1516" spans="2:7">
      <c r="B1516" s="218"/>
      <c r="C1516" s="219"/>
      <c r="D1516" s="134"/>
      <c r="E1516" s="217"/>
      <c r="F1516" s="217"/>
      <c r="G1516" s="217"/>
    </row>
    <row r="1517" spans="2:7">
      <c r="B1517" s="218"/>
      <c r="C1517" s="219"/>
      <c r="D1517" s="134"/>
      <c r="E1517" s="217"/>
      <c r="F1517" s="217"/>
      <c r="G1517" s="217"/>
    </row>
  </sheetData>
  <mergeCells count="156">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B62:Q63"/>
    <mergeCell ref="B64:Q64"/>
    <mergeCell ref="H56:M56"/>
    <mergeCell ref="D42:G42"/>
    <mergeCell ref="D37:G37"/>
    <mergeCell ref="D38:G38"/>
    <mergeCell ref="D39:G39"/>
    <mergeCell ref="D40:G40"/>
    <mergeCell ref="D41:G41"/>
    <mergeCell ref="H37:Q37"/>
    <mergeCell ref="H38:Q38"/>
    <mergeCell ref="H39:Q39"/>
    <mergeCell ref="H58:M58"/>
    <mergeCell ref="N47:Q48"/>
    <mergeCell ref="N49:Q49"/>
    <mergeCell ref="H49:M49"/>
    <mergeCell ref="H53:M53"/>
    <mergeCell ref="H54:M54"/>
    <mergeCell ref="H50:M50"/>
    <mergeCell ref="H51:M51"/>
    <mergeCell ref="H52:M52"/>
    <mergeCell ref="N50:Q50"/>
    <mergeCell ref="N51:Q51"/>
    <mergeCell ref="N52:Q52"/>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s>
  <pageMargins left="0.3" right="0.25" top="0.74803149606299202" bottom="0.74803149606299202" header="0.31496062992126" footer="0.31496062992126"/>
  <pageSetup paperSize="9" scale="67"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828675</xdr:colOff>
                <xdr:row>0</xdr:row>
                <xdr:rowOff>180975</xdr:rowOff>
              </from>
              <to>
                <xdr:col>25</xdr:col>
                <xdr:colOff>38100</xdr:colOff>
                <xdr:row>0</xdr:row>
                <xdr:rowOff>438150</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moveWithCells="1">
              <from>
                <xdr:col>26</xdr:col>
                <xdr:colOff>76200</xdr:colOff>
                <xdr:row>0</xdr:row>
                <xdr:rowOff>57150</xdr:rowOff>
              </from>
              <to>
                <xdr:col>31</xdr:col>
                <xdr:colOff>152400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G32" sqref="G32:H32"/>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71" t="s">
        <v>145</v>
      </c>
      <c r="B1" s="472"/>
      <c r="C1" s="472"/>
      <c r="D1" s="472"/>
      <c r="E1" s="472"/>
      <c r="F1" s="472"/>
      <c r="G1" s="472"/>
      <c r="H1" s="472"/>
      <c r="I1" s="472"/>
      <c r="J1" s="32"/>
      <c r="K1" s="16"/>
      <c r="L1" s="16"/>
      <c r="M1" s="16"/>
      <c r="N1" s="16"/>
      <c r="O1" s="16"/>
      <c r="P1" s="16"/>
      <c r="Q1" s="16"/>
    </row>
    <row r="2" spans="1:17" ht="6" customHeight="1">
      <c r="A2" s="480" t="s">
        <v>158</v>
      </c>
      <c r="B2" s="49"/>
      <c r="C2" s="50"/>
      <c r="D2" s="50"/>
      <c r="E2" s="50"/>
      <c r="F2" s="50"/>
      <c r="G2" s="50"/>
      <c r="H2" s="50"/>
      <c r="I2" s="51"/>
      <c r="J2" s="32"/>
      <c r="K2" s="16"/>
      <c r="L2" s="16"/>
      <c r="M2" s="16"/>
      <c r="N2" s="16"/>
      <c r="O2" s="16"/>
      <c r="P2" s="16"/>
      <c r="Q2" s="16"/>
    </row>
    <row r="3" spans="1:17" ht="22.35" customHeight="1">
      <c r="A3" s="481"/>
      <c r="B3" s="52" t="s">
        <v>156</v>
      </c>
      <c r="C3" s="484"/>
      <c r="D3" s="485"/>
      <c r="E3" s="486" t="s">
        <v>159</v>
      </c>
      <c r="F3" s="487"/>
      <c r="G3" s="488"/>
      <c r="H3" s="489"/>
      <c r="I3" s="53"/>
      <c r="J3" s="32"/>
      <c r="K3" s="16"/>
      <c r="L3" s="16"/>
      <c r="M3" s="16"/>
      <c r="N3" s="16"/>
      <c r="O3" s="16"/>
      <c r="P3" s="16"/>
      <c r="Q3" s="16"/>
    </row>
    <row r="4" spans="1:17" ht="6" customHeight="1">
      <c r="A4" s="482"/>
      <c r="B4" s="109"/>
      <c r="C4" s="54"/>
      <c r="D4" s="54"/>
      <c r="E4" s="108"/>
      <c r="F4" s="108"/>
      <c r="G4" s="54"/>
      <c r="H4" s="54"/>
      <c r="I4" s="53"/>
      <c r="J4" s="32"/>
      <c r="K4" s="16"/>
      <c r="L4" s="16"/>
      <c r="M4" s="16"/>
      <c r="N4" s="16"/>
      <c r="O4" s="16"/>
      <c r="P4" s="16"/>
      <c r="Q4" s="16"/>
    </row>
    <row r="5" spans="1:17" ht="22.35" customHeight="1">
      <c r="A5" s="481"/>
      <c r="B5" s="52" t="s">
        <v>157</v>
      </c>
      <c r="C5" s="484"/>
      <c r="D5" s="485"/>
      <c r="E5" s="486" t="s">
        <v>160</v>
      </c>
      <c r="F5" s="487"/>
      <c r="G5" s="488"/>
      <c r="H5" s="489"/>
      <c r="I5" s="53"/>
      <c r="J5" s="32"/>
      <c r="K5" s="16"/>
      <c r="L5" s="16"/>
      <c r="M5" s="16"/>
      <c r="N5" s="16"/>
      <c r="O5" s="16"/>
      <c r="P5" s="16"/>
      <c r="Q5" s="16"/>
    </row>
    <row r="6" spans="1:17" ht="6" customHeight="1">
      <c r="A6" s="481"/>
      <c r="B6" s="109"/>
      <c r="C6" s="54"/>
      <c r="D6" s="108"/>
      <c r="E6" s="108"/>
      <c r="F6" s="108"/>
      <c r="G6" s="54"/>
      <c r="H6" s="54"/>
      <c r="I6" s="53"/>
      <c r="J6" s="32"/>
      <c r="K6" s="16"/>
      <c r="L6" s="16"/>
      <c r="M6" s="16"/>
      <c r="N6" s="16"/>
      <c r="O6" s="16"/>
      <c r="P6" s="16"/>
      <c r="Q6" s="16"/>
    </row>
    <row r="7" spans="1:17" ht="22.35" customHeight="1">
      <c r="A7" s="481"/>
      <c r="B7" s="52" t="s">
        <v>464</v>
      </c>
      <c r="C7" s="233" t="s">
        <v>339</v>
      </c>
      <c r="D7" s="490" t="s">
        <v>259</v>
      </c>
      <c r="E7" s="490"/>
      <c r="F7" s="490"/>
      <c r="G7" s="488" t="s">
        <v>512</v>
      </c>
      <c r="H7" s="489"/>
      <c r="I7" s="53"/>
      <c r="J7" s="32"/>
      <c r="K7" s="16"/>
      <c r="L7" s="16"/>
      <c r="M7" s="16"/>
      <c r="N7" s="16"/>
      <c r="O7" s="16"/>
      <c r="P7" s="16"/>
      <c r="Q7" s="16"/>
    </row>
    <row r="8" spans="1:17" ht="6.75" customHeight="1">
      <c r="A8" s="483"/>
      <c r="B8" s="54"/>
      <c r="C8" s="54"/>
      <c r="D8" s="54"/>
      <c r="E8" s="54"/>
      <c r="F8" s="54"/>
      <c r="G8" s="54"/>
      <c r="H8" s="54"/>
      <c r="I8" s="55"/>
      <c r="J8" s="32"/>
      <c r="K8" s="16"/>
      <c r="L8" s="16"/>
      <c r="M8" s="16"/>
      <c r="N8" s="16"/>
      <c r="O8" s="16"/>
      <c r="P8" s="16"/>
      <c r="Q8" s="16"/>
    </row>
    <row r="9" spans="1:17" ht="7.5" customHeight="1">
      <c r="A9" s="473" t="s">
        <v>19</v>
      </c>
      <c r="B9" s="33"/>
      <c r="C9" s="33"/>
      <c r="D9" s="33"/>
      <c r="E9" s="33"/>
      <c r="F9" s="33"/>
      <c r="G9" s="33"/>
      <c r="H9" s="33"/>
      <c r="I9" s="34"/>
      <c r="J9" s="32"/>
      <c r="K9" s="16"/>
      <c r="L9" s="16"/>
      <c r="M9" s="16"/>
      <c r="N9" s="16"/>
      <c r="O9" s="16"/>
      <c r="P9" s="16"/>
      <c r="Q9" s="16"/>
    </row>
    <row r="10" spans="1:17" ht="22.35" customHeight="1">
      <c r="A10" s="474"/>
      <c r="B10" s="31" t="s">
        <v>95</v>
      </c>
      <c r="C10" s="476"/>
      <c r="D10" s="476"/>
      <c r="E10" s="87" t="s">
        <v>251</v>
      </c>
      <c r="F10" s="476"/>
      <c r="G10" s="476"/>
      <c r="H10" s="89"/>
      <c r="I10" s="35"/>
      <c r="J10" s="32"/>
      <c r="K10" s="16"/>
      <c r="L10" s="16"/>
      <c r="M10" s="16"/>
      <c r="N10" s="16"/>
      <c r="O10" s="16"/>
      <c r="P10" s="16"/>
      <c r="Q10" s="16"/>
    </row>
    <row r="11" spans="1:17" ht="7.5" customHeight="1">
      <c r="A11" s="474"/>
      <c r="B11" s="36"/>
      <c r="C11" s="36"/>
      <c r="D11" s="36"/>
      <c r="E11" s="36"/>
      <c r="F11" s="36"/>
      <c r="G11" s="36"/>
      <c r="H11" s="89"/>
      <c r="I11" s="35"/>
      <c r="J11" s="32"/>
      <c r="K11" s="16"/>
      <c r="L11" s="16"/>
      <c r="M11" s="16"/>
      <c r="N11" s="16"/>
      <c r="O11" s="16"/>
      <c r="P11" s="16"/>
      <c r="Q11" s="16"/>
    </row>
    <row r="12" spans="1:17" ht="21" customHeight="1">
      <c r="A12" s="474"/>
      <c r="B12" s="31" t="s">
        <v>10</v>
      </c>
      <c r="C12" s="18" t="s">
        <v>6</v>
      </c>
      <c r="D12" s="59" t="s">
        <v>1</v>
      </c>
      <c r="E12" s="17"/>
      <c r="F12" s="87" t="s">
        <v>96</v>
      </c>
      <c r="G12" s="17"/>
      <c r="H12" s="89"/>
      <c r="I12" s="35"/>
      <c r="J12" s="32"/>
      <c r="K12" s="16"/>
      <c r="L12" s="16"/>
      <c r="M12" s="16"/>
      <c r="N12" s="16"/>
      <c r="O12" s="16"/>
      <c r="P12" s="16"/>
      <c r="Q12" s="16"/>
    </row>
    <row r="13" spans="1:17" ht="7.5" customHeight="1">
      <c r="A13" s="474"/>
      <c r="B13" s="36"/>
      <c r="C13" s="36"/>
      <c r="D13" s="36"/>
      <c r="E13" s="36"/>
      <c r="F13" s="36"/>
      <c r="G13" s="36"/>
      <c r="H13" s="36"/>
      <c r="I13" s="35"/>
      <c r="J13" s="32"/>
      <c r="K13" s="16"/>
      <c r="L13" s="16"/>
      <c r="M13" s="16"/>
      <c r="N13" s="16"/>
      <c r="O13" s="16"/>
      <c r="P13" s="16"/>
      <c r="Q13" s="16"/>
    </row>
    <row r="14" spans="1:17" ht="22.35" customHeight="1">
      <c r="A14" s="474"/>
      <c r="B14" s="31" t="s">
        <v>112</v>
      </c>
      <c r="C14" s="18"/>
      <c r="D14" s="59" t="s">
        <v>113</v>
      </c>
      <c r="E14" s="18"/>
      <c r="F14" s="31" t="s">
        <v>3</v>
      </c>
      <c r="G14" s="476"/>
      <c r="H14" s="476"/>
      <c r="I14" s="35"/>
      <c r="J14" s="32"/>
      <c r="K14" s="16"/>
      <c r="L14" s="16"/>
      <c r="M14" s="16"/>
      <c r="N14" s="16"/>
      <c r="O14" s="16"/>
      <c r="P14" s="16"/>
      <c r="Q14" s="16"/>
    </row>
    <row r="15" spans="1:17" ht="7.5" customHeight="1">
      <c r="A15" s="474"/>
      <c r="B15" s="36"/>
      <c r="C15" s="36"/>
      <c r="D15" s="36"/>
      <c r="E15" s="36"/>
      <c r="F15" s="36"/>
      <c r="G15" s="36"/>
      <c r="H15" s="36"/>
      <c r="I15" s="35"/>
      <c r="J15" s="32"/>
      <c r="K15" s="16"/>
      <c r="L15" s="16"/>
      <c r="M15" s="16"/>
      <c r="N15" s="16"/>
      <c r="O15" s="16"/>
      <c r="P15" s="16"/>
      <c r="Q15" s="16"/>
    </row>
    <row r="16" spans="1:17" ht="22.35" customHeight="1">
      <c r="A16" s="474"/>
      <c r="B16" s="88" t="s">
        <v>117</v>
      </c>
      <c r="C16" s="477"/>
      <c r="D16" s="478"/>
      <c r="E16" s="478"/>
      <c r="F16" s="478"/>
      <c r="G16" s="478"/>
      <c r="H16" s="479"/>
      <c r="I16" s="35"/>
      <c r="J16" s="32"/>
      <c r="K16" s="16"/>
      <c r="L16" s="16"/>
      <c r="M16" s="16"/>
      <c r="N16" s="16"/>
      <c r="O16" s="16"/>
      <c r="P16" s="16"/>
      <c r="Q16" s="16"/>
    </row>
    <row r="17" spans="1:17" ht="7.5" customHeight="1">
      <c r="A17" s="474"/>
      <c r="B17" s="36"/>
      <c r="C17" s="36"/>
      <c r="D17" s="36"/>
      <c r="E17" s="36"/>
      <c r="F17" s="36"/>
      <c r="G17" s="36"/>
      <c r="H17" s="36"/>
      <c r="I17" s="35"/>
      <c r="J17" s="32"/>
      <c r="K17" s="16"/>
      <c r="L17" s="16"/>
      <c r="M17" s="16"/>
      <c r="N17" s="16"/>
      <c r="O17" s="16"/>
      <c r="P17" s="16"/>
      <c r="Q17" s="16"/>
    </row>
    <row r="18" spans="1:17" ht="22.35" customHeight="1">
      <c r="A18" s="474"/>
      <c r="B18" s="31" t="s">
        <v>118</v>
      </c>
      <c r="C18" s="477"/>
      <c r="D18" s="478"/>
      <c r="E18" s="478"/>
      <c r="F18" s="478"/>
      <c r="G18" s="478"/>
      <c r="H18" s="479"/>
      <c r="I18" s="35"/>
      <c r="J18" s="32"/>
      <c r="K18" s="16"/>
      <c r="L18" s="16"/>
      <c r="M18" s="16"/>
      <c r="N18" s="16"/>
      <c r="O18" s="16"/>
      <c r="P18" s="16"/>
      <c r="Q18" s="16"/>
    </row>
    <row r="19" spans="1:17" ht="8.25" customHeight="1">
      <c r="A19" s="475"/>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493"/>
      <c r="B21" s="44" t="s">
        <v>119</v>
      </c>
      <c r="C21" s="117"/>
      <c r="D21" s="44" t="s">
        <v>120</v>
      </c>
      <c r="E21" s="117"/>
      <c r="F21" s="44" t="s">
        <v>132</v>
      </c>
      <c r="G21" s="499"/>
      <c r="H21" s="500"/>
      <c r="I21" s="45"/>
      <c r="J21" s="32"/>
      <c r="K21" s="16"/>
      <c r="L21" s="16"/>
      <c r="M21" s="16"/>
      <c r="N21" s="16"/>
      <c r="O21" s="16"/>
      <c r="P21" s="16"/>
      <c r="Q21" s="16"/>
    </row>
    <row r="22" spans="1:17" ht="6.75" customHeight="1">
      <c r="A22" s="493"/>
      <c r="B22" s="107"/>
      <c r="C22" s="106"/>
      <c r="D22" s="44"/>
      <c r="E22" s="106"/>
      <c r="F22" s="106"/>
      <c r="G22" s="44"/>
      <c r="H22" s="106"/>
      <c r="I22" s="45"/>
      <c r="J22" s="32"/>
      <c r="K22" s="16"/>
      <c r="L22" s="16"/>
      <c r="M22" s="16"/>
      <c r="N22" s="16"/>
      <c r="O22" s="16"/>
      <c r="P22" s="16"/>
      <c r="Q22" s="16"/>
    </row>
    <row r="23" spans="1:17" ht="22.35" customHeight="1">
      <c r="A23" s="493"/>
      <c r="B23" s="44" t="s">
        <v>137</v>
      </c>
      <c r="C23" s="17"/>
      <c r="D23" s="44" t="s">
        <v>138</v>
      </c>
      <c r="E23" s="477"/>
      <c r="F23" s="478"/>
      <c r="G23" s="478"/>
      <c r="H23" s="479"/>
      <c r="I23" s="45"/>
      <c r="J23" s="32"/>
      <c r="K23" s="16"/>
      <c r="L23" s="16"/>
      <c r="M23" s="16"/>
      <c r="N23" s="16"/>
      <c r="O23" s="16"/>
      <c r="P23" s="16"/>
      <c r="Q23" s="16"/>
    </row>
    <row r="24" spans="1:17" ht="7.5" customHeight="1">
      <c r="A24" s="493"/>
      <c r="B24" s="107"/>
      <c r="C24" s="106"/>
      <c r="D24" s="44"/>
      <c r="E24" s="106"/>
      <c r="F24" s="106"/>
      <c r="G24" s="44"/>
      <c r="H24" s="106"/>
      <c r="I24" s="45"/>
      <c r="J24" s="32"/>
      <c r="K24" s="16"/>
      <c r="L24" s="16"/>
      <c r="M24" s="16"/>
      <c r="N24" s="16"/>
      <c r="O24" s="16"/>
      <c r="P24" s="16"/>
      <c r="Q24" s="16"/>
    </row>
    <row r="25" spans="1:17" ht="22.35" customHeight="1">
      <c r="A25" s="493"/>
      <c r="B25" s="44" t="s">
        <v>139</v>
      </c>
      <c r="C25" s="17"/>
      <c r="D25" s="44" t="s">
        <v>138</v>
      </c>
      <c r="E25" s="477"/>
      <c r="F25" s="478"/>
      <c r="G25" s="478"/>
      <c r="H25" s="479"/>
      <c r="I25" s="45"/>
      <c r="J25" s="32"/>
      <c r="K25" s="16"/>
      <c r="L25" s="16"/>
      <c r="M25" s="16"/>
      <c r="N25" s="16"/>
      <c r="O25" s="16"/>
      <c r="P25" s="16"/>
      <c r="Q25" s="16"/>
    </row>
    <row r="26" spans="1:17" ht="6" customHeight="1">
      <c r="A26" s="493"/>
      <c r="B26" s="107"/>
      <c r="C26" s="106"/>
      <c r="D26" s="44"/>
      <c r="E26" s="106"/>
      <c r="F26" s="106"/>
      <c r="G26" s="44"/>
      <c r="H26" s="106"/>
      <c r="I26" s="45"/>
      <c r="J26" s="32"/>
      <c r="K26" s="16"/>
      <c r="L26" s="16"/>
      <c r="M26" s="16"/>
      <c r="N26" s="16"/>
      <c r="O26" s="16"/>
      <c r="P26" s="16"/>
      <c r="Q26" s="16"/>
    </row>
    <row r="27" spans="1:17" ht="22.35" customHeight="1">
      <c r="A27" s="493"/>
      <c r="B27" s="44" t="s">
        <v>140</v>
      </c>
      <c r="C27" s="17"/>
      <c r="D27" s="44" t="s">
        <v>142</v>
      </c>
      <c r="E27" s="17"/>
      <c r="F27" s="44" t="s">
        <v>141</v>
      </c>
      <c r="G27" s="491"/>
      <c r="H27" s="492"/>
      <c r="I27" s="45"/>
      <c r="J27" s="32"/>
      <c r="K27" s="16"/>
      <c r="L27" s="16"/>
      <c r="M27" s="16"/>
      <c r="N27" s="16"/>
      <c r="O27" s="16"/>
      <c r="P27" s="16"/>
      <c r="Q27" s="16"/>
    </row>
    <row r="28" spans="1:17" ht="6" customHeight="1">
      <c r="A28" s="494"/>
      <c r="B28" s="46"/>
      <c r="C28" s="47"/>
      <c r="D28" s="46"/>
      <c r="E28" s="47"/>
      <c r="F28" s="47"/>
      <c r="G28" s="46"/>
      <c r="H28" s="47"/>
      <c r="I28" s="48"/>
      <c r="J28" s="32"/>
      <c r="K28" s="16"/>
      <c r="L28" s="16"/>
      <c r="M28" s="16"/>
      <c r="N28" s="16"/>
      <c r="O28" s="16"/>
      <c r="P28" s="16"/>
      <c r="Q28" s="16"/>
    </row>
    <row r="29" spans="1:17" ht="7.5" customHeight="1">
      <c r="A29" s="480" t="s">
        <v>155</v>
      </c>
      <c r="B29" s="49"/>
      <c r="C29" s="50"/>
      <c r="D29" s="50"/>
      <c r="E29" s="50"/>
      <c r="F29" s="50"/>
      <c r="G29" s="50"/>
      <c r="H29" s="50"/>
      <c r="I29" s="51"/>
      <c r="J29" s="32"/>
      <c r="K29" s="16"/>
      <c r="L29" s="16"/>
      <c r="M29" s="16"/>
      <c r="N29" s="16"/>
      <c r="O29" s="16"/>
      <c r="P29" s="16"/>
      <c r="Q29" s="16"/>
    </row>
    <row r="30" spans="1:17" ht="22.35" customHeight="1">
      <c r="A30" s="481"/>
      <c r="B30" s="52" t="s">
        <v>143</v>
      </c>
      <c r="C30" s="497"/>
      <c r="D30" s="498"/>
      <c r="E30" s="110" t="s">
        <v>144</v>
      </c>
      <c r="F30" s="495"/>
      <c r="G30" s="501"/>
      <c r="H30" s="496"/>
      <c r="I30" s="53"/>
      <c r="J30" s="32"/>
      <c r="K30" s="16"/>
      <c r="L30" s="16"/>
      <c r="M30" s="16"/>
      <c r="N30" s="16"/>
      <c r="O30" s="16"/>
      <c r="P30" s="16"/>
      <c r="Q30" s="16"/>
    </row>
    <row r="31" spans="1:17" ht="7.5" customHeight="1">
      <c r="A31" s="482"/>
      <c r="B31" s="109"/>
      <c r="C31" s="54"/>
      <c r="D31" s="54"/>
      <c r="E31" s="108"/>
      <c r="F31" s="108"/>
      <c r="G31" s="54"/>
      <c r="H31" s="54"/>
      <c r="I31" s="53"/>
      <c r="J31" s="32"/>
      <c r="K31" s="16"/>
      <c r="L31" s="16"/>
      <c r="M31" s="16"/>
      <c r="N31" s="16"/>
      <c r="O31" s="16"/>
      <c r="P31" s="16"/>
      <c r="Q31" s="16"/>
    </row>
    <row r="32" spans="1:17" ht="22.35" customHeight="1">
      <c r="A32" s="481"/>
      <c r="B32" s="52" t="s">
        <v>146</v>
      </c>
      <c r="C32" s="484"/>
      <c r="D32" s="485"/>
      <c r="E32" s="486" t="s">
        <v>147</v>
      </c>
      <c r="F32" s="487"/>
      <c r="G32" s="495"/>
      <c r="H32" s="496"/>
      <c r="I32" s="53"/>
      <c r="J32" s="32"/>
      <c r="K32" s="16"/>
      <c r="L32" s="16"/>
      <c r="M32" s="16"/>
      <c r="N32" s="16"/>
      <c r="O32" s="16"/>
      <c r="P32" s="16"/>
      <c r="Q32" s="16"/>
    </row>
    <row r="33" spans="1:17" ht="7.5" customHeight="1">
      <c r="A33" s="481"/>
      <c r="B33" s="109"/>
      <c r="C33" s="54"/>
      <c r="D33" s="54"/>
      <c r="E33" s="108"/>
      <c r="F33" s="108"/>
      <c r="G33" s="54"/>
      <c r="H33" s="54"/>
      <c r="I33" s="53"/>
      <c r="J33" s="32"/>
      <c r="K33" s="16"/>
      <c r="L33" s="16"/>
      <c r="M33" s="16"/>
      <c r="N33" s="16"/>
      <c r="O33" s="16"/>
      <c r="P33" s="16"/>
      <c r="Q33" s="16"/>
    </row>
    <row r="34" spans="1:17" ht="22.35" customHeight="1">
      <c r="A34" s="481"/>
      <c r="B34" s="52" t="s">
        <v>473</v>
      </c>
      <c r="C34" s="477"/>
      <c r="D34" s="478"/>
      <c r="E34" s="478"/>
      <c r="F34" s="478"/>
      <c r="G34" s="478"/>
      <c r="H34" s="479"/>
      <c r="I34" s="53"/>
      <c r="J34" s="32"/>
      <c r="K34" s="16"/>
      <c r="L34" s="16"/>
      <c r="M34" s="16"/>
      <c r="N34" s="16"/>
      <c r="O34" s="16"/>
      <c r="P34" s="16"/>
      <c r="Q34" s="16"/>
    </row>
    <row r="35" spans="1:17" ht="7.5" customHeight="1">
      <c r="A35" s="483"/>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G27:H27"/>
    <mergeCell ref="A21:A28"/>
    <mergeCell ref="A29:A35"/>
    <mergeCell ref="C32:D32"/>
    <mergeCell ref="G32:H32"/>
    <mergeCell ref="E32:F32"/>
    <mergeCell ref="C30:D30"/>
    <mergeCell ref="G21:H21"/>
    <mergeCell ref="E23:H23"/>
    <mergeCell ref="E25:H25"/>
    <mergeCell ref="C34:H34"/>
    <mergeCell ref="F30:H30"/>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88">
        <f>DSDV!K7</f>
        <v>30339</v>
      </c>
      <c r="D2" s="289" t="str">
        <f>DSDV!W7</f>
        <v>CỤC CHÍNH TRỊ</v>
      </c>
    </row>
    <row r="3" spans="1:5">
      <c r="A3">
        <f>DSDV!B8</f>
        <v>920016</v>
      </c>
      <c r="B3" t="str">
        <f>DSDV!G8</f>
        <v>Lê Duy Nguyện</v>
      </c>
      <c r="C3" s="288">
        <f>DSDV!K8</f>
        <v>30339</v>
      </c>
      <c r="D3" s="289" t="str">
        <f>DSDV!W8</f>
        <v>CỤC CHÍNH TRỊ</v>
      </c>
    </row>
    <row r="4" spans="1:5">
      <c r="A4">
        <f>DSDV!B9</f>
        <v>0</v>
      </c>
      <c r="B4">
        <f>DSDV!G9</f>
        <v>0</v>
      </c>
      <c r="C4" s="288">
        <f>DSDV!K9</f>
        <v>0</v>
      </c>
      <c r="D4" s="289">
        <f>DSDV!W9</f>
        <v>0</v>
      </c>
    </row>
    <row r="5" spans="1:5">
      <c r="A5">
        <f>DSDV!B10</f>
        <v>0</v>
      </c>
      <c r="B5">
        <f>DSDV!G10</f>
        <v>0</v>
      </c>
      <c r="C5" s="288">
        <f>DSDV!K10</f>
        <v>0</v>
      </c>
      <c r="D5" s="289">
        <f>DSDV!W10</f>
        <v>0</v>
      </c>
    </row>
    <row r="6" spans="1:5">
      <c r="A6">
        <f>DSDV!B11</f>
        <v>0</v>
      </c>
      <c r="B6">
        <f>DSDV!G11</f>
        <v>0</v>
      </c>
      <c r="C6" s="288">
        <f>DSDV!K11</f>
        <v>0</v>
      </c>
      <c r="D6" s="289">
        <f>DSDV!W11</f>
        <v>0</v>
      </c>
    </row>
    <row r="7" spans="1:5">
      <c r="A7">
        <f>DSDV!B12</f>
        <v>0</v>
      </c>
      <c r="B7">
        <f>DSDV!G12</f>
        <v>0</v>
      </c>
      <c r="C7" s="288">
        <f>DSDV!K12</f>
        <v>0</v>
      </c>
      <c r="D7" s="289">
        <f>DSDV!W12</f>
        <v>0</v>
      </c>
    </row>
    <row r="8" spans="1:5">
      <c r="A8">
        <f>DSDV!B13</f>
        <v>0</v>
      </c>
      <c r="B8">
        <f>DSDV!G13</f>
        <v>0</v>
      </c>
      <c r="C8" s="288">
        <f>DSDV!K13</f>
        <v>0</v>
      </c>
      <c r="D8" s="289">
        <f>DSDV!W13</f>
        <v>0</v>
      </c>
    </row>
    <row r="9" spans="1:5">
      <c r="A9">
        <f>DSDV!B14</f>
        <v>0</v>
      </c>
      <c r="B9">
        <f>DSDV!G14</f>
        <v>0</v>
      </c>
      <c r="C9" s="288">
        <f>DSDV!K14</f>
        <v>0</v>
      </c>
      <c r="D9" s="289">
        <f>DSDV!W14</f>
        <v>0</v>
      </c>
    </row>
    <row r="10" spans="1:5">
      <c r="A10">
        <f>DSDV!B15</f>
        <v>0</v>
      </c>
      <c r="B10">
        <f>DSDV!G15</f>
        <v>0</v>
      </c>
      <c r="C10" s="288">
        <f>DSDV!K15</f>
        <v>0</v>
      </c>
      <c r="D10" s="289">
        <f>DSDV!W15</f>
        <v>0</v>
      </c>
    </row>
    <row r="11" spans="1:5">
      <c r="A11">
        <f>DSDV!B16</f>
        <v>0</v>
      </c>
      <c r="B11">
        <f>DSDV!G16</f>
        <v>0</v>
      </c>
      <c r="C11" s="288">
        <f>DSDV!K16</f>
        <v>0</v>
      </c>
      <c r="D11" s="289">
        <f>DSDV!W16</f>
        <v>0</v>
      </c>
    </row>
    <row r="12" spans="1:5">
      <c r="A12">
        <f>DSDV!B17</f>
        <v>0</v>
      </c>
      <c r="B12">
        <f>DSDV!G17</f>
        <v>0</v>
      </c>
      <c r="C12" s="288">
        <f>DSDV!K17</f>
        <v>0</v>
      </c>
      <c r="D12" s="289">
        <f>DSDV!W17</f>
        <v>0</v>
      </c>
    </row>
    <row r="13" spans="1:5">
      <c r="A13">
        <f>DSDV!B18</f>
        <v>0</v>
      </c>
      <c r="B13">
        <f>DSDV!G18</f>
        <v>0</v>
      </c>
      <c r="C13" s="288">
        <f>DSDV!K18</f>
        <v>0</v>
      </c>
      <c r="D13" s="289">
        <f>DSDV!W18</f>
        <v>0</v>
      </c>
    </row>
    <row r="14" spans="1:5">
      <c r="A14">
        <f>DSDV!B19</f>
        <v>0</v>
      </c>
      <c r="B14">
        <f>DSDV!G19</f>
        <v>0</v>
      </c>
      <c r="C14" s="288">
        <f>DSDV!K19</f>
        <v>0</v>
      </c>
      <c r="D14" s="289">
        <f>DSDV!W19</f>
        <v>0</v>
      </c>
    </row>
    <row r="15" spans="1:5">
      <c r="A15">
        <f>DSDV!B20</f>
        <v>0</v>
      </c>
      <c r="B15">
        <f>DSDV!G20</f>
        <v>0</v>
      </c>
      <c r="C15" s="288">
        <f>DSDV!K20</f>
        <v>0</v>
      </c>
      <c r="D15" s="289">
        <f>DSDV!W20</f>
        <v>0</v>
      </c>
    </row>
    <row r="16" spans="1:5">
      <c r="A16">
        <f>DSDV!B21</f>
        <v>0</v>
      </c>
      <c r="B16">
        <f>DSDV!G21</f>
        <v>0</v>
      </c>
      <c r="C16" s="288">
        <f>DSDV!K21</f>
        <v>0</v>
      </c>
      <c r="D16" s="289">
        <f>DSDV!W21</f>
        <v>0</v>
      </c>
    </row>
    <row r="17" spans="1:4">
      <c r="A17">
        <f>DSDV!B22</f>
        <v>0</v>
      </c>
      <c r="B17">
        <f>DSDV!G22</f>
        <v>0</v>
      </c>
      <c r="C17" s="288">
        <f>DSDV!K22</f>
        <v>0</v>
      </c>
      <c r="D17" s="289">
        <f>DSDV!W22</f>
        <v>0</v>
      </c>
    </row>
    <row r="18" spans="1:4">
      <c r="A18">
        <f>DSDV!B23</f>
        <v>0</v>
      </c>
      <c r="B18">
        <f>DSDV!G23</f>
        <v>0</v>
      </c>
      <c r="C18" s="288">
        <f>DSDV!K23</f>
        <v>0</v>
      </c>
      <c r="D18" s="289">
        <f>DSDV!W23</f>
        <v>0</v>
      </c>
    </row>
    <row r="19" spans="1:4">
      <c r="A19">
        <f>DSDV!B24</f>
        <v>0</v>
      </c>
      <c r="B19">
        <f>DSDV!G24</f>
        <v>0</v>
      </c>
      <c r="C19" s="288">
        <f>DSDV!K24</f>
        <v>0</v>
      </c>
      <c r="D19" s="289">
        <f>DSDV!W24</f>
        <v>0</v>
      </c>
    </row>
    <row r="20" spans="1:4">
      <c r="A20">
        <f>DSDV!B25</f>
        <v>0</v>
      </c>
      <c r="B20">
        <f>DSDV!G25</f>
        <v>0</v>
      </c>
      <c r="C20" s="288">
        <f>DSDV!K25</f>
        <v>0</v>
      </c>
      <c r="D20" s="289">
        <f>DSDV!W25</f>
        <v>0</v>
      </c>
    </row>
    <row r="21" spans="1:4">
      <c r="A21">
        <f>DSDV!B26</f>
        <v>0</v>
      </c>
      <c r="B21">
        <f>DSDV!G26</f>
        <v>0</v>
      </c>
      <c r="C21" s="288">
        <f>DSDV!K26</f>
        <v>0</v>
      </c>
      <c r="D21" s="289">
        <f>DSDV!W26</f>
        <v>0</v>
      </c>
    </row>
    <row r="22" spans="1:4">
      <c r="A22">
        <f>DSDV!B27</f>
        <v>0</v>
      </c>
      <c r="B22">
        <f>DSDV!G27</f>
        <v>0</v>
      </c>
      <c r="C22" s="288">
        <f>DSDV!K27</f>
        <v>0</v>
      </c>
      <c r="D22" s="289">
        <f>DSDV!W27</f>
        <v>0</v>
      </c>
    </row>
    <row r="23" spans="1:4">
      <c r="A23">
        <f>DSDV!B28</f>
        <v>0</v>
      </c>
      <c r="B23">
        <f>DSDV!G28</f>
        <v>0</v>
      </c>
      <c r="C23" s="288">
        <f>DSDV!K28</f>
        <v>0</v>
      </c>
      <c r="D23" s="289">
        <f>DSDV!W28</f>
        <v>0</v>
      </c>
    </row>
    <row r="24" spans="1:4">
      <c r="A24">
        <f>DSDV!B29</f>
        <v>0</v>
      </c>
      <c r="B24">
        <f>DSDV!G29</f>
        <v>0</v>
      </c>
      <c r="C24" s="288">
        <f>DSDV!K29</f>
        <v>0</v>
      </c>
      <c r="D24" s="289">
        <f>DSDV!W29</f>
        <v>0</v>
      </c>
    </row>
    <row r="25" spans="1:4">
      <c r="A25">
        <f>DSDV!B30</f>
        <v>0</v>
      </c>
      <c r="B25">
        <f>DSDV!G30</f>
        <v>0</v>
      </c>
      <c r="C25" s="288">
        <f>DSDV!K30</f>
        <v>0</v>
      </c>
      <c r="D25" s="289">
        <f>DSDV!W30</f>
        <v>0</v>
      </c>
    </row>
    <row r="26" spans="1:4">
      <c r="A26">
        <f>DSDV!B31</f>
        <v>0</v>
      </c>
      <c r="B26">
        <f>DSDV!G31</f>
        <v>0</v>
      </c>
      <c r="C26" s="288">
        <f>DSDV!K31</f>
        <v>0</v>
      </c>
      <c r="D26" s="289">
        <f>DSDV!W31</f>
        <v>0</v>
      </c>
    </row>
    <row r="27" spans="1:4">
      <c r="A27">
        <f>DSDV!B32</f>
        <v>0</v>
      </c>
      <c r="B27">
        <f>DSDV!G32</f>
        <v>0</v>
      </c>
      <c r="C27" s="288">
        <f>DSDV!K32</f>
        <v>0</v>
      </c>
      <c r="D27" s="289">
        <f>DSDV!W32</f>
        <v>0</v>
      </c>
    </row>
    <row r="28" spans="1:4">
      <c r="A28">
        <f>DSDV!B33</f>
        <v>0</v>
      </c>
      <c r="B28">
        <f>DSDV!G33</f>
        <v>0</v>
      </c>
      <c r="C28" s="288">
        <f>DSDV!K33</f>
        <v>0</v>
      </c>
      <c r="D28" s="289">
        <f>DSDV!W33</f>
        <v>0</v>
      </c>
    </row>
    <row r="29" spans="1:4">
      <c r="A29">
        <f>DSDV!B34</f>
        <v>0</v>
      </c>
      <c r="B29">
        <f>DSDV!G34</f>
        <v>0</v>
      </c>
      <c r="C29" s="288">
        <f>DSDV!K34</f>
        <v>0</v>
      </c>
      <c r="D29" s="289">
        <f>DSDV!W34</f>
        <v>0</v>
      </c>
    </row>
    <row r="30" spans="1:4">
      <c r="A30">
        <f>DSDV!B35</f>
        <v>0</v>
      </c>
      <c r="B30">
        <f>DSDV!G35</f>
        <v>0</v>
      </c>
      <c r="C30" s="288">
        <f>DSDV!K35</f>
        <v>0</v>
      </c>
      <c r="D30" s="289">
        <f>DSDV!W35</f>
        <v>0</v>
      </c>
    </row>
    <row r="31" spans="1:4">
      <c r="A31">
        <f>DSDV!B36</f>
        <v>0</v>
      </c>
      <c r="B31">
        <f>DSDV!G36</f>
        <v>0</v>
      </c>
      <c r="C31" s="288">
        <f>DSDV!K36</f>
        <v>0</v>
      </c>
      <c r="D31" s="289">
        <f>DSDV!W36</f>
        <v>0</v>
      </c>
    </row>
    <row r="32" spans="1:4">
      <c r="A32">
        <f>DSDV!B37</f>
        <v>0</v>
      </c>
      <c r="B32">
        <f>DSDV!G37</f>
        <v>0</v>
      </c>
      <c r="C32" s="288">
        <f>DSDV!K37</f>
        <v>0</v>
      </c>
      <c r="D32" s="289">
        <f>DSDV!W37</f>
        <v>0</v>
      </c>
    </row>
    <row r="33" spans="1:4">
      <c r="A33">
        <f>DSDV!B38</f>
        <v>0</v>
      </c>
      <c r="B33">
        <f>DSDV!G38</f>
        <v>0</v>
      </c>
      <c r="C33" s="288">
        <f>DSDV!K38</f>
        <v>0</v>
      </c>
      <c r="D33" s="289">
        <f>DSDV!W38</f>
        <v>0</v>
      </c>
    </row>
    <row r="34" spans="1:4">
      <c r="A34">
        <f>DSDV!B39</f>
        <v>0</v>
      </c>
      <c r="B34">
        <f>DSDV!G39</f>
        <v>0</v>
      </c>
      <c r="C34" s="288">
        <f>DSDV!K39</f>
        <v>0</v>
      </c>
      <c r="D34" s="289">
        <f>DSDV!W39</f>
        <v>0</v>
      </c>
    </row>
    <row r="35" spans="1:4">
      <c r="A35">
        <f>DSDV!B40</f>
        <v>0</v>
      </c>
      <c r="B35">
        <f>DSDV!G40</f>
        <v>0</v>
      </c>
      <c r="C35" s="288">
        <f>DSDV!K40</f>
        <v>0</v>
      </c>
      <c r="D35" s="289">
        <f>DSDV!W40</f>
        <v>0</v>
      </c>
    </row>
    <row r="36" spans="1:4">
      <c r="A36">
        <f>DSDV!B41</f>
        <v>0</v>
      </c>
      <c r="B36">
        <f>DSDV!G41</f>
        <v>0</v>
      </c>
      <c r="C36" s="288">
        <f>DSDV!K41</f>
        <v>0</v>
      </c>
      <c r="D36" s="289">
        <f>DSDV!W41</f>
        <v>0</v>
      </c>
    </row>
    <row r="37" spans="1:4">
      <c r="A37">
        <f>DSDV!B42</f>
        <v>0</v>
      </c>
      <c r="B37">
        <f>DSDV!G42</f>
        <v>0</v>
      </c>
      <c r="C37" s="288">
        <f>DSDV!K42</f>
        <v>0</v>
      </c>
      <c r="D37" s="289">
        <f>DSDV!W42</f>
        <v>0</v>
      </c>
    </row>
    <row r="38" spans="1:4">
      <c r="A38">
        <f>DSDV!B43</f>
        <v>0</v>
      </c>
      <c r="B38">
        <f>DSDV!G43</f>
        <v>0</v>
      </c>
      <c r="C38" s="288">
        <f>DSDV!K43</f>
        <v>0</v>
      </c>
      <c r="D38" s="289">
        <f>DSDV!W43</f>
        <v>0</v>
      </c>
    </row>
    <row r="39" spans="1:4">
      <c r="A39">
        <f>DSDV!B44</f>
        <v>0</v>
      </c>
      <c r="B39">
        <f>DSDV!G44</f>
        <v>0</v>
      </c>
      <c r="C39" s="288">
        <f>DSDV!K44</f>
        <v>0</v>
      </c>
      <c r="D39" s="289">
        <f>DSDV!W44</f>
        <v>0</v>
      </c>
    </row>
    <row r="40" spans="1:4">
      <c r="A40">
        <f>DSDV!B45</f>
        <v>0</v>
      </c>
      <c r="B40">
        <f>DSDV!G45</f>
        <v>0</v>
      </c>
      <c r="C40" s="288">
        <f>DSDV!K45</f>
        <v>0</v>
      </c>
      <c r="D40" s="289">
        <f>DSDV!W45</f>
        <v>0</v>
      </c>
    </row>
    <row r="41" spans="1:4">
      <c r="A41">
        <f>DSDV!B46</f>
        <v>0</v>
      </c>
      <c r="B41">
        <f>DSDV!G46</f>
        <v>0</v>
      </c>
      <c r="C41" s="288">
        <f>DSDV!K46</f>
        <v>0</v>
      </c>
      <c r="D41" s="289">
        <f>DSDV!W46</f>
        <v>0</v>
      </c>
    </row>
    <row r="42" spans="1:4">
      <c r="A42">
        <f>DSDV!B47</f>
        <v>0</v>
      </c>
      <c r="B42">
        <f>DSDV!G47</f>
        <v>0</v>
      </c>
      <c r="C42" s="288">
        <f>DSDV!K47</f>
        <v>0</v>
      </c>
      <c r="D42" s="289">
        <f>DSDV!W47</f>
        <v>0</v>
      </c>
    </row>
    <row r="43" spans="1:4">
      <c r="A43">
        <f>DSDV!B48</f>
        <v>0</v>
      </c>
      <c r="B43">
        <f>DSDV!G48</f>
        <v>0</v>
      </c>
      <c r="C43" s="288">
        <f>DSDV!K48</f>
        <v>0</v>
      </c>
      <c r="D43" s="289">
        <f>DSDV!W48</f>
        <v>0</v>
      </c>
    </row>
    <row r="44" spans="1:4">
      <c r="A44">
        <f>DSDV!B49</f>
        <v>0</v>
      </c>
      <c r="B44">
        <f>DSDV!G49</f>
        <v>0</v>
      </c>
      <c r="C44" s="288">
        <f>DSDV!K49</f>
        <v>0</v>
      </c>
      <c r="D44" s="289">
        <f>DSDV!W49</f>
        <v>0</v>
      </c>
    </row>
    <row r="45" spans="1:4">
      <c r="A45">
        <f>DSDV!B50</f>
        <v>0</v>
      </c>
      <c r="B45">
        <f>DSDV!G50</f>
        <v>0</v>
      </c>
      <c r="C45" s="288">
        <f>DSDV!K50</f>
        <v>0</v>
      </c>
      <c r="D45" s="289">
        <f>DSDV!W50</f>
        <v>0</v>
      </c>
    </row>
    <row r="46" spans="1:4">
      <c r="A46">
        <f>DSDV!B51</f>
        <v>0</v>
      </c>
      <c r="B46">
        <f>DSDV!G51</f>
        <v>0</v>
      </c>
      <c r="C46" s="288">
        <f>DSDV!K51</f>
        <v>0</v>
      </c>
      <c r="D46" s="289">
        <f>DSDV!W51</f>
        <v>0</v>
      </c>
    </row>
    <row r="47" spans="1:4">
      <c r="A47">
        <f>DSDV!B52</f>
        <v>0</v>
      </c>
      <c r="B47">
        <f>DSDV!G52</f>
        <v>0</v>
      </c>
      <c r="C47" s="288">
        <f>DSDV!K52</f>
        <v>0</v>
      </c>
      <c r="D47" s="289">
        <f>DSDV!W52</f>
        <v>0</v>
      </c>
    </row>
    <row r="48" spans="1:4">
      <c r="A48">
        <f>DSDV!B53</f>
        <v>0</v>
      </c>
      <c r="B48">
        <f>DSDV!G53</f>
        <v>0</v>
      </c>
      <c r="C48" s="288">
        <f>DSDV!K53</f>
        <v>0</v>
      </c>
      <c r="D48" s="289">
        <f>DSDV!W53</f>
        <v>0</v>
      </c>
    </row>
    <row r="49" spans="1:4">
      <c r="A49">
        <f>DSDV!B54</f>
        <v>0</v>
      </c>
      <c r="B49">
        <f>DSDV!G54</f>
        <v>0</v>
      </c>
      <c r="C49" s="288">
        <f>DSDV!K54</f>
        <v>0</v>
      </c>
      <c r="D49" s="289">
        <f>DSDV!W54</f>
        <v>0</v>
      </c>
    </row>
    <row r="50" spans="1:4">
      <c r="A50">
        <f>DSDV!B55</f>
        <v>0</v>
      </c>
      <c r="B50">
        <f>DSDV!G55</f>
        <v>0</v>
      </c>
      <c r="C50" s="288">
        <f>DSDV!K55</f>
        <v>0</v>
      </c>
      <c r="D50" s="289">
        <f>DSDV!W55</f>
        <v>0</v>
      </c>
    </row>
    <row r="51" spans="1:4">
      <c r="A51">
        <f>DSDV!B56</f>
        <v>0</v>
      </c>
      <c r="B51">
        <f>DSDV!G56</f>
        <v>0</v>
      </c>
      <c r="C51" s="288">
        <f>DSDV!K56</f>
        <v>0</v>
      </c>
      <c r="D51" s="289">
        <f>DSDV!W56</f>
        <v>0</v>
      </c>
    </row>
    <row r="52" spans="1:4">
      <c r="A52">
        <f>DSDV!B57</f>
        <v>0</v>
      </c>
      <c r="B52">
        <f>DSDV!G57</f>
        <v>0</v>
      </c>
      <c r="C52" s="288">
        <f>DSDV!K57</f>
        <v>0</v>
      </c>
      <c r="D52" s="289">
        <f>DSDV!W57</f>
        <v>0</v>
      </c>
    </row>
    <row r="53" spans="1:4">
      <c r="A53">
        <f>DSDV!B58</f>
        <v>0</v>
      </c>
      <c r="B53">
        <f>DSDV!G58</f>
        <v>0</v>
      </c>
      <c r="C53" s="288">
        <f>DSDV!K58</f>
        <v>0</v>
      </c>
      <c r="D53" s="289">
        <f>DSDV!W58</f>
        <v>0</v>
      </c>
    </row>
    <row r="54" spans="1:4">
      <c r="A54">
        <f>DSDV!B59</f>
        <v>0</v>
      </c>
      <c r="B54">
        <f>DSDV!G59</f>
        <v>0</v>
      </c>
      <c r="C54" s="288">
        <f>DSDV!K59</f>
        <v>0</v>
      </c>
      <c r="D54" s="289">
        <f>DSDV!W59</f>
        <v>0</v>
      </c>
    </row>
    <row r="55" spans="1:4">
      <c r="A55">
        <f>DSDV!B60</f>
        <v>0</v>
      </c>
      <c r="B55">
        <f>DSDV!G60</f>
        <v>0</v>
      </c>
      <c r="C55" s="288">
        <f>DSDV!K60</f>
        <v>0</v>
      </c>
      <c r="D55" s="289">
        <f>DSDV!W60</f>
        <v>0</v>
      </c>
    </row>
    <row r="56" spans="1:4">
      <c r="A56">
        <f>DSDV!B61</f>
        <v>0</v>
      </c>
      <c r="B56">
        <f>DSDV!G61</f>
        <v>0</v>
      </c>
      <c r="C56" s="288">
        <f>DSDV!K61</f>
        <v>0</v>
      </c>
      <c r="D56" s="289">
        <f>DSDV!W61</f>
        <v>0</v>
      </c>
    </row>
    <row r="57" spans="1:4">
      <c r="A57">
        <f>DSDV!B62</f>
        <v>0</v>
      </c>
      <c r="B57">
        <f>DSDV!G62</f>
        <v>0</v>
      </c>
      <c r="C57" s="288">
        <f>DSDV!K62</f>
        <v>0</v>
      </c>
      <c r="D57" s="289">
        <f>DSDV!W62</f>
        <v>0</v>
      </c>
    </row>
    <row r="58" spans="1:4">
      <c r="A58">
        <f>DSDV!B63</f>
        <v>0</v>
      </c>
      <c r="B58">
        <f>DSDV!G63</f>
        <v>0</v>
      </c>
      <c r="C58" s="288">
        <f>DSDV!K63</f>
        <v>0</v>
      </c>
      <c r="D58" s="289">
        <f>DSDV!W63</f>
        <v>0</v>
      </c>
    </row>
    <row r="59" spans="1:4">
      <c r="A59">
        <f>DSDV!B64</f>
        <v>0</v>
      </c>
      <c r="B59">
        <f>DSDV!G64</f>
        <v>0</v>
      </c>
      <c r="C59" s="288">
        <f>DSDV!K64</f>
        <v>0</v>
      </c>
      <c r="D59" s="289">
        <f>DSDV!W64</f>
        <v>0</v>
      </c>
    </row>
    <row r="60" spans="1:4">
      <c r="A60">
        <f>DSDV!B65</f>
        <v>0</v>
      </c>
      <c r="B60">
        <f>DSDV!G65</f>
        <v>0</v>
      </c>
      <c r="C60" s="288">
        <f>DSDV!K65</f>
        <v>0</v>
      </c>
      <c r="D60" s="289">
        <f>DSDV!W65</f>
        <v>0</v>
      </c>
    </row>
    <row r="61" spans="1:4">
      <c r="A61">
        <f>DSDV!B66</f>
        <v>0</v>
      </c>
      <c r="B61">
        <f>DSDV!G66</f>
        <v>0</v>
      </c>
      <c r="C61" s="288">
        <f>DSDV!K66</f>
        <v>0</v>
      </c>
      <c r="D61" s="289">
        <f>DSDV!W66</f>
        <v>0</v>
      </c>
    </row>
    <row r="62" spans="1:4">
      <c r="A62">
        <f>DSDV!B67</f>
        <v>0</v>
      </c>
      <c r="B62">
        <f>DSDV!G67</f>
        <v>0</v>
      </c>
      <c r="C62" s="288">
        <f>DSDV!K67</f>
        <v>0</v>
      </c>
      <c r="D62" s="289">
        <f>DSDV!W67</f>
        <v>0</v>
      </c>
    </row>
    <row r="63" spans="1:4">
      <c r="A63">
        <f>DSDV!B68</f>
        <v>0</v>
      </c>
      <c r="B63">
        <f>DSDV!G68</f>
        <v>0</v>
      </c>
      <c r="C63" s="288">
        <f>DSDV!K68</f>
        <v>0</v>
      </c>
      <c r="D63" s="289">
        <f>DSDV!W68</f>
        <v>0</v>
      </c>
    </row>
    <row r="64" spans="1:4">
      <c r="A64">
        <f>DSDV!B69</f>
        <v>0</v>
      </c>
      <c r="B64">
        <f>DSDV!G69</f>
        <v>0</v>
      </c>
      <c r="C64" s="288">
        <f>DSDV!K69</f>
        <v>0</v>
      </c>
      <c r="D64" s="289">
        <f>DSDV!W69</f>
        <v>0</v>
      </c>
    </row>
    <row r="65" spans="1:4">
      <c r="A65">
        <f>DSDV!B70</f>
        <v>0</v>
      </c>
      <c r="B65">
        <f>DSDV!G70</f>
        <v>0</v>
      </c>
      <c r="C65" s="288">
        <f>DSDV!K70</f>
        <v>0</v>
      </c>
      <c r="D65" s="289">
        <f>DSDV!W70</f>
        <v>0</v>
      </c>
    </row>
    <row r="66" spans="1:4">
      <c r="A66">
        <f>DSDV!B71</f>
        <v>0</v>
      </c>
      <c r="B66">
        <f>DSDV!G71</f>
        <v>0</v>
      </c>
      <c r="C66" s="288">
        <f>DSDV!K71</f>
        <v>0</v>
      </c>
      <c r="D66" s="289">
        <f>DSDV!W71</f>
        <v>0</v>
      </c>
    </row>
    <row r="67" spans="1:4">
      <c r="A67">
        <f>DSDV!B72</f>
        <v>0</v>
      </c>
      <c r="B67">
        <f>DSDV!G72</f>
        <v>0</v>
      </c>
      <c r="C67" s="288">
        <f>DSDV!K72</f>
        <v>0</v>
      </c>
      <c r="D67" s="289">
        <f>DSDV!W72</f>
        <v>0</v>
      </c>
    </row>
    <row r="68" spans="1:4">
      <c r="A68">
        <f>DSDV!B73</f>
        <v>0</v>
      </c>
      <c r="B68">
        <f>DSDV!G73</f>
        <v>0</v>
      </c>
      <c r="C68" s="288">
        <f>DSDV!K73</f>
        <v>0</v>
      </c>
      <c r="D68" s="289">
        <f>DSDV!W73</f>
        <v>0</v>
      </c>
    </row>
    <row r="69" spans="1:4">
      <c r="A69">
        <f>DSDV!B74</f>
        <v>0</v>
      </c>
      <c r="B69">
        <f>DSDV!G74</f>
        <v>0</v>
      </c>
      <c r="C69" s="288">
        <f>DSDV!K74</f>
        <v>0</v>
      </c>
      <c r="D69" s="289">
        <f>DSDV!W74</f>
        <v>0</v>
      </c>
    </row>
    <row r="70" spans="1:4">
      <c r="A70">
        <f>DSDV!B75</f>
        <v>0</v>
      </c>
      <c r="B70">
        <f>DSDV!G75</f>
        <v>0</v>
      </c>
      <c r="C70" s="288">
        <f>DSDV!K75</f>
        <v>0</v>
      </c>
      <c r="D70" s="289">
        <f>DSDV!W75</f>
        <v>0</v>
      </c>
    </row>
    <row r="71" spans="1:4">
      <c r="A71">
        <f>DSDV!B76</f>
        <v>0</v>
      </c>
      <c r="B71">
        <f>DSDV!G76</f>
        <v>0</v>
      </c>
      <c r="C71" s="288">
        <f>DSDV!K76</f>
        <v>0</v>
      </c>
      <c r="D71" s="289">
        <f>DSDV!W76</f>
        <v>0</v>
      </c>
    </row>
    <row r="72" spans="1:4">
      <c r="A72">
        <f>DSDV!B77</f>
        <v>0</v>
      </c>
      <c r="B72">
        <f>DSDV!G77</f>
        <v>0</v>
      </c>
      <c r="C72" s="288">
        <f>DSDV!K77</f>
        <v>0</v>
      </c>
      <c r="D72" s="289">
        <f>DSDV!W77</f>
        <v>0</v>
      </c>
    </row>
    <row r="73" spans="1:4">
      <c r="A73">
        <f>DSDV!B78</f>
        <v>0</v>
      </c>
      <c r="B73">
        <f>DSDV!G78</f>
        <v>0</v>
      </c>
      <c r="C73" s="288">
        <f>DSDV!K78</f>
        <v>0</v>
      </c>
      <c r="D73" s="289">
        <f>DSDV!W78</f>
        <v>0</v>
      </c>
    </row>
    <row r="74" spans="1:4">
      <c r="A74">
        <f>DSDV!B79</f>
        <v>0</v>
      </c>
      <c r="B74">
        <f>DSDV!G79</f>
        <v>0</v>
      </c>
      <c r="C74" s="288">
        <f>DSDV!K79</f>
        <v>0</v>
      </c>
      <c r="D74" s="289">
        <f>DSDV!W79</f>
        <v>0</v>
      </c>
    </row>
    <row r="75" spans="1:4">
      <c r="A75">
        <f>DSDV!B80</f>
        <v>0</v>
      </c>
      <c r="B75">
        <f>DSDV!G80</f>
        <v>0</v>
      </c>
      <c r="C75" s="288">
        <f>DSDV!K80</f>
        <v>0</v>
      </c>
      <c r="D75" s="289">
        <f>DSDV!W80</f>
        <v>0</v>
      </c>
    </row>
    <row r="76" spans="1:4">
      <c r="A76">
        <f>DSDV!B81</f>
        <v>0</v>
      </c>
      <c r="B76">
        <f>DSDV!G81</f>
        <v>0</v>
      </c>
      <c r="C76" s="288">
        <f>DSDV!K81</f>
        <v>0</v>
      </c>
      <c r="D76" s="289">
        <f>DSDV!W81</f>
        <v>0</v>
      </c>
    </row>
    <row r="77" spans="1:4">
      <c r="A77">
        <f>DSDV!B82</f>
        <v>0</v>
      </c>
      <c r="B77">
        <f>DSDV!G82</f>
        <v>0</v>
      </c>
      <c r="C77" s="288">
        <f>DSDV!K82</f>
        <v>0</v>
      </c>
      <c r="D77" s="289">
        <f>DSDV!W82</f>
        <v>0</v>
      </c>
    </row>
    <row r="78" spans="1:4">
      <c r="A78">
        <f>DSDV!B83</f>
        <v>0</v>
      </c>
      <c r="B78">
        <f>DSDV!G83</f>
        <v>0</v>
      </c>
      <c r="C78" s="288">
        <f>DSDV!K83</f>
        <v>0</v>
      </c>
      <c r="D78" s="289">
        <f>DSDV!W83</f>
        <v>0</v>
      </c>
    </row>
    <row r="79" spans="1:4">
      <c r="A79">
        <f>DSDV!B84</f>
        <v>0</v>
      </c>
      <c r="B79">
        <f>DSDV!G84</f>
        <v>0</v>
      </c>
      <c r="C79" s="288">
        <f>DSDV!K84</f>
        <v>0</v>
      </c>
      <c r="D79" s="289">
        <f>DSDV!W84</f>
        <v>0</v>
      </c>
    </row>
    <row r="80" spans="1:4">
      <c r="A80">
        <f>DSDV!B85</f>
        <v>0</v>
      </c>
      <c r="B80">
        <f>DSDV!G85</f>
        <v>0</v>
      </c>
      <c r="C80" s="288">
        <f>DSDV!K85</f>
        <v>0</v>
      </c>
      <c r="D80" s="289">
        <f>DSDV!W85</f>
        <v>0</v>
      </c>
    </row>
    <row r="81" spans="1:4">
      <c r="A81">
        <f>DSDV!B86</f>
        <v>0</v>
      </c>
      <c r="B81">
        <f>DSDV!G86</f>
        <v>0</v>
      </c>
      <c r="C81" s="288">
        <f>DSDV!K86</f>
        <v>0</v>
      </c>
      <c r="D81" s="289">
        <f>DSDV!W86</f>
        <v>0</v>
      </c>
    </row>
    <row r="82" spans="1:4">
      <c r="A82">
        <f>DSDV!B87</f>
        <v>0</v>
      </c>
      <c r="B82">
        <f>DSDV!G87</f>
        <v>0</v>
      </c>
      <c r="C82" s="288">
        <f>DSDV!K87</f>
        <v>0</v>
      </c>
      <c r="D82" s="289">
        <f>DSDV!W87</f>
        <v>0</v>
      </c>
    </row>
    <row r="83" spans="1:4">
      <c r="A83">
        <f>DSDV!B88</f>
        <v>0</v>
      </c>
      <c r="B83">
        <f>DSDV!G88</f>
        <v>0</v>
      </c>
      <c r="C83" s="288">
        <f>DSDV!K88</f>
        <v>0</v>
      </c>
      <c r="D83" s="289">
        <f>DSDV!W88</f>
        <v>0</v>
      </c>
    </row>
    <row r="84" spans="1:4">
      <c r="A84">
        <f>DSDV!B89</f>
        <v>0</v>
      </c>
      <c r="B84">
        <f>DSDV!G89</f>
        <v>0</v>
      </c>
      <c r="C84" s="288">
        <f>DSDV!K89</f>
        <v>0</v>
      </c>
      <c r="D84" s="289">
        <f>DSDV!W89</f>
        <v>0</v>
      </c>
    </row>
    <row r="85" spans="1:4">
      <c r="A85">
        <f>DSDV!B90</f>
        <v>0</v>
      </c>
      <c r="B85">
        <f>DSDV!G90</f>
        <v>0</v>
      </c>
      <c r="C85" s="288">
        <f>DSDV!K90</f>
        <v>0</v>
      </c>
      <c r="D85" s="289">
        <f>DSDV!W90</f>
        <v>0</v>
      </c>
    </row>
    <row r="86" spans="1:4">
      <c r="A86">
        <f>DSDV!B91</f>
        <v>0</v>
      </c>
      <c r="B86">
        <f>DSDV!G91</f>
        <v>0</v>
      </c>
      <c r="C86" s="288">
        <f>DSDV!K91</f>
        <v>0</v>
      </c>
      <c r="D86" s="289">
        <f>DSDV!W91</f>
        <v>0</v>
      </c>
    </row>
    <row r="87" spans="1:4">
      <c r="A87">
        <f>DSDV!B92</f>
        <v>0</v>
      </c>
      <c r="B87">
        <f>DSDV!G92</f>
        <v>0</v>
      </c>
      <c r="C87" s="288">
        <f>DSDV!K92</f>
        <v>0</v>
      </c>
      <c r="D87" s="289">
        <f>DSDV!W92</f>
        <v>0</v>
      </c>
    </row>
    <row r="88" spans="1:4">
      <c r="A88">
        <f>DSDV!B93</f>
        <v>0</v>
      </c>
      <c r="B88">
        <f>DSDV!G93</f>
        <v>0</v>
      </c>
      <c r="C88" s="288">
        <f>DSDV!K93</f>
        <v>0</v>
      </c>
      <c r="D88" s="289">
        <f>DSDV!W93</f>
        <v>0</v>
      </c>
    </row>
    <row r="89" spans="1:4">
      <c r="A89">
        <f>DSDV!B94</f>
        <v>0</v>
      </c>
      <c r="B89">
        <f>DSDV!G94</f>
        <v>0</v>
      </c>
      <c r="C89" s="288">
        <f>DSDV!K94</f>
        <v>0</v>
      </c>
      <c r="D89" s="289">
        <f>DSDV!W94</f>
        <v>0</v>
      </c>
    </row>
    <row r="90" spans="1:4">
      <c r="A90">
        <f>DSDV!B95</f>
        <v>0</v>
      </c>
      <c r="B90">
        <f>DSDV!G95</f>
        <v>0</v>
      </c>
      <c r="C90" s="288">
        <f>DSDV!K95</f>
        <v>0</v>
      </c>
      <c r="D90" s="289">
        <f>DSDV!W95</f>
        <v>0</v>
      </c>
    </row>
    <row r="91" spans="1:4">
      <c r="A91">
        <f>DSDV!B96</f>
        <v>0</v>
      </c>
      <c r="B91">
        <f>DSDV!G96</f>
        <v>0</v>
      </c>
      <c r="C91" s="288">
        <f>DSDV!K96</f>
        <v>0</v>
      </c>
      <c r="D91" s="289">
        <f>DSDV!W96</f>
        <v>0</v>
      </c>
    </row>
    <row r="92" spans="1:4">
      <c r="A92">
        <f>DSDV!B97</f>
        <v>0</v>
      </c>
      <c r="B92">
        <f>DSDV!G97</f>
        <v>0</v>
      </c>
      <c r="C92" s="288">
        <f>DSDV!K97</f>
        <v>0</v>
      </c>
      <c r="D92" s="289">
        <f>DSDV!W97</f>
        <v>0</v>
      </c>
    </row>
    <row r="93" spans="1:4">
      <c r="A93">
        <f>DSDV!B98</f>
        <v>0</v>
      </c>
      <c r="B93">
        <f>DSDV!G98</f>
        <v>0</v>
      </c>
      <c r="C93" s="288">
        <f>DSDV!K98</f>
        <v>0</v>
      </c>
      <c r="D93" s="289">
        <f>DSDV!W98</f>
        <v>0</v>
      </c>
    </row>
    <row r="94" spans="1:4">
      <c r="A94">
        <f>DSDV!B99</f>
        <v>0</v>
      </c>
      <c r="B94">
        <f>DSDV!G99</f>
        <v>0</v>
      </c>
      <c r="C94" s="288">
        <f>DSDV!K99</f>
        <v>0</v>
      </c>
      <c r="D94" s="289">
        <f>DSDV!W99</f>
        <v>0</v>
      </c>
    </row>
    <row r="95" spans="1:4">
      <c r="A95">
        <f>DSDV!B100</f>
        <v>0</v>
      </c>
      <c r="B95">
        <f>DSDV!G100</f>
        <v>0</v>
      </c>
      <c r="C95" s="288">
        <f>DSDV!K100</f>
        <v>0</v>
      </c>
      <c r="D95" s="289">
        <f>DSDV!W100</f>
        <v>0</v>
      </c>
    </row>
    <row r="96" spans="1:4">
      <c r="A96">
        <f>DSDV!B101</f>
        <v>0</v>
      </c>
      <c r="B96">
        <f>DSDV!G101</f>
        <v>0</v>
      </c>
      <c r="C96" s="288">
        <f>DSDV!K101</f>
        <v>0</v>
      </c>
      <c r="D96" s="289">
        <f>DSDV!W101</f>
        <v>0</v>
      </c>
    </row>
    <row r="97" spans="1:4">
      <c r="A97">
        <f>DSDV!B102</f>
        <v>0</v>
      </c>
      <c r="B97">
        <f>DSDV!G102</f>
        <v>0</v>
      </c>
      <c r="C97" s="288">
        <f>DSDV!K102</f>
        <v>0</v>
      </c>
      <c r="D97" s="289">
        <f>DSDV!W102</f>
        <v>0</v>
      </c>
    </row>
    <row r="98" spans="1:4">
      <c r="A98">
        <f>DSDV!B103</f>
        <v>0</v>
      </c>
      <c r="B98">
        <f>DSDV!G103</f>
        <v>0</v>
      </c>
      <c r="C98" s="288">
        <f>DSDV!K103</f>
        <v>0</v>
      </c>
      <c r="D98" s="289">
        <f>DSDV!W103</f>
        <v>0</v>
      </c>
    </row>
    <row r="99" spans="1:4">
      <c r="A99">
        <f>DSDV!B104</f>
        <v>0</v>
      </c>
      <c r="B99">
        <f>DSDV!G104</f>
        <v>0</v>
      </c>
      <c r="C99" s="288">
        <f>DSDV!K104</f>
        <v>0</v>
      </c>
      <c r="D99" s="289">
        <f>DSDV!W104</f>
        <v>0</v>
      </c>
    </row>
    <row r="100" spans="1:4">
      <c r="A100">
        <f>DSDV!B105</f>
        <v>0</v>
      </c>
      <c r="B100">
        <f>DSDV!G105</f>
        <v>0</v>
      </c>
      <c r="C100" s="288">
        <f>DSDV!K105</f>
        <v>0</v>
      </c>
      <c r="D100" s="289">
        <f>DSDV!W105</f>
        <v>0</v>
      </c>
    </row>
    <row r="101" spans="1:4">
      <c r="A101">
        <f>DSDV!B106</f>
        <v>0</v>
      </c>
      <c r="B101">
        <f>DSDV!G106</f>
        <v>0</v>
      </c>
      <c r="C101" s="288">
        <f>DSDV!K106</f>
        <v>0</v>
      </c>
      <c r="D101" s="289">
        <f>DSDV!W106</f>
        <v>0</v>
      </c>
    </row>
    <row r="102" spans="1:4">
      <c r="A102">
        <f>DSDV!B107</f>
        <v>0</v>
      </c>
      <c r="B102">
        <f>DSDV!G107</f>
        <v>0</v>
      </c>
      <c r="C102" s="288">
        <f>DSDV!K107</f>
        <v>0</v>
      </c>
      <c r="D102" s="289">
        <f>DSDV!W107</f>
        <v>0</v>
      </c>
    </row>
    <row r="103" spans="1:4">
      <c r="A103">
        <f>DSDV!B108</f>
        <v>0</v>
      </c>
      <c r="B103">
        <f>DSDV!G108</f>
        <v>0</v>
      </c>
      <c r="C103" s="288">
        <f>DSDV!K108</f>
        <v>0</v>
      </c>
      <c r="D103" s="289">
        <f>DSDV!W108</f>
        <v>0</v>
      </c>
    </row>
    <row r="104" spans="1:4">
      <c r="A104">
        <f>DSDV!B109</f>
        <v>0</v>
      </c>
      <c r="B104">
        <f>DSDV!G109</f>
        <v>0</v>
      </c>
      <c r="C104" s="288">
        <f>DSDV!K109</f>
        <v>0</v>
      </c>
      <c r="D104" s="289">
        <f>DSDV!W109</f>
        <v>0</v>
      </c>
    </row>
    <row r="105" spans="1:4">
      <c r="A105">
        <f>DSDV!B110</f>
        <v>0</v>
      </c>
      <c r="B105">
        <f>DSDV!G110</f>
        <v>0</v>
      </c>
      <c r="C105" s="288">
        <f>DSDV!K110</f>
        <v>0</v>
      </c>
      <c r="D105" s="289">
        <f>DSDV!W110</f>
        <v>0</v>
      </c>
    </row>
    <row r="106" spans="1:4">
      <c r="A106">
        <f>DSDV!B111</f>
        <v>0</v>
      </c>
      <c r="B106">
        <f>DSDV!G111</f>
        <v>0</v>
      </c>
      <c r="C106" s="288">
        <f>DSDV!K111</f>
        <v>0</v>
      </c>
      <c r="D106" s="289">
        <f>DSDV!W111</f>
        <v>0</v>
      </c>
    </row>
    <row r="107" spans="1:4">
      <c r="A107">
        <f>DSDV!B112</f>
        <v>0</v>
      </c>
      <c r="B107">
        <f>DSDV!G112</f>
        <v>0</v>
      </c>
      <c r="C107" s="288">
        <f>DSDV!K112</f>
        <v>0</v>
      </c>
      <c r="D107" s="289">
        <f>DSDV!W112</f>
        <v>0</v>
      </c>
    </row>
    <row r="108" spans="1:4">
      <c r="A108">
        <f>DSDV!B113</f>
        <v>0</v>
      </c>
      <c r="B108">
        <f>DSDV!G113</f>
        <v>0</v>
      </c>
      <c r="C108" s="288">
        <f>DSDV!K113</f>
        <v>0</v>
      </c>
      <c r="D108" s="289">
        <f>DSDV!W113</f>
        <v>0</v>
      </c>
    </row>
    <row r="109" spans="1:4">
      <c r="A109">
        <f>DSDV!B114</f>
        <v>0</v>
      </c>
      <c r="B109">
        <f>DSDV!G114</f>
        <v>0</v>
      </c>
      <c r="C109" s="288">
        <f>DSDV!K114</f>
        <v>0</v>
      </c>
      <c r="D109" s="289">
        <f>DSDV!W114</f>
        <v>0</v>
      </c>
    </row>
    <row r="110" spans="1:4">
      <c r="A110">
        <f>DSDV!B115</f>
        <v>0</v>
      </c>
      <c r="B110">
        <f>DSDV!G115</f>
        <v>0</v>
      </c>
      <c r="C110" s="288">
        <f>DSDV!K115</f>
        <v>0</v>
      </c>
      <c r="D110" s="289">
        <f>DSDV!W115</f>
        <v>0</v>
      </c>
    </row>
    <row r="111" spans="1:4">
      <c r="A111">
        <f>DSDV!B116</f>
        <v>0</v>
      </c>
      <c r="B111">
        <f>DSDV!G116</f>
        <v>0</v>
      </c>
      <c r="C111" s="288">
        <f>DSDV!K116</f>
        <v>0</v>
      </c>
      <c r="D111" s="289">
        <f>DSDV!W116</f>
        <v>0</v>
      </c>
    </row>
    <row r="112" spans="1:4">
      <c r="A112">
        <f>DSDV!B117</f>
        <v>0</v>
      </c>
      <c r="B112">
        <f>DSDV!G117</f>
        <v>0</v>
      </c>
      <c r="C112" s="288">
        <f>DSDV!K117</f>
        <v>0</v>
      </c>
      <c r="D112" s="289">
        <f>DSDV!W117</f>
        <v>0</v>
      </c>
    </row>
    <row r="113" spans="1:4">
      <c r="A113">
        <f>DSDV!B118</f>
        <v>0</v>
      </c>
      <c r="B113">
        <f>DSDV!G118</f>
        <v>0</v>
      </c>
      <c r="C113" s="288">
        <f>DSDV!K118</f>
        <v>0</v>
      </c>
      <c r="D113" s="289">
        <f>DSDV!W118</f>
        <v>0</v>
      </c>
    </row>
    <row r="114" spans="1:4">
      <c r="A114">
        <f>DSDV!B119</f>
        <v>0</v>
      </c>
      <c r="B114">
        <f>DSDV!G119</f>
        <v>0</v>
      </c>
      <c r="C114" s="288">
        <f>DSDV!K119</f>
        <v>0</v>
      </c>
      <c r="D114" s="289">
        <f>DSDV!W119</f>
        <v>0</v>
      </c>
    </row>
    <row r="115" spans="1:4">
      <c r="A115">
        <f>DSDV!B120</f>
        <v>0</v>
      </c>
      <c r="B115">
        <f>DSDV!G120</f>
        <v>0</v>
      </c>
      <c r="C115" s="288">
        <f>DSDV!K120</f>
        <v>0</v>
      </c>
      <c r="D115" s="289">
        <f>DSDV!W120</f>
        <v>0</v>
      </c>
    </row>
    <row r="116" spans="1:4">
      <c r="A116">
        <f>DSDV!B121</f>
        <v>0</v>
      </c>
      <c r="B116">
        <f>DSDV!G121</f>
        <v>0</v>
      </c>
      <c r="C116" s="288">
        <f>DSDV!K121</f>
        <v>0</v>
      </c>
      <c r="D116" s="289">
        <f>DSDV!W121</f>
        <v>0</v>
      </c>
    </row>
    <row r="117" spans="1:4">
      <c r="A117">
        <f>DSDV!B122</f>
        <v>0</v>
      </c>
      <c r="B117">
        <f>DSDV!G122</f>
        <v>0</v>
      </c>
      <c r="C117" s="288">
        <f>DSDV!K122</f>
        <v>0</v>
      </c>
      <c r="D117" s="289">
        <f>DSDV!W122</f>
        <v>0</v>
      </c>
    </row>
    <row r="118" spans="1:4">
      <c r="A118">
        <f>DSDV!B123</f>
        <v>0</v>
      </c>
      <c r="B118">
        <f>DSDV!G123</f>
        <v>0</v>
      </c>
      <c r="C118" s="288">
        <f>DSDV!K123</f>
        <v>0</v>
      </c>
      <c r="D118" s="289">
        <f>DSDV!W123</f>
        <v>0</v>
      </c>
    </row>
    <row r="119" spans="1:4">
      <c r="A119">
        <f>DSDV!B124</f>
        <v>0</v>
      </c>
      <c r="B119">
        <f>DSDV!G124</f>
        <v>0</v>
      </c>
      <c r="C119" s="288">
        <f>DSDV!K124</f>
        <v>0</v>
      </c>
      <c r="D119" s="289">
        <f>DSDV!W124</f>
        <v>0</v>
      </c>
    </row>
    <row r="120" spans="1:4">
      <c r="A120">
        <f>DSDV!B125</f>
        <v>0</v>
      </c>
      <c r="B120">
        <f>DSDV!G125</f>
        <v>0</v>
      </c>
      <c r="C120" s="288">
        <f>DSDV!K125</f>
        <v>0</v>
      </c>
      <c r="D120" s="289">
        <f>DSDV!W125</f>
        <v>0</v>
      </c>
    </row>
    <row r="121" spans="1:4">
      <c r="A121">
        <f>DSDV!B126</f>
        <v>0</v>
      </c>
      <c r="B121">
        <f>DSDV!G126</f>
        <v>0</v>
      </c>
      <c r="C121" s="288">
        <f>DSDV!K126</f>
        <v>0</v>
      </c>
      <c r="D121" s="289">
        <f>DSDV!W126</f>
        <v>0</v>
      </c>
    </row>
    <row r="122" spans="1:4">
      <c r="A122">
        <f>DSDV!B127</f>
        <v>0</v>
      </c>
      <c r="B122">
        <f>DSDV!G127</f>
        <v>0</v>
      </c>
      <c r="C122" s="288">
        <f>DSDV!K127</f>
        <v>0</v>
      </c>
      <c r="D122" s="289">
        <f>DSDV!W127</f>
        <v>0</v>
      </c>
    </row>
    <row r="123" spans="1:4">
      <c r="A123">
        <f>DSDV!B128</f>
        <v>0</v>
      </c>
      <c r="B123">
        <f>DSDV!G128</f>
        <v>0</v>
      </c>
      <c r="C123" s="288">
        <f>DSDV!K128</f>
        <v>0</v>
      </c>
      <c r="D123" s="289">
        <f>DSDV!W128</f>
        <v>0</v>
      </c>
    </row>
    <row r="124" spans="1:4">
      <c r="A124">
        <f>DSDV!B129</f>
        <v>0</v>
      </c>
      <c r="B124">
        <f>DSDV!G129</f>
        <v>0</v>
      </c>
      <c r="C124" s="288">
        <f>DSDV!K129</f>
        <v>0</v>
      </c>
      <c r="D124" s="289">
        <f>DSDV!W129</f>
        <v>0</v>
      </c>
    </row>
    <row r="125" spans="1:4">
      <c r="A125">
        <f>DSDV!B130</f>
        <v>0</v>
      </c>
      <c r="B125">
        <f>DSDV!G130</f>
        <v>0</v>
      </c>
      <c r="C125" s="288">
        <f>DSDV!K130</f>
        <v>0</v>
      </c>
      <c r="D125" s="289">
        <f>DSDV!W130</f>
        <v>0</v>
      </c>
    </row>
    <row r="126" spans="1:4">
      <c r="A126">
        <f>DSDV!B131</f>
        <v>0</v>
      </c>
      <c r="B126">
        <f>DSDV!G131</f>
        <v>0</v>
      </c>
      <c r="C126" s="288">
        <f>DSDV!K131</f>
        <v>0</v>
      </c>
      <c r="D126" s="289">
        <f>DSDV!W131</f>
        <v>0</v>
      </c>
    </row>
    <row r="127" spans="1:4">
      <c r="A127">
        <f>DSDV!B132</f>
        <v>0</v>
      </c>
      <c r="B127">
        <f>DSDV!G132</f>
        <v>0</v>
      </c>
      <c r="C127" s="288">
        <f>DSDV!K132</f>
        <v>0</v>
      </c>
      <c r="D127" s="289">
        <f>DSDV!W132</f>
        <v>0</v>
      </c>
    </row>
    <row r="128" spans="1:4">
      <c r="A128">
        <f>DSDV!B133</f>
        <v>0</v>
      </c>
      <c r="B128">
        <f>DSDV!G133</f>
        <v>0</v>
      </c>
      <c r="C128" s="288">
        <f>DSDV!K133</f>
        <v>0</v>
      </c>
      <c r="D128" s="289">
        <f>DSDV!W133</f>
        <v>0</v>
      </c>
    </row>
    <row r="129" spans="1:4">
      <c r="A129">
        <f>DSDV!B134</f>
        <v>0</v>
      </c>
      <c r="B129">
        <f>DSDV!G134</f>
        <v>0</v>
      </c>
      <c r="C129" s="288">
        <f>DSDV!K134</f>
        <v>0</v>
      </c>
      <c r="D129" s="289">
        <f>DSDV!W134</f>
        <v>0</v>
      </c>
    </row>
    <row r="130" spans="1:4">
      <c r="A130">
        <f>DSDV!B135</f>
        <v>0</v>
      </c>
      <c r="B130">
        <f>DSDV!G135</f>
        <v>0</v>
      </c>
      <c r="C130" s="288">
        <f>DSDV!K135</f>
        <v>0</v>
      </c>
      <c r="D130" s="289">
        <f>DSDV!W135</f>
        <v>0</v>
      </c>
    </row>
    <row r="131" spans="1:4">
      <c r="A131">
        <f>DSDV!B136</f>
        <v>0</v>
      </c>
      <c r="B131">
        <f>DSDV!G136</f>
        <v>0</v>
      </c>
      <c r="C131" s="288">
        <f>DSDV!K136</f>
        <v>0</v>
      </c>
      <c r="D131" s="289">
        <f>DSDV!W136</f>
        <v>0</v>
      </c>
    </row>
    <row r="132" spans="1:4">
      <c r="A132">
        <f>DSDV!B137</f>
        <v>0</v>
      </c>
      <c r="B132">
        <f>DSDV!G137</f>
        <v>0</v>
      </c>
      <c r="C132" s="288">
        <f>DSDV!K137</f>
        <v>0</v>
      </c>
      <c r="D132" s="289">
        <f>DSDV!W137</f>
        <v>0</v>
      </c>
    </row>
    <row r="133" spans="1:4">
      <c r="A133">
        <f>DSDV!B138</f>
        <v>0</v>
      </c>
      <c r="B133">
        <f>DSDV!G138</f>
        <v>0</v>
      </c>
      <c r="C133" s="288">
        <f>DSDV!K138</f>
        <v>0</v>
      </c>
      <c r="D133" s="289">
        <f>DSDV!W138</f>
        <v>0</v>
      </c>
    </row>
    <row r="134" spans="1:4">
      <c r="A134">
        <f>DSDV!B139</f>
        <v>0</v>
      </c>
      <c r="B134">
        <f>DSDV!G139</f>
        <v>0</v>
      </c>
      <c r="C134" s="288">
        <f>DSDV!K139</f>
        <v>0</v>
      </c>
      <c r="D134" s="289">
        <f>DSDV!W139</f>
        <v>0</v>
      </c>
    </row>
    <row r="135" spans="1:4">
      <c r="A135">
        <f>DSDV!B140</f>
        <v>0</v>
      </c>
      <c r="B135">
        <f>DSDV!G140</f>
        <v>0</v>
      </c>
      <c r="C135" s="288">
        <f>DSDV!K140</f>
        <v>0</v>
      </c>
      <c r="D135" s="289">
        <f>DSDV!W140</f>
        <v>0</v>
      </c>
    </row>
    <row r="136" spans="1:4">
      <c r="A136">
        <f>DSDV!B141</f>
        <v>0</v>
      </c>
      <c r="B136">
        <f>DSDV!G141</f>
        <v>0</v>
      </c>
      <c r="C136" s="288">
        <f>DSDV!K141</f>
        <v>0</v>
      </c>
      <c r="D136" s="289">
        <f>DSDV!W141</f>
        <v>0</v>
      </c>
    </row>
    <row r="137" spans="1:4">
      <c r="A137">
        <f>DSDV!B142</f>
        <v>0</v>
      </c>
      <c r="B137">
        <f>DSDV!G142</f>
        <v>0</v>
      </c>
      <c r="C137" s="288">
        <f>DSDV!K142</f>
        <v>0</v>
      </c>
      <c r="D137" s="289">
        <f>DSDV!W142</f>
        <v>0</v>
      </c>
    </row>
    <row r="138" spans="1:4">
      <c r="A138">
        <f>DSDV!B143</f>
        <v>0</v>
      </c>
      <c r="B138">
        <f>DSDV!G143</f>
        <v>0</v>
      </c>
      <c r="C138" s="288">
        <f>DSDV!K143</f>
        <v>0</v>
      </c>
      <c r="D138" s="289">
        <f>DSDV!W143</f>
        <v>0</v>
      </c>
    </row>
    <row r="139" spans="1:4">
      <c r="A139">
        <f>DSDV!B144</f>
        <v>0</v>
      </c>
      <c r="B139">
        <f>DSDV!G144</f>
        <v>0</v>
      </c>
      <c r="C139" s="288">
        <f>DSDV!K144</f>
        <v>0</v>
      </c>
      <c r="D139" s="289">
        <f>DSDV!W144</f>
        <v>0</v>
      </c>
    </row>
    <row r="140" spans="1:4">
      <c r="A140">
        <f>DSDV!B145</f>
        <v>0</v>
      </c>
      <c r="B140">
        <f>DSDV!G145</f>
        <v>0</v>
      </c>
      <c r="C140" s="288">
        <f>DSDV!K145</f>
        <v>0</v>
      </c>
      <c r="D140" s="289">
        <f>DSDV!W145</f>
        <v>0</v>
      </c>
    </row>
    <row r="141" spans="1:4">
      <c r="A141">
        <f>DSDV!B146</f>
        <v>0</v>
      </c>
      <c r="B141">
        <f>DSDV!G146</f>
        <v>0</v>
      </c>
      <c r="C141" s="288">
        <f>DSDV!K146</f>
        <v>0</v>
      </c>
      <c r="D141" s="289">
        <f>DSDV!W146</f>
        <v>0</v>
      </c>
    </row>
    <row r="142" spans="1:4">
      <c r="A142">
        <f>DSDV!B147</f>
        <v>0</v>
      </c>
      <c r="B142">
        <f>DSDV!G147</f>
        <v>0</v>
      </c>
      <c r="C142" s="288">
        <f>DSDV!K147</f>
        <v>0</v>
      </c>
      <c r="D142" s="289">
        <f>DSDV!W147</f>
        <v>0</v>
      </c>
    </row>
    <row r="143" spans="1:4">
      <c r="A143">
        <f>DSDV!B148</f>
        <v>0</v>
      </c>
      <c r="B143">
        <f>DSDV!G148</f>
        <v>0</v>
      </c>
      <c r="C143" s="288">
        <f>DSDV!K148</f>
        <v>0</v>
      </c>
      <c r="D143" s="289">
        <f>DSDV!W148</f>
        <v>0</v>
      </c>
    </row>
    <row r="144" spans="1:4">
      <c r="A144">
        <f>DSDV!B149</f>
        <v>0</v>
      </c>
      <c r="B144">
        <f>DSDV!G149</f>
        <v>0</v>
      </c>
      <c r="C144" s="288">
        <f>DSDV!K149</f>
        <v>0</v>
      </c>
      <c r="D144" s="289">
        <f>DSDV!W149</f>
        <v>0</v>
      </c>
    </row>
    <row r="145" spans="1:4">
      <c r="A145">
        <f>DSDV!B150</f>
        <v>0</v>
      </c>
      <c r="B145">
        <f>DSDV!G150</f>
        <v>0</v>
      </c>
      <c r="C145" s="288">
        <f>DSDV!K150</f>
        <v>0</v>
      </c>
      <c r="D145" s="289">
        <f>DSDV!W150</f>
        <v>0</v>
      </c>
    </row>
    <row r="146" spans="1:4">
      <c r="A146">
        <f>DSDV!B151</f>
        <v>0</v>
      </c>
      <c r="B146">
        <f>DSDV!G151</f>
        <v>0</v>
      </c>
      <c r="C146" s="288">
        <f>DSDV!K151</f>
        <v>0</v>
      </c>
      <c r="D146" s="289">
        <f>DSDV!W151</f>
        <v>0</v>
      </c>
    </row>
    <row r="147" spans="1:4">
      <c r="A147">
        <f>DSDV!B152</f>
        <v>0</v>
      </c>
      <c r="B147">
        <f>DSDV!G152</f>
        <v>0</v>
      </c>
      <c r="C147" s="288">
        <f>DSDV!K152</f>
        <v>0</v>
      </c>
      <c r="D147" s="289">
        <f>DSDV!W152</f>
        <v>0</v>
      </c>
    </row>
    <row r="148" spans="1:4">
      <c r="A148">
        <f>DSDV!B153</f>
        <v>0</v>
      </c>
      <c r="B148">
        <f>DSDV!G153</f>
        <v>0</v>
      </c>
      <c r="C148" s="288">
        <f>DSDV!K153</f>
        <v>0</v>
      </c>
      <c r="D148" s="289">
        <f>DSDV!W153</f>
        <v>0</v>
      </c>
    </row>
    <row r="149" spans="1:4">
      <c r="A149">
        <f>DSDV!B154</f>
        <v>0</v>
      </c>
      <c r="B149">
        <f>DSDV!G154</f>
        <v>0</v>
      </c>
      <c r="C149" s="288">
        <f>DSDV!K154</f>
        <v>0</v>
      </c>
      <c r="D149" s="289">
        <f>DSDV!W154</f>
        <v>0</v>
      </c>
    </row>
    <row r="150" spans="1:4">
      <c r="A150">
        <f>DSDV!B155</f>
        <v>0</v>
      </c>
      <c r="B150">
        <f>DSDV!G155</f>
        <v>0</v>
      </c>
      <c r="C150" s="288">
        <f>DSDV!K155</f>
        <v>0</v>
      </c>
      <c r="D150" s="289">
        <f>DSDV!W155</f>
        <v>0</v>
      </c>
    </row>
    <row r="151" spans="1:4">
      <c r="A151">
        <f>DSDV!B156</f>
        <v>0</v>
      </c>
      <c r="B151">
        <f>DSDV!G156</f>
        <v>0</v>
      </c>
      <c r="C151" s="288">
        <f>DSDV!K156</f>
        <v>0</v>
      </c>
      <c r="D151" s="289">
        <f>DSDV!W156</f>
        <v>0</v>
      </c>
    </row>
    <row r="152" spans="1:4">
      <c r="A152">
        <f>DSDV!B157</f>
        <v>0</v>
      </c>
      <c r="B152">
        <f>DSDV!G157</f>
        <v>0</v>
      </c>
      <c r="C152" s="288">
        <f>DSDV!K157</f>
        <v>0</v>
      </c>
      <c r="D152" s="289">
        <f>DSDV!W157</f>
        <v>0</v>
      </c>
    </row>
    <row r="153" spans="1:4">
      <c r="A153">
        <f>DSDV!B158</f>
        <v>0</v>
      </c>
      <c r="B153">
        <f>DSDV!G158</f>
        <v>0</v>
      </c>
      <c r="C153" s="288">
        <f>DSDV!K158</f>
        <v>0</v>
      </c>
      <c r="D153" s="289">
        <f>DSDV!W158</f>
        <v>0</v>
      </c>
    </row>
    <row r="154" spans="1:4">
      <c r="A154">
        <f>DSDV!B159</f>
        <v>0</v>
      </c>
      <c r="B154">
        <f>DSDV!G159</f>
        <v>0</v>
      </c>
      <c r="C154" s="288">
        <f>DSDV!K159</f>
        <v>0</v>
      </c>
      <c r="D154" s="289">
        <f>DSDV!W159</f>
        <v>0</v>
      </c>
    </row>
    <row r="155" spans="1:4">
      <c r="A155">
        <f>DSDV!B160</f>
        <v>0</v>
      </c>
      <c r="B155">
        <f>DSDV!G160</f>
        <v>0</v>
      </c>
      <c r="C155" s="288">
        <f>DSDV!K160</f>
        <v>0</v>
      </c>
      <c r="D155" s="289">
        <f>DSDV!W160</f>
        <v>0</v>
      </c>
    </row>
    <row r="156" spans="1:4">
      <c r="A156">
        <f>DSDV!B161</f>
        <v>0</v>
      </c>
      <c r="B156">
        <f>DSDV!G161</f>
        <v>0</v>
      </c>
      <c r="C156" s="288">
        <f>DSDV!K161</f>
        <v>0</v>
      </c>
      <c r="D156" s="289">
        <f>DSDV!W161</f>
        <v>0</v>
      </c>
    </row>
    <row r="157" spans="1:4">
      <c r="A157">
        <f>DSDV!B162</f>
        <v>0</v>
      </c>
      <c r="B157">
        <f>DSDV!G162</f>
        <v>0</v>
      </c>
      <c r="C157" s="288">
        <f>DSDV!K162</f>
        <v>0</v>
      </c>
      <c r="D157" s="289">
        <f>DSDV!W162</f>
        <v>0</v>
      </c>
    </row>
    <row r="158" spans="1:4">
      <c r="A158">
        <f>DSDV!B163</f>
        <v>0</v>
      </c>
      <c r="B158">
        <f>DSDV!G163</f>
        <v>0</v>
      </c>
      <c r="C158" s="288">
        <f>DSDV!K163</f>
        <v>0</v>
      </c>
      <c r="D158" s="289">
        <f>DSDV!W163</f>
        <v>0</v>
      </c>
    </row>
    <row r="159" spans="1:4">
      <c r="A159">
        <f>DSDV!B164</f>
        <v>0</v>
      </c>
      <c r="B159">
        <f>DSDV!G164</f>
        <v>0</v>
      </c>
      <c r="C159" s="288">
        <f>DSDV!K164</f>
        <v>0</v>
      </c>
      <c r="D159" s="289">
        <f>DSDV!W164</f>
        <v>0</v>
      </c>
    </row>
    <row r="160" spans="1:4">
      <c r="A160">
        <f>DSDV!B165</f>
        <v>0</v>
      </c>
      <c r="B160">
        <f>DSDV!G165</f>
        <v>0</v>
      </c>
      <c r="C160" s="288">
        <f>DSDV!K165</f>
        <v>0</v>
      </c>
      <c r="D160" s="289">
        <f>DSDV!W165</f>
        <v>0</v>
      </c>
    </row>
    <row r="161" spans="1:4">
      <c r="A161">
        <f>DSDV!B166</f>
        <v>0</v>
      </c>
      <c r="B161">
        <f>DSDV!G166</f>
        <v>0</v>
      </c>
      <c r="C161" s="288">
        <f>DSDV!K166</f>
        <v>0</v>
      </c>
      <c r="D161" s="289">
        <f>DSDV!W166</f>
        <v>0</v>
      </c>
    </row>
    <row r="162" spans="1:4">
      <c r="A162">
        <f>DSDV!B167</f>
        <v>0</v>
      </c>
      <c r="B162">
        <f>DSDV!G167</f>
        <v>0</v>
      </c>
      <c r="C162" s="288">
        <f>DSDV!K167</f>
        <v>0</v>
      </c>
      <c r="D162" s="289">
        <f>DSDV!W167</f>
        <v>0</v>
      </c>
    </row>
    <row r="163" spans="1:4">
      <c r="A163">
        <f>DSDV!B168</f>
        <v>0</v>
      </c>
      <c r="B163">
        <f>DSDV!G168</f>
        <v>0</v>
      </c>
      <c r="C163" s="288">
        <f>DSDV!K168</f>
        <v>0</v>
      </c>
      <c r="D163" s="289">
        <f>DSDV!W168</f>
        <v>0</v>
      </c>
    </row>
    <row r="164" spans="1:4">
      <c r="A164">
        <f>DSDV!B169</f>
        <v>0</v>
      </c>
      <c r="B164">
        <f>DSDV!G169</f>
        <v>0</v>
      </c>
      <c r="C164" s="288">
        <f>DSDV!K169</f>
        <v>0</v>
      </c>
      <c r="D164" s="289">
        <f>DSDV!W169</f>
        <v>0</v>
      </c>
    </row>
    <row r="165" spans="1:4">
      <c r="A165">
        <f>DSDV!B170</f>
        <v>0</v>
      </c>
      <c r="B165">
        <f>DSDV!G170</f>
        <v>0</v>
      </c>
      <c r="C165" s="288">
        <f>DSDV!K170</f>
        <v>0</v>
      </c>
      <c r="D165" s="289">
        <f>DSDV!W170</f>
        <v>0</v>
      </c>
    </row>
    <row r="166" spans="1:4">
      <c r="A166">
        <f>DSDV!B171</f>
        <v>0</v>
      </c>
      <c r="B166">
        <f>DSDV!G171</f>
        <v>0</v>
      </c>
      <c r="C166" s="288">
        <f>DSDV!K171</f>
        <v>0</v>
      </c>
      <c r="D166" s="289">
        <f>DSDV!W171</f>
        <v>0</v>
      </c>
    </row>
    <row r="167" spans="1:4">
      <c r="A167">
        <f>DSDV!B172</f>
        <v>0</v>
      </c>
      <c r="B167">
        <f>DSDV!G172</f>
        <v>0</v>
      </c>
      <c r="C167" s="288">
        <f>DSDV!K172</f>
        <v>0</v>
      </c>
      <c r="D167" s="289">
        <f>DSDV!W172</f>
        <v>0</v>
      </c>
    </row>
    <row r="168" spans="1:4">
      <c r="A168">
        <f>DSDV!B173</f>
        <v>0</v>
      </c>
      <c r="B168">
        <f>DSDV!G173</f>
        <v>0</v>
      </c>
      <c r="C168" s="288">
        <f>DSDV!K173</f>
        <v>0</v>
      </c>
      <c r="D168" s="289">
        <f>DSDV!W173</f>
        <v>0</v>
      </c>
    </row>
    <row r="169" spans="1:4">
      <c r="A169">
        <f>DSDV!B174</f>
        <v>0</v>
      </c>
      <c r="B169">
        <f>DSDV!G174</f>
        <v>0</v>
      </c>
      <c r="C169" s="288">
        <f>DSDV!K174</f>
        <v>0</v>
      </c>
      <c r="D169" s="289">
        <f>DSDV!W174</f>
        <v>0</v>
      </c>
    </row>
    <row r="170" spans="1:4">
      <c r="A170">
        <f>DSDV!B175</f>
        <v>0</v>
      </c>
      <c r="B170">
        <f>DSDV!G175</f>
        <v>0</v>
      </c>
      <c r="C170" s="288">
        <f>DSDV!K175</f>
        <v>0</v>
      </c>
      <c r="D170" s="289">
        <f>DSDV!W175</f>
        <v>0</v>
      </c>
    </row>
    <row r="171" spans="1:4">
      <c r="A171">
        <f>DSDV!B176</f>
        <v>0</v>
      </c>
      <c r="B171">
        <f>DSDV!G176</f>
        <v>0</v>
      </c>
      <c r="C171" s="288">
        <f>DSDV!K176</f>
        <v>0</v>
      </c>
      <c r="D171" s="289">
        <f>DSDV!W176</f>
        <v>0</v>
      </c>
    </row>
    <row r="172" spans="1:4">
      <c r="A172">
        <f>DSDV!B177</f>
        <v>0</v>
      </c>
      <c r="B172">
        <f>DSDV!G177</f>
        <v>0</v>
      </c>
      <c r="C172" s="288">
        <f>DSDV!K177</f>
        <v>0</v>
      </c>
      <c r="D172" s="289">
        <f>DSDV!W177</f>
        <v>0</v>
      </c>
    </row>
    <row r="173" spans="1:4">
      <c r="A173">
        <f>DSDV!B178</f>
        <v>0</v>
      </c>
      <c r="B173">
        <f>DSDV!G178</f>
        <v>0</v>
      </c>
      <c r="C173" s="288">
        <f>DSDV!K178</f>
        <v>0</v>
      </c>
      <c r="D173" s="289">
        <f>DSDV!W178</f>
        <v>0</v>
      </c>
    </row>
    <row r="174" spans="1:4">
      <c r="A174">
        <f>DSDV!B179</f>
        <v>0</v>
      </c>
      <c r="B174">
        <f>DSDV!G179</f>
        <v>0</v>
      </c>
      <c r="C174" s="288">
        <f>DSDV!K179</f>
        <v>0</v>
      </c>
      <c r="D174" s="289">
        <f>DSDV!W179</f>
        <v>0</v>
      </c>
    </row>
    <row r="175" spans="1:4">
      <c r="A175">
        <f>DSDV!B180</f>
        <v>0</v>
      </c>
      <c r="B175">
        <f>DSDV!G180</f>
        <v>0</v>
      </c>
      <c r="C175" s="288">
        <f>DSDV!K180</f>
        <v>0</v>
      </c>
      <c r="D175" s="289">
        <f>DSDV!W180</f>
        <v>0</v>
      </c>
    </row>
    <row r="176" spans="1:4">
      <c r="A176">
        <f>DSDV!B181</f>
        <v>0</v>
      </c>
      <c r="B176">
        <f>DSDV!G181</f>
        <v>0</v>
      </c>
      <c r="C176" s="288">
        <f>DSDV!K181</f>
        <v>0</v>
      </c>
      <c r="D176" s="289">
        <f>DSDV!W181</f>
        <v>0</v>
      </c>
    </row>
    <row r="177" spans="1:4">
      <c r="A177">
        <f>DSDV!B182</f>
        <v>0</v>
      </c>
      <c r="B177">
        <f>DSDV!G182</f>
        <v>0</v>
      </c>
      <c r="C177" s="288">
        <f>DSDV!K182</f>
        <v>0</v>
      </c>
      <c r="D177" s="289">
        <f>DSDV!W182</f>
        <v>0</v>
      </c>
    </row>
    <row r="178" spans="1:4">
      <c r="A178">
        <f>DSDV!B183</f>
        <v>0</v>
      </c>
      <c r="B178">
        <f>DSDV!G183</f>
        <v>0</v>
      </c>
      <c r="C178" s="288">
        <f>DSDV!K183</f>
        <v>0</v>
      </c>
      <c r="D178" s="289">
        <f>DSDV!W183</f>
        <v>0</v>
      </c>
    </row>
    <row r="179" spans="1:4">
      <c r="A179">
        <f>DSDV!B184</f>
        <v>0</v>
      </c>
      <c r="B179">
        <f>DSDV!G184</f>
        <v>0</v>
      </c>
      <c r="C179" s="288">
        <f>DSDV!K184</f>
        <v>0</v>
      </c>
      <c r="D179" s="289">
        <f>DSDV!W184</f>
        <v>0</v>
      </c>
    </row>
    <row r="180" spans="1:4">
      <c r="A180">
        <f>DSDV!B185</f>
        <v>0</v>
      </c>
      <c r="B180">
        <f>DSDV!G185</f>
        <v>0</v>
      </c>
      <c r="C180" s="288">
        <f>DSDV!K185</f>
        <v>0</v>
      </c>
      <c r="D180" s="289">
        <f>DSDV!W185</f>
        <v>0</v>
      </c>
    </row>
    <row r="181" spans="1:4">
      <c r="A181">
        <f>DSDV!B186</f>
        <v>0</v>
      </c>
      <c r="B181">
        <f>DSDV!G186</f>
        <v>0</v>
      </c>
      <c r="C181" s="288">
        <f>DSDV!K186</f>
        <v>0</v>
      </c>
      <c r="D181" s="289">
        <f>DSDV!W186</f>
        <v>0</v>
      </c>
    </row>
    <row r="182" spans="1:4">
      <c r="A182">
        <f>DSDV!B187</f>
        <v>0</v>
      </c>
      <c r="B182">
        <f>DSDV!G187</f>
        <v>0</v>
      </c>
      <c r="C182" s="288">
        <f>DSDV!K187</f>
        <v>0</v>
      </c>
      <c r="D182" s="289">
        <f>DSDV!W187</f>
        <v>0</v>
      </c>
    </row>
    <row r="183" spans="1:4">
      <c r="A183">
        <f>DSDV!B188</f>
        <v>0</v>
      </c>
      <c r="B183">
        <f>DSDV!G188</f>
        <v>0</v>
      </c>
      <c r="C183" s="288">
        <f>DSDV!K188</f>
        <v>0</v>
      </c>
      <c r="D183" s="289">
        <f>DSDV!W188</f>
        <v>0</v>
      </c>
    </row>
    <row r="184" spans="1:4">
      <c r="A184">
        <f>DSDV!B189</f>
        <v>0</v>
      </c>
      <c r="B184">
        <f>DSDV!G189</f>
        <v>0</v>
      </c>
      <c r="C184" s="288">
        <f>DSDV!K189</f>
        <v>0</v>
      </c>
      <c r="D184" s="289">
        <f>DSDV!W189</f>
        <v>0</v>
      </c>
    </row>
    <row r="185" spans="1:4">
      <c r="A185">
        <f>DSDV!B190</f>
        <v>0</v>
      </c>
      <c r="B185">
        <f>DSDV!G190</f>
        <v>0</v>
      </c>
      <c r="C185" s="288">
        <f>DSDV!K190</f>
        <v>0</v>
      </c>
      <c r="D185" s="289">
        <f>DSDV!W190</f>
        <v>0</v>
      </c>
    </row>
    <row r="186" spans="1:4">
      <c r="A186">
        <f>DSDV!B191</f>
        <v>0</v>
      </c>
      <c r="B186">
        <f>DSDV!G191</f>
        <v>0</v>
      </c>
      <c r="C186" s="288">
        <f>DSDV!K191</f>
        <v>0</v>
      </c>
      <c r="D186" s="289">
        <f>DSDV!W191</f>
        <v>0</v>
      </c>
    </row>
    <row r="187" spans="1:4">
      <c r="A187">
        <f>DSDV!B192</f>
        <v>0</v>
      </c>
      <c r="B187">
        <f>DSDV!G192</f>
        <v>0</v>
      </c>
      <c r="C187" s="288">
        <f>DSDV!K192</f>
        <v>0</v>
      </c>
      <c r="D187" s="289">
        <f>DSDV!W192</f>
        <v>0</v>
      </c>
    </row>
    <row r="188" spans="1:4">
      <c r="A188">
        <f>DSDV!B193</f>
        <v>0</v>
      </c>
      <c r="B188">
        <f>DSDV!G193</f>
        <v>0</v>
      </c>
      <c r="C188" s="288">
        <f>DSDV!K193</f>
        <v>0</v>
      </c>
      <c r="D188" s="289">
        <f>DSDV!W193</f>
        <v>0</v>
      </c>
    </row>
    <row r="189" spans="1:4">
      <c r="A189">
        <f>DSDV!B194</f>
        <v>0</v>
      </c>
      <c r="B189">
        <f>DSDV!G194</f>
        <v>0</v>
      </c>
      <c r="C189" s="288">
        <f>DSDV!K194</f>
        <v>0</v>
      </c>
      <c r="D189" s="289">
        <f>DSDV!W194</f>
        <v>0</v>
      </c>
    </row>
    <row r="190" spans="1:4">
      <c r="A190">
        <f>DSDV!B195</f>
        <v>0</v>
      </c>
      <c r="B190">
        <f>DSDV!G195</f>
        <v>0</v>
      </c>
      <c r="C190" s="288">
        <f>DSDV!K195</f>
        <v>0</v>
      </c>
      <c r="D190" s="289">
        <f>DSDV!W195</f>
        <v>0</v>
      </c>
    </row>
    <row r="191" spans="1:4">
      <c r="A191">
        <f>DSDV!B196</f>
        <v>0</v>
      </c>
      <c r="B191">
        <f>DSDV!G196</f>
        <v>0</v>
      </c>
      <c r="C191" s="288">
        <f>DSDV!K196</f>
        <v>0</v>
      </c>
      <c r="D191" s="289">
        <f>DSDV!W196</f>
        <v>0</v>
      </c>
    </row>
    <row r="192" spans="1:4">
      <c r="A192">
        <f>DSDV!B197</f>
        <v>0</v>
      </c>
      <c r="B192">
        <f>DSDV!G197</f>
        <v>0</v>
      </c>
      <c r="C192" s="288">
        <f>DSDV!K197</f>
        <v>0</v>
      </c>
      <c r="D192" s="289">
        <f>DSDV!W197</f>
        <v>0</v>
      </c>
    </row>
    <row r="193" spans="1:4">
      <c r="A193">
        <f>DSDV!B198</f>
        <v>0</v>
      </c>
      <c r="B193">
        <f>DSDV!G198</f>
        <v>0</v>
      </c>
      <c r="C193" s="288">
        <f>DSDV!K198</f>
        <v>0</v>
      </c>
      <c r="D193" s="289">
        <f>DSDV!W198</f>
        <v>0</v>
      </c>
    </row>
    <row r="194" spans="1:4">
      <c r="A194">
        <f>DSDV!B199</f>
        <v>0</v>
      </c>
      <c r="B194">
        <f>DSDV!G199</f>
        <v>0</v>
      </c>
      <c r="C194" s="288">
        <f>DSDV!K199</f>
        <v>0</v>
      </c>
      <c r="D194" s="289">
        <f>DSDV!W199</f>
        <v>0</v>
      </c>
    </row>
    <row r="195" spans="1:4">
      <c r="A195">
        <f>DSDV!B200</f>
        <v>0</v>
      </c>
      <c r="B195">
        <f>DSDV!G200</f>
        <v>0</v>
      </c>
      <c r="C195" s="288">
        <f>DSDV!K200</f>
        <v>0</v>
      </c>
      <c r="D195" s="289">
        <f>DSDV!W200</f>
        <v>0</v>
      </c>
    </row>
    <row r="196" spans="1:4">
      <c r="A196">
        <f>DSDV!B201</f>
        <v>0</v>
      </c>
      <c r="B196">
        <f>DSDV!G201</f>
        <v>0</v>
      </c>
      <c r="C196" s="288">
        <f>DSDV!K201</f>
        <v>0</v>
      </c>
      <c r="D196" s="289">
        <f>DSDV!W201</f>
        <v>0</v>
      </c>
    </row>
    <row r="197" spans="1:4">
      <c r="A197">
        <f>DSDV!B202</f>
        <v>0</v>
      </c>
      <c r="B197">
        <f>DSDV!G202</f>
        <v>0</v>
      </c>
      <c r="C197" s="288">
        <f>DSDV!K202</f>
        <v>0</v>
      </c>
      <c r="D197" s="289">
        <f>DSDV!W202</f>
        <v>0</v>
      </c>
    </row>
    <row r="198" spans="1:4">
      <c r="A198">
        <f>DSDV!B203</f>
        <v>0</v>
      </c>
      <c r="B198">
        <f>DSDV!G203</f>
        <v>0</v>
      </c>
      <c r="C198" s="288">
        <f>DSDV!K203</f>
        <v>0</v>
      </c>
      <c r="D198" s="289">
        <f>DSDV!W203</f>
        <v>0</v>
      </c>
    </row>
    <row r="199" spans="1:4">
      <c r="A199">
        <f>DSDV!B204</f>
        <v>0</v>
      </c>
      <c r="B199">
        <f>DSDV!G204</f>
        <v>0</v>
      </c>
      <c r="C199" s="288">
        <f>DSDV!K204</f>
        <v>0</v>
      </c>
      <c r="D199" s="289">
        <f>DSDV!W204</f>
        <v>0</v>
      </c>
    </row>
    <row r="200" spans="1:4">
      <c r="A200">
        <f>DSDV!B205</f>
        <v>0</v>
      </c>
      <c r="B200">
        <f>DSDV!G205</f>
        <v>0</v>
      </c>
      <c r="C200" s="288">
        <f>DSDV!K205</f>
        <v>0</v>
      </c>
      <c r="D200" s="289">
        <f>DSDV!W205</f>
        <v>0</v>
      </c>
    </row>
    <row r="201" spans="1:4">
      <c r="A201">
        <f>DSDV!B206</f>
        <v>0</v>
      </c>
      <c r="B201">
        <f>DSDV!G206</f>
        <v>0</v>
      </c>
      <c r="C201" s="288">
        <f>DSDV!K206</f>
        <v>0</v>
      </c>
      <c r="D201" s="289">
        <f>DSDV!W206</f>
        <v>0</v>
      </c>
    </row>
    <row r="202" spans="1:4">
      <c r="A202">
        <f>DSDV!B207</f>
        <v>0</v>
      </c>
      <c r="B202">
        <f>DSDV!G207</f>
        <v>0</v>
      </c>
      <c r="C202" s="288">
        <f>DSDV!K207</f>
        <v>0</v>
      </c>
      <c r="D202" s="289">
        <f>DSDV!W207</f>
        <v>0</v>
      </c>
    </row>
    <row r="203" spans="1:4">
      <c r="A203">
        <f>DSDV!B208</f>
        <v>0</v>
      </c>
      <c r="B203">
        <f>DSDV!G208</f>
        <v>0</v>
      </c>
      <c r="C203" s="288">
        <f>DSDV!K208</f>
        <v>0</v>
      </c>
      <c r="D203" s="289">
        <f>DSDV!W208</f>
        <v>0</v>
      </c>
    </row>
    <row r="204" spans="1:4">
      <c r="A204">
        <f>DSDV!B209</f>
        <v>0</v>
      </c>
      <c r="B204">
        <f>DSDV!G209</f>
        <v>0</v>
      </c>
      <c r="C204" s="288">
        <f>DSDV!K209</f>
        <v>0</v>
      </c>
      <c r="D204" s="289">
        <f>DSDV!W209</f>
        <v>0</v>
      </c>
    </row>
    <row r="205" spans="1:4">
      <c r="A205">
        <f>DSDV!B210</f>
        <v>0</v>
      </c>
      <c r="B205">
        <f>DSDV!G210</f>
        <v>0</v>
      </c>
      <c r="C205" s="288">
        <f>DSDV!K210</f>
        <v>0</v>
      </c>
      <c r="D205" s="289">
        <f>DSDV!W210</f>
        <v>0</v>
      </c>
    </row>
    <row r="206" spans="1:4">
      <c r="A206">
        <f>DSDV!B211</f>
        <v>0</v>
      </c>
      <c r="B206">
        <f>DSDV!G211</f>
        <v>0</v>
      </c>
      <c r="C206" s="288">
        <f>DSDV!K211</f>
        <v>0</v>
      </c>
      <c r="D206" s="289">
        <f>DSDV!W211</f>
        <v>0</v>
      </c>
    </row>
    <row r="207" spans="1:4">
      <c r="A207">
        <f>DSDV!B212</f>
        <v>0</v>
      </c>
      <c r="B207">
        <f>DSDV!G212</f>
        <v>0</v>
      </c>
      <c r="C207" s="288">
        <f>DSDV!K212</f>
        <v>0</v>
      </c>
      <c r="D207" s="289">
        <f>DSDV!W212</f>
        <v>0</v>
      </c>
    </row>
    <row r="208" spans="1:4">
      <c r="A208">
        <f>DSDV!B213</f>
        <v>0</v>
      </c>
      <c r="B208">
        <f>DSDV!G213</f>
        <v>0</v>
      </c>
      <c r="C208" s="288">
        <f>DSDV!K213</f>
        <v>0</v>
      </c>
      <c r="D208" s="289">
        <f>DSDV!W213</f>
        <v>0</v>
      </c>
    </row>
    <row r="209" spans="1:4">
      <c r="A209">
        <f>DSDV!B214</f>
        <v>0</v>
      </c>
      <c r="B209">
        <f>DSDV!G214</f>
        <v>0</v>
      </c>
      <c r="C209" s="288">
        <f>DSDV!K214</f>
        <v>0</v>
      </c>
      <c r="D209" s="289">
        <f>DSDV!W214</f>
        <v>0</v>
      </c>
    </row>
    <row r="210" spans="1:4">
      <c r="A210">
        <f>DSDV!B215</f>
        <v>0</v>
      </c>
      <c r="B210">
        <f>DSDV!G215</f>
        <v>0</v>
      </c>
      <c r="C210" s="288">
        <f>DSDV!K215</f>
        <v>0</v>
      </c>
      <c r="D210" s="289">
        <f>DSDV!W215</f>
        <v>0</v>
      </c>
    </row>
    <row r="211" spans="1:4">
      <c r="A211">
        <f>DSDV!B216</f>
        <v>0</v>
      </c>
      <c r="B211">
        <f>DSDV!G216</f>
        <v>0</v>
      </c>
      <c r="C211" s="288">
        <f>DSDV!K216</f>
        <v>0</v>
      </c>
      <c r="D211" s="289">
        <f>DSDV!W216</f>
        <v>0</v>
      </c>
    </row>
    <row r="212" spans="1:4">
      <c r="A212">
        <f>DSDV!B217</f>
        <v>0</v>
      </c>
      <c r="B212">
        <f>DSDV!G217</f>
        <v>0</v>
      </c>
      <c r="C212" s="288">
        <f>DSDV!K217</f>
        <v>0</v>
      </c>
      <c r="D212" s="289">
        <f>DSDV!W217</f>
        <v>0</v>
      </c>
    </row>
    <row r="213" spans="1:4">
      <c r="A213">
        <f>DSDV!B218</f>
        <v>0</v>
      </c>
      <c r="B213">
        <f>DSDV!G218</f>
        <v>0</v>
      </c>
      <c r="C213" s="288">
        <f>DSDV!K218</f>
        <v>0</v>
      </c>
      <c r="D213" s="289">
        <f>DSDV!W218</f>
        <v>0</v>
      </c>
    </row>
    <row r="214" spans="1:4">
      <c r="A214">
        <f>DSDV!B219</f>
        <v>0</v>
      </c>
      <c r="B214">
        <f>DSDV!G219</f>
        <v>0</v>
      </c>
      <c r="C214" s="288">
        <f>DSDV!K219</f>
        <v>0</v>
      </c>
      <c r="D214" s="289">
        <f>DSDV!W219</f>
        <v>0</v>
      </c>
    </row>
    <row r="215" spans="1:4">
      <c r="A215">
        <f>DSDV!B220</f>
        <v>0</v>
      </c>
      <c r="B215">
        <f>DSDV!G220</f>
        <v>0</v>
      </c>
      <c r="C215" s="288">
        <f>DSDV!K220</f>
        <v>0</v>
      </c>
      <c r="D215" s="289">
        <f>DSDV!W220</f>
        <v>0</v>
      </c>
    </row>
    <row r="216" spans="1:4">
      <c r="A216">
        <f>DSDV!B221</f>
        <v>0</v>
      </c>
      <c r="B216">
        <f>DSDV!G221</f>
        <v>0</v>
      </c>
      <c r="C216" s="288">
        <f>DSDV!K221</f>
        <v>0</v>
      </c>
      <c r="D216" s="289">
        <f>DSDV!W221</f>
        <v>0</v>
      </c>
    </row>
    <row r="217" spans="1:4">
      <c r="A217">
        <f>DSDV!B222</f>
        <v>0</v>
      </c>
      <c r="B217">
        <f>DSDV!G222</f>
        <v>0</v>
      </c>
      <c r="C217" s="288">
        <f>DSDV!K222</f>
        <v>0</v>
      </c>
      <c r="D217" s="289">
        <f>DSDV!W222</f>
        <v>0</v>
      </c>
    </row>
    <row r="218" spans="1:4">
      <c r="A218">
        <f>DSDV!B223</f>
        <v>0</v>
      </c>
      <c r="B218">
        <f>DSDV!G223</f>
        <v>0</v>
      </c>
      <c r="C218" s="288">
        <f>DSDV!K223</f>
        <v>0</v>
      </c>
      <c r="D218" s="289">
        <f>DSDV!W223</f>
        <v>0</v>
      </c>
    </row>
    <row r="219" spans="1:4">
      <c r="A219">
        <f>DSDV!B224</f>
        <v>0</v>
      </c>
      <c r="B219">
        <f>DSDV!G224</f>
        <v>0</v>
      </c>
      <c r="C219" s="288">
        <f>DSDV!K224</f>
        <v>0</v>
      </c>
      <c r="D219" s="289">
        <f>DSDV!W224</f>
        <v>0</v>
      </c>
    </row>
    <row r="220" spans="1:4">
      <c r="A220">
        <f>DSDV!B225</f>
        <v>0</v>
      </c>
      <c r="B220">
        <f>DSDV!G225</f>
        <v>0</v>
      </c>
      <c r="C220" s="288">
        <f>DSDV!K225</f>
        <v>0</v>
      </c>
      <c r="D220" s="289">
        <f>DSDV!W225</f>
        <v>0</v>
      </c>
    </row>
    <row r="221" spans="1:4">
      <c r="A221">
        <f>DSDV!B226</f>
        <v>0</v>
      </c>
      <c r="B221">
        <f>DSDV!G226</f>
        <v>0</v>
      </c>
      <c r="C221" s="288">
        <f>DSDV!K226</f>
        <v>0</v>
      </c>
      <c r="D221" s="289">
        <f>DSDV!W226</f>
        <v>0</v>
      </c>
    </row>
    <row r="222" spans="1:4">
      <c r="A222">
        <f>DSDV!B227</f>
        <v>0</v>
      </c>
      <c r="B222">
        <f>DSDV!G227</f>
        <v>0</v>
      </c>
      <c r="C222" s="288">
        <f>DSDV!K227</f>
        <v>0</v>
      </c>
      <c r="D222" s="289">
        <f>DSDV!W227</f>
        <v>0</v>
      </c>
    </row>
    <row r="223" spans="1:4">
      <c r="A223">
        <f>DSDV!B228</f>
        <v>0</v>
      </c>
      <c r="B223">
        <f>DSDV!G228</f>
        <v>0</v>
      </c>
      <c r="C223" s="288">
        <f>DSDV!K228</f>
        <v>0</v>
      </c>
      <c r="D223" s="289">
        <f>DSDV!W228</f>
        <v>0</v>
      </c>
    </row>
    <row r="224" spans="1:4">
      <c r="A224">
        <f>DSDV!B229</f>
        <v>0</v>
      </c>
      <c r="B224">
        <f>DSDV!G229</f>
        <v>0</v>
      </c>
      <c r="C224" s="288">
        <f>DSDV!K229</f>
        <v>0</v>
      </c>
      <c r="D224" s="289">
        <f>DSDV!W229</f>
        <v>0</v>
      </c>
    </row>
    <row r="225" spans="1:4">
      <c r="A225">
        <f>DSDV!B230</f>
        <v>0</v>
      </c>
      <c r="B225">
        <f>DSDV!G230</f>
        <v>0</v>
      </c>
      <c r="C225" s="288">
        <f>DSDV!K230</f>
        <v>0</v>
      </c>
      <c r="D225" s="289">
        <f>DSDV!W230</f>
        <v>0</v>
      </c>
    </row>
    <row r="226" spans="1:4">
      <c r="A226">
        <f>DSDV!B231</f>
        <v>0</v>
      </c>
      <c r="B226">
        <f>DSDV!G231</f>
        <v>0</v>
      </c>
      <c r="C226" s="288">
        <f>DSDV!K231</f>
        <v>0</v>
      </c>
      <c r="D226" s="289">
        <f>DSDV!W231</f>
        <v>0</v>
      </c>
    </row>
    <row r="227" spans="1:4">
      <c r="A227">
        <f>DSDV!B232</f>
        <v>0</v>
      </c>
      <c r="B227">
        <f>DSDV!G232</f>
        <v>0</v>
      </c>
      <c r="C227" s="288">
        <f>DSDV!K232</f>
        <v>0</v>
      </c>
      <c r="D227" s="289">
        <f>DSDV!W232</f>
        <v>0</v>
      </c>
    </row>
    <row r="228" spans="1:4">
      <c r="A228">
        <f>DSDV!B233</f>
        <v>0</v>
      </c>
      <c r="B228">
        <f>DSDV!G233</f>
        <v>0</v>
      </c>
      <c r="C228" s="288">
        <f>DSDV!K233</f>
        <v>0</v>
      </c>
      <c r="D228" s="289">
        <f>DSDV!W233</f>
        <v>0</v>
      </c>
    </row>
    <row r="229" spans="1:4">
      <c r="A229">
        <f>DSDV!B234</f>
        <v>0</v>
      </c>
      <c r="B229">
        <f>DSDV!G234</f>
        <v>0</v>
      </c>
      <c r="C229" s="288">
        <f>DSDV!K234</f>
        <v>0</v>
      </c>
      <c r="D229" s="289">
        <f>DSDV!W234</f>
        <v>0</v>
      </c>
    </row>
    <row r="230" spans="1:4">
      <c r="A230">
        <f>DSDV!B235</f>
        <v>0</v>
      </c>
      <c r="B230">
        <f>DSDV!G235</f>
        <v>0</v>
      </c>
      <c r="C230" s="288">
        <f>DSDV!K235</f>
        <v>0</v>
      </c>
      <c r="D230" s="289">
        <f>DSDV!W235</f>
        <v>0</v>
      </c>
    </row>
    <row r="231" spans="1:4">
      <c r="A231">
        <f>DSDV!B236</f>
        <v>0</v>
      </c>
      <c r="B231">
        <f>DSDV!G236</f>
        <v>0</v>
      </c>
      <c r="C231" s="288">
        <f>DSDV!K236</f>
        <v>0</v>
      </c>
      <c r="D231" s="289">
        <f>DSDV!W236</f>
        <v>0</v>
      </c>
    </row>
    <row r="232" spans="1:4">
      <c r="A232">
        <f>DSDV!B237</f>
        <v>0</v>
      </c>
      <c r="B232">
        <f>DSDV!G237</f>
        <v>0</v>
      </c>
      <c r="C232" s="288">
        <f>DSDV!K237</f>
        <v>0</v>
      </c>
      <c r="D232" s="289">
        <f>DSDV!W237</f>
        <v>0</v>
      </c>
    </row>
    <row r="233" spans="1:4">
      <c r="A233">
        <f>DSDV!B238</f>
        <v>0</v>
      </c>
      <c r="B233">
        <f>DSDV!G238</f>
        <v>0</v>
      </c>
      <c r="C233" s="288">
        <f>DSDV!K238</f>
        <v>0</v>
      </c>
      <c r="D233" s="289">
        <f>DSDV!W238</f>
        <v>0</v>
      </c>
    </row>
    <row r="234" spans="1:4">
      <c r="A234">
        <f>DSDV!B239</f>
        <v>0</v>
      </c>
      <c r="B234">
        <f>DSDV!G239</f>
        <v>0</v>
      </c>
      <c r="C234" s="288">
        <f>DSDV!K239</f>
        <v>0</v>
      </c>
      <c r="D234" s="289">
        <f>DSDV!W239</f>
        <v>0</v>
      </c>
    </row>
    <row r="235" spans="1:4">
      <c r="A235">
        <f>DSDV!B240</f>
        <v>0</v>
      </c>
      <c r="B235">
        <f>DSDV!G240</f>
        <v>0</v>
      </c>
      <c r="C235" s="288">
        <f>DSDV!K240</f>
        <v>0</v>
      </c>
      <c r="D235" s="289">
        <f>DSDV!W240</f>
        <v>0</v>
      </c>
    </row>
    <row r="236" spans="1:4">
      <c r="A236">
        <f>DSDV!B241</f>
        <v>0</v>
      </c>
      <c r="B236">
        <f>DSDV!G241</f>
        <v>0</v>
      </c>
      <c r="C236" s="288">
        <f>DSDV!K241</f>
        <v>0</v>
      </c>
      <c r="D236" s="289">
        <f>DSDV!W241</f>
        <v>0</v>
      </c>
    </row>
    <row r="237" spans="1:4">
      <c r="A237">
        <f>DSDV!B242</f>
        <v>0</v>
      </c>
      <c r="B237">
        <f>DSDV!G242</f>
        <v>0</v>
      </c>
      <c r="C237" s="288">
        <f>DSDV!K242</f>
        <v>0</v>
      </c>
      <c r="D237" s="289">
        <f>DSDV!W242</f>
        <v>0</v>
      </c>
    </row>
    <row r="238" spans="1:4">
      <c r="A238">
        <f>DSDV!B243</f>
        <v>0</v>
      </c>
      <c r="B238">
        <f>DSDV!G243</f>
        <v>0</v>
      </c>
      <c r="C238" s="288">
        <f>DSDV!K243</f>
        <v>0</v>
      </c>
      <c r="D238" s="289">
        <f>DSDV!W243</f>
        <v>0</v>
      </c>
    </row>
    <row r="239" spans="1:4">
      <c r="A239">
        <f>DSDV!B244</f>
        <v>0</v>
      </c>
      <c r="B239">
        <f>DSDV!G244</f>
        <v>0</v>
      </c>
      <c r="C239" s="288">
        <f>DSDV!K244</f>
        <v>0</v>
      </c>
      <c r="D239" s="289">
        <f>DSDV!W244</f>
        <v>0</v>
      </c>
    </row>
    <row r="240" spans="1:4">
      <c r="A240">
        <f>DSDV!B245</f>
        <v>0</v>
      </c>
      <c r="B240">
        <f>DSDV!G245</f>
        <v>0</v>
      </c>
      <c r="C240" s="288">
        <f>DSDV!K245</f>
        <v>0</v>
      </c>
      <c r="D240" s="289">
        <f>DSDV!W245</f>
        <v>0</v>
      </c>
    </row>
    <row r="241" spans="1:4">
      <c r="A241">
        <f>DSDV!B246</f>
        <v>0</v>
      </c>
      <c r="B241">
        <f>DSDV!G246</f>
        <v>0</v>
      </c>
      <c r="C241" s="288">
        <f>DSDV!K246</f>
        <v>0</v>
      </c>
      <c r="D241" s="289">
        <f>DSDV!W246</f>
        <v>0</v>
      </c>
    </row>
    <row r="242" spans="1:4">
      <c r="A242">
        <f>DSDV!B247</f>
        <v>0</v>
      </c>
      <c r="B242">
        <f>DSDV!G247</f>
        <v>0</v>
      </c>
      <c r="C242" s="288">
        <f>DSDV!K247</f>
        <v>0</v>
      </c>
      <c r="D242" s="289">
        <f>DSDV!W247</f>
        <v>0</v>
      </c>
    </row>
    <row r="243" spans="1:4">
      <c r="A243">
        <f>DSDV!B248</f>
        <v>0</v>
      </c>
      <c r="B243">
        <f>DSDV!G248</f>
        <v>0</v>
      </c>
      <c r="C243" s="288">
        <f>DSDV!K248</f>
        <v>0</v>
      </c>
      <c r="D243" s="289">
        <f>DSDV!W248</f>
        <v>0</v>
      </c>
    </row>
    <row r="244" spans="1:4">
      <c r="A244">
        <f>DSDV!B249</f>
        <v>0</v>
      </c>
      <c r="B244">
        <f>DSDV!G249</f>
        <v>0</v>
      </c>
      <c r="C244" s="288">
        <f>DSDV!K249</f>
        <v>0</v>
      </c>
      <c r="D244" s="289">
        <f>DSDV!W249</f>
        <v>0</v>
      </c>
    </row>
    <row r="245" spans="1:4">
      <c r="A245">
        <f>DSDV!B250</f>
        <v>0</v>
      </c>
      <c r="B245">
        <f>DSDV!G250</f>
        <v>0</v>
      </c>
      <c r="C245" s="288">
        <f>DSDV!K250</f>
        <v>0</v>
      </c>
      <c r="D245" s="289">
        <f>DSDV!W250</f>
        <v>0</v>
      </c>
    </row>
    <row r="246" spans="1:4">
      <c r="A246">
        <f>DSDV!B251</f>
        <v>0</v>
      </c>
      <c r="B246">
        <f>DSDV!G251</f>
        <v>0</v>
      </c>
      <c r="C246" s="288">
        <f>DSDV!K251</f>
        <v>0</v>
      </c>
      <c r="D246" s="289">
        <f>DSDV!W251</f>
        <v>0</v>
      </c>
    </row>
    <row r="247" spans="1:4">
      <c r="A247">
        <f>DSDV!B252</f>
        <v>0</v>
      </c>
      <c r="B247">
        <f>DSDV!G252</f>
        <v>0</v>
      </c>
      <c r="C247" s="288">
        <f>DSDV!K252</f>
        <v>0</v>
      </c>
      <c r="D247" s="289">
        <f>DSDV!W252</f>
        <v>0</v>
      </c>
    </row>
    <row r="248" spans="1:4">
      <c r="A248">
        <f>DSDV!B253</f>
        <v>0</v>
      </c>
      <c r="B248">
        <f>DSDV!G253</f>
        <v>0</v>
      </c>
      <c r="C248" s="288">
        <f>DSDV!K253</f>
        <v>0</v>
      </c>
      <c r="D248" s="289">
        <f>DSDV!W253</f>
        <v>0</v>
      </c>
    </row>
    <row r="249" spans="1:4">
      <c r="A249">
        <f>DSDV!B254</f>
        <v>0</v>
      </c>
      <c r="B249">
        <f>DSDV!G254</f>
        <v>0</v>
      </c>
      <c r="C249" s="288">
        <f>DSDV!K254</f>
        <v>0</v>
      </c>
      <c r="D249" s="289">
        <f>DSDV!W254</f>
        <v>0</v>
      </c>
    </row>
    <row r="250" spans="1:4">
      <c r="A250">
        <f>DSDV!B255</f>
        <v>0</v>
      </c>
      <c r="B250">
        <f>DSDV!G255</f>
        <v>0</v>
      </c>
      <c r="C250" s="288">
        <f>DSDV!K255</f>
        <v>0</v>
      </c>
      <c r="D250" s="289">
        <f>DSDV!W255</f>
        <v>0</v>
      </c>
    </row>
    <row r="251" spans="1:4">
      <c r="A251">
        <f>DSDV!B256</f>
        <v>0</v>
      </c>
      <c r="B251">
        <f>DSDV!G256</f>
        <v>0</v>
      </c>
      <c r="C251" s="288">
        <f>DSDV!K256</f>
        <v>0</v>
      </c>
      <c r="D251" s="289">
        <f>DSDV!W256</f>
        <v>0</v>
      </c>
    </row>
    <row r="252" spans="1:4">
      <c r="A252">
        <f>DSDV!B257</f>
        <v>0</v>
      </c>
      <c r="B252">
        <f>DSDV!G257</f>
        <v>0</v>
      </c>
      <c r="C252" s="288">
        <f>DSDV!K257</f>
        <v>0</v>
      </c>
      <c r="D252" s="289">
        <f>DSDV!W257</f>
        <v>0</v>
      </c>
    </row>
    <row r="253" spans="1:4">
      <c r="A253">
        <f>DSDV!B258</f>
        <v>0</v>
      </c>
      <c r="B253">
        <f>DSDV!G258</f>
        <v>0</v>
      </c>
      <c r="C253" s="288">
        <f>DSDV!K258</f>
        <v>0</v>
      </c>
      <c r="D253" s="289">
        <f>DSDV!W258</f>
        <v>0</v>
      </c>
    </row>
    <row r="254" spans="1:4">
      <c r="A254">
        <f>DSDV!B259</f>
        <v>0</v>
      </c>
      <c r="B254">
        <f>DSDV!G259</f>
        <v>0</v>
      </c>
      <c r="C254" s="288">
        <f>DSDV!K259</f>
        <v>0</v>
      </c>
      <c r="D254" s="289">
        <f>DSDV!W259</f>
        <v>0</v>
      </c>
    </row>
    <row r="255" spans="1:4">
      <c r="A255">
        <f>DSDV!B260</f>
        <v>0</v>
      </c>
      <c r="B255">
        <f>DSDV!G260</f>
        <v>0</v>
      </c>
      <c r="C255" s="288">
        <f>DSDV!K260</f>
        <v>0</v>
      </c>
      <c r="D255" s="289">
        <f>DSDV!W260</f>
        <v>0</v>
      </c>
    </row>
    <row r="256" spans="1:4">
      <c r="A256">
        <f>DSDV!B261</f>
        <v>0</v>
      </c>
      <c r="B256">
        <f>DSDV!G261</f>
        <v>0</v>
      </c>
      <c r="C256" s="288">
        <f>DSDV!K261</f>
        <v>0</v>
      </c>
      <c r="D256" s="289">
        <f>DSDV!W261</f>
        <v>0</v>
      </c>
    </row>
    <row r="257" spans="1:4">
      <c r="A257">
        <f>DSDV!B262</f>
        <v>0</v>
      </c>
      <c r="B257">
        <f>DSDV!G262</f>
        <v>0</v>
      </c>
      <c r="C257" s="288">
        <f>DSDV!K262</f>
        <v>0</v>
      </c>
      <c r="D257" s="289">
        <f>DSDV!W262</f>
        <v>0</v>
      </c>
    </row>
    <row r="258" spans="1:4">
      <c r="A258">
        <f>DSDV!B263</f>
        <v>0</v>
      </c>
      <c r="B258">
        <f>DSDV!G263</f>
        <v>0</v>
      </c>
      <c r="C258" s="288">
        <f>DSDV!K263</f>
        <v>0</v>
      </c>
      <c r="D258" s="289">
        <f>DSDV!W263</f>
        <v>0</v>
      </c>
    </row>
    <row r="259" spans="1:4">
      <c r="A259">
        <f>DSDV!B264</f>
        <v>0</v>
      </c>
      <c r="B259">
        <f>DSDV!G264</f>
        <v>0</v>
      </c>
      <c r="C259" s="288">
        <f>DSDV!K264</f>
        <v>0</v>
      </c>
      <c r="D259" s="289">
        <f>DSDV!W264</f>
        <v>0</v>
      </c>
    </row>
    <row r="260" spans="1:4">
      <c r="A260">
        <f>DSDV!B265</f>
        <v>0</v>
      </c>
      <c r="B260">
        <f>DSDV!G265</f>
        <v>0</v>
      </c>
      <c r="C260" s="288">
        <f>DSDV!K265</f>
        <v>0</v>
      </c>
      <c r="D260" s="289">
        <f>DSDV!W265</f>
        <v>0</v>
      </c>
    </row>
    <row r="261" spans="1:4">
      <c r="A261">
        <f>DSDV!B266</f>
        <v>0</v>
      </c>
      <c r="B261">
        <f>DSDV!G266</f>
        <v>0</v>
      </c>
      <c r="C261" s="288">
        <f>DSDV!K266</f>
        <v>0</v>
      </c>
      <c r="D261" s="289">
        <f>DSDV!W266</f>
        <v>0</v>
      </c>
    </row>
    <row r="262" spans="1:4">
      <c r="A262">
        <f>DSDV!B267</f>
        <v>0</v>
      </c>
      <c r="B262">
        <f>DSDV!G267</f>
        <v>0</v>
      </c>
      <c r="C262" s="288">
        <f>DSDV!K267</f>
        <v>0</v>
      </c>
      <c r="D262" s="289">
        <f>DSDV!W267</f>
        <v>0</v>
      </c>
    </row>
    <row r="263" spans="1:4">
      <c r="A263">
        <f>DSDV!B268</f>
        <v>0</v>
      </c>
      <c r="B263">
        <f>DSDV!G268</f>
        <v>0</v>
      </c>
      <c r="C263" s="288">
        <f>DSDV!K268</f>
        <v>0</v>
      </c>
      <c r="D263" s="289">
        <f>DSDV!W268</f>
        <v>0</v>
      </c>
    </row>
    <row r="264" spans="1:4">
      <c r="A264">
        <f>DSDV!B269</f>
        <v>0</v>
      </c>
      <c r="B264">
        <f>DSDV!G269</f>
        <v>0</v>
      </c>
      <c r="C264" s="288">
        <f>DSDV!K269</f>
        <v>0</v>
      </c>
      <c r="D264" s="289">
        <f>DSDV!W269</f>
        <v>0</v>
      </c>
    </row>
    <row r="265" spans="1:4">
      <c r="A265">
        <f>DSDV!B270</f>
        <v>0</v>
      </c>
      <c r="B265">
        <f>DSDV!G270</f>
        <v>0</v>
      </c>
      <c r="C265" s="288">
        <f>DSDV!K270</f>
        <v>0</v>
      </c>
      <c r="D265" s="289">
        <f>DSDV!W270</f>
        <v>0</v>
      </c>
    </row>
    <row r="266" spans="1:4">
      <c r="A266">
        <f>DSDV!B271</f>
        <v>0</v>
      </c>
      <c r="B266">
        <f>DSDV!G271</f>
        <v>0</v>
      </c>
      <c r="C266" s="288">
        <f>DSDV!K271</f>
        <v>0</v>
      </c>
      <c r="D266" s="289">
        <f>DSDV!W271</f>
        <v>0</v>
      </c>
    </row>
    <row r="267" spans="1:4">
      <c r="A267">
        <f>DSDV!B272</f>
        <v>0</v>
      </c>
      <c r="B267">
        <f>DSDV!G272</f>
        <v>0</v>
      </c>
      <c r="C267" s="288">
        <f>DSDV!K272</f>
        <v>0</v>
      </c>
      <c r="D267" s="289">
        <f>DSDV!W272</f>
        <v>0</v>
      </c>
    </row>
    <row r="268" spans="1:4">
      <c r="A268">
        <f>DSDV!B273</f>
        <v>0</v>
      </c>
      <c r="B268">
        <f>DSDV!G273</f>
        <v>0</v>
      </c>
      <c r="C268" s="288">
        <f>DSDV!K273</f>
        <v>0</v>
      </c>
      <c r="D268" s="289">
        <f>DSDV!W273</f>
        <v>0</v>
      </c>
    </row>
    <row r="269" spans="1:4">
      <c r="A269">
        <f>DSDV!B274</f>
        <v>0</v>
      </c>
      <c r="B269">
        <f>DSDV!G274</f>
        <v>0</v>
      </c>
      <c r="C269" s="288">
        <f>DSDV!K274</f>
        <v>0</v>
      </c>
      <c r="D269" s="289">
        <f>DSDV!W274</f>
        <v>0</v>
      </c>
    </row>
    <row r="270" spans="1:4">
      <c r="A270">
        <f>DSDV!B275</f>
        <v>0</v>
      </c>
      <c r="B270">
        <f>DSDV!G275</f>
        <v>0</v>
      </c>
      <c r="C270" s="288">
        <f>DSDV!K275</f>
        <v>0</v>
      </c>
      <c r="D270" s="289">
        <f>DSDV!W275</f>
        <v>0</v>
      </c>
    </row>
    <row r="271" spans="1:4">
      <c r="A271">
        <f>DSDV!B276</f>
        <v>0</v>
      </c>
      <c r="B271">
        <f>DSDV!G276</f>
        <v>0</v>
      </c>
      <c r="C271" s="288">
        <f>DSDV!K276</f>
        <v>0</v>
      </c>
      <c r="D271" s="289">
        <f>DSDV!W276</f>
        <v>0</v>
      </c>
    </row>
    <row r="272" spans="1:4">
      <c r="A272">
        <f>DSDV!B277</f>
        <v>0</v>
      </c>
      <c r="B272">
        <f>DSDV!G277</f>
        <v>0</v>
      </c>
      <c r="C272" s="288">
        <f>DSDV!K277</f>
        <v>0</v>
      </c>
      <c r="D272" s="289">
        <f>DSDV!W277</f>
        <v>0</v>
      </c>
    </row>
    <row r="273" spans="1:4">
      <c r="A273">
        <f>DSDV!B278</f>
        <v>0</v>
      </c>
      <c r="B273">
        <f>DSDV!G278</f>
        <v>0</v>
      </c>
      <c r="C273" s="288">
        <f>DSDV!K278</f>
        <v>0</v>
      </c>
      <c r="D273" s="289">
        <f>DSDV!W278</f>
        <v>0</v>
      </c>
    </row>
    <row r="274" spans="1:4">
      <c r="A274">
        <f>DSDV!B279</f>
        <v>0</v>
      </c>
      <c r="B274">
        <f>DSDV!G279</f>
        <v>0</v>
      </c>
      <c r="C274" s="288">
        <f>DSDV!K279</f>
        <v>0</v>
      </c>
      <c r="D274" s="289">
        <f>DSDV!W279</f>
        <v>0</v>
      </c>
    </row>
    <row r="275" spans="1:4">
      <c r="A275">
        <f>DSDV!B280</f>
        <v>0</v>
      </c>
      <c r="B275">
        <f>DSDV!G280</f>
        <v>0</v>
      </c>
      <c r="C275" s="288">
        <f>DSDV!K280</f>
        <v>0</v>
      </c>
      <c r="D275" s="289">
        <f>DSDV!W280</f>
        <v>0</v>
      </c>
    </row>
    <row r="276" spans="1:4">
      <c r="A276">
        <f>DSDV!B281</f>
        <v>0</v>
      </c>
      <c r="B276">
        <f>DSDV!G281</f>
        <v>0</v>
      </c>
      <c r="C276" s="288">
        <f>DSDV!K281</f>
        <v>0</v>
      </c>
      <c r="D276" s="289">
        <f>DSDV!W281</f>
        <v>0</v>
      </c>
    </row>
    <row r="277" spans="1:4">
      <c r="A277">
        <f>DSDV!B282</f>
        <v>0</v>
      </c>
      <c r="B277">
        <f>DSDV!G282</f>
        <v>0</v>
      </c>
      <c r="C277" s="288">
        <f>DSDV!K282</f>
        <v>0</v>
      </c>
      <c r="D277" s="289">
        <f>DSDV!W282</f>
        <v>0</v>
      </c>
    </row>
    <row r="278" spans="1:4">
      <c r="A278">
        <f>DSDV!B283</f>
        <v>0</v>
      </c>
      <c r="B278">
        <f>DSDV!G283</f>
        <v>0</v>
      </c>
      <c r="C278" s="288">
        <f>DSDV!K283</f>
        <v>0</v>
      </c>
      <c r="D278" s="289">
        <f>DSDV!W283</f>
        <v>0</v>
      </c>
    </row>
    <row r="279" spans="1:4">
      <c r="A279">
        <f>DSDV!B284</f>
        <v>0</v>
      </c>
      <c r="B279">
        <f>DSDV!G284</f>
        <v>0</v>
      </c>
      <c r="C279" s="288">
        <f>DSDV!K284</f>
        <v>0</v>
      </c>
      <c r="D279" s="289">
        <f>DSDV!W284</f>
        <v>0</v>
      </c>
    </row>
    <row r="280" spans="1:4">
      <c r="A280">
        <f>DSDV!B285</f>
        <v>0</v>
      </c>
      <c r="B280">
        <f>DSDV!G285</f>
        <v>0</v>
      </c>
      <c r="C280" s="288">
        <f>DSDV!K285</f>
        <v>0</v>
      </c>
      <c r="D280" s="289">
        <f>DSDV!W285</f>
        <v>0</v>
      </c>
    </row>
    <row r="281" spans="1:4">
      <c r="A281">
        <f>DSDV!B286</f>
        <v>0</v>
      </c>
      <c r="B281">
        <f>DSDV!G286</f>
        <v>0</v>
      </c>
      <c r="C281" s="288">
        <f>DSDV!K286</f>
        <v>0</v>
      </c>
      <c r="D281" s="289">
        <f>DSDV!W286</f>
        <v>0</v>
      </c>
    </row>
    <row r="282" spans="1:4">
      <c r="A282">
        <f>DSDV!B287</f>
        <v>0</v>
      </c>
      <c r="B282">
        <f>DSDV!G287</f>
        <v>0</v>
      </c>
      <c r="C282" s="288">
        <f>DSDV!K287</f>
        <v>0</v>
      </c>
      <c r="D282" s="289">
        <f>DSDV!W287</f>
        <v>0</v>
      </c>
    </row>
    <row r="283" spans="1:4">
      <c r="A283">
        <f>DSDV!B288</f>
        <v>0</v>
      </c>
      <c r="B283">
        <f>DSDV!G288</f>
        <v>0</v>
      </c>
      <c r="C283" s="288">
        <f>DSDV!K288</f>
        <v>0</v>
      </c>
      <c r="D283" s="289">
        <f>DSDV!W288</f>
        <v>0</v>
      </c>
    </row>
    <row r="284" spans="1:4">
      <c r="A284">
        <f>DSDV!B289</f>
        <v>0</v>
      </c>
      <c r="B284">
        <f>DSDV!G289</f>
        <v>0</v>
      </c>
      <c r="C284" s="288">
        <f>DSDV!K289</f>
        <v>0</v>
      </c>
      <c r="D284" s="289">
        <f>DSDV!W289</f>
        <v>0</v>
      </c>
    </row>
    <row r="285" spans="1:4">
      <c r="A285">
        <f>DSDV!B290</f>
        <v>0</v>
      </c>
      <c r="B285">
        <f>DSDV!G290</f>
        <v>0</v>
      </c>
      <c r="C285" s="288">
        <f>DSDV!K290</f>
        <v>0</v>
      </c>
      <c r="D285" s="289">
        <f>DSDV!W290</f>
        <v>0</v>
      </c>
    </row>
    <row r="286" spans="1:4">
      <c r="A286">
        <f>DSDV!B291</f>
        <v>0</v>
      </c>
      <c r="B286">
        <f>DSDV!G291</f>
        <v>0</v>
      </c>
      <c r="C286" s="288">
        <f>DSDV!K291</f>
        <v>0</v>
      </c>
      <c r="D286" s="289">
        <f>DSDV!W291</f>
        <v>0</v>
      </c>
    </row>
    <row r="287" spans="1:4">
      <c r="A287">
        <f>DSDV!B292</f>
        <v>0</v>
      </c>
      <c r="B287">
        <f>DSDV!G292</f>
        <v>0</v>
      </c>
      <c r="C287" s="288">
        <f>DSDV!K292</f>
        <v>0</v>
      </c>
      <c r="D287" s="289">
        <f>DSDV!W292</f>
        <v>0</v>
      </c>
    </row>
    <row r="288" spans="1:4">
      <c r="A288">
        <f>DSDV!B293</f>
        <v>0</v>
      </c>
      <c r="B288">
        <f>DSDV!G293</f>
        <v>0</v>
      </c>
      <c r="C288" s="288">
        <f>DSDV!K293</f>
        <v>0</v>
      </c>
      <c r="D288" s="289">
        <f>DSDV!W293</f>
        <v>0</v>
      </c>
    </row>
    <row r="289" spans="1:4">
      <c r="A289">
        <f>DSDV!B294</f>
        <v>0</v>
      </c>
      <c r="B289">
        <f>DSDV!G294</f>
        <v>0</v>
      </c>
      <c r="C289" s="288">
        <f>DSDV!K294</f>
        <v>0</v>
      </c>
      <c r="D289" s="289">
        <f>DSDV!W294</f>
        <v>0</v>
      </c>
    </row>
    <row r="290" spans="1:4">
      <c r="A290">
        <f>DSDV!B295</f>
        <v>0</v>
      </c>
      <c r="B290">
        <f>DSDV!G295</f>
        <v>0</v>
      </c>
      <c r="C290" s="288">
        <f>DSDV!K295</f>
        <v>0</v>
      </c>
      <c r="D290" s="289">
        <f>DSDV!W295</f>
        <v>0</v>
      </c>
    </row>
    <row r="291" spans="1:4">
      <c r="A291">
        <f>DSDV!B296</f>
        <v>0</v>
      </c>
      <c r="B291">
        <f>DSDV!G296</f>
        <v>0</v>
      </c>
      <c r="C291" s="288">
        <f>DSDV!K296</f>
        <v>0</v>
      </c>
      <c r="D291" s="289">
        <f>DSDV!W296</f>
        <v>0</v>
      </c>
    </row>
    <row r="292" spans="1:4">
      <c r="A292">
        <f>DSDV!B297</f>
        <v>0</v>
      </c>
      <c r="B292">
        <f>DSDV!G297</f>
        <v>0</v>
      </c>
      <c r="C292" s="288">
        <f>DSDV!K297</f>
        <v>0</v>
      </c>
      <c r="D292" s="289">
        <f>DSDV!W297</f>
        <v>0</v>
      </c>
    </row>
    <row r="293" spans="1:4">
      <c r="A293">
        <f>DSDV!B298</f>
        <v>0</v>
      </c>
      <c r="B293">
        <f>DSDV!G298</f>
        <v>0</v>
      </c>
      <c r="C293" s="288">
        <f>DSDV!K298</f>
        <v>0</v>
      </c>
      <c r="D293" s="289">
        <f>DSDV!W298</f>
        <v>0</v>
      </c>
    </row>
    <row r="294" spans="1:4">
      <c r="A294">
        <f>DSDV!B299</f>
        <v>0</v>
      </c>
      <c r="B294">
        <f>DSDV!G299</f>
        <v>0</v>
      </c>
      <c r="C294" s="288">
        <f>DSDV!K299</f>
        <v>0</v>
      </c>
      <c r="D294" s="289">
        <f>DSDV!W299</f>
        <v>0</v>
      </c>
    </row>
    <row r="295" spans="1:4">
      <c r="A295">
        <f>DSDV!B300</f>
        <v>0</v>
      </c>
      <c r="B295">
        <f>DSDV!G300</f>
        <v>0</v>
      </c>
      <c r="C295" s="288">
        <f>DSDV!K300</f>
        <v>0</v>
      </c>
      <c r="D295" s="289">
        <f>DSDV!W300</f>
        <v>0</v>
      </c>
    </row>
    <row r="296" spans="1:4">
      <c r="A296">
        <f>DSDV!B301</f>
        <v>0</v>
      </c>
      <c r="B296">
        <f>DSDV!G301</f>
        <v>0</v>
      </c>
      <c r="C296" s="288">
        <f>DSDV!K301</f>
        <v>0</v>
      </c>
      <c r="D296" s="289">
        <f>DSDV!W301</f>
        <v>0</v>
      </c>
    </row>
    <row r="297" spans="1:4">
      <c r="A297">
        <f>DSDV!B302</f>
        <v>0</v>
      </c>
      <c r="B297">
        <f>DSDV!G302</f>
        <v>0</v>
      </c>
      <c r="C297" s="288">
        <f>DSDV!K302</f>
        <v>0</v>
      </c>
      <c r="D297" s="289">
        <f>DSDV!W302</f>
        <v>0</v>
      </c>
    </row>
    <row r="298" spans="1:4">
      <c r="A298">
        <f>DSDV!B303</f>
        <v>0</v>
      </c>
      <c r="B298">
        <f>DSDV!G303</f>
        <v>0</v>
      </c>
      <c r="C298" s="288">
        <f>DSDV!K303</f>
        <v>0</v>
      </c>
      <c r="D298" s="289">
        <f>DSDV!W303</f>
        <v>0</v>
      </c>
    </row>
    <row r="299" spans="1:4">
      <c r="A299">
        <f>DSDV!B304</f>
        <v>0</v>
      </c>
      <c r="B299">
        <f>DSDV!G304</f>
        <v>0</v>
      </c>
      <c r="C299" s="288">
        <f>DSDV!K304</f>
        <v>0</v>
      </c>
      <c r="D299" s="289">
        <f>DSDV!W304</f>
        <v>0</v>
      </c>
    </row>
    <row r="300" spans="1:4">
      <c r="A300">
        <f>DSDV!B305</f>
        <v>0</v>
      </c>
      <c r="B300">
        <f>DSDV!G305</f>
        <v>0</v>
      </c>
      <c r="C300" s="288">
        <f>DSDV!K305</f>
        <v>0</v>
      </c>
      <c r="D300" s="289">
        <f>DSDV!W305</f>
        <v>0</v>
      </c>
    </row>
    <row r="301" spans="1:4">
      <c r="A301">
        <f>DSDV!B306</f>
        <v>0</v>
      </c>
      <c r="B301">
        <f>DSDV!G306</f>
        <v>0</v>
      </c>
      <c r="C301" s="288">
        <f>DSDV!K306</f>
        <v>0</v>
      </c>
      <c r="D301" s="289">
        <f>DSDV!W306</f>
        <v>0</v>
      </c>
    </row>
    <row r="302" spans="1:4">
      <c r="A302">
        <f>DSDV!B307</f>
        <v>0</v>
      </c>
      <c r="B302">
        <f>DSDV!G307</f>
        <v>0</v>
      </c>
      <c r="C302" s="288">
        <f>DSDV!K307</f>
        <v>0</v>
      </c>
      <c r="D302" s="289">
        <f>DSDV!W307</f>
        <v>0</v>
      </c>
    </row>
    <row r="303" spans="1:4">
      <c r="A303">
        <f>DSDV!B308</f>
        <v>0</v>
      </c>
      <c r="B303">
        <f>DSDV!G308</f>
        <v>0</v>
      </c>
      <c r="C303" s="288">
        <f>DSDV!K308</f>
        <v>0</v>
      </c>
      <c r="D303" s="289">
        <f>DSDV!W308</f>
        <v>0</v>
      </c>
    </row>
    <row r="304" spans="1:4">
      <c r="A304">
        <f>DSDV!B309</f>
        <v>0</v>
      </c>
      <c r="B304">
        <f>DSDV!G309</f>
        <v>0</v>
      </c>
      <c r="C304" s="288">
        <f>DSDV!K309</f>
        <v>0</v>
      </c>
      <c r="D304" s="289">
        <f>DSDV!W309</f>
        <v>0</v>
      </c>
    </row>
    <row r="305" spans="1:4">
      <c r="A305">
        <f>DSDV!B310</f>
        <v>0</v>
      </c>
      <c r="B305">
        <f>DSDV!G310</f>
        <v>0</v>
      </c>
      <c r="C305" s="288">
        <f>DSDV!K310</f>
        <v>0</v>
      </c>
      <c r="D305" s="289">
        <f>DSDV!W310</f>
        <v>0</v>
      </c>
    </row>
    <row r="306" spans="1:4">
      <c r="A306">
        <f>DSDV!B311</f>
        <v>0</v>
      </c>
      <c r="B306">
        <f>DSDV!G311</f>
        <v>0</v>
      </c>
      <c r="C306" s="288">
        <f>DSDV!K311</f>
        <v>0</v>
      </c>
      <c r="D306" s="289">
        <f>DSDV!W311</f>
        <v>0</v>
      </c>
    </row>
    <row r="307" spans="1:4">
      <c r="A307">
        <f>DSDV!B312</f>
        <v>0</v>
      </c>
      <c r="B307">
        <f>DSDV!G312</f>
        <v>0</v>
      </c>
      <c r="C307" s="288">
        <f>DSDV!K312</f>
        <v>0</v>
      </c>
      <c r="D307" s="289">
        <f>DSDV!W312</f>
        <v>0</v>
      </c>
    </row>
    <row r="308" spans="1:4">
      <c r="A308">
        <f>DSDV!B313</f>
        <v>0</v>
      </c>
      <c r="B308">
        <f>DSDV!G313</f>
        <v>0</v>
      </c>
      <c r="C308" s="288">
        <f>DSDV!K313</f>
        <v>0</v>
      </c>
      <c r="D308" s="289">
        <f>DSDV!W313</f>
        <v>0</v>
      </c>
    </row>
    <row r="309" spans="1:4">
      <c r="A309">
        <f>DSDV!B314</f>
        <v>0</v>
      </c>
      <c r="B309">
        <f>DSDV!G314</f>
        <v>0</v>
      </c>
      <c r="C309" s="288">
        <f>DSDV!K314</f>
        <v>0</v>
      </c>
      <c r="D309" s="289">
        <f>DSDV!W314</f>
        <v>0</v>
      </c>
    </row>
    <row r="310" spans="1:4">
      <c r="A310">
        <f>DSDV!B315</f>
        <v>0</v>
      </c>
      <c r="B310">
        <f>DSDV!G315</f>
        <v>0</v>
      </c>
      <c r="C310" s="288">
        <f>DSDV!K315</f>
        <v>0</v>
      </c>
      <c r="D310" s="289">
        <f>DSDV!W315</f>
        <v>0</v>
      </c>
    </row>
    <row r="311" spans="1:4">
      <c r="A311">
        <f>DSDV!B316</f>
        <v>0</v>
      </c>
      <c r="B311">
        <f>DSDV!G316</f>
        <v>0</v>
      </c>
      <c r="C311" s="288">
        <f>DSDV!K316</f>
        <v>0</v>
      </c>
      <c r="D311" s="289">
        <f>DSDV!W316</f>
        <v>0</v>
      </c>
    </row>
    <row r="312" spans="1:4">
      <c r="A312">
        <f>DSDV!B317</f>
        <v>0</v>
      </c>
      <c r="B312">
        <f>DSDV!G317</f>
        <v>0</v>
      </c>
      <c r="C312" s="288">
        <f>DSDV!K317</f>
        <v>0</v>
      </c>
      <c r="D312" s="289">
        <f>DSDV!W317</f>
        <v>0</v>
      </c>
    </row>
    <row r="313" spans="1:4">
      <c r="A313">
        <f>DSDV!B318</f>
        <v>0</v>
      </c>
      <c r="B313">
        <f>DSDV!G318</f>
        <v>0</v>
      </c>
      <c r="C313" s="288">
        <f>DSDV!K318</f>
        <v>0</v>
      </c>
      <c r="D313" s="289">
        <f>DSDV!W318</f>
        <v>0</v>
      </c>
    </row>
    <row r="314" spans="1:4">
      <c r="A314">
        <f>DSDV!B319</f>
        <v>0</v>
      </c>
      <c r="B314">
        <f>DSDV!G319</f>
        <v>0</v>
      </c>
      <c r="C314" s="288">
        <f>DSDV!K319</f>
        <v>0</v>
      </c>
      <c r="D314" s="289">
        <f>DSDV!W319</f>
        <v>0</v>
      </c>
    </row>
    <row r="315" spans="1:4">
      <c r="A315">
        <f>DSDV!B320</f>
        <v>0</v>
      </c>
      <c r="B315">
        <f>DSDV!G320</f>
        <v>0</v>
      </c>
      <c r="C315" s="288">
        <f>DSDV!K320</f>
        <v>0</v>
      </c>
      <c r="D315" s="289">
        <f>DSDV!W320</f>
        <v>0</v>
      </c>
    </row>
    <row r="316" spans="1:4">
      <c r="A316">
        <f>DSDV!B321</f>
        <v>0</v>
      </c>
      <c r="B316">
        <f>DSDV!G321</f>
        <v>0</v>
      </c>
      <c r="C316" s="288">
        <f>DSDV!K321</f>
        <v>0</v>
      </c>
      <c r="D316" s="289">
        <f>DSDV!W321</f>
        <v>0</v>
      </c>
    </row>
    <row r="317" spans="1:4">
      <c r="A317">
        <f>DSDV!B322</f>
        <v>0</v>
      </c>
      <c r="B317">
        <f>DSDV!G322</f>
        <v>0</v>
      </c>
      <c r="C317" s="288">
        <f>DSDV!K322</f>
        <v>0</v>
      </c>
      <c r="D317" s="289">
        <f>DSDV!W322</f>
        <v>0</v>
      </c>
    </row>
    <row r="318" spans="1:4">
      <c r="A318">
        <f>DSDV!B323</f>
        <v>0</v>
      </c>
      <c r="B318">
        <f>DSDV!G323</f>
        <v>0</v>
      </c>
      <c r="C318" s="288">
        <f>DSDV!K323</f>
        <v>0</v>
      </c>
      <c r="D318" s="289">
        <f>DSDV!W323</f>
        <v>0</v>
      </c>
    </row>
    <row r="319" spans="1:4">
      <c r="A319">
        <f>DSDV!B324</f>
        <v>0</v>
      </c>
      <c r="B319">
        <f>DSDV!G324</f>
        <v>0</v>
      </c>
      <c r="C319" s="288">
        <f>DSDV!K324</f>
        <v>0</v>
      </c>
      <c r="D319" s="289">
        <f>DSDV!W324</f>
        <v>0</v>
      </c>
    </row>
    <row r="320" spans="1:4">
      <c r="A320">
        <f>DSDV!B325</f>
        <v>0</v>
      </c>
      <c r="B320">
        <f>DSDV!G325</f>
        <v>0</v>
      </c>
      <c r="C320" s="288">
        <f>DSDV!K325</f>
        <v>0</v>
      </c>
      <c r="D320" s="289">
        <f>DSDV!W325</f>
        <v>0</v>
      </c>
    </row>
    <row r="321" spans="1:4">
      <c r="A321">
        <f>DSDV!B326</f>
        <v>0</v>
      </c>
      <c r="B321">
        <f>DSDV!G326</f>
        <v>0</v>
      </c>
      <c r="C321" s="288">
        <f>DSDV!K326</f>
        <v>0</v>
      </c>
      <c r="D321" s="289">
        <f>DSDV!W326</f>
        <v>0</v>
      </c>
    </row>
    <row r="322" spans="1:4">
      <c r="A322">
        <f>DSDV!B327</f>
        <v>0</v>
      </c>
      <c r="B322">
        <f>DSDV!G327</f>
        <v>0</v>
      </c>
      <c r="C322" s="288">
        <f>DSDV!K327</f>
        <v>0</v>
      </c>
      <c r="D322" s="289">
        <f>DSDV!W327</f>
        <v>0</v>
      </c>
    </row>
    <row r="323" spans="1:4">
      <c r="A323">
        <f>DSDV!B328</f>
        <v>0</v>
      </c>
      <c r="B323">
        <f>DSDV!G328</f>
        <v>0</v>
      </c>
      <c r="C323" s="288">
        <f>DSDV!K328</f>
        <v>0</v>
      </c>
      <c r="D323" s="289">
        <f>DSDV!W328</f>
        <v>0</v>
      </c>
    </row>
    <row r="324" spans="1:4">
      <c r="A324">
        <f>DSDV!B329</f>
        <v>0</v>
      </c>
      <c r="B324">
        <f>DSDV!G329</f>
        <v>0</v>
      </c>
      <c r="C324" s="288">
        <f>DSDV!K329</f>
        <v>0</v>
      </c>
      <c r="D324" s="289">
        <f>DSDV!W329</f>
        <v>0</v>
      </c>
    </row>
    <row r="325" spans="1:4">
      <c r="A325">
        <f>DSDV!B330</f>
        <v>0</v>
      </c>
      <c r="B325">
        <f>DSDV!G330</f>
        <v>0</v>
      </c>
      <c r="C325" s="288">
        <f>DSDV!K330</f>
        <v>0</v>
      </c>
      <c r="D325" s="289">
        <f>DSDV!W330</f>
        <v>0</v>
      </c>
    </row>
    <row r="326" spans="1:4">
      <c r="A326">
        <f>DSDV!B331</f>
        <v>0</v>
      </c>
      <c r="B326">
        <f>DSDV!G331</f>
        <v>0</v>
      </c>
      <c r="C326" s="288">
        <f>DSDV!K331</f>
        <v>0</v>
      </c>
      <c r="D326" s="289">
        <f>DSDV!W331</f>
        <v>0</v>
      </c>
    </row>
    <row r="327" spans="1:4">
      <c r="A327">
        <f>DSDV!B332</f>
        <v>0</v>
      </c>
      <c r="B327">
        <f>DSDV!G332</f>
        <v>0</v>
      </c>
      <c r="C327" s="288">
        <f>DSDV!K332</f>
        <v>0</v>
      </c>
      <c r="D327" s="289">
        <f>DSDV!W332</f>
        <v>0</v>
      </c>
    </row>
    <row r="328" spans="1:4">
      <c r="A328">
        <f>DSDV!B333</f>
        <v>0</v>
      </c>
      <c r="B328">
        <f>DSDV!G333</f>
        <v>0</v>
      </c>
      <c r="C328" s="288">
        <f>DSDV!K333</f>
        <v>0</v>
      </c>
      <c r="D328" s="289">
        <f>DSDV!W333</f>
        <v>0</v>
      </c>
    </row>
    <row r="329" spans="1:4">
      <c r="A329">
        <f>DSDV!B334</f>
        <v>0</v>
      </c>
      <c r="B329">
        <f>DSDV!G334</f>
        <v>0</v>
      </c>
      <c r="C329" s="288">
        <f>DSDV!K334</f>
        <v>0</v>
      </c>
      <c r="D329" s="289">
        <f>DSDV!W334</f>
        <v>0</v>
      </c>
    </row>
    <row r="330" spans="1:4">
      <c r="A330">
        <f>DSDV!B335</f>
        <v>0</v>
      </c>
      <c r="B330">
        <f>DSDV!G335</f>
        <v>0</v>
      </c>
      <c r="C330" s="288">
        <f>DSDV!K335</f>
        <v>0</v>
      </c>
      <c r="D330" s="289">
        <f>DSDV!W335</f>
        <v>0</v>
      </c>
    </row>
    <row r="331" spans="1:4">
      <c r="A331">
        <f>DSDV!B336</f>
        <v>0</v>
      </c>
      <c r="B331">
        <f>DSDV!G336</f>
        <v>0</v>
      </c>
      <c r="C331" s="288">
        <f>DSDV!K336</f>
        <v>0</v>
      </c>
      <c r="D331" s="289">
        <f>DSDV!W336</f>
        <v>0</v>
      </c>
    </row>
    <row r="332" spans="1:4">
      <c r="A332">
        <f>DSDV!B337</f>
        <v>0</v>
      </c>
      <c r="B332">
        <f>DSDV!G337</f>
        <v>0</v>
      </c>
      <c r="C332" s="288">
        <f>DSDV!K337</f>
        <v>0</v>
      </c>
      <c r="D332" s="289">
        <f>DSDV!W337</f>
        <v>0</v>
      </c>
    </row>
    <row r="333" spans="1:4">
      <c r="A333">
        <f>DSDV!B338</f>
        <v>0</v>
      </c>
      <c r="B333">
        <f>DSDV!G338</f>
        <v>0</v>
      </c>
      <c r="C333" s="288">
        <f>DSDV!K338</f>
        <v>0</v>
      </c>
      <c r="D333" s="289">
        <f>DSDV!W338</f>
        <v>0</v>
      </c>
    </row>
    <row r="334" spans="1:4">
      <c r="A334">
        <f>DSDV!B339</f>
        <v>0</v>
      </c>
      <c r="B334">
        <f>DSDV!G339</f>
        <v>0</v>
      </c>
      <c r="C334" s="288">
        <f>DSDV!K339</f>
        <v>0</v>
      </c>
      <c r="D334" s="289">
        <f>DSDV!W339</f>
        <v>0</v>
      </c>
    </row>
    <row r="335" spans="1:4">
      <c r="A335">
        <f>DSDV!B340</f>
        <v>0</v>
      </c>
      <c r="B335">
        <f>DSDV!G340</f>
        <v>0</v>
      </c>
      <c r="C335" s="288">
        <f>DSDV!K340</f>
        <v>0</v>
      </c>
      <c r="D335" s="289">
        <f>DSDV!W340</f>
        <v>0</v>
      </c>
    </row>
    <row r="336" spans="1:4">
      <c r="A336">
        <f>DSDV!B341</f>
        <v>0</v>
      </c>
      <c r="B336">
        <f>DSDV!G341</f>
        <v>0</v>
      </c>
      <c r="C336" s="288">
        <f>DSDV!K341</f>
        <v>0</v>
      </c>
      <c r="D336" s="289">
        <f>DSDV!W341</f>
        <v>0</v>
      </c>
    </row>
    <row r="337" spans="1:4">
      <c r="A337">
        <f>DSDV!B342</f>
        <v>0</v>
      </c>
      <c r="B337">
        <f>DSDV!G342</f>
        <v>0</v>
      </c>
      <c r="C337" s="288">
        <f>DSDV!K342</f>
        <v>0</v>
      </c>
      <c r="D337" s="289">
        <f>DSDV!W342</f>
        <v>0</v>
      </c>
    </row>
    <row r="338" spans="1:4">
      <c r="A338">
        <f>DSDV!B343</f>
        <v>0</v>
      </c>
      <c r="B338">
        <f>DSDV!G343</f>
        <v>0</v>
      </c>
      <c r="C338" s="288">
        <f>DSDV!K343</f>
        <v>0</v>
      </c>
      <c r="D338" s="289">
        <f>DSDV!W343</f>
        <v>0</v>
      </c>
    </row>
    <row r="339" spans="1:4">
      <c r="A339">
        <f>DSDV!B344</f>
        <v>0</v>
      </c>
      <c r="B339">
        <f>DSDV!G344</f>
        <v>0</v>
      </c>
      <c r="C339" s="288">
        <f>DSDV!K344</f>
        <v>0</v>
      </c>
      <c r="D339" s="289">
        <f>DSDV!W344</f>
        <v>0</v>
      </c>
    </row>
    <row r="340" spans="1:4">
      <c r="A340">
        <f>DSDV!B345</f>
        <v>0</v>
      </c>
      <c r="B340">
        <f>DSDV!G345</f>
        <v>0</v>
      </c>
      <c r="C340" s="288">
        <f>DSDV!K345</f>
        <v>0</v>
      </c>
      <c r="D340" s="289">
        <f>DSDV!W345</f>
        <v>0</v>
      </c>
    </row>
    <row r="341" spans="1:4">
      <c r="A341">
        <f>DSDV!B346</f>
        <v>0</v>
      </c>
      <c r="B341">
        <f>DSDV!G346</f>
        <v>0</v>
      </c>
      <c r="C341" s="288">
        <f>DSDV!K346</f>
        <v>0</v>
      </c>
      <c r="D341" s="289">
        <f>DSDV!W346</f>
        <v>0</v>
      </c>
    </row>
    <row r="342" spans="1:4">
      <c r="A342">
        <f>DSDV!B347</f>
        <v>0</v>
      </c>
      <c r="B342">
        <f>DSDV!G347</f>
        <v>0</v>
      </c>
      <c r="C342" s="288">
        <f>DSDV!K347</f>
        <v>0</v>
      </c>
      <c r="D342" s="289">
        <f>DSDV!W347</f>
        <v>0</v>
      </c>
    </row>
    <row r="343" spans="1:4">
      <c r="A343">
        <f>DSDV!B348</f>
        <v>0</v>
      </c>
      <c r="B343">
        <f>DSDV!G348</f>
        <v>0</v>
      </c>
      <c r="C343" s="288">
        <f>DSDV!K348</f>
        <v>0</v>
      </c>
      <c r="D343" s="289">
        <f>DSDV!W348</f>
        <v>0</v>
      </c>
    </row>
    <row r="344" spans="1:4">
      <c r="A344">
        <f>DSDV!B349</f>
        <v>0</v>
      </c>
      <c r="B344">
        <f>DSDV!G349</f>
        <v>0</v>
      </c>
      <c r="C344" s="288">
        <f>DSDV!K349</f>
        <v>0</v>
      </c>
      <c r="D344" s="289">
        <f>DSDV!W349</f>
        <v>0</v>
      </c>
    </row>
    <row r="345" spans="1:4">
      <c r="A345">
        <f>DSDV!B350</f>
        <v>0</v>
      </c>
      <c r="B345">
        <f>DSDV!G350</f>
        <v>0</v>
      </c>
      <c r="C345" s="288">
        <f>DSDV!K350</f>
        <v>0</v>
      </c>
      <c r="D345" s="289">
        <f>DSDV!W350</f>
        <v>0</v>
      </c>
    </row>
    <row r="346" spans="1:4">
      <c r="A346">
        <f>DSDV!B351</f>
        <v>0</v>
      </c>
      <c r="B346">
        <f>DSDV!G351</f>
        <v>0</v>
      </c>
      <c r="C346" s="288">
        <f>DSDV!K351</f>
        <v>0</v>
      </c>
      <c r="D346" s="289">
        <f>DSDV!W351</f>
        <v>0</v>
      </c>
    </row>
    <row r="347" spans="1:4">
      <c r="A347">
        <f>DSDV!B352</f>
        <v>0</v>
      </c>
      <c r="B347">
        <f>DSDV!G352</f>
        <v>0</v>
      </c>
      <c r="C347" s="288">
        <f>DSDV!K352</f>
        <v>0</v>
      </c>
      <c r="D347" s="289">
        <f>DSDV!W352</f>
        <v>0</v>
      </c>
    </row>
    <row r="348" spans="1:4">
      <c r="A348">
        <f>DSDV!B353</f>
        <v>0</v>
      </c>
      <c r="B348">
        <f>DSDV!G353</f>
        <v>0</v>
      </c>
      <c r="C348" s="288">
        <f>DSDV!K353</f>
        <v>0</v>
      </c>
      <c r="D348" s="289">
        <f>DSDV!W353</f>
        <v>0</v>
      </c>
    </row>
    <row r="349" spans="1:4">
      <c r="A349">
        <f>DSDV!B354</f>
        <v>0</v>
      </c>
      <c r="B349">
        <f>DSDV!G354</f>
        <v>0</v>
      </c>
      <c r="C349" s="288">
        <f>DSDV!K354</f>
        <v>0</v>
      </c>
      <c r="D349" s="289">
        <f>DSDV!W354</f>
        <v>0</v>
      </c>
    </row>
    <row r="350" spans="1:4">
      <c r="A350">
        <f>DSDV!B355</f>
        <v>0</v>
      </c>
      <c r="B350">
        <f>DSDV!G355</f>
        <v>0</v>
      </c>
      <c r="C350" s="288">
        <f>DSDV!K355</f>
        <v>0</v>
      </c>
      <c r="D350" s="289">
        <f>DSDV!W355</f>
        <v>0</v>
      </c>
    </row>
    <row r="351" spans="1:4">
      <c r="A351">
        <f>DSDV!B356</f>
        <v>0</v>
      </c>
      <c r="B351">
        <f>DSDV!G356</f>
        <v>0</v>
      </c>
      <c r="C351" s="288">
        <f>DSDV!K356</f>
        <v>0</v>
      </c>
      <c r="D351" s="289">
        <f>DSDV!W356</f>
        <v>0</v>
      </c>
    </row>
    <row r="352" spans="1:4">
      <c r="A352">
        <f>DSDV!B357</f>
        <v>0</v>
      </c>
      <c r="B352">
        <f>DSDV!G357</f>
        <v>0</v>
      </c>
      <c r="C352" s="288">
        <f>DSDV!K357</f>
        <v>0</v>
      </c>
      <c r="D352" s="289">
        <f>DSDV!W357</f>
        <v>0</v>
      </c>
    </row>
    <row r="353" spans="1:4">
      <c r="A353">
        <f>DSDV!B358</f>
        <v>0</v>
      </c>
      <c r="B353">
        <f>DSDV!G358</f>
        <v>0</v>
      </c>
      <c r="C353" s="288">
        <f>DSDV!K358</f>
        <v>0</v>
      </c>
      <c r="D353" s="289">
        <f>DSDV!W358</f>
        <v>0</v>
      </c>
    </row>
    <row r="354" spans="1:4">
      <c r="A354">
        <f>DSDV!B359</f>
        <v>0</v>
      </c>
      <c r="B354">
        <f>DSDV!G359</f>
        <v>0</v>
      </c>
      <c r="C354" s="288">
        <f>DSDV!K359</f>
        <v>0</v>
      </c>
      <c r="D354" s="289">
        <f>DSDV!W359</f>
        <v>0</v>
      </c>
    </row>
    <row r="355" spans="1:4">
      <c r="A355">
        <f>DSDV!B360</f>
        <v>0</v>
      </c>
      <c r="B355">
        <f>DSDV!G360</f>
        <v>0</v>
      </c>
      <c r="C355" s="288">
        <f>DSDV!K360</f>
        <v>0</v>
      </c>
      <c r="D355" s="289">
        <f>DSDV!W360</f>
        <v>0</v>
      </c>
    </row>
    <row r="356" spans="1:4">
      <c r="A356">
        <f>DSDV!B361</f>
        <v>0</v>
      </c>
      <c r="B356">
        <f>DSDV!G361</f>
        <v>0</v>
      </c>
      <c r="C356" s="288">
        <f>DSDV!K361</f>
        <v>0</v>
      </c>
      <c r="D356" s="289">
        <f>DSDV!W361</f>
        <v>0</v>
      </c>
    </row>
    <row r="357" spans="1:4">
      <c r="A357">
        <f>DSDV!B362</f>
        <v>0</v>
      </c>
      <c r="B357">
        <f>DSDV!G362</f>
        <v>0</v>
      </c>
      <c r="C357" s="288">
        <f>DSDV!K362</f>
        <v>0</v>
      </c>
      <c r="D357" s="289">
        <f>DSDV!W362</f>
        <v>0</v>
      </c>
    </row>
    <row r="358" spans="1:4">
      <c r="A358">
        <f>DSDV!B363</f>
        <v>0</v>
      </c>
      <c r="B358">
        <f>DSDV!G363</f>
        <v>0</v>
      </c>
      <c r="C358" s="288">
        <f>DSDV!K363</f>
        <v>0</v>
      </c>
      <c r="D358" s="289">
        <f>DSDV!W363</f>
        <v>0</v>
      </c>
    </row>
    <row r="359" spans="1:4">
      <c r="A359">
        <f>DSDV!B364</f>
        <v>0</v>
      </c>
      <c r="B359">
        <f>DSDV!G364</f>
        <v>0</v>
      </c>
      <c r="C359" s="288">
        <f>DSDV!K364</f>
        <v>0</v>
      </c>
      <c r="D359" s="289">
        <f>DSDV!W364</f>
        <v>0</v>
      </c>
    </row>
    <row r="360" spans="1:4">
      <c r="A360">
        <f>DSDV!B365</f>
        <v>0</v>
      </c>
      <c r="B360">
        <f>DSDV!G365</f>
        <v>0</v>
      </c>
      <c r="C360" s="288">
        <f>DSDV!K365</f>
        <v>0</v>
      </c>
      <c r="D360" s="289">
        <f>DSDV!W365</f>
        <v>0</v>
      </c>
    </row>
    <row r="361" spans="1:4">
      <c r="A361">
        <f>DSDV!B366</f>
        <v>0</v>
      </c>
      <c r="B361">
        <f>DSDV!G366</f>
        <v>0</v>
      </c>
      <c r="C361" s="288">
        <f>DSDV!K366</f>
        <v>0</v>
      </c>
      <c r="D361" s="289">
        <f>DSDV!W366</f>
        <v>0</v>
      </c>
    </row>
    <row r="362" spans="1:4">
      <c r="A362">
        <f>DSDV!B367</f>
        <v>0</v>
      </c>
      <c r="B362">
        <f>DSDV!G367</f>
        <v>0</v>
      </c>
      <c r="C362" s="288">
        <f>DSDV!K367</f>
        <v>0</v>
      </c>
      <c r="D362" s="289">
        <f>DSDV!W367</f>
        <v>0</v>
      </c>
    </row>
    <row r="363" spans="1:4">
      <c r="A363">
        <f>DSDV!B368</f>
        <v>0</v>
      </c>
      <c r="B363">
        <f>DSDV!G368</f>
        <v>0</v>
      </c>
      <c r="C363" s="288">
        <f>DSDV!K368</f>
        <v>0</v>
      </c>
      <c r="D363" s="289">
        <f>DSDV!W368</f>
        <v>0</v>
      </c>
    </row>
    <row r="364" spans="1:4">
      <c r="A364">
        <f>DSDV!B369</f>
        <v>0</v>
      </c>
      <c r="B364">
        <f>DSDV!G369</f>
        <v>0</v>
      </c>
      <c r="C364" s="288">
        <f>DSDV!K369</f>
        <v>0</v>
      </c>
      <c r="D364" s="289">
        <f>DSDV!W369</f>
        <v>0</v>
      </c>
    </row>
    <row r="365" spans="1:4">
      <c r="A365">
        <f>DSDV!B370</f>
        <v>0</v>
      </c>
      <c r="B365">
        <f>DSDV!G370</f>
        <v>0</v>
      </c>
      <c r="C365" s="288">
        <f>DSDV!K370</f>
        <v>0</v>
      </c>
      <c r="D365" s="289">
        <f>DSDV!W370</f>
        <v>0</v>
      </c>
    </row>
    <row r="366" spans="1:4">
      <c r="A366">
        <f>DSDV!B371</f>
        <v>0</v>
      </c>
      <c r="B366">
        <f>DSDV!G371</f>
        <v>0</v>
      </c>
      <c r="C366" s="288">
        <f>DSDV!K371</f>
        <v>0</v>
      </c>
      <c r="D366" s="289">
        <f>DSDV!W371</f>
        <v>0</v>
      </c>
    </row>
    <row r="367" spans="1:4">
      <c r="A367">
        <f>DSDV!B372</f>
        <v>0</v>
      </c>
      <c r="B367">
        <f>DSDV!G372</f>
        <v>0</v>
      </c>
      <c r="C367" s="288">
        <f>DSDV!K372</f>
        <v>0</v>
      </c>
      <c r="D367" s="289">
        <f>DSDV!W372</f>
        <v>0</v>
      </c>
    </row>
    <row r="368" spans="1:4">
      <c r="A368">
        <f>DSDV!B373</f>
        <v>0</v>
      </c>
      <c r="B368">
        <f>DSDV!G373</f>
        <v>0</v>
      </c>
      <c r="C368" s="288">
        <f>DSDV!K373</f>
        <v>0</v>
      </c>
      <c r="D368" s="289">
        <f>DSDV!W373</f>
        <v>0</v>
      </c>
    </row>
    <row r="369" spans="1:4">
      <c r="A369">
        <f>DSDV!B374</f>
        <v>0</v>
      </c>
      <c r="B369">
        <f>DSDV!G374</f>
        <v>0</v>
      </c>
      <c r="C369" s="288">
        <f>DSDV!K374</f>
        <v>0</v>
      </c>
      <c r="D369" s="289">
        <f>DSDV!W374</f>
        <v>0</v>
      </c>
    </row>
    <row r="370" spans="1:4">
      <c r="A370">
        <f>DSDV!B375</f>
        <v>0</v>
      </c>
      <c r="B370">
        <f>DSDV!G375</f>
        <v>0</v>
      </c>
      <c r="C370" s="288">
        <f>DSDV!K375</f>
        <v>0</v>
      </c>
      <c r="D370" s="289">
        <f>DSDV!W375</f>
        <v>0</v>
      </c>
    </row>
    <row r="371" spans="1:4">
      <c r="A371">
        <f>DSDV!B376</f>
        <v>0</v>
      </c>
      <c r="B371">
        <f>DSDV!G376</f>
        <v>0</v>
      </c>
      <c r="C371" s="288">
        <f>DSDV!K376</f>
        <v>0</v>
      </c>
      <c r="D371" s="289">
        <f>DSDV!W376</f>
        <v>0</v>
      </c>
    </row>
    <row r="372" spans="1:4">
      <c r="A372">
        <f>DSDV!B377</f>
        <v>0</v>
      </c>
      <c r="B372">
        <f>DSDV!G377</f>
        <v>0</v>
      </c>
      <c r="C372" s="288">
        <f>DSDV!K377</f>
        <v>0</v>
      </c>
      <c r="D372" s="289">
        <f>DSDV!W377</f>
        <v>0</v>
      </c>
    </row>
    <row r="373" spans="1:4">
      <c r="A373">
        <f>DSDV!B378</f>
        <v>0</v>
      </c>
      <c r="B373">
        <f>DSDV!G378</f>
        <v>0</v>
      </c>
      <c r="C373" s="288">
        <f>DSDV!K378</f>
        <v>0</v>
      </c>
      <c r="D373" s="289">
        <f>DSDV!W378</f>
        <v>0</v>
      </c>
    </row>
    <row r="374" spans="1:4">
      <c r="A374">
        <f>DSDV!B379</f>
        <v>0</v>
      </c>
      <c r="B374">
        <f>DSDV!G379</f>
        <v>0</v>
      </c>
      <c r="C374" s="288">
        <f>DSDV!K379</f>
        <v>0</v>
      </c>
      <c r="D374" s="289">
        <f>DSDV!W379</f>
        <v>0</v>
      </c>
    </row>
    <row r="375" spans="1:4">
      <c r="A375">
        <f>DSDV!B380</f>
        <v>0</v>
      </c>
      <c r="B375">
        <f>DSDV!G380</f>
        <v>0</v>
      </c>
      <c r="C375" s="288">
        <f>DSDV!K380</f>
        <v>0</v>
      </c>
      <c r="D375" s="289">
        <f>DSDV!W380</f>
        <v>0</v>
      </c>
    </row>
    <row r="376" spans="1:4">
      <c r="A376">
        <f>DSDV!B381</f>
        <v>0</v>
      </c>
      <c r="B376">
        <f>DSDV!G381</f>
        <v>0</v>
      </c>
      <c r="C376" s="288">
        <f>DSDV!K381</f>
        <v>0</v>
      </c>
      <c r="D376" s="289">
        <f>DSDV!W381</f>
        <v>0</v>
      </c>
    </row>
    <row r="377" spans="1:4">
      <c r="A377">
        <f>DSDV!B382</f>
        <v>0</v>
      </c>
      <c r="B377">
        <f>DSDV!G382</f>
        <v>0</v>
      </c>
      <c r="C377" s="288">
        <f>DSDV!K382</f>
        <v>0</v>
      </c>
      <c r="D377" s="289">
        <f>DSDV!W382</f>
        <v>0</v>
      </c>
    </row>
    <row r="378" spans="1:4">
      <c r="A378">
        <f>DSDV!B383</f>
        <v>0</v>
      </c>
      <c r="B378">
        <f>DSDV!G383</f>
        <v>0</v>
      </c>
      <c r="C378" s="288">
        <f>DSDV!K383</f>
        <v>0</v>
      </c>
      <c r="D378" s="289">
        <f>DSDV!W383</f>
        <v>0</v>
      </c>
    </row>
    <row r="379" spans="1:4">
      <c r="A379">
        <f>DSDV!B384</f>
        <v>0</v>
      </c>
      <c r="B379">
        <f>DSDV!G384</f>
        <v>0</v>
      </c>
      <c r="C379" s="288">
        <f>DSDV!K384</f>
        <v>0</v>
      </c>
      <c r="D379" s="289">
        <f>DSDV!W384</f>
        <v>0</v>
      </c>
    </row>
    <row r="380" spans="1:4">
      <c r="A380">
        <f>DSDV!B385</f>
        <v>0</v>
      </c>
      <c r="B380">
        <f>DSDV!G385</f>
        <v>0</v>
      </c>
      <c r="C380" s="288">
        <f>DSDV!K385</f>
        <v>0</v>
      </c>
      <c r="D380" s="289">
        <f>DSDV!W385</f>
        <v>0</v>
      </c>
    </row>
    <row r="381" spans="1:4">
      <c r="A381">
        <f>DSDV!B386</f>
        <v>0</v>
      </c>
      <c r="B381">
        <f>DSDV!G386</f>
        <v>0</v>
      </c>
      <c r="C381" s="288">
        <f>DSDV!K386</f>
        <v>0</v>
      </c>
      <c r="D381" s="289">
        <f>DSDV!W386</f>
        <v>0</v>
      </c>
    </row>
    <row r="382" spans="1:4">
      <c r="A382">
        <f>DSDV!B387</f>
        <v>0</v>
      </c>
      <c r="B382">
        <f>DSDV!G387</f>
        <v>0</v>
      </c>
      <c r="C382" s="288">
        <f>DSDV!K387</f>
        <v>0</v>
      </c>
      <c r="D382" s="289">
        <f>DSDV!W387</f>
        <v>0</v>
      </c>
    </row>
    <row r="383" spans="1:4">
      <c r="A383">
        <f>DSDV!B388</f>
        <v>0</v>
      </c>
      <c r="B383">
        <f>DSDV!G388</f>
        <v>0</v>
      </c>
      <c r="C383" s="288">
        <f>DSDV!K388</f>
        <v>0</v>
      </c>
      <c r="D383" s="289">
        <f>DSDV!W388</f>
        <v>0</v>
      </c>
    </row>
    <row r="384" spans="1:4">
      <c r="A384">
        <f>DSDV!B389</f>
        <v>0</v>
      </c>
      <c r="B384">
        <f>DSDV!G389</f>
        <v>0</v>
      </c>
      <c r="C384" s="288">
        <f>DSDV!K389</f>
        <v>0</v>
      </c>
      <c r="D384" s="289">
        <f>DSDV!W389</f>
        <v>0</v>
      </c>
    </row>
    <row r="385" spans="1:4">
      <c r="A385">
        <f>DSDV!B390</f>
        <v>0</v>
      </c>
      <c r="B385">
        <f>DSDV!G390</f>
        <v>0</v>
      </c>
      <c r="C385" s="288">
        <f>DSDV!K390</f>
        <v>0</v>
      </c>
      <c r="D385" s="289">
        <f>DSDV!W390</f>
        <v>0</v>
      </c>
    </row>
    <row r="386" spans="1:4">
      <c r="A386">
        <f>DSDV!B391</f>
        <v>0</v>
      </c>
      <c r="B386">
        <f>DSDV!G391</f>
        <v>0</v>
      </c>
      <c r="C386" s="288">
        <f>DSDV!K391</f>
        <v>0</v>
      </c>
      <c r="D386" s="289">
        <f>DSDV!W391</f>
        <v>0</v>
      </c>
    </row>
    <row r="387" spans="1:4">
      <c r="A387">
        <f>DSDV!B392</f>
        <v>0</v>
      </c>
      <c r="B387">
        <f>DSDV!G392</f>
        <v>0</v>
      </c>
      <c r="C387" s="288">
        <f>DSDV!K392</f>
        <v>0</v>
      </c>
      <c r="D387" s="289">
        <f>DSDV!W392</f>
        <v>0</v>
      </c>
    </row>
    <row r="388" spans="1:4">
      <c r="A388">
        <f>DSDV!B393</f>
        <v>0</v>
      </c>
      <c r="B388">
        <f>DSDV!G393</f>
        <v>0</v>
      </c>
      <c r="C388" s="288">
        <f>DSDV!K393</f>
        <v>0</v>
      </c>
      <c r="D388" s="289">
        <f>DSDV!W393</f>
        <v>0</v>
      </c>
    </row>
    <row r="389" spans="1:4">
      <c r="A389">
        <f>DSDV!B394</f>
        <v>0</v>
      </c>
      <c r="B389">
        <f>DSDV!G394</f>
        <v>0</v>
      </c>
      <c r="C389" s="288">
        <f>DSDV!K394</f>
        <v>0</v>
      </c>
      <c r="D389" s="289">
        <f>DSDV!W394</f>
        <v>0</v>
      </c>
    </row>
    <row r="390" spans="1:4">
      <c r="A390">
        <f>DSDV!B395</f>
        <v>0</v>
      </c>
      <c r="B390">
        <f>DSDV!G395</f>
        <v>0</v>
      </c>
      <c r="C390" s="288">
        <f>DSDV!K395</f>
        <v>0</v>
      </c>
      <c r="D390" s="289">
        <f>DSDV!W395</f>
        <v>0</v>
      </c>
    </row>
    <row r="391" spans="1:4">
      <c r="A391">
        <f>DSDV!B396</f>
        <v>0</v>
      </c>
      <c r="B391">
        <f>DSDV!G396</f>
        <v>0</v>
      </c>
      <c r="C391" s="288">
        <f>DSDV!K396</f>
        <v>0</v>
      </c>
      <c r="D391" s="289">
        <f>DSDV!W396</f>
        <v>0</v>
      </c>
    </row>
    <row r="392" spans="1:4">
      <c r="A392">
        <f>DSDV!B397</f>
        <v>0</v>
      </c>
      <c r="B392">
        <f>DSDV!G397</f>
        <v>0</v>
      </c>
      <c r="C392" s="288">
        <f>DSDV!K397</f>
        <v>0</v>
      </c>
      <c r="D392" s="289">
        <f>DSDV!W397</f>
        <v>0</v>
      </c>
    </row>
    <row r="393" spans="1:4">
      <c r="A393">
        <f>DSDV!B398</f>
        <v>0</v>
      </c>
      <c r="B393">
        <f>DSDV!G398</f>
        <v>0</v>
      </c>
      <c r="C393" s="288">
        <f>DSDV!K398</f>
        <v>0</v>
      </c>
      <c r="D393" s="289">
        <f>DSDV!W398</f>
        <v>0</v>
      </c>
    </row>
    <row r="394" spans="1:4">
      <c r="A394">
        <f>DSDV!B399</f>
        <v>0</v>
      </c>
      <c r="B394">
        <f>DSDV!G399</f>
        <v>0</v>
      </c>
      <c r="C394" s="288">
        <f>DSDV!K399</f>
        <v>0</v>
      </c>
      <c r="D394" s="289">
        <f>DSDV!W399</f>
        <v>0</v>
      </c>
    </row>
    <row r="395" spans="1:4">
      <c r="A395">
        <f>DSDV!B400</f>
        <v>0</v>
      </c>
      <c r="B395">
        <f>DSDV!G400</f>
        <v>0</v>
      </c>
      <c r="C395" s="288">
        <f>DSDV!K400</f>
        <v>0</v>
      </c>
      <c r="D395" s="289">
        <f>DSDV!W400</f>
        <v>0</v>
      </c>
    </row>
    <row r="396" spans="1:4">
      <c r="A396">
        <f>DSDV!B401</f>
        <v>0</v>
      </c>
      <c r="B396">
        <f>DSDV!G401</f>
        <v>0</v>
      </c>
      <c r="C396" s="288">
        <f>DSDV!K401</f>
        <v>0</v>
      </c>
      <c r="D396" s="289">
        <f>DSDV!W401</f>
        <v>0</v>
      </c>
    </row>
    <row r="397" spans="1:4">
      <c r="A397">
        <f>DSDV!B402</f>
        <v>0</v>
      </c>
      <c r="B397">
        <f>DSDV!G402</f>
        <v>0</v>
      </c>
      <c r="C397" s="288">
        <f>DSDV!K402</f>
        <v>0</v>
      </c>
      <c r="D397" s="289">
        <f>DSDV!W402</f>
        <v>0</v>
      </c>
    </row>
    <row r="398" spans="1:4">
      <c r="A398">
        <f>DSDV!B403</f>
        <v>0</v>
      </c>
      <c r="B398">
        <f>DSDV!G403</f>
        <v>0</v>
      </c>
      <c r="C398" s="288">
        <f>DSDV!K403</f>
        <v>0</v>
      </c>
      <c r="D398" s="289">
        <f>DSDV!W403</f>
        <v>0</v>
      </c>
    </row>
    <row r="399" spans="1:4">
      <c r="A399">
        <f>DSDV!B404</f>
        <v>0</v>
      </c>
      <c r="B399">
        <f>DSDV!G404</f>
        <v>0</v>
      </c>
      <c r="C399" s="288">
        <f>DSDV!K404</f>
        <v>0</v>
      </c>
      <c r="D399" s="289">
        <f>DSDV!W404</f>
        <v>0</v>
      </c>
    </row>
    <row r="400" spans="1:4">
      <c r="A400">
        <f>DSDV!B405</f>
        <v>0</v>
      </c>
      <c r="B400">
        <f>DSDV!G405</f>
        <v>0</v>
      </c>
      <c r="C400" s="288">
        <f>DSDV!K405</f>
        <v>0</v>
      </c>
      <c r="D400" s="289">
        <f>DSDV!W405</f>
        <v>0</v>
      </c>
    </row>
    <row r="401" spans="1:4">
      <c r="A401">
        <f>DSDV!B406</f>
        <v>0</v>
      </c>
      <c r="B401">
        <f>DSDV!G406</f>
        <v>0</v>
      </c>
      <c r="C401" s="288">
        <f>DSDV!K406</f>
        <v>0</v>
      </c>
      <c r="D401" s="289">
        <f>DSDV!W406</f>
        <v>0</v>
      </c>
    </row>
    <row r="402" spans="1:4">
      <c r="A402">
        <f>DSDV!B407</f>
        <v>0</v>
      </c>
      <c r="B402">
        <f>DSDV!G407</f>
        <v>0</v>
      </c>
      <c r="C402" s="288">
        <f>DSDV!K407</f>
        <v>0</v>
      </c>
      <c r="D402" s="289">
        <f>DSDV!W407</f>
        <v>0</v>
      </c>
    </row>
    <row r="403" spans="1:4">
      <c r="A403">
        <f>DSDV!B408</f>
        <v>0</v>
      </c>
      <c r="B403">
        <f>DSDV!G408</f>
        <v>0</v>
      </c>
      <c r="C403" s="288">
        <f>DSDV!K408</f>
        <v>0</v>
      </c>
      <c r="D403" s="289">
        <f>DSDV!W408</f>
        <v>0</v>
      </c>
    </row>
    <row r="404" spans="1:4">
      <c r="A404">
        <f>DSDV!B409</f>
        <v>0</v>
      </c>
      <c r="B404">
        <f>DSDV!G409</f>
        <v>0</v>
      </c>
      <c r="C404" s="288">
        <f>DSDV!K409</f>
        <v>0</v>
      </c>
      <c r="D404" s="289">
        <f>DSDV!W409</f>
        <v>0</v>
      </c>
    </row>
    <row r="405" spans="1:4">
      <c r="A405">
        <f>DSDV!B410</f>
        <v>0</v>
      </c>
      <c r="B405">
        <f>DSDV!G410</f>
        <v>0</v>
      </c>
      <c r="C405" s="288">
        <f>DSDV!K410</f>
        <v>0</v>
      </c>
      <c r="D405" s="289">
        <f>DSDV!W410</f>
        <v>0</v>
      </c>
    </row>
    <row r="406" spans="1:4">
      <c r="A406">
        <f>DSDV!B411</f>
        <v>0</v>
      </c>
      <c r="B406">
        <f>DSDV!G411</f>
        <v>0</v>
      </c>
      <c r="C406" s="288">
        <f>DSDV!K411</f>
        <v>0</v>
      </c>
      <c r="D406" s="289">
        <f>DSDV!W411</f>
        <v>0</v>
      </c>
    </row>
    <row r="407" spans="1:4">
      <c r="A407">
        <f>DSDV!B412</f>
        <v>0</v>
      </c>
      <c r="B407">
        <f>DSDV!G412</f>
        <v>0</v>
      </c>
      <c r="C407" s="288">
        <f>DSDV!K412</f>
        <v>0</v>
      </c>
      <c r="D407" s="289">
        <f>DSDV!W412</f>
        <v>0</v>
      </c>
    </row>
    <row r="408" spans="1:4">
      <c r="A408">
        <f>DSDV!B413</f>
        <v>0</v>
      </c>
      <c r="B408">
        <f>DSDV!G413</f>
        <v>0</v>
      </c>
      <c r="C408" s="288">
        <f>DSDV!K413</f>
        <v>0</v>
      </c>
      <c r="D408" s="289">
        <f>DSDV!W413</f>
        <v>0</v>
      </c>
    </row>
    <row r="409" spans="1:4">
      <c r="A409">
        <f>DSDV!B414</f>
        <v>0</v>
      </c>
      <c r="B409">
        <f>DSDV!G414</f>
        <v>0</v>
      </c>
      <c r="C409" s="288">
        <f>DSDV!K414</f>
        <v>0</v>
      </c>
      <c r="D409" s="289">
        <f>DSDV!W414</f>
        <v>0</v>
      </c>
    </row>
    <row r="410" spans="1:4">
      <c r="A410">
        <f>DSDV!B415</f>
        <v>0</v>
      </c>
      <c r="B410">
        <f>DSDV!G415</f>
        <v>0</v>
      </c>
      <c r="C410" s="288">
        <f>DSDV!K415</f>
        <v>0</v>
      </c>
      <c r="D410" s="289">
        <f>DSDV!W415</f>
        <v>0</v>
      </c>
    </row>
    <row r="411" spans="1:4">
      <c r="A411">
        <f>DSDV!B416</f>
        <v>0</v>
      </c>
      <c r="B411">
        <f>DSDV!G416</f>
        <v>0</v>
      </c>
      <c r="C411" s="288">
        <f>DSDV!K416</f>
        <v>0</v>
      </c>
      <c r="D411" s="289">
        <f>DSDV!W416</f>
        <v>0</v>
      </c>
    </row>
    <row r="412" spans="1:4">
      <c r="A412">
        <f>DSDV!B417</f>
        <v>0</v>
      </c>
      <c r="B412">
        <f>DSDV!G417</f>
        <v>0</v>
      </c>
      <c r="C412" s="288">
        <f>DSDV!K417</f>
        <v>0</v>
      </c>
      <c r="D412" s="289">
        <f>DSDV!W417</f>
        <v>0</v>
      </c>
    </row>
    <row r="413" spans="1:4">
      <c r="A413">
        <f>DSDV!B418</f>
        <v>0</v>
      </c>
      <c r="B413">
        <f>DSDV!G418</f>
        <v>0</v>
      </c>
      <c r="C413" s="288">
        <f>DSDV!K418</f>
        <v>0</v>
      </c>
      <c r="D413" s="289">
        <f>DSDV!W418</f>
        <v>0</v>
      </c>
    </row>
    <row r="414" spans="1:4">
      <c r="A414">
        <f>DSDV!B419</f>
        <v>0</v>
      </c>
      <c r="B414">
        <f>DSDV!G419</f>
        <v>0</v>
      </c>
      <c r="C414" s="288">
        <f>DSDV!K419</f>
        <v>0</v>
      </c>
      <c r="D414" s="289">
        <f>DSDV!W419</f>
        <v>0</v>
      </c>
    </row>
    <row r="415" spans="1:4">
      <c r="A415">
        <f>DSDV!B420</f>
        <v>0</v>
      </c>
      <c r="B415">
        <f>DSDV!G420</f>
        <v>0</v>
      </c>
      <c r="C415" s="288">
        <f>DSDV!K420</f>
        <v>0</v>
      </c>
      <c r="D415" s="289">
        <f>DSDV!W420</f>
        <v>0</v>
      </c>
    </row>
    <row r="416" spans="1:4">
      <c r="A416">
        <f>DSDV!B421</f>
        <v>0</v>
      </c>
      <c r="B416">
        <f>DSDV!G421</f>
        <v>0</v>
      </c>
      <c r="C416" s="288">
        <f>DSDV!K421</f>
        <v>0</v>
      </c>
      <c r="D416" s="289">
        <f>DSDV!W421</f>
        <v>0</v>
      </c>
    </row>
    <row r="417" spans="1:4">
      <c r="A417">
        <f>DSDV!B422</f>
        <v>0</v>
      </c>
      <c r="B417">
        <f>DSDV!G422</f>
        <v>0</v>
      </c>
      <c r="C417" s="288">
        <f>DSDV!K422</f>
        <v>0</v>
      </c>
      <c r="D417" s="289">
        <f>DSDV!W422</f>
        <v>0</v>
      </c>
    </row>
    <row r="418" spans="1:4">
      <c r="A418">
        <f>DSDV!B423</f>
        <v>0</v>
      </c>
      <c r="B418">
        <f>DSDV!G423</f>
        <v>0</v>
      </c>
      <c r="C418" s="288">
        <f>DSDV!K423</f>
        <v>0</v>
      </c>
      <c r="D418" s="289">
        <f>DSDV!W423</f>
        <v>0</v>
      </c>
    </row>
    <row r="419" spans="1:4">
      <c r="A419">
        <f>DSDV!B424</f>
        <v>0</v>
      </c>
      <c r="B419">
        <f>DSDV!G424</f>
        <v>0</v>
      </c>
      <c r="C419" s="288">
        <f>DSDV!K424</f>
        <v>0</v>
      </c>
      <c r="D419" s="289">
        <f>DSDV!W424</f>
        <v>0</v>
      </c>
    </row>
    <row r="420" spans="1:4">
      <c r="A420">
        <f>DSDV!B425</f>
        <v>0</v>
      </c>
      <c r="B420">
        <f>DSDV!G425</f>
        <v>0</v>
      </c>
      <c r="C420" s="288">
        <f>DSDV!K425</f>
        <v>0</v>
      </c>
      <c r="D420" s="289">
        <f>DSDV!W425</f>
        <v>0</v>
      </c>
    </row>
    <row r="421" spans="1:4">
      <c r="A421">
        <f>DSDV!B426</f>
        <v>0</v>
      </c>
      <c r="B421">
        <f>DSDV!G426</f>
        <v>0</v>
      </c>
      <c r="C421" s="288">
        <f>DSDV!K426</f>
        <v>0</v>
      </c>
      <c r="D421" s="289">
        <f>DSDV!W426</f>
        <v>0</v>
      </c>
    </row>
    <row r="422" spans="1:4">
      <c r="A422">
        <f>DSDV!B427</f>
        <v>0</v>
      </c>
      <c r="B422">
        <f>DSDV!G427</f>
        <v>0</v>
      </c>
      <c r="C422" s="288">
        <f>DSDV!K427</f>
        <v>0</v>
      </c>
      <c r="D422" s="289">
        <f>DSDV!W427</f>
        <v>0</v>
      </c>
    </row>
    <row r="423" spans="1:4">
      <c r="A423">
        <f>DSDV!B428</f>
        <v>0</v>
      </c>
      <c r="B423">
        <f>DSDV!G428</f>
        <v>0</v>
      </c>
      <c r="C423" s="288">
        <f>DSDV!K428</f>
        <v>0</v>
      </c>
      <c r="D423" s="289">
        <f>DSDV!W428</f>
        <v>0</v>
      </c>
    </row>
    <row r="424" spans="1:4">
      <c r="A424">
        <f>DSDV!B429</f>
        <v>0</v>
      </c>
      <c r="B424">
        <f>DSDV!G429</f>
        <v>0</v>
      </c>
      <c r="C424" s="288">
        <f>DSDV!K429</f>
        <v>0</v>
      </c>
      <c r="D424" s="289">
        <f>DSDV!W429</f>
        <v>0</v>
      </c>
    </row>
    <row r="425" spans="1:4">
      <c r="A425">
        <f>DSDV!B430</f>
        <v>0</v>
      </c>
      <c r="B425">
        <f>DSDV!G430</f>
        <v>0</v>
      </c>
      <c r="C425" s="288">
        <f>DSDV!K430</f>
        <v>0</v>
      </c>
      <c r="D425" s="289">
        <f>DSDV!W430</f>
        <v>0</v>
      </c>
    </row>
    <row r="426" spans="1:4">
      <c r="A426">
        <f>DSDV!B431</f>
        <v>0</v>
      </c>
      <c r="B426">
        <f>DSDV!G431</f>
        <v>0</v>
      </c>
      <c r="C426" s="288">
        <f>DSDV!K431</f>
        <v>0</v>
      </c>
      <c r="D426" s="289">
        <f>DSDV!W431</f>
        <v>0</v>
      </c>
    </row>
    <row r="427" spans="1:4">
      <c r="A427">
        <f>DSDV!B432</f>
        <v>0</v>
      </c>
      <c r="B427">
        <f>DSDV!G432</f>
        <v>0</v>
      </c>
      <c r="C427" s="288">
        <f>DSDV!K432</f>
        <v>0</v>
      </c>
      <c r="D427" s="289">
        <f>DSDV!W432</f>
        <v>0</v>
      </c>
    </row>
    <row r="428" spans="1:4">
      <c r="A428">
        <f>DSDV!B433</f>
        <v>0</v>
      </c>
      <c r="B428">
        <f>DSDV!G433</f>
        <v>0</v>
      </c>
      <c r="C428" s="288">
        <f>DSDV!K433</f>
        <v>0</v>
      </c>
      <c r="D428" s="289">
        <f>DSDV!W433</f>
        <v>0</v>
      </c>
    </row>
    <row r="429" spans="1:4">
      <c r="A429">
        <f>DSDV!B434</f>
        <v>0</v>
      </c>
      <c r="B429">
        <f>DSDV!G434</f>
        <v>0</v>
      </c>
      <c r="C429" s="288">
        <f>DSDV!K434</f>
        <v>0</v>
      </c>
      <c r="D429" s="289">
        <f>DSDV!W434</f>
        <v>0</v>
      </c>
    </row>
    <row r="430" spans="1:4">
      <c r="A430">
        <f>DSDV!B435</f>
        <v>0</v>
      </c>
      <c r="B430">
        <f>DSDV!G435</f>
        <v>0</v>
      </c>
      <c r="C430" s="288">
        <f>DSDV!K435</f>
        <v>0</v>
      </c>
      <c r="D430" s="289">
        <f>DSDV!W435</f>
        <v>0</v>
      </c>
    </row>
    <row r="431" spans="1:4">
      <c r="A431">
        <f>DSDV!B436</f>
        <v>0</v>
      </c>
      <c r="B431">
        <f>DSDV!G436</f>
        <v>0</v>
      </c>
      <c r="C431" s="288">
        <f>DSDV!K436</f>
        <v>0</v>
      </c>
      <c r="D431" s="289">
        <f>DSDV!W436</f>
        <v>0</v>
      </c>
    </row>
    <row r="432" spans="1:4">
      <c r="A432">
        <f>DSDV!B437</f>
        <v>0</v>
      </c>
      <c r="B432">
        <f>DSDV!G437</f>
        <v>0</v>
      </c>
      <c r="C432" s="288">
        <f>DSDV!K437</f>
        <v>0</v>
      </c>
      <c r="D432" s="289">
        <f>DSDV!W437</f>
        <v>0</v>
      </c>
    </row>
    <row r="433" spans="1:4">
      <c r="A433">
        <f>DSDV!B438</f>
        <v>0</v>
      </c>
      <c r="B433">
        <f>DSDV!G438</f>
        <v>0</v>
      </c>
      <c r="C433" s="288">
        <f>DSDV!K438</f>
        <v>0</v>
      </c>
      <c r="D433" s="289">
        <f>DSDV!W438</f>
        <v>0</v>
      </c>
    </row>
    <row r="434" spans="1:4">
      <c r="A434">
        <f>DSDV!B439</f>
        <v>0</v>
      </c>
      <c r="B434">
        <f>DSDV!G439</f>
        <v>0</v>
      </c>
      <c r="C434" s="288">
        <f>DSDV!K439</f>
        <v>0</v>
      </c>
      <c r="D434" s="289">
        <f>DSDV!W439</f>
        <v>0</v>
      </c>
    </row>
    <row r="435" spans="1:4">
      <c r="A435">
        <f>DSDV!B440</f>
        <v>0</v>
      </c>
      <c r="B435">
        <f>DSDV!G440</f>
        <v>0</v>
      </c>
      <c r="C435" s="288">
        <f>DSDV!K440</f>
        <v>0</v>
      </c>
      <c r="D435" s="289">
        <f>DSDV!W440</f>
        <v>0</v>
      </c>
    </row>
    <row r="436" spans="1:4">
      <c r="A436">
        <f>DSDV!B441</f>
        <v>0</v>
      </c>
      <c r="B436">
        <f>DSDV!G441</f>
        <v>0</v>
      </c>
      <c r="C436" s="288">
        <f>DSDV!K441</f>
        <v>0</v>
      </c>
      <c r="D436" s="289">
        <f>DSDV!W441</f>
        <v>0</v>
      </c>
    </row>
    <row r="437" spans="1:4">
      <c r="A437">
        <f>DSDV!B442</f>
        <v>0</v>
      </c>
      <c r="B437">
        <f>DSDV!G442</f>
        <v>0</v>
      </c>
      <c r="C437" s="288">
        <f>DSDV!K442</f>
        <v>0</v>
      </c>
      <c r="D437" s="289">
        <f>DSDV!W442</f>
        <v>0</v>
      </c>
    </row>
    <row r="438" spans="1:4">
      <c r="A438">
        <f>DSDV!B443</f>
        <v>0</v>
      </c>
      <c r="B438">
        <f>DSDV!G443</f>
        <v>0</v>
      </c>
      <c r="C438" s="288">
        <f>DSDV!K443</f>
        <v>0</v>
      </c>
      <c r="D438" s="289">
        <f>DSDV!W443</f>
        <v>0</v>
      </c>
    </row>
    <row r="439" spans="1:4">
      <c r="A439">
        <f>DSDV!B444</f>
        <v>0</v>
      </c>
      <c r="B439">
        <f>DSDV!G444</f>
        <v>0</v>
      </c>
      <c r="C439" s="288">
        <f>DSDV!K444</f>
        <v>0</v>
      </c>
      <c r="D439" s="289">
        <f>DSDV!W444</f>
        <v>0</v>
      </c>
    </row>
    <row r="440" spans="1:4">
      <c r="A440">
        <f>DSDV!B445</f>
        <v>0</v>
      </c>
      <c r="B440">
        <f>DSDV!G445</f>
        <v>0</v>
      </c>
      <c r="C440" s="288">
        <f>DSDV!K445</f>
        <v>0</v>
      </c>
      <c r="D440" s="289">
        <f>DSDV!W445</f>
        <v>0</v>
      </c>
    </row>
    <row r="441" spans="1:4">
      <c r="A441">
        <f>DSDV!B446</f>
        <v>0</v>
      </c>
      <c r="B441">
        <f>DSDV!G446</f>
        <v>0</v>
      </c>
      <c r="C441" s="288">
        <f>DSDV!K446</f>
        <v>0</v>
      </c>
      <c r="D441" s="289">
        <f>DSDV!W446</f>
        <v>0</v>
      </c>
    </row>
    <row r="442" spans="1:4">
      <c r="A442">
        <f>DSDV!B447</f>
        <v>0</v>
      </c>
      <c r="B442">
        <f>DSDV!G447</f>
        <v>0</v>
      </c>
      <c r="C442" s="288">
        <f>DSDV!K447</f>
        <v>0</v>
      </c>
      <c r="D442" s="289">
        <f>DSDV!W447</f>
        <v>0</v>
      </c>
    </row>
    <row r="443" spans="1:4">
      <c r="A443">
        <f>DSDV!B448</f>
        <v>0</v>
      </c>
      <c r="B443">
        <f>DSDV!G448</f>
        <v>0</v>
      </c>
      <c r="C443" s="288">
        <f>DSDV!K448</f>
        <v>0</v>
      </c>
      <c r="D443" s="289">
        <f>DSDV!W448</f>
        <v>0</v>
      </c>
    </row>
    <row r="444" spans="1:4">
      <c r="A444">
        <f>DSDV!B449</f>
        <v>0</v>
      </c>
      <c r="B444">
        <f>DSDV!G449</f>
        <v>0</v>
      </c>
      <c r="C444" s="288">
        <f>DSDV!K449</f>
        <v>0</v>
      </c>
      <c r="D444" s="289">
        <f>DSDV!W449</f>
        <v>0</v>
      </c>
    </row>
    <row r="445" spans="1:4">
      <c r="A445">
        <f>DSDV!B450</f>
        <v>0</v>
      </c>
      <c r="B445">
        <f>DSDV!G450</f>
        <v>0</v>
      </c>
      <c r="C445" s="288">
        <f>DSDV!K450</f>
        <v>0</v>
      </c>
      <c r="D445" s="289">
        <f>DSDV!W450</f>
        <v>0</v>
      </c>
    </row>
    <row r="446" spans="1:4">
      <c r="A446">
        <f>DSDV!B451</f>
        <v>0</v>
      </c>
      <c r="B446">
        <f>DSDV!G451</f>
        <v>0</v>
      </c>
      <c r="C446" s="288">
        <f>DSDV!K451</f>
        <v>0</v>
      </c>
      <c r="D446" s="289">
        <f>DSDV!W451</f>
        <v>0</v>
      </c>
    </row>
    <row r="447" spans="1:4">
      <c r="A447">
        <f>DSDV!B452</f>
        <v>0</v>
      </c>
      <c r="B447">
        <f>DSDV!G452</f>
        <v>0</v>
      </c>
      <c r="C447" s="288">
        <f>DSDV!K452</f>
        <v>0</v>
      </c>
      <c r="D447" s="289">
        <f>DSDV!W452</f>
        <v>0</v>
      </c>
    </row>
    <row r="448" spans="1:4">
      <c r="A448">
        <f>DSDV!B453</f>
        <v>0</v>
      </c>
      <c r="B448">
        <f>DSDV!G453</f>
        <v>0</v>
      </c>
      <c r="C448" s="288">
        <f>DSDV!K453</f>
        <v>0</v>
      </c>
      <c r="D448" s="289">
        <f>DSDV!W453</f>
        <v>0</v>
      </c>
    </row>
    <row r="449" spans="1:4">
      <c r="A449">
        <f>DSDV!B454</f>
        <v>0</v>
      </c>
      <c r="B449">
        <f>DSDV!G454</f>
        <v>0</v>
      </c>
      <c r="C449" s="288">
        <f>DSDV!K454</f>
        <v>0</v>
      </c>
      <c r="D449" s="289">
        <f>DSDV!W454</f>
        <v>0</v>
      </c>
    </row>
    <row r="450" spans="1:4">
      <c r="A450">
        <f>DSDV!B455</f>
        <v>0</v>
      </c>
      <c r="B450">
        <f>DSDV!G455</f>
        <v>0</v>
      </c>
      <c r="C450" s="288">
        <f>DSDV!K455</f>
        <v>0</v>
      </c>
      <c r="D450" s="289">
        <f>DSDV!W455</f>
        <v>0</v>
      </c>
    </row>
    <row r="451" spans="1:4">
      <c r="A451">
        <f>DSDV!B456</f>
        <v>0</v>
      </c>
      <c r="B451">
        <f>DSDV!G456</f>
        <v>0</v>
      </c>
      <c r="C451" s="288">
        <f>DSDV!K456</f>
        <v>0</v>
      </c>
      <c r="D451" s="289">
        <f>DSDV!W456</f>
        <v>0</v>
      </c>
    </row>
    <row r="452" spans="1:4">
      <c r="A452">
        <f>DSDV!B457</f>
        <v>0</v>
      </c>
      <c r="B452">
        <f>DSDV!G457</f>
        <v>0</v>
      </c>
      <c r="C452" s="288">
        <f>DSDV!K457</f>
        <v>0</v>
      </c>
      <c r="D452" s="289">
        <f>DSDV!W457</f>
        <v>0</v>
      </c>
    </row>
    <row r="453" spans="1:4">
      <c r="A453">
        <f>DSDV!B458</f>
        <v>0</v>
      </c>
      <c r="B453">
        <f>DSDV!G458</f>
        <v>0</v>
      </c>
      <c r="C453" s="288">
        <f>DSDV!K458</f>
        <v>0</v>
      </c>
      <c r="D453" s="289">
        <f>DSDV!W458</f>
        <v>0</v>
      </c>
    </row>
    <row r="454" spans="1:4">
      <c r="A454">
        <f>DSDV!B459</f>
        <v>0</v>
      </c>
      <c r="B454">
        <f>DSDV!G459</f>
        <v>0</v>
      </c>
      <c r="C454" s="288">
        <f>DSDV!K459</f>
        <v>0</v>
      </c>
      <c r="D454" s="289">
        <f>DSDV!W459</f>
        <v>0</v>
      </c>
    </row>
    <row r="455" spans="1:4">
      <c r="A455">
        <f>DSDV!B460</f>
        <v>0</v>
      </c>
      <c r="B455">
        <f>DSDV!G460</f>
        <v>0</v>
      </c>
      <c r="C455" s="288">
        <f>DSDV!K460</f>
        <v>0</v>
      </c>
      <c r="D455" s="289">
        <f>DSDV!W460</f>
        <v>0</v>
      </c>
    </row>
    <row r="456" spans="1:4">
      <c r="A456">
        <f>DSDV!B461</f>
        <v>0</v>
      </c>
      <c r="B456">
        <f>DSDV!G461</f>
        <v>0</v>
      </c>
      <c r="C456" s="288">
        <f>DSDV!K461</f>
        <v>0</v>
      </c>
      <c r="D456" s="289">
        <f>DSDV!W461</f>
        <v>0</v>
      </c>
    </row>
    <row r="457" spans="1:4">
      <c r="A457">
        <f>DSDV!B462</f>
        <v>0</v>
      </c>
      <c r="B457">
        <f>DSDV!G462</f>
        <v>0</v>
      </c>
      <c r="C457" s="288">
        <f>DSDV!K462</f>
        <v>0</v>
      </c>
      <c r="D457" s="289">
        <f>DSDV!W462</f>
        <v>0</v>
      </c>
    </row>
    <row r="458" spans="1:4">
      <c r="A458">
        <f>DSDV!B463</f>
        <v>0</v>
      </c>
      <c r="B458">
        <f>DSDV!G463</f>
        <v>0</v>
      </c>
      <c r="C458" s="288">
        <f>DSDV!K463</f>
        <v>0</v>
      </c>
      <c r="D458" s="289">
        <f>DSDV!W463</f>
        <v>0</v>
      </c>
    </row>
    <row r="459" spans="1:4">
      <c r="A459">
        <f>DSDV!B464</f>
        <v>0</v>
      </c>
      <c r="B459">
        <f>DSDV!G464</f>
        <v>0</v>
      </c>
      <c r="C459" s="288">
        <f>DSDV!K464</f>
        <v>0</v>
      </c>
      <c r="D459" s="289">
        <f>DSDV!W464</f>
        <v>0</v>
      </c>
    </row>
    <row r="460" spans="1:4">
      <c r="A460">
        <f>DSDV!B465</f>
        <v>0</v>
      </c>
      <c r="B460">
        <f>DSDV!G465</f>
        <v>0</v>
      </c>
      <c r="C460" s="288">
        <f>DSDV!K465</f>
        <v>0</v>
      </c>
      <c r="D460" s="289">
        <f>DSDV!W465</f>
        <v>0</v>
      </c>
    </row>
    <row r="461" spans="1:4">
      <c r="A461">
        <f>DSDV!B466</f>
        <v>0</v>
      </c>
      <c r="B461">
        <f>DSDV!G466</f>
        <v>0</v>
      </c>
      <c r="C461" s="288">
        <f>DSDV!K466</f>
        <v>0</v>
      </c>
      <c r="D461" s="289">
        <f>DSDV!W466</f>
        <v>0</v>
      </c>
    </row>
    <row r="462" spans="1:4">
      <c r="A462">
        <f>DSDV!B467</f>
        <v>0</v>
      </c>
      <c r="B462">
        <f>DSDV!G467</f>
        <v>0</v>
      </c>
      <c r="C462" s="288">
        <f>DSDV!K467</f>
        <v>0</v>
      </c>
      <c r="D462" s="289">
        <f>DSDV!W467</f>
        <v>0</v>
      </c>
    </row>
    <row r="463" spans="1:4">
      <c r="A463">
        <f>DSDV!B468</f>
        <v>0</v>
      </c>
      <c r="B463">
        <f>DSDV!G468</f>
        <v>0</v>
      </c>
      <c r="C463" s="288">
        <f>DSDV!K468</f>
        <v>0</v>
      </c>
      <c r="D463" s="289">
        <f>DSDV!W468</f>
        <v>0</v>
      </c>
    </row>
    <row r="464" spans="1:4">
      <c r="A464">
        <f>DSDV!B469</f>
        <v>0</v>
      </c>
      <c r="B464">
        <f>DSDV!G469</f>
        <v>0</v>
      </c>
      <c r="C464" s="288">
        <f>DSDV!K469</f>
        <v>0</v>
      </c>
      <c r="D464" s="289">
        <f>DSDV!W469</f>
        <v>0</v>
      </c>
    </row>
    <row r="465" spans="1:4">
      <c r="A465">
        <f>DSDV!B470</f>
        <v>0</v>
      </c>
      <c r="B465">
        <f>DSDV!G470</f>
        <v>0</v>
      </c>
      <c r="C465" s="288">
        <f>DSDV!K470</f>
        <v>0</v>
      </c>
      <c r="D465" s="289">
        <f>DSDV!W470</f>
        <v>0</v>
      </c>
    </row>
    <row r="466" spans="1:4">
      <c r="A466">
        <f>DSDV!B471</f>
        <v>0</v>
      </c>
      <c r="B466">
        <f>DSDV!G471</f>
        <v>0</v>
      </c>
      <c r="C466" s="288">
        <f>DSDV!K471</f>
        <v>0</v>
      </c>
      <c r="D466" s="289">
        <f>DSDV!W471</f>
        <v>0</v>
      </c>
    </row>
    <row r="467" spans="1:4">
      <c r="A467">
        <f>DSDV!B472</f>
        <v>0</v>
      </c>
      <c r="B467">
        <f>DSDV!G472</f>
        <v>0</v>
      </c>
      <c r="C467" s="288">
        <f>DSDV!K472</f>
        <v>0</v>
      </c>
      <c r="D467" s="289">
        <f>DSDV!W472</f>
        <v>0</v>
      </c>
    </row>
    <row r="468" spans="1:4">
      <c r="A468">
        <f>DSDV!B473</f>
        <v>0</v>
      </c>
      <c r="B468">
        <f>DSDV!G473</f>
        <v>0</v>
      </c>
      <c r="C468" s="288">
        <f>DSDV!K473</f>
        <v>0</v>
      </c>
      <c r="D468" s="289">
        <f>DSDV!W473</f>
        <v>0</v>
      </c>
    </row>
    <row r="469" spans="1:4">
      <c r="A469">
        <f>DSDV!B474</f>
        <v>0</v>
      </c>
      <c r="B469">
        <f>DSDV!G474</f>
        <v>0</v>
      </c>
      <c r="C469" s="288">
        <f>DSDV!K474</f>
        <v>0</v>
      </c>
      <c r="D469" s="289">
        <f>DSDV!W474</f>
        <v>0</v>
      </c>
    </row>
    <row r="470" spans="1:4">
      <c r="A470">
        <f>DSDV!B475</f>
        <v>0</v>
      </c>
      <c r="B470">
        <f>DSDV!G475</f>
        <v>0</v>
      </c>
      <c r="C470" s="288">
        <f>DSDV!K475</f>
        <v>0</v>
      </c>
      <c r="D470" s="289">
        <f>DSDV!W475</f>
        <v>0</v>
      </c>
    </row>
    <row r="471" spans="1:4">
      <c r="A471">
        <f>DSDV!B476</f>
        <v>0</v>
      </c>
      <c r="B471">
        <f>DSDV!G476</f>
        <v>0</v>
      </c>
      <c r="C471" s="288">
        <f>DSDV!K476</f>
        <v>0</v>
      </c>
      <c r="D471" s="289">
        <f>DSDV!W476</f>
        <v>0</v>
      </c>
    </row>
    <row r="472" spans="1:4">
      <c r="A472">
        <f>DSDV!B477</f>
        <v>0</v>
      </c>
      <c r="B472">
        <f>DSDV!G477</f>
        <v>0</v>
      </c>
      <c r="C472" s="288">
        <f>DSDV!K477</f>
        <v>0</v>
      </c>
      <c r="D472" s="289">
        <f>DSDV!W477</f>
        <v>0</v>
      </c>
    </row>
    <row r="473" spans="1:4">
      <c r="A473">
        <f>DSDV!B478</f>
        <v>0</v>
      </c>
      <c r="B473">
        <f>DSDV!G478</f>
        <v>0</v>
      </c>
      <c r="C473" s="288">
        <f>DSDV!K478</f>
        <v>0</v>
      </c>
      <c r="D473" s="289">
        <f>DSDV!W478</f>
        <v>0</v>
      </c>
    </row>
    <row r="474" spans="1:4">
      <c r="A474">
        <f>DSDV!B479</f>
        <v>0</v>
      </c>
      <c r="B474">
        <f>DSDV!G479</f>
        <v>0</v>
      </c>
      <c r="C474" s="288">
        <f>DSDV!K479</f>
        <v>0</v>
      </c>
      <c r="D474" s="289">
        <f>DSDV!W479</f>
        <v>0</v>
      </c>
    </row>
    <row r="475" spans="1:4">
      <c r="A475">
        <f>DSDV!B480</f>
        <v>0</v>
      </c>
      <c r="B475">
        <f>DSDV!G480</f>
        <v>0</v>
      </c>
      <c r="C475" s="288">
        <f>DSDV!K480</f>
        <v>0</v>
      </c>
      <c r="D475" s="289">
        <f>DSDV!W480</f>
        <v>0</v>
      </c>
    </row>
    <row r="476" spans="1:4">
      <c r="A476">
        <f>DSDV!B481</f>
        <v>0</v>
      </c>
      <c r="B476">
        <f>DSDV!G481</f>
        <v>0</v>
      </c>
      <c r="C476" s="288">
        <f>DSDV!K481</f>
        <v>0</v>
      </c>
      <c r="D476" s="289">
        <f>DSDV!W481</f>
        <v>0</v>
      </c>
    </row>
    <row r="477" spans="1:4">
      <c r="A477">
        <f>DSDV!B482</f>
        <v>0</v>
      </c>
      <c r="B477">
        <f>DSDV!G482</f>
        <v>0</v>
      </c>
      <c r="C477" s="288">
        <f>DSDV!K482</f>
        <v>0</v>
      </c>
      <c r="D477" s="289">
        <f>DSDV!W482</f>
        <v>0</v>
      </c>
    </row>
    <row r="478" spans="1:4">
      <c r="A478">
        <f>DSDV!B483</f>
        <v>0</v>
      </c>
      <c r="B478">
        <f>DSDV!G483</f>
        <v>0</v>
      </c>
      <c r="C478" s="288">
        <f>DSDV!K483</f>
        <v>0</v>
      </c>
      <c r="D478" s="289">
        <f>DSDV!W483</f>
        <v>0</v>
      </c>
    </row>
    <row r="479" spans="1:4">
      <c r="A479">
        <f>DSDV!B484</f>
        <v>0</v>
      </c>
      <c r="B479">
        <f>DSDV!G484</f>
        <v>0</v>
      </c>
      <c r="C479" s="288">
        <f>DSDV!K484</f>
        <v>0</v>
      </c>
      <c r="D479" s="289">
        <f>DSDV!W484</f>
        <v>0</v>
      </c>
    </row>
    <row r="480" spans="1:4">
      <c r="A480">
        <f>DSDV!B485</f>
        <v>0</v>
      </c>
      <c r="B480">
        <f>DSDV!G485</f>
        <v>0</v>
      </c>
      <c r="C480" s="288">
        <f>DSDV!K485</f>
        <v>0</v>
      </c>
      <c r="D480" s="289">
        <f>DSDV!W485</f>
        <v>0</v>
      </c>
    </row>
    <row r="481" spans="1:4">
      <c r="A481">
        <f>DSDV!B486</f>
        <v>0</v>
      </c>
      <c r="B481">
        <f>DSDV!G486</f>
        <v>0</v>
      </c>
      <c r="C481" s="288">
        <f>DSDV!K486</f>
        <v>0</v>
      </c>
      <c r="D481" s="289">
        <f>DSDV!W486</f>
        <v>0</v>
      </c>
    </row>
    <row r="482" spans="1:4">
      <c r="A482">
        <f>DSDV!B487</f>
        <v>0</v>
      </c>
      <c r="B482">
        <f>DSDV!G487</f>
        <v>0</v>
      </c>
      <c r="C482" s="288">
        <f>DSDV!K487</f>
        <v>0</v>
      </c>
      <c r="D482" s="289">
        <f>DSDV!W487</f>
        <v>0</v>
      </c>
    </row>
    <row r="483" spans="1:4">
      <c r="A483">
        <f>DSDV!B488</f>
        <v>0</v>
      </c>
      <c r="B483">
        <f>DSDV!G488</f>
        <v>0</v>
      </c>
      <c r="C483" s="288">
        <f>DSDV!K488</f>
        <v>0</v>
      </c>
      <c r="D483" s="289">
        <f>DSDV!W488</f>
        <v>0</v>
      </c>
    </row>
    <row r="484" spans="1:4">
      <c r="A484">
        <f>DSDV!B489</f>
        <v>0</v>
      </c>
      <c r="B484">
        <f>DSDV!G489</f>
        <v>0</v>
      </c>
      <c r="C484" s="288">
        <f>DSDV!K489</f>
        <v>0</v>
      </c>
      <c r="D484" s="289">
        <f>DSDV!W489</f>
        <v>0</v>
      </c>
    </row>
    <row r="485" spans="1:4">
      <c r="A485">
        <f>DSDV!B490</f>
        <v>0</v>
      </c>
      <c r="B485">
        <f>DSDV!G490</f>
        <v>0</v>
      </c>
      <c r="C485" s="288">
        <f>DSDV!K490</f>
        <v>0</v>
      </c>
      <c r="D485" s="289">
        <f>DSDV!W490</f>
        <v>0</v>
      </c>
    </row>
    <row r="486" spans="1:4">
      <c r="A486">
        <f>DSDV!B491</f>
        <v>0</v>
      </c>
      <c r="B486">
        <f>DSDV!G491</f>
        <v>0</v>
      </c>
      <c r="C486" s="288">
        <f>DSDV!K491</f>
        <v>0</v>
      </c>
      <c r="D486" s="289">
        <f>DSDV!W491</f>
        <v>0</v>
      </c>
    </row>
    <row r="487" spans="1:4">
      <c r="A487">
        <f>DSDV!B492</f>
        <v>0</v>
      </c>
      <c r="B487">
        <f>DSDV!G492</f>
        <v>0</v>
      </c>
      <c r="C487" s="288">
        <f>DSDV!K492</f>
        <v>0</v>
      </c>
      <c r="D487" s="289">
        <f>DSDV!W492</f>
        <v>0</v>
      </c>
    </row>
    <row r="488" spans="1:4">
      <c r="A488">
        <f>DSDV!B493</f>
        <v>0</v>
      </c>
      <c r="B488">
        <f>DSDV!G493</f>
        <v>0</v>
      </c>
      <c r="C488" s="288">
        <f>DSDV!K493</f>
        <v>0</v>
      </c>
      <c r="D488" s="289">
        <f>DSDV!W493</f>
        <v>0</v>
      </c>
    </row>
    <row r="489" spans="1:4">
      <c r="A489">
        <f>DSDV!B494</f>
        <v>0</v>
      </c>
      <c r="B489">
        <f>DSDV!G494</f>
        <v>0</v>
      </c>
      <c r="C489" s="288">
        <f>DSDV!K494</f>
        <v>0</v>
      </c>
      <c r="D489" s="289">
        <f>DSDV!W494</f>
        <v>0</v>
      </c>
    </row>
    <row r="490" spans="1:4">
      <c r="A490">
        <f>DSDV!B495</f>
        <v>0</v>
      </c>
      <c r="B490">
        <f>DSDV!G495</f>
        <v>0</v>
      </c>
      <c r="C490" s="288">
        <f>DSDV!K495</f>
        <v>0</v>
      </c>
      <c r="D490" s="289">
        <f>DSDV!W495</f>
        <v>0</v>
      </c>
    </row>
    <row r="491" spans="1:4">
      <c r="A491">
        <f>DSDV!B496</f>
        <v>0</v>
      </c>
      <c r="B491">
        <f>DSDV!G496</f>
        <v>0</v>
      </c>
      <c r="C491" s="288">
        <f>DSDV!K496</f>
        <v>0</v>
      </c>
      <c r="D491" s="289">
        <f>DSDV!W496</f>
        <v>0</v>
      </c>
    </row>
    <row r="492" spans="1:4">
      <c r="A492">
        <f>DSDV!B497</f>
        <v>0</v>
      </c>
      <c r="B492">
        <f>DSDV!G497</f>
        <v>0</v>
      </c>
      <c r="C492" s="288">
        <f>DSDV!K497</f>
        <v>0</v>
      </c>
      <c r="D492" s="289">
        <f>DSDV!W497</f>
        <v>0</v>
      </c>
    </row>
    <row r="493" spans="1:4">
      <c r="A493">
        <f>DSDV!B498</f>
        <v>0</v>
      </c>
      <c r="B493">
        <f>DSDV!G498</f>
        <v>0</v>
      </c>
      <c r="C493" s="288">
        <f>DSDV!K498</f>
        <v>0</v>
      </c>
      <c r="D493" s="289">
        <f>DSDV!W498</f>
        <v>0</v>
      </c>
    </row>
    <row r="494" spans="1:4">
      <c r="A494">
        <f>DSDV!B499</f>
        <v>0</v>
      </c>
      <c r="B494">
        <f>DSDV!G499</f>
        <v>0</v>
      </c>
      <c r="C494" s="288">
        <f>DSDV!K499</f>
        <v>0</v>
      </c>
      <c r="D494" s="289">
        <f>DSDV!W499</f>
        <v>0</v>
      </c>
    </row>
    <row r="495" spans="1:4">
      <c r="A495">
        <f>DSDV!B500</f>
        <v>0</v>
      </c>
      <c r="B495">
        <f>DSDV!G500</f>
        <v>0</v>
      </c>
      <c r="C495" s="288">
        <f>DSDV!K500</f>
        <v>0</v>
      </c>
      <c r="D495" s="289">
        <f>DSDV!W500</f>
        <v>0</v>
      </c>
    </row>
    <row r="496" spans="1:4">
      <c r="A496">
        <f>DSDV!B501</f>
        <v>0</v>
      </c>
      <c r="B496">
        <f>DSDV!G501</f>
        <v>0</v>
      </c>
      <c r="C496" s="288">
        <f>DSDV!K501</f>
        <v>0</v>
      </c>
      <c r="D496" s="289">
        <f>DSDV!W501</f>
        <v>0</v>
      </c>
    </row>
    <row r="497" spans="1:4">
      <c r="A497">
        <f>DSDV!B502</f>
        <v>0</v>
      </c>
      <c r="B497">
        <f>DSDV!G502</f>
        <v>0</v>
      </c>
      <c r="C497" s="288">
        <f>DSDV!K502</f>
        <v>0</v>
      </c>
      <c r="D497" s="289">
        <f>DSDV!W502</f>
        <v>0</v>
      </c>
    </row>
    <row r="498" spans="1:4">
      <c r="A498">
        <f>DSDV!B503</f>
        <v>0</v>
      </c>
      <c r="B498">
        <f>DSDV!G503</f>
        <v>0</v>
      </c>
      <c r="C498" s="288">
        <f>DSDV!K503</f>
        <v>0</v>
      </c>
      <c r="D498" s="289">
        <f>DSDV!W503</f>
        <v>0</v>
      </c>
    </row>
    <row r="499" spans="1:4">
      <c r="A499">
        <f>DSDV!B504</f>
        <v>0</v>
      </c>
      <c r="B499">
        <f>DSDV!G504</f>
        <v>0</v>
      </c>
      <c r="C499" s="288">
        <f>DSDV!K504</f>
        <v>0</v>
      </c>
      <c r="D499" s="289">
        <f>DSDV!W504</f>
        <v>0</v>
      </c>
    </row>
    <row r="500" spans="1:4">
      <c r="A500">
        <f>DSDV!B505</f>
        <v>0</v>
      </c>
      <c r="B500">
        <f>DSDV!G505</f>
        <v>0</v>
      </c>
      <c r="C500" s="288">
        <f>DSDV!K505</f>
        <v>0</v>
      </c>
      <c r="D500" s="289">
        <f>DSDV!W505</f>
        <v>0</v>
      </c>
    </row>
    <row r="501" spans="1:4">
      <c r="A501">
        <f>DSDV!B506</f>
        <v>0</v>
      </c>
      <c r="B501">
        <f>DSDV!G506</f>
        <v>0</v>
      </c>
      <c r="C501" s="288">
        <f>DSDV!K506</f>
        <v>0</v>
      </c>
      <c r="D501" s="289">
        <f>DSDV!W506</f>
        <v>0</v>
      </c>
    </row>
    <row r="502" spans="1:4">
      <c r="A502">
        <f>DSDV!B507</f>
        <v>0</v>
      </c>
      <c r="B502">
        <f>DSDV!G507</f>
        <v>0</v>
      </c>
      <c r="C502" s="288">
        <f>DSDV!K507</f>
        <v>0</v>
      </c>
      <c r="D502" s="289">
        <f>DSDV!W507</f>
        <v>0</v>
      </c>
    </row>
    <row r="503" spans="1:4">
      <c r="A503">
        <f>DSDV!B508</f>
        <v>0</v>
      </c>
      <c r="B503">
        <f>DSDV!G508</f>
        <v>0</v>
      </c>
      <c r="C503" s="288">
        <f>DSDV!K508</f>
        <v>0</v>
      </c>
      <c r="D503" s="289">
        <f>DSDV!W508</f>
        <v>0</v>
      </c>
    </row>
    <row r="504" spans="1:4">
      <c r="A504">
        <f>DSDV!B509</f>
        <v>0</v>
      </c>
      <c r="B504">
        <f>DSDV!G509</f>
        <v>0</v>
      </c>
      <c r="C504" s="288">
        <f>DSDV!K509</f>
        <v>0</v>
      </c>
      <c r="D504" s="289">
        <f>DSDV!W509</f>
        <v>0</v>
      </c>
    </row>
    <row r="505" spans="1:4">
      <c r="A505">
        <f>DSDV!B510</f>
        <v>0</v>
      </c>
      <c r="B505">
        <f>DSDV!G510</f>
        <v>0</v>
      </c>
      <c r="C505" s="288">
        <f>DSDV!K510</f>
        <v>0</v>
      </c>
      <c r="D505" s="289">
        <f>DSDV!W510</f>
        <v>0</v>
      </c>
    </row>
    <row r="506" spans="1:4">
      <c r="A506">
        <f>DSDV!B511</f>
        <v>0</v>
      </c>
      <c r="B506">
        <f>DSDV!G511</f>
        <v>0</v>
      </c>
      <c r="C506" s="288">
        <f>DSDV!K511</f>
        <v>0</v>
      </c>
      <c r="D506" s="289">
        <f>DSDV!W511</f>
        <v>0</v>
      </c>
    </row>
    <row r="507" spans="1:4">
      <c r="A507">
        <f>DSDV!B512</f>
        <v>0</v>
      </c>
      <c r="B507">
        <f>DSDV!G512</f>
        <v>0</v>
      </c>
      <c r="C507" s="288">
        <f>DSDV!K512</f>
        <v>0</v>
      </c>
      <c r="D507" s="289">
        <f>DSDV!W512</f>
        <v>0</v>
      </c>
    </row>
    <row r="508" spans="1:4">
      <c r="A508">
        <f>DSDV!B513</f>
        <v>0</v>
      </c>
      <c r="B508">
        <f>DSDV!G513</f>
        <v>0</v>
      </c>
      <c r="C508" s="288">
        <f>DSDV!K513</f>
        <v>0</v>
      </c>
      <c r="D508" s="289">
        <f>DSDV!W513</f>
        <v>0</v>
      </c>
    </row>
    <row r="509" spans="1:4">
      <c r="A509">
        <f>DSDV!B514</f>
        <v>0</v>
      </c>
      <c r="B509">
        <f>DSDV!G514</f>
        <v>0</v>
      </c>
      <c r="C509" s="288">
        <f>DSDV!K514</f>
        <v>0</v>
      </c>
      <c r="D509" s="289">
        <f>DSDV!W514</f>
        <v>0</v>
      </c>
    </row>
    <row r="510" spans="1:4">
      <c r="A510">
        <f>DSDV!B515</f>
        <v>0</v>
      </c>
      <c r="B510">
        <f>DSDV!G515</f>
        <v>0</v>
      </c>
      <c r="C510" s="288">
        <f>DSDV!K515</f>
        <v>0</v>
      </c>
      <c r="D510" s="289">
        <f>DSDV!W515</f>
        <v>0</v>
      </c>
    </row>
    <row r="511" spans="1:4">
      <c r="A511">
        <f>DSDV!B516</f>
        <v>0</v>
      </c>
      <c r="B511">
        <f>DSDV!G516</f>
        <v>0</v>
      </c>
      <c r="C511" s="288">
        <f>DSDV!K516</f>
        <v>0</v>
      </c>
      <c r="D511" s="289">
        <f>DSDV!W516</f>
        <v>0</v>
      </c>
    </row>
    <row r="512" spans="1:4">
      <c r="A512">
        <f>DSDV!B517</f>
        <v>0</v>
      </c>
      <c r="B512">
        <f>DSDV!G517</f>
        <v>0</v>
      </c>
      <c r="C512" s="288">
        <f>DSDV!K517</f>
        <v>0</v>
      </c>
      <c r="D512" s="289">
        <f>DSDV!W517</f>
        <v>0</v>
      </c>
    </row>
    <row r="513" spans="1:4">
      <c r="A513">
        <f>DSDV!B518</f>
        <v>0</v>
      </c>
      <c r="B513">
        <f>DSDV!G518</f>
        <v>0</v>
      </c>
      <c r="C513" s="288">
        <f>DSDV!K518</f>
        <v>0</v>
      </c>
      <c r="D513" s="289">
        <f>DSDV!W518</f>
        <v>0</v>
      </c>
    </row>
    <row r="514" spans="1:4">
      <c r="A514">
        <f>DSDV!B519</f>
        <v>0</v>
      </c>
      <c r="B514">
        <f>DSDV!G519</f>
        <v>0</v>
      </c>
      <c r="C514" s="288">
        <f>DSDV!K519</f>
        <v>0</v>
      </c>
      <c r="D514" s="289">
        <f>DSDV!W519</f>
        <v>0</v>
      </c>
    </row>
    <row r="515" spans="1:4">
      <c r="A515">
        <f>DSDV!B520</f>
        <v>0</v>
      </c>
      <c r="B515">
        <f>DSDV!G520</f>
        <v>0</v>
      </c>
      <c r="C515" s="288">
        <f>DSDV!K520</f>
        <v>0</v>
      </c>
      <c r="D515" s="289">
        <f>DSDV!W520</f>
        <v>0</v>
      </c>
    </row>
    <row r="516" spans="1:4">
      <c r="A516">
        <f>DSDV!B521</f>
        <v>0</v>
      </c>
      <c r="B516">
        <f>DSDV!G521</f>
        <v>0</v>
      </c>
      <c r="C516" s="288">
        <f>DSDV!K521</f>
        <v>0</v>
      </c>
      <c r="D516" s="289">
        <f>DSDV!W521</f>
        <v>0</v>
      </c>
    </row>
    <row r="517" spans="1:4">
      <c r="A517">
        <f>DSDV!B522</f>
        <v>0</v>
      </c>
      <c r="B517">
        <f>DSDV!G522</f>
        <v>0</v>
      </c>
      <c r="C517" s="288">
        <f>DSDV!K522</f>
        <v>0</v>
      </c>
      <c r="D517" s="289">
        <f>DSDV!W522</f>
        <v>0</v>
      </c>
    </row>
    <row r="518" spans="1:4">
      <c r="A518">
        <f>DSDV!B523</f>
        <v>0</v>
      </c>
      <c r="B518">
        <f>DSDV!G523</f>
        <v>0</v>
      </c>
      <c r="C518" s="288">
        <f>DSDV!K523</f>
        <v>0</v>
      </c>
      <c r="D518" s="289">
        <f>DSDV!W523</f>
        <v>0</v>
      </c>
    </row>
    <row r="519" spans="1:4">
      <c r="A519">
        <f>DSDV!B524</f>
        <v>0</v>
      </c>
      <c r="B519">
        <f>DSDV!G524</f>
        <v>0</v>
      </c>
      <c r="C519" s="288">
        <f>DSDV!K524</f>
        <v>0</v>
      </c>
      <c r="D519" s="289">
        <f>DSDV!W524</f>
        <v>0</v>
      </c>
    </row>
    <row r="520" spans="1:4">
      <c r="A520">
        <f>DSDV!B525</f>
        <v>0</v>
      </c>
      <c r="B520">
        <f>DSDV!G525</f>
        <v>0</v>
      </c>
      <c r="C520" s="288">
        <f>DSDV!K525</f>
        <v>0</v>
      </c>
      <c r="D520" s="289">
        <f>DSDV!W525</f>
        <v>0</v>
      </c>
    </row>
    <row r="521" spans="1:4">
      <c r="A521">
        <f>DSDV!B526</f>
        <v>0</v>
      </c>
      <c r="B521">
        <f>DSDV!G526</f>
        <v>0</v>
      </c>
      <c r="C521" s="288">
        <f>DSDV!K526</f>
        <v>0</v>
      </c>
      <c r="D521" s="289">
        <f>DSDV!W526</f>
        <v>0</v>
      </c>
    </row>
    <row r="522" spans="1:4">
      <c r="A522">
        <f>DSDV!B527</f>
        <v>0</v>
      </c>
      <c r="B522">
        <f>DSDV!G527</f>
        <v>0</v>
      </c>
      <c r="C522" s="288">
        <f>DSDV!K527</f>
        <v>0</v>
      </c>
      <c r="D522" s="289">
        <f>DSDV!W527</f>
        <v>0</v>
      </c>
    </row>
    <row r="523" spans="1:4">
      <c r="A523">
        <f>DSDV!B528</f>
        <v>0</v>
      </c>
      <c r="B523">
        <f>DSDV!G528</f>
        <v>0</v>
      </c>
      <c r="C523" s="288">
        <f>DSDV!K528</f>
        <v>0</v>
      </c>
      <c r="D523" s="289">
        <f>DSDV!W528</f>
        <v>0</v>
      </c>
    </row>
    <row r="524" spans="1:4">
      <c r="A524">
        <f>DSDV!B529</f>
        <v>0</v>
      </c>
      <c r="B524">
        <f>DSDV!G529</f>
        <v>0</v>
      </c>
      <c r="C524" s="288">
        <f>DSDV!K529</f>
        <v>0</v>
      </c>
      <c r="D524" s="289">
        <f>DSDV!W529</f>
        <v>0</v>
      </c>
    </row>
    <row r="525" spans="1:4">
      <c r="A525">
        <f>DSDV!B530</f>
        <v>0</v>
      </c>
      <c r="B525">
        <f>DSDV!G530</f>
        <v>0</v>
      </c>
      <c r="C525" s="288">
        <f>DSDV!K530</f>
        <v>0</v>
      </c>
      <c r="D525" s="289">
        <f>DSDV!W530</f>
        <v>0</v>
      </c>
    </row>
    <row r="526" spans="1:4">
      <c r="A526">
        <f>DSDV!B531</f>
        <v>0</v>
      </c>
      <c r="B526">
        <f>DSDV!G531</f>
        <v>0</v>
      </c>
      <c r="C526" s="288">
        <f>DSDV!K531</f>
        <v>0</v>
      </c>
      <c r="D526" s="289">
        <f>DSDV!W531</f>
        <v>0</v>
      </c>
    </row>
    <row r="527" spans="1:4">
      <c r="A527">
        <f>DSDV!B532</f>
        <v>0</v>
      </c>
      <c r="B527">
        <f>DSDV!G532</f>
        <v>0</v>
      </c>
      <c r="C527" s="288">
        <f>DSDV!K532</f>
        <v>0</v>
      </c>
      <c r="D527" s="289">
        <f>DSDV!W532</f>
        <v>0</v>
      </c>
    </row>
    <row r="528" spans="1:4">
      <c r="A528">
        <f>DSDV!B533</f>
        <v>0</v>
      </c>
      <c r="B528">
        <f>DSDV!G533</f>
        <v>0</v>
      </c>
      <c r="C528" s="288">
        <f>DSDV!K533</f>
        <v>0</v>
      </c>
      <c r="D528" s="289">
        <f>DSDV!W533</f>
        <v>0</v>
      </c>
    </row>
    <row r="529" spans="1:4">
      <c r="A529">
        <f>DSDV!B534</f>
        <v>0</v>
      </c>
      <c r="B529">
        <f>DSDV!G534</f>
        <v>0</v>
      </c>
      <c r="C529" s="288">
        <f>DSDV!K534</f>
        <v>0</v>
      </c>
      <c r="D529" s="289">
        <f>DSDV!W534</f>
        <v>0</v>
      </c>
    </row>
    <row r="530" spans="1:4">
      <c r="A530">
        <f>DSDV!B535</f>
        <v>0</v>
      </c>
      <c r="B530">
        <f>DSDV!G535</f>
        <v>0</v>
      </c>
      <c r="C530" s="288">
        <f>DSDV!K535</f>
        <v>0</v>
      </c>
      <c r="D530" s="289">
        <f>DSDV!W535</f>
        <v>0</v>
      </c>
    </row>
    <row r="531" spans="1:4">
      <c r="A531">
        <f>DSDV!B536</f>
        <v>0</v>
      </c>
      <c r="B531">
        <f>DSDV!G536</f>
        <v>0</v>
      </c>
      <c r="C531" s="288">
        <f>DSDV!K536</f>
        <v>0</v>
      </c>
      <c r="D531" s="289">
        <f>DSDV!W536</f>
        <v>0</v>
      </c>
    </row>
    <row r="532" spans="1:4">
      <c r="A532">
        <f>DSDV!B537</f>
        <v>0</v>
      </c>
      <c r="B532">
        <f>DSDV!G537</f>
        <v>0</v>
      </c>
      <c r="C532" s="288">
        <f>DSDV!K537</f>
        <v>0</v>
      </c>
      <c r="D532" s="289">
        <f>DSDV!W537</f>
        <v>0</v>
      </c>
    </row>
    <row r="533" spans="1:4">
      <c r="A533">
        <f>DSDV!B538</f>
        <v>0</v>
      </c>
      <c r="B533">
        <f>DSDV!G538</f>
        <v>0</v>
      </c>
      <c r="C533" s="288">
        <f>DSDV!K538</f>
        <v>0</v>
      </c>
      <c r="D533" s="289">
        <f>DSDV!W538</f>
        <v>0</v>
      </c>
    </row>
    <row r="534" spans="1:4">
      <c r="A534">
        <f>DSDV!B539</f>
        <v>0</v>
      </c>
      <c r="B534">
        <f>DSDV!G539</f>
        <v>0</v>
      </c>
      <c r="C534" s="288">
        <f>DSDV!K539</f>
        <v>0</v>
      </c>
      <c r="D534" s="289">
        <f>DSDV!W539</f>
        <v>0</v>
      </c>
    </row>
    <row r="535" spans="1:4">
      <c r="A535">
        <f>DSDV!B540</f>
        <v>0</v>
      </c>
      <c r="B535">
        <f>DSDV!G540</f>
        <v>0</v>
      </c>
      <c r="C535" s="288">
        <f>DSDV!K540</f>
        <v>0</v>
      </c>
      <c r="D535" s="289">
        <f>DSDV!W540</f>
        <v>0</v>
      </c>
    </row>
    <row r="536" spans="1:4">
      <c r="A536">
        <f>DSDV!B541</f>
        <v>0</v>
      </c>
      <c r="B536">
        <f>DSDV!G541</f>
        <v>0</v>
      </c>
      <c r="C536" s="288">
        <f>DSDV!K541</f>
        <v>0</v>
      </c>
      <c r="D536" s="289">
        <f>DSDV!W541</f>
        <v>0</v>
      </c>
    </row>
    <row r="537" spans="1:4">
      <c r="A537">
        <f>DSDV!B542</f>
        <v>0</v>
      </c>
      <c r="B537">
        <f>DSDV!G542</f>
        <v>0</v>
      </c>
      <c r="C537" s="288">
        <f>DSDV!K542</f>
        <v>0</v>
      </c>
      <c r="D537" s="289">
        <f>DSDV!W542</f>
        <v>0</v>
      </c>
    </row>
    <row r="538" spans="1:4">
      <c r="A538">
        <f>DSDV!B543</f>
        <v>0</v>
      </c>
      <c r="B538">
        <f>DSDV!G543</f>
        <v>0</v>
      </c>
      <c r="C538" s="288">
        <f>DSDV!K543</f>
        <v>0</v>
      </c>
      <c r="D538" s="289">
        <f>DSDV!W543</f>
        <v>0</v>
      </c>
    </row>
    <row r="539" spans="1:4">
      <c r="A539">
        <f>DSDV!B544</f>
        <v>0</v>
      </c>
      <c r="B539">
        <f>DSDV!G544</f>
        <v>0</v>
      </c>
      <c r="C539" s="288">
        <f>DSDV!K544</f>
        <v>0</v>
      </c>
      <c r="D539" s="289">
        <f>DSDV!W544</f>
        <v>0</v>
      </c>
    </row>
    <row r="540" spans="1:4">
      <c r="A540">
        <f>DSDV!B545</f>
        <v>0</v>
      </c>
      <c r="B540">
        <f>DSDV!G545</f>
        <v>0</v>
      </c>
      <c r="C540" s="288">
        <f>DSDV!K545</f>
        <v>0</v>
      </c>
      <c r="D540" s="289">
        <f>DSDV!W545</f>
        <v>0</v>
      </c>
    </row>
    <row r="541" spans="1:4">
      <c r="A541">
        <f>DSDV!B546</f>
        <v>0</v>
      </c>
      <c r="B541">
        <f>DSDV!G546</f>
        <v>0</v>
      </c>
      <c r="C541" s="288">
        <f>DSDV!K546</f>
        <v>0</v>
      </c>
      <c r="D541" s="289">
        <f>DSDV!W546</f>
        <v>0</v>
      </c>
    </row>
    <row r="542" spans="1:4">
      <c r="A542">
        <f>DSDV!B547</f>
        <v>0</v>
      </c>
      <c r="B542">
        <f>DSDV!G547</f>
        <v>0</v>
      </c>
      <c r="C542" s="288">
        <f>DSDV!K547</f>
        <v>0</v>
      </c>
      <c r="D542" s="289">
        <f>DSDV!W547</f>
        <v>0</v>
      </c>
    </row>
    <row r="543" spans="1:4">
      <c r="A543">
        <f>DSDV!B548</f>
        <v>0</v>
      </c>
      <c r="B543">
        <f>DSDV!G548</f>
        <v>0</v>
      </c>
      <c r="C543" s="288">
        <f>DSDV!K548</f>
        <v>0</v>
      </c>
      <c r="D543" s="289">
        <f>DSDV!W548</f>
        <v>0</v>
      </c>
    </row>
    <row r="544" spans="1:4">
      <c r="A544">
        <f>DSDV!B549</f>
        <v>0</v>
      </c>
      <c r="B544">
        <f>DSDV!G549</f>
        <v>0</v>
      </c>
      <c r="C544" s="288">
        <f>DSDV!K549</f>
        <v>0</v>
      </c>
      <c r="D544" s="289">
        <f>DSDV!W549</f>
        <v>0</v>
      </c>
    </row>
    <row r="545" spans="1:4">
      <c r="A545">
        <f>DSDV!B550</f>
        <v>0</v>
      </c>
      <c r="B545">
        <f>DSDV!G550</f>
        <v>0</v>
      </c>
      <c r="C545" s="288">
        <f>DSDV!K550</f>
        <v>0</v>
      </c>
      <c r="D545" s="289">
        <f>DSDV!W550</f>
        <v>0</v>
      </c>
    </row>
    <row r="546" spans="1:4">
      <c r="A546">
        <f>DSDV!B551</f>
        <v>0</v>
      </c>
      <c r="B546">
        <f>DSDV!G551</f>
        <v>0</v>
      </c>
      <c r="C546" s="288">
        <f>DSDV!K551</f>
        <v>0</v>
      </c>
      <c r="D546" s="289">
        <f>DSDV!W551</f>
        <v>0</v>
      </c>
    </row>
    <row r="547" spans="1:4">
      <c r="A547">
        <f>DSDV!B552</f>
        <v>0</v>
      </c>
      <c r="B547">
        <f>DSDV!G552</f>
        <v>0</v>
      </c>
      <c r="C547" s="288">
        <f>DSDV!K552</f>
        <v>0</v>
      </c>
      <c r="D547" s="289">
        <f>DSDV!W552</f>
        <v>0</v>
      </c>
    </row>
    <row r="548" spans="1:4">
      <c r="A548">
        <f>DSDV!B553</f>
        <v>0</v>
      </c>
      <c r="B548">
        <f>DSDV!G553</f>
        <v>0</v>
      </c>
      <c r="C548" s="288">
        <f>DSDV!K553</f>
        <v>0</v>
      </c>
      <c r="D548" s="289">
        <f>DSDV!W553</f>
        <v>0</v>
      </c>
    </row>
    <row r="549" spans="1:4">
      <c r="A549">
        <f>DSDV!B554</f>
        <v>0</v>
      </c>
      <c r="B549">
        <f>DSDV!G554</f>
        <v>0</v>
      </c>
      <c r="C549" s="288">
        <f>DSDV!K554</f>
        <v>0</v>
      </c>
      <c r="D549" s="289">
        <f>DSDV!W554</f>
        <v>0</v>
      </c>
    </row>
    <row r="550" spans="1:4">
      <c r="A550">
        <f>DSDV!B555</f>
        <v>0</v>
      </c>
      <c r="B550">
        <f>DSDV!G555</f>
        <v>0</v>
      </c>
      <c r="C550" s="288">
        <f>DSDV!K555</f>
        <v>0</v>
      </c>
      <c r="D550" s="289">
        <f>DSDV!W555</f>
        <v>0</v>
      </c>
    </row>
    <row r="551" spans="1:4">
      <c r="A551">
        <f>DSDV!B556</f>
        <v>0</v>
      </c>
      <c r="B551">
        <f>DSDV!G556</f>
        <v>0</v>
      </c>
      <c r="C551" s="288">
        <f>DSDV!K556</f>
        <v>0</v>
      </c>
      <c r="D551" s="289">
        <f>DSDV!W556</f>
        <v>0</v>
      </c>
    </row>
    <row r="552" spans="1:4">
      <c r="A552">
        <f>DSDV!B557</f>
        <v>0</v>
      </c>
      <c r="B552">
        <f>DSDV!G557</f>
        <v>0</v>
      </c>
      <c r="C552" s="288">
        <f>DSDV!K557</f>
        <v>0</v>
      </c>
      <c r="D552" s="289">
        <f>DSDV!W557</f>
        <v>0</v>
      </c>
    </row>
    <row r="553" spans="1:4">
      <c r="A553">
        <f>DSDV!B558</f>
        <v>0</v>
      </c>
      <c r="B553">
        <f>DSDV!G558</f>
        <v>0</v>
      </c>
      <c r="C553" s="288">
        <f>DSDV!K558</f>
        <v>0</v>
      </c>
      <c r="D553" s="289">
        <f>DSDV!W558</f>
        <v>0</v>
      </c>
    </row>
    <row r="554" spans="1:4">
      <c r="A554">
        <f>DSDV!B559</f>
        <v>0</v>
      </c>
      <c r="B554">
        <f>DSDV!G559</f>
        <v>0</v>
      </c>
      <c r="C554" s="288">
        <f>DSDV!K559</f>
        <v>0</v>
      </c>
      <c r="D554" s="289">
        <f>DSDV!W559</f>
        <v>0</v>
      </c>
    </row>
    <row r="555" spans="1:4">
      <c r="A555">
        <f>DSDV!B560</f>
        <v>0</v>
      </c>
      <c r="B555">
        <f>DSDV!G560</f>
        <v>0</v>
      </c>
      <c r="C555" s="288">
        <f>DSDV!K560</f>
        <v>0</v>
      </c>
      <c r="D555" s="289">
        <f>DSDV!W560</f>
        <v>0</v>
      </c>
    </row>
    <row r="556" spans="1:4">
      <c r="A556">
        <f>DSDV!B561</f>
        <v>0</v>
      </c>
      <c r="B556">
        <f>DSDV!G561</f>
        <v>0</v>
      </c>
      <c r="C556" s="288">
        <f>DSDV!K561</f>
        <v>0</v>
      </c>
      <c r="D556" s="289">
        <f>DSDV!W561</f>
        <v>0</v>
      </c>
    </row>
    <row r="557" spans="1:4">
      <c r="A557">
        <f>DSDV!B562</f>
        <v>0</v>
      </c>
      <c r="B557">
        <f>DSDV!G562</f>
        <v>0</v>
      </c>
      <c r="C557" s="288">
        <f>DSDV!K562</f>
        <v>0</v>
      </c>
      <c r="D557" s="289">
        <f>DSDV!W562</f>
        <v>0</v>
      </c>
    </row>
    <row r="558" spans="1:4">
      <c r="A558">
        <f>DSDV!B563</f>
        <v>0</v>
      </c>
      <c r="B558">
        <f>DSDV!G563</f>
        <v>0</v>
      </c>
      <c r="C558" s="288">
        <f>DSDV!K563</f>
        <v>0</v>
      </c>
      <c r="D558" s="289">
        <f>DSDV!W563</f>
        <v>0</v>
      </c>
    </row>
    <row r="559" spans="1:4">
      <c r="A559">
        <f>DSDV!B564</f>
        <v>0</v>
      </c>
      <c r="B559">
        <f>DSDV!G564</f>
        <v>0</v>
      </c>
      <c r="C559" s="288">
        <f>DSDV!K564</f>
        <v>0</v>
      </c>
      <c r="D559" s="289">
        <f>DSDV!W564</f>
        <v>0</v>
      </c>
    </row>
    <row r="560" spans="1:4">
      <c r="A560">
        <f>DSDV!B565</f>
        <v>0</v>
      </c>
      <c r="B560">
        <f>DSDV!G565</f>
        <v>0</v>
      </c>
      <c r="C560" s="288">
        <f>DSDV!K565</f>
        <v>0</v>
      </c>
      <c r="D560" s="289">
        <f>DSDV!W565</f>
        <v>0</v>
      </c>
    </row>
    <row r="561" spans="1:4">
      <c r="A561">
        <f>DSDV!B566</f>
        <v>0</v>
      </c>
      <c r="B561">
        <f>DSDV!G566</f>
        <v>0</v>
      </c>
      <c r="C561" s="288">
        <f>DSDV!K566</f>
        <v>0</v>
      </c>
      <c r="D561" s="289">
        <f>DSDV!W566</f>
        <v>0</v>
      </c>
    </row>
    <row r="562" spans="1:4">
      <c r="A562">
        <f>DSDV!B567</f>
        <v>0</v>
      </c>
      <c r="B562">
        <f>DSDV!G567</f>
        <v>0</v>
      </c>
      <c r="C562" s="288">
        <f>DSDV!K567</f>
        <v>0</v>
      </c>
      <c r="D562" s="289">
        <f>DSDV!W567</f>
        <v>0</v>
      </c>
    </row>
    <row r="563" spans="1:4">
      <c r="A563">
        <f>DSDV!B568</f>
        <v>0</v>
      </c>
      <c r="B563">
        <f>DSDV!G568</f>
        <v>0</v>
      </c>
      <c r="C563" s="288">
        <f>DSDV!K568</f>
        <v>0</v>
      </c>
      <c r="D563" s="289">
        <f>DSDV!W568</f>
        <v>0</v>
      </c>
    </row>
    <row r="564" spans="1:4">
      <c r="A564">
        <f>DSDV!B569</f>
        <v>0</v>
      </c>
      <c r="B564">
        <f>DSDV!G569</f>
        <v>0</v>
      </c>
      <c r="C564" s="288">
        <f>DSDV!K569</f>
        <v>0</v>
      </c>
      <c r="D564" s="289">
        <f>DSDV!W569</f>
        <v>0</v>
      </c>
    </row>
    <row r="565" spans="1:4">
      <c r="A565">
        <f>DSDV!B570</f>
        <v>0</v>
      </c>
      <c r="B565">
        <f>DSDV!G570</f>
        <v>0</v>
      </c>
      <c r="C565" s="288">
        <f>DSDV!K570</f>
        <v>0</v>
      </c>
      <c r="D565" s="289">
        <f>DSDV!W570</f>
        <v>0</v>
      </c>
    </row>
    <row r="566" spans="1:4">
      <c r="A566">
        <f>DSDV!B571</f>
        <v>0</v>
      </c>
      <c r="B566">
        <f>DSDV!G571</f>
        <v>0</v>
      </c>
      <c r="C566" s="288">
        <f>DSDV!K571</f>
        <v>0</v>
      </c>
      <c r="D566" s="289">
        <f>DSDV!W571</f>
        <v>0</v>
      </c>
    </row>
    <row r="567" spans="1:4">
      <c r="A567">
        <f>DSDV!B572</f>
        <v>0</v>
      </c>
      <c r="B567">
        <f>DSDV!G572</f>
        <v>0</v>
      </c>
      <c r="C567" s="288">
        <f>DSDV!K572</f>
        <v>0</v>
      </c>
      <c r="D567" s="289">
        <f>DSDV!W572</f>
        <v>0</v>
      </c>
    </row>
    <row r="568" spans="1:4">
      <c r="A568">
        <f>DSDV!B573</f>
        <v>0</v>
      </c>
      <c r="B568">
        <f>DSDV!G573</f>
        <v>0</v>
      </c>
      <c r="C568" s="288">
        <f>DSDV!K573</f>
        <v>0</v>
      </c>
      <c r="D568" s="289">
        <f>DSDV!W573</f>
        <v>0</v>
      </c>
    </row>
    <row r="569" spans="1:4">
      <c r="A569">
        <f>DSDV!B574</f>
        <v>0</v>
      </c>
      <c r="B569">
        <f>DSDV!G574</f>
        <v>0</v>
      </c>
      <c r="C569" s="288">
        <f>DSDV!K574</f>
        <v>0</v>
      </c>
      <c r="D569" s="289">
        <f>DSDV!W574</f>
        <v>0</v>
      </c>
    </row>
    <row r="570" spans="1:4">
      <c r="A570">
        <f>DSDV!B575</f>
        <v>0</v>
      </c>
      <c r="B570">
        <f>DSDV!G575</f>
        <v>0</v>
      </c>
      <c r="C570" s="288">
        <f>DSDV!K575</f>
        <v>0</v>
      </c>
      <c r="D570" s="289">
        <f>DSDV!W575</f>
        <v>0</v>
      </c>
    </row>
    <row r="571" spans="1:4">
      <c r="A571">
        <f>DSDV!B576</f>
        <v>0</v>
      </c>
      <c r="B571">
        <f>DSDV!G576</f>
        <v>0</v>
      </c>
      <c r="C571" s="288">
        <f>DSDV!K576</f>
        <v>0</v>
      </c>
      <c r="D571" s="289">
        <f>DSDV!W576</f>
        <v>0</v>
      </c>
    </row>
    <row r="572" spans="1:4">
      <c r="A572">
        <f>DSDV!B577</f>
        <v>0</v>
      </c>
      <c r="B572">
        <f>DSDV!G577</f>
        <v>0</v>
      </c>
      <c r="C572" s="288">
        <f>DSDV!K577</f>
        <v>0</v>
      </c>
      <c r="D572" s="289">
        <f>DSDV!W577</f>
        <v>0</v>
      </c>
    </row>
    <row r="573" spans="1:4">
      <c r="A573">
        <f>DSDV!B578</f>
        <v>0</v>
      </c>
      <c r="B573">
        <f>DSDV!G578</f>
        <v>0</v>
      </c>
      <c r="C573" s="288">
        <f>DSDV!K578</f>
        <v>0</v>
      </c>
      <c r="D573" s="289">
        <f>DSDV!W578</f>
        <v>0</v>
      </c>
    </row>
    <row r="574" spans="1:4">
      <c r="A574">
        <f>DSDV!B579</f>
        <v>0</v>
      </c>
      <c r="B574">
        <f>DSDV!G579</f>
        <v>0</v>
      </c>
      <c r="C574" s="288">
        <f>DSDV!K579</f>
        <v>0</v>
      </c>
      <c r="D574" s="289">
        <f>DSDV!W579</f>
        <v>0</v>
      </c>
    </row>
    <row r="575" spans="1:4">
      <c r="A575">
        <f>DSDV!B580</f>
        <v>0</v>
      </c>
      <c r="B575">
        <f>DSDV!G580</f>
        <v>0</v>
      </c>
      <c r="C575" s="288">
        <f>DSDV!K580</f>
        <v>0</v>
      </c>
      <c r="D575" s="289">
        <f>DSDV!W580</f>
        <v>0</v>
      </c>
    </row>
    <row r="576" spans="1:4">
      <c r="A576">
        <f>DSDV!B581</f>
        <v>0</v>
      </c>
      <c r="B576">
        <f>DSDV!G581</f>
        <v>0</v>
      </c>
      <c r="C576" s="288">
        <f>DSDV!K581</f>
        <v>0</v>
      </c>
      <c r="D576" s="289">
        <f>DSDV!W581</f>
        <v>0</v>
      </c>
    </row>
    <row r="577" spans="1:4">
      <c r="A577">
        <f>DSDV!B582</f>
        <v>0</v>
      </c>
      <c r="B577">
        <f>DSDV!G582</f>
        <v>0</v>
      </c>
      <c r="C577" s="288">
        <f>DSDV!K582</f>
        <v>0</v>
      </c>
      <c r="D577" s="289">
        <f>DSDV!W582</f>
        <v>0</v>
      </c>
    </row>
    <row r="578" spans="1:4">
      <c r="A578">
        <f>DSDV!B583</f>
        <v>0</v>
      </c>
      <c r="B578">
        <f>DSDV!G583</f>
        <v>0</v>
      </c>
      <c r="C578" s="288">
        <f>DSDV!K583</f>
        <v>0</v>
      </c>
      <c r="D578" s="289">
        <f>DSDV!W583</f>
        <v>0</v>
      </c>
    </row>
    <row r="579" spans="1:4">
      <c r="A579">
        <f>DSDV!B584</f>
        <v>0</v>
      </c>
      <c r="B579">
        <f>DSDV!G584</f>
        <v>0</v>
      </c>
      <c r="C579" s="288">
        <f>DSDV!K584</f>
        <v>0</v>
      </c>
      <c r="D579" s="289">
        <f>DSDV!W584</f>
        <v>0</v>
      </c>
    </row>
    <row r="580" spans="1:4">
      <c r="A580">
        <f>DSDV!B585</f>
        <v>0</v>
      </c>
      <c r="B580">
        <f>DSDV!G585</f>
        <v>0</v>
      </c>
      <c r="C580" s="288">
        <f>DSDV!K585</f>
        <v>0</v>
      </c>
      <c r="D580" s="289">
        <f>DSDV!W585</f>
        <v>0</v>
      </c>
    </row>
    <row r="581" spans="1:4">
      <c r="A581">
        <f>DSDV!B586</f>
        <v>0</v>
      </c>
      <c r="B581">
        <f>DSDV!G586</f>
        <v>0</v>
      </c>
      <c r="C581" s="288">
        <f>DSDV!K586</f>
        <v>0</v>
      </c>
      <c r="D581" s="289">
        <f>DSDV!W586</f>
        <v>0</v>
      </c>
    </row>
    <row r="582" spans="1:4">
      <c r="A582">
        <f>DSDV!B587</f>
        <v>0</v>
      </c>
      <c r="B582">
        <f>DSDV!G587</f>
        <v>0</v>
      </c>
      <c r="C582" s="288">
        <f>DSDV!K587</f>
        <v>0</v>
      </c>
      <c r="D582" s="289">
        <f>DSDV!W587</f>
        <v>0</v>
      </c>
    </row>
    <row r="583" spans="1:4">
      <c r="A583">
        <f>DSDV!B588</f>
        <v>0</v>
      </c>
      <c r="B583">
        <f>DSDV!G588</f>
        <v>0</v>
      </c>
      <c r="C583" s="288">
        <f>DSDV!K588</f>
        <v>0</v>
      </c>
      <c r="D583" s="289">
        <f>DSDV!W588</f>
        <v>0</v>
      </c>
    </row>
    <row r="584" spans="1:4">
      <c r="A584">
        <f>DSDV!B589</f>
        <v>0</v>
      </c>
      <c r="B584">
        <f>DSDV!G589</f>
        <v>0</v>
      </c>
      <c r="C584" s="288">
        <f>DSDV!K589</f>
        <v>0</v>
      </c>
      <c r="D584" s="289">
        <f>DSDV!W589</f>
        <v>0</v>
      </c>
    </row>
    <row r="585" spans="1:4">
      <c r="A585">
        <f>DSDV!B590</f>
        <v>0</v>
      </c>
      <c r="B585">
        <f>DSDV!G590</f>
        <v>0</v>
      </c>
      <c r="C585" s="288">
        <f>DSDV!K590</f>
        <v>0</v>
      </c>
      <c r="D585" s="289">
        <f>DSDV!W590</f>
        <v>0</v>
      </c>
    </row>
    <row r="586" spans="1:4">
      <c r="A586">
        <f>DSDV!B591</f>
        <v>0</v>
      </c>
      <c r="B586">
        <f>DSDV!G591</f>
        <v>0</v>
      </c>
      <c r="C586" s="288">
        <f>DSDV!K591</f>
        <v>0</v>
      </c>
      <c r="D586" s="289">
        <f>DSDV!W591</f>
        <v>0</v>
      </c>
    </row>
    <row r="587" spans="1:4">
      <c r="A587">
        <f>DSDV!B592</f>
        <v>0</v>
      </c>
      <c r="B587">
        <f>DSDV!G592</f>
        <v>0</v>
      </c>
      <c r="C587" s="288">
        <f>DSDV!K592</f>
        <v>0</v>
      </c>
      <c r="D587" s="289">
        <f>DSDV!W592</f>
        <v>0</v>
      </c>
    </row>
    <row r="588" spans="1:4">
      <c r="A588">
        <f>DSDV!B593</f>
        <v>0</v>
      </c>
      <c r="B588">
        <f>DSDV!G593</f>
        <v>0</v>
      </c>
      <c r="C588" s="288">
        <f>DSDV!K593</f>
        <v>0</v>
      </c>
      <c r="D588" s="289">
        <f>DSDV!W593</f>
        <v>0</v>
      </c>
    </row>
    <row r="589" spans="1:4">
      <c r="A589">
        <f>DSDV!B594</f>
        <v>0</v>
      </c>
      <c r="B589">
        <f>DSDV!G594</f>
        <v>0</v>
      </c>
      <c r="C589" s="288">
        <f>DSDV!K594</f>
        <v>0</v>
      </c>
      <c r="D589" s="289">
        <f>DSDV!W594</f>
        <v>0</v>
      </c>
    </row>
    <row r="590" spans="1:4">
      <c r="A590">
        <f>DSDV!B595</f>
        <v>0</v>
      </c>
      <c r="B590">
        <f>DSDV!G595</f>
        <v>0</v>
      </c>
      <c r="C590" s="288">
        <f>DSDV!K595</f>
        <v>0</v>
      </c>
      <c r="D590" s="289">
        <f>DSDV!W595</f>
        <v>0</v>
      </c>
    </row>
    <row r="591" spans="1:4">
      <c r="A591">
        <f>DSDV!B596</f>
        <v>0</v>
      </c>
      <c r="B591">
        <f>DSDV!G596</f>
        <v>0</v>
      </c>
      <c r="C591" s="288">
        <f>DSDV!K596</f>
        <v>0</v>
      </c>
      <c r="D591" s="289">
        <f>DSDV!W596</f>
        <v>0</v>
      </c>
    </row>
    <row r="592" spans="1:4">
      <c r="A592">
        <f>DSDV!B597</f>
        <v>0</v>
      </c>
      <c r="B592">
        <f>DSDV!G597</f>
        <v>0</v>
      </c>
      <c r="C592" s="288">
        <f>DSDV!K597</f>
        <v>0</v>
      </c>
      <c r="D592" s="289">
        <f>DSDV!W597</f>
        <v>0</v>
      </c>
    </row>
    <row r="593" spans="1:4">
      <c r="A593">
        <f>DSDV!B598</f>
        <v>0</v>
      </c>
      <c r="B593">
        <f>DSDV!G598</f>
        <v>0</v>
      </c>
      <c r="C593" s="288">
        <f>DSDV!K598</f>
        <v>0</v>
      </c>
      <c r="D593" s="289">
        <f>DSDV!W598</f>
        <v>0</v>
      </c>
    </row>
    <row r="594" spans="1:4">
      <c r="A594">
        <f>DSDV!B599</f>
        <v>0</v>
      </c>
      <c r="B594">
        <f>DSDV!G599</f>
        <v>0</v>
      </c>
      <c r="C594" s="288">
        <f>DSDV!K599</f>
        <v>0</v>
      </c>
      <c r="D594" s="289">
        <f>DSDV!W599</f>
        <v>0</v>
      </c>
    </row>
    <row r="595" spans="1:4">
      <c r="A595">
        <f>DSDV!B600</f>
        <v>0</v>
      </c>
      <c r="B595">
        <f>DSDV!G600</f>
        <v>0</v>
      </c>
      <c r="C595" s="288">
        <f>DSDV!K600</f>
        <v>0</v>
      </c>
      <c r="D595" s="289">
        <f>DSDV!W600</f>
        <v>0</v>
      </c>
    </row>
    <row r="596" spans="1:4">
      <c r="A596">
        <f>DSDV!B601</f>
        <v>0</v>
      </c>
      <c r="B596">
        <f>DSDV!G601</f>
        <v>0</v>
      </c>
      <c r="C596" s="288">
        <f>DSDV!K601</f>
        <v>0</v>
      </c>
      <c r="D596" s="289">
        <f>DSDV!W601</f>
        <v>0</v>
      </c>
    </row>
    <row r="597" spans="1:4">
      <c r="A597">
        <f>DSDV!B602</f>
        <v>0</v>
      </c>
      <c r="B597">
        <f>DSDV!G602</f>
        <v>0</v>
      </c>
      <c r="C597" s="288">
        <f>DSDV!K602</f>
        <v>0</v>
      </c>
      <c r="D597" s="289">
        <f>DSDV!W602</f>
        <v>0</v>
      </c>
    </row>
    <row r="598" spans="1:4">
      <c r="A598">
        <f>DSDV!B603</f>
        <v>0</v>
      </c>
      <c r="B598">
        <f>DSDV!G603</f>
        <v>0</v>
      </c>
      <c r="C598" s="288">
        <f>DSDV!K603</f>
        <v>0</v>
      </c>
      <c r="D598" s="289">
        <f>DSDV!W603</f>
        <v>0</v>
      </c>
    </row>
    <row r="599" spans="1:4">
      <c r="A599">
        <f>DSDV!B604</f>
        <v>0</v>
      </c>
      <c r="B599">
        <f>DSDV!G604</f>
        <v>0</v>
      </c>
      <c r="C599" s="288">
        <f>DSDV!K604</f>
        <v>0</v>
      </c>
      <c r="D599" s="289">
        <f>DSDV!W604</f>
        <v>0</v>
      </c>
    </row>
    <row r="600" spans="1:4">
      <c r="A600">
        <f>DSDV!B605</f>
        <v>0</v>
      </c>
      <c r="B600">
        <f>DSDV!G605</f>
        <v>0</v>
      </c>
      <c r="C600" s="288">
        <f>DSDV!K605</f>
        <v>0</v>
      </c>
      <c r="D600" s="289">
        <f>DSDV!W605</f>
        <v>0</v>
      </c>
    </row>
    <row r="601" spans="1:4">
      <c r="A601">
        <f>DSDV!B606</f>
        <v>0</v>
      </c>
      <c r="B601">
        <f>DSDV!G606</f>
        <v>0</v>
      </c>
      <c r="C601" s="288">
        <f>DSDV!K606</f>
        <v>0</v>
      </c>
      <c r="D601" s="289">
        <f>DSDV!W606</f>
        <v>0</v>
      </c>
    </row>
    <row r="602" spans="1:4">
      <c r="A602">
        <f>DSDV!B607</f>
        <v>0</v>
      </c>
      <c r="B602">
        <f>DSDV!G607</f>
        <v>0</v>
      </c>
      <c r="C602" s="288">
        <f>DSDV!K607</f>
        <v>0</v>
      </c>
      <c r="D602" s="289">
        <f>DSDV!W607</f>
        <v>0</v>
      </c>
    </row>
    <row r="603" spans="1:4">
      <c r="A603">
        <f>DSDV!B608</f>
        <v>0</v>
      </c>
      <c r="B603">
        <f>DSDV!G608</f>
        <v>0</v>
      </c>
      <c r="C603" s="288">
        <f>DSDV!K608</f>
        <v>0</v>
      </c>
      <c r="D603" s="289">
        <f>DSDV!W608</f>
        <v>0</v>
      </c>
    </row>
    <row r="604" spans="1:4">
      <c r="A604">
        <f>DSDV!B609</f>
        <v>0</v>
      </c>
      <c r="B604">
        <f>DSDV!G609</f>
        <v>0</v>
      </c>
      <c r="C604" s="288">
        <f>DSDV!K609</f>
        <v>0</v>
      </c>
      <c r="D604" s="289">
        <f>DSDV!W609</f>
        <v>0</v>
      </c>
    </row>
    <row r="605" spans="1:4">
      <c r="A605">
        <f>DSDV!B610</f>
        <v>0</v>
      </c>
      <c r="B605">
        <f>DSDV!G610</f>
        <v>0</v>
      </c>
      <c r="C605" s="288">
        <f>DSDV!K610</f>
        <v>0</v>
      </c>
      <c r="D605" s="289">
        <f>DSDV!W610</f>
        <v>0</v>
      </c>
    </row>
    <row r="606" spans="1:4">
      <c r="A606">
        <f>DSDV!B611</f>
        <v>0</v>
      </c>
      <c r="B606">
        <f>DSDV!G611</f>
        <v>0</v>
      </c>
      <c r="C606" s="288">
        <f>DSDV!K611</f>
        <v>0</v>
      </c>
      <c r="D606" s="289">
        <f>DSDV!W611</f>
        <v>0</v>
      </c>
    </row>
    <row r="607" spans="1:4">
      <c r="A607">
        <f>DSDV!B612</f>
        <v>0</v>
      </c>
      <c r="B607">
        <f>DSDV!G612</f>
        <v>0</v>
      </c>
      <c r="C607" s="288">
        <f>DSDV!K612</f>
        <v>0</v>
      </c>
      <c r="D607" s="289">
        <f>DSDV!W612</f>
        <v>0</v>
      </c>
    </row>
    <row r="608" spans="1:4">
      <c r="A608">
        <f>DSDV!B613</f>
        <v>0</v>
      </c>
      <c r="B608">
        <f>DSDV!G613</f>
        <v>0</v>
      </c>
      <c r="C608" s="288">
        <f>DSDV!K613</f>
        <v>0</v>
      </c>
      <c r="D608" s="289">
        <f>DSDV!W613</f>
        <v>0</v>
      </c>
    </row>
    <row r="609" spans="1:4">
      <c r="A609">
        <f>DSDV!B614</f>
        <v>0</v>
      </c>
      <c r="B609">
        <f>DSDV!G614</f>
        <v>0</v>
      </c>
      <c r="C609" s="288">
        <f>DSDV!K614</f>
        <v>0</v>
      </c>
      <c r="D609" s="289">
        <f>DSDV!W614</f>
        <v>0</v>
      </c>
    </row>
    <row r="610" spans="1:4">
      <c r="A610">
        <f>DSDV!B615</f>
        <v>0</v>
      </c>
      <c r="B610">
        <f>DSDV!G615</f>
        <v>0</v>
      </c>
      <c r="C610" s="288">
        <f>DSDV!K615</f>
        <v>0</v>
      </c>
      <c r="D610" s="289">
        <f>DSDV!W615</f>
        <v>0</v>
      </c>
    </row>
    <row r="611" spans="1:4">
      <c r="A611">
        <f>DSDV!B616</f>
        <v>0</v>
      </c>
      <c r="B611">
        <f>DSDV!G616</f>
        <v>0</v>
      </c>
      <c r="C611" s="288">
        <f>DSDV!K616</f>
        <v>0</v>
      </c>
      <c r="D611" s="289">
        <f>DSDV!W616</f>
        <v>0</v>
      </c>
    </row>
    <row r="612" spans="1:4">
      <c r="A612">
        <f>DSDV!B617</f>
        <v>0</v>
      </c>
      <c r="B612">
        <f>DSDV!G617</f>
        <v>0</v>
      </c>
      <c r="C612" s="288">
        <f>DSDV!K617</f>
        <v>0</v>
      </c>
      <c r="D612" s="289">
        <f>DSDV!W617</f>
        <v>0</v>
      </c>
    </row>
    <row r="613" spans="1:4">
      <c r="A613">
        <f>DSDV!B618</f>
        <v>0</v>
      </c>
      <c r="B613">
        <f>DSDV!G618</f>
        <v>0</v>
      </c>
      <c r="C613" s="288">
        <f>DSDV!K618</f>
        <v>0</v>
      </c>
      <c r="D613" s="289">
        <f>DSDV!W618</f>
        <v>0</v>
      </c>
    </row>
    <row r="614" spans="1:4">
      <c r="A614">
        <f>DSDV!B619</f>
        <v>0</v>
      </c>
      <c r="B614">
        <f>DSDV!G619</f>
        <v>0</v>
      </c>
      <c r="C614" s="288">
        <f>DSDV!K619</f>
        <v>0</v>
      </c>
      <c r="D614" s="289">
        <f>DSDV!W619</f>
        <v>0</v>
      </c>
    </row>
    <row r="615" spans="1:4">
      <c r="A615">
        <f>DSDV!B620</f>
        <v>0</v>
      </c>
      <c r="B615">
        <f>DSDV!G620</f>
        <v>0</v>
      </c>
      <c r="C615" s="288">
        <f>DSDV!K620</f>
        <v>0</v>
      </c>
      <c r="D615" s="289">
        <f>DSDV!W620</f>
        <v>0</v>
      </c>
    </row>
    <row r="616" spans="1:4">
      <c r="A616">
        <f>DSDV!B621</f>
        <v>0</v>
      </c>
      <c r="B616">
        <f>DSDV!G621</f>
        <v>0</v>
      </c>
      <c r="C616" s="288">
        <f>DSDV!K621</f>
        <v>0</v>
      </c>
      <c r="D616" s="289">
        <f>DSDV!W621</f>
        <v>0</v>
      </c>
    </row>
    <row r="617" spans="1:4">
      <c r="A617">
        <f>DSDV!B622</f>
        <v>0</v>
      </c>
      <c r="B617">
        <f>DSDV!G622</f>
        <v>0</v>
      </c>
      <c r="C617" s="288">
        <f>DSDV!K622</f>
        <v>0</v>
      </c>
      <c r="D617" s="289">
        <f>DSDV!W622</f>
        <v>0</v>
      </c>
    </row>
    <row r="618" spans="1:4">
      <c r="A618">
        <f>DSDV!B623</f>
        <v>0</v>
      </c>
      <c r="B618">
        <f>DSDV!G623</f>
        <v>0</v>
      </c>
      <c r="C618" s="288">
        <f>DSDV!K623</f>
        <v>0</v>
      </c>
      <c r="D618" s="289">
        <f>DSDV!W623</f>
        <v>0</v>
      </c>
    </row>
    <row r="619" spans="1:4">
      <c r="A619">
        <f>DSDV!B624</f>
        <v>0</v>
      </c>
      <c r="B619">
        <f>DSDV!G624</f>
        <v>0</v>
      </c>
      <c r="C619" s="288">
        <f>DSDV!K624</f>
        <v>0</v>
      </c>
      <c r="D619" s="289">
        <f>DSDV!W624</f>
        <v>0</v>
      </c>
    </row>
    <row r="620" spans="1:4">
      <c r="A620">
        <f>DSDV!B625</f>
        <v>0</v>
      </c>
      <c r="B620">
        <f>DSDV!G625</f>
        <v>0</v>
      </c>
      <c r="C620" s="288">
        <f>DSDV!K625</f>
        <v>0</v>
      </c>
      <c r="D620" s="289">
        <f>DSDV!W625</f>
        <v>0</v>
      </c>
    </row>
    <row r="621" spans="1:4">
      <c r="A621">
        <f>DSDV!B626</f>
        <v>0</v>
      </c>
      <c r="B621">
        <f>DSDV!G626</f>
        <v>0</v>
      </c>
      <c r="C621" s="288">
        <f>DSDV!K626</f>
        <v>0</v>
      </c>
      <c r="D621" s="289">
        <f>DSDV!W626</f>
        <v>0</v>
      </c>
    </row>
    <row r="622" spans="1:4">
      <c r="A622">
        <f>DSDV!B627</f>
        <v>0</v>
      </c>
      <c r="B622">
        <f>DSDV!G627</f>
        <v>0</v>
      </c>
      <c r="C622" s="288">
        <f>DSDV!K627</f>
        <v>0</v>
      </c>
      <c r="D622" s="289">
        <f>DSDV!W627</f>
        <v>0</v>
      </c>
    </row>
    <row r="623" spans="1:4">
      <c r="A623">
        <f>DSDV!B628</f>
        <v>0</v>
      </c>
      <c r="B623">
        <f>DSDV!G628</f>
        <v>0</v>
      </c>
      <c r="C623" s="288">
        <f>DSDV!K628</f>
        <v>0</v>
      </c>
      <c r="D623" s="289">
        <f>DSDV!W628</f>
        <v>0</v>
      </c>
    </row>
    <row r="624" spans="1:4">
      <c r="A624">
        <f>DSDV!B629</f>
        <v>0</v>
      </c>
      <c r="B624">
        <f>DSDV!G629</f>
        <v>0</v>
      </c>
      <c r="C624" s="288">
        <f>DSDV!K629</f>
        <v>0</v>
      </c>
      <c r="D624" s="289">
        <f>DSDV!W629</f>
        <v>0</v>
      </c>
    </row>
    <row r="625" spans="1:4">
      <c r="A625">
        <f>DSDV!B630</f>
        <v>0</v>
      </c>
      <c r="B625">
        <f>DSDV!G630</f>
        <v>0</v>
      </c>
      <c r="C625" s="288">
        <f>DSDV!K630</f>
        <v>0</v>
      </c>
      <c r="D625" s="289">
        <f>DSDV!W630</f>
        <v>0</v>
      </c>
    </row>
    <row r="626" spans="1:4">
      <c r="A626">
        <f>DSDV!B631</f>
        <v>0</v>
      </c>
      <c r="B626">
        <f>DSDV!G631</f>
        <v>0</v>
      </c>
      <c r="C626" s="288">
        <f>DSDV!K631</f>
        <v>0</v>
      </c>
      <c r="D626" s="289">
        <f>DSDV!W631</f>
        <v>0</v>
      </c>
    </row>
    <row r="627" spans="1:4">
      <c r="A627">
        <f>DSDV!B632</f>
        <v>0</v>
      </c>
      <c r="B627">
        <f>DSDV!G632</f>
        <v>0</v>
      </c>
      <c r="C627" s="288">
        <f>DSDV!K632</f>
        <v>0</v>
      </c>
      <c r="D627" s="289">
        <f>DSDV!W632</f>
        <v>0</v>
      </c>
    </row>
    <row r="628" spans="1:4">
      <c r="A628">
        <f>DSDV!B633</f>
        <v>0</v>
      </c>
      <c r="B628">
        <f>DSDV!G633</f>
        <v>0</v>
      </c>
      <c r="C628" s="288">
        <f>DSDV!K633</f>
        <v>0</v>
      </c>
      <c r="D628" s="289">
        <f>DSDV!W633</f>
        <v>0</v>
      </c>
    </row>
    <row r="629" spans="1:4">
      <c r="A629">
        <f>DSDV!B634</f>
        <v>0</v>
      </c>
      <c r="B629">
        <f>DSDV!G634</f>
        <v>0</v>
      </c>
      <c r="C629" s="288">
        <f>DSDV!K634</f>
        <v>0</v>
      </c>
      <c r="D629" s="289">
        <f>DSDV!W634</f>
        <v>0</v>
      </c>
    </row>
    <row r="630" spans="1:4">
      <c r="A630">
        <f>DSDV!B635</f>
        <v>0</v>
      </c>
      <c r="B630">
        <f>DSDV!G635</f>
        <v>0</v>
      </c>
      <c r="C630" s="288">
        <f>DSDV!K635</f>
        <v>0</v>
      </c>
      <c r="D630" s="289">
        <f>DSDV!W635</f>
        <v>0</v>
      </c>
    </row>
    <row r="631" spans="1:4">
      <c r="A631">
        <f>DSDV!B636</f>
        <v>0</v>
      </c>
      <c r="B631">
        <f>DSDV!G636</f>
        <v>0</v>
      </c>
      <c r="C631" s="288">
        <f>DSDV!K636</f>
        <v>0</v>
      </c>
      <c r="D631" s="289">
        <f>DSDV!W636</f>
        <v>0</v>
      </c>
    </row>
    <row r="632" spans="1:4">
      <c r="A632">
        <f>DSDV!B637</f>
        <v>0</v>
      </c>
      <c r="B632">
        <f>DSDV!G637</f>
        <v>0</v>
      </c>
      <c r="C632" s="288">
        <f>DSDV!K637</f>
        <v>0</v>
      </c>
      <c r="D632" s="289">
        <f>DSDV!W637</f>
        <v>0</v>
      </c>
    </row>
    <row r="633" spans="1:4">
      <c r="A633">
        <f>DSDV!B638</f>
        <v>0</v>
      </c>
      <c r="B633">
        <f>DSDV!G638</f>
        <v>0</v>
      </c>
      <c r="C633" s="288">
        <f>DSDV!K638</f>
        <v>0</v>
      </c>
      <c r="D633" s="289">
        <f>DSDV!W638</f>
        <v>0</v>
      </c>
    </row>
    <row r="634" spans="1:4">
      <c r="A634">
        <f>DSDV!B639</f>
        <v>0</v>
      </c>
      <c r="B634">
        <f>DSDV!G639</f>
        <v>0</v>
      </c>
      <c r="C634" s="288">
        <f>DSDV!K639</f>
        <v>0</v>
      </c>
      <c r="D634" s="289">
        <f>DSDV!W639</f>
        <v>0</v>
      </c>
    </row>
    <row r="635" spans="1:4">
      <c r="A635">
        <f>DSDV!B640</f>
        <v>0</v>
      </c>
      <c r="B635">
        <f>DSDV!G640</f>
        <v>0</v>
      </c>
      <c r="C635" s="288">
        <f>DSDV!K640</f>
        <v>0</v>
      </c>
      <c r="D635" s="289">
        <f>DSDV!W640</f>
        <v>0</v>
      </c>
    </row>
    <row r="636" spans="1:4">
      <c r="A636">
        <f>DSDV!B641</f>
        <v>0</v>
      </c>
      <c r="B636">
        <f>DSDV!G641</f>
        <v>0</v>
      </c>
      <c r="C636" s="288">
        <f>DSDV!K641</f>
        <v>0</v>
      </c>
      <c r="D636" s="289">
        <f>DSDV!W641</f>
        <v>0</v>
      </c>
    </row>
    <row r="637" spans="1:4">
      <c r="A637">
        <f>DSDV!B642</f>
        <v>0</v>
      </c>
      <c r="B637">
        <f>DSDV!G642</f>
        <v>0</v>
      </c>
      <c r="C637" s="288">
        <f>DSDV!K642</f>
        <v>0</v>
      </c>
      <c r="D637" s="289">
        <f>DSDV!W642</f>
        <v>0</v>
      </c>
    </row>
    <row r="638" spans="1:4">
      <c r="A638">
        <f>DSDV!B643</f>
        <v>0</v>
      </c>
      <c r="B638">
        <f>DSDV!G643</f>
        <v>0</v>
      </c>
      <c r="C638" s="288">
        <f>DSDV!K643</f>
        <v>0</v>
      </c>
      <c r="D638" s="289">
        <f>DSDV!W643</f>
        <v>0</v>
      </c>
    </row>
    <row r="639" spans="1:4">
      <c r="A639">
        <f>DSDV!B644</f>
        <v>0</v>
      </c>
      <c r="B639">
        <f>DSDV!G644</f>
        <v>0</v>
      </c>
      <c r="C639" s="288">
        <f>DSDV!K644</f>
        <v>0</v>
      </c>
      <c r="D639" s="289">
        <f>DSDV!W644</f>
        <v>0</v>
      </c>
    </row>
    <row r="640" spans="1:4">
      <c r="A640">
        <f>DSDV!B645</f>
        <v>0</v>
      </c>
      <c r="B640">
        <f>DSDV!G645</f>
        <v>0</v>
      </c>
      <c r="C640" s="288">
        <f>DSDV!K645</f>
        <v>0</v>
      </c>
      <c r="D640" s="289">
        <f>DSDV!W645</f>
        <v>0</v>
      </c>
    </row>
    <row r="641" spans="1:4">
      <c r="A641">
        <f>DSDV!B646</f>
        <v>0</v>
      </c>
      <c r="B641">
        <f>DSDV!G646</f>
        <v>0</v>
      </c>
      <c r="C641" s="288">
        <f>DSDV!K646</f>
        <v>0</v>
      </c>
      <c r="D641" s="289">
        <f>DSDV!W646</f>
        <v>0</v>
      </c>
    </row>
    <row r="642" spans="1:4">
      <c r="A642">
        <f>DSDV!B647</f>
        <v>0</v>
      </c>
      <c r="B642">
        <f>DSDV!G647</f>
        <v>0</v>
      </c>
      <c r="C642" s="288">
        <f>DSDV!K647</f>
        <v>0</v>
      </c>
      <c r="D642" s="289">
        <f>DSDV!W647</f>
        <v>0</v>
      </c>
    </row>
    <row r="643" spans="1:4">
      <c r="A643">
        <f>DSDV!B648</f>
        <v>0</v>
      </c>
      <c r="B643">
        <f>DSDV!G648</f>
        <v>0</v>
      </c>
      <c r="C643" s="288">
        <f>DSDV!K648</f>
        <v>0</v>
      </c>
      <c r="D643" s="289">
        <f>DSDV!W648</f>
        <v>0</v>
      </c>
    </row>
    <row r="644" spans="1:4">
      <c r="A644">
        <f>DSDV!B649</f>
        <v>0</v>
      </c>
      <c r="B644">
        <f>DSDV!G649</f>
        <v>0</v>
      </c>
      <c r="C644" s="288">
        <f>DSDV!K649</f>
        <v>0</v>
      </c>
      <c r="D644" s="289">
        <f>DSDV!W649</f>
        <v>0</v>
      </c>
    </row>
    <row r="645" spans="1:4">
      <c r="A645">
        <f>DSDV!B650</f>
        <v>0</v>
      </c>
      <c r="B645">
        <f>DSDV!G650</f>
        <v>0</v>
      </c>
      <c r="C645" s="288">
        <f>DSDV!K650</f>
        <v>0</v>
      </c>
      <c r="D645" s="289">
        <f>DSDV!W650</f>
        <v>0</v>
      </c>
    </row>
    <row r="646" spans="1:4">
      <c r="A646">
        <f>DSDV!B651</f>
        <v>0</v>
      </c>
      <c r="B646">
        <f>DSDV!G651</f>
        <v>0</v>
      </c>
      <c r="C646" s="288">
        <f>DSDV!K651</f>
        <v>0</v>
      </c>
      <c r="D646" s="289">
        <f>DSDV!W651</f>
        <v>0</v>
      </c>
    </row>
    <row r="647" spans="1:4">
      <c r="A647">
        <f>DSDV!B652</f>
        <v>0</v>
      </c>
      <c r="B647">
        <f>DSDV!G652</f>
        <v>0</v>
      </c>
      <c r="C647" s="288">
        <f>DSDV!K652</f>
        <v>0</v>
      </c>
      <c r="D647" s="289">
        <f>DSDV!W652</f>
        <v>0</v>
      </c>
    </row>
    <row r="648" spans="1:4">
      <c r="A648">
        <f>DSDV!B653</f>
        <v>0</v>
      </c>
      <c r="B648">
        <f>DSDV!G653</f>
        <v>0</v>
      </c>
      <c r="C648" s="288">
        <f>DSDV!K653</f>
        <v>0</v>
      </c>
      <c r="D648" s="289">
        <f>DSDV!W653</f>
        <v>0</v>
      </c>
    </row>
    <row r="649" spans="1:4">
      <c r="A649">
        <f>DSDV!B654</f>
        <v>0</v>
      </c>
      <c r="B649">
        <f>DSDV!G654</f>
        <v>0</v>
      </c>
      <c r="C649" s="288">
        <f>DSDV!K654</f>
        <v>0</v>
      </c>
      <c r="D649" s="289">
        <f>DSDV!W654</f>
        <v>0</v>
      </c>
    </row>
    <row r="650" spans="1:4">
      <c r="A650">
        <f>DSDV!B655</f>
        <v>0</v>
      </c>
      <c r="B650">
        <f>DSDV!G655</f>
        <v>0</v>
      </c>
      <c r="C650" s="288">
        <f>DSDV!K655</f>
        <v>0</v>
      </c>
      <c r="D650" s="289">
        <f>DSDV!W655</f>
        <v>0</v>
      </c>
    </row>
    <row r="651" spans="1:4">
      <c r="A651">
        <f>DSDV!B656</f>
        <v>0</v>
      </c>
      <c r="B651">
        <f>DSDV!G656</f>
        <v>0</v>
      </c>
      <c r="C651" s="288">
        <f>DSDV!K656</f>
        <v>0</v>
      </c>
      <c r="D651" s="289">
        <f>DSDV!W656</f>
        <v>0</v>
      </c>
    </row>
    <row r="652" spans="1:4">
      <c r="A652">
        <f>DSDV!B657</f>
        <v>0</v>
      </c>
      <c r="B652">
        <f>DSDV!G657</f>
        <v>0</v>
      </c>
      <c r="C652" s="288">
        <f>DSDV!K657</f>
        <v>0</v>
      </c>
      <c r="D652" s="289">
        <f>DSDV!W657</f>
        <v>0</v>
      </c>
    </row>
    <row r="653" spans="1:4">
      <c r="A653">
        <f>DSDV!B658</f>
        <v>0</v>
      </c>
      <c r="B653">
        <f>DSDV!G658</f>
        <v>0</v>
      </c>
      <c r="C653" s="288">
        <f>DSDV!K658</f>
        <v>0</v>
      </c>
      <c r="D653" s="289">
        <f>DSDV!W658</f>
        <v>0</v>
      </c>
    </row>
    <row r="654" spans="1:4">
      <c r="A654">
        <f>DSDV!B659</f>
        <v>0</v>
      </c>
      <c r="B654">
        <f>DSDV!G659</f>
        <v>0</v>
      </c>
      <c r="C654" s="288">
        <f>DSDV!K659</f>
        <v>0</v>
      </c>
      <c r="D654" s="289">
        <f>DSDV!W659</f>
        <v>0</v>
      </c>
    </row>
    <row r="655" spans="1:4">
      <c r="A655">
        <f>DSDV!B660</f>
        <v>0</v>
      </c>
      <c r="B655">
        <f>DSDV!G660</f>
        <v>0</v>
      </c>
      <c r="C655" s="288">
        <f>DSDV!K660</f>
        <v>0</v>
      </c>
      <c r="D655" s="289">
        <f>DSDV!W660</f>
        <v>0</v>
      </c>
    </row>
    <row r="656" spans="1:4">
      <c r="A656">
        <f>DSDV!B661</f>
        <v>0</v>
      </c>
      <c r="B656">
        <f>DSDV!G661</f>
        <v>0</v>
      </c>
      <c r="C656" s="288">
        <f>DSDV!K661</f>
        <v>0</v>
      </c>
      <c r="D656" s="289">
        <f>DSDV!W661</f>
        <v>0</v>
      </c>
    </row>
    <row r="657" spans="1:4">
      <c r="A657">
        <f>DSDV!B662</f>
        <v>0</v>
      </c>
      <c r="B657">
        <f>DSDV!G662</f>
        <v>0</v>
      </c>
      <c r="C657" s="288">
        <f>DSDV!K662</f>
        <v>0</v>
      </c>
      <c r="D657" s="289">
        <f>DSDV!W662</f>
        <v>0</v>
      </c>
    </row>
    <row r="658" spans="1:4">
      <c r="A658">
        <f>DSDV!B663</f>
        <v>0</v>
      </c>
      <c r="B658">
        <f>DSDV!G663</f>
        <v>0</v>
      </c>
      <c r="C658" s="288">
        <f>DSDV!K663</f>
        <v>0</v>
      </c>
      <c r="D658" s="289">
        <f>DSDV!W663</f>
        <v>0</v>
      </c>
    </row>
    <row r="659" spans="1:4">
      <c r="A659">
        <f>DSDV!B664</f>
        <v>0</v>
      </c>
      <c r="B659">
        <f>DSDV!G664</f>
        <v>0</v>
      </c>
      <c r="C659" s="288">
        <f>DSDV!K664</f>
        <v>0</v>
      </c>
      <c r="D659" s="289">
        <f>DSDV!W664</f>
        <v>0</v>
      </c>
    </row>
    <row r="660" spans="1:4">
      <c r="A660">
        <f>DSDV!B665</f>
        <v>0</v>
      </c>
      <c r="B660">
        <f>DSDV!G665</f>
        <v>0</v>
      </c>
      <c r="C660" s="288">
        <f>DSDV!K665</f>
        <v>0</v>
      </c>
      <c r="D660" s="289">
        <f>DSDV!W665</f>
        <v>0</v>
      </c>
    </row>
    <row r="661" spans="1:4">
      <c r="A661">
        <f>DSDV!B666</f>
        <v>0</v>
      </c>
      <c r="B661">
        <f>DSDV!G666</f>
        <v>0</v>
      </c>
      <c r="C661" s="288">
        <f>DSDV!K666</f>
        <v>0</v>
      </c>
      <c r="D661" s="289">
        <f>DSDV!W666</f>
        <v>0</v>
      </c>
    </row>
    <row r="662" spans="1:4">
      <c r="A662">
        <f>DSDV!B667</f>
        <v>0</v>
      </c>
      <c r="B662">
        <f>DSDV!G667</f>
        <v>0</v>
      </c>
      <c r="C662" s="288">
        <f>DSDV!K667</f>
        <v>0</v>
      </c>
      <c r="D662" s="289">
        <f>DSDV!W667</f>
        <v>0</v>
      </c>
    </row>
    <row r="663" spans="1:4">
      <c r="A663">
        <f>DSDV!B668</f>
        <v>0</v>
      </c>
      <c r="B663">
        <f>DSDV!G668</f>
        <v>0</v>
      </c>
      <c r="C663" s="288">
        <f>DSDV!K668</f>
        <v>0</v>
      </c>
      <c r="D663" s="289">
        <f>DSDV!W668</f>
        <v>0</v>
      </c>
    </row>
    <row r="664" spans="1:4">
      <c r="A664">
        <f>DSDV!B669</f>
        <v>0</v>
      </c>
      <c r="B664">
        <f>DSDV!G669</f>
        <v>0</v>
      </c>
      <c r="C664" s="288">
        <f>DSDV!K669</f>
        <v>0</v>
      </c>
      <c r="D664" s="289">
        <f>DSDV!W669</f>
        <v>0</v>
      </c>
    </row>
    <row r="665" spans="1:4">
      <c r="A665">
        <f>DSDV!B670</f>
        <v>0</v>
      </c>
      <c r="B665">
        <f>DSDV!G670</f>
        <v>0</v>
      </c>
      <c r="C665" s="288">
        <f>DSDV!K670</f>
        <v>0</v>
      </c>
      <c r="D665" s="289">
        <f>DSDV!W670</f>
        <v>0</v>
      </c>
    </row>
    <row r="666" spans="1:4">
      <c r="A666">
        <f>DSDV!B671</f>
        <v>0</v>
      </c>
      <c r="B666">
        <f>DSDV!G671</f>
        <v>0</v>
      </c>
      <c r="C666" s="288">
        <f>DSDV!K671</f>
        <v>0</v>
      </c>
      <c r="D666" s="289">
        <f>DSDV!W671</f>
        <v>0</v>
      </c>
    </row>
    <row r="667" spans="1:4">
      <c r="A667">
        <f>DSDV!B672</f>
        <v>0</v>
      </c>
      <c r="B667">
        <f>DSDV!G672</f>
        <v>0</v>
      </c>
      <c r="C667" s="288">
        <f>DSDV!K672</f>
        <v>0</v>
      </c>
      <c r="D667" s="289">
        <f>DSDV!W672</f>
        <v>0</v>
      </c>
    </row>
    <row r="668" spans="1:4">
      <c r="A668">
        <f>DSDV!B673</f>
        <v>0</v>
      </c>
      <c r="B668">
        <f>DSDV!G673</f>
        <v>0</v>
      </c>
      <c r="C668" s="288">
        <f>DSDV!K673</f>
        <v>0</v>
      </c>
      <c r="D668" s="289">
        <f>DSDV!W673</f>
        <v>0</v>
      </c>
    </row>
    <row r="669" spans="1:4">
      <c r="A669">
        <f>DSDV!B674</f>
        <v>0</v>
      </c>
      <c r="B669">
        <f>DSDV!G674</f>
        <v>0</v>
      </c>
      <c r="C669" s="288">
        <f>DSDV!K674</f>
        <v>0</v>
      </c>
      <c r="D669" s="289">
        <f>DSDV!W674</f>
        <v>0</v>
      </c>
    </row>
    <row r="670" spans="1:4">
      <c r="A670">
        <f>DSDV!B675</f>
        <v>0</v>
      </c>
      <c r="B670">
        <f>DSDV!G675</f>
        <v>0</v>
      </c>
      <c r="C670" s="288">
        <f>DSDV!K675</f>
        <v>0</v>
      </c>
      <c r="D670" s="289">
        <f>DSDV!W675</f>
        <v>0</v>
      </c>
    </row>
    <row r="671" spans="1:4">
      <c r="A671">
        <f>DSDV!B676</f>
        <v>0</v>
      </c>
      <c r="B671">
        <f>DSDV!G676</f>
        <v>0</v>
      </c>
      <c r="C671" s="288">
        <f>DSDV!K676</f>
        <v>0</v>
      </c>
      <c r="D671" s="289">
        <f>DSDV!W676</f>
        <v>0</v>
      </c>
    </row>
    <row r="672" spans="1:4">
      <c r="A672">
        <f>DSDV!B677</f>
        <v>0</v>
      </c>
      <c r="B672">
        <f>DSDV!G677</f>
        <v>0</v>
      </c>
      <c r="C672" s="288">
        <f>DSDV!K677</f>
        <v>0</v>
      </c>
      <c r="D672" s="289">
        <f>DSDV!W677</f>
        <v>0</v>
      </c>
    </row>
    <row r="673" spans="1:4">
      <c r="A673">
        <f>DSDV!B678</f>
        <v>0</v>
      </c>
      <c r="B673">
        <f>DSDV!G678</f>
        <v>0</v>
      </c>
      <c r="C673" s="288">
        <f>DSDV!K678</f>
        <v>0</v>
      </c>
      <c r="D673" s="289">
        <f>DSDV!W678</f>
        <v>0</v>
      </c>
    </row>
    <row r="674" spans="1:4">
      <c r="A674">
        <f>DSDV!B679</f>
        <v>0</v>
      </c>
      <c r="B674">
        <f>DSDV!G679</f>
        <v>0</v>
      </c>
      <c r="C674" s="288">
        <f>DSDV!K679</f>
        <v>0</v>
      </c>
      <c r="D674" s="289">
        <f>DSDV!W679</f>
        <v>0</v>
      </c>
    </row>
    <row r="675" spans="1:4">
      <c r="A675">
        <f>DSDV!B680</f>
        <v>0</v>
      </c>
      <c r="B675">
        <f>DSDV!G680</f>
        <v>0</v>
      </c>
      <c r="C675" s="288">
        <f>DSDV!K680</f>
        <v>0</v>
      </c>
      <c r="D675" s="289">
        <f>DSDV!W680</f>
        <v>0</v>
      </c>
    </row>
    <row r="676" spans="1:4">
      <c r="A676">
        <f>DSDV!B681</f>
        <v>0</v>
      </c>
      <c r="B676">
        <f>DSDV!G681</f>
        <v>0</v>
      </c>
      <c r="C676" s="288">
        <f>DSDV!K681</f>
        <v>0</v>
      </c>
      <c r="D676" s="289">
        <f>DSDV!W681</f>
        <v>0</v>
      </c>
    </row>
    <row r="677" spans="1:4">
      <c r="A677">
        <f>DSDV!B682</f>
        <v>0</v>
      </c>
      <c r="B677">
        <f>DSDV!G682</f>
        <v>0</v>
      </c>
      <c r="C677" s="288">
        <f>DSDV!K682</f>
        <v>0</v>
      </c>
      <c r="D677" s="289">
        <f>DSDV!W682</f>
        <v>0</v>
      </c>
    </row>
    <row r="678" spans="1:4">
      <c r="A678">
        <f>DSDV!B683</f>
        <v>0</v>
      </c>
      <c r="B678">
        <f>DSDV!G683</f>
        <v>0</v>
      </c>
      <c r="C678" s="288">
        <f>DSDV!K683</f>
        <v>0</v>
      </c>
      <c r="D678" s="289">
        <f>DSDV!W683</f>
        <v>0</v>
      </c>
    </row>
    <row r="679" spans="1:4">
      <c r="A679">
        <f>DSDV!B684</f>
        <v>0</v>
      </c>
      <c r="B679">
        <f>DSDV!G684</f>
        <v>0</v>
      </c>
      <c r="C679" s="288">
        <f>DSDV!K684</f>
        <v>0</v>
      </c>
      <c r="D679" s="289">
        <f>DSDV!W684</f>
        <v>0</v>
      </c>
    </row>
    <row r="680" spans="1:4">
      <c r="A680">
        <f>DSDV!B685</f>
        <v>0</v>
      </c>
      <c r="B680">
        <f>DSDV!G685</f>
        <v>0</v>
      </c>
      <c r="C680" s="288">
        <f>DSDV!K685</f>
        <v>0</v>
      </c>
      <c r="D680" s="289">
        <f>DSDV!W685</f>
        <v>0</v>
      </c>
    </row>
    <row r="681" spans="1:4">
      <c r="A681">
        <f>DSDV!B686</f>
        <v>0</v>
      </c>
      <c r="B681">
        <f>DSDV!G686</f>
        <v>0</v>
      </c>
      <c r="C681" s="288">
        <f>DSDV!K686</f>
        <v>0</v>
      </c>
      <c r="D681" s="289">
        <f>DSDV!W686</f>
        <v>0</v>
      </c>
    </row>
    <row r="682" spans="1:4">
      <c r="A682">
        <f>DSDV!B687</f>
        <v>0</v>
      </c>
      <c r="B682">
        <f>DSDV!G687</f>
        <v>0</v>
      </c>
      <c r="C682" s="288">
        <f>DSDV!K687</f>
        <v>0</v>
      </c>
      <c r="D682" s="289">
        <f>DSDV!W687</f>
        <v>0</v>
      </c>
    </row>
    <row r="683" spans="1:4">
      <c r="A683">
        <f>DSDV!B688</f>
        <v>0</v>
      </c>
      <c r="B683">
        <f>DSDV!G688</f>
        <v>0</v>
      </c>
      <c r="C683" s="288">
        <f>DSDV!K688</f>
        <v>0</v>
      </c>
      <c r="D683" s="289">
        <f>DSDV!W688</f>
        <v>0</v>
      </c>
    </row>
    <row r="684" spans="1:4">
      <c r="A684">
        <f>DSDV!B689</f>
        <v>0</v>
      </c>
      <c r="B684">
        <f>DSDV!G689</f>
        <v>0</v>
      </c>
      <c r="C684" s="288">
        <f>DSDV!K689</f>
        <v>0</v>
      </c>
      <c r="D684" s="289">
        <f>DSDV!W689</f>
        <v>0</v>
      </c>
    </row>
    <row r="685" spans="1:4">
      <c r="A685">
        <f>DSDV!B690</f>
        <v>0</v>
      </c>
      <c r="B685">
        <f>DSDV!G690</f>
        <v>0</v>
      </c>
      <c r="C685" s="288">
        <f>DSDV!K690</f>
        <v>0</v>
      </c>
      <c r="D685" s="289">
        <f>DSDV!W690</f>
        <v>0</v>
      </c>
    </row>
    <row r="686" spans="1:4">
      <c r="A686">
        <f>DSDV!B691</f>
        <v>0</v>
      </c>
      <c r="B686">
        <f>DSDV!G691</f>
        <v>0</v>
      </c>
      <c r="C686" s="288">
        <f>DSDV!K691</f>
        <v>0</v>
      </c>
      <c r="D686" s="289">
        <f>DSDV!W691</f>
        <v>0</v>
      </c>
    </row>
    <row r="687" spans="1:4">
      <c r="A687">
        <f>DSDV!B692</f>
        <v>0</v>
      </c>
      <c r="B687">
        <f>DSDV!G692</f>
        <v>0</v>
      </c>
      <c r="C687" s="288">
        <f>DSDV!K692</f>
        <v>0</v>
      </c>
      <c r="D687" s="289">
        <f>DSDV!W692</f>
        <v>0</v>
      </c>
    </row>
    <row r="688" spans="1:4">
      <c r="A688">
        <f>DSDV!B693</f>
        <v>0</v>
      </c>
      <c r="B688">
        <f>DSDV!G693</f>
        <v>0</v>
      </c>
      <c r="C688" s="288">
        <f>DSDV!K693</f>
        <v>0</v>
      </c>
      <c r="D688" s="289">
        <f>DSDV!W693</f>
        <v>0</v>
      </c>
    </row>
    <row r="689" spans="1:4">
      <c r="A689">
        <f>DSDV!B694</f>
        <v>0</v>
      </c>
      <c r="B689">
        <f>DSDV!G694</f>
        <v>0</v>
      </c>
      <c r="C689" s="288">
        <f>DSDV!K694</f>
        <v>0</v>
      </c>
      <c r="D689" s="289">
        <f>DSDV!W694</f>
        <v>0</v>
      </c>
    </row>
    <row r="690" spans="1:4">
      <c r="A690">
        <f>DSDV!B695</f>
        <v>0</v>
      </c>
      <c r="B690">
        <f>DSDV!G695</f>
        <v>0</v>
      </c>
      <c r="C690" s="288">
        <f>DSDV!K695</f>
        <v>0</v>
      </c>
      <c r="D690" s="289">
        <f>DSDV!W695</f>
        <v>0</v>
      </c>
    </row>
    <row r="691" spans="1:4">
      <c r="A691">
        <f>DSDV!B696</f>
        <v>0</v>
      </c>
      <c r="B691">
        <f>DSDV!G696</f>
        <v>0</v>
      </c>
      <c r="C691" s="288">
        <f>DSDV!K696</f>
        <v>0</v>
      </c>
      <c r="D691" s="289">
        <f>DSDV!W696</f>
        <v>0</v>
      </c>
    </row>
    <row r="692" spans="1:4">
      <c r="A692">
        <f>DSDV!B697</f>
        <v>0</v>
      </c>
      <c r="B692">
        <f>DSDV!G697</f>
        <v>0</v>
      </c>
      <c r="C692" s="288">
        <f>DSDV!K697</f>
        <v>0</v>
      </c>
      <c r="D692" s="289">
        <f>DSDV!W697</f>
        <v>0</v>
      </c>
    </row>
    <row r="693" spans="1:4">
      <c r="A693">
        <f>DSDV!B698</f>
        <v>0</v>
      </c>
      <c r="B693">
        <f>DSDV!G698</f>
        <v>0</v>
      </c>
      <c r="C693" s="288">
        <f>DSDV!K698</f>
        <v>0</v>
      </c>
      <c r="D693" s="289">
        <f>DSDV!W698</f>
        <v>0</v>
      </c>
    </row>
    <row r="694" spans="1:4">
      <c r="A694">
        <f>DSDV!B699</f>
        <v>0</v>
      </c>
      <c r="B694">
        <f>DSDV!G699</f>
        <v>0</v>
      </c>
      <c r="C694" s="288">
        <f>DSDV!K699</f>
        <v>0</v>
      </c>
      <c r="D694" s="289">
        <f>DSDV!W699</f>
        <v>0</v>
      </c>
    </row>
    <row r="695" spans="1:4">
      <c r="A695">
        <f>DSDV!B700</f>
        <v>0</v>
      </c>
      <c r="B695">
        <f>DSDV!G700</f>
        <v>0</v>
      </c>
      <c r="C695" s="288">
        <f>DSDV!K700</f>
        <v>0</v>
      </c>
      <c r="D695" s="289">
        <f>DSDV!W700</f>
        <v>0</v>
      </c>
    </row>
    <row r="696" spans="1:4">
      <c r="A696">
        <f>DSDV!B701</f>
        <v>0</v>
      </c>
      <c r="B696">
        <f>DSDV!G701</f>
        <v>0</v>
      </c>
      <c r="C696" s="288">
        <f>DSDV!K701</f>
        <v>0</v>
      </c>
      <c r="D696" s="289">
        <f>DSDV!W701</f>
        <v>0</v>
      </c>
    </row>
    <row r="697" spans="1:4">
      <c r="A697">
        <f>DSDV!B702</f>
        <v>0</v>
      </c>
      <c r="B697">
        <f>DSDV!G702</f>
        <v>0</v>
      </c>
      <c r="C697" s="288">
        <f>DSDV!K702</f>
        <v>0</v>
      </c>
      <c r="D697" s="289">
        <f>DSDV!W702</f>
        <v>0</v>
      </c>
    </row>
    <row r="698" spans="1:4">
      <c r="A698">
        <f>DSDV!B703</f>
        <v>0</v>
      </c>
      <c r="B698">
        <f>DSDV!G703</f>
        <v>0</v>
      </c>
      <c r="C698" s="288">
        <f>DSDV!K703</f>
        <v>0</v>
      </c>
      <c r="D698" s="289">
        <f>DSDV!W703</f>
        <v>0</v>
      </c>
    </row>
    <row r="699" spans="1:4">
      <c r="A699">
        <f>DSDV!B704</f>
        <v>0</v>
      </c>
      <c r="B699">
        <f>DSDV!G704</f>
        <v>0</v>
      </c>
      <c r="C699" s="288">
        <f>DSDV!K704</f>
        <v>0</v>
      </c>
      <c r="D699" s="289">
        <f>DSDV!W704</f>
        <v>0</v>
      </c>
    </row>
    <row r="700" spans="1:4">
      <c r="A700">
        <f>DSDV!B705</f>
        <v>0</v>
      </c>
      <c r="B700">
        <f>DSDV!G705</f>
        <v>0</v>
      </c>
      <c r="C700" s="288">
        <f>DSDV!K705</f>
        <v>0</v>
      </c>
      <c r="D700" s="289">
        <f>DSDV!W705</f>
        <v>0</v>
      </c>
    </row>
    <row r="701" spans="1:4">
      <c r="A701">
        <f>DSDV!B706</f>
        <v>0</v>
      </c>
      <c r="B701">
        <f>DSDV!G706</f>
        <v>0</v>
      </c>
      <c r="C701" s="288">
        <f>DSDV!K706</f>
        <v>0</v>
      </c>
      <c r="D701" s="289">
        <f>DSDV!W706</f>
        <v>0</v>
      </c>
    </row>
    <row r="702" spans="1:4">
      <c r="A702">
        <f>DSDV!B707</f>
        <v>0</v>
      </c>
      <c r="B702">
        <f>DSDV!G707</f>
        <v>0</v>
      </c>
      <c r="C702" s="288">
        <f>DSDV!K707</f>
        <v>0</v>
      </c>
      <c r="D702" s="289">
        <f>DSDV!W707</f>
        <v>0</v>
      </c>
    </row>
    <row r="703" spans="1:4">
      <c r="A703">
        <f>DSDV!B708</f>
        <v>0</v>
      </c>
      <c r="B703">
        <f>DSDV!G708</f>
        <v>0</v>
      </c>
      <c r="C703" s="288">
        <f>DSDV!K708</f>
        <v>0</v>
      </c>
      <c r="D703" s="289">
        <f>DSDV!W708</f>
        <v>0</v>
      </c>
    </row>
    <row r="704" spans="1:4">
      <c r="A704">
        <f>DSDV!B709</f>
        <v>0</v>
      </c>
      <c r="B704">
        <f>DSDV!G709</f>
        <v>0</v>
      </c>
      <c r="C704" s="288">
        <f>DSDV!K709</f>
        <v>0</v>
      </c>
      <c r="D704" s="289">
        <f>DSDV!W709</f>
        <v>0</v>
      </c>
    </row>
    <row r="705" spans="1:4">
      <c r="A705">
        <f>DSDV!B710</f>
        <v>0</v>
      </c>
      <c r="B705">
        <f>DSDV!G710</f>
        <v>0</v>
      </c>
      <c r="C705" s="288">
        <f>DSDV!K710</f>
        <v>0</v>
      </c>
      <c r="D705" s="289">
        <f>DSDV!W710</f>
        <v>0</v>
      </c>
    </row>
    <row r="706" spans="1:4">
      <c r="A706">
        <f>DSDV!B711</f>
        <v>0</v>
      </c>
      <c r="B706">
        <f>DSDV!G711</f>
        <v>0</v>
      </c>
      <c r="C706" s="288">
        <f>DSDV!K711</f>
        <v>0</v>
      </c>
      <c r="D706" s="289">
        <f>DSDV!W711</f>
        <v>0</v>
      </c>
    </row>
    <row r="707" spans="1:4">
      <c r="A707">
        <f>DSDV!B712</f>
        <v>0</v>
      </c>
      <c r="B707">
        <f>DSDV!G712</f>
        <v>0</v>
      </c>
      <c r="C707" s="288">
        <f>DSDV!K712</f>
        <v>0</v>
      </c>
      <c r="D707" s="289">
        <f>DSDV!W712</f>
        <v>0</v>
      </c>
    </row>
    <row r="708" spans="1:4">
      <c r="A708">
        <f>DSDV!B713</f>
        <v>0</v>
      </c>
      <c r="B708">
        <f>DSDV!G713</f>
        <v>0</v>
      </c>
      <c r="C708" s="288">
        <f>DSDV!K713</f>
        <v>0</v>
      </c>
      <c r="D708" s="289">
        <f>DSDV!W713</f>
        <v>0</v>
      </c>
    </row>
    <row r="709" spans="1:4">
      <c r="A709">
        <f>DSDV!B714</f>
        <v>0</v>
      </c>
      <c r="B709">
        <f>DSDV!G714</f>
        <v>0</v>
      </c>
      <c r="C709" s="288">
        <f>DSDV!K714</f>
        <v>0</v>
      </c>
      <c r="D709" s="289">
        <f>DSDV!W714</f>
        <v>0</v>
      </c>
    </row>
    <row r="710" spans="1:4">
      <c r="A710">
        <f>DSDV!B715</f>
        <v>0</v>
      </c>
      <c r="B710">
        <f>DSDV!G715</f>
        <v>0</v>
      </c>
      <c r="C710" s="288">
        <f>DSDV!K715</f>
        <v>0</v>
      </c>
      <c r="D710" s="289">
        <f>DSDV!W715</f>
        <v>0</v>
      </c>
    </row>
    <row r="711" spans="1:4">
      <c r="A711">
        <f>DSDV!B716</f>
        <v>0</v>
      </c>
      <c r="B711">
        <f>DSDV!G716</f>
        <v>0</v>
      </c>
      <c r="C711" s="288">
        <f>DSDV!K716</f>
        <v>0</v>
      </c>
      <c r="D711" s="289">
        <f>DSDV!W716</f>
        <v>0</v>
      </c>
    </row>
    <row r="712" spans="1:4">
      <c r="A712">
        <f>DSDV!B717</f>
        <v>0</v>
      </c>
      <c r="B712">
        <f>DSDV!G717</f>
        <v>0</v>
      </c>
      <c r="C712" s="288">
        <f>DSDV!K717</f>
        <v>0</v>
      </c>
      <c r="D712" s="289">
        <f>DSDV!W717</f>
        <v>0</v>
      </c>
    </row>
    <row r="713" spans="1:4">
      <c r="A713">
        <f>DSDV!B718</f>
        <v>0</v>
      </c>
      <c r="B713">
        <f>DSDV!G718</f>
        <v>0</v>
      </c>
      <c r="C713" s="288">
        <f>DSDV!K718</f>
        <v>0</v>
      </c>
      <c r="D713" s="289">
        <f>DSDV!W718</f>
        <v>0</v>
      </c>
    </row>
    <row r="714" spans="1:4">
      <c r="A714">
        <f>DSDV!B719</f>
        <v>0</v>
      </c>
      <c r="B714">
        <f>DSDV!G719</f>
        <v>0</v>
      </c>
      <c r="C714" s="288">
        <f>DSDV!K719</f>
        <v>0</v>
      </c>
      <c r="D714" s="289">
        <f>DSDV!W719</f>
        <v>0</v>
      </c>
    </row>
    <row r="715" spans="1:4">
      <c r="A715">
        <f>DSDV!B720</f>
        <v>0</v>
      </c>
      <c r="B715">
        <f>DSDV!G720</f>
        <v>0</v>
      </c>
      <c r="C715" s="288">
        <f>DSDV!K720</f>
        <v>0</v>
      </c>
      <c r="D715" s="289">
        <f>DSDV!W720</f>
        <v>0</v>
      </c>
    </row>
    <row r="716" spans="1:4">
      <c r="A716">
        <f>DSDV!B721</f>
        <v>0</v>
      </c>
      <c r="B716">
        <f>DSDV!G721</f>
        <v>0</v>
      </c>
      <c r="C716" s="288">
        <f>DSDV!K721</f>
        <v>0</v>
      </c>
      <c r="D716" s="289">
        <f>DSDV!W721</f>
        <v>0</v>
      </c>
    </row>
    <row r="717" spans="1:4">
      <c r="A717">
        <f>DSDV!B722</f>
        <v>0</v>
      </c>
      <c r="B717">
        <f>DSDV!G722</f>
        <v>0</v>
      </c>
      <c r="C717" s="288">
        <f>DSDV!K722</f>
        <v>0</v>
      </c>
      <c r="D717" s="289">
        <f>DSDV!W722</f>
        <v>0</v>
      </c>
    </row>
    <row r="718" spans="1:4">
      <c r="A718">
        <f>DSDV!B723</f>
        <v>0</v>
      </c>
      <c r="B718">
        <f>DSDV!G723</f>
        <v>0</v>
      </c>
      <c r="C718" s="288">
        <f>DSDV!K723</f>
        <v>0</v>
      </c>
      <c r="D718" s="289">
        <f>DSDV!W723</f>
        <v>0</v>
      </c>
    </row>
    <row r="719" spans="1:4">
      <c r="A719">
        <f>DSDV!B724</f>
        <v>0</v>
      </c>
      <c r="B719">
        <f>DSDV!G724</f>
        <v>0</v>
      </c>
      <c r="C719" s="288">
        <f>DSDV!K724</f>
        <v>0</v>
      </c>
      <c r="D719" s="289">
        <f>DSDV!W724</f>
        <v>0</v>
      </c>
    </row>
    <row r="720" spans="1:4">
      <c r="A720">
        <f>DSDV!B725</f>
        <v>0</v>
      </c>
      <c r="B720">
        <f>DSDV!G725</f>
        <v>0</v>
      </c>
      <c r="C720" s="288">
        <f>DSDV!K725</f>
        <v>0</v>
      </c>
      <c r="D720" s="289">
        <f>DSDV!W725</f>
        <v>0</v>
      </c>
    </row>
    <row r="721" spans="1:4">
      <c r="A721">
        <f>DSDV!B726</f>
        <v>0</v>
      </c>
      <c r="B721">
        <f>DSDV!G726</f>
        <v>0</v>
      </c>
      <c r="C721" s="288">
        <f>DSDV!K726</f>
        <v>0</v>
      </c>
      <c r="D721" s="289">
        <f>DSDV!W726</f>
        <v>0</v>
      </c>
    </row>
    <row r="722" spans="1:4">
      <c r="A722">
        <f>DSDV!B727</f>
        <v>0</v>
      </c>
      <c r="B722">
        <f>DSDV!G727</f>
        <v>0</v>
      </c>
      <c r="C722" s="288">
        <f>DSDV!K727</f>
        <v>0</v>
      </c>
      <c r="D722" s="289">
        <f>DSDV!W727</f>
        <v>0</v>
      </c>
    </row>
    <row r="723" spans="1:4">
      <c r="A723">
        <f>DSDV!B728</f>
        <v>0</v>
      </c>
      <c r="B723">
        <f>DSDV!G728</f>
        <v>0</v>
      </c>
      <c r="C723" s="288">
        <f>DSDV!K728</f>
        <v>0</v>
      </c>
      <c r="D723" s="289">
        <f>DSDV!W728</f>
        <v>0</v>
      </c>
    </row>
    <row r="724" spans="1:4">
      <c r="A724">
        <f>DSDV!B729</f>
        <v>0</v>
      </c>
      <c r="B724">
        <f>DSDV!G729</f>
        <v>0</v>
      </c>
      <c r="C724" s="288">
        <f>DSDV!K729</f>
        <v>0</v>
      </c>
      <c r="D724" s="289">
        <f>DSDV!W729</f>
        <v>0</v>
      </c>
    </row>
    <row r="725" spans="1:4">
      <c r="A725">
        <f>DSDV!B730</f>
        <v>0</v>
      </c>
      <c r="B725">
        <f>DSDV!G730</f>
        <v>0</v>
      </c>
      <c r="C725" s="288">
        <f>DSDV!K730</f>
        <v>0</v>
      </c>
      <c r="D725" s="289">
        <f>DSDV!W730</f>
        <v>0</v>
      </c>
    </row>
    <row r="726" spans="1:4">
      <c r="A726">
        <f>DSDV!B731</f>
        <v>0</v>
      </c>
      <c r="B726">
        <f>DSDV!G731</f>
        <v>0</v>
      </c>
      <c r="C726" s="288">
        <f>DSDV!K731</f>
        <v>0</v>
      </c>
      <c r="D726" s="289">
        <f>DSDV!W731</f>
        <v>0</v>
      </c>
    </row>
    <row r="727" spans="1:4">
      <c r="A727">
        <f>DSDV!B732</f>
        <v>0</v>
      </c>
      <c r="B727">
        <f>DSDV!G732</f>
        <v>0</v>
      </c>
      <c r="C727" s="288">
        <f>DSDV!K732</f>
        <v>0</v>
      </c>
      <c r="D727" s="289">
        <f>DSDV!W732</f>
        <v>0</v>
      </c>
    </row>
    <row r="728" spans="1:4">
      <c r="A728">
        <f>DSDV!B733</f>
        <v>0</v>
      </c>
      <c r="B728">
        <f>DSDV!G733</f>
        <v>0</v>
      </c>
      <c r="C728" s="288">
        <f>DSDV!K733</f>
        <v>0</v>
      </c>
      <c r="D728" s="289">
        <f>DSDV!W733</f>
        <v>0</v>
      </c>
    </row>
    <row r="729" spans="1:4">
      <c r="A729">
        <f>DSDV!B734</f>
        <v>0</v>
      </c>
      <c r="B729">
        <f>DSDV!G734</f>
        <v>0</v>
      </c>
      <c r="C729" s="288">
        <f>DSDV!K734</f>
        <v>0</v>
      </c>
      <c r="D729" s="289">
        <f>DSDV!W734</f>
        <v>0</v>
      </c>
    </row>
    <row r="730" spans="1:4">
      <c r="A730">
        <f>DSDV!B735</f>
        <v>0</v>
      </c>
      <c r="B730">
        <f>DSDV!G735</f>
        <v>0</v>
      </c>
      <c r="C730" s="288">
        <f>DSDV!K735</f>
        <v>0</v>
      </c>
      <c r="D730" s="289">
        <f>DSDV!W735</f>
        <v>0</v>
      </c>
    </row>
    <row r="731" spans="1:4">
      <c r="A731">
        <f>DSDV!B736</f>
        <v>0</v>
      </c>
      <c r="B731">
        <f>DSDV!G736</f>
        <v>0</v>
      </c>
      <c r="C731" s="288">
        <f>DSDV!K736</f>
        <v>0</v>
      </c>
      <c r="D731" s="289">
        <f>DSDV!W736</f>
        <v>0</v>
      </c>
    </row>
    <row r="732" spans="1:4">
      <c r="A732">
        <f>DSDV!B737</f>
        <v>0</v>
      </c>
      <c r="B732">
        <f>DSDV!G737</f>
        <v>0</v>
      </c>
      <c r="C732" s="288">
        <f>DSDV!K737</f>
        <v>0</v>
      </c>
      <c r="D732" s="289">
        <f>DSDV!W737</f>
        <v>0</v>
      </c>
    </row>
    <row r="733" spans="1:4">
      <c r="A733">
        <f>DSDV!B738</f>
        <v>0</v>
      </c>
      <c r="B733">
        <f>DSDV!G738</f>
        <v>0</v>
      </c>
      <c r="C733" s="288">
        <f>DSDV!K738</f>
        <v>0</v>
      </c>
      <c r="D733" s="289">
        <f>DSDV!W738</f>
        <v>0</v>
      </c>
    </row>
    <row r="734" spans="1:4">
      <c r="A734">
        <f>DSDV!B739</f>
        <v>0</v>
      </c>
      <c r="B734">
        <f>DSDV!G739</f>
        <v>0</v>
      </c>
      <c r="C734" s="288">
        <f>DSDV!K739</f>
        <v>0</v>
      </c>
      <c r="D734" s="289">
        <f>DSDV!W739</f>
        <v>0</v>
      </c>
    </row>
    <row r="735" spans="1:4">
      <c r="A735">
        <f>DSDV!B740</f>
        <v>0</v>
      </c>
      <c r="B735">
        <f>DSDV!G740</f>
        <v>0</v>
      </c>
      <c r="C735" s="288">
        <f>DSDV!K740</f>
        <v>0</v>
      </c>
      <c r="D735" s="289">
        <f>DSDV!W740</f>
        <v>0</v>
      </c>
    </row>
    <row r="736" spans="1:4">
      <c r="A736">
        <f>DSDV!B741</f>
        <v>0</v>
      </c>
      <c r="B736">
        <f>DSDV!G741</f>
        <v>0</v>
      </c>
      <c r="C736" s="288">
        <f>DSDV!K741</f>
        <v>0</v>
      </c>
      <c r="D736" s="289">
        <f>DSDV!W741</f>
        <v>0</v>
      </c>
    </row>
    <row r="737" spans="1:4">
      <c r="A737">
        <f>DSDV!B742</f>
        <v>0</v>
      </c>
      <c r="B737">
        <f>DSDV!G742</f>
        <v>0</v>
      </c>
      <c r="C737" s="288">
        <f>DSDV!K742</f>
        <v>0</v>
      </c>
      <c r="D737" s="289">
        <f>DSDV!W742</f>
        <v>0</v>
      </c>
    </row>
    <row r="738" spans="1:4">
      <c r="A738">
        <f>DSDV!B743</f>
        <v>0</v>
      </c>
      <c r="B738">
        <f>DSDV!G743</f>
        <v>0</v>
      </c>
      <c r="C738" s="288">
        <f>DSDV!K743</f>
        <v>0</v>
      </c>
      <c r="D738" s="289">
        <f>DSDV!W743</f>
        <v>0</v>
      </c>
    </row>
    <row r="739" spans="1:4">
      <c r="A739">
        <f>DSDV!B744</f>
        <v>0</v>
      </c>
      <c r="B739">
        <f>DSDV!G744</f>
        <v>0</v>
      </c>
      <c r="C739" s="288">
        <f>DSDV!K744</f>
        <v>0</v>
      </c>
      <c r="D739" s="289">
        <f>DSDV!W744</f>
        <v>0</v>
      </c>
    </row>
    <row r="740" spans="1:4">
      <c r="A740">
        <f>DSDV!B745</f>
        <v>0</v>
      </c>
      <c r="B740">
        <f>DSDV!G745</f>
        <v>0</v>
      </c>
      <c r="C740" s="288">
        <f>DSDV!K745</f>
        <v>0</v>
      </c>
      <c r="D740" s="289">
        <f>DSDV!W745</f>
        <v>0</v>
      </c>
    </row>
    <row r="741" spans="1:4">
      <c r="A741">
        <f>DSDV!B746</f>
        <v>0</v>
      </c>
      <c r="B741">
        <f>DSDV!G746</f>
        <v>0</v>
      </c>
      <c r="C741" s="288">
        <f>DSDV!K746</f>
        <v>0</v>
      </c>
      <c r="D741" s="289">
        <f>DSDV!W746</f>
        <v>0</v>
      </c>
    </row>
    <row r="742" spans="1:4">
      <c r="A742">
        <f>DSDV!B747</f>
        <v>0</v>
      </c>
      <c r="B742">
        <f>DSDV!G747</f>
        <v>0</v>
      </c>
      <c r="C742" s="288">
        <f>DSDV!K747</f>
        <v>0</v>
      </c>
      <c r="D742" s="289">
        <f>DSDV!W747</f>
        <v>0</v>
      </c>
    </row>
    <row r="743" spans="1:4">
      <c r="A743">
        <f>DSDV!B748</f>
        <v>0</v>
      </c>
      <c r="B743">
        <f>DSDV!G748</f>
        <v>0</v>
      </c>
      <c r="C743" s="288">
        <f>DSDV!K748</f>
        <v>0</v>
      </c>
      <c r="D743" s="289">
        <f>DSDV!W748</f>
        <v>0</v>
      </c>
    </row>
    <row r="744" spans="1:4">
      <c r="A744">
        <f>DSDV!B749</f>
        <v>0</v>
      </c>
      <c r="B744">
        <f>DSDV!G749</f>
        <v>0</v>
      </c>
      <c r="C744" s="288">
        <f>DSDV!K749</f>
        <v>0</v>
      </c>
      <c r="D744" s="289">
        <f>DSDV!W749</f>
        <v>0</v>
      </c>
    </row>
    <row r="745" spans="1:4">
      <c r="A745">
        <f>DSDV!B750</f>
        <v>0</v>
      </c>
      <c r="B745">
        <f>DSDV!G750</f>
        <v>0</v>
      </c>
      <c r="C745" s="288">
        <f>DSDV!K750</f>
        <v>0</v>
      </c>
      <c r="D745" s="289">
        <f>DSDV!W750</f>
        <v>0</v>
      </c>
    </row>
    <row r="746" spans="1:4">
      <c r="A746">
        <f>DSDV!B751</f>
        <v>0</v>
      </c>
      <c r="B746">
        <f>DSDV!G751</f>
        <v>0</v>
      </c>
      <c r="C746" s="288">
        <f>DSDV!K751</f>
        <v>0</v>
      </c>
      <c r="D746" s="289">
        <f>DSDV!W751</f>
        <v>0</v>
      </c>
    </row>
    <row r="747" spans="1:4">
      <c r="A747">
        <f>DSDV!B752</f>
        <v>0</v>
      </c>
      <c r="B747">
        <f>DSDV!G752</f>
        <v>0</v>
      </c>
      <c r="C747" s="288">
        <f>DSDV!K752</f>
        <v>0</v>
      </c>
      <c r="D747" s="289">
        <f>DSDV!W752</f>
        <v>0</v>
      </c>
    </row>
    <row r="748" spans="1:4">
      <c r="A748">
        <f>DSDV!B753</f>
        <v>0</v>
      </c>
      <c r="B748">
        <f>DSDV!G753</f>
        <v>0</v>
      </c>
      <c r="C748" s="288">
        <f>DSDV!K753</f>
        <v>0</v>
      </c>
      <c r="D748" s="289">
        <f>DSDV!W753</f>
        <v>0</v>
      </c>
    </row>
    <row r="749" spans="1:4">
      <c r="A749">
        <f>DSDV!B754</f>
        <v>0</v>
      </c>
      <c r="B749">
        <f>DSDV!G754</f>
        <v>0</v>
      </c>
      <c r="C749" s="288">
        <f>DSDV!K754</f>
        <v>0</v>
      </c>
      <c r="D749" s="289">
        <f>DSDV!W754</f>
        <v>0</v>
      </c>
    </row>
    <row r="750" spans="1:4">
      <c r="A750">
        <f>DSDV!B755</f>
        <v>0</v>
      </c>
      <c r="B750">
        <f>DSDV!G755</f>
        <v>0</v>
      </c>
      <c r="C750" s="288">
        <f>DSDV!K755</f>
        <v>0</v>
      </c>
      <c r="D750" s="289">
        <f>DSDV!W755</f>
        <v>0</v>
      </c>
    </row>
    <row r="751" spans="1:4">
      <c r="A751">
        <f>DSDV!B756</f>
        <v>0</v>
      </c>
      <c r="B751">
        <f>DSDV!G756</f>
        <v>0</v>
      </c>
      <c r="C751" s="288">
        <f>DSDV!K756</f>
        <v>0</v>
      </c>
      <c r="D751" s="289">
        <f>DSDV!W756</f>
        <v>0</v>
      </c>
    </row>
    <row r="752" spans="1:4">
      <c r="A752">
        <f>DSDV!B757</f>
        <v>0</v>
      </c>
      <c r="B752">
        <f>DSDV!G757</f>
        <v>0</v>
      </c>
      <c r="C752" s="288">
        <f>DSDV!K757</f>
        <v>0</v>
      </c>
      <c r="D752" s="289">
        <f>DSDV!W757</f>
        <v>0</v>
      </c>
    </row>
    <row r="753" spans="1:4">
      <c r="A753">
        <f>DSDV!B758</f>
        <v>0</v>
      </c>
      <c r="B753">
        <f>DSDV!G758</f>
        <v>0</v>
      </c>
      <c r="C753" s="288">
        <f>DSDV!K758</f>
        <v>0</v>
      </c>
      <c r="D753" s="289">
        <f>DSDV!W758</f>
        <v>0</v>
      </c>
    </row>
    <row r="754" spans="1:4">
      <c r="A754">
        <f>DSDV!B759</f>
        <v>0</v>
      </c>
      <c r="B754">
        <f>DSDV!G759</f>
        <v>0</v>
      </c>
      <c r="C754" s="288">
        <f>DSDV!K759</f>
        <v>0</v>
      </c>
      <c r="D754" s="289">
        <f>DSDV!W759</f>
        <v>0</v>
      </c>
    </row>
    <row r="755" spans="1:4">
      <c r="A755">
        <f>DSDV!B760</f>
        <v>0</v>
      </c>
      <c r="B755">
        <f>DSDV!G760</f>
        <v>0</v>
      </c>
      <c r="C755" s="288">
        <f>DSDV!K760</f>
        <v>0</v>
      </c>
      <c r="D755" s="289">
        <f>DSDV!W760</f>
        <v>0</v>
      </c>
    </row>
    <row r="756" spans="1:4">
      <c r="A756">
        <f>DSDV!B761</f>
        <v>0</v>
      </c>
      <c r="B756">
        <f>DSDV!G761</f>
        <v>0</v>
      </c>
      <c r="C756" s="288">
        <f>DSDV!K761</f>
        <v>0</v>
      </c>
      <c r="D756" s="289">
        <f>DSDV!W761</f>
        <v>0</v>
      </c>
    </row>
    <row r="757" spans="1:4">
      <c r="A757">
        <f>DSDV!B762</f>
        <v>0</v>
      </c>
      <c r="B757">
        <f>DSDV!G762</f>
        <v>0</v>
      </c>
      <c r="C757" s="288">
        <f>DSDV!K762</f>
        <v>0</v>
      </c>
      <c r="D757" s="289">
        <f>DSDV!W762</f>
        <v>0</v>
      </c>
    </row>
    <row r="758" spans="1:4">
      <c r="A758">
        <f>DSDV!B763</f>
        <v>0</v>
      </c>
      <c r="B758">
        <f>DSDV!G763</f>
        <v>0</v>
      </c>
      <c r="C758" s="288">
        <f>DSDV!K763</f>
        <v>0</v>
      </c>
      <c r="D758" s="289">
        <f>DSDV!W763</f>
        <v>0</v>
      </c>
    </row>
    <row r="759" spans="1:4">
      <c r="A759">
        <f>DSDV!B764</f>
        <v>0</v>
      </c>
      <c r="B759">
        <f>DSDV!G764</f>
        <v>0</v>
      </c>
      <c r="C759" s="288">
        <f>DSDV!K764</f>
        <v>0</v>
      </c>
      <c r="D759" s="289">
        <f>DSDV!W764</f>
        <v>0</v>
      </c>
    </row>
    <row r="760" spans="1:4">
      <c r="A760">
        <f>DSDV!B765</f>
        <v>0</v>
      </c>
      <c r="B760">
        <f>DSDV!G765</f>
        <v>0</v>
      </c>
      <c r="C760" s="288">
        <f>DSDV!K765</f>
        <v>0</v>
      </c>
      <c r="D760" s="289">
        <f>DSDV!W765</f>
        <v>0</v>
      </c>
    </row>
    <row r="761" spans="1:4">
      <c r="A761">
        <f>DSDV!B766</f>
        <v>0</v>
      </c>
      <c r="B761">
        <f>DSDV!G766</f>
        <v>0</v>
      </c>
      <c r="C761" s="288">
        <f>DSDV!K766</f>
        <v>0</v>
      </c>
      <c r="D761" s="289">
        <f>DSDV!W766</f>
        <v>0</v>
      </c>
    </row>
    <row r="762" spans="1:4">
      <c r="A762">
        <f>DSDV!B767</f>
        <v>0</v>
      </c>
      <c r="B762">
        <f>DSDV!G767</f>
        <v>0</v>
      </c>
      <c r="C762" s="288">
        <f>DSDV!K767</f>
        <v>0</v>
      </c>
      <c r="D762" s="289">
        <f>DSDV!W767</f>
        <v>0</v>
      </c>
    </row>
    <row r="763" spans="1:4">
      <c r="A763">
        <f>DSDV!B768</f>
        <v>0</v>
      </c>
      <c r="B763">
        <f>DSDV!G768</f>
        <v>0</v>
      </c>
      <c r="C763" s="288">
        <f>DSDV!K768</f>
        <v>0</v>
      </c>
      <c r="D763" s="289">
        <f>DSDV!W768</f>
        <v>0</v>
      </c>
    </row>
    <row r="764" spans="1:4">
      <c r="A764">
        <f>DSDV!B769</f>
        <v>0</v>
      </c>
      <c r="B764">
        <f>DSDV!G769</f>
        <v>0</v>
      </c>
      <c r="C764" s="288">
        <f>DSDV!K769</f>
        <v>0</v>
      </c>
      <c r="D764" s="289">
        <f>DSDV!W769</f>
        <v>0</v>
      </c>
    </row>
    <row r="765" spans="1:4">
      <c r="A765">
        <f>DSDV!B770</f>
        <v>0</v>
      </c>
      <c r="B765">
        <f>DSDV!G770</f>
        <v>0</v>
      </c>
      <c r="C765" s="288">
        <f>DSDV!K770</f>
        <v>0</v>
      </c>
      <c r="D765" s="289">
        <f>DSDV!W770</f>
        <v>0</v>
      </c>
    </row>
    <row r="766" spans="1:4">
      <c r="A766">
        <f>DSDV!B771</f>
        <v>0</v>
      </c>
      <c r="B766">
        <f>DSDV!G771</f>
        <v>0</v>
      </c>
      <c r="C766" s="288">
        <f>DSDV!K771</f>
        <v>0</v>
      </c>
      <c r="D766" s="289">
        <f>DSDV!W771</f>
        <v>0</v>
      </c>
    </row>
    <row r="767" spans="1:4">
      <c r="A767">
        <f>DSDV!B772</f>
        <v>0</v>
      </c>
      <c r="B767">
        <f>DSDV!G772</f>
        <v>0</v>
      </c>
      <c r="C767" s="288">
        <f>DSDV!K772</f>
        <v>0</v>
      </c>
      <c r="D767" s="289">
        <f>DSDV!W772</f>
        <v>0</v>
      </c>
    </row>
    <row r="768" spans="1:4">
      <c r="A768">
        <f>DSDV!B773</f>
        <v>0</v>
      </c>
      <c r="B768">
        <f>DSDV!G773</f>
        <v>0</v>
      </c>
      <c r="C768" s="288">
        <f>DSDV!K773</f>
        <v>0</v>
      </c>
      <c r="D768" s="289">
        <f>DSDV!W773</f>
        <v>0</v>
      </c>
    </row>
    <row r="769" spans="1:4">
      <c r="A769">
        <f>DSDV!B774</f>
        <v>0</v>
      </c>
      <c r="B769">
        <f>DSDV!G774</f>
        <v>0</v>
      </c>
      <c r="C769" s="288">
        <f>DSDV!K774</f>
        <v>0</v>
      </c>
      <c r="D769" s="289">
        <f>DSDV!W774</f>
        <v>0</v>
      </c>
    </row>
    <row r="770" spans="1:4">
      <c r="A770">
        <f>DSDV!B775</f>
        <v>0</v>
      </c>
      <c r="B770">
        <f>DSDV!G775</f>
        <v>0</v>
      </c>
      <c r="C770" s="288">
        <f>DSDV!K775</f>
        <v>0</v>
      </c>
      <c r="D770" s="289">
        <f>DSDV!W775</f>
        <v>0</v>
      </c>
    </row>
    <row r="771" spans="1:4">
      <c r="A771">
        <f>DSDV!B776</f>
        <v>0</v>
      </c>
      <c r="B771">
        <f>DSDV!G776</f>
        <v>0</v>
      </c>
      <c r="C771" s="288">
        <f>DSDV!K776</f>
        <v>0</v>
      </c>
      <c r="D771" s="289">
        <f>DSDV!W776</f>
        <v>0</v>
      </c>
    </row>
    <row r="772" spans="1:4">
      <c r="A772">
        <f>DSDV!B777</f>
        <v>0</v>
      </c>
      <c r="B772">
        <f>DSDV!G777</f>
        <v>0</v>
      </c>
      <c r="C772" s="288">
        <f>DSDV!K777</f>
        <v>0</v>
      </c>
      <c r="D772" s="289">
        <f>DSDV!W777</f>
        <v>0</v>
      </c>
    </row>
    <row r="773" spans="1:4">
      <c r="A773">
        <f>DSDV!B778</f>
        <v>0</v>
      </c>
      <c r="B773">
        <f>DSDV!G778</f>
        <v>0</v>
      </c>
      <c r="C773" s="288">
        <f>DSDV!K778</f>
        <v>0</v>
      </c>
      <c r="D773" s="289">
        <f>DSDV!W778</f>
        <v>0</v>
      </c>
    </row>
    <row r="774" spans="1:4">
      <c r="A774">
        <f>DSDV!B779</f>
        <v>0</v>
      </c>
      <c r="B774">
        <f>DSDV!G779</f>
        <v>0</v>
      </c>
      <c r="C774" s="288">
        <f>DSDV!K779</f>
        <v>0</v>
      </c>
      <c r="D774" s="289">
        <f>DSDV!W779</f>
        <v>0</v>
      </c>
    </row>
    <row r="775" spans="1:4">
      <c r="A775">
        <f>DSDV!B780</f>
        <v>0</v>
      </c>
      <c r="B775">
        <f>DSDV!G780</f>
        <v>0</v>
      </c>
      <c r="C775" s="288">
        <f>DSDV!K780</f>
        <v>0</v>
      </c>
      <c r="D775" s="289">
        <f>DSDV!W780</f>
        <v>0</v>
      </c>
    </row>
    <row r="776" spans="1:4">
      <c r="A776">
        <f>DSDV!B781</f>
        <v>0</v>
      </c>
      <c r="B776">
        <f>DSDV!G781</f>
        <v>0</v>
      </c>
      <c r="C776" s="288">
        <f>DSDV!K781</f>
        <v>0</v>
      </c>
      <c r="D776" s="289">
        <f>DSDV!W781</f>
        <v>0</v>
      </c>
    </row>
    <row r="777" spans="1:4">
      <c r="A777">
        <f>DSDV!B782</f>
        <v>0</v>
      </c>
      <c r="B777">
        <f>DSDV!G782</f>
        <v>0</v>
      </c>
      <c r="C777" s="288">
        <f>DSDV!K782</f>
        <v>0</v>
      </c>
      <c r="D777" s="289">
        <f>DSDV!W782</f>
        <v>0</v>
      </c>
    </row>
    <row r="778" spans="1:4">
      <c r="A778">
        <f>DSDV!B783</f>
        <v>0</v>
      </c>
      <c r="B778">
        <f>DSDV!G783</f>
        <v>0</v>
      </c>
      <c r="C778" s="288">
        <f>DSDV!K783</f>
        <v>0</v>
      </c>
      <c r="D778" s="289">
        <f>DSDV!W783</f>
        <v>0</v>
      </c>
    </row>
    <row r="779" spans="1:4">
      <c r="A779">
        <f>DSDV!B784</f>
        <v>0</v>
      </c>
      <c r="B779">
        <f>DSDV!G784</f>
        <v>0</v>
      </c>
      <c r="C779" s="288">
        <f>DSDV!K784</f>
        <v>0</v>
      </c>
      <c r="D779" s="289">
        <f>DSDV!W784</f>
        <v>0</v>
      </c>
    </row>
    <row r="780" spans="1:4">
      <c r="A780">
        <f>DSDV!B785</f>
        <v>0</v>
      </c>
      <c r="B780">
        <f>DSDV!G785</f>
        <v>0</v>
      </c>
      <c r="C780" s="288">
        <f>DSDV!K785</f>
        <v>0</v>
      </c>
      <c r="D780" s="289">
        <f>DSDV!W785</f>
        <v>0</v>
      </c>
    </row>
    <row r="781" spans="1:4">
      <c r="A781">
        <f>DSDV!B786</f>
        <v>0</v>
      </c>
      <c r="B781">
        <f>DSDV!G786</f>
        <v>0</v>
      </c>
      <c r="C781" s="288">
        <f>DSDV!K786</f>
        <v>0</v>
      </c>
      <c r="D781" s="289">
        <f>DSDV!W786</f>
        <v>0</v>
      </c>
    </row>
    <row r="782" spans="1:4">
      <c r="A782">
        <f>DSDV!B787</f>
        <v>0</v>
      </c>
      <c r="B782">
        <f>DSDV!G787</f>
        <v>0</v>
      </c>
      <c r="C782" s="288">
        <f>DSDV!K787</f>
        <v>0</v>
      </c>
      <c r="D782" s="289">
        <f>DSDV!W787</f>
        <v>0</v>
      </c>
    </row>
    <row r="783" spans="1:4">
      <c r="A783">
        <f>DSDV!B788</f>
        <v>0</v>
      </c>
      <c r="B783">
        <f>DSDV!G788</f>
        <v>0</v>
      </c>
      <c r="C783" s="288">
        <f>DSDV!K788</f>
        <v>0</v>
      </c>
      <c r="D783" s="289">
        <f>DSDV!W788</f>
        <v>0</v>
      </c>
    </row>
    <row r="784" spans="1:4">
      <c r="A784">
        <f>DSDV!B789</f>
        <v>0</v>
      </c>
      <c r="B784">
        <f>DSDV!G789</f>
        <v>0</v>
      </c>
      <c r="C784" s="288">
        <f>DSDV!K789</f>
        <v>0</v>
      </c>
      <c r="D784" s="289">
        <f>DSDV!W789</f>
        <v>0</v>
      </c>
    </row>
    <row r="785" spans="1:4">
      <c r="A785">
        <f>DSDV!B790</f>
        <v>0</v>
      </c>
      <c r="B785">
        <f>DSDV!G790</f>
        <v>0</v>
      </c>
      <c r="C785" s="288">
        <f>DSDV!K790</f>
        <v>0</v>
      </c>
      <c r="D785" s="289">
        <f>DSDV!W790</f>
        <v>0</v>
      </c>
    </row>
    <row r="786" spans="1:4">
      <c r="A786">
        <f>DSDV!B791</f>
        <v>0</v>
      </c>
      <c r="B786">
        <f>DSDV!G791</f>
        <v>0</v>
      </c>
      <c r="C786" s="288">
        <f>DSDV!K791</f>
        <v>0</v>
      </c>
      <c r="D786" s="289">
        <f>DSDV!W791</f>
        <v>0</v>
      </c>
    </row>
    <row r="787" spans="1:4">
      <c r="A787">
        <f>DSDV!B792</f>
        <v>0</v>
      </c>
      <c r="B787">
        <f>DSDV!G792</f>
        <v>0</v>
      </c>
      <c r="C787" s="288">
        <f>DSDV!K792</f>
        <v>0</v>
      </c>
      <c r="D787" s="289">
        <f>DSDV!W792</f>
        <v>0</v>
      </c>
    </row>
    <row r="788" spans="1:4">
      <c r="A788">
        <f>DSDV!B793</f>
        <v>0</v>
      </c>
      <c r="B788">
        <f>DSDV!G793</f>
        <v>0</v>
      </c>
      <c r="C788" s="288">
        <f>DSDV!K793</f>
        <v>0</v>
      </c>
      <c r="D788" s="289">
        <f>DSDV!W793</f>
        <v>0</v>
      </c>
    </row>
    <row r="789" spans="1:4">
      <c r="A789">
        <f>DSDV!B794</f>
        <v>0</v>
      </c>
      <c r="B789">
        <f>DSDV!G794</f>
        <v>0</v>
      </c>
      <c r="C789" s="288">
        <f>DSDV!K794</f>
        <v>0</v>
      </c>
      <c r="D789" s="289">
        <f>DSDV!W794</f>
        <v>0</v>
      </c>
    </row>
    <row r="790" spans="1:4">
      <c r="A790">
        <f>DSDV!B795</f>
        <v>0</v>
      </c>
      <c r="B790">
        <f>DSDV!G795</f>
        <v>0</v>
      </c>
      <c r="C790" s="288">
        <f>DSDV!K795</f>
        <v>0</v>
      </c>
      <c r="D790" s="289">
        <f>DSDV!W795</f>
        <v>0</v>
      </c>
    </row>
    <row r="791" spans="1:4">
      <c r="A791">
        <f>DSDV!B796</f>
        <v>0</v>
      </c>
      <c r="B791">
        <f>DSDV!G796</f>
        <v>0</v>
      </c>
      <c r="C791" s="288">
        <f>DSDV!K796</f>
        <v>0</v>
      </c>
      <c r="D791" s="289">
        <f>DSDV!W796</f>
        <v>0</v>
      </c>
    </row>
    <row r="792" spans="1:4">
      <c r="A792">
        <f>DSDV!B797</f>
        <v>0</v>
      </c>
      <c r="B792">
        <f>DSDV!G797</f>
        <v>0</v>
      </c>
      <c r="C792" s="288">
        <f>DSDV!K797</f>
        <v>0</v>
      </c>
      <c r="D792" s="289">
        <f>DSDV!W797</f>
        <v>0</v>
      </c>
    </row>
    <row r="793" spans="1:4">
      <c r="A793">
        <f>DSDV!B798</f>
        <v>0</v>
      </c>
      <c r="B793">
        <f>DSDV!G798</f>
        <v>0</v>
      </c>
      <c r="C793" s="288">
        <f>DSDV!K798</f>
        <v>0</v>
      </c>
      <c r="D793" s="289">
        <f>DSDV!W798</f>
        <v>0</v>
      </c>
    </row>
    <row r="794" spans="1:4">
      <c r="A794">
        <f>DSDV!B799</f>
        <v>0</v>
      </c>
      <c r="B794">
        <f>DSDV!G799</f>
        <v>0</v>
      </c>
      <c r="C794" s="288">
        <f>DSDV!K799</f>
        <v>0</v>
      </c>
      <c r="D794" s="289">
        <f>DSDV!W799</f>
        <v>0</v>
      </c>
    </row>
    <row r="795" spans="1:4">
      <c r="A795">
        <f>DSDV!B800</f>
        <v>0</v>
      </c>
      <c r="B795">
        <f>DSDV!G800</f>
        <v>0</v>
      </c>
      <c r="C795" s="288">
        <f>DSDV!K800</f>
        <v>0</v>
      </c>
      <c r="D795" s="289">
        <f>DSDV!W800</f>
        <v>0</v>
      </c>
    </row>
    <row r="796" spans="1:4">
      <c r="A796">
        <f>DSDV!B801</f>
        <v>0</v>
      </c>
      <c r="B796">
        <f>DSDV!G801</f>
        <v>0</v>
      </c>
      <c r="C796" s="288">
        <f>DSDV!K801</f>
        <v>0</v>
      </c>
      <c r="D796" s="289">
        <f>DSDV!W801</f>
        <v>0</v>
      </c>
    </row>
    <row r="797" spans="1:4">
      <c r="A797">
        <f>DSDV!B802</f>
        <v>0</v>
      </c>
      <c r="B797">
        <f>DSDV!G802</f>
        <v>0</v>
      </c>
      <c r="C797" s="288">
        <f>DSDV!K802</f>
        <v>0</v>
      </c>
      <c r="D797" s="289">
        <f>DSDV!W802</f>
        <v>0</v>
      </c>
    </row>
    <row r="798" spans="1:4">
      <c r="A798">
        <f>DSDV!B803</f>
        <v>0</v>
      </c>
      <c r="B798">
        <f>DSDV!G803</f>
        <v>0</v>
      </c>
      <c r="C798" s="288">
        <f>DSDV!K803</f>
        <v>0</v>
      </c>
      <c r="D798" s="289">
        <f>DSDV!W803</f>
        <v>0</v>
      </c>
    </row>
    <row r="799" spans="1:4">
      <c r="A799">
        <f>DSDV!B804</f>
        <v>0</v>
      </c>
      <c r="B799">
        <f>DSDV!G804</f>
        <v>0</v>
      </c>
      <c r="C799" s="288">
        <f>DSDV!K804</f>
        <v>0</v>
      </c>
      <c r="D799" s="289">
        <f>DSDV!W804</f>
        <v>0</v>
      </c>
    </row>
    <row r="800" spans="1:4">
      <c r="A800">
        <f>DSDV!B805</f>
        <v>0</v>
      </c>
      <c r="B800">
        <f>DSDV!G805</f>
        <v>0</v>
      </c>
      <c r="C800" s="288">
        <f>DSDV!K805</f>
        <v>0</v>
      </c>
      <c r="D800" s="289">
        <f>DSDV!W805</f>
        <v>0</v>
      </c>
    </row>
    <row r="801" spans="1:4">
      <c r="A801">
        <f>DSDV!B806</f>
        <v>0</v>
      </c>
      <c r="B801">
        <f>DSDV!G806</f>
        <v>0</v>
      </c>
      <c r="C801" s="288">
        <f>DSDV!K806</f>
        <v>0</v>
      </c>
      <c r="D801" s="289">
        <f>DSDV!W806</f>
        <v>0</v>
      </c>
    </row>
    <row r="802" spans="1:4">
      <c r="A802">
        <f>DSDV!B807</f>
        <v>0</v>
      </c>
      <c r="B802">
        <f>DSDV!G807</f>
        <v>0</v>
      </c>
      <c r="C802" s="288">
        <f>DSDV!K807</f>
        <v>0</v>
      </c>
      <c r="D802" s="289">
        <f>DSDV!W807</f>
        <v>0</v>
      </c>
    </row>
    <row r="803" spans="1:4">
      <c r="A803">
        <f>DSDV!B808</f>
        <v>0</v>
      </c>
      <c r="B803">
        <f>DSDV!G808</f>
        <v>0</v>
      </c>
      <c r="C803" s="288">
        <f>DSDV!K808</f>
        <v>0</v>
      </c>
      <c r="D803" s="289">
        <f>DSDV!W808</f>
        <v>0</v>
      </c>
    </row>
    <row r="804" spans="1:4">
      <c r="A804">
        <f>DSDV!B809</f>
        <v>0</v>
      </c>
      <c r="B804">
        <f>DSDV!G809</f>
        <v>0</v>
      </c>
      <c r="C804" s="288">
        <f>DSDV!K809</f>
        <v>0</v>
      </c>
      <c r="D804" s="289">
        <f>DSDV!W809</f>
        <v>0</v>
      </c>
    </row>
    <row r="805" spans="1:4">
      <c r="A805">
        <f>DSDV!B810</f>
        <v>0</v>
      </c>
      <c r="B805">
        <f>DSDV!G810</f>
        <v>0</v>
      </c>
      <c r="C805" s="288">
        <f>DSDV!K810</f>
        <v>0</v>
      </c>
      <c r="D805" s="289">
        <f>DSDV!W810</f>
        <v>0</v>
      </c>
    </row>
    <row r="806" spans="1:4">
      <c r="A806">
        <f>DSDV!B811</f>
        <v>0</v>
      </c>
      <c r="B806">
        <f>DSDV!G811</f>
        <v>0</v>
      </c>
      <c r="C806" s="288">
        <f>DSDV!K811</f>
        <v>0</v>
      </c>
      <c r="D806" s="289">
        <f>DSDV!W811</f>
        <v>0</v>
      </c>
    </row>
    <row r="807" spans="1:4">
      <c r="A807">
        <f>DSDV!B812</f>
        <v>0</v>
      </c>
      <c r="B807">
        <f>DSDV!G812</f>
        <v>0</v>
      </c>
      <c r="C807" s="288">
        <f>DSDV!K812</f>
        <v>0</v>
      </c>
      <c r="D807" s="289">
        <f>DSDV!W812</f>
        <v>0</v>
      </c>
    </row>
    <row r="808" spans="1:4">
      <c r="A808">
        <f>DSDV!B813</f>
        <v>0</v>
      </c>
      <c r="B808">
        <f>DSDV!G813</f>
        <v>0</v>
      </c>
      <c r="C808" s="288">
        <f>DSDV!K813</f>
        <v>0</v>
      </c>
      <c r="D808" s="289">
        <f>DSDV!W813</f>
        <v>0</v>
      </c>
    </row>
    <row r="809" spans="1:4">
      <c r="A809">
        <f>DSDV!B814</f>
        <v>0</v>
      </c>
      <c r="B809">
        <f>DSDV!G814</f>
        <v>0</v>
      </c>
      <c r="C809" s="288">
        <f>DSDV!K814</f>
        <v>0</v>
      </c>
      <c r="D809" s="289">
        <f>DSDV!W814</f>
        <v>0</v>
      </c>
    </row>
    <row r="810" spans="1:4">
      <c r="A810">
        <f>DSDV!B815</f>
        <v>0</v>
      </c>
      <c r="B810">
        <f>DSDV!G815</f>
        <v>0</v>
      </c>
      <c r="C810" s="288">
        <f>DSDV!K815</f>
        <v>0</v>
      </c>
      <c r="D810" s="289">
        <f>DSDV!W815</f>
        <v>0</v>
      </c>
    </row>
    <row r="811" spans="1:4">
      <c r="A811">
        <f>DSDV!B816</f>
        <v>0</v>
      </c>
      <c r="B811">
        <f>DSDV!G816</f>
        <v>0</v>
      </c>
      <c r="C811" s="288">
        <f>DSDV!K816</f>
        <v>0</v>
      </c>
      <c r="D811" s="289">
        <f>DSDV!W816</f>
        <v>0</v>
      </c>
    </row>
    <row r="812" spans="1:4">
      <c r="A812">
        <f>DSDV!B817</f>
        <v>0</v>
      </c>
      <c r="B812">
        <f>DSDV!G817</f>
        <v>0</v>
      </c>
      <c r="C812" s="288">
        <f>DSDV!K817</f>
        <v>0</v>
      </c>
      <c r="D812" s="289">
        <f>DSDV!W817</f>
        <v>0</v>
      </c>
    </row>
    <row r="813" spans="1:4">
      <c r="A813">
        <f>DSDV!B818</f>
        <v>0</v>
      </c>
      <c r="B813">
        <f>DSDV!G818</f>
        <v>0</v>
      </c>
      <c r="C813" s="288">
        <f>DSDV!K818</f>
        <v>0</v>
      </c>
      <c r="D813" s="289">
        <f>DSDV!W818</f>
        <v>0</v>
      </c>
    </row>
    <row r="814" spans="1:4">
      <c r="A814">
        <f>DSDV!B819</f>
        <v>0</v>
      </c>
      <c r="B814">
        <f>DSDV!G819</f>
        <v>0</v>
      </c>
      <c r="C814" s="288">
        <f>DSDV!K819</f>
        <v>0</v>
      </c>
      <c r="D814" s="289">
        <f>DSDV!W819</f>
        <v>0</v>
      </c>
    </row>
    <row r="815" spans="1:4">
      <c r="A815">
        <f>DSDV!B820</f>
        <v>0</v>
      </c>
      <c r="B815">
        <f>DSDV!G820</f>
        <v>0</v>
      </c>
      <c r="C815" s="288">
        <f>DSDV!K820</f>
        <v>0</v>
      </c>
      <c r="D815" s="289">
        <f>DSDV!W820</f>
        <v>0</v>
      </c>
    </row>
    <row r="816" spans="1:4">
      <c r="A816">
        <f>DSDV!B821</f>
        <v>0</v>
      </c>
      <c r="B816">
        <f>DSDV!G821</f>
        <v>0</v>
      </c>
      <c r="C816" s="288">
        <f>DSDV!K821</f>
        <v>0</v>
      </c>
      <c r="D816" s="289">
        <f>DSDV!W821</f>
        <v>0</v>
      </c>
    </row>
    <row r="817" spans="1:4">
      <c r="A817">
        <f>DSDV!B822</f>
        <v>0</v>
      </c>
      <c r="B817">
        <f>DSDV!G822</f>
        <v>0</v>
      </c>
      <c r="C817" s="288">
        <f>DSDV!K822</f>
        <v>0</v>
      </c>
      <c r="D817" s="289">
        <f>DSDV!W822</f>
        <v>0</v>
      </c>
    </row>
    <row r="818" spans="1:4">
      <c r="A818">
        <f>DSDV!B823</f>
        <v>0</v>
      </c>
      <c r="B818">
        <f>DSDV!G823</f>
        <v>0</v>
      </c>
      <c r="C818" s="288">
        <f>DSDV!K823</f>
        <v>0</v>
      </c>
      <c r="D818" s="289">
        <f>DSDV!W823</f>
        <v>0</v>
      </c>
    </row>
    <row r="819" spans="1:4">
      <c r="A819">
        <f>DSDV!B824</f>
        <v>0</v>
      </c>
      <c r="B819">
        <f>DSDV!G824</f>
        <v>0</v>
      </c>
      <c r="C819" s="288">
        <f>DSDV!K824</f>
        <v>0</v>
      </c>
      <c r="D819" s="289">
        <f>DSDV!W824</f>
        <v>0</v>
      </c>
    </row>
    <row r="820" spans="1:4">
      <c r="A820">
        <f>DSDV!B825</f>
        <v>0</v>
      </c>
      <c r="B820">
        <f>DSDV!G825</f>
        <v>0</v>
      </c>
      <c r="C820" s="288">
        <f>DSDV!K825</f>
        <v>0</v>
      </c>
      <c r="D820" s="289">
        <f>DSDV!W825</f>
        <v>0</v>
      </c>
    </row>
    <row r="821" spans="1:4">
      <c r="A821">
        <f>DSDV!B826</f>
        <v>0</v>
      </c>
      <c r="B821">
        <f>DSDV!G826</f>
        <v>0</v>
      </c>
      <c r="C821" s="288">
        <f>DSDV!K826</f>
        <v>0</v>
      </c>
      <c r="D821" s="289">
        <f>DSDV!W826</f>
        <v>0</v>
      </c>
    </row>
    <row r="822" spans="1:4">
      <c r="A822">
        <f>DSDV!B827</f>
        <v>0</v>
      </c>
      <c r="B822">
        <f>DSDV!G827</f>
        <v>0</v>
      </c>
      <c r="C822" s="288">
        <f>DSDV!K827</f>
        <v>0</v>
      </c>
      <c r="D822" s="289">
        <f>DSDV!W827</f>
        <v>0</v>
      </c>
    </row>
    <row r="823" spans="1:4">
      <c r="A823">
        <f>DSDV!B828</f>
        <v>0</v>
      </c>
      <c r="B823">
        <f>DSDV!G828</f>
        <v>0</v>
      </c>
      <c r="C823" s="288">
        <f>DSDV!K828</f>
        <v>0</v>
      </c>
      <c r="D823" s="289">
        <f>DSDV!W828</f>
        <v>0</v>
      </c>
    </row>
    <row r="824" spans="1:4">
      <c r="A824">
        <f>DSDV!B829</f>
        <v>0</v>
      </c>
      <c r="B824">
        <f>DSDV!G829</f>
        <v>0</v>
      </c>
      <c r="C824" s="288">
        <f>DSDV!K829</f>
        <v>0</v>
      </c>
      <c r="D824" s="289">
        <f>DSDV!W829</f>
        <v>0</v>
      </c>
    </row>
    <row r="825" spans="1:4">
      <c r="A825">
        <f>DSDV!B830</f>
        <v>0</v>
      </c>
      <c r="B825">
        <f>DSDV!G830</f>
        <v>0</v>
      </c>
      <c r="C825" s="288">
        <f>DSDV!K830</f>
        <v>0</v>
      </c>
      <c r="D825" s="289">
        <f>DSDV!W830</f>
        <v>0</v>
      </c>
    </row>
    <row r="826" spans="1:4">
      <c r="A826">
        <f>DSDV!B831</f>
        <v>0</v>
      </c>
      <c r="B826">
        <f>DSDV!G831</f>
        <v>0</v>
      </c>
      <c r="C826" s="288">
        <f>DSDV!K831</f>
        <v>0</v>
      </c>
      <c r="D826" s="289">
        <f>DSDV!W831</f>
        <v>0</v>
      </c>
    </row>
    <row r="827" spans="1:4">
      <c r="A827">
        <f>DSDV!B832</f>
        <v>0</v>
      </c>
      <c r="B827">
        <f>DSDV!G832</f>
        <v>0</v>
      </c>
      <c r="C827" s="288">
        <f>DSDV!K832</f>
        <v>0</v>
      </c>
      <c r="D827" s="289">
        <f>DSDV!W832</f>
        <v>0</v>
      </c>
    </row>
    <row r="828" spans="1:4">
      <c r="A828">
        <f>DSDV!B833</f>
        <v>0</v>
      </c>
      <c r="B828">
        <f>DSDV!G833</f>
        <v>0</v>
      </c>
      <c r="C828" s="288">
        <f>DSDV!K833</f>
        <v>0</v>
      </c>
      <c r="D828" s="289">
        <f>DSDV!W833</f>
        <v>0</v>
      </c>
    </row>
    <row r="829" spans="1:4">
      <c r="A829">
        <f>DSDV!B834</f>
        <v>0</v>
      </c>
      <c r="B829">
        <f>DSDV!G834</f>
        <v>0</v>
      </c>
      <c r="C829" s="288">
        <f>DSDV!K834</f>
        <v>0</v>
      </c>
      <c r="D829" s="289">
        <f>DSDV!W834</f>
        <v>0</v>
      </c>
    </row>
    <row r="830" spans="1:4">
      <c r="A830">
        <f>DSDV!B835</f>
        <v>0</v>
      </c>
      <c r="B830">
        <f>DSDV!G835</f>
        <v>0</v>
      </c>
      <c r="C830" s="288">
        <f>DSDV!K835</f>
        <v>0</v>
      </c>
      <c r="D830" s="289">
        <f>DSDV!W835</f>
        <v>0</v>
      </c>
    </row>
    <row r="831" spans="1:4">
      <c r="A831">
        <f>DSDV!B836</f>
        <v>0</v>
      </c>
      <c r="B831">
        <f>DSDV!G836</f>
        <v>0</v>
      </c>
      <c r="C831" s="288">
        <f>DSDV!K836</f>
        <v>0</v>
      </c>
      <c r="D831" s="289">
        <f>DSDV!W836</f>
        <v>0</v>
      </c>
    </row>
    <row r="832" spans="1:4">
      <c r="A832">
        <f>DSDV!B837</f>
        <v>0</v>
      </c>
      <c r="B832">
        <f>DSDV!G837</f>
        <v>0</v>
      </c>
      <c r="C832" s="288">
        <f>DSDV!K837</f>
        <v>0</v>
      </c>
      <c r="D832" s="289">
        <f>DSDV!W837</f>
        <v>0</v>
      </c>
    </row>
    <row r="833" spans="1:4">
      <c r="A833">
        <f>DSDV!B838</f>
        <v>0</v>
      </c>
      <c r="B833">
        <f>DSDV!G838</f>
        <v>0</v>
      </c>
      <c r="C833" s="288">
        <f>DSDV!K838</f>
        <v>0</v>
      </c>
      <c r="D833" s="289">
        <f>DSDV!W838</f>
        <v>0</v>
      </c>
    </row>
    <row r="834" spans="1:4">
      <c r="A834">
        <f>DSDV!B839</f>
        <v>0</v>
      </c>
      <c r="B834">
        <f>DSDV!G839</f>
        <v>0</v>
      </c>
      <c r="C834" s="288">
        <f>DSDV!K839</f>
        <v>0</v>
      </c>
      <c r="D834" s="289">
        <f>DSDV!W839</f>
        <v>0</v>
      </c>
    </row>
    <row r="835" spans="1:4">
      <c r="A835">
        <f>DSDV!B840</f>
        <v>0</v>
      </c>
      <c r="B835">
        <f>DSDV!G840</f>
        <v>0</v>
      </c>
      <c r="C835" s="288">
        <f>DSDV!K840</f>
        <v>0</v>
      </c>
      <c r="D835" s="289">
        <f>DSDV!W840</f>
        <v>0</v>
      </c>
    </row>
    <row r="836" spans="1:4">
      <c r="A836">
        <f>DSDV!B841</f>
        <v>0</v>
      </c>
      <c r="B836">
        <f>DSDV!G841</f>
        <v>0</v>
      </c>
      <c r="C836" s="288">
        <f>DSDV!K841</f>
        <v>0</v>
      </c>
      <c r="D836" s="289">
        <f>DSDV!W841</f>
        <v>0</v>
      </c>
    </row>
    <row r="837" spans="1:4">
      <c r="A837">
        <f>DSDV!B842</f>
        <v>0</v>
      </c>
      <c r="B837">
        <f>DSDV!G842</f>
        <v>0</v>
      </c>
      <c r="C837" s="288">
        <f>DSDV!K842</f>
        <v>0</v>
      </c>
      <c r="D837" s="289">
        <f>DSDV!W842</f>
        <v>0</v>
      </c>
    </row>
    <row r="838" spans="1:4">
      <c r="A838">
        <f>DSDV!B843</f>
        <v>0</v>
      </c>
      <c r="B838">
        <f>DSDV!G843</f>
        <v>0</v>
      </c>
      <c r="C838" s="288">
        <f>DSDV!K843</f>
        <v>0</v>
      </c>
      <c r="D838" s="289">
        <f>DSDV!W843</f>
        <v>0</v>
      </c>
    </row>
    <row r="839" spans="1:4">
      <c r="A839">
        <f>DSDV!B844</f>
        <v>0</v>
      </c>
      <c r="B839">
        <f>DSDV!G844</f>
        <v>0</v>
      </c>
      <c r="C839" s="288">
        <f>DSDV!K844</f>
        <v>0</v>
      </c>
      <c r="D839" s="289">
        <f>DSDV!W844</f>
        <v>0</v>
      </c>
    </row>
    <row r="840" spans="1:4">
      <c r="A840">
        <f>DSDV!B845</f>
        <v>0</v>
      </c>
      <c r="B840">
        <f>DSDV!G845</f>
        <v>0</v>
      </c>
      <c r="C840" s="288">
        <f>DSDV!K845</f>
        <v>0</v>
      </c>
      <c r="D840" s="289">
        <f>DSDV!W845</f>
        <v>0</v>
      </c>
    </row>
    <row r="841" spans="1:4">
      <c r="A841">
        <f>DSDV!B846</f>
        <v>0</v>
      </c>
      <c r="B841">
        <f>DSDV!G846</f>
        <v>0</v>
      </c>
      <c r="C841" s="288">
        <f>DSDV!K846</f>
        <v>0</v>
      </c>
      <c r="D841" s="289">
        <f>DSDV!W846</f>
        <v>0</v>
      </c>
    </row>
    <row r="842" spans="1:4">
      <c r="A842">
        <f>DSDV!B847</f>
        <v>0</v>
      </c>
      <c r="B842">
        <f>DSDV!G847</f>
        <v>0</v>
      </c>
      <c r="C842" s="288">
        <f>DSDV!K847</f>
        <v>0</v>
      </c>
      <c r="D842" s="289">
        <f>DSDV!W847</f>
        <v>0</v>
      </c>
    </row>
    <row r="843" spans="1:4">
      <c r="A843">
        <f>DSDV!B848</f>
        <v>0</v>
      </c>
      <c r="B843">
        <f>DSDV!G848</f>
        <v>0</v>
      </c>
      <c r="C843" s="288">
        <f>DSDV!K848</f>
        <v>0</v>
      </c>
      <c r="D843" s="289">
        <f>DSDV!W848</f>
        <v>0</v>
      </c>
    </row>
    <row r="844" spans="1:4">
      <c r="A844">
        <f>DSDV!B849</f>
        <v>0</v>
      </c>
      <c r="B844">
        <f>DSDV!G849</f>
        <v>0</v>
      </c>
      <c r="C844" s="288">
        <f>DSDV!K849</f>
        <v>0</v>
      </c>
      <c r="D844" s="289">
        <f>DSDV!W849</f>
        <v>0</v>
      </c>
    </row>
    <row r="845" spans="1:4">
      <c r="A845">
        <f>DSDV!B850</f>
        <v>0</v>
      </c>
      <c r="B845">
        <f>DSDV!G850</f>
        <v>0</v>
      </c>
      <c r="C845" s="288">
        <f>DSDV!K850</f>
        <v>0</v>
      </c>
      <c r="D845" s="289">
        <f>DSDV!W850</f>
        <v>0</v>
      </c>
    </row>
    <row r="846" spans="1:4">
      <c r="A846">
        <f>DSDV!B851</f>
        <v>0</v>
      </c>
      <c r="B846">
        <f>DSDV!G851</f>
        <v>0</v>
      </c>
      <c r="C846" s="288">
        <f>DSDV!K851</f>
        <v>0</v>
      </c>
      <c r="D846" s="289">
        <f>DSDV!W851</f>
        <v>0</v>
      </c>
    </row>
    <row r="847" spans="1:4">
      <c r="A847">
        <f>DSDV!B852</f>
        <v>0</v>
      </c>
      <c r="B847">
        <f>DSDV!G852</f>
        <v>0</v>
      </c>
      <c r="C847" s="288">
        <f>DSDV!K852</f>
        <v>0</v>
      </c>
      <c r="D847" s="289">
        <f>DSDV!W852</f>
        <v>0</v>
      </c>
    </row>
    <row r="848" spans="1:4">
      <c r="A848">
        <f>DSDV!B853</f>
        <v>0</v>
      </c>
      <c r="B848">
        <f>DSDV!G853</f>
        <v>0</v>
      </c>
      <c r="C848" s="288">
        <f>DSDV!K853</f>
        <v>0</v>
      </c>
      <c r="D848" s="289">
        <f>DSDV!W853</f>
        <v>0</v>
      </c>
    </row>
    <row r="849" spans="1:4">
      <c r="A849">
        <f>DSDV!B854</f>
        <v>0</v>
      </c>
      <c r="B849">
        <f>DSDV!G854</f>
        <v>0</v>
      </c>
      <c r="C849" s="288">
        <f>DSDV!K854</f>
        <v>0</v>
      </c>
      <c r="D849" s="289">
        <f>DSDV!W854</f>
        <v>0</v>
      </c>
    </row>
    <row r="850" spans="1:4">
      <c r="A850">
        <f>DSDV!B855</f>
        <v>0</v>
      </c>
      <c r="B850">
        <f>DSDV!G855</f>
        <v>0</v>
      </c>
      <c r="C850" s="288">
        <f>DSDV!K855</f>
        <v>0</v>
      </c>
      <c r="D850" s="289">
        <f>DSDV!W855</f>
        <v>0</v>
      </c>
    </row>
    <row r="851" spans="1:4">
      <c r="A851">
        <f>DSDV!B856</f>
        <v>0</v>
      </c>
      <c r="B851">
        <f>DSDV!G856</f>
        <v>0</v>
      </c>
      <c r="C851" s="288">
        <f>DSDV!K856</f>
        <v>0</v>
      </c>
      <c r="D851" s="289">
        <f>DSDV!W856</f>
        <v>0</v>
      </c>
    </row>
    <row r="852" spans="1:4">
      <c r="A852">
        <f>DSDV!B857</f>
        <v>0</v>
      </c>
      <c r="B852">
        <f>DSDV!G857</f>
        <v>0</v>
      </c>
      <c r="C852" s="288">
        <f>DSDV!K857</f>
        <v>0</v>
      </c>
      <c r="D852" s="289">
        <f>DSDV!W857</f>
        <v>0</v>
      </c>
    </row>
    <row r="853" spans="1:4">
      <c r="A853">
        <f>DSDV!B858</f>
        <v>0</v>
      </c>
      <c r="B853">
        <f>DSDV!G858</f>
        <v>0</v>
      </c>
      <c r="C853" s="288">
        <f>DSDV!K858</f>
        <v>0</v>
      </c>
      <c r="D853" s="289">
        <f>DSDV!W858</f>
        <v>0</v>
      </c>
    </row>
    <row r="854" spans="1:4">
      <c r="A854">
        <f>DSDV!B859</f>
        <v>0</v>
      </c>
      <c r="B854">
        <f>DSDV!G859</f>
        <v>0</v>
      </c>
      <c r="C854" s="288">
        <f>DSDV!K859</f>
        <v>0</v>
      </c>
      <c r="D854" s="289">
        <f>DSDV!W859</f>
        <v>0</v>
      </c>
    </row>
    <row r="855" spans="1:4">
      <c r="A855">
        <f>DSDV!B860</f>
        <v>0</v>
      </c>
      <c r="B855">
        <f>DSDV!G860</f>
        <v>0</v>
      </c>
      <c r="C855" s="288">
        <f>DSDV!K860</f>
        <v>0</v>
      </c>
      <c r="D855" s="289">
        <f>DSDV!W860</f>
        <v>0</v>
      </c>
    </row>
    <row r="856" spans="1:4">
      <c r="A856">
        <f>DSDV!B861</f>
        <v>0</v>
      </c>
      <c r="B856">
        <f>DSDV!G861</f>
        <v>0</v>
      </c>
      <c r="C856" s="288">
        <f>DSDV!K861</f>
        <v>0</v>
      </c>
      <c r="D856" s="289">
        <f>DSDV!W861</f>
        <v>0</v>
      </c>
    </row>
    <row r="857" spans="1:4">
      <c r="A857">
        <f>DSDV!B862</f>
        <v>0</v>
      </c>
      <c r="B857">
        <f>DSDV!G862</f>
        <v>0</v>
      </c>
      <c r="C857" s="288">
        <f>DSDV!K862</f>
        <v>0</v>
      </c>
      <c r="D857" s="289">
        <f>DSDV!W862</f>
        <v>0</v>
      </c>
    </row>
    <row r="858" spans="1:4">
      <c r="A858">
        <f>DSDV!B863</f>
        <v>0</v>
      </c>
      <c r="B858">
        <f>DSDV!G863</f>
        <v>0</v>
      </c>
      <c r="C858" s="288">
        <f>DSDV!K863</f>
        <v>0</v>
      </c>
      <c r="D858" s="289">
        <f>DSDV!W863</f>
        <v>0</v>
      </c>
    </row>
    <row r="859" spans="1:4">
      <c r="A859">
        <f>DSDV!B864</f>
        <v>0</v>
      </c>
      <c r="B859">
        <f>DSDV!G864</f>
        <v>0</v>
      </c>
      <c r="C859" s="288">
        <f>DSDV!K864</f>
        <v>0</v>
      </c>
      <c r="D859" s="289">
        <f>DSDV!W864</f>
        <v>0</v>
      </c>
    </row>
    <row r="860" spans="1:4">
      <c r="A860">
        <f>DSDV!B865</f>
        <v>0</v>
      </c>
      <c r="B860">
        <f>DSDV!G865</f>
        <v>0</v>
      </c>
      <c r="C860" s="288">
        <f>DSDV!K865</f>
        <v>0</v>
      </c>
      <c r="D860" s="289">
        <f>DSDV!W865</f>
        <v>0</v>
      </c>
    </row>
    <row r="861" spans="1:4">
      <c r="A861">
        <f>DSDV!B866</f>
        <v>0</v>
      </c>
      <c r="B861">
        <f>DSDV!G866</f>
        <v>0</v>
      </c>
      <c r="C861" s="288">
        <f>DSDV!K866</f>
        <v>0</v>
      </c>
      <c r="D861" s="289">
        <f>DSDV!W866</f>
        <v>0</v>
      </c>
    </row>
    <row r="862" spans="1:4">
      <c r="A862">
        <f>DSDV!B867</f>
        <v>0</v>
      </c>
      <c r="B862">
        <f>DSDV!G867</f>
        <v>0</v>
      </c>
      <c r="C862" s="288">
        <f>DSDV!K867</f>
        <v>0</v>
      </c>
      <c r="D862" s="289">
        <f>DSDV!W867</f>
        <v>0</v>
      </c>
    </row>
    <row r="863" spans="1:4">
      <c r="A863">
        <f>DSDV!B868</f>
        <v>0</v>
      </c>
      <c r="B863">
        <f>DSDV!G868</f>
        <v>0</v>
      </c>
      <c r="C863" s="288">
        <f>DSDV!K868</f>
        <v>0</v>
      </c>
      <c r="D863" s="289">
        <f>DSDV!W868</f>
        <v>0</v>
      </c>
    </row>
    <row r="864" spans="1:4">
      <c r="A864">
        <f>DSDV!B869</f>
        <v>0</v>
      </c>
      <c r="B864">
        <f>DSDV!G869</f>
        <v>0</v>
      </c>
      <c r="C864" s="288">
        <f>DSDV!K869</f>
        <v>0</v>
      </c>
      <c r="D864" s="289">
        <f>DSDV!W869</f>
        <v>0</v>
      </c>
    </row>
    <row r="865" spans="1:4">
      <c r="A865">
        <f>DSDV!B870</f>
        <v>0</v>
      </c>
      <c r="B865">
        <f>DSDV!G870</f>
        <v>0</v>
      </c>
      <c r="C865" s="288">
        <f>DSDV!K870</f>
        <v>0</v>
      </c>
      <c r="D865" s="289">
        <f>DSDV!W870</f>
        <v>0</v>
      </c>
    </row>
    <row r="866" spans="1:4">
      <c r="A866">
        <f>DSDV!B871</f>
        <v>0</v>
      </c>
      <c r="B866">
        <f>DSDV!G871</f>
        <v>0</v>
      </c>
      <c r="C866" s="288">
        <f>DSDV!K871</f>
        <v>0</v>
      </c>
      <c r="D866" s="289">
        <f>DSDV!W871</f>
        <v>0</v>
      </c>
    </row>
    <row r="867" spans="1:4">
      <c r="A867">
        <f>DSDV!B872</f>
        <v>0</v>
      </c>
      <c r="B867">
        <f>DSDV!G872</f>
        <v>0</v>
      </c>
      <c r="C867" s="288">
        <f>DSDV!K872</f>
        <v>0</v>
      </c>
      <c r="D867" s="289">
        <f>DSDV!W872</f>
        <v>0</v>
      </c>
    </row>
    <row r="868" spans="1:4">
      <c r="A868">
        <f>DSDV!B873</f>
        <v>0</v>
      </c>
      <c r="B868">
        <f>DSDV!G873</f>
        <v>0</v>
      </c>
      <c r="C868" s="288">
        <f>DSDV!K873</f>
        <v>0</v>
      </c>
      <c r="D868" s="289">
        <f>DSDV!W873</f>
        <v>0</v>
      </c>
    </row>
    <row r="869" spans="1:4">
      <c r="A869">
        <f>DSDV!B874</f>
        <v>0</v>
      </c>
      <c r="B869">
        <f>DSDV!G874</f>
        <v>0</v>
      </c>
      <c r="C869" s="288">
        <f>DSDV!K874</f>
        <v>0</v>
      </c>
      <c r="D869" s="289">
        <f>DSDV!W874</f>
        <v>0</v>
      </c>
    </row>
    <row r="870" spans="1:4">
      <c r="A870">
        <f>DSDV!B875</f>
        <v>0</v>
      </c>
      <c r="B870">
        <f>DSDV!G875</f>
        <v>0</v>
      </c>
      <c r="C870" s="288">
        <f>DSDV!K875</f>
        <v>0</v>
      </c>
      <c r="D870" s="289">
        <f>DSDV!W875</f>
        <v>0</v>
      </c>
    </row>
    <row r="871" spans="1:4">
      <c r="A871">
        <f>DSDV!B876</f>
        <v>0</v>
      </c>
      <c r="B871">
        <f>DSDV!G876</f>
        <v>0</v>
      </c>
      <c r="C871" s="288">
        <f>DSDV!K876</f>
        <v>0</v>
      </c>
      <c r="D871" s="289">
        <f>DSDV!W876</f>
        <v>0</v>
      </c>
    </row>
    <row r="872" spans="1:4">
      <c r="A872">
        <f>DSDV!B877</f>
        <v>0</v>
      </c>
      <c r="B872">
        <f>DSDV!G877</f>
        <v>0</v>
      </c>
      <c r="C872" s="288">
        <f>DSDV!K877</f>
        <v>0</v>
      </c>
      <c r="D872" s="289">
        <f>DSDV!W877</f>
        <v>0</v>
      </c>
    </row>
    <row r="873" spans="1:4">
      <c r="A873">
        <f>DSDV!B878</f>
        <v>0</v>
      </c>
      <c r="B873">
        <f>DSDV!G878</f>
        <v>0</v>
      </c>
      <c r="C873" s="288">
        <f>DSDV!K878</f>
        <v>0</v>
      </c>
      <c r="D873" s="289">
        <f>DSDV!W878</f>
        <v>0</v>
      </c>
    </row>
    <row r="874" spans="1:4">
      <c r="A874">
        <f>DSDV!B879</f>
        <v>0</v>
      </c>
      <c r="B874">
        <f>DSDV!G879</f>
        <v>0</v>
      </c>
      <c r="C874" s="288">
        <f>DSDV!K879</f>
        <v>0</v>
      </c>
      <c r="D874" s="289">
        <f>DSDV!W879</f>
        <v>0</v>
      </c>
    </row>
    <row r="875" spans="1:4">
      <c r="A875">
        <f>DSDV!B880</f>
        <v>0</v>
      </c>
      <c r="B875">
        <f>DSDV!G880</f>
        <v>0</v>
      </c>
      <c r="C875" s="288">
        <f>DSDV!K880</f>
        <v>0</v>
      </c>
      <c r="D875" s="289">
        <f>DSDV!W880</f>
        <v>0</v>
      </c>
    </row>
    <row r="876" spans="1:4">
      <c r="A876">
        <f>DSDV!B881</f>
        <v>0</v>
      </c>
      <c r="B876">
        <f>DSDV!G881</f>
        <v>0</v>
      </c>
      <c r="C876" s="288">
        <f>DSDV!K881</f>
        <v>0</v>
      </c>
      <c r="D876" s="289">
        <f>DSDV!W881</f>
        <v>0</v>
      </c>
    </row>
    <row r="877" spans="1:4">
      <c r="A877">
        <f>DSDV!B882</f>
        <v>0</v>
      </c>
      <c r="B877">
        <f>DSDV!G882</f>
        <v>0</v>
      </c>
      <c r="C877" s="288">
        <f>DSDV!K882</f>
        <v>0</v>
      </c>
      <c r="D877" s="289">
        <f>DSDV!W882</f>
        <v>0</v>
      </c>
    </row>
    <row r="878" spans="1:4">
      <c r="A878">
        <f>DSDV!B883</f>
        <v>0</v>
      </c>
      <c r="B878">
        <f>DSDV!G883</f>
        <v>0</v>
      </c>
      <c r="C878" s="288">
        <f>DSDV!K883</f>
        <v>0</v>
      </c>
      <c r="D878" s="289">
        <f>DSDV!W883</f>
        <v>0</v>
      </c>
    </row>
    <row r="879" spans="1:4">
      <c r="A879">
        <f>DSDV!B884</f>
        <v>0</v>
      </c>
      <c r="B879">
        <f>DSDV!G884</f>
        <v>0</v>
      </c>
      <c r="C879" s="288">
        <f>DSDV!K884</f>
        <v>0</v>
      </c>
      <c r="D879" s="289">
        <f>DSDV!W884</f>
        <v>0</v>
      </c>
    </row>
    <row r="880" spans="1:4">
      <c r="A880">
        <f>DSDV!B885</f>
        <v>0</v>
      </c>
      <c r="B880">
        <f>DSDV!G885</f>
        <v>0</v>
      </c>
      <c r="C880" s="288">
        <f>DSDV!K885</f>
        <v>0</v>
      </c>
      <c r="D880" s="289">
        <f>DSDV!W885</f>
        <v>0</v>
      </c>
    </row>
    <row r="881" spans="1:4">
      <c r="A881">
        <f>DSDV!B886</f>
        <v>0</v>
      </c>
      <c r="B881">
        <f>DSDV!G886</f>
        <v>0</v>
      </c>
      <c r="C881" s="288">
        <f>DSDV!K886</f>
        <v>0</v>
      </c>
      <c r="D881" s="289">
        <f>DSDV!W886</f>
        <v>0</v>
      </c>
    </row>
    <row r="882" spans="1:4">
      <c r="A882">
        <f>DSDV!B887</f>
        <v>0</v>
      </c>
      <c r="B882">
        <f>DSDV!G887</f>
        <v>0</v>
      </c>
      <c r="C882" s="288">
        <f>DSDV!K887</f>
        <v>0</v>
      </c>
      <c r="D882" s="289">
        <f>DSDV!W887</f>
        <v>0</v>
      </c>
    </row>
    <row r="883" spans="1:4">
      <c r="A883">
        <f>DSDV!B888</f>
        <v>0</v>
      </c>
      <c r="B883">
        <f>DSDV!G888</f>
        <v>0</v>
      </c>
      <c r="C883" s="288">
        <f>DSDV!K888</f>
        <v>0</v>
      </c>
      <c r="D883" s="289">
        <f>DSDV!W888</f>
        <v>0</v>
      </c>
    </row>
    <row r="884" spans="1:4">
      <c r="A884">
        <f>DSDV!B889</f>
        <v>0</v>
      </c>
      <c r="B884">
        <f>DSDV!G889</f>
        <v>0</v>
      </c>
      <c r="C884" s="288">
        <f>DSDV!K889</f>
        <v>0</v>
      </c>
      <c r="D884" s="289">
        <f>DSDV!W889</f>
        <v>0</v>
      </c>
    </row>
    <row r="885" spans="1:4">
      <c r="A885">
        <f>DSDV!B890</f>
        <v>0</v>
      </c>
      <c r="B885">
        <f>DSDV!G890</f>
        <v>0</v>
      </c>
      <c r="C885" s="288">
        <f>DSDV!K890</f>
        <v>0</v>
      </c>
      <c r="D885" s="289">
        <f>DSDV!W890</f>
        <v>0</v>
      </c>
    </row>
    <row r="886" spans="1:4">
      <c r="A886">
        <f>DSDV!B891</f>
        <v>0</v>
      </c>
      <c r="B886">
        <f>DSDV!G891</f>
        <v>0</v>
      </c>
      <c r="C886" s="288">
        <f>DSDV!K891</f>
        <v>0</v>
      </c>
      <c r="D886" s="289">
        <f>DSDV!W891</f>
        <v>0</v>
      </c>
    </row>
    <row r="887" spans="1:4">
      <c r="A887">
        <f>DSDV!B892</f>
        <v>0</v>
      </c>
      <c r="B887">
        <f>DSDV!G892</f>
        <v>0</v>
      </c>
      <c r="C887" s="288">
        <f>DSDV!K892</f>
        <v>0</v>
      </c>
      <c r="D887" s="289">
        <f>DSDV!W892</f>
        <v>0</v>
      </c>
    </row>
    <row r="888" spans="1:4">
      <c r="A888">
        <f>DSDV!B893</f>
        <v>0</v>
      </c>
      <c r="B888">
        <f>DSDV!G893</f>
        <v>0</v>
      </c>
      <c r="C888" s="288">
        <f>DSDV!K893</f>
        <v>0</v>
      </c>
      <c r="D888" s="289">
        <f>DSDV!W893</f>
        <v>0</v>
      </c>
    </row>
    <row r="889" spans="1:4">
      <c r="A889">
        <f>DSDV!B894</f>
        <v>0</v>
      </c>
      <c r="B889">
        <f>DSDV!G894</f>
        <v>0</v>
      </c>
      <c r="C889" s="288">
        <f>DSDV!K894</f>
        <v>0</v>
      </c>
      <c r="D889" s="289">
        <f>DSDV!W894</f>
        <v>0</v>
      </c>
    </row>
    <row r="890" spans="1:4">
      <c r="A890">
        <f>DSDV!B895</f>
        <v>0</v>
      </c>
      <c r="B890">
        <f>DSDV!G895</f>
        <v>0</v>
      </c>
      <c r="C890" s="288">
        <f>DSDV!K895</f>
        <v>0</v>
      </c>
      <c r="D890" s="289">
        <f>DSDV!W895</f>
        <v>0</v>
      </c>
    </row>
    <row r="891" spans="1:4">
      <c r="A891">
        <f>DSDV!B896</f>
        <v>0</v>
      </c>
      <c r="B891">
        <f>DSDV!G896</f>
        <v>0</v>
      </c>
      <c r="C891" s="288">
        <f>DSDV!K896</f>
        <v>0</v>
      </c>
      <c r="D891" s="289">
        <f>DSDV!W896</f>
        <v>0</v>
      </c>
    </row>
    <row r="892" spans="1:4">
      <c r="A892">
        <f>DSDV!B897</f>
        <v>0</v>
      </c>
      <c r="B892">
        <f>DSDV!G897</f>
        <v>0</v>
      </c>
      <c r="C892" s="288">
        <f>DSDV!K897</f>
        <v>0</v>
      </c>
      <c r="D892" s="289">
        <f>DSDV!W897</f>
        <v>0</v>
      </c>
    </row>
    <row r="893" spans="1:4">
      <c r="A893">
        <f>DSDV!B898</f>
        <v>0</v>
      </c>
      <c r="B893">
        <f>DSDV!G898</f>
        <v>0</v>
      </c>
      <c r="C893" s="288">
        <f>DSDV!K898</f>
        <v>0</v>
      </c>
      <c r="D893" s="289">
        <f>DSDV!W898</f>
        <v>0</v>
      </c>
    </row>
    <row r="894" spans="1:4">
      <c r="A894">
        <f>DSDV!B899</f>
        <v>0</v>
      </c>
      <c r="B894">
        <f>DSDV!G899</f>
        <v>0</v>
      </c>
      <c r="C894" s="288">
        <f>DSDV!K899</f>
        <v>0</v>
      </c>
      <c r="D894" s="289">
        <f>DSDV!W899</f>
        <v>0</v>
      </c>
    </row>
    <row r="895" spans="1:4">
      <c r="A895">
        <f>DSDV!B900</f>
        <v>0</v>
      </c>
      <c r="B895">
        <f>DSDV!G900</f>
        <v>0</v>
      </c>
      <c r="C895" s="288">
        <f>DSDV!K900</f>
        <v>0</v>
      </c>
      <c r="D895" s="289">
        <f>DSDV!W900</f>
        <v>0</v>
      </c>
    </row>
    <row r="896" spans="1:4">
      <c r="A896">
        <f>DSDV!B901</f>
        <v>0</v>
      </c>
      <c r="B896">
        <f>DSDV!G901</f>
        <v>0</v>
      </c>
      <c r="C896" s="288">
        <f>DSDV!K901</f>
        <v>0</v>
      </c>
      <c r="D896" s="289">
        <f>DSDV!W901</f>
        <v>0</v>
      </c>
    </row>
    <row r="897" spans="1:4">
      <c r="A897">
        <f>DSDV!B902</f>
        <v>0</v>
      </c>
      <c r="B897">
        <f>DSDV!G902</f>
        <v>0</v>
      </c>
      <c r="C897" s="288">
        <f>DSDV!K902</f>
        <v>0</v>
      </c>
      <c r="D897" s="289">
        <f>DSDV!W902</f>
        <v>0</v>
      </c>
    </row>
    <row r="898" spans="1:4">
      <c r="A898">
        <f>DSDV!B903</f>
        <v>0</v>
      </c>
      <c r="B898">
        <f>DSDV!G903</f>
        <v>0</v>
      </c>
      <c r="C898" s="288">
        <f>DSDV!K903</f>
        <v>0</v>
      </c>
      <c r="D898" s="289">
        <f>DSDV!W903</f>
        <v>0</v>
      </c>
    </row>
    <row r="899" spans="1:4">
      <c r="A899">
        <f>DSDV!B904</f>
        <v>0</v>
      </c>
      <c r="B899">
        <f>DSDV!G904</f>
        <v>0</v>
      </c>
      <c r="C899" s="288">
        <f>DSDV!K904</f>
        <v>0</v>
      </c>
      <c r="D899" s="289">
        <f>DSDV!W904</f>
        <v>0</v>
      </c>
    </row>
    <row r="900" spans="1:4">
      <c r="A900">
        <f>DSDV!B905</f>
        <v>0</v>
      </c>
      <c r="B900">
        <f>DSDV!G905</f>
        <v>0</v>
      </c>
      <c r="C900" s="288">
        <f>DSDV!K905</f>
        <v>0</v>
      </c>
      <c r="D900" s="289">
        <f>DSDV!W905</f>
        <v>0</v>
      </c>
    </row>
    <row r="901" spans="1:4">
      <c r="A901">
        <f>DSDV!B906</f>
        <v>0</v>
      </c>
      <c r="B901">
        <f>DSDV!G906</f>
        <v>0</v>
      </c>
      <c r="C901" s="288">
        <f>DSDV!K906</f>
        <v>0</v>
      </c>
      <c r="D901" s="289">
        <f>DSDV!W906</f>
        <v>0</v>
      </c>
    </row>
    <row r="902" spans="1:4">
      <c r="A902">
        <f>DSDV!B907</f>
        <v>0</v>
      </c>
      <c r="B902">
        <f>DSDV!G907</f>
        <v>0</v>
      </c>
      <c r="C902" s="288">
        <f>DSDV!K907</f>
        <v>0</v>
      </c>
      <c r="D902" s="289">
        <f>DSDV!W907</f>
        <v>0</v>
      </c>
    </row>
    <row r="903" spans="1:4">
      <c r="A903">
        <f>DSDV!B908</f>
        <v>0</v>
      </c>
      <c r="B903">
        <f>DSDV!G908</f>
        <v>0</v>
      </c>
      <c r="C903" s="288">
        <f>DSDV!K908</f>
        <v>0</v>
      </c>
      <c r="D903" s="289">
        <f>DSDV!W908</f>
        <v>0</v>
      </c>
    </row>
    <row r="904" spans="1:4">
      <c r="A904">
        <f>DSDV!B909</f>
        <v>0</v>
      </c>
      <c r="B904">
        <f>DSDV!G909</f>
        <v>0</v>
      </c>
      <c r="C904" s="288">
        <f>DSDV!K909</f>
        <v>0</v>
      </c>
      <c r="D904" s="289">
        <f>DSDV!W909</f>
        <v>0</v>
      </c>
    </row>
    <row r="905" spans="1:4">
      <c r="A905">
        <f>DSDV!B910</f>
        <v>0</v>
      </c>
      <c r="B905">
        <f>DSDV!G910</f>
        <v>0</v>
      </c>
      <c r="C905" s="288">
        <f>DSDV!K910</f>
        <v>0</v>
      </c>
      <c r="D905" s="289">
        <f>DSDV!W910</f>
        <v>0</v>
      </c>
    </row>
    <row r="906" spans="1:4">
      <c r="A906">
        <f>DSDV!B911</f>
        <v>0</v>
      </c>
      <c r="B906">
        <f>DSDV!G911</f>
        <v>0</v>
      </c>
      <c r="C906" s="288">
        <f>DSDV!K911</f>
        <v>0</v>
      </c>
      <c r="D906" s="289">
        <f>DSDV!W911</f>
        <v>0</v>
      </c>
    </row>
    <row r="907" spans="1:4">
      <c r="A907">
        <f>DSDV!B912</f>
        <v>0</v>
      </c>
      <c r="B907">
        <f>DSDV!G912</f>
        <v>0</v>
      </c>
      <c r="C907" s="288">
        <f>DSDV!K912</f>
        <v>0</v>
      </c>
      <c r="D907" s="289">
        <f>DSDV!W912</f>
        <v>0</v>
      </c>
    </row>
    <row r="908" spans="1:4">
      <c r="A908">
        <f>DSDV!B913</f>
        <v>0</v>
      </c>
      <c r="B908">
        <f>DSDV!G913</f>
        <v>0</v>
      </c>
      <c r="C908" s="288">
        <f>DSDV!K913</f>
        <v>0</v>
      </c>
      <c r="D908" s="289">
        <f>DSDV!W913</f>
        <v>0</v>
      </c>
    </row>
    <row r="909" spans="1:4">
      <c r="A909">
        <f>DSDV!B914</f>
        <v>0</v>
      </c>
      <c r="B909">
        <f>DSDV!G914</f>
        <v>0</v>
      </c>
      <c r="C909" s="288">
        <f>DSDV!K914</f>
        <v>0</v>
      </c>
      <c r="D909" s="289">
        <f>DSDV!W914</f>
        <v>0</v>
      </c>
    </row>
    <row r="910" spans="1:4">
      <c r="A910">
        <f>DSDV!B915</f>
        <v>0</v>
      </c>
      <c r="B910">
        <f>DSDV!G915</f>
        <v>0</v>
      </c>
      <c r="C910" s="288">
        <f>DSDV!K915</f>
        <v>0</v>
      </c>
      <c r="D910" s="289">
        <f>DSDV!W915</f>
        <v>0</v>
      </c>
    </row>
    <row r="911" spans="1:4">
      <c r="A911">
        <f>DSDV!B916</f>
        <v>0</v>
      </c>
      <c r="B911">
        <f>DSDV!G916</f>
        <v>0</v>
      </c>
      <c r="C911" s="288">
        <f>DSDV!K916</f>
        <v>0</v>
      </c>
      <c r="D911" s="289">
        <f>DSDV!W916</f>
        <v>0</v>
      </c>
    </row>
    <row r="912" spans="1:4">
      <c r="A912">
        <f>DSDV!B917</f>
        <v>0</v>
      </c>
      <c r="B912">
        <f>DSDV!G917</f>
        <v>0</v>
      </c>
      <c r="C912" s="288">
        <f>DSDV!K917</f>
        <v>0</v>
      </c>
      <c r="D912" s="289">
        <f>DSDV!W917</f>
        <v>0</v>
      </c>
    </row>
    <row r="913" spans="1:4">
      <c r="A913">
        <f>DSDV!B918</f>
        <v>0</v>
      </c>
      <c r="B913">
        <f>DSDV!G918</f>
        <v>0</v>
      </c>
      <c r="C913" s="288">
        <f>DSDV!K918</f>
        <v>0</v>
      </c>
      <c r="D913" s="289">
        <f>DSDV!W918</f>
        <v>0</v>
      </c>
    </row>
    <row r="914" spans="1:4">
      <c r="A914">
        <f>DSDV!B919</f>
        <v>0</v>
      </c>
      <c r="B914">
        <f>DSDV!G919</f>
        <v>0</v>
      </c>
      <c r="C914" s="288">
        <f>DSDV!K919</f>
        <v>0</v>
      </c>
      <c r="D914" s="289">
        <f>DSDV!W919</f>
        <v>0</v>
      </c>
    </row>
    <row r="915" spans="1:4">
      <c r="A915">
        <f>DSDV!B920</f>
        <v>0</v>
      </c>
      <c r="B915">
        <f>DSDV!G920</f>
        <v>0</v>
      </c>
      <c r="C915" s="288">
        <f>DSDV!K920</f>
        <v>0</v>
      </c>
      <c r="D915" s="289">
        <f>DSDV!W920</f>
        <v>0</v>
      </c>
    </row>
    <row r="916" spans="1:4">
      <c r="A916">
        <f>DSDV!B921</f>
        <v>0</v>
      </c>
      <c r="B916">
        <f>DSDV!G921</f>
        <v>0</v>
      </c>
      <c r="C916" s="288">
        <f>DSDV!K921</f>
        <v>0</v>
      </c>
      <c r="D916" s="289">
        <f>DSDV!W921</f>
        <v>0</v>
      </c>
    </row>
    <row r="917" spans="1:4">
      <c r="A917">
        <f>DSDV!B922</f>
        <v>0</v>
      </c>
      <c r="B917">
        <f>DSDV!G922</f>
        <v>0</v>
      </c>
      <c r="C917" s="288">
        <f>DSDV!K922</f>
        <v>0</v>
      </c>
      <c r="D917" s="289">
        <f>DSDV!W922</f>
        <v>0</v>
      </c>
    </row>
    <row r="918" spans="1:4">
      <c r="A918">
        <f>DSDV!B923</f>
        <v>0</v>
      </c>
      <c r="B918">
        <f>DSDV!G923</f>
        <v>0</v>
      </c>
      <c r="C918" s="288">
        <f>DSDV!K923</f>
        <v>0</v>
      </c>
      <c r="D918" s="289">
        <f>DSDV!W923</f>
        <v>0</v>
      </c>
    </row>
    <row r="919" spans="1:4">
      <c r="A919">
        <f>DSDV!B924</f>
        <v>0</v>
      </c>
      <c r="B919">
        <f>DSDV!G924</f>
        <v>0</v>
      </c>
      <c r="C919" s="288">
        <f>DSDV!K924</f>
        <v>0</v>
      </c>
      <c r="D919" s="289">
        <f>DSDV!W924</f>
        <v>0</v>
      </c>
    </row>
    <row r="920" spans="1:4">
      <c r="A920">
        <f>DSDV!B925</f>
        <v>0</v>
      </c>
      <c r="B920">
        <f>DSDV!G925</f>
        <v>0</v>
      </c>
      <c r="C920" s="288">
        <f>DSDV!K925</f>
        <v>0</v>
      </c>
      <c r="D920" s="289">
        <f>DSDV!W925</f>
        <v>0</v>
      </c>
    </row>
    <row r="921" spans="1:4">
      <c r="A921">
        <f>DSDV!B926</f>
        <v>0</v>
      </c>
      <c r="B921">
        <f>DSDV!G926</f>
        <v>0</v>
      </c>
      <c r="C921" s="288">
        <f>DSDV!K926</f>
        <v>0</v>
      </c>
      <c r="D921" s="289">
        <f>DSDV!W926</f>
        <v>0</v>
      </c>
    </row>
    <row r="922" spans="1:4">
      <c r="A922">
        <f>DSDV!B927</f>
        <v>0</v>
      </c>
      <c r="B922">
        <f>DSDV!G927</f>
        <v>0</v>
      </c>
      <c r="C922" s="288">
        <f>DSDV!K927</f>
        <v>0</v>
      </c>
      <c r="D922" s="289">
        <f>DSDV!W927</f>
        <v>0</v>
      </c>
    </row>
    <row r="923" spans="1:4">
      <c r="A923">
        <f>DSDV!B928</f>
        <v>0</v>
      </c>
      <c r="B923">
        <f>DSDV!G928</f>
        <v>0</v>
      </c>
      <c r="C923" s="288">
        <f>DSDV!K928</f>
        <v>0</v>
      </c>
      <c r="D923" s="289">
        <f>DSDV!W928</f>
        <v>0</v>
      </c>
    </row>
    <row r="924" spans="1:4">
      <c r="A924">
        <f>DSDV!B929</f>
        <v>0</v>
      </c>
      <c r="B924">
        <f>DSDV!G929</f>
        <v>0</v>
      </c>
      <c r="C924" s="288">
        <f>DSDV!K929</f>
        <v>0</v>
      </c>
      <c r="D924" s="289">
        <f>DSDV!W929</f>
        <v>0</v>
      </c>
    </row>
    <row r="925" spans="1:4">
      <c r="A925">
        <f>DSDV!B930</f>
        <v>0</v>
      </c>
      <c r="B925">
        <f>DSDV!G930</f>
        <v>0</v>
      </c>
      <c r="C925" s="288">
        <f>DSDV!K930</f>
        <v>0</v>
      </c>
      <c r="D925" s="289">
        <f>DSDV!W930</f>
        <v>0</v>
      </c>
    </row>
    <row r="926" spans="1:4">
      <c r="A926">
        <f>DSDV!B931</f>
        <v>0</v>
      </c>
      <c r="B926">
        <f>DSDV!G931</f>
        <v>0</v>
      </c>
      <c r="C926" s="288">
        <f>DSDV!K931</f>
        <v>0</v>
      </c>
      <c r="D926" s="289">
        <f>DSDV!W931</f>
        <v>0</v>
      </c>
    </row>
    <row r="927" spans="1:4">
      <c r="A927">
        <f>DSDV!B932</f>
        <v>0</v>
      </c>
      <c r="B927">
        <f>DSDV!G932</f>
        <v>0</v>
      </c>
      <c r="C927" s="288">
        <f>DSDV!K932</f>
        <v>0</v>
      </c>
      <c r="D927" s="289">
        <f>DSDV!W932</f>
        <v>0</v>
      </c>
    </row>
    <row r="928" spans="1:4">
      <c r="A928">
        <f>DSDV!B933</f>
        <v>0</v>
      </c>
      <c r="B928">
        <f>DSDV!G933</f>
        <v>0</v>
      </c>
      <c r="C928" s="288">
        <f>DSDV!K933</f>
        <v>0</v>
      </c>
      <c r="D928" s="289">
        <f>DSDV!W933</f>
        <v>0</v>
      </c>
    </row>
    <row r="929" spans="1:4">
      <c r="A929">
        <f>DSDV!B934</f>
        <v>0</v>
      </c>
      <c r="B929">
        <f>DSDV!G934</f>
        <v>0</v>
      </c>
      <c r="C929" s="288">
        <f>DSDV!K934</f>
        <v>0</v>
      </c>
      <c r="D929" s="289">
        <f>DSDV!W934</f>
        <v>0</v>
      </c>
    </row>
    <row r="930" spans="1:4">
      <c r="A930">
        <f>DSDV!B935</f>
        <v>0</v>
      </c>
      <c r="B930">
        <f>DSDV!G935</f>
        <v>0</v>
      </c>
      <c r="C930" s="288">
        <f>DSDV!K935</f>
        <v>0</v>
      </c>
      <c r="D930" s="289">
        <f>DSDV!W935</f>
        <v>0</v>
      </c>
    </row>
    <row r="931" spans="1:4">
      <c r="A931">
        <f>DSDV!B936</f>
        <v>0</v>
      </c>
      <c r="B931">
        <f>DSDV!G936</f>
        <v>0</v>
      </c>
      <c r="C931" s="288">
        <f>DSDV!K936</f>
        <v>0</v>
      </c>
      <c r="D931" s="289">
        <f>DSDV!W936</f>
        <v>0</v>
      </c>
    </row>
    <row r="932" spans="1:4">
      <c r="A932">
        <f>DSDV!B937</f>
        <v>0</v>
      </c>
      <c r="B932">
        <f>DSDV!G937</f>
        <v>0</v>
      </c>
      <c r="C932" s="288">
        <f>DSDV!K937</f>
        <v>0</v>
      </c>
      <c r="D932" s="289">
        <f>DSDV!W937</f>
        <v>0</v>
      </c>
    </row>
    <row r="933" spans="1:4">
      <c r="A933">
        <f>DSDV!B938</f>
        <v>0</v>
      </c>
      <c r="B933">
        <f>DSDV!G938</f>
        <v>0</v>
      </c>
      <c r="C933" s="288">
        <f>DSDV!K938</f>
        <v>0</v>
      </c>
      <c r="D933" s="289">
        <f>DSDV!W938</f>
        <v>0</v>
      </c>
    </row>
    <row r="934" spans="1:4">
      <c r="A934">
        <f>DSDV!B939</f>
        <v>0</v>
      </c>
      <c r="B934">
        <f>DSDV!G939</f>
        <v>0</v>
      </c>
      <c r="C934" s="288">
        <f>DSDV!K939</f>
        <v>0</v>
      </c>
      <c r="D934" s="289">
        <f>DSDV!W939</f>
        <v>0</v>
      </c>
    </row>
    <row r="935" spans="1:4">
      <c r="A935">
        <f>DSDV!B940</f>
        <v>0</v>
      </c>
      <c r="B935">
        <f>DSDV!G940</f>
        <v>0</v>
      </c>
      <c r="C935" s="288">
        <f>DSDV!K940</f>
        <v>0</v>
      </c>
      <c r="D935" s="289">
        <f>DSDV!W940</f>
        <v>0</v>
      </c>
    </row>
    <row r="936" spans="1:4">
      <c r="A936">
        <f>DSDV!B941</f>
        <v>0</v>
      </c>
      <c r="B936">
        <f>DSDV!G941</f>
        <v>0</v>
      </c>
      <c r="C936" s="288">
        <f>DSDV!K941</f>
        <v>0</v>
      </c>
      <c r="D936" s="289">
        <f>DSDV!W941</f>
        <v>0</v>
      </c>
    </row>
    <row r="937" spans="1:4">
      <c r="A937">
        <f>DSDV!B942</f>
        <v>0</v>
      </c>
      <c r="B937">
        <f>DSDV!G942</f>
        <v>0</v>
      </c>
      <c r="C937" s="288">
        <f>DSDV!K942</f>
        <v>0</v>
      </c>
      <c r="D937" s="289">
        <f>DSDV!W942</f>
        <v>0</v>
      </c>
    </row>
    <row r="938" spans="1:4">
      <c r="A938">
        <f>DSDV!B943</f>
        <v>0</v>
      </c>
      <c r="B938">
        <f>DSDV!G943</f>
        <v>0</v>
      </c>
      <c r="C938" s="288">
        <f>DSDV!K943</f>
        <v>0</v>
      </c>
      <c r="D938" s="289">
        <f>DSDV!W943</f>
        <v>0</v>
      </c>
    </row>
    <row r="939" spans="1:4">
      <c r="A939">
        <f>DSDV!B944</f>
        <v>0</v>
      </c>
      <c r="B939">
        <f>DSDV!G944</f>
        <v>0</v>
      </c>
      <c r="C939" s="288">
        <f>DSDV!K944</f>
        <v>0</v>
      </c>
      <c r="D939" s="289">
        <f>DSDV!W944</f>
        <v>0</v>
      </c>
    </row>
    <row r="940" spans="1:4">
      <c r="A940">
        <f>DSDV!B945</f>
        <v>0</v>
      </c>
      <c r="B940">
        <f>DSDV!G945</f>
        <v>0</v>
      </c>
      <c r="C940" s="288">
        <f>DSDV!K945</f>
        <v>0</v>
      </c>
      <c r="D940" s="289">
        <f>DSDV!W945</f>
        <v>0</v>
      </c>
    </row>
    <row r="941" spans="1:4">
      <c r="A941">
        <f>DSDV!B946</f>
        <v>0</v>
      </c>
      <c r="B941">
        <f>DSDV!G946</f>
        <v>0</v>
      </c>
      <c r="C941" s="288">
        <f>DSDV!K946</f>
        <v>0</v>
      </c>
      <c r="D941" s="289">
        <f>DSDV!W946</f>
        <v>0</v>
      </c>
    </row>
    <row r="942" spans="1:4">
      <c r="A942">
        <f>DSDV!B947</f>
        <v>0</v>
      </c>
      <c r="B942">
        <f>DSDV!G947</f>
        <v>0</v>
      </c>
      <c r="C942" s="288">
        <f>DSDV!K947</f>
        <v>0</v>
      </c>
      <c r="D942" s="289">
        <f>DSDV!W947</f>
        <v>0</v>
      </c>
    </row>
    <row r="943" spans="1:4">
      <c r="A943">
        <f>DSDV!B948</f>
        <v>0</v>
      </c>
      <c r="B943">
        <f>DSDV!G948</f>
        <v>0</v>
      </c>
      <c r="C943" s="288">
        <f>DSDV!K948</f>
        <v>0</v>
      </c>
      <c r="D943" s="289">
        <f>DSDV!W948</f>
        <v>0</v>
      </c>
    </row>
    <row r="944" spans="1:4">
      <c r="A944">
        <f>DSDV!B949</f>
        <v>0</v>
      </c>
      <c r="B944">
        <f>DSDV!G949</f>
        <v>0</v>
      </c>
      <c r="C944" s="288">
        <f>DSDV!K949</f>
        <v>0</v>
      </c>
      <c r="D944" s="289">
        <f>DSDV!W949</f>
        <v>0</v>
      </c>
    </row>
    <row r="945" spans="1:4">
      <c r="A945">
        <f>DSDV!B950</f>
        <v>0</v>
      </c>
      <c r="B945">
        <f>DSDV!G950</f>
        <v>0</v>
      </c>
      <c r="C945" s="288">
        <f>DSDV!K950</f>
        <v>0</v>
      </c>
      <c r="D945" s="289">
        <f>DSDV!W950</f>
        <v>0</v>
      </c>
    </row>
    <row r="946" spans="1:4">
      <c r="A946">
        <f>DSDV!B951</f>
        <v>0</v>
      </c>
      <c r="B946">
        <f>DSDV!G951</f>
        <v>0</v>
      </c>
      <c r="C946" s="288">
        <f>DSDV!K951</f>
        <v>0</v>
      </c>
      <c r="D946" s="289">
        <f>DSDV!W951</f>
        <v>0</v>
      </c>
    </row>
    <row r="947" spans="1:4">
      <c r="A947">
        <f>DSDV!B952</f>
        <v>0</v>
      </c>
      <c r="B947">
        <f>DSDV!G952</f>
        <v>0</v>
      </c>
      <c r="C947" s="288">
        <f>DSDV!K952</f>
        <v>0</v>
      </c>
      <c r="D947" s="289">
        <f>DSDV!W952</f>
        <v>0</v>
      </c>
    </row>
    <row r="948" spans="1:4">
      <c r="A948">
        <f>DSDV!B953</f>
        <v>0</v>
      </c>
      <c r="B948">
        <f>DSDV!G953</f>
        <v>0</v>
      </c>
      <c r="C948" s="288">
        <f>DSDV!K953</f>
        <v>0</v>
      </c>
      <c r="D948" s="289">
        <f>DSDV!W953</f>
        <v>0</v>
      </c>
    </row>
    <row r="949" spans="1:4">
      <c r="A949">
        <f>DSDV!B954</f>
        <v>0</v>
      </c>
      <c r="B949">
        <f>DSDV!G954</f>
        <v>0</v>
      </c>
      <c r="C949" s="288">
        <f>DSDV!K954</f>
        <v>0</v>
      </c>
      <c r="D949" s="289">
        <f>DSDV!W954</f>
        <v>0</v>
      </c>
    </row>
    <row r="950" spans="1:4">
      <c r="A950">
        <f>DSDV!B955</f>
        <v>0</v>
      </c>
      <c r="B950">
        <f>DSDV!G955</f>
        <v>0</v>
      </c>
      <c r="C950" s="288">
        <f>DSDV!K955</f>
        <v>0</v>
      </c>
      <c r="D950" s="289">
        <f>DSDV!W955</f>
        <v>0</v>
      </c>
    </row>
    <row r="951" spans="1:4">
      <c r="A951">
        <f>DSDV!B956</f>
        <v>0</v>
      </c>
      <c r="B951">
        <f>DSDV!G956</f>
        <v>0</v>
      </c>
      <c r="C951" s="288">
        <f>DSDV!K956</f>
        <v>0</v>
      </c>
      <c r="D951" s="289">
        <f>DSDV!W956</f>
        <v>0</v>
      </c>
    </row>
    <row r="952" spans="1:4">
      <c r="A952">
        <f>DSDV!B957</f>
        <v>0</v>
      </c>
      <c r="B952">
        <f>DSDV!G957</f>
        <v>0</v>
      </c>
      <c r="C952" s="288">
        <f>DSDV!K957</f>
        <v>0</v>
      </c>
      <c r="D952" s="289">
        <f>DSDV!W957</f>
        <v>0</v>
      </c>
    </row>
    <row r="953" spans="1:4">
      <c r="A953">
        <f>DSDV!B958</f>
        <v>0</v>
      </c>
      <c r="B953">
        <f>DSDV!G958</f>
        <v>0</v>
      </c>
      <c r="C953" s="288">
        <f>DSDV!K958</f>
        <v>0</v>
      </c>
      <c r="D953" s="289">
        <f>DSDV!W958</f>
        <v>0</v>
      </c>
    </row>
    <row r="954" spans="1:4">
      <c r="A954">
        <f>DSDV!B959</f>
        <v>0</v>
      </c>
      <c r="B954">
        <f>DSDV!G959</f>
        <v>0</v>
      </c>
      <c r="C954" s="288">
        <f>DSDV!K959</f>
        <v>0</v>
      </c>
      <c r="D954" s="289">
        <f>DSDV!W959</f>
        <v>0</v>
      </c>
    </row>
    <row r="955" spans="1:4">
      <c r="A955">
        <f>DSDV!B960</f>
        <v>0</v>
      </c>
      <c r="B955">
        <f>DSDV!G960</f>
        <v>0</v>
      </c>
      <c r="C955" s="288">
        <f>DSDV!K960</f>
        <v>0</v>
      </c>
      <c r="D955" s="289">
        <f>DSDV!W960</f>
        <v>0</v>
      </c>
    </row>
    <row r="956" spans="1:4">
      <c r="A956">
        <f>DSDV!B961</f>
        <v>0</v>
      </c>
      <c r="B956">
        <f>DSDV!G961</f>
        <v>0</v>
      </c>
      <c r="C956" s="288">
        <f>DSDV!K961</f>
        <v>0</v>
      </c>
      <c r="D956" s="289">
        <f>DSDV!W961</f>
        <v>0</v>
      </c>
    </row>
    <row r="957" spans="1:4">
      <c r="A957">
        <f>DSDV!B962</f>
        <v>0</v>
      </c>
      <c r="B957">
        <f>DSDV!G962</f>
        <v>0</v>
      </c>
      <c r="C957" s="288">
        <f>DSDV!K962</f>
        <v>0</v>
      </c>
      <c r="D957" s="289">
        <f>DSDV!W962</f>
        <v>0</v>
      </c>
    </row>
    <row r="958" spans="1:4">
      <c r="A958">
        <f>DSDV!B963</f>
        <v>0</v>
      </c>
      <c r="B958">
        <f>DSDV!G963</f>
        <v>0</v>
      </c>
      <c r="C958" s="288">
        <f>DSDV!K963</f>
        <v>0</v>
      </c>
      <c r="D958" s="289">
        <f>DSDV!W963</f>
        <v>0</v>
      </c>
    </row>
    <row r="959" spans="1:4">
      <c r="A959">
        <f>DSDV!B964</f>
        <v>0</v>
      </c>
      <c r="B959">
        <f>DSDV!G964</f>
        <v>0</v>
      </c>
      <c r="C959" s="288">
        <f>DSDV!K964</f>
        <v>0</v>
      </c>
      <c r="D959" s="289">
        <f>DSDV!W964</f>
        <v>0</v>
      </c>
    </row>
    <row r="960" spans="1:4">
      <c r="A960">
        <f>DSDV!B965</f>
        <v>0</v>
      </c>
      <c r="B960">
        <f>DSDV!G965</f>
        <v>0</v>
      </c>
      <c r="C960" s="288">
        <f>DSDV!K965</f>
        <v>0</v>
      </c>
      <c r="D960" s="289">
        <f>DSDV!W965</f>
        <v>0</v>
      </c>
    </row>
    <row r="961" spans="1:4">
      <c r="A961">
        <f>DSDV!B966</f>
        <v>0</v>
      </c>
      <c r="B961">
        <f>DSDV!G966</f>
        <v>0</v>
      </c>
      <c r="C961" s="288">
        <f>DSDV!K966</f>
        <v>0</v>
      </c>
      <c r="D961" s="289">
        <f>DSDV!W966</f>
        <v>0</v>
      </c>
    </row>
    <row r="962" spans="1:4">
      <c r="A962">
        <f>DSDV!B967</f>
        <v>0</v>
      </c>
      <c r="B962">
        <f>DSDV!G967</f>
        <v>0</v>
      </c>
      <c r="C962" s="288">
        <f>DSDV!K967</f>
        <v>0</v>
      </c>
      <c r="D962" s="289">
        <f>DSDV!W967</f>
        <v>0</v>
      </c>
    </row>
    <row r="963" spans="1:4">
      <c r="A963">
        <f>DSDV!B968</f>
        <v>0</v>
      </c>
      <c r="B963">
        <f>DSDV!G968</f>
        <v>0</v>
      </c>
      <c r="C963" s="288">
        <f>DSDV!K968</f>
        <v>0</v>
      </c>
      <c r="D963" s="289">
        <f>DSDV!W968</f>
        <v>0</v>
      </c>
    </row>
    <row r="964" spans="1:4">
      <c r="A964">
        <f>DSDV!B969</f>
        <v>0</v>
      </c>
      <c r="B964">
        <f>DSDV!G969</f>
        <v>0</v>
      </c>
      <c r="C964" s="288">
        <f>DSDV!K969</f>
        <v>0</v>
      </c>
      <c r="D964" s="289">
        <f>DSDV!W969</f>
        <v>0</v>
      </c>
    </row>
    <row r="965" spans="1:4">
      <c r="A965">
        <f>DSDV!B970</f>
        <v>0</v>
      </c>
      <c r="B965">
        <f>DSDV!G970</f>
        <v>0</v>
      </c>
      <c r="C965" s="288">
        <f>DSDV!K970</f>
        <v>0</v>
      </c>
      <c r="D965" s="289">
        <f>DSDV!W970</f>
        <v>0</v>
      </c>
    </row>
    <row r="966" spans="1:4">
      <c r="A966">
        <f>DSDV!B971</f>
        <v>0</v>
      </c>
      <c r="B966">
        <f>DSDV!G971</f>
        <v>0</v>
      </c>
      <c r="C966" s="288">
        <f>DSDV!K971</f>
        <v>0</v>
      </c>
      <c r="D966" s="289">
        <f>DSDV!W971</f>
        <v>0</v>
      </c>
    </row>
    <row r="967" spans="1:4">
      <c r="A967">
        <f>DSDV!B972</f>
        <v>0</v>
      </c>
      <c r="B967">
        <f>DSDV!G972</f>
        <v>0</v>
      </c>
      <c r="C967" s="288">
        <f>DSDV!K972</f>
        <v>0</v>
      </c>
      <c r="D967" s="289">
        <f>DSDV!W972</f>
        <v>0</v>
      </c>
    </row>
    <row r="968" spans="1:4">
      <c r="A968">
        <f>DSDV!B973</f>
        <v>0</v>
      </c>
      <c r="B968">
        <f>DSDV!G973</f>
        <v>0</v>
      </c>
      <c r="C968" s="288">
        <f>DSDV!K973</f>
        <v>0</v>
      </c>
      <c r="D968" s="289">
        <f>DSDV!W973</f>
        <v>0</v>
      </c>
    </row>
    <row r="969" spans="1:4">
      <c r="A969">
        <f>DSDV!B974</f>
        <v>0</v>
      </c>
      <c r="B969">
        <f>DSDV!G974</f>
        <v>0</v>
      </c>
      <c r="C969" s="288">
        <f>DSDV!K974</f>
        <v>0</v>
      </c>
      <c r="D969" s="289">
        <f>DSDV!W974</f>
        <v>0</v>
      </c>
    </row>
    <row r="970" spans="1:4">
      <c r="A970">
        <f>DSDV!B975</f>
        <v>0</v>
      </c>
      <c r="B970">
        <f>DSDV!G975</f>
        <v>0</v>
      </c>
      <c r="C970" s="288">
        <f>DSDV!K975</f>
        <v>0</v>
      </c>
      <c r="D970" s="289">
        <f>DSDV!W975</f>
        <v>0</v>
      </c>
    </row>
    <row r="971" spans="1:4">
      <c r="A971">
        <f>DSDV!B976</f>
        <v>0</v>
      </c>
      <c r="B971">
        <f>DSDV!G976</f>
        <v>0</v>
      </c>
      <c r="C971" s="288">
        <f>DSDV!K976</f>
        <v>0</v>
      </c>
      <c r="D971" s="289">
        <f>DSDV!W976</f>
        <v>0</v>
      </c>
    </row>
    <row r="972" spans="1:4">
      <c r="A972">
        <f>DSDV!B977</f>
        <v>0</v>
      </c>
      <c r="B972">
        <f>DSDV!G977</f>
        <v>0</v>
      </c>
      <c r="C972" s="288">
        <f>DSDV!K977</f>
        <v>0</v>
      </c>
      <c r="D972" s="289">
        <f>DSDV!W977</f>
        <v>0</v>
      </c>
    </row>
    <row r="973" spans="1:4">
      <c r="A973">
        <f>DSDV!B978</f>
        <v>0</v>
      </c>
      <c r="B973">
        <f>DSDV!G978</f>
        <v>0</v>
      </c>
      <c r="C973" s="288">
        <f>DSDV!K978</f>
        <v>0</v>
      </c>
      <c r="D973" s="289">
        <f>DSDV!W978</f>
        <v>0</v>
      </c>
    </row>
    <row r="974" spans="1:4">
      <c r="A974">
        <f>DSDV!B979</f>
        <v>0</v>
      </c>
      <c r="B974">
        <f>DSDV!G979</f>
        <v>0</v>
      </c>
      <c r="C974" s="288">
        <f>DSDV!K979</f>
        <v>0</v>
      </c>
      <c r="D974" s="289">
        <f>DSDV!W979</f>
        <v>0</v>
      </c>
    </row>
    <row r="975" spans="1:4">
      <c r="A975">
        <f>DSDV!B980</f>
        <v>0</v>
      </c>
      <c r="B975">
        <f>DSDV!G980</f>
        <v>0</v>
      </c>
      <c r="C975" s="288">
        <f>DSDV!K980</f>
        <v>0</v>
      </c>
      <c r="D975" s="289">
        <f>DSDV!W980</f>
        <v>0</v>
      </c>
    </row>
    <row r="976" spans="1:4">
      <c r="A976">
        <f>DSDV!B981</f>
        <v>0</v>
      </c>
      <c r="B976">
        <f>DSDV!G981</f>
        <v>0</v>
      </c>
      <c r="C976" s="288">
        <f>DSDV!K981</f>
        <v>0</v>
      </c>
      <c r="D976" s="289">
        <f>DSDV!W981</f>
        <v>0</v>
      </c>
    </row>
    <row r="977" spans="1:4">
      <c r="A977">
        <f>DSDV!B982</f>
        <v>0</v>
      </c>
      <c r="B977">
        <f>DSDV!G982</f>
        <v>0</v>
      </c>
      <c r="C977" s="288">
        <f>DSDV!K982</f>
        <v>0</v>
      </c>
      <c r="D977" s="289">
        <f>DSDV!W982</f>
        <v>0</v>
      </c>
    </row>
    <row r="978" spans="1:4">
      <c r="A978">
        <f>DSDV!B983</f>
        <v>0</v>
      </c>
      <c r="B978">
        <f>DSDV!G983</f>
        <v>0</v>
      </c>
      <c r="C978" s="288">
        <f>DSDV!K983</f>
        <v>0</v>
      </c>
      <c r="D978" s="289">
        <f>DSDV!W983</f>
        <v>0</v>
      </c>
    </row>
    <row r="979" spans="1:4">
      <c r="A979">
        <f>DSDV!B984</f>
        <v>0</v>
      </c>
      <c r="B979">
        <f>DSDV!G984</f>
        <v>0</v>
      </c>
      <c r="C979" s="288">
        <f>DSDV!K984</f>
        <v>0</v>
      </c>
      <c r="D979" s="289">
        <f>DSDV!W984</f>
        <v>0</v>
      </c>
    </row>
    <row r="980" spans="1:4">
      <c r="A980">
        <f>DSDV!B985</f>
        <v>0</v>
      </c>
      <c r="B980">
        <f>DSDV!G985</f>
        <v>0</v>
      </c>
      <c r="C980" s="288">
        <f>DSDV!K985</f>
        <v>0</v>
      </c>
      <c r="D980" s="289">
        <f>DSDV!W985</f>
        <v>0</v>
      </c>
    </row>
    <row r="981" spans="1:4">
      <c r="A981">
        <f>DSDV!B986</f>
        <v>0</v>
      </c>
      <c r="B981">
        <f>DSDV!G986</f>
        <v>0</v>
      </c>
      <c r="C981" s="288">
        <f>DSDV!K986</f>
        <v>0</v>
      </c>
      <c r="D981" s="289">
        <f>DSDV!W986</f>
        <v>0</v>
      </c>
    </row>
    <row r="982" spans="1:4">
      <c r="A982">
        <f>DSDV!B987</f>
        <v>0</v>
      </c>
      <c r="B982">
        <f>DSDV!G987</f>
        <v>0</v>
      </c>
      <c r="C982" s="288">
        <f>DSDV!K987</f>
        <v>0</v>
      </c>
      <c r="D982" s="289">
        <f>DSDV!W987</f>
        <v>0</v>
      </c>
    </row>
    <row r="983" spans="1:4">
      <c r="A983">
        <f>DSDV!B988</f>
        <v>0</v>
      </c>
      <c r="B983">
        <f>DSDV!G988</f>
        <v>0</v>
      </c>
      <c r="C983" s="288">
        <f>DSDV!K988</f>
        <v>0</v>
      </c>
      <c r="D983" s="289">
        <f>DSDV!W988</f>
        <v>0</v>
      </c>
    </row>
    <row r="984" spans="1:4">
      <c r="A984">
        <f>DSDV!B989</f>
        <v>0</v>
      </c>
      <c r="B984">
        <f>DSDV!G989</f>
        <v>0</v>
      </c>
      <c r="C984" s="288">
        <f>DSDV!K989</f>
        <v>0</v>
      </c>
      <c r="D984" s="289">
        <f>DSDV!W989</f>
        <v>0</v>
      </c>
    </row>
    <row r="985" spans="1:4">
      <c r="A985">
        <f>DSDV!B990</f>
        <v>0</v>
      </c>
      <c r="B985">
        <f>DSDV!G990</f>
        <v>0</v>
      </c>
      <c r="C985" s="288">
        <f>DSDV!K990</f>
        <v>0</v>
      </c>
      <c r="D985" s="289">
        <f>DSDV!W990</f>
        <v>0</v>
      </c>
    </row>
    <row r="986" spans="1:4">
      <c r="A986">
        <f>DSDV!B991</f>
        <v>0</v>
      </c>
      <c r="B986">
        <f>DSDV!G991</f>
        <v>0</v>
      </c>
      <c r="C986" s="288">
        <f>DSDV!K991</f>
        <v>0</v>
      </c>
      <c r="D986" s="289">
        <f>DSDV!W991</f>
        <v>0</v>
      </c>
    </row>
    <row r="987" spans="1:4">
      <c r="A987">
        <f>DSDV!B992</f>
        <v>0</v>
      </c>
      <c r="B987">
        <f>DSDV!G992</f>
        <v>0</v>
      </c>
      <c r="C987" s="288">
        <f>DSDV!K992</f>
        <v>0</v>
      </c>
      <c r="D987" s="289">
        <f>DSDV!W992</f>
        <v>0</v>
      </c>
    </row>
    <row r="988" spans="1:4">
      <c r="A988">
        <f>DSDV!B993</f>
        <v>0</v>
      </c>
      <c r="B988">
        <f>DSDV!G993</f>
        <v>0</v>
      </c>
      <c r="C988" s="288">
        <f>DSDV!K993</f>
        <v>0</v>
      </c>
      <c r="D988" s="289">
        <f>DSDV!W993</f>
        <v>0</v>
      </c>
    </row>
    <row r="989" spans="1:4">
      <c r="A989">
        <f>DSDV!B994</f>
        <v>0</v>
      </c>
      <c r="B989">
        <f>DSDV!G994</f>
        <v>0</v>
      </c>
      <c r="C989" s="288">
        <f>DSDV!K994</f>
        <v>0</v>
      </c>
      <c r="D989" s="289">
        <f>DSDV!W994</f>
        <v>0</v>
      </c>
    </row>
    <row r="990" spans="1:4">
      <c r="A990">
        <f>DSDV!B995</f>
        <v>0</v>
      </c>
      <c r="B990">
        <f>DSDV!G995</f>
        <v>0</v>
      </c>
      <c r="C990" s="288">
        <f>DSDV!K995</f>
        <v>0</v>
      </c>
      <c r="D990" s="289">
        <f>DSDV!W995</f>
        <v>0</v>
      </c>
    </row>
    <row r="991" spans="1:4">
      <c r="A991">
        <f>DSDV!B996</f>
        <v>0</v>
      </c>
      <c r="B991">
        <f>DSDV!G996</f>
        <v>0</v>
      </c>
      <c r="C991" s="288">
        <f>DSDV!K996</f>
        <v>0</v>
      </c>
      <c r="D991" s="289">
        <f>DSDV!W996</f>
        <v>0</v>
      </c>
    </row>
    <row r="992" spans="1:4">
      <c r="A992">
        <f>DSDV!B997</f>
        <v>0</v>
      </c>
      <c r="B992">
        <f>DSDV!G997</f>
        <v>0</v>
      </c>
      <c r="C992" s="288">
        <f>DSDV!K997</f>
        <v>0</v>
      </c>
      <c r="D992" s="289">
        <f>DSDV!W997</f>
        <v>0</v>
      </c>
    </row>
    <row r="993" spans="1:4">
      <c r="A993">
        <f>DSDV!B998</f>
        <v>0</v>
      </c>
      <c r="B993">
        <f>DSDV!G998</f>
        <v>0</v>
      </c>
      <c r="C993" s="288">
        <f>DSDV!K998</f>
        <v>0</v>
      </c>
      <c r="D993" s="289">
        <f>DSDV!W998</f>
        <v>0</v>
      </c>
    </row>
    <row r="994" spans="1:4">
      <c r="A994">
        <f>DSDV!B999</f>
        <v>0</v>
      </c>
      <c r="B994">
        <f>DSDV!G999</f>
        <v>0</v>
      </c>
      <c r="C994" s="288">
        <f>DSDV!K999</f>
        <v>0</v>
      </c>
      <c r="D994" s="289">
        <f>DSDV!W999</f>
        <v>0</v>
      </c>
    </row>
    <row r="995" spans="1:4">
      <c r="A995">
        <f>DSDV!B1000</f>
        <v>0</v>
      </c>
      <c r="B995">
        <f>DSDV!G1000</f>
        <v>0</v>
      </c>
      <c r="C995" s="288">
        <f>DSDV!K1000</f>
        <v>0</v>
      </c>
      <c r="D995" s="289">
        <f>DSDV!W1000</f>
        <v>0</v>
      </c>
    </row>
    <row r="996" spans="1:4">
      <c r="A996">
        <f>DSDV!B1001</f>
        <v>0</v>
      </c>
      <c r="B996">
        <f>DSDV!G1001</f>
        <v>0</v>
      </c>
      <c r="C996" s="288">
        <f>DSDV!K1001</f>
        <v>0</v>
      </c>
      <c r="D996" s="289">
        <f>DSDV!W1001</f>
        <v>0</v>
      </c>
    </row>
    <row r="997" spans="1:4">
      <c r="A997">
        <f>DSDV!B1002</f>
        <v>0</v>
      </c>
      <c r="B997">
        <f>DSDV!G1002</f>
        <v>0</v>
      </c>
      <c r="C997" s="288">
        <f>DSDV!K1002</f>
        <v>0</v>
      </c>
      <c r="D997" s="289">
        <f>DSDV!W1002</f>
        <v>0</v>
      </c>
    </row>
    <row r="998" spans="1:4">
      <c r="A998">
        <f>DSDV!B1003</f>
        <v>0</v>
      </c>
      <c r="B998">
        <f>DSDV!G1003</f>
        <v>0</v>
      </c>
      <c r="C998" s="288">
        <f>DSDV!K1003</f>
        <v>0</v>
      </c>
      <c r="D998" s="289">
        <f>DSDV!W1003</f>
        <v>0</v>
      </c>
    </row>
    <row r="999" spans="1:4">
      <c r="A999">
        <f>DSDV!B1004</f>
        <v>0</v>
      </c>
      <c r="B999">
        <f>DSDV!G1004</f>
        <v>0</v>
      </c>
      <c r="C999" s="288">
        <f>DSDV!K1004</f>
        <v>0</v>
      </c>
      <c r="D999" s="289">
        <f>DSDV!W1004</f>
        <v>0</v>
      </c>
    </row>
    <row r="1000" spans="1:4">
      <c r="A1000">
        <f>DSDV!B1005</f>
        <v>0</v>
      </c>
      <c r="B1000">
        <f>DSDV!G1005</f>
        <v>0</v>
      </c>
      <c r="C1000" s="288">
        <f>DSDV!K1005</f>
        <v>0</v>
      </c>
      <c r="D1000" s="289">
        <f>DSDV!W1005</f>
        <v>0</v>
      </c>
    </row>
    <row r="1001" spans="1:4">
      <c r="A1001">
        <f>DSDV!B1006</f>
        <v>0</v>
      </c>
      <c r="B1001">
        <f>DSDV!G1006</f>
        <v>0</v>
      </c>
      <c r="C1001" s="288">
        <f>DSDV!K1006</f>
        <v>0</v>
      </c>
      <c r="D1001" s="289">
        <f>DSDV!W1006</f>
        <v>0</v>
      </c>
    </row>
    <row r="1002" spans="1:4">
      <c r="A1002">
        <f>DSDV!B1007</f>
        <v>0</v>
      </c>
      <c r="B1002">
        <f>DSDV!G1007</f>
        <v>0</v>
      </c>
      <c r="C1002" s="288">
        <f>DSDV!K1007</f>
        <v>0</v>
      </c>
      <c r="D1002" s="289">
        <f>DSDV!W1007</f>
        <v>0</v>
      </c>
    </row>
    <row r="1003" spans="1:4">
      <c r="A1003">
        <f>DSDV!B1008</f>
        <v>0</v>
      </c>
      <c r="B1003">
        <f>DSDV!G1008</f>
        <v>0</v>
      </c>
      <c r="C1003" s="288">
        <f>DSDV!K1008</f>
        <v>0</v>
      </c>
      <c r="D1003" s="289">
        <f>DSDV!W1008</f>
        <v>0</v>
      </c>
    </row>
    <row r="1004" spans="1:4">
      <c r="A1004">
        <f>DSDV!B1009</f>
        <v>0</v>
      </c>
      <c r="B1004">
        <f>DSDV!G1009</f>
        <v>0</v>
      </c>
      <c r="C1004" s="288">
        <f>DSDV!K1009</f>
        <v>0</v>
      </c>
      <c r="D1004" s="289">
        <f>DSDV!W1009</f>
        <v>0</v>
      </c>
    </row>
    <row r="1005" spans="1:4">
      <c r="A1005">
        <f>DSDV!B1010</f>
        <v>0</v>
      </c>
      <c r="B1005">
        <f>DSDV!G1010</f>
        <v>0</v>
      </c>
      <c r="C1005" s="288">
        <f>DSDV!K1010</f>
        <v>0</v>
      </c>
      <c r="D1005" s="289">
        <f>DSDV!W1010</f>
        <v>0</v>
      </c>
    </row>
    <row r="1006" spans="1:4">
      <c r="A1006">
        <f>DSDV!B1011</f>
        <v>0</v>
      </c>
      <c r="B1006">
        <f>DSDV!G1011</f>
        <v>0</v>
      </c>
      <c r="C1006" s="288">
        <f>DSDV!K1011</f>
        <v>0</v>
      </c>
      <c r="D1006" s="289">
        <f>DSDV!W1011</f>
        <v>0</v>
      </c>
    </row>
    <row r="1007" spans="1:4">
      <c r="A1007">
        <f>DSDV!B1012</f>
        <v>0</v>
      </c>
      <c r="B1007">
        <f>DSDV!G1012</f>
        <v>0</v>
      </c>
      <c r="C1007" s="288">
        <f>DSDV!K1012</f>
        <v>0</v>
      </c>
      <c r="D1007" s="289">
        <f>DSDV!W1012</f>
        <v>0</v>
      </c>
    </row>
    <row r="1008" spans="1:4">
      <c r="A1008">
        <f>DSDV!B1013</f>
        <v>0</v>
      </c>
      <c r="B1008">
        <f>DSDV!G1013</f>
        <v>0</v>
      </c>
      <c r="C1008" s="288">
        <f>DSDV!K1013</f>
        <v>0</v>
      </c>
      <c r="D1008" s="289">
        <f>DSDV!W1013</f>
        <v>0</v>
      </c>
    </row>
    <row r="1009" spans="1:4">
      <c r="A1009">
        <f>DSDV!B1014</f>
        <v>0</v>
      </c>
      <c r="B1009">
        <f>DSDV!G1014</f>
        <v>0</v>
      </c>
      <c r="C1009" s="288">
        <f>DSDV!K1014</f>
        <v>0</v>
      </c>
      <c r="D1009" s="289">
        <f>DSDV!W1014</f>
        <v>0</v>
      </c>
    </row>
    <row r="1010" spans="1:4">
      <c r="A1010">
        <f>DSDV!B1015</f>
        <v>0</v>
      </c>
      <c r="B1010">
        <f>DSDV!G1015</f>
        <v>0</v>
      </c>
      <c r="C1010" s="288">
        <f>DSDV!K1015</f>
        <v>0</v>
      </c>
      <c r="D1010" s="289">
        <f>DSDV!W1015</f>
        <v>0</v>
      </c>
    </row>
    <row r="1011" spans="1:4">
      <c r="A1011">
        <f>DSDV!B1016</f>
        <v>0</v>
      </c>
      <c r="B1011">
        <f>DSDV!G1016</f>
        <v>0</v>
      </c>
      <c r="C1011" s="288">
        <f>DSDV!K1016</f>
        <v>0</v>
      </c>
      <c r="D1011" s="289">
        <f>DSDV!W1016</f>
        <v>0</v>
      </c>
    </row>
    <row r="1012" spans="1:4">
      <c r="A1012">
        <f>DSDV!B1017</f>
        <v>0</v>
      </c>
      <c r="B1012">
        <f>DSDV!G1017</f>
        <v>0</v>
      </c>
      <c r="C1012" s="288">
        <f>DSDV!K1017</f>
        <v>0</v>
      </c>
      <c r="D1012" s="289">
        <f>DSDV!W1017</f>
        <v>0</v>
      </c>
    </row>
    <row r="1013" spans="1:4">
      <c r="A1013">
        <f>DSDV!B1018</f>
        <v>0</v>
      </c>
      <c r="B1013">
        <f>DSDV!G1018</f>
        <v>0</v>
      </c>
      <c r="C1013" s="288">
        <f>DSDV!K1018</f>
        <v>0</v>
      </c>
      <c r="D1013" s="289">
        <f>DSDV!W1018</f>
        <v>0</v>
      </c>
    </row>
    <row r="1014" spans="1:4">
      <c r="A1014">
        <f>DSDV!B1019</f>
        <v>0</v>
      </c>
      <c r="B1014">
        <f>DSDV!G1019</f>
        <v>0</v>
      </c>
      <c r="C1014" s="288">
        <f>DSDV!K1019</f>
        <v>0</v>
      </c>
      <c r="D1014" s="289">
        <f>DSDV!W1019</f>
        <v>0</v>
      </c>
    </row>
    <row r="1015" spans="1:4">
      <c r="A1015">
        <f>DSDV!B1020</f>
        <v>0</v>
      </c>
      <c r="B1015">
        <f>DSDV!G1020</f>
        <v>0</v>
      </c>
      <c r="C1015" s="288">
        <f>DSDV!K1020</f>
        <v>0</v>
      </c>
      <c r="D1015" s="289">
        <f>DSDV!W1020</f>
        <v>0</v>
      </c>
    </row>
    <row r="1016" spans="1:4">
      <c r="A1016">
        <f>DSDV!B1021</f>
        <v>0</v>
      </c>
      <c r="B1016">
        <f>DSDV!G1021</f>
        <v>0</v>
      </c>
      <c r="C1016" s="288">
        <f>DSDV!K1021</f>
        <v>0</v>
      </c>
      <c r="D1016" s="289">
        <f>DSDV!W1021</f>
        <v>0</v>
      </c>
    </row>
    <row r="1017" spans="1:4">
      <c r="A1017">
        <f>DSDV!B1022</f>
        <v>0</v>
      </c>
      <c r="B1017">
        <f>DSDV!G1022</f>
        <v>0</v>
      </c>
      <c r="C1017" s="288">
        <f>DSDV!K1022</f>
        <v>0</v>
      </c>
      <c r="D1017" s="289">
        <f>DSDV!W1022</f>
        <v>0</v>
      </c>
    </row>
    <row r="1018" spans="1:4">
      <c r="A1018">
        <f>DSDV!B1023</f>
        <v>0</v>
      </c>
      <c r="B1018">
        <f>DSDV!G1023</f>
        <v>0</v>
      </c>
      <c r="C1018" s="288">
        <f>DSDV!K1023</f>
        <v>0</v>
      </c>
      <c r="D1018" s="289">
        <f>DSDV!W1023</f>
        <v>0</v>
      </c>
    </row>
    <row r="1019" spans="1:4">
      <c r="A1019">
        <f>DSDV!B1024</f>
        <v>0</v>
      </c>
      <c r="B1019">
        <f>DSDV!G1024</f>
        <v>0</v>
      </c>
      <c r="C1019" s="288">
        <f>DSDV!K1024</f>
        <v>0</v>
      </c>
      <c r="D1019" s="289">
        <f>DSDV!W1024</f>
        <v>0</v>
      </c>
    </row>
    <row r="1020" spans="1:4">
      <c r="A1020">
        <f>DSDV!B1025</f>
        <v>0</v>
      </c>
      <c r="B1020">
        <f>DSDV!G1025</f>
        <v>0</v>
      </c>
      <c r="C1020" s="288">
        <f>DSDV!K1025</f>
        <v>0</v>
      </c>
      <c r="D1020" s="289">
        <f>DSDV!W1025</f>
        <v>0</v>
      </c>
    </row>
    <row r="1021" spans="1:4">
      <c r="A1021">
        <f>DSDV!B1026</f>
        <v>0</v>
      </c>
      <c r="B1021">
        <f>DSDV!G1026</f>
        <v>0</v>
      </c>
      <c r="C1021" s="288">
        <f>DSDV!K1026</f>
        <v>0</v>
      </c>
      <c r="D1021" s="289">
        <f>DSDV!W1026</f>
        <v>0</v>
      </c>
    </row>
    <row r="1022" spans="1:4">
      <c r="A1022">
        <f>DSDV!B1027</f>
        <v>0</v>
      </c>
      <c r="B1022">
        <f>DSDV!G1027</f>
        <v>0</v>
      </c>
      <c r="C1022" s="288">
        <f>DSDV!K1027</f>
        <v>0</v>
      </c>
      <c r="D1022" s="289">
        <f>DSDV!W1027</f>
        <v>0</v>
      </c>
    </row>
    <row r="1023" spans="1:4">
      <c r="A1023">
        <f>DSDV!B1028</f>
        <v>0</v>
      </c>
      <c r="B1023">
        <f>DSDV!G1028</f>
        <v>0</v>
      </c>
      <c r="C1023" s="288">
        <f>DSDV!K1028</f>
        <v>0</v>
      </c>
      <c r="D1023" s="289">
        <f>DSDV!W1028</f>
        <v>0</v>
      </c>
    </row>
    <row r="1024" spans="1:4">
      <c r="A1024">
        <f>DSDV!B1029</f>
        <v>0</v>
      </c>
      <c r="B1024">
        <f>DSDV!G1029</f>
        <v>0</v>
      </c>
      <c r="C1024" s="288">
        <f>DSDV!K1029</f>
        <v>0</v>
      </c>
      <c r="D1024" s="289">
        <f>DSDV!W1029</f>
        <v>0</v>
      </c>
    </row>
    <row r="1025" spans="1:4">
      <c r="A1025">
        <f>DSDV!B1030</f>
        <v>0</v>
      </c>
      <c r="B1025">
        <f>DSDV!G1030</f>
        <v>0</v>
      </c>
      <c r="C1025" s="288">
        <f>DSDV!K1030</f>
        <v>0</v>
      </c>
      <c r="D1025" s="289">
        <f>DSDV!W1030</f>
        <v>0</v>
      </c>
    </row>
    <row r="1026" spans="1:4">
      <c r="A1026">
        <f>DSDV!B1031</f>
        <v>0</v>
      </c>
      <c r="B1026">
        <f>DSDV!G1031</f>
        <v>0</v>
      </c>
      <c r="C1026" s="288">
        <f>DSDV!K1031</f>
        <v>0</v>
      </c>
      <c r="D1026" s="289">
        <f>DSDV!W1031</f>
        <v>0</v>
      </c>
    </row>
    <row r="1027" spans="1:4">
      <c r="A1027">
        <f>DSDV!B1032</f>
        <v>0</v>
      </c>
      <c r="B1027">
        <f>DSDV!G1032</f>
        <v>0</v>
      </c>
      <c r="C1027" s="288">
        <f>DSDV!K1032</f>
        <v>0</v>
      </c>
      <c r="D1027" s="289">
        <f>DSDV!W1032</f>
        <v>0</v>
      </c>
    </row>
    <row r="1028" spans="1:4">
      <c r="A1028">
        <f>DSDV!B1033</f>
        <v>0</v>
      </c>
      <c r="B1028">
        <f>DSDV!G1033</f>
        <v>0</v>
      </c>
      <c r="C1028" s="288">
        <f>DSDV!K1033</f>
        <v>0</v>
      </c>
      <c r="D1028" s="289">
        <f>DSDV!W1033</f>
        <v>0</v>
      </c>
    </row>
    <row r="1029" spans="1:4">
      <c r="A1029">
        <f>DSDV!B1034</f>
        <v>0</v>
      </c>
      <c r="B1029">
        <f>DSDV!G1034</f>
        <v>0</v>
      </c>
      <c r="C1029" s="288">
        <f>DSDV!K1034</f>
        <v>0</v>
      </c>
      <c r="D1029" s="289">
        <f>DSDV!W1034</f>
        <v>0</v>
      </c>
    </row>
    <row r="1030" spans="1:4">
      <c r="A1030">
        <f>DSDV!B1035</f>
        <v>0</v>
      </c>
      <c r="B1030">
        <f>DSDV!G1035</f>
        <v>0</v>
      </c>
      <c r="C1030" s="288">
        <f>DSDV!K1035</f>
        <v>0</v>
      </c>
      <c r="D1030" s="289">
        <f>DSDV!W1035</f>
        <v>0</v>
      </c>
    </row>
    <row r="1031" spans="1:4">
      <c r="A1031">
        <f>DSDV!B1036</f>
        <v>0</v>
      </c>
      <c r="B1031">
        <f>DSDV!G1036</f>
        <v>0</v>
      </c>
      <c r="C1031" s="288">
        <f>DSDV!K1036</f>
        <v>0</v>
      </c>
      <c r="D1031" s="289">
        <f>DSDV!W1036</f>
        <v>0</v>
      </c>
    </row>
    <row r="1032" spans="1:4">
      <c r="A1032">
        <f>DSDV!B1037</f>
        <v>0</v>
      </c>
      <c r="B1032">
        <f>DSDV!G1037</f>
        <v>0</v>
      </c>
      <c r="C1032" s="288">
        <f>DSDV!K1037</f>
        <v>0</v>
      </c>
      <c r="D1032" s="289">
        <f>DSDV!W1037</f>
        <v>0</v>
      </c>
    </row>
    <row r="1033" spans="1:4">
      <c r="A1033">
        <f>DSDV!B1038</f>
        <v>0</v>
      </c>
      <c r="B1033">
        <f>DSDV!G1038</f>
        <v>0</v>
      </c>
      <c r="C1033" s="288">
        <f>DSDV!K1038</f>
        <v>0</v>
      </c>
      <c r="D1033" s="289">
        <f>DSDV!W1038</f>
        <v>0</v>
      </c>
    </row>
    <row r="1034" spans="1:4">
      <c r="A1034">
        <f>DSDV!B1039</f>
        <v>0</v>
      </c>
      <c r="B1034">
        <f>DSDV!G1039</f>
        <v>0</v>
      </c>
      <c r="C1034" s="288">
        <f>DSDV!K1039</f>
        <v>0</v>
      </c>
      <c r="D1034" s="289">
        <f>DSDV!W1039</f>
        <v>0</v>
      </c>
    </row>
    <row r="1035" spans="1:4">
      <c r="A1035">
        <f>DSDV!B1040</f>
        <v>0</v>
      </c>
      <c r="B1035">
        <f>DSDV!G1040</f>
        <v>0</v>
      </c>
      <c r="C1035" s="288">
        <f>DSDV!K1040</f>
        <v>0</v>
      </c>
      <c r="D1035" s="289">
        <f>DSDV!W1040</f>
        <v>0</v>
      </c>
    </row>
    <row r="1036" spans="1:4">
      <c r="A1036">
        <f>DSDV!B1041</f>
        <v>0</v>
      </c>
      <c r="B1036">
        <f>DSDV!G1041</f>
        <v>0</v>
      </c>
      <c r="C1036" s="288">
        <f>DSDV!K1041</f>
        <v>0</v>
      </c>
      <c r="D1036" s="289">
        <f>DSDV!W1041</f>
        <v>0</v>
      </c>
    </row>
    <row r="1037" spans="1:4">
      <c r="A1037">
        <f>DSDV!B1042</f>
        <v>0</v>
      </c>
      <c r="B1037">
        <f>DSDV!G1042</f>
        <v>0</v>
      </c>
      <c r="C1037" s="288">
        <f>DSDV!K1042</f>
        <v>0</v>
      </c>
      <c r="D1037" s="289">
        <f>DSDV!W1042</f>
        <v>0</v>
      </c>
    </row>
    <row r="1038" spans="1:4">
      <c r="A1038">
        <f>DSDV!B1043</f>
        <v>0</v>
      </c>
      <c r="B1038">
        <f>DSDV!G1043</f>
        <v>0</v>
      </c>
      <c r="C1038" s="288">
        <f>DSDV!K1043</f>
        <v>0</v>
      </c>
      <c r="D1038" s="289">
        <f>DSDV!W1043</f>
        <v>0</v>
      </c>
    </row>
    <row r="1039" spans="1:4">
      <c r="A1039">
        <f>DSDV!B1044</f>
        <v>0</v>
      </c>
      <c r="B1039">
        <f>DSDV!G1044</f>
        <v>0</v>
      </c>
      <c r="C1039" s="288">
        <f>DSDV!K1044</f>
        <v>0</v>
      </c>
      <c r="D1039" s="289">
        <f>DSDV!W1044</f>
        <v>0</v>
      </c>
    </row>
    <row r="1040" spans="1:4">
      <c r="A1040">
        <f>DSDV!B1045</f>
        <v>0</v>
      </c>
      <c r="B1040">
        <f>DSDV!G1045</f>
        <v>0</v>
      </c>
      <c r="C1040" s="288">
        <f>DSDV!K1045</f>
        <v>0</v>
      </c>
      <c r="D1040" s="289">
        <f>DSDV!W1045</f>
        <v>0</v>
      </c>
    </row>
    <row r="1041" spans="1:4">
      <c r="A1041">
        <f>DSDV!B1046</f>
        <v>0</v>
      </c>
      <c r="B1041">
        <f>DSDV!G1046</f>
        <v>0</v>
      </c>
      <c r="C1041" s="288">
        <f>DSDV!K1046</f>
        <v>0</v>
      </c>
      <c r="D1041" s="289">
        <f>DSDV!W1046</f>
        <v>0</v>
      </c>
    </row>
    <row r="1042" spans="1:4">
      <c r="A1042">
        <f>DSDV!B1047</f>
        <v>0</v>
      </c>
      <c r="B1042">
        <f>DSDV!G1047</f>
        <v>0</v>
      </c>
      <c r="C1042" s="288">
        <f>DSDV!K1047</f>
        <v>0</v>
      </c>
      <c r="D1042" s="289">
        <f>DSDV!W1047</f>
        <v>0</v>
      </c>
    </row>
    <row r="1043" spans="1:4">
      <c r="A1043">
        <f>DSDV!B1048</f>
        <v>0</v>
      </c>
      <c r="B1043">
        <f>DSDV!G1048</f>
        <v>0</v>
      </c>
      <c r="C1043" s="288">
        <f>DSDV!K1048</f>
        <v>0</v>
      </c>
      <c r="D1043" s="289">
        <f>DSDV!W1048</f>
        <v>0</v>
      </c>
    </row>
    <row r="1044" spans="1:4">
      <c r="A1044">
        <f>DSDV!B1049</f>
        <v>0</v>
      </c>
      <c r="B1044">
        <f>DSDV!G1049</f>
        <v>0</v>
      </c>
      <c r="C1044" s="288">
        <f>DSDV!K1049</f>
        <v>0</v>
      </c>
      <c r="D1044" s="289">
        <f>DSDV!W1049</f>
        <v>0</v>
      </c>
    </row>
    <row r="1045" spans="1:4">
      <c r="A1045">
        <f>DSDV!B1050</f>
        <v>0</v>
      </c>
      <c r="B1045">
        <f>DSDV!G1050</f>
        <v>0</v>
      </c>
      <c r="C1045" s="288">
        <f>DSDV!K1050</f>
        <v>0</v>
      </c>
      <c r="D1045" s="289">
        <f>DSDV!W1050</f>
        <v>0</v>
      </c>
    </row>
    <row r="1046" spans="1:4">
      <c r="A1046">
        <f>DSDV!B1051</f>
        <v>0</v>
      </c>
      <c r="B1046">
        <f>DSDV!G1051</f>
        <v>0</v>
      </c>
      <c r="C1046" s="288">
        <f>DSDV!K1051</f>
        <v>0</v>
      </c>
      <c r="D1046" s="289">
        <f>DSDV!W1051</f>
        <v>0</v>
      </c>
    </row>
    <row r="1047" spans="1:4">
      <c r="A1047">
        <f>DSDV!B1052</f>
        <v>0</v>
      </c>
      <c r="B1047">
        <f>DSDV!G1052</f>
        <v>0</v>
      </c>
      <c r="C1047" s="288">
        <f>DSDV!K1052</f>
        <v>0</v>
      </c>
      <c r="D1047" s="289">
        <f>DSDV!W1052</f>
        <v>0</v>
      </c>
    </row>
    <row r="1048" spans="1:4">
      <c r="A1048">
        <f>DSDV!B1053</f>
        <v>0</v>
      </c>
      <c r="B1048">
        <f>DSDV!G1053</f>
        <v>0</v>
      </c>
      <c r="C1048" s="288">
        <f>DSDV!K1053</f>
        <v>0</v>
      </c>
      <c r="D1048" s="289">
        <f>DSDV!W1053</f>
        <v>0</v>
      </c>
    </row>
    <row r="1049" spans="1:4">
      <c r="A1049">
        <f>DSDV!B1054</f>
        <v>0</v>
      </c>
      <c r="B1049">
        <f>DSDV!G1054</f>
        <v>0</v>
      </c>
      <c r="C1049" s="288">
        <f>DSDV!K1054</f>
        <v>0</v>
      </c>
      <c r="D1049" s="289">
        <f>DSDV!W1054</f>
        <v>0</v>
      </c>
    </row>
    <row r="1050" spans="1:4">
      <c r="A1050">
        <f>DSDV!B1055</f>
        <v>0</v>
      </c>
      <c r="B1050">
        <f>DSDV!G1055</f>
        <v>0</v>
      </c>
      <c r="C1050" s="288">
        <f>DSDV!K1055</f>
        <v>0</v>
      </c>
      <c r="D1050" s="289">
        <f>DSDV!W1055</f>
        <v>0</v>
      </c>
    </row>
    <row r="1051" spans="1:4">
      <c r="A1051">
        <f>DSDV!B1056</f>
        <v>0</v>
      </c>
      <c r="B1051">
        <f>DSDV!G1056</f>
        <v>0</v>
      </c>
      <c r="C1051" s="288">
        <f>DSDV!K1056</f>
        <v>0</v>
      </c>
      <c r="D1051" s="289">
        <f>DSDV!W1056</f>
        <v>0</v>
      </c>
    </row>
    <row r="1052" spans="1:4">
      <c r="A1052">
        <f>DSDV!B1057</f>
        <v>0</v>
      </c>
      <c r="B1052">
        <f>DSDV!G1057</f>
        <v>0</v>
      </c>
      <c r="C1052" s="288">
        <f>DSDV!K1057</f>
        <v>0</v>
      </c>
      <c r="D1052" s="289">
        <f>DSDV!W1057</f>
        <v>0</v>
      </c>
    </row>
    <row r="1053" spans="1:4">
      <c r="A1053">
        <f>DSDV!B1058</f>
        <v>0</v>
      </c>
      <c r="B1053">
        <f>DSDV!G1058</f>
        <v>0</v>
      </c>
      <c r="C1053" s="288">
        <f>DSDV!K1058</f>
        <v>0</v>
      </c>
      <c r="D1053" s="289">
        <f>DSDV!W1058</f>
        <v>0</v>
      </c>
    </row>
    <row r="1054" spans="1:4">
      <c r="A1054">
        <f>DSDV!B1059</f>
        <v>0</v>
      </c>
      <c r="B1054">
        <f>DSDV!G1059</f>
        <v>0</v>
      </c>
      <c r="C1054" s="288">
        <f>DSDV!K1059</f>
        <v>0</v>
      </c>
      <c r="D1054" s="289">
        <f>DSDV!W1059</f>
        <v>0</v>
      </c>
    </row>
    <row r="1055" spans="1:4">
      <c r="A1055">
        <f>DSDV!B1060</f>
        <v>0</v>
      </c>
      <c r="B1055">
        <f>DSDV!G1060</f>
        <v>0</v>
      </c>
      <c r="C1055" s="288">
        <f>DSDV!K1060</f>
        <v>0</v>
      </c>
      <c r="D1055" s="289">
        <f>DSDV!W1060</f>
        <v>0</v>
      </c>
    </row>
    <row r="1056" spans="1:4">
      <c r="A1056">
        <f>DSDV!B1061</f>
        <v>0</v>
      </c>
      <c r="B1056">
        <f>DSDV!G1061</f>
        <v>0</v>
      </c>
      <c r="C1056" s="288">
        <f>DSDV!K1061</f>
        <v>0</v>
      </c>
      <c r="D1056" s="289">
        <f>DSDV!W1061</f>
        <v>0</v>
      </c>
    </row>
    <row r="1057" spans="1:4">
      <c r="A1057">
        <f>DSDV!B1062</f>
        <v>0</v>
      </c>
      <c r="B1057">
        <f>DSDV!G1062</f>
        <v>0</v>
      </c>
      <c r="C1057" s="288">
        <f>DSDV!K1062</f>
        <v>0</v>
      </c>
      <c r="D1057" s="289">
        <f>DSDV!W1062</f>
        <v>0</v>
      </c>
    </row>
    <row r="1058" spans="1:4">
      <c r="A1058">
        <f>DSDV!B1063</f>
        <v>0</v>
      </c>
      <c r="B1058">
        <f>DSDV!G1063</f>
        <v>0</v>
      </c>
      <c r="C1058" s="288">
        <f>DSDV!K1063</f>
        <v>0</v>
      </c>
      <c r="D1058" s="289">
        <f>DSDV!W1063</f>
        <v>0</v>
      </c>
    </row>
    <row r="1059" spans="1:4">
      <c r="A1059">
        <f>DSDV!B1064</f>
        <v>0</v>
      </c>
      <c r="B1059">
        <f>DSDV!G1064</f>
        <v>0</v>
      </c>
      <c r="C1059" s="288">
        <f>DSDV!K1064</f>
        <v>0</v>
      </c>
      <c r="D1059" s="289">
        <f>DSDV!W1064</f>
        <v>0</v>
      </c>
    </row>
    <row r="1060" spans="1:4">
      <c r="A1060">
        <f>DSDV!B1065</f>
        <v>0</v>
      </c>
      <c r="B1060">
        <f>DSDV!G1065</f>
        <v>0</v>
      </c>
      <c r="C1060" s="288">
        <f>DSDV!K1065</f>
        <v>0</v>
      </c>
      <c r="D1060" s="289">
        <f>DSDV!W1065</f>
        <v>0</v>
      </c>
    </row>
    <row r="1061" spans="1:4">
      <c r="A1061">
        <f>DSDV!B1066</f>
        <v>0</v>
      </c>
      <c r="B1061">
        <f>DSDV!G1066</f>
        <v>0</v>
      </c>
      <c r="C1061" s="288">
        <f>DSDV!K1066</f>
        <v>0</v>
      </c>
      <c r="D1061" s="289">
        <f>DSDV!W1066</f>
        <v>0</v>
      </c>
    </row>
    <row r="1062" spans="1:4">
      <c r="A1062">
        <f>DSDV!B1067</f>
        <v>0</v>
      </c>
      <c r="B1062">
        <f>DSDV!G1067</f>
        <v>0</v>
      </c>
      <c r="C1062" s="288">
        <f>DSDV!K1067</f>
        <v>0</v>
      </c>
      <c r="D1062" s="289">
        <f>DSDV!W1067</f>
        <v>0</v>
      </c>
    </row>
    <row r="1063" spans="1:4">
      <c r="A1063">
        <f>DSDV!B1068</f>
        <v>0</v>
      </c>
      <c r="B1063">
        <f>DSDV!G1068</f>
        <v>0</v>
      </c>
      <c r="C1063" s="288">
        <f>DSDV!K1068</f>
        <v>0</v>
      </c>
      <c r="D1063" s="289">
        <f>DSDV!W1068</f>
        <v>0</v>
      </c>
    </row>
    <row r="1064" spans="1:4">
      <c r="A1064">
        <f>DSDV!B1069</f>
        <v>0</v>
      </c>
      <c r="B1064">
        <f>DSDV!G1069</f>
        <v>0</v>
      </c>
      <c r="C1064" s="288">
        <f>DSDV!K1069</f>
        <v>0</v>
      </c>
      <c r="D1064" s="289">
        <f>DSDV!W1069</f>
        <v>0</v>
      </c>
    </row>
    <row r="1065" spans="1:4">
      <c r="A1065">
        <f>DSDV!B1070</f>
        <v>0</v>
      </c>
      <c r="B1065">
        <f>DSDV!G1070</f>
        <v>0</v>
      </c>
      <c r="C1065" s="288">
        <f>DSDV!K1070</f>
        <v>0</v>
      </c>
      <c r="D1065" s="289">
        <f>DSDV!W1070</f>
        <v>0</v>
      </c>
    </row>
    <row r="1066" spans="1:4">
      <c r="A1066">
        <f>DSDV!B1071</f>
        <v>0</v>
      </c>
      <c r="B1066">
        <f>DSDV!G1071</f>
        <v>0</v>
      </c>
      <c r="C1066" s="288">
        <f>DSDV!K1071</f>
        <v>0</v>
      </c>
      <c r="D1066" s="289">
        <f>DSDV!W1071</f>
        <v>0</v>
      </c>
    </row>
    <row r="1067" spans="1:4">
      <c r="A1067">
        <f>DSDV!B1072</f>
        <v>0</v>
      </c>
      <c r="B1067">
        <f>DSDV!G1072</f>
        <v>0</v>
      </c>
      <c r="C1067" s="288">
        <f>DSDV!K1072</f>
        <v>0</v>
      </c>
      <c r="D1067" s="289">
        <f>DSDV!W1072</f>
        <v>0</v>
      </c>
    </row>
    <row r="1068" spans="1:4">
      <c r="A1068">
        <f>DSDV!B1073</f>
        <v>0</v>
      </c>
      <c r="B1068">
        <f>DSDV!G1073</f>
        <v>0</v>
      </c>
      <c r="C1068" s="288">
        <f>DSDV!K1073</f>
        <v>0</v>
      </c>
      <c r="D1068" s="289">
        <f>DSDV!W1073</f>
        <v>0</v>
      </c>
    </row>
    <row r="1069" spans="1:4">
      <c r="A1069">
        <f>DSDV!B1074</f>
        <v>0</v>
      </c>
      <c r="B1069">
        <f>DSDV!G1074</f>
        <v>0</v>
      </c>
      <c r="C1069" s="288">
        <f>DSDV!K1074</f>
        <v>0</v>
      </c>
      <c r="D1069" s="289">
        <f>DSDV!W1074</f>
        <v>0</v>
      </c>
    </row>
    <row r="1070" spans="1:4">
      <c r="A1070">
        <f>DSDV!B1075</f>
        <v>0</v>
      </c>
      <c r="B1070">
        <f>DSDV!G1075</f>
        <v>0</v>
      </c>
      <c r="C1070" s="288">
        <f>DSDV!K1075</f>
        <v>0</v>
      </c>
      <c r="D1070" s="289">
        <f>DSDV!W1075</f>
        <v>0</v>
      </c>
    </row>
    <row r="1071" spans="1:4">
      <c r="A1071">
        <f>DSDV!B1076</f>
        <v>0</v>
      </c>
      <c r="B1071">
        <f>DSDV!G1076</f>
        <v>0</v>
      </c>
      <c r="C1071" s="288">
        <f>DSDV!K1076</f>
        <v>0</v>
      </c>
      <c r="D1071" s="289">
        <f>DSDV!W1076</f>
        <v>0</v>
      </c>
    </row>
    <row r="1072" spans="1:4">
      <c r="A1072">
        <f>DSDV!B1077</f>
        <v>0</v>
      </c>
      <c r="B1072">
        <f>DSDV!G1077</f>
        <v>0</v>
      </c>
      <c r="C1072" s="288">
        <f>DSDV!K1077</f>
        <v>0</v>
      </c>
      <c r="D1072" s="289">
        <f>DSDV!W1077</f>
        <v>0</v>
      </c>
    </row>
    <row r="1073" spans="1:4">
      <c r="A1073">
        <f>DSDV!B1078</f>
        <v>0</v>
      </c>
      <c r="B1073">
        <f>DSDV!G1078</f>
        <v>0</v>
      </c>
      <c r="C1073" s="288">
        <f>DSDV!K1078</f>
        <v>0</v>
      </c>
      <c r="D1073" s="289">
        <f>DSDV!W1078</f>
        <v>0</v>
      </c>
    </row>
    <row r="1074" spans="1:4">
      <c r="A1074">
        <f>DSDV!B1079</f>
        <v>0</v>
      </c>
      <c r="B1074">
        <f>DSDV!G1079</f>
        <v>0</v>
      </c>
      <c r="C1074" s="288">
        <f>DSDV!K1079</f>
        <v>0</v>
      </c>
      <c r="D1074" s="289">
        <f>DSDV!W1079</f>
        <v>0</v>
      </c>
    </row>
    <row r="1075" spans="1:4">
      <c r="A1075">
        <f>DSDV!B1080</f>
        <v>0</v>
      </c>
      <c r="B1075">
        <f>DSDV!G1080</f>
        <v>0</v>
      </c>
      <c r="C1075" s="288">
        <f>DSDV!K1080</f>
        <v>0</v>
      </c>
      <c r="D1075" s="289">
        <f>DSDV!W1080</f>
        <v>0</v>
      </c>
    </row>
    <row r="1076" spans="1:4">
      <c r="A1076">
        <f>DSDV!B1081</f>
        <v>0</v>
      </c>
      <c r="B1076">
        <f>DSDV!G1081</f>
        <v>0</v>
      </c>
      <c r="C1076" s="288">
        <f>DSDV!K1081</f>
        <v>0</v>
      </c>
      <c r="D1076" s="289">
        <f>DSDV!W1081</f>
        <v>0</v>
      </c>
    </row>
    <row r="1077" spans="1:4">
      <c r="A1077">
        <f>DSDV!B1082</f>
        <v>0</v>
      </c>
      <c r="B1077">
        <f>DSDV!G1082</f>
        <v>0</v>
      </c>
      <c r="C1077" s="288">
        <f>DSDV!K1082</f>
        <v>0</v>
      </c>
      <c r="D1077" s="289">
        <f>DSDV!W1082</f>
        <v>0</v>
      </c>
    </row>
    <row r="1078" spans="1:4">
      <c r="A1078">
        <f>DSDV!B1083</f>
        <v>0</v>
      </c>
      <c r="B1078">
        <f>DSDV!G1083</f>
        <v>0</v>
      </c>
      <c r="C1078" s="288">
        <f>DSDV!K1083</f>
        <v>0</v>
      </c>
      <c r="D1078" s="289">
        <f>DSDV!W1083</f>
        <v>0</v>
      </c>
    </row>
    <row r="1079" spans="1:4">
      <c r="A1079">
        <f>DSDV!B1084</f>
        <v>0</v>
      </c>
      <c r="B1079">
        <f>DSDV!G1084</f>
        <v>0</v>
      </c>
      <c r="C1079" s="288">
        <f>DSDV!K1084</f>
        <v>0</v>
      </c>
      <c r="D1079" s="289">
        <f>DSDV!W1084</f>
        <v>0</v>
      </c>
    </row>
    <row r="1080" spans="1:4">
      <c r="A1080">
        <f>DSDV!B1085</f>
        <v>0</v>
      </c>
      <c r="B1080">
        <f>DSDV!G1085</f>
        <v>0</v>
      </c>
      <c r="C1080" s="288">
        <f>DSDV!K1085</f>
        <v>0</v>
      </c>
      <c r="D1080" s="289">
        <f>DSDV!W1085</f>
        <v>0</v>
      </c>
    </row>
    <row r="1081" spans="1:4">
      <c r="A1081">
        <f>DSDV!B1086</f>
        <v>0</v>
      </c>
      <c r="B1081">
        <f>DSDV!G1086</f>
        <v>0</v>
      </c>
      <c r="C1081" s="288">
        <f>DSDV!K1086</f>
        <v>0</v>
      </c>
      <c r="D1081" s="289">
        <f>DSDV!W1086</f>
        <v>0</v>
      </c>
    </row>
    <row r="1082" spans="1:4">
      <c r="A1082">
        <f>DSDV!B1087</f>
        <v>0</v>
      </c>
      <c r="B1082">
        <f>DSDV!G1087</f>
        <v>0</v>
      </c>
      <c r="C1082" s="288">
        <f>DSDV!K1087</f>
        <v>0</v>
      </c>
      <c r="D1082" s="289">
        <f>DSDV!W1087</f>
        <v>0</v>
      </c>
    </row>
    <row r="1083" spans="1:4">
      <c r="A1083">
        <f>DSDV!B1088</f>
        <v>0</v>
      </c>
      <c r="B1083">
        <f>DSDV!G1088</f>
        <v>0</v>
      </c>
      <c r="C1083" s="288">
        <f>DSDV!K1088</f>
        <v>0</v>
      </c>
      <c r="D1083" s="289">
        <f>DSDV!W1088</f>
        <v>0</v>
      </c>
    </row>
    <row r="1084" spans="1:4">
      <c r="A1084">
        <f>DSDV!B1089</f>
        <v>0</v>
      </c>
      <c r="B1084">
        <f>DSDV!G1089</f>
        <v>0</v>
      </c>
      <c r="C1084" s="288">
        <f>DSDV!K1089</f>
        <v>0</v>
      </c>
      <c r="D1084" s="289">
        <f>DSDV!W1089</f>
        <v>0</v>
      </c>
    </row>
    <row r="1085" spans="1:4">
      <c r="A1085">
        <f>DSDV!B1090</f>
        <v>0</v>
      </c>
      <c r="B1085">
        <f>DSDV!G1090</f>
        <v>0</v>
      </c>
      <c r="C1085" s="288">
        <f>DSDV!K1090</f>
        <v>0</v>
      </c>
      <c r="D1085" s="289">
        <f>DSDV!W1090</f>
        <v>0</v>
      </c>
    </row>
    <row r="1086" spans="1:4">
      <c r="A1086">
        <f>DSDV!B1091</f>
        <v>0</v>
      </c>
      <c r="B1086">
        <f>DSDV!G1091</f>
        <v>0</v>
      </c>
      <c r="C1086" s="288">
        <f>DSDV!K1091</f>
        <v>0</v>
      </c>
      <c r="D1086" s="289">
        <f>DSDV!W1091</f>
        <v>0</v>
      </c>
    </row>
    <row r="1087" spans="1:4">
      <c r="A1087">
        <f>DSDV!B1092</f>
        <v>0</v>
      </c>
      <c r="B1087">
        <f>DSDV!G1092</f>
        <v>0</v>
      </c>
      <c r="C1087" s="288">
        <f>DSDV!K1092</f>
        <v>0</v>
      </c>
      <c r="D1087" s="289">
        <f>DSDV!W1092</f>
        <v>0</v>
      </c>
    </row>
    <row r="1088" spans="1:4">
      <c r="A1088">
        <f>DSDV!B1093</f>
        <v>0</v>
      </c>
      <c r="B1088">
        <f>DSDV!G1093</f>
        <v>0</v>
      </c>
      <c r="C1088" s="288">
        <f>DSDV!K1093</f>
        <v>0</v>
      </c>
      <c r="D1088" s="289">
        <f>DSDV!W1093</f>
        <v>0</v>
      </c>
    </row>
    <row r="1089" spans="1:4">
      <c r="A1089">
        <f>DSDV!B1094</f>
        <v>0</v>
      </c>
      <c r="B1089">
        <f>DSDV!G1094</f>
        <v>0</v>
      </c>
      <c r="C1089" s="288">
        <f>DSDV!K1094</f>
        <v>0</v>
      </c>
      <c r="D1089" s="289">
        <f>DSDV!W1094</f>
        <v>0</v>
      </c>
    </row>
    <row r="1090" spans="1:4">
      <c r="A1090">
        <f>DSDV!B1095</f>
        <v>0</v>
      </c>
      <c r="B1090">
        <f>DSDV!G1095</f>
        <v>0</v>
      </c>
      <c r="C1090" s="288">
        <f>DSDV!K1095</f>
        <v>0</v>
      </c>
      <c r="D1090" s="289">
        <f>DSDV!W1095</f>
        <v>0</v>
      </c>
    </row>
    <row r="1091" spans="1:4">
      <c r="A1091">
        <f>DSDV!B1096</f>
        <v>0</v>
      </c>
      <c r="B1091">
        <f>DSDV!G1096</f>
        <v>0</v>
      </c>
      <c r="C1091" s="288">
        <f>DSDV!K1096</f>
        <v>0</v>
      </c>
      <c r="D1091" s="289">
        <f>DSDV!W1096</f>
        <v>0</v>
      </c>
    </row>
    <row r="1092" spans="1:4">
      <c r="A1092">
        <f>DSDV!B1097</f>
        <v>0</v>
      </c>
      <c r="B1092">
        <f>DSDV!G1097</f>
        <v>0</v>
      </c>
      <c r="C1092" s="288">
        <f>DSDV!K1097</f>
        <v>0</v>
      </c>
      <c r="D1092" s="289">
        <f>DSDV!W1097</f>
        <v>0</v>
      </c>
    </row>
    <row r="1093" spans="1:4">
      <c r="A1093">
        <f>DSDV!B1098</f>
        <v>0</v>
      </c>
      <c r="B1093">
        <f>DSDV!G1098</f>
        <v>0</v>
      </c>
      <c r="C1093" s="288">
        <f>DSDV!K1098</f>
        <v>0</v>
      </c>
      <c r="D1093" s="289">
        <f>DSDV!W1098</f>
        <v>0</v>
      </c>
    </row>
    <row r="1094" spans="1:4">
      <c r="A1094">
        <f>DSDV!B1099</f>
        <v>0</v>
      </c>
      <c r="B1094">
        <f>DSDV!G1099</f>
        <v>0</v>
      </c>
      <c r="C1094" s="288">
        <f>DSDV!K1099</f>
        <v>0</v>
      </c>
      <c r="D1094" s="289">
        <f>DSDV!W1099</f>
        <v>0</v>
      </c>
    </row>
    <row r="1095" spans="1:4">
      <c r="A1095">
        <f>DSDV!B1100</f>
        <v>0</v>
      </c>
      <c r="B1095">
        <f>DSDV!G1100</f>
        <v>0</v>
      </c>
      <c r="C1095" s="288">
        <f>DSDV!K1100</f>
        <v>0</v>
      </c>
      <c r="D1095" s="289">
        <f>DSDV!W1100</f>
        <v>0</v>
      </c>
    </row>
    <row r="1096" spans="1:4">
      <c r="A1096">
        <f>DSDV!B1101</f>
        <v>0</v>
      </c>
      <c r="B1096">
        <f>DSDV!G1101</f>
        <v>0</v>
      </c>
      <c r="C1096" s="288">
        <f>DSDV!K1101</f>
        <v>0</v>
      </c>
      <c r="D1096" s="289">
        <f>DSDV!W1101</f>
        <v>0</v>
      </c>
    </row>
    <row r="1097" spans="1:4">
      <c r="A1097">
        <f>DSDV!B1102</f>
        <v>0</v>
      </c>
      <c r="B1097">
        <f>DSDV!G1102</f>
        <v>0</v>
      </c>
      <c r="C1097" s="288">
        <f>DSDV!K1102</f>
        <v>0</v>
      </c>
      <c r="D1097" s="289">
        <f>DSDV!W1102</f>
        <v>0</v>
      </c>
    </row>
    <row r="1098" spans="1:4">
      <c r="A1098">
        <f>DSDV!B1103</f>
        <v>0</v>
      </c>
      <c r="B1098">
        <f>DSDV!G1103</f>
        <v>0</v>
      </c>
      <c r="C1098" s="288">
        <f>DSDV!K1103</f>
        <v>0</v>
      </c>
      <c r="D1098" s="289">
        <f>DSDV!W1103</f>
        <v>0</v>
      </c>
    </row>
    <row r="1099" spans="1:4">
      <c r="A1099">
        <f>DSDV!B1104</f>
        <v>0</v>
      </c>
      <c r="B1099">
        <f>DSDV!G1104</f>
        <v>0</v>
      </c>
      <c r="C1099" s="288">
        <f>DSDV!K1104</f>
        <v>0</v>
      </c>
      <c r="D1099" s="289">
        <f>DSDV!W1104</f>
        <v>0</v>
      </c>
    </row>
    <row r="1100" spans="1:4">
      <c r="A1100">
        <f>DSDV!B1105</f>
        <v>0</v>
      </c>
      <c r="B1100">
        <f>DSDV!G1105</f>
        <v>0</v>
      </c>
      <c r="C1100" s="288">
        <f>DSDV!K1105</f>
        <v>0</v>
      </c>
      <c r="D1100" s="289">
        <f>DSDV!W1105</f>
        <v>0</v>
      </c>
    </row>
    <row r="1101" spans="1:4">
      <c r="A1101">
        <f>DSDV!B1106</f>
        <v>0</v>
      </c>
      <c r="B1101">
        <f>DSDV!G1106</f>
        <v>0</v>
      </c>
      <c r="C1101" s="288">
        <f>DSDV!K1106</f>
        <v>0</v>
      </c>
      <c r="D1101" s="289">
        <f>DSDV!W1106</f>
        <v>0</v>
      </c>
    </row>
    <row r="1102" spans="1:4">
      <c r="A1102">
        <f>DSDV!B1107</f>
        <v>0</v>
      </c>
      <c r="B1102">
        <f>DSDV!G1107</f>
        <v>0</v>
      </c>
      <c r="C1102" s="288">
        <f>DSDV!K1107</f>
        <v>0</v>
      </c>
      <c r="D1102" s="289">
        <f>DSDV!W1107</f>
        <v>0</v>
      </c>
    </row>
    <row r="1103" spans="1:4">
      <c r="A1103">
        <f>DSDV!B1108</f>
        <v>0</v>
      </c>
      <c r="B1103">
        <f>DSDV!G1108</f>
        <v>0</v>
      </c>
      <c r="C1103" s="288">
        <f>DSDV!K1108</f>
        <v>0</v>
      </c>
      <c r="D1103" s="289">
        <f>DSDV!W1108</f>
        <v>0</v>
      </c>
    </row>
    <row r="1104" spans="1:4">
      <c r="A1104">
        <f>DSDV!B1109</f>
        <v>0</v>
      </c>
      <c r="B1104">
        <f>DSDV!G1109</f>
        <v>0</v>
      </c>
      <c r="C1104" s="288">
        <f>DSDV!K1109</f>
        <v>0</v>
      </c>
      <c r="D1104" s="289">
        <f>DSDV!W1109</f>
        <v>0</v>
      </c>
    </row>
    <row r="1105" spans="1:4">
      <c r="A1105">
        <f>DSDV!B1110</f>
        <v>0</v>
      </c>
      <c r="B1105">
        <f>DSDV!G1110</f>
        <v>0</v>
      </c>
      <c r="C1105" s="288">
        <f>DSDV!K1110</f>
        <v>0</v>
      </c>
      <c r="D1105" s="289">
        <f>DSDV!W1110</f>
        <v>0</v>
      </c>
    </row>
    <row r="1106" spans="1:4">
      <c r="A1106">
        <f>DSDV!B1111</f>
        <v>0</v>
      </c>
      <c r="B1106">
        <f>DSDV!G1111</f>
        <v>0</v>
      </c>
      <c r="C1106" s="288">
        <f>DSDV!K1111</f>
        <v>0</v>
      </c>
      <c r="D1106" s="289">
        <f>DSDV!W1111</f>
        <v>0</v>
      </c>
    </row>
    <row r="1107" spans="1:4">
      <c r="A1107">
        <f>DSDV!B1112</f>
        <v>0</v>
      </c>
      <c r="B1107">
        <f>DSDV!G1112</f>
        <v>0</v>
      </c>
      <c r="C1107" s="288">
        <f>DSDV!K1112</f>
        <v>0</v>
      </c>
      <c r="D1107" s="289">
        <f>DSDV!W1112</f>
        <v>0</v>
      </c>
    </row>
    <row r="1108" spans="1:4">
      <c r="A1108">
        <f>DSDV!B1113</f>
        <v>0</v>
      </c>
      <c r="B1108">
        <f>DSDV!G1113</f>
        <v>0</v>
      </c>
      <c r="C1108" s="288">
        <f>DSDV!K1113</f>
        <v>0</v>
      </c>
      <c r="D1108" s="289">
        <f>DSDV!W1113</f>
        <v>0</v>
      </c>
    </row>
    <row r="1109" spans="1:4">
      <c r="A1109">
        <f>DSDV!B1114</f>
        <v>0</v>
      </c>
      <c r="B1109">
        <f>DSDV!G1114</f>
        <v>0</v>
      </c>
      <c r="C1109" s="288">
        <f>DSDV!K1114</f>
        <v>0</v>
      </c>
      <c r="D1109" s="289">
        <f>DSDV!W1114</f>
        <v>0</v>
      </c>
    </row>
    <row r="1110" spans="1:4">
      <c r="A1110">
        <f>DSDV!B1115</f>
        <v>0</v>
      </c>
      <c r="B1110">
        <f>DSDV!G1115</f>
        <v>0</v>
      </c>
      <c r="C1110" s="288">
        <f>DSDV!K1115</f>
        <v>0</v>
      </c>
      <c r="D1110" s="289">
        <f>DSDV!W1115</f>
        <v>0</v>
      </c>
    </row>
    <row r="1111" spans="1:4">
      <c r="A1111">
        <f>DSDV!B1116</f>
        <v>0</v>
      </c>
      <c r="B1111">
        <f>DSDV!G1116</f>
        <v>0</v>
      </c>
      <c r="C1111" s="288">
        <f>DSDV!K1116</f>
        <v>0</v>
      </c>
      <c r="D1111" s="289">
        <f>DSDV!W1116</f>
        <v>0</v>
      </c>
    </row>
    <row r="1112" spans="1:4">
      <c r="A1112">
        <f>DSDV!B1117</f>
        <v>0</v>
      </c>
      <c r="B1112">
        <f>DSDV!G1117</f>
        <v>0</v>
      </c>
      <c r="C1112" s="288">
        <f>DSDV!K1117</f>
        <v>0</v>
      </c>
      <c r="D1112" s="289">
        <f>DSDV!W1117</f>
        <v>0</v>
      </c>
    </row>
    <row r="1113" spans="1:4">
      <c r="A1113">
        <f>DSDV!B1118</f>
        <v>0</v>
      </c>
      <c r="B1113">
        <f>DSDV!G1118</f>
        <v>0</v>
      </c>
      <c r="C1113" s="288">
        <f>DSDV!K1118</f>
        <v>0</v>
      </c>
      <c r="D1113" s="289">
        <f>DSDV!W1118</f>
        <v>0</v>
      </c>
    </row>
    <row r="1114" spans="1:4">
      <c r="A1114">
        <f>DSDV!B1119</f>
        <v>0</v>
      </c>
      <c r="B1114">
        <f>DSDV!G1119</f>
        <v>0</v>
      </c>
      <c r="C1114" s="288">
        <f>DSDV!K1119</f>
        <v>0</v>
      </c>
      <c r="D1114" s="289">
        <f>DSDV!W1119</f>
        <v>0</v>
      </c>
    </row>
    <row r="1115" spans="1:4">
      <c r="A1115">
        <f>DSDV!B1120</f>
        <v>0</v>
      </c>
      <c r="B1115">
        <f>DSDV!G1120</f>
        <v>0</v>
      </c>
      <c r="C1115" s="288">
        <f>DSDV!K1120</f>
        <v>0</v>
      </c>
      <c r="D1115" s="289">
        <f>DSDV!W1120</f>
        <v>0</v>
      </c>
    </row>
    <row r="1116" spans="1:4">
      <c r="A1116">
        <f>DSDV!B1121</f>
        <v>0</v>
      </c>
      <c r="B1116">
        <f>DSDV!G1121</f>
        <v>0</v>
      </c>
      <c r="C1116" s="288">
        <f>DSDV!K1121</f>
        <v>0</v>
      </c>
      <c r="D1116" s="289">
        <f>DSDV!W1121</f>
        <v>0</v>
      </c>
    </row>
    <row r="1117" spans="1:4">
      <c r="A1117">
        <f>DSDV!B1122</f>
        <v>0</v>
      </c>
      <c r="B1117">
        <f>DSDV!G1122</f>
        <v>0</v>
      </c>
      <c r="C1117" s="288">
        <f>DSDV!K1122</f>
        <v>0</v>
      </c>
      <c r="D1117" s="289">
        <f>DSDV!W1122</f>
        <v>0</v>
      </c>
    </row>
    <row r="1118" spans="1:4">
      <c r="A1118">
        <f>DSDV!B1123</f>
        <v>0</v>
      </c>
      <c r="B1118">
        <f>DSDV!G1123</f>
        <v>0</v>
      </c>
      <c r="C1118" s="288">
        <f>DSDV!K1123</f>
        <v>0</v>
      </c>
      <c r="D1118" s="289">
        <f>DSDV!W1123</f>
        <v>0</v>
      </c>
    </row>
    <row r="1119" spans="1:4">
      <c r="A1119">
        <f>DSDV!B1124</f>
        <v>0</v>
      </c>
      <c r="B1119">
        <f>DSDV!G1124</f>
        <v>0</v>
      </c>
      <c r="C1119" s="288">
        <f>DSDV!K1124</f>
        <v>0</v>
      </c>
      <c r="D1119" s="289">
        <f>DSDV!W1124</f>
        <v>0</v>
      </c>
    </row>
    <row r="1120" spans="1:4">
      <c r="A1120">
        <f>DSDV!B1125</f>
        <v>0</v>
      </c>
      <c r="B1120">
        <f>DSDV!G1125</f>
        <v>0</v>
      </c>
      <c r="C1120" s="288">
        <f>DSDV!K1125</f>
        <v>0</v>
      </c>
      <c r="D1120" s="289">
        <f>DSDV!W1125</f>
        <v>0</v>
      </c>
    </row>
    <row r="1121" spans="1:4">
      <c r="A1121">
        <f>DSDV!B1126</f>
        <v>0</v>
      </c>
      <c r="B1121">
        <f>DSDV!G1126</f>
        <v>0</v>
      </c>
      <c r="C1121" s="288">
        <f>DSDV!K1126</f>
        <v>0</v>
      </c>
      <c r="D1121" s="289">
        <f>DSDV!W1126</f>
        <v>0</v>
      </c>
    </row>
    <row r="1122" spans="1:4">
      <c r="A1122">
        <f>DSDV!B1127</f>
        <v>0</v>
      </c>
      <c r="B1122">
        <f>DSDV!G1127</f>
        <v>0</v>
      </c>
      <c r="C1122" s="288">
        <f>DSDV!K1127</f>
        <v>0</v>
      </c>
      <c r="D1122" s="289">
        <f>DSDV!W1127</f>
        <v>0</v>
      </c>
    </row>
    <row r="1123" spans="1:4">
      <c r="A1123">
        <f>DSDV!B1128</f>
        <v>0</v>
      </c>
      <c r="B1123">
        <f>DSDV!G1128</f>
        <v>0</v>
      </c>
      <c r="C1123" s="288">
        <f>DSDV!K1128</f>
        <v>0</v>
      </c>
      <c r="D1123" s="289">
        <f>DSDV!W1128</f>
        <v>0</v>
      </c>
    </row>
    <row r="1124" spans="1:4">
      <c r="A1124">
        <f>DSDV!B1129</f>
        <v>0</v>
      </c>
      <c r="B1124">
        <f>DSDV!G1129</f>
        <v>0</v>
      </c>
      <c r="C1124" s="288">
        <f>DSDV!K1129</f>
        <v>0</v>
      </c>
      <c r="D1124" s="289">
        <f>DSDV!W1129</f>
        <v>0</v>
      </c>
    </row>
    <row r="1125" spans="1:4">
      <c r="A1125">
        <f>DSDV!B1130</f>
        <v>0</v>
      </c>
      <c r="B1125">
        <f>DSDV!G1130</f>
        <v>0</v>
      </c>
      <c r="C1125" s="288">
        <f>DSDV!K1130</f>
        <v>0</v>
      </c>
      <c r="D1125" s="289">
        <f>DSDV!W1130</f>
        <v>0</v>
      </c>
    </row>
    <row r="1126" spans="1:4">
      <c r="A1126">
        <f>DSDV!B1131</f>
        <v>0</v>
      </c>
      <c r="B1126">
        <f>DSDV!G1131</f>
        <v>0</v>
      </c>
      <c r="C1126" s="288">
        <f>DSDV!K1131</f>
        <v>0</v>
      </c>
      <c r="D1126" s="289">
        <f>DSDV!W1131</f>
        <v>0</v>
      </c>
    </row>
    <row r="1127" spans="1:4">
      <c r="A1127">
        <f>DSDV!B1132</f>
        <v>0</v>
      </c>
      <c r="B1127">
        <f>DSDV!G1132</f>
        <v>0</v>
      </c>
      <c r="C1127" s="288">
        <f>DSDV!K1132</f>
        <v>0</v>
      </c>
      <c r="D1127" s="289">
        <f>DSDV!W1132</f>
        <v>0</v>
      </c>
    </row>
    <row r="1128" spans="1:4">
      <c r="A1128">
        <f>DSDV!B1133</f>
        <v>0</v>
      </c>
      <c r="B1128">
        <f>DSDV!G1133</f>
        <v>0</v>
      </c>
      <c r="C1128" s="288">
        <f>DSDV!K1133</f>
        <v>0</v>
      </c>
      <c r="D1128" s="289">
        <f>DSDV!W1133</f>
        <v>0</v>
      </c>
    </row>
    <row r="1129" spans="1:4">
      <c r="A1129">
        <f>DSDV!B1134</f>
        <v>0</v>
      </c>
      <c r="B1129">
        <f>DSDV!G1134</f>
        <v>0</v>
      </c>
      <c r="C1129" s="288">
        <f>DSDV!K1134</f>
        <v>0</v>
      </c>
      <c r="D1129" s="289">
        <f>DSDV!W1134</f>
        <v>0</v>
      </c>
    </row>
    <row r="1130" spans="1:4">
      <c r="A1130">
        <f>DSDV!B1135</f>
        <v>0</v>
      </c>
      <c r="B1130">
        <f>DSDV!G1135</f>
        <v>0</v>
      </c>
      <c r="C1130" s="288">
        <f>DSDV!K1135</f>
        <v>0</v>
      </c>
      <c r="D1130" s="289">
        <f>DSDV!W1135</f>
        <v>0</v>
      </c>
    </row>
    <row r="1131" spans="1:4">
      <c r="A1131">
        <f>DSDV!B1136</f>
        <v>0</v>
      </c>
      <c r="B1131">
        <f>DSDV!G1136</f>
        <v>0</v>
      </c>
      <c r="C1131" s="288">
        <f>DSDV!K1136</f>
        <v>0</v>
      </c>
      <c r="D1131" s="289">
        <f>DSDV!W1136</f>
        <v>0</v>
      </c>
    </row>
    <row r="1132" spans="1:4">
      <c r="A1132">
        <f>DSDV!B1137</f>
        <v>0</v>
      </c>
      <c r="B1132">
        <f>DSDV!G1137</f>
        <v>0</v>
      </c>
      <c r="C1132" s="288">
        <f>DSDV!K1137</f>
        <v>0</v>
      </c>
      <c r="D1132" s="289">
        <f>DSDV!W1137</f>
        <v>0</v>
      </c>
    </row>
    <row r="1133" spans="1:4">
      <c r="A1133">
        <f>DSDV!B1138</f>
        <v>0</v>
      </c>
      <c r="B1133">
        <f>DSDV!G1138</f>
        <v>0</v>
      </c>
      <c r="C1133" s="288">
        <f>DSDV!K1138</f>
        <v>0</v>
      </c>
      <c r="D1133" s="289">
        <f>DSDV!W1138</f>
        <v>0</v>
      </c>
    </row>
    <row r="1134" spans="1:4">
      <c r="A1134">
        <f>DSDV!B1139</f>
        <v>0</v>
      </c>
      <c r="B1134">
        <f>DSDV!G1139</f>
        <v>0</v>
      </c>
      <c r="C1134" s="288">
        <f>DSDV!K1139</f>
        <v>0</v>
      </c>
      <c r="D1134" s="289">
        <f>DSDV!W1139</f>
        <v>0</v>
      </c>
    </row>
    <row r="1135" spans="1:4">
      <c r="A1135">
        <f>DSDV!B1140</f>
        <v>0</v>
      </c>
      <c r="B1135">
        <f>DSDV!G1140</f>
        <v>0</v>
      </c>
      <c r="C1135" s="288">
        <f>DSDV!K1140</f>
        <v>0</v>
      </c>
      <c r="D1135" s="289">
        <f>DSDV!W1140</f>
        <v>0</v>
      </c>
    </row>
    <row r="1136" spans="1:4">
      <c r="A1136">
        <f>DSDV!B1141</f>
        <v>0</v>
      </c>
      <c r="B1136">
        <f>DSDV!G1141</f>
        <v>0</v>
      </c>
      <c r="C1136" s="288">
        <f>DSDV!K1141</f>
        <v>0</v>
      </c>
      <c r="D1136" s="289">
        <f>DSDV!W1141</f>
        <v>0</v>
      </c>
    </row>
    <row r="1137" spans="1:4">
      <c r="A1137">
        <f>DSDV!B1142</f>
        <v>0</v>
      </c>
      <c r="B1137">
        <f>DSDV!G1142</f>
        <v>0</v>
      </c>
      <c r="C1137" s="288">
        <f>DSDV!K1142</f>
        <v>0</v>
      </c>
      <c r="D1137" s="289">
        <f>DSDV!W1142</f>
        <v>0</v>
      </c>
    </row>
    <row r="1138" spans="1:4">
      <c r="A1138">
        <f>DSDV!B1143</f>
        <v>0</v>
      </c>
      <c r="B1138">
        <f>DSDV!G1143</f>
        <v>0</v>
      </c>
      <c r="C1138" s="288">
        <f>DSDV!K1143</f>
        <v>0</v>
      </c>
      <c r="D1138" s="289">
        <f>DSDV!W1143</f>
        <v>0</v>
      </c>
    </row>
    <row r="1139" spans="1:4">
      <c r="A1139">
        <f>DSDV!B1144</f>
        <v>0</v>
      </c>
      <c r="B1139">
        <f>DSDV!G1144</f>
        <v>0</v>
      </c>
      <c r="C1139" s="288">
        <f>DSDV!K1144</f>
        <v>0</v>
      </c>
      <c r="D1139" s="289">
        <f>DSDV!W1144</f>
        <v>0</v>
      </c>
    </row>
    <row r="1140" spans="1:4">
      <c r="A1140">
        <f>DSDV!B1145</f>
        <v>0</v>
      </c>
      <c r="B1140">
        <f>DSDV!G1145</f>
        <v>0</v>
      </c>
      <c r="C1140" s="288">
        <f>DSDV!K1145</f>
        <v>0</v>
      </c>
      <c r="D1140" s="289">
        <f>DSDV!W1145</f>
        <v>0</v>
      </c>
    </row>
    <row r="1141" spans="1:4">
      <c r="A1141">
        <f>DSDV!B1146</f>
        <v>0</v>
      </c>
      <c r="B1141">
        <f>DSDV!G1146</f>
        <v>0</v>
      </c>
      <c r="C1141" s="288">
        <f>DSDV!K1146</f>
        <v>0</v>
      </c>
      <c r="D1141" s="289">
        <f>DSDV!W1146</f>
        <v>0</v>
      </c>
    </row>
    <row r="1142" spans="1:4">
      <c r="A1142">
        <f>DSDV!B1147</f>
        <v>0</v>
      </c>
      <c r="B1142">
        <f>DSDV!G1147</f>
        <v>0</v>
      </c>
      <c r="C1142" s="288">
        <f>DSDV!K1147</f>
        <v>0</v>
      </c>
      <c r="D1142" s="289">
        <f>DSDV!W1147</f>
        <v>0</v>
      </c>
    </row>
    <row r="1143" spans="1:4">
      <c r="A1143">
        <f>DSDV!B1148</f>
        <v>0</v>
      </c>
      <c r="B1143">
        <f>DSDV!G1148</f>
        <v>0</v>
      </c>
      <c r="C1143" s="288">
        <f>DSDV!K1148</f>
        <v>0</v>
      </c>
      <c r="D1143" s="289">
        <f>DSDV!W1148</f>
        <v>0</v>
      </c>
    </row>
    <row r="1144" spans="1:4">
      <c r="A1144">
        <f>DSDV!B1149</f>
        <v>0</v>
      </c>
      <c r="B1144">
        <f>DSDV!G1149</f>
        <v>0</v>
      </c>
      <c r="C1144" s="288">
        <f>DSDV!K1149</f>
        <v>0</v>
      </c>
      <c r="D1144" s="289">
        <f>DSDV!W1149</f>
        <v>0</v>
      </c>
    </row>
    <row r="1145" spans="1:4">
      <c r="A1145">
        <f>DSDV!B1150</f>
        <v>0</v>
      </c>
      <c r="B1145">
        <f>DSDV!G1150</f>
        <v>0</v>
      </c>
      <c r="C1145" s="288">
        <f>DSDV!K1150</f>
        <v>0</v>
      </c>
      <c r="D1145" s="289">
        <f>DSDV!W1150</f>
        <v>0</v>
      </c>
    </row>
    <row r="1146" spans="1:4">
      <c r="A1146">
        <f>DSDV!B1151</f>
        <v>0</v>
      </c>
      <c r="B1146">
        <f>DSDV!G1151</f>
        <v>0</v>
      </c>
      <c r="C1146" s="288">
        <f>DSDV!K1151</f>
        <v>0</v>
      </c>
      <c r="D1146" s="289">
        <f>DSDV!W1151</f>
        <v>0</v>
      </c>
    </row>
    <row r="1147" spans="1:4">
      <c r="A1147">
        <f>DSDV!B1152</f>
        <v>0</v>
      </c>
      <c r="B1147">
        <f>DSDV!G1152</f>
        <v>0</v>
      </c>
      <c r="C1147" s="288">
        <f>DSDV!K1152</f>
        <v>0</v>
      </c>
      <c r="D1147" s="289">
        <f>DSDV!W1152</f>
        <v>0</v>
      </c>
    </row>
    <row r="1148" spans="1:4">
      <c r="A1148">
        <f>DSDV!B1153</f>
        <v>0</v>
      </c>
      <c r="B1148">
        <f>DSDV!G1153</f>
        <v>0</v>
      </c>
      <c r="C1148" s="288">
        <f>DSDV!K1153</f>
        <v>0</v>
      </c>
      <c r="D1148" s="289">
        <f>DSDV!W1153</f>
        <v>0</v>
      </c>
    </row>
    <row r="1149" spans="1:4">
      <c r="A1149">
        <f>DSDV!B1154</f>
        <v>0</v>
      </c>
      <c r="B1149">
        <f>DSDV!G1154</f>
        <v>0</v>
      </c>
      <c r="C1149" s="288">
        <f>DSDV!K1154</f>
        <v>0</v>
      </c>
      <c r="D1149" s="289">
        <f>DSDV!W1154</f>
        <v>0</v>
      </c>
    </row>
    <row r="1150" spans="1:4">
      <c r="A1150">
        <f>DSDV!B1155</f>
        <v>0</v>
      </c>
      <c r="B1150">
        <f>DSDV!G1155</f>
        <v>0</v>
      </c>
      <c r="C1150" s="288">
        <f>DSDV!K1155</f>
        <v>0</v>
      </c>
      <c r="D1150" s="289">
        <f>DSDV!W1155</f>
        <v>0</v>
      </c>
    </row>
    <row r="1151" spans="1:4">
      <c r="A1151">
        <f>DSDV!B1156</f>
        <v>0</v>
      </c>
      <c r="B1151">
        <f>DSDV!G1156</f>
        <v>0</v>
      </c>
      <c r="C1151" s="288">
        <f>DSDV!K1156</f>
        <v>0</v>
      </c>
      <c r="D1151" s="289">
        <f>DSDV!W1156</f>
        <v>0</v>
      </c>
    </row>
    <row r="1152" spans="1:4">
      <c r="A1152">
        <f>DSDV!B1157</f>
        <v>0</v>
      </c>
      <c r="B1152">
        <f>DSDV!G1157</f>
        <v>0</v>
      </c>
      <c r="C1152" s="288">
        <f>DSDV!K1157</f>
        <v>0</v>
      </c>
      <c r="D1152" s="289">
        <f>DSDV!W1157</f>
        <v>0</v>
      </c>
    </row>
    <row r="1153" spans="1:4">
      <c r="A1153">
        <f>DSDV!B1158</f>
        <v>0</v>
      </c>
      <c r="B1153">
        <f>DSDV!G1158</f>
        <v>0</v>
      </c>
      <c r="C1153" s="288">
        <f>DSDV!K1158</f>
        <v>0</v>
      </c>
      <c r="D1153" s="289">
        <f>DSDV!W1158</f>
        <v>0</v>
      </c>
    </row>
    <row r="1154" spans="1:4">
      <c r="A1154">
        <f>DSDV!B1159</f>
        <v>0</v>
      </c>
      <c r="B1154">
        <f>DSDV!G1159</f>
        <v>0</v>
      </c>
      <c r="C1154" s="288">
        <f>DSDV!K1159</f>
        <v>0</v>
      </c>
      <c r="D1154" s="289">
        <f>DSDV!W1159</f>
        <v>0</v>
      </c>
    </row>
    <row r="1155" spans="1:4">
      <c r="A1155">
        <f>DSDV!B1160</f>
        <v>0</v>
      </c>
      <c r="B1155">
        <f>DSDV!G1160</f>
        <v>0</v>
      </c>
      <c r="C1155" s="288">
        <f>DSDV!K1160</f>
        <v>0</v>
      </c>
      <c r="D1155" s="289">
        <f>DSDV!W1160</f>
        <v>0</v>
      </c>
    </row>
    <row r="1156" spans="1:4">
      <c r="A1156">
        <f>DSDV!B1161</f>
        <v>0</v>
      </c>
      <c r="B1156">
        <f>DSDV!G1161</f>
        <v>0</v>
      </c>
      <c r="C1156" s="288">
        <f>DSDV!K1161</f>
        <v>0</v>
      </c>
      <c r="D1156" s="289">
        <f>DSDV!W1161</f>
        <v>0</v>
      </c>
    </row>
    <row r="1157" spans="1:4">
      <c r="A1157">
        <f>DSDV!B1162</f>
        <v>0</v>
      </c>
      <c r="B1157">
        <f>DSDV!G1162</f>
        <v>0</v>
      </c>
      <c r="C1157" s="288">
        <f>DSDV!K1162</f>
        <v>0</v>
      </c>
      <c r="D1157" s="289">
        <f>DSDV!W1162</f>
        <v>0</v>
      </c>
    </row>
    <row r="1158" spans="1:4">
      <c r="A1158">
        <f>DSDV!B1163</f>
        <v>0</v>
      </c>
      <c r="B1158">
        <f>DSDV!G1163</f>
        <v>0</v>
      </c>
      <c r="C1158" s="288">
        <f>DSDV!K1163</f>
        <v>0</v>
      </c>
      <c r="D1158" s="289">
        <f>DSDV!W1163</f>
        <v>0</v>
      </c>
    </row>
    <row r="1159" spans="1:4">
      <c r="A1159">
        <f>DSDV!B1164</f>
        <v>0</v>
      </c>
      <c r="B1159">
        <f>DSDV!G1164</f>
        <v>0</v>
      </c>
      <c r="C1159" s="288">
        <f>DSDV!K1164</f>
        <v>0</v>
      </c>
      <c r="D1159" s="289">
        <f>DSDV!W1164</f>
        <v>0</v>
      </c>
    </row>
    <row r="1160" spans="1:4">
      <c r="A1160">
        <f>DSDV!B1165</f>
        <v>0</v>
      </c>
      <c r="B1160">
        <f>DSDV!G1165</f>
        <v>0</v>
      </c>
      <c r="C1160" s="288">
        <f>DSDV!K1165</f>
        <v>0</v>
      </c>
      <c r="D1160" s="289">
        <f>DSDV!W1165</f>
        <v>0</v>
      </c>
    </row>
    <row r="1161" spans="1:4">
      <c r="A1161">
        <f>DSDV!B1166</f>
        <v>0</v>
      </c>
      <c r="B1161">
        <f>DSDV!G1166</f>
        <v>0</v>
      </c>
      <c r="C1161" s="288">
        <f>DSDV!K1166</f>
        <v>0</v>
      </c>
      <c r="D1161" s="289">
        <f>DSDV!W1166</f>
        <v>0</v>
      </c>
    </row>
    <row r="1162" spans="1:4">
      <c r="A1162">
        <f>DSDV!B1167</f>
        <v>0</v>
      </c>
      <c r="B1162">
        <f>DSDV!G1167</f>
        <v>0</v>
      </c>
      <c r="C1162" s="288">
        <f>DSDV!K1167</f>
        <v>0</v>
      </c>
      <c r="D1162" s="289">
        <f>DSDV!W1167</f>
        <v>0</v>
      </c>
    </row>
    <row r="1163" spans="1:4">
      <c r="A1163">
        <f>DSDV!B1168</f>
        <v>0</v>
      </c>
      <c r="B1163">
        <f>DSDV!G1168</f>
        <v>0</v>
      </c>
      <c r="C1163" s="288">
        <f>DSDV!K1168</f>
        <v>0</v>
      </c>
      <c r="D1163" s="289">
        <f>DSDV!W1168</f>
        <v>0</v>
      </c>
    </row>
    <row r="1164" spans="1:4">
      <c r="A1164">
        <f>DSDV!B1169</f>
        <v>0</v>
      </c>
      <c r="B1164">
        <f>DSDV!G1169</f>
        <v>0</v>
      </c>
      <c r="C1164" s="288">
        <f>DSDV!K1169</f>
        <v>0</v>
      </c>
      <c r="D1164" s="289">
        <f>DSDV!W1169</f>
        <v>0</v>
      </c>
    </row>
    <row r="1165" spans="1:4">
      <c r="A1165">
        <f>DSDV!B1170</f>
        <v>0</v>
      </c>
      <c r="B1165">
        <f>DSDV!G1170</f>
        <v>0</v>
      </c>
      <c r="C1165" s="288">
        <f>DSDV!K1170</f>
        <v>0</v>
      </c>
      <c r="D1165" s="289">
        <f>DSDV!W1170</f>
        <v>0</v>
      </c>
    </row>
    <row r="1166" spans="1:4">
      <c r="A1166">
        <f>DSDV!B1171</f>
        <v>0</v>
      </c>
      <c r="B1166">
        <f>DSDV!G1171</f>
        <v>0</v>
      </c>
      <c r="C1166" s="288">
        <f>DSDV!K1171</f>
        <v>0</v>
      </c>
      <c r="D1166" s="289">
        <f>DSDV!W1171</f>
        <v>0</v>
      </c>
    </row>
    <row r="1167" spans="1:4">
      <c r="A1167">
        <f>DSDV!B1172</f>
        <v>0</v>
      </c>
      <c r="B1167">
        <f>DSDV!G1172</f>
        <v>0</v>
      </c>
      <c r="C1167" s="288">
        <f>DSDV!K1172</f>
        <v>0</v>
      </c>
      <c r="D1167" s="289">
        <f>DSDV!W1172</f>
        <v>0</v>
      </c>
    </row>
    <row r="1168" spans="1:4">
      <c r="A1168">
        <f>DSDV!B1173</f>
        <v>0</v>
      </c>
      <c r="B1168">
        <f>DSDV!G1173</f>
        <v>0</v>
      </c>
      <c r="C1168" s="288">
        <f>DSDV!K1173</f>
        <v>0</v>
      </c>
      <c r="D1168" s="289">
        <f>DSDV!W1173</f>
        <v>0</v>
      </c>
    </row>
    <row r="1169" spans="1:4">
      <c r="A1169">
        <f>DSDV!B1174</f>
        <v>0</v>
      </c>
      <c r="B1169">
        <f>DSDV!G1174</f>
        <v>0</v>
      </c>
      <c r="C1169" s="288">
        <f>DSDV!K1174</f>
        <v>0</v>
      </c>
      <c r="D1169" s="289">
        <f>DSDV!W1174</f>
        <v>0</v>
      </c>
    </row>
    <row r="1170" spans="1:4">
      <c r="A1170">
        <f>DSDV!B1175</f>
        <v>0</v>
      </c>
      <c r="B1170">
        <f>DSDV!G1175</f>
        <v>0</v>
      </c>
      <c r="C1170" s="288">
        <f>DSDV!K1175</f>
        <v>0</v>
      </c>
      <c r="D1170" s="289">
        <f>DSDV!W1175</f>
        <v>0</v>
      </c>
    </row>
    <row r="1171" spans="1:4">
      <c r="A1171">
        <f>DSDV!B1176</f>
        <v>0</v>
      </c>
      <c r="B1171">
        <f>DSDV!G1176</f>
        <v>0</v>
      </c>
      <c r="C1171" s="288">
        <f>DSDV!K1176</f>
        <v>0</v>
      </c>
      <c r="D1171" s="289">
        <f>DSDV!W1176</f>
        <v>0</v>
      </c>
    </row>
    <row r="1172" spans="1:4">
      <c r="A1172">
        <f>DSDV!B1177</f>
        <v>0</v>
      </c>
      <c r="B1172">
        <f>DSDV!G1177</f>
        <v>0</v>
      </c>
      <c r="C1172" s="288">
        <f>DSDV!K1177</f>
        <v>0</v>
      </c>
      <c r="D1172" s="289">
        <f>DSDV!W1177</f>
        <v>0</v>
      </c>
    </row>
    <row r="1173" spans="1:4">
      <c r="A1173">
        <f>DSDV!B1178</f>
        <v>0</v>
      </c>
      <c r="B1173">
        <f>DSDV!G1178</f>
        <v>0</v>
      </c>
      <c r="C1173" s="288">
        <f>DSDV!K1178</f>
        <v>0</v>
      </c>
      <c r="D1173" s="289">
        <f>DSDV!W1178</f>
        <v>0</v>
      </c>
    </row>
    <row r="1174" spans="1:4">
      <c r="A1174">
        <f>DSDV!B1179</f>
        <v>0</v>
      </c>
      <c r="B1174">
        <f>DSDV!G1179</f>
        <v>0</v>
      </c>
      <c r="C1174" s="288">
        <f>DSDV!K1179</f>
        <v>0</v>
      </c>
      <c r="D1174" s="289">
        <f>DSDV!W1179</f>
        <v>0</v>
      </c>
    </row>
    <row r="1175" spans="1:4">
      <c r="A1175">
        <f>DSDV!B1180</f>
        <v>0</v>
      </c>
      <c r="B1175">
        <f>DSDV!G1180</f>
        <v>0</v>
      </c>
      <c r="C1175" s="288">
        <f>DSDV!K1180</f>
        <v>0</v>
      </c>
      <c r="D1175" s="289">
        <f>DSDV!W1180</f>
        <v>0</v>
      </c>
    </row>
    <row r="1176" spans="1:4">
      <c r="A1176">
        <f>DSDV!B1181</f>
        <v>0</v>
      </c>
      <c r="B1176">
        <f>DSDV!G1181</f>
        <v>0</v>
      </c>
      <c r="C1176" s="288">
        <f>DSDV!K1181</f>
        <v>0</v>
      </c>
      <c r="D1176" s="289">
        <f>DSDV!W1181</f>
        <v>0</v>
      </c>
    </row>
    <row r="1177" spans="1:4">
      <c r="A1177">
        <f>DSDV!B1182</f>
        <v>0</v>
      </c>
      <c r="B1177">
        <f>DSDV!G1182</f>
        <v>0</v>
      </c>
      <c r="C1177" s="288">
        <f>DSDV!K1182</f>
        <v>0</v>
      </c>
      <c r="D1177" s="289">
        <f>DSDV!W1182</f>
        <v>0</v>
      </c>
    </row>
    <row r="1178" spans="1:4">
      <c r="A1178">
        <f>DSDV!B1183</f>
        <v>0</v>
      </c>
      <c r="B1178">
        <f>DSDV!G1183</f>
        <v>0</v>
      </c>
      <c r="C1178" s="288">
        <f>DSDV!K1183</f>
        <v>0</v>
      </c>
      <c r="D1178" s="289">
        <f>DSDV!W1183</f>
        <v>0</v>
      </c>
    </row>
    <row r="1179" spans="1:4">
      <c r="A1179">
        <f>DSDV!B1184</f>
        <v>0</v>
      </c>
      <c r="B1179">
        <f>DSDV!G1184</f>
        <v>0</v>
      </c>
      <c r="C1179" s="288">
        <f>DSDV!K1184</f>
        <v>0</v>
      </c>
      <c r="D1179" s="289">
        <f>DSDV!W1184</f>
        <v>0</v>
      </c>
    </row>
    <row r="1180" spans="1:4">
      <c r="A1180">
        <f>DSDV!B1185</f>
        <v>0</v>
      </c>
      <c r="B1180">
        <f>DSDV!G1185</f>
        <v>0</v>
      </c>
      <c r="C1180" s="288">
        <f>DSDV!K1185</f>
        <v>0</v>
      </c>
      <c r="D1180" s="289">
        <f>DSDV!W1185</f>
        <v>0</v>
      </c>
    </row>
    <row r="1181" spans="1:4">
      <c r="A1181">
        <f>DSDV!B1186</f>
        <v>0</v>
      </c>
      <c r="B1181">
        <f>DSDV!G1186</f>
        <v>0</v>
      </c>
      <c r="C1181" s="288">
        <f>DSDV!K1186</f>
        <v>0</v>
      </c>
      <c r="D1181" s="289">
        <f>DSDV!W1186</f>
        <v>0</v>
      </c>
    </row>
    <row r="1182" spans="1:4">
      <c r="A1182">
        <f>DSDV!B1187</f>
        <v>0</v>
      </c>
      <c r="B1182">
        <f>DSDV!G1187</f>
        <v>0</v>
      </c>
      <c r="C1182" s="288">
        <f>DSDV!K1187</f>
        <v>0</v>
      </c>
      <c r="D1182" s="289">
        <f>DSDV!W1187</f>
        <v>0</v>
      </c>
    </row>
    <row r="1183" spans="1:4">
      <c r="A1183">
        <f>DSDV!B1188</f>
        <v>0</v>
      </c>
      <c r="B1183">
        <f>DSDV!G1188</f>
        <v>0</v>
      </c>
      <c r="C1183" s="288">
        <f>DSDV!K1188</f>
        <v>0</v>
      </c>
      <c r="D1183" s="289">
        <f>DSDV!W1188</f>
        <v>0</v>
      </c>
    </row>
    <row r="1184" spans="1:4">
      <c r="A1184">
        <f>DSDV!B1189</f>
        <v>0</v>
      </c>
      <c r="B1184">
        <f>DSDV!G1189</f>
        <v>0</v>
      </c>
      <c r="C1184" s="288">
        <f>DSDV!K1189</f>
        <v>0</v>
      </c>
      <c r="D1184" s="289">
        <f>DSDV!W1189</f>
        <v>0</v>
      </c>
    </row>
    <row r="1185" spans="1:4">
      <c r="A1185">
        <f>DSDV!B1190</f>
        <v>0</v>
      </c>
      <c r="B1185">
        <f>DSDV!G1190</f>
        <v>0</v>
      </c>
      <c r="C1185" s="288">
        <f>DSDV!K1190</f>
        <v>0</v>
      </c>
      <c r="D1185" s="289">
        <f>DSDV!W1190</f>
        <v>0</v>
      </c>
    </row>
    <row r="1186" spans="1:4">
      <c r="A1186">
        <f>DSDV!B1191</f>
        <v>0</v>
      </c>
      <c r="B1186">
        <f>DSDV!G1191</f>
        <v>0</v>
      </c>
      <c r="C1186" s="288">
        <f>DSDV!K1191</f>
        <v>0</v>
      </c>
      <c r="D1186" s="289">
        <f>DSDV!W1191</f>
        <v>0</v>
      </c>
    </row>
    <row r="1187" spans="1:4">
      <c r="A1187">
        <f>DSDV!B1192</f>
        <v>0</v>
      </c>
      <c r="B1187">
        <f>DSDV!G1192</f>
        <v>0</v>
      </c>
      <c r="C1187" s="288">
        <f>DSDV!K1192</f>
        <v>0</v>
      </c>
      <c r="D1187" s="289">
        <f>DSDV!W1192</f>
        <v>0</v>
      </c>
    </row>
    <row r="1188" spans="1:4">
      <c r="A1188">
        <f>DSDV!B1193</f>
        <v>0</v>
      </c>
      <c r="B1188">
        <f>DSDV!G1193</f>
        <v>0</v>
      </c>
      <c r="C1188" s="288">
        <f>DSDV!K1193</f>
        <v>0</v>
      </c>
      <c r="D1188" s="289">
        <f>DSDV!W1193</f>
        <v>0</v>
      </c>
    </row>
    <row r="1189" spans="1:4">
      <c r="A1189">
        <f>DSDV!B1194</f>
        <v>0</v>
      </c>
      <c r="B1189">
        <f>DSDV!G1194</f>
        <v>0</v>
      </c>
      <c r="C1189" s="288">
        <f>DSDV!K1194</f>
        <v>0</v>
      </c>
      <c r="D1189" s="289">
        <f>DSDV!W1194</f>
        <v>0</v>
      </c>
    </row>
    <row r="1190" spans="1:4">
      <c r="A1190">
        <f>DSDV!B1195</f>
        <v>0</v>
      </c>
      <c r="B1190">
        <f>DSDV!G1195</f>
        <v>0</v>
      </c>
      <c r="C1190" s="288">
        <f>DSDV!K1195</f>
        <v>0</v>
      </c>
      <c r="D1190" s="289">
        <f>DSDV!W1195</f>
        <v>0</v>
      </c>
    </row>
    <row r="1191" spans="1:4">
      <c r="A1191">
        <f>DSDV!B1196</f>
        <v>0</v>
      </c>
      <c r="B1191">
        <f>DSDV!G1196</f>
        <v>0</v>
      </c>
      <c r="C1191" s="288">
        <f>DSDV!K1196</f>
        <v>0</v>
      </c>
      <c r="D1191" s="289">
        <f>DSDV!W1196</f>
        <v>0</v>
      </c>
    </row>
    <row r="1192" spans="1:4">
      <c r="A1192">
        <f>DSDV!B1197</f>
        <v>0</v>
      </c>
      <c r="B1192">
        <f>DSDV!G1197</f>
        <v>0</v>
      </c>
      <c r="C1192" s="288">
        <f>DSDV!K1197</f>
        <v>0</v>
      </c>
      <c r="D1192" s="289">
        <f>DSDV!W1197</f>
        <v>0</v>
      </c>
    </row>
    <row r="1193" spans="1:4">
      <c r="A1193">
        <f>DSDV!B1198</f>
        <v>0</v>
      </c>
      <c r="B1193">
        <f>DSDV!G1198</f>
        <v>0</v>
      </c>
      <c r="C1193" s="288">
        <f>DSDV!K1198</f>
        <v>0</v>
      </c>
      <c r="D1193" s="289">
        <f>DSDV!W1198</f>
        <v>0</v>
      </c>
    </row>
    <row r="1194" spans="1:4">
      <c r="A1194">
        <f>DSDV!B1199</f>
        <v>0</v>
      </c>
      <c r="B1194">
        <f>DSDV!G1199</f>
        <v>0</v>
      </c>
      <c r="C1194" s="288">
        <f>DSDV!K1199</f>
        <v>0</v>
      </c>
      <c r="D1194" s="289">
        <f>DSDV!W1199</f>
        <v>0</v>
      </c>
    </row>
    <row r="1195" spans="1:4">
      <c r="A1195">
        <f>DSDV!B1200</f>
        <v>0</v>
      </c>
      <c r="B1195">
        <f>DSDV!G1200</f>
        <v>0</v>
      </c>
      <c r="C1195" s="288">
        <f>DSDV!K1200</f>
        <v>0</v>
      </c>
      <c r="D1195" s="289">
        <f>DSDV!W1200</f>
        <v>0</v>
      </c>
    </row>
    <row r="1196" spans="1:4">
      <c r="A1196">
        <f>DSDV!B1201</f>
        <v>0</v>
      </c>
      <c r="B1196">
        <f>DSDV!G1201</f>
        <v>0</v>
      </c>
      <c r="C1196" s="288">
        <f>DSDV!K1201</f>
        <v>0</v>
      </c>
      <c r="D1196" s="289">
        <f>DSDV!W1201</f>
        <v>0</v>
      </c>
    </row>
    <row r="1197" spans="1:4">
      <c r="A1197">
        <f>DSDV!B1202</f>
        <v>0</v>
      </c>
      <c r="B1197">
        <f>DSDV!G1202</f>
        <v>0</v>
      </c>
      <c r="C1197" s="288">
        <f>DSDV!K1202</f>
        <v>0</v>
      </c>
      <c r="D1197" s="289">
        <f>DSDV!W1202</f>
        <v>0</v>
      </c>
    </row>
    <row r="1198" spans="1:4">
      <c r="A1198">
        <f>DSDV!B1203</f>
        <v>0</v>
      </c>
      <c r="B1198">
        <f>DSDV!G1203</f>
        <v>0</v>
      </c>
      <c r="C1198" s="288">
        <f>DSDV!K1203</f>
        <v>0</v>
      </c>
      <c r="D1198" s="289">
        <f>DSDV!W1203</f>
        <v>0</v>
      </c>
    </row>
    <row r="1199" spans="1:4">
      <c r="A1199">
        <f>DSDV!B1204</f>
        <v>0</v>
      </c>
      <c r="B1199">
        <f>DSDV!G1204</f>
        <v>0</v>
      </c>
      <c r="C1199" s="288">
        <f>DSDV!K1204</f>
        <v>0</v>
      </c>
      <c r="D1199" s="289">
        <f>DSDV!W1204</f>
        <v>0</v>
      </c>
    </row>
    <row r="1200" spans="1:4">
      <c r="A1200">
        <f>DSDV!B1205</f>
        <v>0</v>
      </c>
      <c r="B1200">
        <f>DSDV!G1205</f>
        <v>0</v>
      </c>
      <c r="C1200" s="288">
        <f>DSDV!K1205</f>
        <v>0</v>
      </c>
      <c r="D1200" s="289">
        <f>DSDV!W1205</f>
        <v>0</v>
      </c>
    </row>
    <row r="1201" spans="1:4">
      <c r="A1201">
        <f>DSDV!B1206</f>
        <v>0</v>
      </c>
      <c r="B1201">
        <f>DSDV!G1206</f>
        <v>0</v>
      </c>
      <c r="C1201" s="288">
        <f>DSDV!K1206</f>
        <v>0</v>
      </c>
      <c r="D1201" s="289">
        <f>DSDV!W1206</f>
        <v>0</v>
      </c>
    </row>
    <row r="1202" spans="1:4">
      <c r="A1202">
        <f>DSDV!B1207</f>
        <v>0</v>
      </c>
      <c r="B1202">
        <f>DSDV!G1207</f>
        <v>0</v>
      </c>
      <c r="C1202" s="288">
        <f>DSDV!K1207</f>
        <v>0</v>
      </c>
      <c r="D1202" s="289">
        <f>DSDV!W1207</f>
        <v>0</v>
      </c>
    </row>
    <row r="1203" spans="1:4">
      <c r="A1203">
        <f>DSDV!B1208</f>
        <v>0</v>
      </c>
      <c r="B1203">
        <f>DSDV!G1208</f>
        <v>0</v>
      </c>
      <c r="C1203" s="288">
        <f>DSDV!K1208</f>
        <v>0</v>
      </c>
      <c r="D1203" s="289">
        <f>DSDV!W1208</f>
        <v>0</v>
      </c>
    </row>
    <row r="1204" spans="1:4">
      <c r="A1204">
        <f>DSDV!B1209</f>
        <v>0</v>
      </c>
      <c r="B1204">
        <f>DSDV!G1209</f>
        <v>0</v>
      </c>
      <c r="C1204" s="288">
        <f>DSDV!K1209</f>
        <v>0</v>
      </c>
      <c r="D1204" s="289">
        <f>DSDV!W1209</f>
        <v>0</v>
      </c>
    </row>
    <row r="1205" spans="1:4">
      <c r="A1205">
        <f>DSDV!B1210</f>
        <v>0</v>
      </c>
      <c r="B1205">
        <f>DSDV!G1210</f>
        <v>0</v>
      </c>
      <c r="C1205" s="288">
        <f>DSDV!K1210</f>
        <v>0</v>
      </c>
      <c r="D1205" s="289">
        <f>DSDV!W1210</f>
        <v>0</v>
      </c>
    </row>
    <row r="1206" spans="1:4">
      <c r="A1206">
        <f>DSDV!B1211</f>
        <v>0</v>
      </c>
      <c r="B1206">
        <f>DSDV!G1211</f>
        <v>0</v>
      </c>
      <c r="C1206" s="288">
        <f>DSDV!K1211</f>
        <v>0</v>
      </c>
      <c r="D1206" s="289">
        <f>DSDV!W1211</f>
        <v>0</v>
      </c>
    </row>
    <row r="1207" spans="1:4">
      <c r="A1207">
        <f>DSDV!B1212</f>
        <v>0</v>
      </c>
      <c r="B1207">
        <f>DSDV!G1212</f>
        <v>0</v>
      </c>
      <c r="C1207" s="288">
        <f>DSDV!K1212</f>
        <v>0</v>
      </c>
      <c r="D1207" s="289">
        <f>DSDV!W1212</f>
        <v>0</v>
      </c>
    </row>
    <row r="1208" spans="1:4">
      <c r="A1208">
        <f>DSDV!B1213</f>
        <v>0</v>
      </c>
      <c r="B1208">
        <f>DSDV!G1213</f>
        <v>0</v>
      </c>
      <c r="C1208" s="288">
        <f>DSDV!K1213</f>
        <v>0</v>
      </c>
      <c r="D1208" s="289">
        <f>DSDV!W1213</f>
        <v>0</v>
      </c>
    </row>
    <row r="1209" spans="1:4">
      <c r="A1209">
        <f>DSDV!B1214</f>
        <v>0</v>
      </c>
      <c r="B1209">
        <f>DSDV!G1214</f>
        <v>0</v>
      </c>
      <c r="C1209" s="288">
        <f>DSDV!K1214</f>
        <v>0</v>
      </c>
      <c r="D1209" s="289">
        <f>DSDV!W1214</f>
        <v>0</v>
      </c>
    </row>
    <row r="1210" spans="1:4">
      <c r="A1210">
        <f>DSDV!B1215</f>
        <v>0</v>
      </c>
      <c r="B1210">
        <f>DSDV!G1215</f>
        <v>0</v>
      </c>
      <c r="C1210" s="288">
        <f>DSDV!K1215</f>
        <v>0</v>
      </c>
      <c r="D1210" s="289">
        <f>DSDV!W1215</f>
        <v>0</v>
      </c>
    </row>
    <row r="1211" spans="1:4">
      <c r="A1211">
        <f>DSDV!B1216</f>
        <v>0</v>
      </c>
      <c r="B1211">
        <f>DSDV!G1216</f>
        <v>0</v>
      </c>
      <c r="C1211" s="288">
        <f>DSDV!K1216</f>
        <v>0</v>
      </c>
      <c r="D1211" s="289">
        <f>DSDV!W1216</f>
        <v>0</v>
      </c>
    </row>
    <row r="1212" spans="1:4">
      <c r="A1212">
        <f>DSDV!B1217</f>
        <v>0</v>
      </c>
      <c r="B1212">
        <f>DSDV!G1217</f>
        <v>0</v>
      </c>
      <c r="C1212" s="288">
        <f>DSDV!K1217</f>
        <v>0</v>
      </c>
      <c r="D1212" s="289">
        <f>DSDV!W1217</f>
        <v>0</v>
      </c>
    </row>
    <row r="1213" spans="1:4">
      <c r="A1213">
        <f>DSDV!B1218</f>
        <v>0</v>
      </c>
      <c r="B1213">
        <f>DSDV!G1218</f>
        <v>0</v>
      </c>
      <c r="C1213" s="288">
        <f>DSDV!K1218</f>
        <v>0</v>
      </c>
      <c r="D1213" s="289">
        <f>DSDV!W1218</f>
        <v>0</v>
      </c>
    </row>
    <row r="1214" spans="1:4">
      <c r="A1214">
        <f>DSDV!B1219</f>
        <v>0</v>
      </c>
      <c r="B1214">
        <f>DSDV!G1219</f>
        <v>0</v>
      </c>
      <c r="C1214" s="288">
        <f>DSDV!K1219</f>
        <v>0</v>
      </c>
      <c r="D1214" s="289">
        <f>DSDV!W1219</f>
        <v>0</v>
      </c>
    </row>
    <row r="1215" spans="1:4">
      <c r="A1215">
        <f>DSDV!B1220</f>
        <v>0</v>
      </c>
      <c r="B1215">
        <f>DSDV!G1220</f>
        <v>0</v>
      </c>
      <c r="C1215" s="288">
        <f>DSDV!K1220</f>
        <v>0</v>
      </c>
      <c r="D1215" s="289">
        <f>DSDV!W1220</f>
        <v>0</v>
      </c>
    </row>
    <row r="1216" spans="1:4">
      <c r="A1216">
        <f>DSDV!B1221</f>
        <v>0</v>
      </c>
      <c r="B1216">
        <f>DSDV!G1221</f>
        <v>0</v>
      </c>
      <c r="C1216" s="288">
        <f>DSDV!K1221</f>
        <v>0</v>
      </c>
      <c r="D1216" s="289">
        <f>DSDV!W1221</f>
        <v>0</v>
      </c>
    </row>
    <row r="1217" spans="1:4">
      <c r="A1217">
        <f>DSDV!B1222</f>
        <v>0</v>
      </c>
      <c r="B1217">
        <f>DSDV!G1222</f>
        <v>0</v>
      </c>
      <c r="C1217" s="288">
        <f>DSDV!K1222</f>
        <v>0</v>
      </c>
      <c r="D1217" s="289">
        <f>DSDV!W1222</f>
        <v>0</v>
      </c>
    </row>
    <row r="1218" spans="1:4">
      <c r="A1218">
        <f>DSDV!B1223</f>
        <v>0</v>
      </c>
      <c r="B1218">
        <f>DSDV!G1223</f>
        <v>0</v>
      </c>
      <c r="C1218" s="288">
        <f>DSDV!K1223</f>
        <v>0</v>
      </c>
      <c r="D1218" s="289">
        <f>DSDV!W1223</f>
        <v>0</v>
      </c>
    </row>
    <row r="1219" spans="1:4">
      <c r="A1219">
        <f>DSDV!B1224</f>
        <v>0</v>
      </c>
      <c r="B1219">
        <f>DSDV!G1224</f>
        <v>0</v>
      </c>
      <c r="C1219" s="288">
        <f>DSDV!K1224</f>
        <v>0</v>
      </c>
      <c r="D1219" s="289">
        <f>DSDV!W1224</f>
        <v>0</v>
      </c>
    </row>
    <row r="1220" spans="1:4">
      <c r="A1220">
        <f>DSDV!B1225</f>
        <v>0</v>
      </c>
      <c r="B1220">
        <f>DSDV!G1225</f>
        <v>0</v>
      </c>
      <c r="C1220" s="288">
        <f>DSDV!K1225</f>
        <v>0</v>
      </c>
      <c r="D1220" s="289">
        <f>DSDV!W1225</f>
        <v>0</v>
      </c>
    </row>
    <row r="1221" spans="1:4">
      <c r="A1221">
        <f>DSDV!B1226</f>
        <v>0</v>
      </c>
      <c r="B1221">
        <f>DSDV!G1226</f>
        <v>0</v>
      </c>
      <c r="C1221" s="288">
        <f>DSDV!K1226</f>
        <v>0</v>
      </c>
      <c r="D1221" s="289">
        <f>DSDV!W1226</f>
        <v>0</v>
      </c>
    </row>
    <row r="1222" spans="1:4">
      <c r="A1222">
        <f>DSDV!B1227</f>
        <v>0</v>
      </c>
      <c r="B1222">
        <f>DSDV!G1227</f>
        <v>0</v>
      </c>
      <c r="C1222" s="288">
        <f>DSDV!K1227</f>
        <v>0</v>
      </c>
      <c r="D1222" s="289">
        <f>DSDV!W1227</f>
        <v>0</v>
      </c>
    </row>
    <row r="1223" spans="1:4">
      <c r="A1223">
        <f>DSDV!B1228</f>
        <v>0</v>
      </c>
      <c r="B1223">
        <f>DSDV!G1228</f>
        <v>0</v>
      </c>
      <c r="C1223" s="288">
        <f>DSDV!K1228</f>
        <v>0</v>
      </c>
      <c r="D1223" s="289">
        <f>DSDV!W1228</f>
        <v>0</v>
      </c>
    </row>
    <row r="1224" spans="1:4">
      <c r="A1224">
        <f>DSDV!B1229</f>
        <v>0</v>
      </c>
      <c r="B1224">
        <f>DSDV!G1229</f>
        <v>0</v>
      </c>
      <c r="C1224" s="288">
        <f>DSDV!K1229</f>
        <v>0</v>
      </c>
      <c r="D1224" s="289">
        <f>DSDV!W1229</f>
        <v>0</v>
      </c>
    </row>
    <row r="1225" spans="1:4">
      <c r="A1225">
        <f>DSDV!B1230</f>
        <v>0</v>
      </c>
      <c r="B1225">
        <f>DSDV!G1230</f>
        <v>0</v>
      </c>
      <c r="C1225" s="288">
        <f>DSDV!K1230</f>
        <v>0</v>
      </c>
      <c r="D1225" s="289">
        <f>DSDV!W1230</f>
        <v>0</v>
      </c>
    </row>
    <row r="1226" spans="1:4">
      <c r="A1226">
        <f>DSDV!B1231</f>
        <v>0</v>
      </c>
      <c r="B1226">
        <f>DSDV!G1231</f>
        <v>0</v>
      </c>
      <c r="C1226" s="288">
        <f>DSDV!K1231</f>
        <v>0</v>
      </c>
      <c r="D1226" s="289">
        <f>DSDV!W1231</f>
        <v>0</v>
      </c>
    </row>
    <row r="1227" spans="1:4">
      <c r="A1227">
        <f>DSDV!B1232</f>
        <v>0</v>
      </c>
      <c r="B1227">
        <f>DSDV!G1232</f>
        <v>0</v>
      </c>
      <c r="C1227" s="288">
        <f>DSDV!K1232</f>
        <v>0</v>
      </c>
      <c r="D1227" s="289">
        <f>DSDV!W1232</f>
        <v>0</v>
      </c>
    </row>
    <row r="1228" spans="1:4">
      <c r="A1228">
        <f>DSDV!B1233</f>
        <v>0</v>
      </c>
      <c r="B1228">
        <f>DSDV!G1233</f>
        <v>0</v>
      </c>
      <c r="C1228" s="288">
        <f>DSDV!K1233</f>
        <v>0</v>
      </c>
      <c r="D1228" s="289">
        <f>DSDV!W1233</f>
        <v>0</v>
      </c>
    </row>
    <row r="1229" spans="1:4">
      <c r="A1229">
        <f>DSDV!B1234</f>
        <v>0</v>
      </c>
      <c r="B1229">
        <f>DSDV!G1234</f>
        <v>0</v>
      </c>
      <c r="C1229" s="288">
        <f>DSDV!K1234</f>
        <v>0</v>
      </c>
      <c r="D1229" s="289">
        <f>DSDV!W1234</f>
        <v>0</v>
      </c>
    </row>
    <row r="1230" spans="1:4">
      <c r="A1230">
        <f>DSDV!B1235</f>
        <v>0</v>
      </c>
      <c r="B1230">
        <f>DSDV!G1235</f>
        <v>0</v>
      </c>
      <c r="C1230" s="288">
        <f>DSDV!K1235</f>
        <v>0</v>
      </c>
      <c r="D1230" s="289">
        <f>DSDV!W1235</f>
        <v>0</v>
      </c>
    </row>
    <row r="1231" spans="1:4">
      <c r="A1231">
        <f>DSDV!B1236</f>
        <v>0</v>
      </c>
      <c r="B1231">
        <f>DSDV!G1236</f>
        <v>0</v>
      </c>
      <c r="C1231" s="288">
        <f>DSDV!K1236</f>
        <v>0</v>
      </c>
      <c r="D1231" s="289">
        <f>DSDV!W1236</f>
        <v>0</v>
      </c>
    </row>
    <row r="1232" spans="1:4">
      <c r="A1232">
        <f>DSDV!B1237</f>
        <v>0</v>
      </c>
      <c r="B1232">
        <f>DSDV!G1237</f>
        <v>0</v>
      </c>
      <c r="C1232" s="288">
        <f>DSDV!K1237</f>
        <v>0</v>
      </c>
      <c r="D1232" s="289">
        <f>DSDV!W1237</f>
        <v>0</v>
      </c>
    </row>
    <row r="1233" spans="1:4">
      <c r="A1233">
        <f>DSDV!B1238</f>
        <v>0</v>
      </c>
      <c r="B1233">
        <f>DSDV!G1238</f>
        <v>0</v>
      </c>
      <c r="C1233" s="288">
        <f>DSDV!K1238</f>
        <v>0</v>
      </c>
      <c r="D1233" s="289">
        <f>DSDV!W1238</f>
        <v>0</v>
      </c>
    </row>
    <row r="1234" spans="1:4">
      <c r="A1234">
        <f>DSDV!B1239</f>
        <v>0</v>
      </c>
      <c r="B1234">
        <f>DSDV!G1239</f>
        <v>0</v>
      </c>
      <c r="C1234" s="288">
        <f>DSDV!K1239</f>
        <v>0</v>
      </c>
      <c r="D1234" s="289">
        <f>DSDV!W1239</f>
        <v>0</v>
      </c>
    </row>
    <row r="1235" spans="1:4">
      <c r="A1235">
        <f>DSDV!B1240</f>
        <v>0</v>
      </c>
      <c r="B1235">
        <f>DSDV!G1240</f>
        <v>0</v>
      </c>
      <c r="C1235" s="288">
        <f>DSDV!K1240</f>
        <v>0</v>
      </c>
      <c r="D1235" s="289">
        <f>DSDV!W1240</f>
        <v>0</v>
      </c>
    </row>
    <row r="1236" spans="1:4">
      <c r="A1236">
        <f>DSDV!B1241</f>
        <v>0</v>
      </c>
      <c r="B1236">
        <f>DSDV!G1241</f>
        <v>0</v>
      </c>
      <c r="C1236" s="288">
        <f>DSDV!K1241</f>
        <v>0</v>
      </c>
      <c r="D1236" s="289">
        <f>DSDV!W1241</f>
        <v>0</v>
      </c>
    </row>
    <row r="1237" spans="1:4">
      <c r="A1237">
        <f>DSDV!B1242</f>
        <v>0</v>
      </c>
      <c r="B1237">
        <f>DSDV!G1242</f>
        <v>0</v>
      </c>
      <c r="C1237" s="288">
        <f>DSDV!K1242</f>
        <v>0</v>
      </c>
      <c r="D1237" s="289">
        <f>DSDV!W1242</f>
        <v>0</v>
      </c>
    </row>
    <row r="1238" spans="1:4">
      <c r="A1238">
        <f>DSDV!B1243</f>
        <v>0</v>
      </c>
      <c r="B1238">
        <f>DSDV!G1243</f>
        <v>0</v>
      </c>
      <c r="C1238" s="288">
        <f>DSDV!K1243</f>
        <v>0</v>
      </c>
      <c r="D1238" s="289">
        <f>DSDV!W1243</f>
        <v>0</v>
      </c>
    </row>
    <row r="1239" spans="1:4">
      <c r="A1239">
        <f>DSDV!B1244</f>
        <v>0</v>
      </c>
      <c r="B1239">
        <f>DSDV!G1244</f>
        <v>0</v>
      </c>
      <c r="C1239" s="288">
        <f>DSDV!K1244</f>
        <v>0</v>
      </c>
      <c r="D1239" s="289">
        <f>DSDV!W1244</f>
        <v>0</v>
      </c>
    </row>
    <row r="1240" spans="1:4">
      <c r="A1240">
        <f>DSDV!B1245</f>
        <v>0</v>
      </c>
      <c r="B1240">
        <f>DSDV!G1245</f>
        <v>0</v>
      </c>
      <c r="C1240" s="288">
        <f>DSDV!K1245</f>
        <v>0</v>
      </c>
      <c r="D1240" s="289">
        <f>DSDV!W1245</f>
        <v>0</v>
      </c>
    </row>
    <row r="1241" spans="1:4">
      <c r="A1241">
        <f>DSDV!B1246</f>
        <v>0</v>
      </c>
      <c r="B1241">
        <f>DSDV!G1246</f>
        <v>0</v>
      </c>
      <c r="C1241" s="288">
        <f>DSDV!K1246</f>
        <v>0</v>
      </c>
      <c r="D1241" s="289">
        <f>DSDV!W1246</f>
        <v>0</v>
      </c>
    </row>
    <row r="1242" spans="1:4">
      <c r="A1242">
        <f>DSDV!B1247</f>
        <v>0</v>
      </c>
      <c r="B1242">
        <f>DSDV!G1247</f>
        <v>0</v>
      </c>
      <c r="C1242" s="288">
        <f>DSDV!K1247</f>
        <v>0</v>
      </c>
      <c r="D1242" s="289">
        <f>DSDV!W1247</f>
        <v>0</v>
      </c>
    </row>
    <row r="1243" spans="1:4">
      <c r="A1243">
        <f>DSDV!B1248</f>
        <v>0</v>
      </c>
      <c r="B1243">
        <f>DSDV!G1248</f>
        <v>0</v>
      </c>
      <c r="C1243" s="288">
        <f>DSDV!K1248</f>
        <v>0</v>
      </c>
      <c r="D1243" s="289">
        <f>DSDV!W1248</f>
        <v>0</v>
      </c>
    </row>
    <row r="1244" spans="1:4">
      <c r="A1244">
        <f>DSDV!B1249</f>
        <v>0</v>
      </c>
      <c r="B1244">
        <f>DSDV!G1249</f>
        <v>0</v>
      </c>
      <c r="C1244" s="288">
        <f>DSDV!K1249</f>
        <v>0</v>
      </c>
      <c r="D1244" s="289">
        <f>DSDV!W1249</f>
        <v>0</v>
      </c>
    </row>
    <row r="1245" spans="1:4">
      <c r="A1245">
        <f>DSDV!B1250</f>
        <v>0</v>
      </c>
      <c r="B1245">
        <f>DSDV!G1250</f>
        <v>0</v>
      </c>
      <c r="C1245" s="288">
        <f>DSDV!K1250</f>
        <v>0</v>
      </c>
      <c r="D1245" s="289">
        <f>DSDV!W1250</f>
        <v>0</v>
      </c>
    </row>
    <row r="1246" spans="1:4">
      <c r="A1246">
        <f>DSDV!B1251</f>
        <v>0</v>
      </c>
      <c r="B1246">
        <f>DSDV!G1251</f>
        <v>0</v>
      </c>
      <c r="C1246" s="288">
        <f>DSDV!K1251</f>
        <v>0</v>
      </c>
      <c r="D1246" s="289">
        <f>DSDV!W1251</f>
        <v>0</v>
      </c>
    </row>
    <row r="1247" spans="1:4">
      <c r="A1247">
        <f>DSDV!B1252</f>
        <v>0</v>
      </c>
      <c r="B1247">
        <f>DSDV!G1252</f>
        <v>0</v>
      </c>
      <c r="C1247" s="288">
        <f>DSDV!K1252</f>
        <v>0</v>
      </c>
      <c r="D1247" s="289">
        <f>DSDV!W1252</f>
        <v>0</v>
      </c>
    </row>
    <row r="1248" spans="1:4">
      <c r="A1248">
        <f>DSDV!B1253</f>
        <v>0</v>
      </c>
      <c r="B1248">
        <f>DSDV!G1253</f>
        <v>0</v>
      </c>
      <c r="C1248" s="288">
        <f>DSDV!K1253</f>
        <v>0</v>
      </c>
      <c r="D1248" s="289">
        <f>DSDV!W1253</f>
        <v>0</v>
      </c>
    </row>
    <row r="1249" spans="1:4">
      <c r="A1249">
        <f>DSDV!B1254</f>
        <v>0</v>
      </c>
      <c r="B1249">
        <f>DSDV!G1254</f>
        <v>0</v>
      </c>
      <c r="C1249" s="288">
        <f>DSDV!K1254</f>
        <v>0</v>
      </c>
      <c r="D1249" s="289">
        <f>DSDV!W1254</f>
        <v>0</v>
      </c>
    </row>
    <row r="1250" spans="1:4">
      <c r="A1250">
        <f>DSDV!B1255</f>
        <v>0</v>
      </c>
      <c r="B1250">
        <f>DSDV!G1255</f>
        <v>0</v>
      </c>
      <c r="C1250" s="288">
        <f>DSDV!K1255</f>
        <v>0</v>
      </c>
      <c r="D1250" s="289">
        <f>DSDV!W1255</f>
        <v>0</v>
      </c>
    </row>
    <row r="1251" spans="1:4">
      <c r="A1251">
        <f>DSDV!B1256</f>
        <v>0</v>
      </c>
      <c r="B1251">
        <f>DSDV!G1256</f>
        <v>0</v>
      </c>
      <c r="C1251" s="288">
        <f>DSDV!K1256</f>
        <v>0</v>
      </c>
      <c r="D1251" s="289">
        <f>DSDV!W1256</f>
        <v>0</v>
      </c>
    </row>
    <row r="1252" spans="1:4">
      <c r="A1252">
        <f>DSDV!B1257</f>
        <v>0</v>
      </c>
      <c r="B1252">
        <f>DSDV!G1257</f>
        <v>0</v>
      </c>
      <c r="C1252" s="288">
        <f>DSDV!K1257</f>
        <v>0</v>
      </c>
      <c r="D1252" s="289">
        <f>DSDV!W1257</f>
        <v>0</v>
      </c>
    </row>
    <row r="1253" spans="1:4">
      <c r="A1253">
        <f>DSDV!B1258</f>
        <v>0</v>
      </c>
      <c r="B1253">
        <f>DSDV!G1258</f>
        <v>0</v>
      </c>
      <c r="C1253" s="288">
        <f>DSDV!K1258</f>
        <v>0</v>
      </c>
      <c r="D1253" s="289">
        <f>DSDV!W1258</f>
        <v>0</v>
      </c>
    </row>
    <row r="1254" spans="1:4">
      <c r="A1254">
        <f>DSDV!B1259</f>
        <v>0</v>
      </c>
      <c r="B1254">
        <f>DSDV!G1259</f>
        <v>0</v>
      </c>
      <c r="C1254" s="288">
        <f>DSDV!K1259</f>
        <v>0</v>
      </c>
      <c r="D1254" s="289">
        <f>DSDV!W1259</f>
        <v>0</v>
      </c>
    </row>
    <row r="1255" spans="1:4">
      <c r="A1255">
        <f>DSDV!B1260</f>
        <v>0</v>
      </c>
      <c r="B1255">
        <f>DSDV!G1260</f>
        <v>0</v>
      </c>
      <c r="C1255" s="288">
        <f>DSDV!K1260</f>
        <v>0</v>
      </c>
      <c r="D1255" s="289">
        <f>DSDV!W1260</f>
        <v>0</v>
      </c>
    </row>
    <row r="1256" spans="1:4">
      <c r="A1256">
        <f>DSDV!B1261</f>
        <v>0</v>
      </c>
      <c r="B1256">
        <f>DSDV!G1261</f>
        <v>0</v>
      </c>
      <c r="C1256" s="288">
        <f>DSDV!K1261</f>
        <v>0</v>
      </c>
      <c r="D1256" s="289">
        <f>DSDV!W1261</f>
        <v>0</v>
      </c>
    </row>
    <row r="1257" spans="1:4">
      <c r="A1257">
        <f>DSDV!B1262</f>
        <v>0</v>
      </c>
      <c r="B1257">
        <f>DSDV!G1262</f>
        <v>0</v>
      </c>
      <c r="C1257" s="288">
        <f>DSDV!K1262</f>
        <v>0</v>
      </c>
      <c r="D1257" s="289">
        <f>DSDV!W1262</f>
        <v>0</v>
      </c>
    </row>
    <row r="1258" spans="1:4">
      <c r="A1258">
        <f>DSDV!B1263</f>
        <v>0</v>
      </c>
      <c r="B1258">
        <f>DSDV!G1263</f>
        <v>0</v>
      </c>
      <c r="C1258" s="288">
        <f>DSDV!K1263</f>
        <v>0</v>
      </c>
      <c r="D1258" s="289">
        <f>DSDV!W1263</f>
        <v>0</v>
      </c>
    </row>
    <row r="1259" spans="1:4">
      <c r="A1259">
        <f>DSDV!B1264</f>
        <v>0</v>
      </c>
      <c r="B1259">
        <f>DSDV!G1264</f>
        <v>0</v>
      </c>
      <c r="C1259" s="288">
        <f>DSDV!K1264</f>
        <v>0</v>
      </c>
      <c r="D1259" s="289">
        <f>DSDV!W1264</f>
        <v>0</v>
      </c>
    </row>
    <row r="1260" spans="1:4">
      <c r="A1260">
        <f>DSDV!B1265</f>
        <v>0</v>
      </c>
      <c r="B1260">
        <f>DSDV!G1265</f>
        <v>0</v>
      </c>
      <c r="C1260" s="288">
        <f>DSDV!K1265</f>
        <v>0</v>
      </c>
      <c r="D1260" s="289">
        <f>DSDV!W1265</f>
        <v>0</v>
      </c>
    </row>
    <row r="1261" spans="1:4">
      <c r="A1261">
        <f>DSDV!B1266</f>
        <v>0</v>
      </c>
      <c r="B1261">
        <f>DSDV!G1266</f>
        <v>0</v>
      </c>
      <c r="C1261" s="288">
        <f>DSDV!K1266</f>
        <v>0</v>
      </c>
      <c r="D1261" s="289">
        <f>DSDV!W1266</f>
        <v>0</v>
      </c>
    </row>
    <row r="1262" spans="1:4">
      <c r="A1262">
        <f>DSDV!B1267</f>
        <v>0</v>
      </c>
      <c r="B1262">
        <f>DSDV!G1267</f>
        <v>0</v>
      </c>
      <c r="C1262" s="288">
        <f>DSDV!K1267</f>
        <v>0</v>
      </c>
      <c r="D1262" s="289">
        <f>DSDV!W1267</f>
        <v>0</v>
      </c>
    </row>
    <row r="1263" spans="1:4">
      <c r="A1263">
        <f>DSDV!B1268</f>
        <v>0</v>
      </c>
      <c r="B1263">
        <f>DSDV!G1268</f>
        <v>0</v>
      </c>
      <c r="C1263" s="288">
        <f>DSDV!K1268</f>
        <v>0</v>
      </c>
      <c r="D1263" s="289">
        <f>DSDV!W1268</f>
        <v>0</v>
      </c>
    </row>
    <row r="1264" spans="1:4">
      <c r="A1264">
        <f>DSDV!B1269</f>
        <v>0</v>
      </c>
      <c r="B1264">
        <f>DSDV!G1269</f>
        <v>0</v>
      </c>
      <c r="C1264" s="288">
        <f>DSDV!K1269</f>
        <v>0</v>
      </c>
      <c r="D1264" s="289">
        <f>DSDV!W1269</f>
        <v>0</v>
      </c>
    </row>
    <row r="1265" spans="1:4">
      <c r="A1265">
        <f>DSDV!B1270</f>
        <v>0</v>
      </c>
      <c r="B1265">
        <f>DSDV!G1270</f>
        <v>0</v>
      </c>
      <c r="C1265" s="288">
        <f>DSDV!K1270</f>
        <v>0</v>
      </c>
      <c r="D1265" s="289">
        <f>DSDV!W1270</f>
        <v>0</v>
      </c>
    </row>
    <row r="1266" spans="1:4">
      <c r="A1266">
        <f>DSDV!B1271</f>
        <v>0</v>
      </c>
      <c r="B1266">
        <f>DSDV!G1271</f>
        <v>0</v>
      </c>
      <c r="C1266" s="288">
        <f>DSDV!K1271</f>
        <v>0</v>
      </c>
      <c r="D1266" s="289">
        <f>DSDV!W1271</f>
        <v>0</v>
      </c>
    </row>
    <row r="1267" spans="1:4">
      <c r="A1267">
        <f>DSDV!B1272</f>
        <v>0</v>
      </c>
      <c r="B1267">
        <f>DSDV!G1272</f>
        <v>0</v>
      </c>
      <c r="C1267" s="288">
        <f>DSDV!K1272</f>
        <v>0</v>
      </c>
      <c r="D1267" s="289">
        <f>DSDV!W1272</f>
        <v>0</v>
      </c>
    </row>
    <row r="1268" spans="1:4">
      <c r="A1268">
        <f>DSDV!B1273</f>
        <v>0</v>
      </c>
      <c r="B1268">
        <f>DSDV!G1273</f>
        <v>0</v>
      </c>
      <c r="C1268" s="288">
        <f>DSDV!K1273</f>
        <v>0</v>
      </c>
      <c r="D1268" s="289">
        <f>DSDV!W1273</f>
        <v>0</v>
      </c>
    </row>
    <row r="1269" spans="1:4">
      <c r="A1269">
        <f>DSDV!B1274</f>
        <v>0</v>
      </c>
      <c r="B1269">
        <f>DSDV!G1274</f>
        <v>0</v>
      </c>
      <c r="C1269" s="288">
        <f>DSDV!K1274</f>
        <v>0</v>
      </c>
      <c r="D1269" s="289">
        <f>DSDV!W1274</f>
        <v>0</v>
      </c>
    </row>
    <row r="1270" spans="1:4">
      <c r="A1270">
        <f>DSDV!B1275</f>
        <v>0</v>
      </c>
      <c r="B1270">
        <f>DSDV!G1275</f>
        <v>0</v>
      </c>
      <c r="C1270" s="288">
        <f>DSDV!K1275</f>
        <v>0</v>
      </c>
      <c r="D1270" s="289">
        <f>DSDV!W1275</f>
        <v>0</v>
      </c>
    </row>
    <row r="1271" spans="1:4">
      <c r="A1271">
        <f>DSDV!B1276</f>
        <v>0</v>
      </c>
      <c r="B1271">
        <f>DSDV!G1276</f>
        <v>0</v>
      </c>
      <c r="C1271" s="288">
        <f>DSDV!K1276</f>
        <v>0</v>
      </c>
      <c r="D1271" s="289">
        <f>DSDV!W1276</f>
        <v>0</v>
      </c>
    </row>
    <row r="1272" spans="1:4">
      <c r="A1272">
        <f>DSDV!B1277</f>
        <v>0</v>
      </c>
      <c r="B1272">
        <f>DSDV!G1277</f>
        <v>0</v>
      </c>
      <c r="C1272" s="288">
        <f>DSDV!K1277</f>
        <v>0</v>
      </c>
      <c r="D1272" s="289">
        <f>DSDV!W1277</f>
        <v>0</v>
      </c>
    </row>
    <row r="1273" spans="1:4">
      <c r="A1273">
        <f>DSDV!B1278</f>
        <v>0</v>
      </c>
      <c r="B1273">
        <f>DSDV!G1278</f>
        <v>0</v>
      </c>
      <c r="C1273" s="288">
        <f>DSDV!K1278</f>
        <v>0</v>
      </c>
      <c r="D1273" s="289">
        <f>DSDV!W1278</f>
        <v>0</v>
      </c>
    </row>
    <row r="1274" spans="1:4">
      <c r="A1274">
        <f>DSDV!B1279</f>
        <v>0</v>
      </c>
      <c r="B1274">
        <f>DSDV!G1279</f>
        <v>0</v>
      </c>
      <c r="C1274" s="288">
        <f>DSDV!K1279</f>
        <v>0</v>
      </c>
      <c r="D1274" s="289">
        <f>DSDV!W1279</f>
        <v>0</v>
      </c>
    </row>
    <row r="1275" spans="1:4">
      <c r="A1275">
        <f>DSDV!B1280</f>
        <v>0</v>
      </c>
      <c r="B1275">
        <f>DSDV!G1280</f>
        <v>0</v>
      </c>
      <c r="C1275" s="288">
        <f>DSDV!K1280</f>
        <v>0</v>
      </c>
      <c r="D1275" s="289">
        <f>DSDV!W1280</f>
        <v>0</v>
      </c>
    </row>
    <row r="1276" spans="1:4">
      <c r="A1276">
        <f>DSDV!B1281</f>
        <v>0</v>
      </c>
      <c r="B1276">
        <f>DSDV!G1281</f>
        <v>0</v>
      </c>
      <c r="C1276" s="288">
        <f>DSDV!K1281</f>
        <v>0</v>
      </c>
      <c r="D1276" s="289">
        <f>DSDV!W1281</f>
        <v>0</v>
      </c>
    </row>
    <row r="1277" spans="1:4">
      <c r="A1277">
        <f>DSDV!B1282</f>
        <v>0</v>
      </c>
      <c r="B1277">
        <f>DSDV!G1282</f>
        <v>0</v>
      </c>
      <c r="C1277" s="288">
        <f>DSDV!K1282</f>
        <v>0</v>
      </c>
      <c r="D1277" s="289">
        <f>DSDV!W1282</f>
        <v>0</v>
      </c>
    </row>
    <row r="1278" spans="1:4">
      <c r="A1278">
        <f>DSDV!B1283</f>
        <v>0</v>
      </c>
      <c r="B1278">
        <f>DSDV!G1283</f>
        <v>0</v>
      </c>
      <c r="C1278" s="288">
        <f>DSDV!K1283</f>
        <v>0</v>
      </c>
      <c r="D1278" s="289">
        <f>DSDV!W1283</f>
        <v>0</v>
      </c>
    </row>
    <row r="1279" spans="1:4">
      <c r="A1279">
        <f>DSDV!B1284</f>
        <v>0</v>
      </c>
      <c r="B1279">
        <f>DSDV!G1284</f>
        <v>0</v>
      </c>
      <c r="C1279" s="288">
        <f>DSDV!K1284</f>
        <v>0</v>
      </c>
      <c r="D1279" s="289">
        <f>DSDV!W1284</f>
        <v>0</v>
      </c>
    </row>
    <row r="1280" spans="1:4">
      <c r="A1280">
        <f>DSDV!B1285</f>
        <v>0</v>
      </c>
      <c r="B1280">
        <f>DSDV!G1285</f>
        <v>0</v>
      </c>
      <c r="C1280" s="288">
        <f>DSDV!K1285</f>
        <v>0</v>
      </c>
      <c r="D1280" s="289">
        <f>DSDV!W1285</f>
        <v>0</v>
      </c>
    </row>
    <row r="1281" spans="1:4">
      <c r="A1281">
        <f>DSDV!B1286</f>
        <v>0</v>
      </c>
      <c r="B1281">
        <f>DSDV!G1286</f>
        <v>0</v>
      </c>
      <c r="C1281" s="288">
        <f>DSDV!K1286</f>
        <v>0</v>
      </c>
      <c r="D1281" s="289">
        <f>DSDV!W1286</f>
        <v>0</v>
      </c>
    </row>
    <row r="1282" spans="1:4">
      <c r="A1282">
        <f>DSDV!B1287</f>
        <v>0</v>
      </c>
      <c r="B1282">
        <f>DSDV!G1287</f>
        <v>0</v>
      </c>
      <c r="C1282" s="288">
        <f>DSDV!K1287</f>
        <v>0</v>
      </c>
      <c r="D1282" s="289">
        <f>DSDV!W1287</f>
        <v>0</v>
      </c>
    </row>
    <row r="1283" spans="1:4">
      <c r="A1283">
        <f>DSDV!B1288</f>
        <v>0</v>
      </c>
      <c r="B1283">
        <f>DSDV!G1288</f>
        <v>0</v>
      </c>
      <c r="C1283" s="288">
        <f>DSDV!K1288</f>
        <v>0</v>
      </c>
      <c r="D1283" s="289">
        <f>DSDV!W1288</f>
        <v>0</v>
      </c>
    </row>
    <row r="1284" spans="1:4">
      <c r="A1284">
        <f>DSDV!B1289</f>
        <v>0</v>
      </c>
      <c r="B1284">
        <f>DSDV!G1289</f>
        <v>0</v>
      </c>
      <c r="C1284" s="288">
        <f>DSDV!K1289</f>
        <v>0</v>
      </c>
      <c r="D1284" s="289">
        <f>DSDV!W1289</f>
        <v>0</v>
      </c>
    </row>
    <row r="1285" spans="1:4">
      <c r="A1285">
        <f>DSDV!B1290</f>
        <v>0</v>
      </c>
      <c r="B1285">
        <f>DSDV!G1290</f>
        <v>0</v>
      </c>
      <c r="C1285" s="288">
        <f>DSDV!K1290</f>
        <v>0</v>
      </c>
      <c r="D1285" s="289">
        <f>DSDV!W1290</f>
        <v>0</v>
      </c>
    </row>
    <row r="1286" spans="1:4">
      <c r="A1286">
        <f>DSDV!B1291</f>
        <v>0</v>
      </c>
      <c r="B1286">
        <f>DSDV!G1291</f>
        <v>0</v>
      </c>
      <c r="C1286" s="288">
        <f>DSDV!K1291</f>
        <v>0</v>
      </c>
      <c r="D1286" s="289">
        <f>DSDV!W1291</f>
        <v>0</v>
      </c>
    </row>
    <row r="1287" spans="1:4">
      <c r="A1287">
        <f>DSDV!B1292</f>
        <v>0</v>
      </c>
      <c r="B1287">
        <f>DSDV!G1292</f>
        <v>0</v>
      </c>
      <c r="C1287" s="288">
        <f>DSDV!K1292</f>
        <v>0</v>
      </c>
      <c r="D1287" s="289">
        <f>DSDV!W1292</f>
        <v>0</v>
      </c>
    </row>
    <row r="1288" spans="1:4">
      <c r="A1288">
        <f>DSDV!B1293</f>
        <v>0</v>
      </c>
      <c r="B1288">
        <f>DSDV!G1293</f>
        <v>0</v>
      </c>
      <c r="C1288" s="288">
        <f>DSDV!K1293</f>
        <v>0</v>
      </c>
      <c r="D1288" s="289">
        <f>DSDV!W1293</f>
        <v>0</v>
      </c>
    </row>
    <row r="1289" spans="1:4">
      <c r="A1289">
        <f>DSDV!B1294</f>
        <v>0</v>
      </c>
      <c r="B1289">
        <f>DSDV!G1294</f>
        <v>0</v>
      </c>
      <c r="C1289" s="288">
        <f>DSDV!K1294</f>
        <v>0</v>
      </c>
      <c r="D1289" s="289">
        <f>DSDV!W1294</f>
        <v>0</v>
      </c>
    </row>
    <row r="1290" spans="1:4">
      <c r="A1290">
        <f>DSDV!B1295</f>
        <v>0</v>
      </c>
      <c r="B1290">
        <f>DSDV!G1295</f>
        <v>0</v>
      </c>
      <c r="C1290" s="288">
        <f>DSDV!K1295</f>
        <v>0</v>
      </c>
      <c r="D1290" s="289">
        <f>DSDV!W1295</f>
        <v>0</v>
      </c>
    </row>
    <row r="1291" spans="1:4">
      <c r="A1291">
        <f>DSDV!B1296</f>
        <v>0</v>
      </c>
      <c r="B1291">
        <f>DSDV!G1296</f>
        <v>0</v>
      </c>
      <c r="C1291" s="288">
        <f>DSDV!K1296</f>
        <v>0</v>
      </c>
      <c r="D1291" s="289">
        <f>DSDV!W1296</f>
        <v>0</v>
      </c>
    </row>
    <row r="1292" spans="1:4">
      <c r="A1292">
        <f>DSDV!B1297</f>
        <v>0</v>
      </c>
      <c r="B1292">
        <f>DSDV!G1297</f>
        <v>0</v>
      </c>
      <c r="C1292" s="288">
        <f>DSDV!K1297</f>
        <v>0</v>
      </c>
      <c r="D1292" s="289">
        <f>DSDV!W1297</f>
        <v>0</v>
      </c>
    </row>
    <row r="1293" spans="1:4">
      <c r="A1293">
        <f>DSDV!B1298</f>
        <v>0</v>
      </c>
      <c r="B1293">
        <f>DSDV!G1298</f>
        <v>0</v>
      </c>
      <c r="C1293" s="288">
        <f>DSDV!K1298</f>
        <v>0</v>
      </c>
      <c r="D1293" s="289">
        <f>DSDV!W1298</f>
        <v>0</v>
      </c>
    </row>
    <row r="1294" spans="1:4">
      <c r="A1294">
        <f>DSDV!B1299</f>
        <v>0</v>
      </c>
      <c r="B1294">
        <f>DSDV!G1299</f>
        <v>0</v>
      </c>
      <c r="C1294" s="288">
        <f>DSDV!K1299</f>
        <v>0</v>
      </c>
      <c r="D1294" s="289">
        <f>DSDV!W1299</f>
        <v>0</v>
      </c>
    </row>
    <row r="1295" spans="1:4">
      <c r="A1295">
        <f>DSDV!B1300</f>
        <v>0</v>
      </c>
      <c r="B1295">
        <f>DSDV!G1300</f>
        <v>0</v>
      </c>
      <c r="C1295" s="288">
        <f>DSDV!K1300</f>
        <v>0</v>
      </c>
      <c r="D1295" s="289">
        <f>DSDV!W1300</f>
        <v>0</v>
      </c>
    </row>
    <row r="1296" spans="1:4">
      <c r="A1296">
        <f>DSDV!B1301</f>
        <v>0</v>
      </c>
      <c r="B1296">
        <f>DSDV!G1301</f>
        <v>0</v>
      </c>
      <c r="C1296" s="288">
        <f>DSDV!K1301</f>
        <v>0</v>
      </c>
      <c r="D1296" s="289">
        <f>DSDV!W1301</f>
        <v>0</v>
      </c>
    </row>
    <row r="1297" spans="1:4">
      <c r="A1297">
        <f>DSDV!B1302</f>
        <v>0</v>
      </c>
      <c r="B1297">
        <f>DSDV!G1302</f>
        <v>0</v>
      </c>
      <c r="C1297" s="288">
        <f>DSDV!K1302</f>
        <v>0</v>
      </c>
      <c r="D1297" s="289">
        <f>DSDV!W1302</f>
        <v>0</v>
      </c>
    </row>
    <row r="1298" spans="1:4">
      <c r="A1298">
        <f>DSDV!B1303</f>
        <v>0</v>
      </c>
      <c r="B1298">
        <f>DSDV!G1303</f>
        <v>0</v>
      </c>
      <c r="C1298" s="288">
        <f>DSDV!K1303</f>
        <v>0</v>
      </c>
      <c r="D1298" s="289">
        <f>DSDV!W1303</f>
        <v>0</v>
      </c>
    </row>
    <row r="1299" spans="1:4">
      <c r="A1299">
        <f>DSDV!B1304</f>
        <v>0</v>
      </c>
      <c r="B1299">
        <f>DSDV!G1304</f>
        <v>0</v>
      </c>
      <c r="C1299" s="288">
        <f>DSDV!K1304</f>
        <v>0</v>
      </c>
      <c r="D1299" s="289">
        <f>DSDV!W1304</f>
        <v>0</v>
      </c>
    </row>
    <row r="1300" spans="1:4">
      <c r="A1300">
        <f>DSDV!B1305</f>
        <v>0</v>
      </c>
      <c r="B1300">
        <f>DSDV!G1305</f>
        <v>0</v>
      </c>
      <c r="C1300" s="288">
        <f>DSDV!K1305</f>
        <v>0</v>
      </c>
      <c r="D1300" s="289">
        <f>DSDV!W1305</f>
        <v>0</v>
      </c>
    </row>
    <row r="1301" spans="1:4">
      <c r="A1301">
        <f>DSDV!B1306</f>
        <v>0</v>
      </c>
      <c r="B1301">
        <f>DSDV!G1306</f>
        <v>0</v>
      </c>
      <c r="C1301" s="288">
        <f>DSDV!K1306</f>
        <v>0</v>
      </c>
      <c r="D1301" s="289">
        <f>DSDV!W1306</f>
        <v>0</v>
      </c>
    </row>
    <row r="1302" spans="1:4">
      <c r="A1302">
        <f>DSDV!B1307</f>
        <v>0</v>
      </c>
      <c r="B1302">
        <f>DSDV!G1307</f>
        <v>0</v>
      </c>
      <c r="C1302" s="288">
        <f>DSDV!K1307</f>
        <v>0</v>
      </c>
      <c r="D1302" s="289">
        <f>DSDV!W1307</f>
        <v>0</v>
      </c>
    </row>
    <row r="1303" spans="1:4">
      <c r="A1303">
        <f>DSDV!B1308</f>
        <v>0</v>
      </c>
      <c r="B1303">
        <f>DSDV!G1308</f>
        <v>0</v>
      </c>
      <c r="C1303" s="288">
        <f>DSDV!K1308</f>
        <v>0</v>
      </c>
      <c r="D1303" s="289">
        <f>DSDV!W1308</f>
        <v>0</v>
      </c>
    </row>
    <row r="1304" spans="1:4">
      <c r="A1304">
        <f>DSDV!B1309</f>
        <v>0</v>
      </c>
      <c r="B1304">
        <f>DSDV!G1309</f>
        <v>0</v>
      </c>
      <c r="C1304" s="288">
        <f>DSDV!K1309</f>
        <v>0</v>
      </c>
      <c r="D1304" s="289">
        <f>DSDV!W1309</f>
        <v>0</v>
      </c>
    </row>
    <row r="1305" spans="1:4">
      <c r="A1305">
        <f>DSDV!B1310</f>
        <v>0</v>
      </c>
      <c r="B1305">
        <f>DSDV!G1310</f>
        <v>0</v>
      </c>
      <c r="C1305" s="288">
        <f>DSDV!K1310</f>
        <v>0</v>
      </c>
      <c r="D1305" s="289">
        <f>DSDV!W1310</f>
        <v>0</v>
      </c>
    </row>
    <row r="1306" spans="1:4">
      <c r="A1306">
        <f>DSDV!B1311</f>
        <v>0</v>
      </c>
      <c r="B1306">
        <f>DSDV!G1311</f>
        <v>0</v>
      </c>
      <c r="C1306" s="288">
        <f>DSDV!K1311</f>
        <v>0</v>
      </c>
      <c r="D1306" s="289">
        <f>DSDV!W1311</f>
        <v>0</v>
      </c>
    </row>
    <row r="1307" spans="1:4">
      <c r="A1307">
        <f>DSDV!B1312</f>
        <v>0</v>
      </c>
      <c r="B1307">
        <f>DSDV!G1312</f>
        <v>0</v>
      </c>
      <c r="C1307" s="288">
        <f>DSDV!K1312</f>
        <v>0</v>
      </c>
      <c r="D1307" s="289">
        <f>DSDV!W1312</f>
        <v>0</v>
      </c>
    </row>
    <row r="1308" spans="1:4">
      <c r="A1308">
        <f>DSDV!B1313</f>
        <v>0</v>
      </c>
      <c r="B1308">
        <f>DSDV!G1313</f>
        <v>0</v>
      </c>
      <c r="C1308" s="288">
        <f>DSDV!K1313</f>
        <v>0</v>
      </c>
      <c r="D1308" s="289">
        <f>DSDV!W1313</f>
        <v>0</v>
      </c>
    </row>
    <row r="1309" spans="1:4">
      <c r="A1309">
        <f>DSDV!B1314</f>
        <v>0</v>
      </c>
      <c r="B1309">
        <f>DSDV!G1314</f>
        <v>0</v>
      </c>
      <c r="C1309" s="288">
        <f>DSDV!K1314</f>
        <v>0</v>
      </c>
      <c r="D1309" s="289">
        <f>DSDV!W1314</f>
        <v>0</v>
      </c>
    </row>
    <row r="1310" spans="1:4">
      <c r="A1310">
        <f>DSDV!B1315</f>
        <v>0</v>
      </c>
      <c r="B1310">
        <f>DSDV!G1315</f>
        <v>0</v>
      </c>
      <c r="C1310" s="288">
        <f>DSDV!K1315</f>
        <v>0</v>
      </c>
      <c r="D1310" s="289">
        <f>DSDV!W1315</f>
        <v>0</v>
      </c>
    </row>
    <row r="1311" spans="1:4">
      <c r="A1311">
        <f>DSDV!B1316</f>
        <v>0</v>
      </c>
      <c r="B1311">
        <f>DSDV!G1316</f>
        <v>0</v>
      </c>
      <c r="C1311" s="288">
        <f>DSDV!K1316</f>
        <v>0</v>
      </c>
      <c r="D1311" s="289">
        <f>DSDV!W1316</f>
        <v>0</v>
      </c>
    </row>
    <row r="1312" spans="1:4">
      <c r="A1312">
        <f>DSDV!B1317</f>
        <v>0</v>
      </c>
      <c r="B1312">
        <f>DSDV!G1317</f>
        <v>0</v>
      </c>
      <c r="C1312" s="288">
        <f>DSDV!K1317</f>
        <v>0</v>
      </c>
      <c r="D1312" s="289">
        <f>DSDV!W1317</f>
        <v>0</v>
      </c>
    </row>
    <row r="1313" spans="1:4">
      <c r="A1313">
        <f>DSDV!B1318</f>
        <v>0</v>
      </c>
      <c r="B1313">
        <f>DSDV!G1318</f>
        <v>0</v>
      </c>
      <c r="C1313" s="288">
        <f>DSDV!K1318</f>
        <v>0</v>
      </c>
      <c r="D1313" s="289">
        <f>DSDV!W1318</f>
        <v>0</v>
      </c>
    </row>
    <row r="1314" spans="1:4">
      <c r="A1314">
        <f>DSDV!B1319</f>
        <v>0</v>
      </c>
      <c r="B1314">
        <f>DSDV!G1319</f>
        <v>0</v>
      </c>
      <c r="C1314" s="288">
        <f>DSDV!K1319</f>
        <v>0</v>
      </c>
      <c r="D1314" s="289">
        <f>DSDV!W1319</f>
        <v>0</v>
      </c>
    </row>
    <row r="1315" spans="1:4">
      <c r="A1315">
        <f>DSDV!B1320</f>
        <v>0</v>
      </c>
      <c r="B1315">
        <f>DSDV!G1320</f>
        <v>0</v>
      </c>
      <c r="C1315" s="288">
        <f>DSDV!K1320</f>
        <v>0</v>
      </c>
      <c r="D1315" s="289">
        <f>DSDV!W1320</f>
        <v>0</v>
      </c>
    </row>
    <row r="1316" spans="1:4">
      <c r="A1316">
        <f>DSDV!B1321</f>
        <v>0</v>
      </c>
      <c r="B1316">
        <f>DSDV!G1321</f>
        <v>0</v>
      </c>
      <c r="C1316" s="288">
        <f>DSDV!K1321</f>
        <v>0</v>
      </c>
      <c r="D1316" s="289">
        <f>DSDV!W1321</f>
        <v>0</v>
      </c>
    </row>
    <row r="1317" spans="1:4">
      <c r="A1317">
        <f>DSDV!B1322</f>
        <v>0</v>
      </c>
      <c r="B1317">
        <f>DSDV!G1322</f>
        <v>0</v>
      </c>
      <c r="C1317" s="288">
        <f>DSDV!K1322</f>
        <v>0</v>
      </c>
      <c r="D1317" s="289">
        <f>DSDV!W1322</f>
        <v>0</v>
      </c>
    </row>
    <row r="1318" spans="1:4">
      <c r="A1318">
        <f>DSDV!B1323</f>
        <v>0</v>
      </c>
      <c r="B1318">
        <f>DSDV!G1323</f>
        <v>0</v>
      </c>
      <c r="C1318" s="288">
        <f>DSDV!K1323</f>
        <v>0</v>
      </c>
      <c r="D1318" s="289">
        <f>DSDV!W1323</f>
        <v>0</v>
      </c>
    </row>
    <row r="1319" spans="1:4">
      <c r="A1319">
        <f>DSDV!B1324</f>
        <v>0</v>
      </c>
      <c r="B1319">
        <f>DSDV!G1324</f>
        <v>0</v>
      </c>
      <c r="C1319" s="288">
        <f>DSDV!K1324</f>
        <v>0</v>
      </c>
      <c r="D1319" s="289">
        <f>DSDV!W1324</f>
        <v>0</v>
      </c>
    </row>
    <row r="1320" spans="1:4">
      <c r="A1320">
        <f>DSDV!B1325</f>
        <v>0</v>
      </c>
      <c r="B1320">
        <f>DSDV!G1325</f>
        <v>0</v>
      </c>
      <c r="C1320" s="288">
        <f>DSDV!K1325</f>
        <v>0</v>
      </c>
      <c r="D1320" s="289">
        <f>DSDV!W1325</f>
        <v>0</v>
      </c>
    </row>
    <row r="1321" spans="1:4">
      <c r="A1321">
        <f>DSDV!B1326</f>
        <v>0</v>
      </c>
      <c r="B1321">
        <f>DSDV!G1326</f>
        <v>0</v>
      </c>
      <c r="C1321" s="288">
        <f>DSDV!K1326</f>
        <v>0</v>
      </c>
      <c r="D1321" s="289">
        <f>DSDV!W1326</f>
        <v>0</v>
      </c>
    </row>
    <row r="1322" spans="1:4">
      <c r="A1322">
        <f>DSDV!B1327</f>
        <v>0</v>
      </c>
      <c r="B1322">
        <f>DSDV!G1327</f>
        <v>0</v>
      </c>
      <c r="C1322" s="288">
        <f>DSDV!K1327</f>
        <v>0</v>
      </c>
      <c r="D1322" s="289">
        <f>DSDV!W1327</f>
        <v>0</v>
      </c>
    </row>
    <row r="1323" spans="1:4">
      <c r="A1323">
        <f>DSDV!B1328</f>
        <v>0</v>
      </c>
      <c r="B1323">
        <f>DSDV!G1328</f>
        <v>0</v>
      </c>
      <c r="C1323" s="288">
        <f>DSDV!K1328</f>
        <v>0</v>
      </c>
      <c r="D1323" s="289">
        <f>DSDV!W1328</f>
        <v>0</v>
      </c>
    </row>
    <row r="1324" spans="1:4">
      <c r="A1324">
        <f>DSDV!B1329</f>
        <v>0</v>
      </c>
      <c r="B1324">
        <f>DSDV!G1329</f>
        <v>0</v>
      </c>
      <c r="C1324" s="288">
        <f>DSDV!K1329</f>
        <v>0</v>
      </c>
      <c r="D1324" s="289">
        <f>DSDV!W1329</f>
        <v>0</v>
      </c>
    </row>
    <row r="1325" spans="1:4">
      <c r="A1325">
        <f>DSDV!B1330</f>
        <v>0</v>
      </c>
      <c r="B1325">
        <f>DSDV!G1330</f>
        <v>0</v>
      </c>
      <c r="C1325" s="288">
        <f>DSDV!K1330</f>
        <v>0</v>
      </c>
      <c r="D1325" s="289">
        <f>DSDV!W1330</f>
        <v>0</v>
      </c>
    </row>
    <row r="1326" spans="1:4">
      <c r="A1326">
        <f>DSDV!B1331</f>
        <v>0</v>
      </c>
      <c r="B1326">
        <f>DSDV!G1331</f>
        <v>0</v>
      </c>
      <c r="C1326" s="288">
        <f>DSDV!K1331</f>
        <v>0</v>
      </c>
      <c r="D1326" s="289">
        <f>DSDV!W1331</f>
        <v>0</v>
      </c>
    </row>
    <row r="1327" spans="1:4">
      <c r="A1327">
        <f>DSDV!B1332</f>
        <v>0</v>
      </c>
      <c r="B1327">
        <f>DSDV!G1332</f>
        <v>0</v>
      </c>
      <c r="C1327" s="288">
        <f>DSDV!K1332</f>
        <v>0</v>
      </c>
      <c r="D1327" s="289">
        <f>DSDV!W1332</f>
        <v>0</v>
      </c>
    </row>
    <row r="1328" spans="1:4">
      <c r="A1328">
        <f>DSDV!B1333</f>
        <v>0</v>
      </c>
      <c r="B1328">
        <f>DSDV!G1333</f>
        <v>0</v>
      </c>
      <c r="C1328" s="288">
        <f>DSDV!K1333</f>
        <v>0</v>
      </c>
      <c r="D1328" s="289">
        <f>DSDV!W1333</f>
        <v>0</v>
      </c>
    </row>
    <row r="1329" spans="1:4">
      <c r="A1329">
        <f>DSDV!B1334</f>
        <v>0</v>
      </c>
      <c r="B1329">
        <f>DSDV!G1334</f>
        <v>0</v>
      </c>
      <c r="C1329" s="288">
        <f>DSDV!K1334</f>
        <v>0</v>
      </c>
      <c r="D1329" s="289">
        <f>DSDV!W1334</f>
        <v>0</v>
      </c>
    </row>
    <row r="1330" spans="1:4">
      <c r="A1330">
        <f>DSDV!B1335</f>
        <v>0</v>
      </c>
      <c r="B1330">
        <f>DSDV!G1335</f>
        <v>0</v>
      </c>
      <c r="C1330" s="288">
        <f>DSDV!K1335</f>
        <v>0</v>
      </c>
      <c r="D1330" s="289">
        <f>DSDV!W1335</f>
        <v>0</v>
      </c>
    </row>
    <row r="1331" spans="1:4">
      <c r="A1331">
        <f>DSDV!B1336</f>
        <v>0</v>
      </c>
      <c r="B1331">
        <f>DSDV!G1336</f>
        <v>0</v>
      </c>
      <c r="C1331" s="288">
        <f>DSDV!K1336</f>
        <v>0</v>
      </c>
      <c r="D1331" s="289">
        <f>DSDV!W1336</f>
        <v>0</v>
      </c>
    </row>
    <row r="1332" spans="1:4">
      <c r="A1332">
        <f>DSDV!B1337</f>
        <v>0</v>
      </c>
      <c r="B1332">
        <f>DSDV!G1337</f>
        <v>0</v>
      </c>
      <c r="C1332" s="288">
        <f>DSDV!K1337</f>
        <v>0</v>
      </c>
      <c r="D1332" s="289">
        <f>DSDV!W1337</f>
        <v>0</v>
      </c>
    </row>
    <row r="1333" spans="1:4">
      <c r="A1333">
        <f>DSDV!B1338</f>
        <v>0</v>
      </c>
      <c r="B1333">
        <f>DSDV!G1338</f>
        <v>0</v>
      </c>
      <c r="C1333" s="288">
        <f>DSDV!K1338</f>
        <v>0</v>
      </c>
      <c r="D1333" s="289">
        <f>DSDV!W1338</f>
        <v>0</v>
      </c>
    </row>
    <row r="1334" spans="1:4">
      <c r="A1334">
        <f>DSDV!B1339</f>
        <v>0</v>
      </c>
      <c r="B1334">
        <f>DSDV!G1339</f>
        <v>0</v>
      </c>
      <c r="C1334" s="288">
        <f>DSDV!K1339</f>
        <v>0</v>
      </c>
      <c r="D1334" s="289">
        <f>DSDV!W1339</f>
        <v>0</v>
      </c>
    </row>
    <row r="1335" spans="1:4">
      <c r="A1335">
        <f>DSDV!B1340</f>
        <v>0</v>
      </c>
      <c r="B1335">
        <f>DSDV!G1340</f>
        <v>0</v>
      </c>
      <c r="C1335" s="288">
        <f>DSDV!K1340</f>
        <v>0</v>
      </c>
      <c r="D1335" s="289">
        <f>DSDV!W1340</f>
        <v>0</v>
      </c>
    </row>
    <row r="1336" spans="1:4">
      <c r="A1336">
        <f>DSDV!B1341</f>
        <v>0</v>
      </c>
      <c r="B1336">
        <f>DSDV!G1341</f>
        <v>0</v>
      </c>
      <c r="C1336" s="288">
        <f>DSDV!K1341</f>
        <v>0</v>
      </c>
      <c r="D1336" s="289">
        <f>DSDV!W1341</f>
        <v>0</v>
      </c>
    </row>
    <row r="1337" spans="1:4">
      <c r="A1337">
        <f>DSDV!B1342</f>
        <v>0</v>
      </c>
      <c r="B1337">
        <f>DSDV!G1342</f>
        <v>0</v>
      </c>
      <c r="C1337" s="288">
        <f>DSDV!K1342</f>
        <v>0</v>
      </c>
      <c r="D1337" s="289">
        <f>DSDV!W1342</f>
        <v>0</v>
      </c>
    </row>
    <row r="1338" spans="1:4">
      <c r="A1338">
        <f>DSDV!B1343</f>
        <v>0</v>
      </c>
      <c r="B1338">
        <f>DSDV!G1343</f>
        <v>0</v>
      </c>
      <c r="C1338" s="288">
        <f>DSDV!K1343</f>
        <v>0</v>
      </c>
      <c r="D1338" s="289">
        <f>DSDV!W1343</f>
        <v>0</v>
      </c>
    </row>
    <row r="1339" spans="1:4">
      <c r="A1339">
        <f>DSDV!B1344</f>
        <v>0</v>
      </c>
      <c r="B1339">
        <f>DSDV!G1344</f>
        <v>0</v>
      </c>
      <c r="C1339" s="288">
        <f>DSDV!K1344</f>
        <v>0</v>
      </c>
      <c r="D1339" s="289">
        <f>DSDV!W1344</f>
        <v>0</v>
      </c>
    </row>
    <row r="1340" spans="1:4">
      <c r="A1340">
        <f>DSDV!B1345</f>
        <v>0</v>
      </c>
      <c r="B1340">
        <f>DSDV!G1345</f>
        <v>0</v>
      </c>
      <c r="C1340" s="288">
        <f>DSDV!K1345</f>
        <v>0</v>
      </c>
      <c r="D1340" s="289">
        <f>DSDV!W1345</f>
        <v>0</v>
      </c>
    </row>
    <row r="1341" spans="1:4">
      <c r="A1341">
        <f>DSDV!B1346</f>
        <v>0</v>
      </c>
      <c r="B1341">
        <f>DSDV!G1346</f>
        <v>0</v>
      </c>
      <c r="C1341" s="288">
        <f>DSDV!K1346</f>
        <v>0</v>
      </c>
      <c r="D1341" s="289">
        <f>DSDV!W1346</f>
        <v>0</v>
      </c>
    </row>
    <row r="1342" spans="1:4">
      <c r="A1342">
        <f>DSDV!B1347</f>
        <v>0</v>
      </c>
      <c r="B1342">
        <f>DSDV!G1347</f>
        <v>0</v>
      </c>
      <c r="C1342" s="288">
        <f>DSDV!K1347</f>
        <v>0</v>
      </c>
      <c r="D1342" s="289">
        <f>DSDV!W1347</f>
        <v>0</v>
      </c>
    </row>
    <row r="1343" spans="1:4">
      <c r="A1343">
        <f>DSDV!B1348</f>
        <v>0</v>
      </c>
      <c r="B1343">
        <f>DSDV!G1348</f>
        <v>0</v>
      </c>
      <c r="C1343" s="288">
        <f>DSDV!K1348</f>
        <v>0</v>
      </c>
      <c r="D1343" s="289">
        <f>DSDV!W1348</f>
        <v>0</v>
      </c>
    </row>
    <row r="1344" spans="1:4">
      <c r="A1344">
        <f>DSDV!B1349</f>
        <v>0</v>
      </c>
      <c r="B1344">
        <f>DSDV!G1349</f>
        <v>0</v>
      </c>
      <c r="C1344" s="288">
        <f>DSDV!K1349</f>
        <v>0</v>
      </c>
      <c r="D1344" s="289">
        <f>DSDV!W1349</f>
        <v>0</v>
      </c>
    </row>
    <row r="1345" spans="1:4">
      <c r="A1345">
        <f>DSDV!B1350</f>
        <v>0</v>
      </c>
      <c r="B1345">
        <f>DSDV!G1350</f>
        <v>0</v>
      </c>
      <c r="C1345" s="288">
        <f>DSDV!K1350</f>
        <v>0</v>
      </c>
      <c r="D1345" s="289">
        <f>DSDV!W1350</f>
        <v>0</v>
      </c>
    </row>
    <row r="1346" spans="1:4">
      <c r="A1346">
        <f>DSDV!B1351</f>
        <v>0</v>
      </c>
      <c r="B1346">
        <f>DSDV!G1351</f>
        <v>0</v>
      </c>
      <c r="C1346" s="288">
        <f>DSDV!K1351</f>
        <v>0</v>
      </c>
      <c r="D1346" s="289">
        <f>DSDV!W1351</f>
        <v>0</v>
      </c>
    </row>
    <row r="1347" spans="1:4">
      <c r="A1347">
        <f>DSDV!B1352</f>
        <v>0</v>
      </c>
      <c r="B1347">
        <f>DSDV!G1352</f>
        <v>0</v>
      </c>
      <c r="C1347" s="288">
        <f>DSDV!K1352</f>
        <v>0</v>
      </c>
      <c r="D1347" s="289">
        <f>DSDV!W1352</f>
        <v>0</v>
      </c>
    </row>
    <row r="1348" spans="1:4">
      <c r="A1348">
        <f>DSDV!B1353</f>
        <v>0</v>
      </c>
      <c r="B1348">
        <f>DSDV!G1353</f>
        <v>0</v>
      </c>
      <c r="C1348" s="288">
        <f>DSDV!K1353</f>
        <v>0</v>
      </c>
      <c r="D1348" s="289">
        <f>DSDV!W1353</f>
        <v>0</v>
      </c>
    </row>
    <row r="1349" spans="1:4">
      <c r="A1349">
        <f>DSDV!B1354</f>
        <v>0</v>
      </c>
      <c r="B1349">
        <f>DSDV!G1354</f>
        <v>0</v>
      </c>
      <c r="C1349" s="288">
        <f>DSDV!K1354</f>
        <v>0</v>
      </c>
      <c r="D1349" s="289">
        <f>DSDV!W1354</f>
        <v>0</v>
      </c>
    </row>
    <row r="1350" spans="1:4">
      <c r="A1350">
        <f>DSDV!B1355</f>
        <v>0</v>
      </c>
      <c r="B1350">
        <f>DSDV!G1355</f>
        <v>0</v>
      </c>
      <c r="C1350" s="288">
        <f>DSDV!K1355</f>
        <v>0</v>
      </c>
      <c r="D1350" s="289">
        <f>DSDV!W1355</f>
        <v>0</v>
      </c>
    </row>
    <row r="1351" spans="1:4">
      <c r="A1351">
        <f>DSDV!B1356</f>
        <v>0</v>
      </c>
      <c r="B1351">
        <f>DSDV!G1356</f>
        <v>0</v>
      </c>
      <c r="C1351" s="288">
        <f>DSDV!K1356</f>
        <v>0</v>
      </c>
      <c r="D1351" s="289">
        <f>DSDV!W1356</f>
        <v>0</v>
      </c>
    </row>
    <row r="1352" spans="1:4">
      <c r="A1352">
        <f>DSDV!B1357</f>
        <v>0</v>
      </c>
      <c r="B1352">
        <f>DSDV!G1357</f>
        <v>0</v>
      </c>
      <c r="C1352" s="288">
        <f>DSDV!K1357</f>
        <v>0</v>
      </c>
      <c r="D1352" s="289">
        <f>DSDV!W1357</f>
        <v>0</v>
      </c>
    </row>
    <row r="1353" spans="1:4">
      <c r="A1353">
        <f>DSDV!B1358</f>
        <v>0</v>
      </c>
      <c r="B1353">
        <f>DSDV!G1358</f>
        <v>0</v>
      </c>
      <c r="C1353" s="288">
        <f>DSDV!K1358</f>
        <v>0</v>
      </c>
      <c r="D1353" s="289">
        <f>DSDV!W1358</f>
        <v>0</v>
      </c>
    </row>
    <row r="1354" spans="1:4">
      <c r="A1354">
        <f>DSDV!B1359</f>
        <v>0</v>
      </c>
      <c r="B1354">
        <f>DSDV!G1359</f>
        <v>0</v>
      </c>
      <c r="C1354" s="288">
        <f>DSDV!K1359</f>
        <v>0</v>
      </c>
      <c r="D1354" s="289">
        <f>DSDV!W1359</f>
        <v>0</v>
      </c>
    </row>
    <row r="1355" spans="1:4">
      <c r="A1355">
        <f>DSDV!B1360</f>
        <v>0</v>
      </c>
      <c r="B1355">
        <f>DSDV!G1360</f>
        <v>0</v>
      </c>
      <c r="C1355" s="288">
        <f>DSDV!K1360</f>
        <v>0</v>
      </c>
      <c r="D1355" s="289">
        <f>DSDV!W1360</f>
        <v>0</v>
      </c>
    </row>
    <row r="1356" spans="1:4">
      <c r="A1356">
        <f>DSDV!B1361</f>
        <v>0</v>
      </c>
      <c r="B1356">
        <f>DSDV!G1361</f>
        <v>0</v>
      </c>
      <c r="C1356" s="288">
        <f>DSDV!K1361</f>
        <v>0</v>
      </c>
      <c r="D1356" s="289">
        <f>DSDV!W1361</f>
        <v>0</v>
      </c>
    </row>
    <row r="1357" spans="1:4">
      <c r="A1357">
        <f>DSDV!B1362</f>
        <v>0</v>
      </c>
      <c r="B1357">
        <f>DSDV!G1362</f>
        <v>0</v>
      </c>
      <c r="C1357" s="288">
        <f>DSDV!K1362</f>
        <v>0</v>
      </c>
      <c r="D1357" s="289">
        <f>DSDV!W1362</f>
        <v>0</v>
      </c>
    </row>
    <row r="1358" spans="1:4">
      <c r="A1358">
        <f>DSDV!B1363</f>
        <v>0</v>
      </c>
      <c r="B1358">
        <f>DSDV!G1363</f>
        <v>0</v>
      </c>
      <c r="C1358" s="288">
        <f>DSDV!K1363</f>
        <v>0</v>
      </c>
      <c r="D1358" s="289">
        <f>DSDV!W1363</f>
        <v>0</v>
      </c>
    </row>
    <row r="1359" spans="1:4">
      <c r="A1359">
        <f>DSDV!B1364</f>
        <v>0</v>
      </c>
      <c r="B1359">
        <f>DSDV!G1364</f>
        <v>0</v>
      </c>
      <c r="C1359" s="288">
        <f>DSDV!K1364</f>
        <v>0</v>
      </c>
      <c r="D1359" s="289">
        <f>DSDV!W1364</f>
        <v>0</v>
      </c>
    </row>
    <row r="1360" spans="1:4">
      <c r="A1360">
        <f>DSDV!B1365</f>
        <v>0</v>
      </c>
      <c r="B1360">
        <f>DSDV!G1365</f>
        <v>0</v>
      </c>
      <c r="C1360" s="288">
        <f>DSDV!K1365</f>
        <v>0</v>
      </c>
      <c r="D1360" s="289">
        <f>DSDV!W1365</f>
        <v>0</v>
      </c>
    </row>
    <row r="1361" spans="1:4">
      <c r="A1361">
        <f>DSDV!B1366</f>
        <v>0</v>
      </c>
      <c r="B1361">
        <f>DSDV!G1366</f>
        <v>0</v>
      </c>
      <c r="C1361" s="288">
        <f>DSDV!K1366</f>
        <v>0</v>
      </c>
      <c r="D1361" s="289">
        <f>DSDV!W1366</f>
        <v>0</v>
      </c>
    </row>
    <row r="1362" spans="1:4">
      <c r="A1362">
        <f>DSDV!B1367</f>
        <v>0</v>
      </c>
      <c r="B1362">
        <f>DSDV!G1367</f>
        <v>0</v>
      </c>
      <c r="C1362" s="288">
        <f>DSDV!K1367</f>
        <v>0</v>
      </c>
      <c r="D1362" s="289">
        <f>DSDV!W1367</f>
        <v>0</v>
      </c>
    </row>
    <row r="1363" spans="1:4">
      <c r="A1363">
        <f>DSDV!B1368</f>
        <v>0</v>
      </c>
      <c r="B1363">
        <f>DSDV!G1368</f>
        <v>0</v>
      </c>
      <c r="C1363" s="288">
        <f>DSDV!K1368</f>
        <v>0</v>
      </c>
      <c r="D1363" s="289">
        <f>DSDV!W1368</f>
        <v>0</v>
      </c>
    </row>
    <row r="1364" spans="1:4">
      <c r="A1364">
        <f>DSDV!B1369</f>
        <v>0</v>
      </c>
      <c r="B1364">
        <f>DSDV!G1369</f>
        <v>0</v>
      </c>
      <c r="C1364" s="288">
        <f>DSDV!K1369</f>
        <v>0</v>
      </c>
      <c r="D1364" s="289">
        <f>DSDV!W1369</f>
        <v>0</v>
      </c>
    </row>
    <row r="1365" spans="1:4">
      <c r="A1365">
        <f>DSDV!B1370</f>
        <v>0</v>
      </c>
      <c r="B1365">
        <f>DSDV!G1370</f>
        <v>0</v>
      </c>
      <c r="C1365" s="288">
        <f>DSDV!K1370</f>
        <v>0</v>
      </c>
      <c r="D1365" s="289">
        <f>DSDV!W1370</f>
        <v>0</v>
      </c>
    </row>
    <row r="1366" spans="1:4">
      <c r="A1366">
        <f>DSDV!B1371</f>
        <v>0</v>
      </c>
      <c r="B1366">
        <f>DSDV!G1371</f>
        <v>0</v>
      </c>
      <c r="C1366" s="288">
        <f>DSDV!K1371</f>
        <v>0</v>
      </c>
      <c r="D1366" s="289">
        <f>DSDV!W1371</f>
        <v>0</v>
      </c>
    </row>
    <row r="1367" spans="1:4">
      <c r="A1367">
        <f>DSDV!B1372</f>
        <v>0</v>
      </c>
      <c r="B1367">
        <f>DSDV!G1372</f>
        <v>0</v>
      </c>
      <c r="C1367" s="288">
        <f>DSDV!K1372</f>
        <v>0</v>
      </c>
      <c r="D1367" s="289">
        <f>DSDV!W1372</f>
        <v>0</v>
      </c>
    </row>
    <row r="1368" spans="1:4">
      <c r="A1368">
        <f>DSDV!B1373</f>
        <v>0</v>
      </c>
      <c r="B1368">
        <f>DSDV!G1373</f>
        <v>0</v>
      </c>
      <c r="C1368" s="288">
        <f>DSDV!K1373</f>
        <v>0</v>
      </c>
      <c r="D1368" s="289">
        <f>DSDV!W1373</f>
        <v>0</v>
      </c>
    </row>
    <row r="1369" spans="1:4">
      <c r="A1369">
        <f>DSDV!B1374</f>
        <v>0</v>
      </c>
      <c r="B1369">
        <f>DSDV!G1374</f>
        <v>0</v>
      </c>
      <c r="C1369" s="288">
        <f>DSDV!K1374</f>
        <v>0</v>
      </c>
      <c r="D1369" s="289">
        <f>DSDV!W1374</f>
        <v>0</v>
      </c>
    </row>
    <row r="1370" spans="1:4">
      <c r="A1370">
        <f>DSDV!B1375</f>
        <v>0</v>
      </c>
      <c r="B1370">
        <f>DSDV!G1375</f>
        <v>0</v>
      </c>
      <c r="C1370" s="288">
        <f>DSDV!K1375</f>
        <v>0</v>
      </c>
      <c r="D1370" s="289">
        <f>DSDV!W1375</f>
        <v>0</v>
      </c>
    </row>
    <row r="1371" spans="1:4">
      <c r="A1371">
        <f>DSDV!B1376</f>
        <v>0</v>
      </c>
      <c r="B1371">
        <f>DSDV!G1376</f>
        <v>0</v>
      </c>
      <c r="C1371" s="288">
        <f>DSDV!K1376</f>
        <v>0</v>
      </c>
      <c r="D1371" s="289">
        <f>DSDV!W1376</f>
        <v>0</v>
      </c>
    </row>
    <row r="1372" spans="1:4">
      <c r="A1372">
        <f>DSDV!B1377</f>
        <v>0</v>
      </c>
      <c r="B1372">
        <f>DSDV!G1377</f>
        <v>0</v>
      </c>
      <c r="C1372" s="288">
        <f>DSDV!K1377</f>
        <v>0</v>
      </c>
      <c r="D1372" s="289">
        <f>DSDV!W1377</f>
        <v>0</v>
      </c>
    </row>
    <row r="1373" spans="1:4">
      <c r="A1373">
        <f>DSDV!B1378</f>
        <v>0</v>
      </c>
      <c r="B1373">
        <f>DSDV!G1378</f>
        <v>0</v>
      </c>
      <c r="C1373" s="288">
        <f>DSDV!K1378</f>
        <v>0</v>
      </c>
      <c r="D1373" s="289">
        <f>DSDV!W1378</f>
        <v>0</v>
      </c>
    </row>
    <row r="1374" spans="1:4">
      <c r="A1374">
        <f>DSDV!B1379</f>
        <v>0</v>
      </c>
      <c r="B1374">
        <f>DSDV!G1379</f>
        <v>0</v>
      </c>
      <c r="C1374" s="288">
        <f>DSDV!K1379</f>
        <v>0</v>
      </c>
      <c r="D1374" s="289">
        <f>DSDV!W1379</f>
        <v>0</v>
      </c>
    </row>
    <row r="1375" spans="1:4">
      <c r="A1375">
        <f>DSDV!B1380</f>
        <v>0</v>
      </c>
      <c r="B1375">
        <f>DSDV!G1380</f>
        <v>0</v>
      </c>
      <c r="C1375" s="288">
        <f>DSDV!K1380</f>
        <v>0</v>
      </c>
      <c r="D1375" s="289">
        <f>DSDV!W1380</f>
        <v>0</v>
      </c>
    </row>
    <row r="1376" spans="1:4">
      <c r="A1376">
        <f>DSDV!B1381</f>
        <v>0</v>
      </c>
      <c r="B1376">
        <f>DSDV!G1381</f>
        <v>0</v>
      </c>
      <c r="C1376" s="288">
        <f>DSDV!K1381</f>
        <v>0</v>
      </c>
      <c r="D1376" s="289">
        <f>DSDV!W1381</f>
        <v>0</v>
      </c>
    </row>
    <row r="1377" spans="1:4">
      <c r="A1377">
        <f>DSDV!B1382</f>
        <v>0</v>
      </c>
      <c r="B1377">
        <f>DSDV!G1382</f>
        <v>0</v>
      </c>
      <c r="C1377" s="288">
        <f>DSDV!K1382</f>
        <v>0</v>
      </c>
      <c r="D1377" s="289">
        <f>DSDV!W1382</f>
        <v>0</v>
      </c>
    </row>
    <row r="1378" spans="1:4">
      <c r="A1378">
        <f>DSDV!B1383</f>
        <v>0</v>
      </c>
      <c r="B1378">
        <f>DSDV!G1383</f>
        <v>0</v>
      </c>
      <c r="C1378" s="288">
        <f>DSDV!K1383</f>
        <v>0</v>
      </c>
      <c r="D1378" s="289">
        <f>DSDV!W1383</f>
        <v>0</v>
      </c>
    </row>
    <row r="1379" spans="1:4">
      <c r="A1379">
        <f>DSDV!B1384</f>
        <v>0</v>
      </c>
      <c r="B1379">
        <f>DSDV!G1384</f>
        <v>0</v>
      </c>
      <c r="C1379" s="288">
        <f>DSDV!K1384</f>
        <v>0</v>
      </c>
      <c r="D1379" s="289">
        <f>DSDV!W1384</f>
        <v>0</v>
      </c>
    </row>
    <row r="1380" spans="1:4">
      <c r="A1380">
        <f>DSDV!B1385</f>
        <v>0</v>
      </c>
      <c r="B1380">
        <f>DSDV!G1385</f>
        <v>0</v>
      </c>
      <c r="C1380" s="288">
        <f>DSDV!K1385</f>
        <v>0</v>
      </c>
      <c r="D1380" s="289">
        <f>DSDV!W1385</f>
        <v>0</v>
      </c>
    </row>
    <row r="1381" spans="1:4">
      <c r="A1381">
        <f>DSDV!B1386</f>
        <v>0</v>
      </c>
      <c r="B1381">
        <f>DSDV!G1386</f>
        <v>0</v>
      </c>
      <c r="C1381" s="288">
        <f>DSDV!K1386</f>
        <v>0</v>
      </c>
      <c r="D1381" s="289">
        <f>DSDV!W1386</f>
        <v>0</v>
      </c>
    </row>
    <row r="1382" spans="1:4">
      <c r="A1382">
        <f>DSDV!B1387</f>
        <v>0</v>
      </c>
      <c r="B1382">
        <f>DSDV!G1387</f>
        <v>0</v>
      </c>
      <c r="C1382" s="288">
        <f>DSDV!K1387</f>
        <v>0</v>
      </c>
      <c r="D1382" s="289">
        <f>DSDV!W1387</f>
        <v>0</v>
      </c>
    </row>
    <row r="1383" spans="1:4">
      <c r="A1383">
        <f>DSDV!B1388</f>
        <v>0</v>
      </c>
      <c r="B1383">
        <f>DSDV!G1388</f>
        <v>0</v>
      </c>
      <c r="C1383" s="288">
        <f>DSDV!K1388</f>
        <v>0</v>
      </c>
      <c r="D1383" s="289">
        <f>DSDV!W1388</f>
        <v>0</v>
      </c>
    </row>
    <row r="1384" spans="1:4">
      <c r="A1384">
        <f>DSDV!B1389</f>
        <v>0</v>
      </c>
      <c r="B1384">
        <f>DSDV!G1389</f>
        <v>0</v>
      </c>
      <c r="C1384" s="288">
        <f>DSDV!K1389</f>
        <v>0</v>
      </c>
      <c r="D1384" s="289">
        <f>DSDV!W1389</f>
        <v>0</v>
      </c>
    </row>
    <row r="1385" spans="1:4">
      <c r="A1385">
        <f>DSDV!B1390</f>
        <v>0</v>
      </c>
      <c r="B1385">
        <f>DSDV!G1390</f>
        <v>0</v>
      </c>
      <c r="C1385" s="288">
        <f>DSDV!K1390</f>
        <v>0</v>
      </c>
      <c r="D1385" s="289">
        <f>DSDV!W1390</f>
        <v>0</v>
      </c>
    </row>
    <row r="1386" spans="1:4">
      <c r="A1386">
        <f>DSDV!B1391</f>
        <v>0</v>
      </c>
      <c r="B1386">
        <f>DSDV!G1391</f>
        <v>0</v>
      </c>
      <c r="C1386" s="288">
        <f>DSDV!K1391</f>
        <v>0</v>
      </c>
      <c r="D1386" s="289">
        <f>DSDV!W1391</f>
        <v>0</v>
      </c>
    </row>
    <row r="1387" spans="1:4">
      <c r="A1387">
        <f>DSDV!B1392</f>
        <v>0</v>
      </c>
      <c r="B1387">
        <f>DSDV!G1392</f>
        <v>0</v>
      </c>
      <c r="C1387" s="288">
        <f>DSDV!K1392</f>
        <v>0</v>
      </c>
      <c r="D1387" s="289">
        <f>DSDV!W1392</f>
        <v>0</v>
      </c>
    </row>
    <row r="1388" spans="1:4">
      <c r="A1388">
        <f>DSDV!B1393</f>
        <v>0</v>
      </c>
      <c r="B1388">
        <f>DSDV!G1393</f>
        <v>0</v>
      </c>
      <c r="C1388" s="288">
        <f>DSDV!K1393</f>
        <v>0</v>
      </c>
      <c r="D1388" s="289">
        <f>DSDV!W1393</f>
        <v>0</v>
      </c>
    </row>
    <row r="1389" spans="1:4">
      <c r="A1389">
        <f>DSDV!B1394</f>
        <v>0</v>
      </c>
      <c r="B1389">
        <f>DSDV!G1394</f>
        <v>0</v>
      </c>
      <c r="C1389" s="288">
        <f>DSDV!K1394</f>
        <v>0</v>
      </c>
      <c r="D1389" s="289">
        <f>DSDV!W1394</f>
        <v>0</v>
      </c>
    </row>
    <row r="1390" spans="1:4">
      <c r="A1390">
        <f>DSDV!B1395</f>
        <v>0</v>
      </c>
      <c r="B1390">
        <f>DSDV!G1395</f>
        <v>0</v>
      </c>
      <c r="C1390" s="288">
        <f>DSDV!K1395</f>
        <v>0</v>
      </c>
      <c r="D1390" s="289">
        <f>DSDV!W1395</f>
        <v>0</v>
      </c>
    </row>
    <row r="1391" spans="1:4">
      <c r="A1391">
        <f>DSDV!B1396</f>
        <v>0</v>
      </c>
      <c r="B1391">
        <f>DSDV!G1396</f>
        <v>0</v>
      </c>
      <c r="C1391" s="288">
        <f>DSDV!K1396</f>
        <v>0</v>
      </c>
      <c r="D1391" s="289">
        <f>DSDV!W1396</f>
        <v>0</v>
      </c>
    </row>
    <row r="1392" spans="1:4">
      <c r="A1392">
        <f>DSDV!B1397</f>
        <v>0</v>
      </c>
      <c r="B1392">
        <f>DSDV!G1397</f>
        <v>0</v>
      </c>
      <c r="C1392" s="288">
        <f>DSDV!K1397</f>
        <v>0</v>
      </c>
      <c r="D1392" s="289">
        <f>DSDV!W1397</f>
        <v>0</v>
      </c>
    </row>
    <row r="1393" spans="1:4">
      <c r="A1393">
        <f>DSDV!B1398</f>
        <v>0</v>
      </c>
      <c r="B1393">
        <f>DSDV!G1398</f>
        <v>0</v>
      </c>
      <c r="C1393" s="288">
        <f>DSDV!K1398</f>
        <v>0</v>
      </c>
      <c r="D1393" s="289">
        <f>DSDV!W1398</f>
        <v>0</v>
      </c>
    </row>
    <row r="1394" spans="1:4">
      <c r="A1394">
        <f>DSDV!B1399</f>
        <v>0</v>
      </c>
      <c r="B1394">
        <f>DSDV!G1399</f>
        <v>0</v>
      </c>
      <c r="C1394" s="288">
        <f>DSDV!K1399</f>
        <v>0</v>
      </c>
      <c r="D1394" s="289">
        <f>DSDV!W1399</f>
        <v>0</v>
      </c>
    </row>
    <row r="1395" spans="1:4">
      <c r="A1395">
        <f>DSDV!B1400</f>
        <v>0</v>
      </c>
      <c r="B1395">
        <f>DSDV!G1400</f>
        <v>0</v>
      </c>
      <c r="C1395" s="288">
        <f>DSDV!K1400</f>
        <v>0</v>
      </c>
      <c r="D1395" s="289">
        <f>DSDV!W1400</f>
        <v>0</v>
      </c>
    </row>
    <row r="1396" spans="1:4">
      <c r="A1396">
        <f>DSDV!B1401</f>
        <v>0</v>
      </c>
      <c r="B1396">
        <f>DSDV!G1401</f>
        <v>0</v>
      </c>
      <c r="C1396" s="288">
        <f>DSDV!K1401</f>
        <v>0</v>
      </c>
      <c r="D1396" s="289">
        <f>DSDV!W1401</f>
        <v>0</v>
      </c>
    </row>
    <row r="1397" spans="1:4">
      <c r="A1397">
        <f>DSDV!B1402</f>
        <v>0</v>
      </c>
      <c r="B1397">
        <f>DSDV!G1402</f>
        <v>0</v>
      </c>
      <c r="C1397" s="288">
        <f>DSDV!K1402</f>
        <v>0</v>
      </c>
      <c r="D1397" s="289">
        <f>DSDV!W1402</f>
        <v>0</v>
      </c>
    </row>
    <row r="1398" spans="1:4">
      <c r="A1398">
        <f>DSDV!B1403</f>
        <v>0</v>
      </c>
      <c r="B1398">
        <f>DSDV!G1403</f>
        <v>0</v>
      </c>
      <c r="C1398" s="288">
        <f>DSDV!K1403</f>
        <v>0</v>
      </c>
      <c r="D1398" s="289">
        <f>DSDV!W1403</f>
        <v>0</v>
      </c>
    </row>
    <row r="1399" spans="1:4">
      <c r="A1399">
        <f>DSDV!B1404</f>
        <v>0</v>
      </c>
      <c r="B1399">
        <f>DSDV!G1404</f>
        <v>0</v>
      </c>
      <c r="C1399" s="288">
        <f>DSDV!K1404</f>
        <v>0</v>
      </c>
      <c r="D1399" s="289">
        <f>DSDV!W1404</f>
        <v>0</v>
      </c>
    </row>
    <row r="1400" spans="1:4">
      <c r="A1400">
        <f>DSDV!B1405</f>
        <v>0</v>
      </c>
      <c r="B1400">
        <f>DSDV!G1405</f>
        <v>0</v>
      </c>
      <c r="C1400" s="288">
        <f>DSDV!K1405</f>
        <v>0</v>
      </c>
      <c r="D1400" s="289">
        <f>DSDV!W1405</f>
        <v>0</v>
      </c>
    </row>
    <row r="1401" spans="1:4">
      <c r="A1401">
        <f>DSDV!B1406</f>
        <v>0</v>
      </c>
      <c r="B1401">
        <f>DSDV!G1406</f>
        <v>0</v>
      </c>
      <c r="C1401" s="288">
        <f>DSDV!K1406</f>
        <v>0</v>
      </c>
      <c r="D1401" s="289">
        <f>DSDV!W1406</f>
        <v>0</v>
      </c>
    </row>
    <row r="1402" spans="1:4">
      <c r="A1402">
        <f>DSDV!B1407</f>
        <v>0</v>
      </c>
      <c r="B1402">
        <f>DSDV!G1407</f>
        <v>0</v>
      </c>
      <c r="C1402" s="288">
        <f>DSDV!K1407</f>
        <v>0</v>
      </c>
      <c r="D1402" s="289">
        <f>DSDV!W1407</f>
        <v>0</v>
      </c>
    </row>
    <row r="1403" spans="1:4">
      <c r="A1403">
        <f>DSDV!B1408</f>
        <v>0</v>
      </c>
      <c r="B1403">
        <f>DSDV!G1408</f>
        <v>0</v>
      </c>
      <c r="C1403" s="288">
        <f>DSDV!K1408</f>
        <v>0</v>
      </c>
      <c r="D1403" s="289">
        <f>DSDV!W1408</f>
        <v>0</v>
      </c>
    </row>
    <row r="1404" spans="1:4">
      <c r="A1404">
        <f>DSDV!B1409</f>
        <v>0</v>
      </c>
      <c r="B1404">
        <f>DSDV!G1409</f>
        <v>0</v>
      </c>
      <c r="C1404" s="288">
        <f>DSDV!K1409</f>
        <v>0</v>
      </c>
      <c r="D1404" s="289">
        <f>DSDV!W1409</f>
        <v>0</v>
      </c>
    </row>
    <row r="1405" spans="1:4">
      <c r="A1405">
        <f>DSDV!B1410</f>
        <v>0</v>
      </c>
      <c r="B1405">
        <f>DSDV!G1410</f>
        <v>0</v>
      </c>
      <c r="C1405" s="288">
        <f>DSDV!K1410</f>
        <v>0</v>
      </c>
      <c r="D1405" s="289">
        <f>DSDV!W1410</f>
        <v>0</v>
      </c>
    </row>
    <row r="1406" spans="1:4">
      <c r="A1406">
        <f>DSDV!B1411</f>
        <v>0</v>
      </c>
      <c r="B1406">
        <f>DSDV!G1411</f>
        <v>0</v>
      </c>
      <c r="C1406" s="288">
        <f>DSDV!K1411</f>
        <v>0</v>
      </c>
      <c r="D1406" s="289">
        <f>DSDV!W1411</f>
        <v>0</v>
      </c>
    </row>
    <row r="1407" spans="1:4">
      <c r="A1407">
        <f>DSDV!B1412</f>
        <v>0</v>
      </c>
      <c r="B1407">
        <f>DSDV!G1412</f>
        <v>0</v>
      </c>
      <c r="C1407" s="288">
        <f>DSDV!K1412</f>
        <v>0</v>
      </c>
      <c r="D1407" s="289">
        <f>DSDV!W1412</f>
        <v>0</v>
      </c>
    </row>
    <row r="1408" spans="1:4">
      <c r="A1408">
        <f>DSDV!B1413</f>
        <v>0</v>
      </c>
      <c r="B1408">
        <f>DSDV!G1413</f>
        <v>0</v>
      </c>
      <c r="C1408" s="288">
        <f>DSDV!K1413</f>
        <v>0</v>
      </c>
      <c r="D1408" s="289">
        <f>DSDV!W1413</f>
        <v>0</v>
      </c>
    </row>
    <row r="1409" spans="1:4">
      <c r="A1409">
        <f>DSDV!B1414</f>
        <v>0</v>
      </c>
      <c r="B1409">
        <f>DSDV!G1414</f>
        <v>0</v>
      </c>
      <c r="C1409" s="288">
        <f>DSDV!K1414</f>
        <v>0</v>
      </c>
      <c r="D1409" s="289">
        <f>DSDV!W1414</f>
        <v>0</v>
      </c>
    </row>
    <row r="1410" spans="1:4">
      <c r="A1410">
        <f>DSDV!B1415</f>
        <v>0</v>
      </c>
      <c r="B1410">
        <f>DSDV!G1415</f>
        <v>0</v>
      </c>
      <c r="C1410" s="288">
        <f>DSDV!K1415</f>
        <v>0</v>
      </c>
      <c r="D1410" s="289">
        <f>DSDV!W1415</f>
        <v>0</v>
      </c>
    </row>
    <row r="1411" spans="1:4">
      <c r="A1411">
        <f>DSDV!B1416</f>
        <v>0</v>
      </c>
      <c r="B1411">
        <f>DSDV!G1416</f>
        <v>0</v>
      </c>
      <c r="C1411" s="288">
        <f>DSDV!K1416</f>
        <v>0</v>
      </c>
      <c r="D1411" s="289">
        <f>DSDV!W1416</f>
        <v>0</v>
      </c>
    </row>
    <row r="1412" spans="1:4">
      <c r="A1412">
        <f>DSDV!B1417</f>
        <v>0</v>
      </c>
      <c r="B1412">
        <f>DSDV!G1417</f>
        <v>0</v>
      </c>
      <c r="C1412" s="288">
        <f>DSDV!K1417</f>
        <v>0</v>
      </c>
      <c r="D1412" s="289">
        <f>DSDV!W1417</f>
        <v>0</v>
      </c>
    </row>
    <row r="1413" spans="1:4">
      <c r="A1413">
        <f>DSDV!B1418</f>
        <v>0</v>
      </c>
      <c r="B1413">
        <f>DSDV!G1418</f>
        <v>0</v>
      </c>
      <c r="C1413" s="288">
        <f>DSDV!K1418</f>
        <v>0</v>
      </c>
      <c r="D1413" s="289">
        <f>DSDV!W1418</f>
        <v>0</v>
      </c>
    </row>
    <row r="1414" spans="1:4">
      <c r="A1414">
        <f>DSDV!B1419</f>
        <v>0</v>
      </c>
      <c r="B1414">
        <f>DSDV!G1419</f>
        <v>0</v>
      </c>
      <c r="C1414" s="288">
        <f>DSDV!K1419</f>
        <v>0</v>
      </c>
      <c r="D1414" s="289">
        <f>DSDV!W1419</f>
        <v>0</v>
      </c>
    </row>
    <row r="1415" spans="1:4">
      <c r="A1415">
        <f>DSDV!B1420</f>
        <v>0</v>
      </c>
      <c r="B1415">
        <f>DSDV!G1420</f>
        <v>0</v>
      </c>
      <c r="C1415" s="288">
        <f>DSDV!K1420</f>
        <v>0</v>
      </c>
      <c r="D1415" s="289">
        <f>DSDV!W1420</f>
        <v>0</v>
      </c>
    </row>
    <row r="1416" spans="1:4">
      <c r="A1416">
        <f>DSDV!B1421</f>
        <v>0</v>
      </c>
      <c r="B1416">
        <f>DSDV!G1421</f>
        <v>0</v>
      </c>
      <c r="C1416" s="288">
        <f>DSDV!K1421</f>
        <v>0</v>
      </c>
      <c r="D1416" s="289">
        <f>DSDV!W1421</f>
        <v>0</v>
      </c>
    </row>
    <row r="1417" spans="1:4">
      <c r="A1417">
        <f>DSDV!B1422</f>
        <v>0</v>
      </c>
      <c r="B1417">
        <f>DSDV!G1422</f>
        <v>0</v>
      </c>
      <c r="C1417" s="288">
        <f>DSDV!K1422</f>
        <v>0</v>
      </c>
      <c r="D1417" s="289">
        <f>DSDV!W1422</f>
        <v>0</v>
      </c>
    </row>
    <row r="1418" spans="1:4">
      <c r="A1418">
        <f>DSDV!B1423</f>
        <v>0</v>
      </c>
      <c r="B1418">
        <f>DSDV!G1423</f>
        <v>0</v>
      </c>
      <c r="C1418" s="288">
        <f>DSDV!K1423</f>
        <v>0</v>
      </c>
      <c r="D1418" s="289">
        <f>DSDV!W1423</f>
        <v>0</v>
      </c>
    </row>
    <row r="1419" spans="1:4">
      <c r="A1419">
        <f>DSDV!B1424</f>
        <v>0</v>
      </c>
      <c r="B1419">
        <f>DSDV!G1424</f>
        <v>0</v>
      </c>
      <c r="C1419" s="288">
        <f>DSDV!K1424</f>
        <v>0</v>
      </c>
      <c r="D1419" s="289">
        <f>DSDV!W1424</f>
        <v>0</v>
      </c>
    </row>
    <row r="1420" spans="1:4">
      <c r="A1420">
        <f>DSDV!B1425</f>
        <v>0</v>
      </c>
      <c r="B1420">
        <f>DSDV!G1425</f>
        <v>0</v>
      </c>
      <c r="C1420" s="288">
        <f>DSDV!K1425</f>
        <v>0</v>
      </c>
      <c r="D1420" s="289">
        <f>DSDV!W1425</f>
        <v>0</v>
      </c>
    </row>
    <row r="1421" spans="1:4">
      <c r="A1421">
        <f>DSDV!B1426</f>
        <v>0</v>
      </c>
      <c r="B1421">
        <f>DSDV!G1426</f>
        <v>0</v>
      </c>
      <c r="C1421" s="288">
        <f>DSDV!K1426</f>
        <v>0</v>
      </c>
      <c r="D1421" s="289">
        <f>DSDV!W1426</f>
        <v>0</v>
      </c>
    </row>
    <row r="1422" spans="1:4">
      <c r="A1422">
        <f>DSDV!B1427</f>
        <v>0</v>
      </c>
      <c r="B1422">
        <f>DSDV!G1427</f>
        <v>0</v>
      </c>
      <c r="C1422" s="288">
        <f>DSDV!K1427</f>
        <v>0</v>
      </c>
      <c r="D1422" s="289">
        <f>DSDV!W1427</f>
        <v>0</v>
      </c>
    </row>
    <row r="1423" spans="1:4">
      <c r="A1423">
        <f>DSDV!B1428</f>
        <v>0</v>
      </c>
      <c r="B1423">
        <f>DSDV!G1428</f>
        <v>0</v>
      </c>
      <c r="C1423" s="288">
        <f>DSDV!K1428</f>
        <v>0</v>
      </c>
      <c r="D1423" s="289">
        <f>DSDV!W1428</f>
        <v>0</v>
      </c>
    </row>
    <row r="1424" spans="1:4">
      <c r="A1424">
        <f>DSDV!B1429</f>
        <v>0</v>
      </c>
      <c r="B1424">
        <f>DSDV!G1429</f>
        <v>0</v>
      </c>
      <c r="C1424" s="288">
        <f>DSDV!K1429</f>
        <v>0</v>
      </c>
      <c r="D1424" s="289">
        <f>DSDV!W1429</f>
        <v>0</v>
      </c>
    </row>
    <row r="1425" spans="1:4">
      <c r="A1425">
        <f>DSDV!B1430</f>
        <v>0</v>
      </c>
      <c r="B1425">
        <f>DSDV!G1430</f>
        <v>0</v>
      </c>
      <c r="C1425" s="288">
        <f>DSDV!K1430</f>
        <v>0</v>
      </c>
      <c r="D1425" s="289">
        <f>DSDV!W1430</f>
        <v>0</v>
      </c>
    </row>
    <row r="1426" spans="1:4">
      <c r="A1426">
        <f>DSDV!B1431</f>
        <v>0</v>
      </c>
      <c r="B1426">
        <f>DSDV!G1431</f>
        <v>0</v>
      </c>
      <c r="C1426" s="288">
        <f>DSDV!K1431</f>
        <v>0</v>
      </c>
      <c r="D1426" s="289">
        <f>DSDV!W1431</f>
        <v>0</v>
      </c>
    </row>
    <row r="1427" spans="1:4">
      <c r="A1427">
        <f>DSDV!B1432</f>
        <v>0</v>
      </c>
      <c r="B1427">
        <f>DSDV!G1432</f>
        <v>0</v>
      </c>
      <c r="C1427" s="288">
        <f>DSDV!K1432</f>
        <v>0</v>
      </c>
      <c r="D1427" s="289">
        <f>DSDV!W1432</f>
        <v>0</v>
      </c>
    </row>
    <row r="1428" spans="1:4">
      <c r="A1428">
        <f>DSDV!B1433</f>
        <v>0</v>
      </c>
      <c r="B1428">
        <f>DSDV!G1433</f>
        <v>0</v>
      </c>
      <c r="C1428" s="288">
        <f>DSDV!K1433</f>
        <v>0</v>
      </c>
      <c r="D1428" s="289">
        <f>DSDV!W1433</f>
        <v>0</v>
      </c>
    </row>
    <row r="1429" spans="1:4">
      <c r="A1429">
        <f>DSDV!B1434</f>
        <v>0</v>
      </c>
      <c r="B1429">
        <f>DSDV!G1434</f>
        <v>0</v>
      </c>
      <c r="C1429" s="288">
        <f>DSDV!K1434</f>
        <v>0</v>
      </c>
      <c r="D1429" s="289">
        <f>DSDV!W1434</f>
        <v>0</v>
      </c>
    </row>
    <row r="1430" spans="1:4">
      <c r="A1430">
        <f>DSDV!B1435</f>
        <v>0</v>
      </c>
      <c r="B1430">
        <f>DSDV!G1435</f>
        <v>0</v>
      </c>
      <c r="C1430" s="288">
        <f>DSDV!K1435</f>
        <v>0</v>
      </c>
      <c r="D1430" s="289">
        <f>DSDV!W1435</f>
        <v>0</v>
      </c>
    </row>
    <row r="1431" spans="1:4">
      <c r="A1431">
        <f>DSDV!B1436</f>
        <v>0</v>
      </c>
      <c r="B1431">
        <f>DSDV!G1436</f>
        <v>0</v>
      </c>
      <c r="C1431" s="288">
        <f>DSDV!K1436</f>
        <v>0</v>
      </c>
      <c r="D1431" s="289">
        <f>DSDV!W1436</f>
        <v>0</v>
      </c>
    </row>
    <row r="1432" spans="1:4">
      <c r="A1432">
        <f>DSDV!B1437</f>
        <v>0</v>
      </c>
      <c r="B1432">
        <f>DSDV!G1437</f>
        <v>0</v>
      </c>
      <c r="C1432" s="288">
        <f>DSDV!K1437</f>
        <v>0</v>
      </c>
      <c r="D1432" s="289">
        <f>DSDV!W1437</f>
        <v>0</v>
      </c>
    </row>
    <row r="1433" spans="1:4">
      <c r="A1433">
        <f>DSDV!B1438</f>
        <v>0</v>
      </c>
      <c r="B1433">
        <f>DSDV!G1438</f>
        <v>0</v>
      </c>
      <c r="C1433" s="288">
        <f>DSDV!K1438</f>
        <v>0</v>
      </c>
      <c r="D1433" s="289">
        <f>DSDV!W1438</f>
        <v>0</v>
      </c>
    </row>
    <row r="1434" spans="1:4">
      <c r="A1434">
        <f>DSDV!B1439</f>
        <v>0</v>
      </c>
      <c r="B1434">
        <f>DSDV!G1439</f>
        <v>0</v>
      </c>
      <c r="C1434" s="288">
        <f>DSDV!K1439</f>
        <v>0</v>
      </c>
      <c r="D1434" s="289">
        <f>DSDV!W1439</f>
        <v>0</v>
      </c>
    </row>
    <row r="1435" spans="1:4">
      <c r="A1435">
        <f>DSDV!B1440</f>
        <v>0</v>
      </c>
      <c r="B1435">
        <f>DSDV!G1440</f>
        <v>0</v>
      </c>
      <c r="C1435" s="288">
        <f>DSDV!K1440</f>
        <v>0</v>
      </c>
      <c r="D1435" s="289">
        <f>DSDV!W1440</f>
        <v>0</v>
      </c>
    </row>
    <row r="1436" spans="1:4">
      <c r="A1436">
        <f>DSDV!B1441</f>
        <v>0</v>
      </c>
      <c r="B1436">
        <f>DSDV!G1441</f>
        <v>0</v>
      </c>
      <c r="C1436" s="288">
        <f>DSDV!K1441</f>
        <v>0</v>
      </c>
      <c r="D1436" s="289">
        <f>DSDV!W1441</f>
        <v>0</v>
      </c>
    </row>
    <row r="1437" spans="1:4">
      <c r="A1437">
        <f>DSDV!B1442</f>
        <v>0</v>
      </c>
      <c r="B1437">
        <f>DSDV!G1442</f>
        <v>0</v>
      </c>
      <c r="C1437" s="288">
        <f>DSDV!K1442</f>
        <v>0</v>
      </c>
      <c r="D1437" s="289">
        <f>DSDV!W1442</f>
        <v>0</v>
      </c>
    </row>
    <row r="1438" spans="1:4">
      <c r="A1438">
        <f>DSDV!B1443</f>
        <v>0</v>
      </c>
      <c r="B1438">
        <f>DSDV!G1443</f>
        <v>0</v>
      </c>
      <c r="C1438" s="288">
        <f>DSDV!K1443</f>
        <v>0</v>
      </c>
      <c r="D1438" s="289">
        <f>DSDV!W1443</f>
        <v>0</v>
      </c>
    </row>
    <row r="1439" spans="1:4">
      <c r="A1439">
        <f>DSDV!B1444</f>
        <v>0</v>
      </c>
      <c r="B1439">
        <f>DSDV!G1444</f>
        <v>0</v>
      </c>
      <c r="C1439" s="288">
        <f>DSDV!K1444</f>
        <v>0</v>
      </c>
      <c r="D1439" s="289">
        <f>DSDV!W1444</f>
        <v>0</v>
      </c>
    </row>
    <row r="1440" spans="1:4">
      <c r="A1440">
        <f>DSDV!B1445</f>
        <v>0</v>
      </c>
      <c r="B1440">
        <f>DSDV!G1445</f>
        <v>0</v>
      </c>
      <c r="C1440" s="288">
        <f>DSDV!K1445</f>
        <v>0</v>
      </c>
      <c r="D1440" s="289">
        <f>DSDV!W1445</f>
        <v>0</v>
      </c>
    </row>
    <row r="1441" spans="1:4">
      <c r="A1441">
        <f>DSDV!B1446</f>
        <v>0</v>
      </c>
      <c r="B1441">
        <f>DSDV!G1446</f>
        <v>0</v>
      </c>
      <c r="C1441" s="288">
        <f>DSDV!K1446</f>
        <v>0</v>
      </c>
      <c r="D1441" s="289">
        <f>DSDV!W1446</f>
        <v>0</v>
      </c>
    </row>
    <row r="1442" spans="1:4">
      <c r="A1442">
        <f>DSDV!B1447</f>
        <v>0</v>
      </c>
      <c r="B1442">
        <f>DSDV!G1447</f>
        <v>0</v>
      </c>
      <c r="C1442" s="288">
        <f>DSDV!K1447</f>
        <v>0</v>
      </c>
      <c r="D1442" s="289">
        <f>DSDV!W1447</f>
        <v>0</v>
      </c>
    </row>
    <row r="1443" spans="1:4">
      <c r="A1443">
        <f>DSDV!B1448</f>
        <v>0</v>
      </c>
      <c r="B1443">
        <f>DSDV!G1448</f>
        <v>0</v>
      </c>
      <c r="C1443" s="288">
        <f>DSDV!K1448</f>
        <v>0</v>
      </c>
      <c r="D1443" s="289">
        <f>DSDV!W1448</f>
        <v>0</v>
      </c>
    </row>
    <row r="1444" spans="1:4">
      <c r="A1444">
        <f>DSDV!B1449</f>
        <v>0</v>
      </c>
      <c r="B1444">
        <f>DSDV!G1449</f>
        <v>0</v>
      </c>
      <c r="C1444" s="288">
        <f>DSDV!K1449</f>
        <v>0</v>
      </c>
      <c r="D1444" s="289">
        <f>DSDV!W1449</f>
        <v>0</v>
      </c>
    </row>
    <row r="1445" spans="1:4">
      <c r="A1445">
        <f>DSDV!B1450</f>
        <v>0</v>
      </c>
      <c r="B1445">
        <f>DSDV!G1450</f>
        <v>0</v>
      </c>
      <c r="C1445" s="288">
        <f>DSDV!K1450</f>
        <v>0</v>
      </c>
      <c r="D1445" s="289">
        <f>DSDV!W1450</f>
        <v>0</v>
      </c>
    </row>
    <row r="1446" spans="1:4">
      <c r="A1446">
        <f>DSDV!B1451</f>
        <v>0</v>
      </c>
      <c r="B1446">
        <f>DSDV!G1451</f>
        <v>0</v>
      </c>
      <c r="C1446" s="288">
        <f>DSDV!K1451</f>
        <v>0</v>
      </c>
      <c r="D1446" s="289">
        <f>DSDV!W1451</f>
        <v>0</v>
      </c>
    </row>
    <row r="1447" spans="1:4">
      <c r="A1447">
        <f>DSDV!B1452</f>
        <v>0</v>
      </c>
      <c r="B1447">
        <f>DSDV!G1452</f>
        <v>0</v>
      </c>
      <c r="C1447" s="288">
        <f>DSDV!K1452</f>
        <v>0</v>
      </c>
      <c r="D1447" s="289">
        <f>DSDV!W1452</f>
        <v>0</v>
      </c>
    </row>
    <row r="1448" spans="1:4">
      <c r="A1448">
        <f>DSDV!B1453</f>
        <v>0</v>
      </c>
      <c r="B1448">
        <f>DSDV!G1453</f>
        <v>0</v>
      </c>
      <c r="C1448" s="288">
        <f>DSDV!K1453</f>
        <v>0</v>
      </c>
      <c r="D1448" s="289">
        <f>DSDV!W1453</f>
        <v>0</v>
      </c>
    </row>
    <row r="1449" spans="1:4">
      <c r="A1449">
        <f>DSDV!B1454</f>
        <v>0</v>
      </c>
      <c r="B1449">
        <f>DSDV!G1454</f>
        <v>0</v>
      </c>
      <c r="C1449" s="288">
        <f>DSDV!K1454</f>
        <v>0</v>
      </c>
      <c r="D1449" s="289">
        <f>DSDV!W1454</f>
        <v>0</v>
      </c>
    </row>
    <row r="1450" spans="1:4">
      <c r="A1450">
        <f>DSDV!B1455</f>
        <v>0</v>
      </c>
      <c r="B1450">
        <f>DSDV!G1455</f>
        <v>0</v>
      </c>
      <c r="C1450" s="288">
        <f>DSDV!K1455</f>
        <v>0</v>
      </c>
      <c r="D1450" s="289">
        <f>DSDV!W1455</f>
        <v>0</v>
      </c>
    </row>
    <row r="1451" spans="1:4">
      <c r="A1451">
        <f>DSDV!B1456</f>
        <v>0</v>
      </c>
      <c r="B1451">
        <f>DSDV!G1456</f>
        <v>0</v>
      </c>
      <c r="C1451" s="288">
        <f>DSDV!K1456</f>
        <v>0</v>
      </c>
      <c r="D1451" s="289">
        <f>DSDV!W1456</f>
        <v>0</v>
      </c>
    </row>
    <row r="1452" spans="1:4">
      <c r="A1452">
        <f>DSDV!B1457</f>
        <v>0</v>
      </c>
      <c r="B1452">
        <f>DSDV!G1457</f>
        <v>0</v>
      </c>
      <c r="C1452" s="288">
        <f>DSDV!K1457</f>
        <v>0</v>
      </c>
      <c r="D1452" s="289">
        <f>DSDV!W1457</f>
        <v>0</v>
      </c>
    </row>
    <row r="1453" spans="1:4">
      <c r="A1453">
        <f>DSDV!B1458</f>
        <v>0</v>
      </c>
      <c r="B1453">
        <f>DSDV!G1458</f>
        <v>0</v>
      </c>
      <c r="C1453" s="288">
        <f>DSDV!K1458</f>
        <v>0</v>
      </c>
      <c r="D1453" s="289">
        <f>DSDV!W1458</f>
        <v>0</v>
      </c>
    </row>
    <row r="1454" spans="1:4">
      <c r="A1454">
        <f>DSDV!B1459</f>
        <v>0</v>
      </c>
      <c r="B1454">
        <f>DSDV!G1459</f>
        <v>0</v>
      </c>
      <c r="C1454" s="288">
        <f>DSDV!K1459</f>
        <v>0</v>
      </c>
      <c r="D1454" s="289">
        <f>DSDV!W1459</f>
        <v>0</v>
      </c>
    </row>
    <row r="1455" spans="1:4">
      <c r="A1455">
        <f>DSDV!B1460</f>
        <v>0</v>
      </c>
      <c r="B1455">
        <f>DSDV!G1460</f>
        <v>0</v>
      </c>
      <c r="C1455" s="288">
        <f>DSDV!K1460</f>
        <v>0</v>
      </c>
      <c r="D1455" s="289">
        <f>DSDV!W1460</f>
        <v>0</v>
      </c>
    </row>
    <row r="1456" spans="1:4">
      <c r="A1456">
        <f>DSDV!B1461</f>
        <v>0</v>
      </c>
      <c r="B1456">
        <f>DSDV!G1461</f>
        <v>0</v>
      </c>
      <c r="C1456" s="288">
        <f>DSDV!K1461</f>
        <v>0</v>
      </c>
      <c r="D1456" s="289">
        <f>DSDV!W1461</f>
        <v>0</v>
      </c>
    </row>
    <row r="1457" spans="1:4">
      <c r="A1457">
        <f>DSDV!B1462</f>
        <v>0</v>
      </c>
      <c r="B1457">
        <f>DSDV!G1462</f>
        <v>0</v>
      </c>
      <c r="C1457" s="288">
        <f>DSDV!K1462</f>
        <v>0</v>
      </c>
      <c r="D1457" s="289">
        <f>DSDV!W1462</f>
        <v>0</v>
      </c>
    </row>
    <row r="1458" spans="1:4">
      <c r="A1458">
        <f>DSDV!B1463</f>
        <v>0</v>
      </c>
      <c r="B1458">
        <f>DSDV!G1463</f>
        <v>0</v>
      </c>
      <c r="C1458" s="288">
        <f>DSDV!K1463</f>
        <v>0</v>
      </c>
      <c r="D1458" s="289">
        <f>DSDV!W1463</f>
        <v>0</v>
      </c>
    </row>
    <row r="1459" spans="1:4">
      <c r="A1459">
        <f>DSDV!B1464</f>
        <v>0</v>
      </c>
      <c r="B1459">
        <f>DSDV!G1464</f>
        <v>0</v>
      </c>
      <c r="C1459" s="288">
        <f>DSDV!K1464</f>
        <v>0</v>
      </c>
      <c r="D1459" s="289">
        <f>DSDV!W1464</f>
        <v>0</v>
      </c>
    </row>
    <row r="1460" spans="1:4">
      <c r="A1460">
        <f>DSDV!B1465</f>
        <v>0</v>
      </c>
      <c r="B1460">
        <f>DSDV!G1465</f>
        <v>0</v>
      </c>
      <c r="C1460" s="288">
        <f>DSDV!K1465</f>
        <v>0</v>
      </c>
      <c r="D1460" s="289">
        <f>DSDV!W1465</f>
        <v>0</v>
      </c>
    </row>
    <row r="1461" spans="1:4">
      <c r="A1461">
        <f>DSDV!B1466</f>
        <v>0</v>
      </c>
      <c r="B1461">
        <f>DSDV!G1466</f>
        <v>0</v>
      </c>
      <c r="C1461" s="288">
        <f>DSDV!K1466</f>
        <v>0</v>
      </c>
      <c r="D1461" s="289">
        <f>DSDV!W1466</f>
        <v>0</v>
      </c>
    </row>
    <row r="1462" spans="1:4">
      <c r="A1462">
        <f>DSDV!B1467</f>
        <v>0</v>
      </c>
      <c r="B1462">
        <f>DSDV!G1467</f>
        <v>0</v>
      </c>
      <c r="C1462" s="288">
        <f>DSDV!K1467</f>
        <v>0</v>
      </c>
      <c r="D1462" s="289">
        <f>DSDV!W1467</f>
        <v>0</v>
      </c>
    </row>
    <row r="1463" spans="1:4">
      <c r="A1463">
        <f>DSDV!B1468</f>
        <v>0</v>
      </c>
      <c r="B1463">
        <f>DSDV!G1468</f>
        <v>0</v>
      </c>
      <c r="C1463" s="288">
        <f>DSDV!K1468</f>
        <v>0</v>
      </c>
      <c r="D1463" s="289">
        <f>DSDV!W1468</f>
        <v>0</v>
      </c>
    </row>
    <row r="1464" spans="1:4">
      <c r="A1464">
        <f>DSDV!B1469</f>
        <v>0</v>
      </c>
      <c r="B1464">
        <f>DSDV!G1469</f>
        <v>0</v>
      </c>
      <c r="C1464" s="288">
        <f>DSDV!K1469</f>
        <v>0</v>
      </c>
      <c r="D1464" s="289">
        <f>DSDV!W1469</f>
        <v>0</v>
      </c>
    </row>
    <row r="1465" spans="1:4">
      <c r="A1465">
        <f>DSDV!B1470</f>
        <v>0</v>
      </c>
      <c r="B1465">
        <f>DSDV!G1470</f>
        <v>0</v>
      </c>
      <c r="C1465" s="288">
        <f>DSDV!K1470</f>
        <v>0</v>
      </c>
      <c r="D1465" s="289">
        <f>DSDV!W1470</f>
        <v>0</v>
      </c>
    </row>
    <row r="1466" spans="1:4">
      <c r="A1466">
        <f>DSDV!B1471</f>
        <v>0</v>
      </c>
      <c r="B1466">
        <f>DSDV!G1471</f>
        <v>0</v>
      </c>
      <c r="C1466" s="288">
        <f>DSDV!K1471</f>
        <v>0</v>
      </c>
      <c r="D1466" s="289">
        <f>DSDV!W1471</f>
        <v>0</v>
      </c>
    </row>
    <row r="1467" spans="1:4">
      <c r="A1467">
        <f>DSDV!B1472</f>
        <v>0</v>
      </c>
      <c r="B1467">
        <f>DSDV!G1472</f>
        <v>0</v>
      </c>
      <c r="C1467" s="288">
        <f>DSDV!K1472</f>
        <v>0</v>
      </c>
      <c r="D1467" s="289">
        <f>DSDV!W1472</f>
        <v>0</v>
      </c>
    </row>
    <row r="1468" spans="1:4">
      <c r="A1468">
        <f>DSDV!B1473</f>
        <v>0</v>
      </c>
      <c r="B1468">
        <f>DSDV!G1473</f>
        <v>0</v>
      </c>
      <c r="C1468" s="288">
        <f>DSDV!K1473</f>
        <v>0</v>
      </c>
      <c r="D1468" s="289">
        <f>DSDV!W1473</f>
        <v>0</v>
      </c>
    </row>
    <row r="1469" spans="1:4">
      <c r="A1469">
        <f>DSDV!B1474</f>
        <v>0</v>
      </c>
      <c r="B1469">
        <f>DSDV!G1474</f>
        <v>0</v>
      </c>
      <c r="C1469" s="288">
        <f>DSDV!K1474</f>
        <v>0</v>
      </c>
      <c r="D1469" s="289">
        <f>DSDV!W1474</f>
        <v>0</v>
      </c>
    </row>
    <row r="1470" spans="1:4">
      <c r="A1470">
        <f>DSDV!B1475</f>
        <v>0</v>
      </c>
      <c r="B1470">
        <f>DSDV!G1475</f>
        <v>0</v>
      </c>
      <c r="C1470" s="288">
        <f>DSDV!K1475</f>
        <v>0</v>
      </c>
      <c r="D1470" s="289">
        <f>DSDV!W1475</f>
        <v>0</v>
      </c>
    </row>
    <row r="1471" spans="1:4">
      <c r="A1471">
        <f>DSDV!B1476</f>
        <v>0</v>
      </c>
      <c r="B1471">
        <f>DSDV!G1476</f>
        <v>0</v>
      </c>
      <c r="C1471" s="288">
        <f>DSDV!K1476</f>
        <v>0</v>
      </c>
      <c r="D1471" s="289">
        <f>DSDV!W1476</f>
        <v>0</v>
      </c>
    </row>
    <row r="1472" spans="1:4">
      <c r="A1472">
        <f>DSDV!B1477</f>
        <v>0</v>
      </c>
      <c r="B1472">
        <f>DSDV!G1477</f>
        <v>0</v>
      </c>
      <c r="C1472" s="288">
        <f>DSDV!K1477</f>
        <v>0</v>
      </c>
      <c r="D1472" s="289">
        <f>DSDV!W1477</f>
        <v>0</v>
      </c>
    </row>
    <row r="1473" spans="1:4">
      <c r="A1473">
        <f>DSDV!B1478</f>
        <v>0</v>
      </c>
      <c r="B1473">
        <f>DSDV!G1478</f>
        <v>0</v>
      </c>
      <c r="C1473" s="288">
        <f>DSDV!K1478</f>
        <v>0</v>
      </c>
      <c r="D1473" s="289">
        <f>DSDV!W1478</f>
        <v>0</v>
      </c>
    </row>
    <row r="1474" spans="1:4">
      <c r="A1474">
        <f>DSDV!B1479</f>
        <v>0</v>
      </c>
      <c r="B1474">
        <f>DSDV!G1479</f>
        <v>0</v>
      </c>
      <c r="C1474" s="288">
        <f>DSDV!K1479</f>
        <v>0</v>
      </c>
      <c r="D1474" s="289">
        <f>DSDV!W1479</f>
        <v>0</v>
      </c>
    </row>
    <row r="1475" spans="1:4">
      <c r="A1475">
        <f>DSDV!B1480</f>
        <v>0</v>
      </c>
      <c r="B1475">
        <f>DSDV!G1480</f>
        <v>0</v>
      </c>
      <c r="C1475" s="288">
        <f>DSDV!K1480</f>
        <v>0</v>
      </c>
      <c r="D1475" s="289">
        <f>DSDV!W1480</f>
        <v>0</v>
      </c>
    </row>
    <row r="1476" spans="1:4">
      <c r="A1476">
        <f>DSDV!B1481</f>
        <v>0</v>
      </c>
      <c r="B1476">
        <f>DSDV!G1481</f>
        <v>0</v>
      </c>
      <c r="C1476" s="288">
        <f>DSDV!K1481</f>
        <v>0</v>
      </c>
      <c r="D1476" s="289">
        <f>DSDV!W1481</f>
        <v>0</v>
      </c>
    </row>
    <row r="1477" spans="1:4">
      <c r="A1477">
        <f>DSDV!B1482</f>
        <v>0</v>
      </c>
      <c r="B1477">
        <f>DSDV!G1482</f>
        <v>0</v>
      </c>
      <c r="C1477" s="288">
        <f>DSDV!K1482</f>
        <v>0</v>
      </c>
      <c r="D1477" s="289">
        <f>DSDV!W1482</f>
        <v>0</v>
      </c>
    </row>
    <row r="1478" spans="1:4">
      <c r="A1478">
        <f>DSDV!B1483</f>
        <v>0</v>
      </c>
      <c r="B1478">
        <f>DSDV!G1483</f>
        <v>0</v>
      </c>
      <c r="C1478" s="288">
        <f>DSDV!K1483</f>
        <v>0</v>
      </c>
      <c r="D1478" s="289">
        <f>DSDV!W1483</f>
        <v>0</v>
      </c>
    </row>
    <row r="1479" spans="1:4">
      <c r="A1479">
        <f>DSDV!B1484</f>
        <v>0</v>
      </c>
      <c r="B1479">
        <f>DSDV!G1484</f>
        <v>0</v>
      </c>
      <c r="C1479" s="288">
        <f>DSDV!K1484</f>
        <v>0</v>
      </c>
      <c r="D1479" s="289">
        <f>DSDV!W1484</f>
        <v>0</v>
      </c>
    </row>
    <row r="1480" spans="1:4">
      <c r="A1480">
        <f>DSDV!B1485</f>
        <v>0</v>
      </c>
      <c r="B1480">
        <f>DSDV!G1485</f>
        <v>0</v>
      </c>
      <c r="C1480" s="288">
        <f>DSDV!K1485</f>
        <v>0</v>
      </c>
      <c r="D1480" s="289">
        <f>DSDV!W1485</f>
        <v>0</v>
      </c>
    </row>
    <row r="1481" spans="1:4">
      <c r="A1481">
        <f>DSDV!B1486</f>
        <v>0</v>
      </c>
      <c r="B1481">
        <f>DSDV!G1486</f>
        <v>0</v>
      </c>
      <c r="C1481" s="288">
        <f>DSDV!K1486</f>
        <v>0</v>
      </c>
      <c r="D1481" s="289">
        <f>DSDV!W1486</f>
        <v>0</v>
      </c>
    </row>
    <row r="1482" spans="1:4">
      <c r="A1482">
        <f>DSDV!B1487</f>
        <v>0</v>
      </c>
      <c r="B1482">
        <f>DSDV!G1487</f>
        <v>0</v>
      </c>
      <c r="C1482" s="288">
        <f>DSDV!K1487</f>
        <v>0</v>
      </c>
      <c r="D1482" s="289">
        <f>DSDV!W1487</f>
        <v>0</v>
      </c>
    </row>
    <row r="1483" spans="1:4">
      <c r="A1483">
        <f>DSDV!B1488</f>
        <v>0</v>
      </c>
      <c r="B1483">
        <f>DSDV!G1488</f>
        <v>0</v>
      </c>
      <c r="C1483" s="288">
        <f>DSDV!K1488</f>
        <v>0</v>
      </c>
      <c r="D1483" s="289">
        <f>DSDV!W1488</f>
        <v>0</v>
      </c>
    </row>
    <row r="1484" spans="1:4">
      <c r="A1484">
        <f>DSDV!B1489</f>
        <v>0</v>
      </c>
      <c r="B1484">
        <f>DSDV!G1489</f>
        <v>0</v>
      </c>
      <c r="C1484" s="288">
        <f>DSDV!K1489</f>
        <v>0</v>
      </c>
      <c r="D1484" s="289">
        <f>DSDV!W1489</f>
        <v>0</v>
      </c>
    </row>
    <row r="1485" spans="1:4">
      <c r="A1485">
        <f>DSDV!B1490</f>
        <v>0</v>
      </c>
      <c r="B1485">
        <f>DSDV!G1490</f>
        <v>0</v>
      </c>
      <c r="C1485" s="288">
        <f>DSDV!K1490</f>
        <v>0</v>
      </c>
      <c r="D1485" s="289">
        <f>DSDV!W1490</f>
        <v>0</v>
      </c>
    </row>
    <row r="1486" spans="1:4">
      <c r="A1486">
        <f>DSDV!B1491</f>
        <v>0</v>
      </c>
      <c r="B1486">
        <f>DSDV!G1491</f>
        <v>0</v>
      </c>
      <c r="C1486" s="288">
        <f>DSDV!K1491</f>
        <v>0</v>
      </c>
      <c r="D1486" s="289">
        <f>DSDV!W1491</f>
        <v>0</v>
      </c>
    </row>
    <row r="1487" spans="1:4">
      <c r="A1487">
        <f>DSDV!B1492</f>
        <v>0</v>
      </c>
      <c r="B1487">
        <f>DSDV!G1492</f>
        <v>0</v>
      </c>
      <c r="C1487" s="288">
        <f>DSDV!K1492</f>
        <v>0</v>
      </c>
      <c r="D1487" s="289">
        <f>DSDV!W1492</f>
        <v>0</v>
      </c>
    </row>
    <row r="1488" spans="1:4">
      <c r="A1488">
        <f>DSDV!B1493</f>
        <v>0</v>
      </c>
      <c r="B1488">
        <f>DSDV!G1493</f>
        <v>0</v>
      </c>
      <c r="C1488" s="288">
        <f>DSDV!K1493</f>
        <v>0</v>
      </c>
      <c r="D1488" s="289">
        <f>DSDV!W1493</f>
        <v>0</v>
      </c>
    </row>
    <row r="1489" spans="1:4">
      <c r="A1489">
        <f>DSDV!B1494</f>
        <v>0</v>
      </c>
      <c r="B1489">
        <f>DSDV!G1494</f>
        <v>0</v>
      </c>
      <c r="C1489" s="288">
        <f>DSDV!K1494</f>
        <v>0</v>
      </c>
      <c r="D1489" s="289">
        <f>DSDV!W1494</f>
        <v>0</v>
      </c>
    </row>
    <row r="1490" spans="1:4">
      <c r="A1490">
        <f>DSDV!B1495</f>
        <v>0</v>
      </c>
      <c r="B1490">
        <f>DSDV!G1495</f>
        <v>0</v>
      </c>
      <c r="C1490" s="288">
        <f>DSDV!K1495</f>
        <v>0</v>
      </c>
      <c r="D1490" s="289">
        <f>DSDV!W1495</f>
        <v>0</v>
      </c>
    </row>
    <row r="1491" spans="1:4">
      <c r="A1491">
        <f>DSDV!B1496</f>
        <v>0</v>
      </c>
      <c r="B1491">
        <f>DSDV!G1496</f>
        <v>0</v>
      </c>
      <c r="C1491" s="288">
        <f>DSDV!K1496</f>
        <v>0</v>
      </c>
      <c r="D1491" s="289">
        <f>DSDV!W1496</f>
        <v>0</v>
      </c>
    </row>
    <row r="1492" spans="1:4">
      <c r="A1492">
        <f>DSDV!B1497</f>
        <v>0</v>
      </c>
      <c r="B1492">
        <f>DSDV!G1497</f>
        <v>0</v>
      </c>
      <c r="C1492" s="288">
        <f>DSDV!K1497</f>
        <v>0</v>
      </c>
      <c r="D1492" s="289">
        <f>DSDV!W1497</f>
        <v>0</v>
      </c>
    </row>
    <row r="1493" spans="1:4">
      <c r="A1493">
        <f>DSDV!B1498</f>
        <v>0</v>
      </c>
      <c r="B1493">
        <f>DSDV!G1498</f>
        <v>0</v>
      </c>
      <c r="C1493" s="288">
        <f>DSDV!K1498</f>
        <v>0</v>
      </c>
      <c r="D1493" s="289">
        <f>DSDV!W1498</f>
        <v>0</v>
      </c>
    </row>
    <row r="1494" spans="1:4">
      <c r="A1494">
        <f>DSDV!B1499</f>
        <v>0</v>
      </c>
      <c r="B1494">
        <f>DSDV!G1499</f>
        <v>0</v>
      </c>
      <c r="C1494" s="288">
        <f>DSDV!K1499</f>
        <v>0</v>
      </c>
      <c r="D1494" s="289">
        <f>DSDV!W1499</f>
        <v>0</v>
      </c>
    </row>
    <row r="1495" spans="1:4">
      <c r="A1495">
        <f>DSDV!B1500</f>
        <v>0</v>
      </c>
      <c r="B1495">
        <f>DSDV!G1500</f>
        <v>0</v>
      </c>
      <c r="C1495" s="288">
        <f>DSDV!K1500</f>
        <v>0</v>
      </c>
      <c r="D1495" s="289">
        <f>DSDV!W1500</f>
        <v>0</v>
      </c>
    </row>
    <row r="1496" spans="1:4">
      <c r="A1496">
        <f>DSDV!B1501</f>
        <v>0</v>
      </c>
      <c r="B1496">
        <f>DSDV!G1501</f>
        <v>0</v>
      </c>
      <c r="C1496" s="288">
        <f>DSDV!K1501</f>
        <v>0</v>
      </c>
      <c r="D1496" s="289">
        <f>DSDV!W1501</f>
        <v>0</v>
      </c>
    </row>
    <row r="1497" spans="1:4">
      <c r="A1497">
        <f>DSDV!B1502</f>
        <v>0</v>
      </c>
      <c r="B1497">
        <f>DSDV!G1502</f>
        <v>0</v>
      </c>
      <c r="C1497" s="288">
        <f>DSDV!K1502</f>
        <v>0</v>
      </c>
      <c r="D1497" s="289">
        <f>DSDV!W1502</f>
        <v>0</v>
      </c>
    </row>
    <row r="1498" spans="1:4">
      <c r="A1498">
        <f>DSDV!B1503</f>
        <v>0</v>
      </c>
      <c r="B1498">
        <f>DSDV!G1503</f>
        <v>0</v>
      </c>
      <c r="C1498" s="288">
        <f>DSDV!K1503</f>
        <v>0</v>
      </c>
      <c r="D1498" s="289">
        <f>DSDV!W1503</f>
        <v>0</v>
      </c>
    </row>
    <row r="1499" spans="1:4">
      <c r="A1499">
        <f>DSDV!B1504</f>
        <v>0</v>
      </c>
      <c r="B1499">
        <f>DSDV!G1504</f>
        <v>0</v>
      </c>
      <c r="C1499" s="288">
        <f>DSDV!K1504</f>
        <v>0</v>
      </c>
      <c r="D1499" s="289">
        <f>DSDV!W1504</f>
        <v>0</v>
      </c>
    </row>
    <row r="1500" spans="1:4">
      <c r="A1500">
        <f>DSDV!B1505</f>
        <v>0</v>
      </c>
      <c r="B1500">
        <f>DSDV!G1505</f>
        <v>0</v>
      </c>
      <c r="C1500" s="288">
        <f>DSDV!K1505</f>
        <v>0</v>
      </c>
      <c r="D1500" s="289">
        <f>DSDV!W1505</f>
        <v>0</v>
      </c>
    </row>
    <row r="1501" spans="1:4">
      <c r="A1501">
        <f>DSDV!B1506</f>
        <v>0</v>
      </c>
      <c r="B1501">
        <f>DSDV!G1506</f>
        <v>0</v>
      </c>
      <c r="C1501" s="288">
        <f>DSDV!K1506</f>
        <v>0</v>
      </c>
      <c r="D1501" s="289">
        <f>DSDV!W1506</f>
        <v>0</v>
      </c>
    </row>
    <row r="1502" spans="1:4">
      <c r="A1502">
        <f>DSDV!B1507</f>
        <v>0</v>
      </c>
      <c r="B1502">
        <f>DSDV!G1507</f>
        <v>0</v>
      </c>
      <c r="C1502" s="288">
        <f>DSDV!K1507</f>
        <v>0</v>
      </c>
      <c r="D1502" s="289">
        <f>DSDV!W1507</f>
        <v>0</v>
      </c>
    </row>
    <row r="1503" spans="1:4">
      <c r="A1503">
        <f>DSDV!B1508</f>
        <v>0</v>
      </c>
      <c r="B1503">
        <f>DSDV!G1508</f>
        <v>0</v>
      </c>
      <c r="C1503" s="288">
        <f>DSDV!K1508</f>
        <v>0</v>
      </c>
      <c r="D1503" s="289">
        <f>DSDV!W1508</f>
        <v>0</v>
      </c>
    </row>
    <row r="1504" spans="1:4">
      <c r="A1504">
        <f>DSDV!B1509</f>
        <v>0</v>
      </c>
      <c r="B1504">
        <f>DSDV!G1509</f>
        <v>0</v>
      </c>
      <c r="C1504" s="288">
        <f>DSDV!K1509</f>
        <v>0</v>
      </c>
      <c r="D1504" s="289">
        <f>DSDV!W1509</f>
        <v>0</v>
      </c>
    </row>
    <row r="1505" spans="1:4">
      <c r="A1505">
        <f>DSDV!B1510</f>
        <v>0</v>
      </c>
      <c r="B1505">
        <f>DSDV!G1510</f>
        <v>0</v>
      </c>
      <c r="C1505" s="288">
        <f>DSDV!K1510</f>
        <v>0</v>
      </c>
      <c r="D1505" s="289">
        <f>DSDV!W1510</f>
        <v>0</v>
      </c>
    </row>
    <row r="1506" spans="1:4">
      <c r="A1506">
        <f>DSDV!B1511</f>
        <v>0</v>
      </c>
      <c r="B1506">
        <f>DSDV!G1511</f>
        <v>0</v>
      </c>
      <c r="C1506" s="288">
        <f>DSDV!K1511</f>
        <v>0</v>
      </c>
      <c r="D1506" s="289">
        <f>DSDV!W1511</f>
        <v>0</v>
      </c>
    </row>
    <row r="1507" spans="1:4">
      <c r="A1507">
        <f>DSDV!B1512</f>
        <v>0</v>
      </c>
      <c r="B1507">
        <f>DSDV!G1512</f>
        <v>0</v>
      </c>
      <c r="C1507" s="288">
        <f>DSDV!K1512</f>
        <v>0</v>
      </c>
      <c r="D1507" s="289">
        <f>DSDV!W1512</f>
        <v>0</v>
      </c>
    </row>
    <row r="1508" spans="1:4">
      <c r="A1508">
        <f>DSDV!B1513</f>
        <v>0</v>
      </c>
      <c r="B1508">
        <f>DSDV!G1513</f>
        <v>0</v>
      </c>
      <c r="C1508" s="288">
        <f>DSDV!K1513</f>
        <v>0</v>
      </c>
      <c r="D1508" s="289">
        <f>DSDV!W1513</f>
        <v>0</v>
      </c>
    </row>
    <row r="1509" spans="1:4">
      <c r="A1509">
        <f>DSDV!B1514</f>
        <v>0</v>
      </c>
      <c r="B1509">
        <f>DSDV!G1514</f>
        <v>0</v>
      </c>
      <c r="C1509" s="288">
        <f>DSDV!K1514</f>
        <v>0</v>
      </c>
      <c r="D1509" s="289">
        <f>DSDV!W1514</f>
        <v>0</v>
      </c>
    </row>
    <row r="1510" spans="1:4">
      <c r="A1510">
        <f>DSDV!B1515</f>
        <v>0</v>
      </c>
      <c r="B1510">
        <f>DSDV!G1515</f>
        <v>0</v>
      </c>
      <c r="C1510" s="288">
        <f>DSDV!K1515</f>
        <v>0</v>
      </c>
      <c r="D1510" s="289">
        <f>DSDV!W1515</f>
        <v>0</v>
      </c>
    </row>
    <row r="1511" spans="1:4">
      <c r="A1511">
        <f>DSDV!B1516</f>
        <v>0</v>
      </c>
      <c r="B1511">
        <f>DSDV!G1516</f>
        <v>0</v>
      </c>
      <c r="C1511" s="288">
        <f>DSDV!K1516</f>
        <v>0</v>
      </c>
      <c r="D1511" s="289">
        <f>DSDV!W1516</f>
        <v>0</v>
      </c>
    </row>
    <row r="1512" spans="1:4">
      <c r="A1512">
        <f>DSDV!B1517</f>
        <v>0</v>
      </c>
      <c r="B1512">
        <f>DSDV!G1517</f>
        <v>0</v>
      </c>
      <c r="C1512" s="288">
        <f>DSDV!K1517</f>
        <v>0</v>
      </c>
      <c r="D1512" s="289">
        <f>DSDV!W1517</f>
        <v>0</v>
      </c>
    </row>
    <row r="1513" spans="1:4">
      <c r="A1513">
        <f>DSDV!B1518</f>
        <v>0</v>
      </c>
      <c r="B1513">
        <f>DSDV!G1518</f>
        <v>0</v>
      </c>
      <c r="C1513" s="288">
        <f>DSDV!K1518</f>
        <v>0</v>
      </c>
      <c r="D1513" s="289">
        <f>DSDV!W1518</f>
        <v>0</v>
      </c>
    </row>
    <row r="1514" spans="1:4">
      <c r="A1514">
        <f>DSDV!B1519</f>
        <v>0</v>
      </c>
      <c r="B1514">
        <f>DSDV!G1519</f>
        <v>0</v>
      </c>
      <c r="C1514" s="288">
        <f>DSDV!K1519</f>
        <v>0</v>
      </c>
      <c r="D1514" s="289">
        <f>DSDV!W1519</f>
        <v>0</v>
      </c>
    </row>
    <row r="1515" spans="1:4">
      <c r="A1515">
        <f>DSDV!B1520</f>
        <v>0</v>
      </c>
      <c r="B1515">
        <f>DSDV!G1520</f>
        <v>0</v>
      </c>
      <c r="C1515" s="288">
        <f>DSDV!K1520</f>
        <v>0</v>
      </c>
      <c r="D1515" s="289">
        <f>DSDV!W1520</f>
        <v>0</v>
      </c>
    </row>
    <row r="1516" spans="1:4">
      <c r="A1516">
        <f>DSDV!B1521</f>
        <v>0</v>
      </c>
      <c r="B1516">
        <f>DSDV!G1521</f>
        <v>0</v>
      </c>
      <c r="C1516" s="288">
        <f>DSDV!K1521</f>
        <v>0</v>
      </c>
      <c r="D1516" s="289">
        <f>DSDV!W1521</f>
        <v>0</v>
      </c>
    </row>
    <row r="1517" spans="1:4">
      <c r="A1517">
        <f>DSDV!B1522</f>
        <v>0</v>
      </c>
      <c r="B1517">
        <f>DSDV!G1522</f>
        <v>0</v>
      </c>
      <c r="C1517" s="288">
        <f>DSDV!K1522</f>
        <v>0</v>
      </c>
      <c r="D1517" s="289">
        <f>DSDV!W1522</f>
        <v>0</v>
      </c>
    </row>
    <row r="1518" spans="1:4">
      <c r="A1518">
        <f>DSDV!B1523</f>
        <v>0</v>
      </c>
      <c r="B1518">
        <f>DSDV!G1523</f>
        <v>0</v>
      </c>
      <c r="C1518" s="288">
        <f>DSDV!K1523</f>
        <v>0</v>
      </c>
      <c r="D1518" s="289">
        <f>DSDV!W1523</f>
        <v>0</v>
      </c>
    </row>
    <row r="1519" spans="1:4">
      <c r="A1519">
        <f>DSDV!B1524</f>
        <v>0</v>
      </c>
      <c r="B1519">
        <f>DSDV!G1524</f>
        <v>0</v>
      </c>
      <c r="C1519" s="288">
        <f>DSDV!K1524</f>
        <v>0</v>
      </c>
      <c r="D1519" s="289">
        <f>DSDV!W1524</f>
        <v>0</v>
      </c>
    </row>
    <row r="1520" spans="1:4">
      <c r="A1520">
        <f>DSDV!B1525</f>
        <v>0</v>
      </c>
      <c r="B1520">
        <f>DSDV!G1525</f>
        <v>0</v>
      </c>
      <c r="C1520" s="288">
        <f>DSDV!K1525</f>
        <v>0</v>
      </c>
      <c r="D1520" s="289">
        <f>DSDV!W1525</f>
        <v>0</v>
      </c>
    </row>
    <row r="1521" spans="1:4">
      <c r="A1521">
        <f>DSDV!B1526</f>
        <v>0</v>
      </c>
      <c r="B1521">
        <f>DSDV!G1526</f>
        <v>0</v>
      </c>
      <c r="C1521" s="288">
        <f>DSDV!K1526</f>
        <v>0</v>
      </c>
      <c r="D1521" s="289">
        <f>DSDV!W1526</f>
        <v>0</v>
      </c>
    </row>
    <row r="1522" spans="1:4">
      <c r="A1522">
        <f>DSDV!B1527</f>
        <v>0</v>
      </c>
      <c r="B1522">
        <f>DSDV!G1527</f>
        <v>0</v>
      </c>
      <c r="C1522" s="288">
        <f>DSDV!K1527</f>
        <v>0</v>
      </c>
      <c r="D1522" s="289">
        <f>DSDV!W1527</f>
        <v>0</v>
      </c>
    </row>
    <row r="1523" spans="1:4">
      <c r="A1523">
        <f>DSDV!B1528</f>
        <v>0</v>
      </c>
      <c r="B1523">
        <f>DSDV!G1528</f>
        <v>0</v>
      </c>
      <c r="C1523" s="288">
        <f>DSDV!K1528</f>
        <v>0</v>
      </c>
      <c r="D1523" s="289">
        <f>DSDV!W1528</f>
        <v>0</v>
      </c>
    </row>
    <row r="1524" spans="1:4">
      <c r="A1524">
        <f>DSDV!B1529</f>
        <v>0</v>
      </c>
      <c r="B1524">
        <f>DSDV!G1529</f>
        <v>0</v>
      </c>
      <c r="C1524" s="288">
        <f>DSDV!K1529</f>
        <v>0</v>
      </c>
      <c r="D1524" s="289">
        <f>DSDV!W1529</f>
        <v>0</v>
      </c>
    </row>
    <row r="1525" spans="1:4">
      <c r="A1525">
        <f>DSDV!B1530</f>
        <v>0</v>
      </c>
      <c r="B1525">
        <f>DSDV!G1530</f>
        <v>0</v>
      </c>
      <c r="C1525" s="288">
        <f>DSDV!K1530</f>
        <v>0</v>
      </c>
      <c r="D1525" s="289">
        <f>DSDV!W1530</f>
        <v>0</v>
      </c>
    </row>
    <row r="1526" spans="1:4">
      <c r="A1526">
        <f>DSDV!B1531</f>
        <v>0</v>
      </c>
      <c r="B1526">
        <f>DSDV!G1531</f>
        <v>0</v>
      </c>
      <c r="C1526" s="288">
        <f>DSDV!K1531</f>
        <v>0</v>
      </c>
      <c r="D1526" s="289">
        <f>DSDV!W1531</f>
        <v>0</v>
      </c>
    </row>
    <row r="1527" spans="1:4">
      <c r="A1527">
        <f>DSDV!B1532</f>
        <v>0</v>
      </c>
      <c r="B1527">
        <f>DSDV!G1532</f>
        <v>0</v>
      </c>
      <c r="C1527" s="288">
        <f>DSDV!K1532</f>
        <v>0</v>
      </c>
      <c r="D1527" s="289">
        <f>DSDV!W1532</f>
        <v>0</v>
      </c>
    </row>
    <row r="1528" spans="1:4">
      <c r="A1528">
        <f>DSDV!B1533</f>
        <v>0</v>
      </c>
      <c r="B1528">
        <f>DSDV!G1533</f>
        <v>0</v>
      </c>
      <c r="C1528" s="288">
        <f>DSDV!K1533</f>
        <v>0</v>
      </c>
      <c r="D1528" s="289">
        <f>DSDV!W1533</f>
        <v>0</v>
      </c>
    </row>
    <row r="1529" spans="1:4">
      <c r="A1529">
        <f>DSDV!B1534</f>
        <v>0</v>
      </c>
      <c r="B1529">
        <f>DSDV!G1534</f>
        <v>0</v>
      </c>
      <c r="C1529" s="288">
        <f>DSDV!K1534</f>
        <v>0</v>
      </c>
      <c r="D1529" s="289">
        <f>DSDV!W1534</f>
        <v>0</v>
      </c>
    </row>
    <row r="1530" spans="1:4">
      <c r="A1530">
        <f>DSDV!B1535</f>
        <v>0</v>
      </c>
      <c r="B1530">
        <f>DSDV!G1535</f>
        <v>0</v>
      </c>
      <c r="C1530" s="288">
        <f>DSDV!K1535</f>
        <v>0</v>
      </c>
      <c r="D1530" s="289">
        <f>DSDV!W1535</f>
        <v>0</v>
      </c>
    </row>
    <row r="1531" spans="1:4">
      <c r="A1531">
        <f>DSDV!B1536</f>
        <v>0</v>
      </c>
      <c r="B1531">
        <f>DSDV!G1536</f>
        <v>0</v>
      </c>
      <c r="C1531" s="288">
        <f>DSDV!K1536</f>
        <v>0</v>
      </c>
      <c r="D1531" s="289">
        <f>DSDV!W1536</f>
        <v>0</v>
      </c>
    </row>
    <row r="1532" spans="1:4">
      <c r="A1532">
        <f>DSDV!B1537</f>
        <v>0</v>
      </c>
      <c r="B1532">
        <f>DSDV!G1537</f>
        <v>0</v>
      </c>
      <c r="C1532" s="288">
        <f>DSDV!K1537</f>
        <v>0</v>
      </c>
      <c r="D1532" s="289">
        <f>DSDV!W1537</f>
        <v>0</v>
      </c>
    </row>
    <row r="1533" spans="1:4">
      <c r="A1533">
        <f>DSDV!B1538</f>
        <v>0</v>
      </c>
      <c r="B1533">
        <f>DSDV!G1538</f>
        <v>0</v>
      </c>
      <c r="C1533" s="288">
        <f>DSDV!K1538</f>
        <v>0</v>
      </c>
      <c r="D1533" s="289">
        <f>DSDV!W1538</f>
        <v>0</v>
      </c>
    </row>
    <row r="1534" spans="1:4">
      <c r="A1534">
        <f>DSDV!B1539</f>
        <v>0</v>
      </c>
      <c r="B1534">
        <f>DSDV!G1539</f>
        <v>0</v>
      </c>
      <c r="C1534" s="288">
        <f>DSDV!K1539</f>
        <v>0</v>
      </c>
      <c r="D1534" s="289">
        <f>DSDV!W1539</f>
        <v>0</v>
      </c>
    </row>
    <row r="1535" spans="1:4">
      <c r="A1535">
        <f>DSDV!B1540</f>
        <v>0</v>
      </c>
      <c r="B1535">
        <f>DSDV!G1540</f>
        <v>0</v>
      </c>
      <c r="C1535" s="288">
        <f>DSDV!K1540</f>
        <v>0</v>
      </c>
      <c r="D1535" s="289">
        <f>DSDV!W1540</f>
        <v>0</v>
      </c>
    </row>
    <row r="1536" spans="1:4">
      <c r="A1536">
        <f>DSDV!B1541</f>
        <v>0</v>
      </c>
      <c r="B1536">
        <f>DSDV!G1541</f>
        <v>0</v>
      </c>
      <c r="C1536" s="288">
        <f>DSDV!K1541</f>
        <v>0</v>
      </c>
      <c r="D1536" s="289">
        <f>DSDV!W1541</f>
        <v>0</v>
      </c>
    </row>
    <row r="1537" spans="1:4">
      <c r="A1537">
        <f>DSDV!B1542</f>
        <v>0</v>
      </c>
      <c r="B1537">
        <f>DSDV!G1542</f>
        <v>0</v>
      </c>
      <c r="C1537" s="288">
        <f>DSDV!K1542</f>
        <v>0</v>
      </c>
      <c r="D1537" s="289">
        <f>DSDV!W1542</f>
        <v>0</v>
      </c>
    </row>
    <row r="1538" spans="1:4">
      <c r="A1538">
        <f>DSDV!B1543</f>
        <v>0</v>
      </c>
      <c r="B1538">
        <f>DSDV!G1543</f>
        <v>0</v>
      </c>
      <c r="C1538" s="288">
        <f>DSDV!K1543</f>
        <v>0</v>
      </c>
      <c r="D1538" s="289">
        <f>DSDV!W1543</f>
        <v>0</v>
      </c>
    </row>
    <row r="1539" spans="1:4">
      <c r="A1539">
        <f>DSDV!B1544</f>
        <v>0</v>
      </c>
      <c r="B1539">
        <f>DSDV!G1544</f>
        <v>0</v>
      </c>
      <c r="C1539" s="288">
        <f>DSDV!K1544</f>
        <v>0</v>
      </c>
      <c r="D1539" s="289">
        <f>DSDV!W1544</f>
        <v>0</v>
      </c>
    </row>
    <row r="1540" spans="1:4">
      <c r="A1540">
        <f>DSDV!B1545</f>
        <v>0</v>
      </c>
      <c r="B1540">
        <f>DSDV!G1545</f>
        <v>0</v>
      </c>
      <c r="C1540" s="288">
        <f>DSDV!K1545</f>
        <v>0</v>
      </c>
      <c r="D1540" s="289">
        <f>DSDV!W1545</f>
        <v>0</v>
      </c>
    </row>
    <row r="1541" spans="1:4">
      <c r="A1541">
        <f>DSDV!B1546</f>
        <v>0</v>
      </c>
      <c r="B1541">
        <f>DSDV!G1546</f>
        <v>0</v>
      </c>
      <c r="C1541" s="288">
        <f>DSDV!K1546</f>
        <v>0</v>
      </c>
      <c r="D1541" s="289">
        <f>DSDV!W1546</f>
        <v>0</v>
      </c>
    </row>
    <row r="1542" spans="1:4">
      <c r="A1542">
        <f>DSDV!B1547</f>
        <v>0</v>
      </c>
      <c r="B1542">
        <f>DSDV!G1547</f>
        <v>0</v>
      </c>
      <c r="C1542" s="288">
        <f>DSDV!K1547</f>
        <v>0</v>
      </c>
      <c r="D1542" s="289">
        <f>DSDV!W1547</f>
        <v>0</v>
      </c>
    </row>
    <row r="1543" spans="1:4">
      <c r="A1543">
        <f>DSDV!B1548</f>
        <v>0</v>
      </c>
      <c r="B1543">
        <f>DSDV!G1548</f>
        <v>0</v>
      </c>
      <c r="C1543" s="288">
        <f>DSDV!K1548</f>
        <v>0</v>
      </c>
      <c r="D1543" s="289">
        <f>DSDV!W1548</f>
        <v>0</v>
      </c>
    </row>
    <row r="1544" spans="1:4">
      <c r="A1544">
        <f>DSDV!B1549</f>
        <v>0</v>
      </c>
      <c r="B1544">
        <f>DSDV!G1549</f>
        <v>0</v>
      </c>
      <c r="C1544" s="288">
        <f>DSDV!K1549</f>
        <v>0</v>
      </c>
      <c r="D1544" s="289">
        <f>DSDV!W1549</f>
        <v>0</v>
      </c>
    </row>
    <row r="1545" spans="1:4">
      <c r="A1545">
        <f>DSDV!B1550</f>
        <v>0</v>
      </c>
      <c r="B1545">
        <f>DSDV!G1550</f>
        <v>0</v>
      </c>
      <c r="C1545" s="288">
        <f>DSDV!K1550</f>
        <v>0</v>
      </c>
      <c r="D1545" s="289">
        <f>DSDV!W1550</f>
        <v>0</v>
      </c>
    </row>
    <row r="1546" spans="1:4">
      <c r="A1546">
        <f>DSDV!B1551</f>
        <v>0</v>
      </c>
      <c r="B1546">
        <f>DSDV!G1551</f>
        <v>0</v>
      </c>
      <c r="C1546" s="288">
        <f>DSDV!K1551</f>
        <v>0</v>
      </c>
      <c r="D1546" s="289">
        <f>DSDV!W1551</f>
        <v>0</v>
      </c>
    </row>
    <row r="1547" spans="1:4">
      <c r="A1547">
        <f>DSDV!B1552</f>
        <v>0</v>
      </c>
      <c r="B1547">
        <f>DSDV!G1552</f>
        <v>0</v>
      </c>
      <c r="C1547" s="288">
        <f>DSDV!K1552</f>
        <v>0</v>
      </c>
      <c r="D1547" s="289">
        <f>DSDV!W1552</f>
        <v>0</v>
      </c>
    </row>
    <row r="1548" spans="1:4">
      <c r="A1548">
        <f>DSDV!B1553</f>
        <v>0</v>
      </c>
      <c r="B1548">
        <f>DSDV!G1553</f>
        <v>0</v>
      </c>
      <c r="C1548" s="288">
        <f>DSDV!K1553</f>
        <v>0</v>
      </c>
      <c r="D1548" s="289">
        <f>DSDV!W1553</f>
        <v>0</v>
      </c>
    </row>
    <row r="1549" spans="1:4">
      <c r="A1549">
        <f>DSDV!B1554</f>
        <v>0</v>
      </c>
      <c r="B1549">
        <f>DSDV!G1554</f>
        <v>0</v>
      </c>
      <c r="C1549" s="288">
        <f>DSDV!K1554</f>
        <v>0</v>
      </c>
      <c r="D1549" s="289">
        <f>DSDV!W1554</f>
        <v>0</v>
      </c>
    </row>
    <row r="1550" spans="1:4">
      <c r="A1550">
        <f>DSDV!B1555</f>
        <v>0</v>
      </c>
      <c r="B1550">
        <f>DSDV!G1555</f>
        <v>0</v>
      </c>
      <c r="C1550" s="288">
        <f>DSDV!K1555</f>
        <v>0</v>
      </c>
      <c r="D1550" s="289">
        <f>DSDV!W1555</f>
        <v>0</v>
      </c>
    </row>
    <row r="1551" spans="1:4">
      <c r="A1551">
        <f>DSDV!B1556</f>
        <v>0</v>
      </c>
      <c r="B1551">
        <f>DSDV!G1556</f>
        <v>0</v>
      </c>
      <c r="C1551" s="288">
        <f>DSDV!K1556</f>
        <v>0</v>
      </c>
      <c r="D1551" s="289">
        <f>DSDV!W1556</f>
        <v>0</v>
      </c>
    </row>
    <row r="1552" spans="1:4">
      <c r="A1552">
        <f>DSDV!B1557</f>
        <v>0</v>
      </c>
      <c r="B1552">
        <f>DSDV!G1557</f>
        <v>0</v>
      </c>
      <c r="C1552" s="288">
        <f>DSDV!K1557</f>
        <v>0</v>
      </c>
      <c r="D1552" s="289">
        <f>DSDV!W1557</f>
        <v>0</v>
      </c>
    </row>
    <row r="1553" spans="1:4">
      <c r="A1553">
        <f>DSDV!B1558</f>
        <v>0</v>
      </c>
      <c r="B1553">
        <f>DSDV!G1558</f>
        <v>0</v>
      </c>
      <c r="C1553" s="288">
        <f>DSDV!K1558</f>
        <v>0</v>
      </c>
      <c r="D1553" s="289">
        <f>DSDV!W1558</f>
        <v>0</v>
      </c>
    </row>
    <row r="1554" spans="1:4">
      <c r="A1554">
        <f>DSDV!B1559</f>
        <v>0</v>
      </c>
      <c r="B1554">
        <f>DSDV!G1559</f>
        <v>0</v>
      </c>
      <c r="C1554" s="288">
        <f>DSDV!K1559</f>
        <v>0</v>
      </c>
      <c r="D1554" s="289">
        <f>DSDV!W1559</f>
        <v>0</v>
      </c>
    </row>
    <row r="1555" spans="1:4">
      <c r="A1555">
        <f>DSDV!B1560</f>
        <v>0</v>
      </c>
      <c r="B1555">
        <f>DSDV!G1560</f>
        <v>0</v>
      </c>
      <c r="C1555" s="288">
        <f>DSDV!K1560</f>
        <v>0</v>
      </c>
      <c r="D1555" s="289">
        <f>DSDV!W1560</f>
        <v>0</v>
      </c>
    </row>
    <row r="1556" spans="1:4">
      <c r="A1556">
        <f>DSDV!B1561</f>
        <v>0</v>
      </c>
      <c r="B1556">
        <f>DSDV!G1561</f>
        <v>0</v>
      </c>
      <c r="C1556" s="288">
        <f>DSDV!K1561</f>
        <v>0</v>
      </c>
      <c r="D1556" s="289">
        <f>DSDV!W1561</f>
        <v>0</v>
      </c>
    </row>
    <row r="1557" spans="1:4">
      <c r="A1557">
        <f>DSDV!B1562</f>
        <v>0</v>
      </c>
      <c r="B1557">
        <f>DSDV!G1562</f>
        <v>0</v>
      </c>
      <c r="C1557" s="288">
        <f>DSDV!K1562</f>
        <v>0</v>
      </c>
      <c r="D1557" s="289">
        <f>DSDV!W1562</f>
        <v>0</v>
      </c>
    </row>
    <row r="1558" spans="1:4">
      <c r="A1558">
        <f>DSDV!B1563</f>
        <v>0</v>
      </c>
      <c r="B1558">
        <f>DSDV!G1563</f>
        <v>0</v>
      </c>
      <c r="C1558" s="288">
        <f>DSDV!K1563</f>
        <v>0</v>
      </c>
      <c r="D1558" s="289">
        <f>DSDV!W1563</f>
        <v>0</v>
      </c>
    </row>
    <row r="1559" spans="1:4">
      <c r="A1559">
        <f>DSDV!B1564</f>
        <v>0</v>
      </c>
      <c r="B1559">
        <f>DSDV!G1564</f>
        <v>0</v>
      </c>
      <c r="C1559" s="288">
        <f>DSDV!K1564</f>
        <v>0</v>
      </c>
      <c r="D1559" s="289">
        <f>DSDV!W1564</f>
        <v>0</v>
      </c>
    </row>
    <row r="1560" spans="1:4">
      <c r="A1560">
        <f>DSDV!B1565</f>
        <v>0</v>
      </c>
      <c r="B1560">
        <f>DSDV!G1565</f>
        <v>0</v>
      </c>
      <c r="C1560" s="288">
        <f>DSDV!K1565</f>
        <v>0</v>
      </c>
      <c r="D1560" s="289">
        <f>DSDV!W1565</f>
        <v>0</v>
      </c>
    </row>
    <row r="1561" spans="1:4">
      <c r="A1561">
        <f>DSDV!B1566</f>
        <v>0</v>
      </c>
      <c r="B1561">
        <f>DSDV!G1566</f>
        <v>0</v>
      </c>
      <c r="C1561" s="288">
        <f>DSDV!K1566</f>
        <v>0</v>
      </c>
      <c r="D1561" s="289">
        <f>DSDV!W1566</f>
        <v>0</v>
      </c>
    </row>
    <row r="1562" spans="1:4">
      <c r="A1562">
        <f>DSDV!B1567</f>
        <v>0</v>
      </c>
      <c r="B1562">
        <f>DSDV!G1567</f>
        <v>0</v>
      </c>
      <c r="C1562" s="288">
        <f>DSDV!K1567</f>
        <v>0</v>
      </c>
      <c r="D1562" s="289">
        <f>DSDV!W1567</f>
        <v>0</v>
      </c>
    </row>
    <row r="1563" spans="1:4">
      <c r="A1563">
        <f>DSDV!B1568</f>
        <v>0</v>
      </c>
      <c r="B1563">
        <f>DSDV!G1568</f>
        <v>0</v>
      </c>
      <c r="C1563" s="288">
        <f>DSDV!K1568</f>
        <v>0</v>
      </c>
      <c r="D1563" s="289">
        <f>DSDV!W1568</f>
        <v>0</v>
      </c>
    </row>
    <row r="1564" spans="1:4">
      <c r="A1564">
        <f>DSDV!B1569</f>
        <v>0</v>
      </c>
      <c r="B1564">
        <f>DSDV!G1569</f>
        <v>0</v>
      </c>
      <c r="C1564" s="288">
        <f>DSDV!K1569</f>
        <v>0</v>
      </c>
      <c r="D1564" s="289">
        <f>DSDV!W1569</f>
        <v>0</v>
      </c>
    </row>
    <row r="1565" spans="1:4">
      <c r="A1565">
        <f>DSDV!B1570</f>
        <v>0</v>
      </c>
      <c r="B1565">
        <f>DSDV!G1570</f>
        <v>0</v>
      </c>
      <c r="C1565" s="288">
        <f>DSDV!K1570</f>
        <v>0</v>
      </c>
      <c r="D1565" s="289">
        <f>DSDV!W1570</f>
        <v>0</v>
      </c>
    </row>
    <row r="1566" spans="1:4">
      <c r="A1566">
        <f>DSDV!B1571</f>
        <v>0</v>
      </c>
      <c r="B1566">
        <f>DSDV!G1571</f>
        <v>0</v>
      </c>
      <c r="C1566" s="288">
        <f>DSDV!K1571</f>
        <v>0</v>
      </c>
      <c r="D1566" s="289">
        <f>DSDV!W1571</f>
        <v>0</v>
      </c>
    </row>
    <row r="1567" spans="1:4">
      <c r="A1567">
        <f>DSDV!B1572</f>
        <v>0</v>
      </c>
      <c r="B1567">
        <f>DSDV!G1572</f>
        <v>0</v>
      </c>
      <c r="C1567" s="288">
        <f>DSDV!K1572</f>
        <v>0</v>
      </c>
      <c r="D1567" s="289">
        <f>DSDV!W1572</f>
        <v>0</v>
      </c>
    </row>
    <row r="1568" spans="1:4">
      <c r="A1568">
        <f>DSDV!B1573</f>
        <v>0</v>
      </c>
      <c r="B1568">
        <f>DSDV!G1573</f>
        <v>0</v>
      </c>
      <c r="C1568" s="288">
        <f>DSDV!K1573</f>
        <v>0</v>
      </c>
      <c r="D1568" s="289">
        <f>DSDV!W1573</f>
        <v>0</v>
      </c>
    </row>
    <row r="1569" spans="1:4">
      <c r="A1569">
        <f>DSDV!B1574</f>
        <v>0</v>
      </c>
      <c r="B1569">
        <f>DSDV!G1574</f>
        <v>0</v>
      </c>
      <c r="C1569" s="288">
        <f>DSDV!K1574</f>
        <v>0</v>
      </c>
      <c r="D1569" s="289">
        <f>DSDV!W1574</f>
        <v>0</v>
      </c>
    </row>
    <row r="1570" spans="1:4">
      <c r="A1570">
        <f>DSDV!B1575</f>
        <v>0</v>
      </c>
      <c r="B1570">
        <f>DSDV!G1575</f>
        <v>0</v>
      </c>
      <c r="C1570" s="288">
        <f>DSDV!K1575</f>
        <v>0</v>
      </c>
      <c r="D1570" s="289">
        <f>DSDV!W1575</f>
        <v>0</v>
      </c>
    </row>
    <row r="1571" spans="1:4">
      <c r="A1571">
        <f>DSDV!B1576</f>
        <v>0</v>
      </c>
      <c r="B1571">
        <f>DSDV!G1576</f>
        <v>0</v>
      </c>
      <c r="C1571" s="288">
        <f>DSDV!K1576</f>
        <v>0</v>
      </c>
      <c r="D1571" s="289">
        <f>DSDV!W1576</f>
        <v>0</v>
      </c>
    </row>
    <row r="1572" spans="1:4">
      <c r="A1572">
        <f>DSDV!B1577</f>
        <v>0</v>
      </c>
      <c r="B1572">
        <f>DSDV!G1577</f>
        <v>0</v>
      </c>
      <c r="C1572" s="288">
        <f>DSDV!K1577</f>
        <v>0</v>
      </c>
      <c r="D1572" s="289">
        <f>DSDV!W1577</f>
        <v>0</v>
      </c>
    </row>
    <row r="1573" spans="1:4">
      <c r="A1573">
        <f>DSDV!B1578</f>
        <v>0</v>
      </c>
      <c r="B1573">
        <f>DSDV!G1578</f>
        <v>0</v>
      </c>
      <c r="C1573" s="288">
        <f>DSDV!K1578</f>
        <v>0</v>
      </c>
      <c r="D1573" s="289">
        <f>DSDV!W1578</f>
        <v>0</v>
      </c>
    </row>
    <row r="1574" spans="1:4">
      <c r="A1574">
        <f>DSDV!B1579</f>
        <v>0</v>
      </c>
      <c r="B1574">
        <f>DSDV!G1579</f>
        <v>0</v>
      </c>
      <c r="C1574" s="288">
        <f>DSDV!K1579</f>
        <v>0</v>
      </c>
      <c r="D1574" s="289">
        <f>DSDV!W1579</f>
        <v>0</v>
      </c>
    </row>
    <row r="1575" spans="1:4">
      <c r="A1575">
        <f>DSDV!B1580</f>
        <v>0</v>
      </c>
      <c r="B1575">
        <f>DSDV!G1580</f>
        <v>0</v>
      </c>
      <c r="C1575" s="288">
        <f>DSDV!K1580</f>
        <v>0</v>
      </c>
      <c r="D1575" s="289">
        <f>DSDV!W1580</f>
        <v>0</v>
      </c>
    </row>
    <row r="1576" spans="1:4">
      <c r="A1576">
        <f>DSDV!B1581</f>
        <v>0</v>
      </c>
      <c r="B1576">
        <f>DSDV!G1581</f>
        <v>0</v>
      </c>
      <c r="C1576" s="288">
        <f>DSDV!K1581</f>
        <v>0</v>
      </c>
      <c r="D1576" s="289">
        <f>DSDV!W1581</f>
        <v>0</v>
      </c>
    </row>
    <row r="1577" spans="1:4">
      <c r="A1577">
        <f>DSDV!B1582</f>
        <v>0</v>
      </c>
      <c r="B1577">
        <f>DSDV!G1582</f>
        <v>0</v>
      </c>
      <c r="C1577" s="288">
        <f>DSDV!K1582</f>
        <v>0</v>
      </c>
      <c r="D1577" s="289">
        <f>DSDV!W1582</f>
        <v>0</v>
      </c>
    </row>
    <row r="1578" spans="1:4">
      <c r="A1578">
        <f>DSDV!B1583</f>
        <v>0</v>
      </c>
      <c r="B1578">
        <f>DSDV!G1583</f>
        <v>0</v>
      </c>
      <c r="C1578" s="288">
        <f>DSDV!K1583</f>
        <v>0</v>
      </c>
      <c r="D1578" s="289">
        <f>DSDV!W1583</f>
        <v>0</v>
      </c>
    </row>
    <row r="1579" spans="1:4">
      <c r="A1579">
        <f>DSDV!B1584</f>
        <v>0</v>
      </c>
      <c r="B1579">
        <f>DSDV!G1584</f>
        <v>0</v>
      </c>
      <c r="C1579" s="288">
        <f>DSDV!K1584</f>
        <v>0</v>
      </c>
      <c r="D1579" s="289">
        <f>DSDV!W1584</f>
        <v>0</v>
      </c>
    </row>
    <row r="1580" spans="1:4">
      <c r="A1580">
        <f>DSDV!B1585</f>
        <v>0</v>
      </c>
      <c r="B1580">
        <f>DSDV!G1585</f>
        <v>0</v>
      </c>
      <c r="C1580" s="288">
        <f>DSDV!K1585</f>
        <v>0</v>
      </c>
      <c r="D1580" s="289">
        <f>DSDV!W1585</f>
        <v>0</v>
      </c>
    </row>
    <row r="1581" spans="1:4">
      <c r="A1581">
        <f>DSDV!B1586</f>
        <v>0</v>
      </c>
      <c r="B1581">
        <f>DSDV!G1586</f>
        <v>0</v>
      </c>
      <c r="C1581" s="288">
        <f>DSDV!K1586</f>
        <v>0</v>
      </c>
      <c r="D1581" s="289">
        <f>DSDV!W1586</f>
        <v>0</v>
      </c>
    </row>
    <row r="1582" spans="1:4">
      <c r="A1582">
        <f>DSDV!B1587</f>
        <v>0</v>
      </c>
      <c r="B1582">
        <f>DSDV!G1587</f>
        <v>0</v>
      </c>
      <c r="C1582" s="288">
        <f>DSDV!K1587</f>
        <v>0</v>
      </c>
      <c r="D1582" s="289">
        <f>DSDV!W1587</f>
        <v>0</v>
      </c>
    </row>
    <row r="1583" spans="1:4">
      <c r="A1583">
        <f>DSDV!B1588</f>
        <v>0</v>
      </c>
      <c r="B1583">
        <f>DSDV!G1588</f>
        <v>0</v>
      </c>
      <c r="C1583" s="288">
        <f>DSDV!K1588</f>
        <v>0</v>
      </c>
      <c r="D1583" s="289">
        <f>DSDV!W1588</f>
        <v>0</v>
      </c>
    </row>
    <row r="1584" spans="1:4">
      <c r="A1584">
        <f>DSDV!B1589</f>
        <v>0</v>
      </c>
      <c r="B1584">
        <f>DSDV!G1589</f>
        <v>0</v>
      </c>
      <c r="C1584" s="288">
        <f>DSDV!K1589</f>
        <v>0</v>
      </c>
      <c r="D1584" s="289">
        <f>DSDV!W1589</f>
        <v>0</v>
      </c>
    </row>
    <row r="1585" spans="1:4">
      <c r="A1585">
        <f>DSDV!B1590</f>
        <v>0</v>
      </c>
      <c r="B1585">
        <f>DSDV!G1590</f>
        <v>0</v>
      </c>
      <c r="C1585" s="288">
        <f>DSDV!K1590</f>
        <v>0</v>
      </c>
      <c r="D1585" s="289">
        <f>DSDV!W1590</f>
        <v>0</v>
      </c>
    </row>
    <row r="1586" spans="1:4">
      <c r="A1586">
        <f>DSDV!B1591</f>
        <v>0</v>
      </c>
      <c r="B1586">
        <f>DSDV!G1591</f>
        <v>0</v>
      </c>
      <c r="C1586" s="288">
        <f>DSDV!K1591</f>
        <v>0</v>
      </c>
      <c r="D1586" s="289">
        <f>DSDV!W1591</f>
        <v>0</v>
      </c>
    </row>
    <row r="1587" spans="1:4">
      <c r="A1587">
        <f>DSDV!B1592</f>
        <v>0</v>
      </c>
      <c r="B1587">
        <f>DSDV!G1592</f>
        <v>0</v>
      </c>
      <c r="C1587" s="288">
        <f>DSDV!K1592</f>
        <v>0</v>
      </c>
      <c r="D1587" s="289">
        <f>DSDV!W1592</f>
        <v>0</v>
      </c>
    </row>
    <row r="1588" spans="1:4">
      <c r="A1588">
        <f>DSDV!B1593</f>
        <v>0</v>
      </c>
      <c r="B1588">
        <f>DSDV!G1593</f>
        <v>0</v>
      </c>
      <c r="C1588" s="288">
        <f>DSDV!K1593</f>
        <v>0</v>
      </c>
      <c r="D1588" s="289">
        <f>DSDV!W1593</f>
        <v>0</v>
      </c>
    </row>
    <row r="1589" spans="1:4">
      <c r="A1589">
        <f>DSDV!B1594</f>
        <v>0</v>
      </c>
      <c r="B1589">
        <f>DSDV!G1594</f>
        <v>0</v>
      </c>
      <c r="C1589" s="288">
        <f>DSDV!K1594</f>
        <v>0</v>
      </c>
      <c r="D1589" s="289">
        <f>DSDV!W1594</f>
        <v>0</v>
      </c>
    </row>
    <row r="1590" spans="1:4">
      <c r="A1590">
        <f>DSDV!B1595</f>
        <v>0</v>
      </c>
      <c r="B1590">
        <f>DSDV!G1595</f>
        <v>0</v>
      </c>
      <c r="C1590" s="288">
        <f>DSDV!K1595</f>
        <v>0</v>
      </c>
      <c r="D1590" s="289">
        <f>DSDV!W1595</f>
        <v>0</v>
      </c>
    </row>
    <row r="1591" spans="1:4">
      <c r="A1591">
        <f>DSDV!B1596</f>
        <v>0</v>
      </c>
      <c r="B1591">
        <f>DSDV!G1596</f>
        <v>0</v>
      </c>
      <c r="C1591" s="288">
        <f>DSDV!K1596</f>
        <v>0</v>
      </c>
      <c r="D1591" s="289">
        <f>DSDV!W1596</f>
        <v>0</v>
      </c>
    </row>
    <row r="1592" spans="1:4">
      <c r="A1592">
        <f>DSDV!B1597</f>
        <v>0</v>
      </c>
      <c r="B1592">
        <f>DSDV!G1597</f>
        <v>0</v>
      </c>
      <c r="C1592" s="288">
        <f>DSDV!K1597</f>
        <v>0</v>
      </c>
      <c r="D1592" s="289">
        <f>DSDV!W1597</f>
        <v>0</v>
      </c>
    </row>
    <row r="1593" spans="1:4">
      <c r="A1593">
        <f>DSDV!B1598</f>
        <v>0</v>
      </c>
      <c r="B1593">
        <f>DSDV!G1598</f>
        <v>0</v>
      </c>
      <c r="C1593" s="288">
        <f>DSDV!K1598</f>
        <v>0</v>
      </c>
      <c r="D1593" s="289">
        <f>DSDV!W1598</f>
        <v>0</v>
      </c>
    </row>
    <row r="1594" spans="1:4">
      <c r="A1594">
        <f>DSDV!B1599</f>
        <v>0</v>
      </c>
      <c r="B1594">
        <f>DSDV!G1599</f>
        <v>0</v>
      </c>
      <c r="C1594" s="288">
        <f>DSDV!K1599</f>
        <v>0</v>
      </c>
      <c r="D1594" s="289">
        <f>DSDV!W1599</f>
        <v>0</v>
      </c>
    </row>
    <row r="1595" spans="1:4">
      <c r="A1595">
        <f>DSDV!B1600</f>
        <v>0</v>
      </c>
      <c r="B1595">
        <f>DSDV!G1600</f>
        <v>0</v>
      </c>
      <c r="C1595" s="288">
        <f>DSDV!K1600</f>
        <v>0</v>
      </c>
      <c r="D1595" s="289">
        <f>DSDV!W1600</f>
        <v>0</v>
      </c>
    </row>
    <row r="1596" spans="1:4">
      <c r="A1596">
        <f>DSDV!B1601</f>
        <v>0</v>
      </c>
      <c r="B1596">
        <f>DSDV!G1601</f>
        <v>0</v>
      </c>
      <c r="C1596" s="288">
        <f>DSDV!K1601</f>
        <v>0</v>
      </c>
      <c r="D1596" s="289">
        <f>DSDV!W1601</f>
        <v>0</v>
      </c>
    </row>
    <row r="1597" spans="1:4">
      <c r="A1597">
        <f>DSDV!B1602</f>
        <v>0</v>
      </c>
      <c r="B1597">
        <f>DSDV!G1602</f>
        <v>0</v>
      </c>
      <c r="C1597" s="288">
        <f>DSDV!K1602</f>
        <v>0</v>
      </c>
      <c r="D1597" s="289">
        <f>DSDV!W1602</f>
        <v>0</v>
      </c>
    </row>
    <row r="1598" spans="1:4">
      <c r="A1598">
        <f>DSDV!B1603</f>
        <v>0</v>
      </c>
      <c r="B1598">
        <f>DSDV!G1603</f>
        <v>0</v>
      </c>
      <c r="C1598" s="288">
        <f>DSDV!K1603</f>
        <v>0</v>
      </c>
      <c r="D1598" s="289">
        <f>DSDV!W1603</f>
        <v>0</v>
      </c>
    </row>
    <row r="1599" spans="1:4">
      <c r="A1599">
        <f>DSDV!B1604</f>
        <v>0</v>
      </c>
      <c r="B1599">
        <f>DSDV!G1604</f>
        <v>0</v>
      </c>
      <c r="C1599" s="288">
        <f>DSDV!K1604</f>
        <v>0</v>
      </c>
      <c r="D1599" s="289">
        <f>DSDV!W1604</f>
        <v>0</v>
      </c>
    </row>
    <row r="1600" spans="1:4">
      <c r="A1600">
        <f>DSDV!B1605</f>
        <v>0</v>
      </c>
      <c r="B1600">
        <f>DSDV!G1605</f>
        <v>0</v>
      </c>
      <c r="C1600" s="288">
        <f>DSDV!K1605</f>
        <v>0</v>
      </c>
      <c r="D1600" s="289">
        <f>DSDV!W1605</f>
        <v>0</v>
      </c>
    </row>
    <row r="1601" spans="1:4">
      <c r="A1601">
        <f>DSDV!B1606</f>
        <v>0</v>
      </c>
      <c r="B1601">
        <f>DSDV!G1606</f>
        <v>0</v>
      </c>
      <c r="C1601" s="288">
        <f>DSDV!K1606</f>
        <v>0</v>
      </c>
      <c r="D1601" s="289">
        <f>DSDV!W1606</f>
        <v>0</v>
      </c>
    </row>
    <row r="1602" spans="1:4">
      <c r="A1602">
        <f>DSDV!B1607</f>
        <v>0</v>
      </c>
      <c r="B1602">
        <f>DSDV!G1607</f>
        <v>0</v>
      </c>
      <c r="C1602" s="288">
        <f>DSDV!K1607</f>
        <v>0</v>
      </c>
      <c r="D1602" s="289">
        <f>DSDV!W1607</f>
        <v>0</v>
      </c>
    </row>
    <row r="1603" spans="1:4">
      <c r="A1603">
        <f>DSDV!B1608</f>
        <v>0</v>
      </c>
      <c r="B1603">
        <f>DSDV!G1608</f>
        <v>0</v>
      </c>
      <c r="C1603" s="288">
        <f>DSDV!K1608</f>
        <v>0</v>
      </c>
      <c r="D1603" s="289">
        <f>DSDV!W1608</f>
        <v>0</v>
      </c>
    </row>
    <row r="1604" spans="1:4">
      <c r="A1604">
        <f>DSDV!B1609</f>
        <v>0</v>
      </c>
      <c r="B1604">
        <f>DSDV!G1609</f>
        <v>0</v>
      </c>
      <c r="C1604" s="288">
        <f>DSDV!K1609</f>
        <v>0</v>
      </c>
      <c r="D1604" s="289">
        <f>DSDV!W1609</f>
        <v>0</v>
      </c>
    </row>
    <row r="1605" spans="1:4">
      <c r="A1605">
        <f>DSDV!B1610</f>
        <v>0</v>
      </c>
      <c r="B1605">
        <f>DSDV!G1610</f>
        <v>0</v>
      </c>
      <c r="C1605" s="288">
        <f>DSDV!K1610</f>
        <v>0</v>
      </c>
      <c r="D1605" s="289">
        <f>DSDV!W1610</f>
        <v>0</v>
      </c>
    </row>
    <row r="1606" spans="1:4">
      <c r="A1606">
        <f>DSDV!B1611</f>
        <v>0</v>
      </c>
      <c r="B1606">
        <f>DSDV!G1611</f>
        <v>0</v>
      </c>
      <c r="C1606" s="288">
        <f>DSDV!K1611</f>
        <v>0</v>
      </c>
      <c r="D1606" s="289">
        <f>DSDV!W1611</f>
        <v>0</v>
      </c>
    </row>
    <row r="1607" spans="1:4">
      <c r="A1607">
        <f>DSDV!B1612</f>
        <v>0</v>
      </c>
      <c r="B1607">
        <f>DSDV!G1612</f>
        <v>0</v>
      </c>
      <c r="C1607" s="288">
        <f>DSDV!K1612</f>
        <v>0</v>
      </c>
      <c r="D1607" s="289">
        <f>DSDV!W1612</f>
        <v>0</v>
      </c>
    </row>
    <row r="1608" spans="1:4">
      <c r="A1608">
        <f>DSDV!B1613</f>
        <v>0</v>
      </c>
      <c r="B1608">
        <f>DSDV!G1613</f>
        <v>0</v>
      </c>
      <c r="C1608" s="288">
        <f>DSDV!K1613</f>
        <v>0</v>
      </c>
      <c r="D1608" s="289">
        <f>DSDV!W1613</f>
        <v>0</v>
      </c>
    </row>
    <row r="1609" spans="1:4">
      <c r="A1609">
        <f>DSDV!B1614</f>
        <v>0</v>
      </c>
      <c r="B1609">
        <f>DSDV!G1614</f>
        <v>0</v>
      </c>
      <c r="C1609" s="288">
        <f>DSDV!K1614</f>
        <v>0</v>
      </c>
      <c r="D1609" s="289">
        <f>DSDV!W1614</f>
        <v>0</v>
      </c>
    </row>
    <row r="1610" spans="1:4">
      <c r="A1610">
        <f>DSDV!B1615</f>
        <v>0</v>
      </c>
      <c r="B1610">
        <f>DSDV!G1615</f>
        <v>0</v>
      </c>
      <c r="C1610" s="288">
        <f>DSDV!K1615</f>
        <v>0</v>
      </c>
      <c r="D1610" s="289">
        <f>DSDV!W1615</f>
        <v>0</v>
      </c>
    </row>
    <row r="1611" spans="1:4">
      <c r="B1611" t="str">
        <f>IF(DSDV!G1616&lt;&gt;"",DSDV!G1616,"")</f>
        <v/>
      </c>
      <c r="C1611" s="288" t="str">
        <f>IF(DSDV!K1616&lt;&gt;"",DSDV!K1616,"")</f>
        <v/>
      </c>
      <c r="D1611" t="str">
        <f>IF(DSDV!W1616&lt;&gt;"",DSDV!W1616,"")</f>
        <v/>
      </c>
    </row>
    <row r="1612" spans="1:4">
      <c r="B1612" t="str">
        <f>IF(DSDV!G1617&lt;&gt;"",DSDV!G1617,"")</f>
        <v/>
      </c>
      <c r="C1612" s="288" t="str">
        <f>IF(DSDV!K1617&lt;&gt;"",DSDV!K1617,"")</f>
        <v/>
      </c>
      <c r="D1612" t="str">
        <f>IF(DSDV!W1617&lt;&gt;"",DSDV!W1617,"")</f>
        <v/>
      </c>
    </row>
    <row r="1613" spans="1:4">
      <c r="B1613" t="str">
        <f>IF(DSDV!G1618&lt;&gt;"",DSDV!G1618,"")</f>
        <v/>
      </c>
      <c r="C1613" s="288" t="str">
        <f>IF(DSDV!K1618&lt;&gt;"",DSDV!K1618,"")</f>
        <v/>
      </c>
      <c r="D1613" t="str">
        <f>IF(DSDV!W1618&lt;&gt;"",DSDV!W1618,"")</f>
        <v/>
      </c>
    </row>
    <row r="1614" spans="1:4">
      <c r="B1614" t="str">
        <f>IF(DSDV!G1619&lt;&gt;"",DSDV!G1619,"")</f>
        <v/>
      </c>
      <c r="C1614" s="288" t="str">
        <f>IF(DSDV!K1619&lt;&gt;"",DSDV!K1619,"")</f>
        <v/>
      </c>
      <c r="D1614" t="str">
        <f>IF(DSDV!W1619&lt;&gt;"",DSDV!W1619,"")</f>
        <v/>
      </c>
    </row>
    <row r="1615" spans="1:4">
      <c r="B1615" t="str">
        <f>IF(DSDV!G1620&lt;&gt;"",DSDV!G1620,"")</f>
        <v/>
      </c>
      <c r="C1615" s="288"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24" t="s">
        <v>256</v>
      </c>
      <c r="B1" s="224" t="s">
        <v>257</v>
      </c>
      <c r="C1" s="225" t="s">
        <v>258</v>
      </c>
      <c r="D1" s="225" t="s">
        <v>338</v>
      </c>
      <c r="F1" s="225" t="s">
        <v>527</v>
      </c>
    </row>
    <row r="2" spans="1:6" ht="18.75">
      <c r="A2" s="226">
        <v>1</v>
      </c>
      <c r="B2" s="227" t="s">
        <v>339</v>
      </c>
      <c r="C2" s="228" t="s">
        <v>259</v>
      </c>
      <c r="D2" s="227" t="s">
        <v>512</v>
      </c>
      <c r="F2" s="227" t="s">
        <v>512</v>
      </c>
    </row>
    <row r="3" spans="1:6" ht="18.75">
      <c r="A3" s="226">
        <f>A2+1</f>
        <v>2</v>
      </c>
      <c r="B3" s="227" t="s">
        <v>340</v>
      </c>
      <c r="C3" s="228" t="s">
        <v>260</v>
      </c>
      <c r="D3" s="227" t="s">
        <v>512</v>
      </c>
      <c r="F3" s="227" t="s">
        <v>513</v>
      </c>
    </row>
    <row r="4" spans="1:6" ht="18.75">
      <c r="A4" s="226">
        <f t="shared" ref="A4:A67" si="0">A3+1</f>
        <v>3</v>
      </c>
      <c r="B4" s="227" t="s">
        <v>341</v>
      </c>
      <c r="C4" s="228" t="s">
        <v>261</v>
      </c>
      <c r="D4" s="227" t="s">
        <v>512</v>
      </c>
      <c r="F4" s="227" t="s">
        <v>514</v>
      </c>
    </row>
    <row r="5" spans="1:6" ht="18.75">
      <c r="A5" s="226">
        <f t="shared" si="0"/>
        <v>4</v>
      </c>
      <c r="B5" s="227" t="s">
        <v>342</v>
      </c>
      <c r="C5" s="228" t="s">
        <v>240</v>
      </c>
      <c r="D5" s="227" t="s">
        <v>512</v>
      </c>
      <c r="F5" s="227" t="s">
        <v>515</v>
      </c>
    </row>
    <row r="6" spans="1:6" ht="18.75">
      <c r="A6" s="226">
        <f t="shared" si="0"/>
        <v>5</v>
      </c>
      <c r="B6" s="227" t="s">
        <v>343</v>
      </c>
      <c r="C6" s="228" t="s">
        <v>175</v>
      </c>
      <c r="D6" s="227" t="s">
        <v>512</v>
      </c>
      <c r="F6" s="227" t="s">
        <v>526</v>
      </c>
    </row>
    <row r="7" spans="1:6" ht="18.75">
      <c r="A7" s="226">
        <f t="shared" si="0"/>
        <v>6</v>
      </c>
      <c r="B7" s="227" t="s">
        <v>344</v>
      </c>
      <c r="C7" s="228" t="s">
        <v>262</v>
      </c>
      <c r="D7" s="227" t="s">
        <v>512</v>
      </c>
      <c r="F7" s="227" t="s">
        <v>516</v>
      </c>
    </row>
    <row r="8" spans="1:6" ht="18.75">
      <c r="A8" s="226">
        <f t="shared" si="0"/>
        <v>7</v>
      </c>
      <c r="B8" s="227" t="s">
        <v>345</v>
      </c>
      <c r="C8" s="228" t="s">
        <v>263</v>
      </c>
      <c r="D8" s="227" t="s">
        <v>512</v>
      </c>
      <c r="F8" s="227" t="s">
        <v>517</v>
      </c>
    </row>
    <row r="9" spans="1:6" ht="18.75">
      <c r="A9" s="226">
        <f t="shared" si="0"/>
        <v>8</v>
      </c>
      <c r="B9" s="227" t="s">
        <v>346</v>
      </c>
      <c r="C9" s="228" t="s">
        <v>264</v>
      </c>
      <c r="D9" s="227" t="s">
        <v>512</v>
      </c>
      <c r="F9" s="227" t="s">
        <v>518</v>
      </c>
    </row>
    <row r="10" spans="1:6" ht="18.75">
      <c r="A10" s="226">
        <f t="shared" si="0"/>
        <v>9</v>
      </c>
      <c r="B10" s="227" t="s">
        <v>347</v>
      </c>
      <c r="C10" s="228" t="s">
        <v>265</v>
      </c>
      <c r="D10" s="227" t="s">
        <v>512</v>
      </c>
      <c r="F10" s="227" t="s">
        <v>519</v>
      </c>
    </row>
    <row r="11" spans="1:6" ht="18.75">
      <c r="A11" s="226">
        <f t="shared" si="0"/>
        <v>10</v>
      </c>
      <c r="B11" s="227" t="s">
        <v>348</v>
      </c>
      <c r="C11" s="228" t="s">
        <v>266</v>
      </c>
      <c r="D11" s="227" t="s">
        <v>512</v>
      </c>
      <c r="F11" s="227" t="s">
        <v>317</v>
      </c>
    </row>
    <row r="12" spans="1:6" ht="18.75">
      <c r="A12" s="226">
        <f t="shared" si="0"/>
        <v>11</v>
      </c>
      <c r="B12" s="227" t="s">
        <v>349</v>
      </c>
      <c r="C12" s="228" t="s">
        <v>267</v>
      </c>
      <c r="D12" s="227" t="s">
        <v>512</v>
      </c>
      <c r="F12" s="227" t="s">
        <v>521</v>
      </c>
    </row>
    <row r="13" spans="1:6" ht="18.75">
      <c r="A13" s="226">
        <f t="shared" si="0"/>
        <v>12</v>
      </c>
      <c r="B13" s="227" t="s">
        <v>350</v>
      </c>
      <c r="C13" s="228" t="s">
        <v>268</v>
      </c>
      <c r="D13" s="227" t="s">
        <v>513</v>
      </c>
      <c r="F13" s="227" t="s">
        <v>522</v>
      </c>
    </row>
    <row r="14" spans="1:6" ht="18.75">
      <c r="A14" s="226">
        <f t="shared" si="0"/>
        <v>13</v>
      </c>
      <c r="B14" s="227" t="s">
        <v>351</v>
      </c>
      <c r="C14" s="228" t="s">
        <v>269</v>
      </c>
      <c r="D14" s="227" t="s">
        <v>513</v>
      </c>
      <c r="F14" s="227" t="s">
        <v>523</v>
      </c>
    </row>
    <row r="15" spans="1:6" ht="18.75">
      <c r="A15" s="226">
        <f t="shared" si="0"/>
        <v>14</v>
      </c>
      <c r="B15" s="227" t="s">
        <v>352</v>
      </c>
      <c r="C15" s="228" t="s">
        <v>270</v>
      </c>
      <c r="D15" s="227" t="s">
        <v>513</v>
      </c>
      <c r="F15" s="227" t="s">
        <v>524</v>
      </c>
    </row>
    <row r="16" spans="1:6" ht="18.75">
      <c r="A16" s="226">
        <f t="shared" si="0"/>
        <v>15</v>
      </c>
      <c r="B16" s="227" t="s">
        <v>353</v>
      </c>
      <c r="C16" s="228" t="s">
        <v>271</v>
      </c>
      <c r="D16" s="227" t="s">
        <v>513</v>
      </c>
      <c r="F16" s="227" t="s">
        <v>525</v>
      </c>
    </row>
    <row r="17" spans="1:4" ht="18.75">
      <c r="A17" s="226">
        <f t="shared" si="0"/>
        <v>16</v>
      </c>
      <c r="B17" s="229" t="s">
        <v>354</v>
      </c>
      <c r="C17" s="228" t="s">
        <v>272</v>
      </c>
      <c r="D17" s="227" t="s">
        <v>514</v>
      </c>
    </row>
    <row r="18" spans="1:4" ht="18.75">
      <c r="A18" s="226">
        <f t="shared" si="0"/>
        <v>17</v>
      </c>
      <c r="B18" s="229" t="s">
        <v>355</v>
      </c>
      <c r="C18" s="228" t="s">
        <v>273</v>
      </c>
      <c r="D18" s="227" t="s">
        <v>514</v>
      </c>
    </row>
    <row r="19" spans="1:4" ht="18.75">
      <c r="A19" s="226">
        <f t="shared" si="0"/>
        <v>18</v>
      </c>
      <c r="B19" s="229" t="s">
        <v>356</v>
      </c>
      <c r="C19" s="228" t="s">
        <v>274</v>
      </c>
      <c r="D19" s="227" t="s">
        <v>514</v>
      </c>
    </row>
    <row r="20" spans="1:4" ht="18.75">
      <c r="A20" s="226">
        <f t="shared" si="0"/>
        <v>19</v>
      </c>
      <c r="B20" s="229" t="s">
        <v>357</v>
      </c>
      <c r="C20" s="228" t="s">
        <v>275</v>
      </c>
      <c r="D20" s="227" t="s">
        <v>514</v>
      </c>
    </row>
    <row r="21" spans="1:4" ht="18.75">
      <c r="A21" s="226">
        <f t="shared" si="0"/>
        <v>20</v>
      </c>
      <c r="B21" s="229" t="s">
        <v>358</v>
      </c>
      <c r="C21" s="228" t="s">
        <v>276</v>
      </c>
      <c r="D21" s="227" t="s">
        <v>514</v>
      </c>
    </row>
    <row r="22" spans="1:4" ht="18.75">
      <c r="A22" s="226">
        <f t="shared" si="0"/>
        <v>21</v>
      </c>
      <c r="B22" s="229" t="s">
        <v>359</v>
      </c>
      <c r="C22" s="228" t="s">
        <v>277</v>
      </c>
      <c r="D22" s="227" t="s">
        <v>514</v>
      </c>
    </row>
    <row r="23" spans="1:4" ht="18.75">
      <c r="A23" s="226">
        <f t="shared" si="0"/>
        <v>22</v>
      </c>
      <c r="B23" s="229" t="s">
        <v>360</v>
      </c>
      <c r="C23" s="228" t="s">
        <v>278</v>
      </c>
      <c r="D23" s="227" t="s">
        <v>514</v>
      </c>
    </row>
    <row r="24" spans="1:4" ht="18.75">
      <c r="A24" s="226">
        <f t="shared" si="0"/>
        <v>23</v>
      </c>
      <c r="B24" s="229" t="s">
        <v>361</v>
      </c>
      <c r="C24" s="228" t="s">
        <v>279</v>
      </c>
      <c r="D24" s="227" t="s">
        <v>515</v>
      </c>
    </row>
    <row r="25" spans="1:4" ht="18.75">
      <c r="A25" s="226">
        <f t="shared" si="0"/>
        <v>24</v>
      </c>
      <c r="B25" s="229" t="s">
        <v>362</v>
      </c>
      <c r="C25" s="228" t="s">
        <v>280</v>
      </c>
      <c r="D25" s="227" t="s">
        <v>515</v>
      </c>
    </row>
    <row r="26" spans="1:4" ht="18.75">
      <c r="A26" s="226">
        <f t="shared" si="0"/>
        <v>25</v>
      </c>
      <c r="B26" s="229" t="s">
        <v>363</v>
      </c>
      <c r="C26" s="228" t="s">
        <v>281</v>
      </c>
      <c r="D26" s="227" t="s">
        <v>515</v>
      </c>
    </row>
    <row r="27" spans="1:4" ht="18.75">
      <c r="A27" s="226">
        <f t="shared" si="0"/>
        <v>26</v>
      </c>
      <c r="B27" s="229" t="s">
        <v>364</v>
      </c>
      <c r="C27" s="230" t="s">
        <v>282</v>
      </c>
      <c r="D27" s="227" t="s">
        <v>526</v>
      </c>
    </row>
    <row r="28" spans="1:4" ht="18.75">
      <c r="A28" s="226">
        <f t="shared" si="0"/>
        <v>27</v>
      </c>
      <c r="B28" s="229" t="s">
        <v>365</v>
      </c>
      <c r="C28" s="231" t="s">
        <v>283</v>
      </c>
      <c r="D28" s="227" t="s">
        <v>526</v>
      </c>
    </row>
    <row r="29" spans="1:4" ht="18.75">
      <c r="A29" s="226">
        <f t="shared" si="0"/>
        <v>28</v>
      </c>
      <c r="B29" s="229" t="s">
        <v>366</v>
      </c>
      <c r="C29" s="231" t="s">
        <v>284</v>
      </c>
      <c r="D29" s="227" t="s">
        <v>526</v>
      </c>
    </row>
    <row r="30" spans="1:4" ht="18.75">
      <c r="A30" s="226">
        <f t="shared" si="0"/>
        <v>29</v>
      </c>
      <c r="B30" s="229" t="s">
        <v>367</v>
      </c>
      <c r="C30" s="231" t="s">
        <v>285</v>
      </c>
      <c r="D30" s="227" t="s">
        <v>526</v>
      </c>
    </row>
    <row r="31" spans="1:4" ht="18.75">
      <c r="A31" s="226">
        <f t="shared" si="0"/>
        <v>30</v>
      </c>
      <c r="B31" s="229" t="s">
        <v>368</v>
      </c>
      <c r="C31" s="231" t="s">
        <v>286</v>
      </c>
      <c r="D31" s="227" t="s">
        <v>526</v>
      </c>
    </row>
    <row r="32" spans="1:4" ht="18.75">
      <c r="A32" s="226">
        <f t="shared" si="0"/>
        <v>31</v>
      </c>
      <c r="B32" s="229" t="s">
        <v>369</v>
      </c>
      <c r="C32" s="231" t="s">
        <v>287</v>
      </c>
      <c r="D32" s="227" t="s">
        <v>526</v>
      </c>
    </row>
    <row r="33" spans="1:4" ht="18.75">
      <c r="A33" s="226">
        <f t="shared" si="0"/>
        <v>32</v>
      </c>
      <c r="B33" s="229" t="s">
        <v>370</v>
      </c>
      <c r="C33" s="231" t="s">
        <v>288</v>
      </c>
      <c r="D33" s="227" t="s">
        <v>526</v>
      </c>
    </row>
    <row r="34" spans="1:4" ht="18.75">
      <c r="A34" s="226">
        <f t="shared" si="0"/>
        <v>33</v>
      </c>
      <c r="B34" s="229" t="s">
        <v>371</v>
      </c>
      <c r="C34" s="231" t="s">
        <v>289</v>
      </c>
      <c r="D34" s="227" t="s">
        <v>526</v>
      </c>
    </row>
    <row r="35" spans="1:4" ht="18.75">
      <c r="A35" s="226">
        <f t="shared" si="0"/>
        <v>34</v>
      </c>
      <c r="B35" s="229" t="s">
        <v>372</v>
      </c>
      <c r="C35" s="230" t="s">
        <v>290</v>
      </c>
      <c r="D35" s="227" t="s">
        <v>526</v>
      </c>
    </row>
    <row r="36" spans="1:4" ht="18.75">
      <c r="A36" s="226">
        <f t="shared" si="0"/>
        <v>35</v>
      </c>
      <c r="B36" s="229" t="s">
        <v>373</v>
      </c>
      <c r="C36" s="230" t="s">
        <v>291</v>
      </c>
      <c r="D36" s="227" t="s">
        <v>526</v>
      </c>
    </row>
    <row r="37" spans="1:4" ht="18.75">
      <c r="A37" s="226">
        <f t="shared" si="0"/>
        <v>36</v>
      </c>
      <c r="B37" s="229" t="s">
        <v>374</v>
      </c>
      <c r="C37" s="230" t="s">
        <v>292</v>
      </c>
      <c r="D37" s="227" t="s">
        <v>526</v>
      </c>
    </row>
    <row r="38" spans="1:4" ht="18.75">
      <c r="A38" s="226">
        <f t="shared" si="0"/>
        <v>37</v>
      </c>
      <c r="B38" s="229" t="s">
        <v>375</v>
      </c>
      <c r="C38" s="230" t="s">
        <v>293</v>
      </c>
      <c r="D38" s="227" t="s">
        <v>526</v>
      </c>
    </row>
    <row r="39" spans="1:4" ht="18.75">
      <c r="A39" s="226">
        <f t="shared" si="0"/>
        <v>38</v>
      </c>
      <c r="B39" s="229" t="s">
        <v>376</v>
      </c>
      <c r="C39" s="230" t="s">
        <v>129</v>
      </c>
      <c r="D39" s="227" t="s">
        <v>516</v>
      </c>
    </row>
    <row r="40" spans="1:4" ht="18.75">
      <c r="A40" s="226">
        <f t="shared" si="0"/>
        <v>39</v>
      </c>
      <c r="B40" s="229" t="s">
        <v>377</v>
      </c>
      <c r="C40" s="230" t="s">
        <v>294</v>
      </c>
      <c r="D40" s="227" t="s">
        <v>516</v>
      </c>
    </row>
    <row r="41" spans="1:4" ht="18.75">
      <c r="A41" s="226">
        <f t="shared" si="0"/>
        <v>40</v>
      </c>
      <c r="B41" s="229" t="s">
        <v>378</v>
      </c>
      <c r="C41" s="230" t="s">
        <v>131</v>
      </c>
      <c r="D41" s="227" t="s">
        <v>516</v>
      </c>
    </row>
    <row r="42" spans="1:4" ht="18.75">
      <c r="A42" s="226">
        <f t="shared" si="0"/>
        <v>41</v>
      </c>
      <c r="B42" s="229" t="s">
        <v>379</v>
      </c>
      <c r="C42" s="230" t="s">
        <v>295</v>
      </c>
      <c r="D42" s="227" t="s">
        <v>516</v>
      </c>
    </row>
    <row r="43" spans="1:4" ht="18.75">
      <c r="A43" s="226">
        <f t="shared" si="0"/>
        <v>42</v>
      </c>
      <c r="B43" s="229" t="s">
        <v>380</v>
      </c>
      <c r="C43" s="230" t="s">
        <v>296</v>
      </c>
      <c r="D43" s="227" t="s">
        <v>516</v>
      </c>
    </row>
    <row r="44" spans="1:4" ht="18.75">
      <c r="A44" s="226">
        <f t="shared" si="0"/>
        <v>43</v>
      </c>
      <c r="B44" s="229" t="s">
        <v>381</v>
      </c>
      <c r="C44" s="230" t="s">
        <v>297</v>
      </c>
      <c r="D44" s="227" t="s">
        <v>516</v>
      </c>
    </row>
    <row r="45" spans="1:4" ht="18.75">
      <c r="A45" s="226">
        <f t="shared" si="0"/>
        <v>44</v>
      </c>
      <c r="B45" s="229" t="s">
        <v>382</v>
      </c>
      <c r="C45" s="230" t="s">
        <v>298</v>
      </c>
      <c r="D45" s="227" t="s">
        <v>516</v>
      </c>
    </row>
    <row r="46" spans="1:4" ht="18.75">
      <c r="A46" s="226">
        <f t="shared" si="0"/>
        <v>45</v>
      </c>
      <c r="B46" s="229" t="s">
        <v>383</v>
      </c>
      <c r="C46" s="230" t="s">
        <v>299</v>
      </c>
      <c r="D46" s="227" t="s">
        <v>516</v>
      </c>
    </row>
    <row r="47" spans="1:4" ht="18.75">
      <c r="A47" s="226">
        <f t="shared" si="0"/>
        <v>46</v>
      </c>
      <c r="B47" s="229" t="s">
        <v>384</v>
      </c>
      <c r="C47" s="230" t="s">
        <v>300</v>
      </c>
      <c r="D47" s="227" t="s">
        <v>516</v>
      </c>
    </row>
    <row r="48" spans="1:4" ht="18.75">
      <c r="A48" s="226">
        <f t="shared" si="0"/>
        <v>47</v>
      </c>
      <c r="B48" s="229" t="s">
        <v>385</v>
      </c>
      <c r="C48" s="230" t="s">
        <v>301</v>
      </c>
      <c r="D48" s="227" t="s">
        <v>516</v>
      </c>
    </row>
    <row r="49" spans="1:4" ht="18.75">
      <c r="A49" s="226">
        <f t="shared" si="0"/>
        <v>48</v>
      </c>
      <c r="B49" s="229" t="s">
        <v>386</v>
      </c>
      <c r="C49" s="230" t="s">
        <v>302</v>
      </c>
      <c r="D49" s="227" t="s">
        <v>516</v>
      </c>
    </row>
    <row r="50" spans="1:4" ht="18.75">
      <c r="A50" s="226">
        <f t="shared" si="0"/>
        <v>49</v>
      </c>
      <c r="B50" s="229" t="s">
        <v>387</v>
      </c>
      <c r="C50" s="230" t="s">
        <v>303</v>
      </c>
      <c r="D50" s="227" t="s">
        <v>517</v>
      </c>
    </row>
    <row r="51" spans="1:4" ht="18.75">
      <c r="A51" s="226">
        <f t="shared" si="0"/>
        <v>50</v>
      </c>
      <c r="B51" s="229" t="s">
        <v>388</v>
      </c>
      <c r="C51" s="230" t="s">
        <v>304</v>
      </c>
      <c r="D51" s="227" t="s">
        <v>517</v>
      </c>
    </row>
    <row r="52" spans="1:4" ht="18.75">
      <c r="A52" s="226">
        <f t="shared" si="0"/>
        <v>51</v>
      </c>
      <c r="B52" s="229" t="s">
        <v>389</v>
      </c>
      <c r="C52" s="230" t="s">
        <v>305</v>
      </c>
      <c r="D52" s="227" t="s">
        <v>517</v>
      </c>
    </row>
    <row r="53" spans="1:4" ht="18.75">
      <c r="A53" s="226">
        <f t="shared" si="0"/>
        <v>52</v>
      </c>
      <c r="B53" s="229" t="s">
        <v>390</v>
      </c>
      <c r="C53" s="230" t="s">
        <v>306</v>
      </c>
      <c r="D53" s="227" t="s">
        <v>517</v>
      </c>
    </row>
    <row r="54" spans="1:4" ht="18.75">
      <c r="A54" s="226">
        <f t="shared" si="0"/>
        <v>53</v>
      </c>
      <c r="B54" s="229" t="s">
        <v>391</v>
      </c>
      <c r="C54" s="230" t="s">
        <v>307</v>
      </c>
      <c r="D54" s="227" t="s">
        <v>517</v>
      </c>
    </row>
    <row r="55" spans="1:4" ht="18.75">
      <c r="A55" s="226">
        <f t="shared" si="0"/>
        <v>54</v>
      </c>
      <c r="B55" s="229" t="s">
        <v>392</v>
      </c>
      <c r="C55" s="230" t="s">
        <v>308</v>
      </c>
      <c r="D55" s="227" t="s">
        <v>517</v>
      </c>
    </row>
    <row r="56" spans="1:4" ht="18.75">
      <c r="A56" s="226">
        <f t="shared" si="0"/>
        <v>55</v>
      </c>
      <c r="B56" s="229" t="s">
        <v>393</v>
      </c>
      <c r="C56" s="230" t="s">
        <v>309</v>
      </c>
      <c r="D56" s="227" t="s">
        <v>517</v>
      </c>
    </row>
    <row r="57" spans="1:4" ht="18.75">
      <c r="A57" s="226">
        <f t="shared" si="0"/>
        <v>56</v>
      </c>
      <c r="B57" s="229" t="s">
        <v>394</v>
      </c>
      <c r="C57" s="230" t="s">
        <v>310</v>
      </c>
      <c r="D57" s="227" t="s">
        <v>518</v>
      </c>
    </row>
    <row r="58" spans="1:4" ht="18.75">
      <c r="A58" s="226">
        <f t="shared" si="0"/>
        <v>57</v>
      </c>
      <c r="B58" s="229" t="s">
        <v>395</v>
      </c>
      <c r="C58" s="230" t="s">
        <v>311</v>
      </c>
      <c r="D58" s="227" t="s">
        <v>518</v>
      </c>
    </row>
    <row r="59" spans="1:4" ht="18.75">
      <c r="A59" s="226">
        <f t="shared" si="0"/>
        <v>58</v>
      </c>
      <c r="B59" s="229" t="s">
        <v>396</v>
      </c>
      <c r="C59" s="230" t="s">
        <v>312</v>
      </c>
      <c r="D59" s="227" t="s">
        <v>518</v>
      </c>
    </row>
    <row r="60" spans="1:4" ht="18.75">
      <c r="A60" s="226">
        <f t="shared" si="0"/>
        <v>59</v>
      </c>
      <c r="B60" s="229" t="s">
        <v>397</v>
      </c>
      <c r="C60" s="230" t="s">
        <v>313</v>
      </c>
      <c r="D60" s="227" t="s">
        <v>518</v>
      </c>
    </row>
    <row r="61" spans="1:4" ht="18.75">
      <c r="A61" s="226">
        <f t="shared" si="0"/>
        <v>60</v>
      </c>
      <c r="B61" s="229" t="s">
        <v>398</v>
      </c>
      <c r="C61" s="232" t="s">
        <v>304</v>
      </c>
      <c r="D61" s="227" t="s">
        <v>519</v>
      </c>
    </row>
    <row r="62" spans="1:4" ht="18.75">
      <c r="A62" s="226">
        <f t="shared" si="0"/>
        <v>61</v>
      </c>
      <c r="B62" s="229" t="s">
        <v>399</v>
      </c>
      <c r="C62" s="230" t="s">
        <v>314</v>
      </c>
      <c r="D62" s="227" t="s">
        <v>519</v>
      </c>
    </row>
    <row r="63" spans="1:4" ht="18.75">
      <c r="A63" s="226">
        <f t="shared" si="0"/>
        <v>62</v>
      </c>
      <c r="B63" s="229" t="s">
        <v>400</v>
      </c>
      <c r="C63" s="230" t="s">
        <v>315</v>
      </c>
      <c r="D63" s="227" t="s">
        <v>519</v>
      </c>
    </row>
    <row r="64" spans="1:4" ht="18.75">
      <c r="A64" s="226">
        <f t="shared" si="0"/>
        <v>63</v>
      </c>
      <c r="B64" s="229" t="s">
        <v>401</v>
      </c>
      <c r="C64" s="230" t="s">
        <v>316</v>
      </c>
      <c r="D64" s="227" t="s">
        <v>519</v>
      </c>
    </row>
    <row r="65" spans="1:4" ht="18.75">
      <c r="A65" s="226">
        <f t="shared" si="0"/>
        <v>64</v>
      </c>
      <c r="B65" s="229" t="s">
        <v>402</v>
      </c>
      <c r="C65" s="230" t="s">
        <v>306</v>
      </c>
      <c r="D65" s="227" t="s">
        <v>519</v>
      </c>
    </row>
    <row r="66" spans="1:4" ht="18.75">
      <c r="A66" s="226">
        <f t="shared" si="0"/>
        <v>65</v>
      </c>
      <c r="B66" s="229" t="s">
        <v>403</v>
      </c>
      <c r="C66" s="230" t="s">
        <v>312</v>
      </c>
      <c r="D66" s="227" t="s">
        <v>519</v>
      </c>
    </row>
    <row r="67" spans="1:4" ht="18.75">
      <c r="A67" s="226">
        <f t="shared" si="0"/>
        <v>66</v>
      </c>
      <c r="B67" s="229" t="s">
        <v>327</v>
      </c>
      <c r="C67" s="228" t="s">
        <v>520</v>
      </c>
      <c r="D67" s="227" t="s">
        <v>317</v>
      </c>
    </row>
    <row r="68" spans="1:4" ht="18.75">
      <c r="A68" s="226">
        <f t="shared" ref="A68:A128" si="1">A67+1</f>
        <v>67</v>
      </c>
      <c r="B68" s="229" t="s">
        <v>404</v>
      </c>
      <c r="C68" s="231" t="s">
        <v>272</v>
      </c>
      <c r="D68" s="227" t="s">
        <v>521</v>
      </c>
    </row>
    <row r="69" spans="1:4" ht="18.75">
      <c r="A69" s="226">
        <f t="shared" si="1"/>
        <v>68</v>
      </c>
      <c r="B69" s="229" t="s">
        <v>405</v>
      </c>
      <c r="C69" s="231" t="s">
        <v>318</v>
      </c>
      <c r="D69" s="227" t="s">
        <v>521</v>
      </c>
    </row>
    <row r="70" spans="1:4" ht="18.75">
      <c r="A70" s="226">
        <f t="shared" si="1"/>
        <v>69</v>
      </c>
      <c r="B70" s="229" t="s">
        <v>406</v>
      </c>
      <c r="C70" s="231" t="s">
        <v>319</v>
      </c>
      <c r="D70" s="227" t="s">
        <v>521</v>
      </c>
    </row>
    <row r="71" spans="1:4" ht="18.75">
      <c r="A71" s="226">
        <f t="shared" si="1"/>
        <v>70</v>
      </c>
      <c r="B71" s="229" t="s">
        <v>407</v>
      </c>
      <c r="C71" s="231" t="s">
        <v>320</v>
      </c>
      <c r="D71" s="227" t="s">
        <v>521</v>
      </c>
    </row>
    <row r="72" spans="1:4" ht="18.75">
      <c r="A72" s="226">
        <f t="shared" si="1"/>
        <v>71</v>
      </c>
      <c r="B72" s="229" t="s">
        <v>408</v>
      </c>
      <c r="C72" s="231" t="s">
        <v>321</v>
      </c>
      <c r="D72" s="227" t="s">
        <v>521</v>
      </c>
    </row>
    <row r="73" spans="1:4" ht="18.75">
      <c r="A73" s="226">
        <f t="shared" si="1"/>
        <v>72</v>
      </c>
      <c r="B73" s="229" t="s">
        <v>409</v>
      </c>
      <c r="C73" s="231" t="s">
        <v>322</v>
      </c>
      <c r="D73" s="227" t="s">
        <v>521</v>
      </c>
    </row>
    <row r="74" spans="1:4" ht="18.75">
      <c r="A74" s="226">
        <f t="shared" si="1"/>
        <v>73</v>
      </c>
      <c r="B74" s="229" t="s">
        <v>410</v>
      </c>
      <c r="C74" s="231" t="s">
        <v>577</v>
      </c>
      <c r="D74" s="227" t="s">
        <v>521</v>
      </c>
    </row>
    <row r="75" spans="1:4" ht="18.75">
      <c r="A75" s="226">
        <f t="shared" si="1"/>
        <v>74</v>
      </c>
      <c r="B75" s="229" t="s">
        <v>411</v>
      </c>
      <c r="C75" s="231" t="s">
        <v>578</v>
      </c>
      <c r="D75" s="227" t="s">
        <v>521</v>
      </c>
    </row>
    <row r="76" spans="1:4" ht="18.75">
      <c r="A76" s="226">
        <f t="shared" si="1"/>
        <v>75</v>
      </c>
      <c r="B76" s="229" t="s">
        <v>412</v>
      </c>
      <c r="C76" s="231" t="s">
        <v>579</v>
      </c>
      <c r="D76" s="227" t="s">
        <v>521</v>
      </c>
    </row>
    <row r="77" spans="1:4" ht="18.75">
      <c r="A77" s="226">
        <f t="shared" si="1"/>
        <v>76</v>
      </c>
      <c r="B77" s="229" t="s">
        <v>413</v>
      </c>
      <c r="C77" s="231" t="s">
        <v>580</v>
      </c>
      <c r="D77" s="227" t="s">
        <v>521</v>
      </c>
    </row>
    <row r="78" spans="1:4" ht="18.75">
      <c r="A78" s="226">
        <f t="shared" si="1"/>
        <v>77</v>
      </c>
      <c r="B78" s="229" t="s">
        <v>414</v>
      </c>
      <c r="C78" s="231" t="s">
        <v>581</v>
      </c>
      <c r="D78" s="227" t="s">
        <v>521</v>
      </c>
    </row>
    <row r="79" spans="1:4" ht="18.75">
      <c r="A79" s="226">
        <f t="shared" si="1"/>
        <v>78</v>
      </c>
      <c r="B79" s="229" t="s">
        <v>415</v>
      </c>
      <c r="C79" s="231" t="s">
        <v>582</v>
      </c>
      <c r="D79" s="227" t="s">
        <v>521</v>
      </c>
    </row>
    <row r="80" spans="1:4" ht="18.75">
      <c r="A80" s="226">
        <f t="shared" si="1"/>
        <v>79</v>
      </c>
      <c r="B80" s="229" t="s">
        <v>416</v>
      </c>
      <c r="C80" s="231" t="s">
        <v>583</v>
      </c>
      <c r="D80" s="227" t="s">
        <v>521</v>
      </c>
    </row>
    <row r="81" spans="1:4" ht="18.75">
      <c r="A81" s="226">
        <f t="shared" si="1"/>
        <v>80</v>
      </c>
      <c r="B81" s="229" t="s">
        <v>417</v>
      </c>
      <c r="C81" s="231" t="s">
        <v>584</v>
      </c>
      <c r="D81" s="227" t="s">
        <v>521</v>
      </c>
    </row>
    <row r="82" spans="1:4" ht="18.75">
      <c r="A82" s="226">
        <f t="shared" si="1"/>
        <v>81</v>
      </c>
      <c r="B82" s="229" t="s">
        <v>418</v>
      </c>
      <c r="C82" s="231" t="s">
        <v>585</v>
      </c>
      <c r="D82" s="227" t="s">
        <v>521</v>
      </c>
    </row>
    <row r="83" spans="1:4" ht="18.75">
      <c r="A83" s="226">
        <f t="shared" si="1"/>
        <v>82</v>
      </c>
      <c r="B83" s="229" t="s">
        <v>419</v>
      </c>
      <c r="C83" s="231" t="s">
        <v>272</v>
      </c>
      <c r="D83" s="227" t="s">
        <v>522</v>
      </c>
    </row>
    <row r="84" spans="1:4" ht="18.75">
      <c r="A84" s="226">
        <f t="shared" si="1"/>
        <v>83</v>
      </c>
      <c r="B84" s="229" t="s">
        <v>420</v>
      </c>
      <c r="C84" s="231" t="s">
        <v>318</v>
      </c>
      <c r="D84" s="227" t="s">
        <v>522</v>
      </c>
    </row>
    <row r="85" spans="1:4" ht="18.75">
      <c r="A85" s="226">
        <f t="shared" si="1"/>
        <v>84</v>
      </c>
      <c r="B85" s="229" t="s">
        <v>421</v>
      </c>
      <c r="C85" s="231" t="s">
        <v>319</v>
      </c>
      <c r="D85" s="227" t="s">
        <v>522</v>
      </c>
    </row>
    <row r="86" spans="1:4" ht="18.75">
      <c r="A86" s="226">
        <f t="shared" si="1"/>
        <v>85</v>
      </c>
      <c r="B86" s="229" t="s">
        <v>422</v>
      </c>
      <c r="C86" s="231" t="s">
        <v>320</v>
      </c>
      <c r="D86" s="227" t="s">
        <v>522</v>
      </c>
    </row>
    <row r="87" spans="1:4" ht="18.75">
      <c r="A87" s="226">
        <f t="shared" si="1"/>
        <v>86</v>
      </c>
      <c r="B87" s="229" t="s">
        <v>423</v>
      </c>
      <c r="C87" s="231" t="s">
        <v>267</v>
      </c>
      <c r="D87" s="227" t="s">
        <v>522</v>
      </c>
    </row>
    <row r="88" spans="1:4" ht="18.75">
      <c r="A88" s="226">
        <f t="shared" si="1"/>
        <v>87</v>
      </c>
      <c r="B88" s="229" t="s">
        <v>424</v>
      </c>
      <c r="C88" s="231" t="s">
        <v>586</v>
      </c>
      <c r="D88" s="227" t="s">
        <v>522</v>
      </c>
    </row>
    <row r="89" spans="1:4" ht="18.75">
      <c r="A89" s="226">
        <f t="shared" si="1"/>
        <v>88</v>
      </c>
      <c r="B89" s="229" t="s">
        <v>425</v>
      </c>
      <c r="C89" s="231" t="s">
        <v>587</v>
      </c>
      <c r="D89" s="227" t="s">
        <v>522</v>
      </c>
    </row>
    <row r="90" spans="1:4" ht="18.75">
      <c r="A90" s="226">
        <f t="shared" si="1"/>
        <v>89</v>
      </c>
      <c r="B90" s="229" t="s">
        <v>426</v>
      </c>
      <c r="C90" s="231" t="s">
        <v>588</v>
      </c>
      <c r="D90" s="227" t="s">
        <v>522</v>
      </c>
    </row>
    <row r="91" spans="1:4" ht="18.75">
      <c r="A91" s="226">
        <f t="shared" si="1"/>
        <v>90</v>
      </c>
      <c r="B91" s="229" t="s">
        <v>427</v>
      </c>
      <c r="C91" s="231" t="s">
        <v>589</v>
      </c>
      <c r="D91" s="227" t="s">
        <v>522</v>
      </c>
    </row>
    <row r="92" spans="1:4" ht="18.75">
      <c r="A92" s="226">
        <f t="shared" si="1"/>
        <v>91</v>
      </c>
      <c r="B92" s="229" t="s">
        <v>428</v>
      </c>
      <c r="C92" s="231" t="s">
        <v>590</v>
      </c>
      <c r="D92" s="227" t="s">
        <v>522</v>
      </c>
    </row>
    <row r="93" spans="1:4" ht="18.75">
      <c r="A93" s="226">
        <f t="shared" si="1"/>
        <v>92</v>
      </c>
      <c r="B93" s="229" t="s">
        <v>429</v>
      </c>
      <c r="C93" s="231" t="s">
        <v>591</v>
      </c>
      <c r="D93" s="227" t="s">
        <v>522</v>
      </c>
    </row>
    <row r="94" spans="1:4" ht="18.75">
      <c r="A94" s="226">
        <f t="shared" si="1"/>
        <v>93</v>
      </c>
      <c r="B94" s="229" t="s">
        <v>430</v>
      </c>
      <c r="C94" s="231" t="s">
        <v>592</v>
      </c>
      <c r="D94" s="227" t="s">
        <v>522</v>
      </c>
    </row>
    <row r="95" spans="1:4" ht="18.75">
      <c r="A95" s="226">
        <f t="shared" si="1"/>
        <v>94</v>
      </c>
      <c r="B95" s="229" t="s">
        <v>431</v>
      </c>
      <c r="C95" s="231" t="s">
        <v>593</v>
      </c>
      <c r="D95" s="227" t="s">
        <v>522</v>
      </c>
    </row>
    <row r="96" spans="1:4" ht="18.75">
      <c r="A96" s="226">
        <f t="shared" si="1"/>
        <v>95</v>
      </c>
      <c r="B96" s="229" t="s">
        <v>432</v>
      </c>
      <c r="C96" s="231" t="s">
        <v>594</v>
      </c>
      <c r="D96" s="227" t="s">
        <v>522</v>
      </c>
    </row>
    <row r="97" spans="1:4" ht="18.75">
      <c r="A97" s="226">
        <f t="shared" si="1"/>
        <v>96</v>
      </c>
      <c r="B97" s="229" t="s">
        <v>433</v>
      </c>
      <c r="C97" s="231" t="s">
        <v>323</v>
      </c>
      <c r="D97" s="227" t="s">
        <v>523</v>
      </c>
    </row>
    <row r="98" spans="1:4" ht="18.75">
      <c r="A98" s="226">
        <f t="shared" si="1"/>
        <v>97</v>
      </c>
      <c r="B98" s="229" t="s">
        <v>434</v>
      </c>
      <c r="C98" s="231" t="s">
        <v>324</v>
      </c>
      <c r="D98" s="227" t="s">
        <v>523</v>
      </c>
    </row>
    <row r="99" spans="1:4" ht="18.75">
      <c r="A99" s="226">
        <f t="shared" si="1"/>
        <v>98</v>
      </c>
      <c r="B99" s="229" t="s">
        <v>437</v>
      </c>
      <c r="C99" s="231" t="s">
        <v>325</v>
      </c>
      <c r="D99" s="227" t="s">
        <v>523</v>
      </c>
    </row>
    <row r="100" spans="1:4" ht="18.75">
      <c r="A100" s="226">
        <f t="shared" si="1"/>
        <v>99</v>
      </c>
      <c r="B100" s="229" t="s">
        <v>435</v>
      </c>
      <c r="C100" s="231" t="s">
        <v>323</v>
      </c>
      <c r="D100" s="227" t="s">
        <v>524</v>
      </c>
    </row>
    <row r="101" spans="1:4" ht="18.75">
      <c r="A101" s="226">
        <f t="shared" si="1"/>
        <v>100</v>
      </c>
      <c r="B101" s="229" t="s">
        <v>436</v>
      </c>
      <c r="C101" s="231" t="s">
        <v>324</v>
      </c>
      <c r="D101" s="227" t="s">
        <v>524</v>
      </c>
    </row>
    <row r="102" spans="1:4" ht="18.75">
      <c r="A102" s="226">
        <f t="shared" si="1"/>
        <v>101</v>
      </c>
      <c r="B102" s="229" t="s">
        <v>438</v>
      </c>
      <c r="C102" s="231" t="s">
        <v>326</v>
      </c>
      <c r="D102" s="227" t="s">
        <v>524</v>
      </c>
    </row>
    <row r="103" spans="1:4" ht="18.75">
      <c r="A103" s="226">
        <f t="shared" si="1"/>
        <v>102</v>
      </c>
      <c r="B103" s="229" t="s">
        <v>439</v>
      </c>
      <c r="C103" s="231" t="s">
        <v>325</v>
      </c>
      <c r="D103" s="227" t="s">
        <v>524</v>
      </c>
    </row>
    <row r="104" spans="1:4" ht="18.75">
      <c r="A104" s="226">
        <f t="shared" si="1"/>
        <v>103</v>
      </c>
      <c r="B104" s="229" t="s">
        <v>440</v>
      </c>
      <c r="C104" s="231" t="s">
        <v>328</v>
      </c>
      <c r="D104" s="227" t="s">
        <v>525</v>
      </c>
    </row>
    <row r="105" spans="1:4" ht="18.75">
      <c r="A105" s="226">
        <f t="shared" si="1"/>
        <v>104</v>
      </c>
      <c r="B105" s="229" t="s">
        <v>441</v>
      </c>
      <c r="C105" s="231" t="s">
        <v>329</v>
      </c>
      <c r="D105" s="227" t="s">
        <v>525</v>
      </c>
    </row>
    <row r="106" spans="1:4" ht="18.75">
      <c r="A106" s="226">
        <f t="shared" si="1"/>
        <v>105</v>
      </c>
      <c r="B106" s="229" t="s">
        <v>442</v>
      </c>
      <c r="C106" s="231" t="s">
        <v>330</v>
      </c>
      <c r="D106" s="227" t="s">
        <v>525</v>
      </c>
    </row>
    <row r="107" spans="1:4" ht="18.75">
      <c r="A107" s="226">
        <f t="shared" si="1"/>
        <v>106</v>
      </c>
      <c r="B107" s="229" t="s">
        <v>443</v>
      </c>
      <c r="C107" s="231" t="s">
        <v>331</v>
      </c>
      <c r="D107" s="227" t="s">
        <v>525</v>
      </c>
    </row>
    <row r="108" spans="1:4" ht="18.75">
      <c r="A108" s="226">
        <f t="shared" si="1"/>
        <v>107</v>
      </c>
      <c r="B108" s="229" t="s">
        <v>444</v>
      </c>
      <c r="C108" s="231" t="s">
        <v>332</v>
      </c>
      <c r="D108" s="227" t="s">
        <v>525</v>
      </c>
    </row>
    <row r="109" spans="1:4" ht="18.75">
      <c r="A109" s="226">
        <f t="shared" si="1"/>
        <v>108</v>
      </c>
      <c r="B109" s="229" t="s">
        <v>445</v>
      </c>
      <c r="C109" s="231" t="s">
        <v>333</v>
      </c>
      <c r="D109" s="227" t="s">
        <v>525</v>
      </c>
    </row>
    <row r="110" spans="1:4" ht="18.75">
      <c r="A110" s="226">
        <f t="shared" si="1"/>
        <v>109</v>
      </c>
      <c r="B110" s="229" t="s">
        <v>446</v>
      </c>
      <c r="C110" s="231" t="s">
        <v>334</v>
      </c>
      <c r="D110" s="227" t="s">
        <v>525</v>
      </c>
    </row>
    <row r="111" spans="1:4" ht="18.75">
      <c r="A111" s="226">
        <f t="shared" si="1"/>
        <v>110</v>
      </c>
      <c r="B111" s="229" t="s">
        <v>447</v>
      </c>
      <c r="C111" s="231" t="s">
        <v>335</v>
      </c>
      <c r="D111" s="227" t="s">
        <v>525</v>
      </c>
    </row>
    <row r="112" spans="1:4" ht="18.75">
      <c r="A112" s="226">
        <f t="shared" si="1"/>
        <v>111</v>
      </c>
      <c r="B112" s="229" t="s">
        <v>448</v>
      </c>
      <c r="C112" s="231" t="s">
        <v>336</v>
      </c>
      <c r="D112" s="227" t="s">
        <v>525</v>
      </c>
    </row>
    <row r="113" spans="1:4" ht="18.75">
      <c r="A113" s="226">
        <f t="shared" si="1"/>
        <v>112</v>
      </c>
      <c r="B113" s="229" t="s">
        <v>449</v>
      </c>
      <c r="C113" s="231" t="s">
        <v>337</v>
      </c>
      <c r="D113" s="227" t="s">
        <v>525</v>
      </c>
    </row>
    <row r="114" spans="1:4" ht="18.75">
      <c r="A114" s="226">
        <f t="shared" si="1"/>
        <v>113</v>
      </c>
      <c r="B114" s="229" t="s">
        <v>450</v>
      </c>
      <c r="C114" s="231" t="s">
        <v>618</v>
      </c>
      <c r="D114" s="227" t="s">
        <v>525</v>
      </c>
    </row>
    <row r="115" spans="1:4" ht="18.75">
      <c r="A115" s="226">
        <f t="shared" si="1"/>
        <v>114</v>
      </c>
      <c r="B115" s="229" t="s">
        <v>451</v>
      </c>
      <c r="C115" s="231" t="s">
        <v>610</v>
      </c>
      <c r="D115" s="227" t="s">
        <v>525</v>
      </c>
    </row>
    <row r="116" spans="1:4" ht="18.75">
      <c r="A116" s="226">
        <f t="shared" si="1"/>
        <v>115</v>
      </c>
      <c r="B116" s="229" t="s">
        <v>452</v>
      </c>
      <c r="C116" s="231" t="s">
        <v>619</v>
      </c>
      <c r="D116" s="227" t="s">
        <v>525</v>
      </c>
    </row>
    <row r="117" spans="1:4" ht="18.75">
      <c r="A117" s="226">
        <f t="shared" si="1"/>
        <v>116</v>
      </c>
      <c r="B117" s="229" t="s">
        <v>453</v>
      </c>
      <c r="C117" s="231" t="s">
        <v>620</v>
      </c>
      <c r="D117" s="227" t="s">
        <v>525</v>
      </c>
    </row>
    <row r="118" spans="1:4" ht="18.75">
      <c r="A118" s="226">
        <f t="shared" si="1"/>
        <v>117</v>
      </c>
      <c r="B118" s="229" t="s">
        <v>454</v>
      </c>
      <c r="C118" s="231" t="s">
        <v>621</v>
      </c>
      <c r="D118" s="227" t="s">
        <v>525</v>
      </c>
    </row>
    <row r="119" spans="1:4" ht="18.75">
      <c r="A119" s="226">
        <f t="shared" si="1"/>
        <v>118</v>
      </c>
      <c r="B119" s="229" t="s">
        <v>455</v>
      </c>
      <c r="C119" s="231" t="s">
        <v>622</v>
      </c>
      <c r="D119" s="227" t="s">
        <v>525</v>
      </c>
    </row>
    <row r="120" spans="1:4" ht="18.75">
      <c r="A120" s="226">
        <f t="shared" si="1"/>
        <v>119</v>
      </c>
      <c r="B120" s="229" t="s">
        <v>456</v>
      </c>
      <c r="C120" s="231" t="s">
        <v>611</v>
      </c>
      <c r="D120" s="227" t="s">
        <v>525</v>
      </c>
    </row>
    <row r="121" spans="1:4" ht="18.75">
      <c r="A121" s="226">
        <f t="shared" si="1"/>
        <v>120</v>
      </c>
      <c r="B121" s="229" t="s">
        <v>457</v>
      </c>
      <c r="C121" s="231" t="s">
        <v>612</v>
      </c>
      <c r="D121" s="227" t="s">
        <v>525</v>
      </c>
    </row>
    <row r="122" spans="1:4" ht="18.75">
      <c r="A122" s="226">
        <f t="shared" si="1"/>
        <v>121</v>
      </c>
      <c r="B122" s="229" t="s">
        <v>458</v>
      </c>
      <c r="C122" s="231" t="s">
        <v>613</v>
      </c>
      <c r="D122" s="227" t="s">
        <v>525</v>
      </c>
    </row>
    <row r="123" spans="1:4" ht="18.75">
      <c r="A123" s="226">
        <f t="shared" si="1"/>
        <v>122</v>
      </c>
      <c r="B123" s="229" t="s">
        <v>459</v>
      </c>
      <c r="C123" s="231" t="s">
        <v>614</v>
      </c>
      <c r="D123" s="227" t="s">
        <v>525</v>
      </c>
    </row>
    <row r="124" spans="1:4" ht="18.75">
      <c r="A124" s="226">
        <f t="shared" si="1"/>
        <v>123</v>
      </c>
      <c r="B124" s="229" t="s">
        <v>460</v>
      </c>
      <c r="C124" s="231" t="s">
        <v>615</v>
      </c>
      <c r="D124" s="227" t="s">
        <v>525</v>
      </c>
    </row>
    <row r="125" spans="1:4" ht="18.75">
      <c r="A125" s="226">
        <f t="shared" si="1"/>
        <v>124</v>
      </c>
      <c r="B125" s="229" t="s">
        <v>461</v>
      </c>
      <c r="C125" s="231" t="s">
        <v>623</v>
      </c>
      <c r="D125" s="227" t="s">
        <v>525</v>
      </c>
    </row>
    <row r="126" spans="1:4" ht="18.75">
      <c r="A126" s="226">
        <f t="shared" si="1"/>
        <v>125</v>
      </c>
      <c r="B126" s="229" t="s">
        <v>462</v>
      </c>
      <c r="C126" s="231" t="s">
        <v>616</v>
      </c>
      <c r="D126" s="227" t="s">
        <v>525</v>
      </c>
    </row>
    <row r="127" spans="1:4" ht="18.75">
      <c r="A127" s="226">
        <f t="shared" si="1"/>
        <v>126</v>
      </c>
      <c r="B127" s="229" t="s">
        <v>463</v>
      </c>
      <c r="C127" s="231" t="s">
        <v>617</v>
      </c>
      <c r="D127" s="227" t="s">
        <v>525</v>
      </c>
    </row>
    <row r="128" spans="1:4" ht="18.75">
      <c r="A128" s="226">
        <f t="shared" si="1"/>
        <v>127</v>
      </c>
      <c r="B128" s="229" t="s">
        <v>625</v>
      </c>
      <c r="C128" s="231" t="s">
        <v>624</v>
      </c>
      <c r="D128" s="227" t="s">
        <v>525</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E5" sqref="E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437" t="s">
        <v>27</v>
      </c>
      <c r="B3" s="12" t="s">
        <v>26</v>
      </c>
      <c r="C3" s="11" t="e">
        <f>COUNTIFS(QTCT!$A$6:$A$100,#REF!,QTCT!#REF!,#REF!)</f>
        <v>#REF!</v>
      </c>
      <c r="D3" s="538" t="s">
        <v>17</v>
      </c>
      <c r="E3" s="537" t="s">
        <v>18</v>
      </c>
      <c r="F3" s="537" t="s">
        <v>18</v>
      </c>
      <c r="G3" s="537" t="s">
        <v>18</v>
      </c>
      <c r="H3" s="437" t="s">
        <v>9</v>
      </c>
      <c r="I3" s="437" t="s">
        <v>9</v>
      </c>
      <c r="J3" s="535" t="s">
        <v>2</v>
      </c>
      <c r="K3" s="437" t="s">
        <v>3</v>
      </c>
      <c r="L3" s="437" t="s">
        <v>13</v>
      </c>
      <c r="M3" s="538"/>
      <c r="N3" s="538"/>
      <c r="O3" s="547" t="s">
        <v>20</v>
      </c>
      <c r="P3" s="547" t="s">
        <v>20</v>
      </c>
      <c r="Q3" s="547" t="s">
        <v>20</v>
      </c>
      <c r="R3" s="537" t="s">
        <v>16</v>
      </c>
      <c r="S3" s="537" t="s">
        <v>16</v>
      </c>
      <c r="T3" s="537" t="s">
        <v>16</v>
      </c>
      <c r="U3" s="437" t="s">
        <v>21</v>
      </c>
    </row>
    <row r="4" spans="1:36" ht="29.45" customHeight="1">
      <c r="A4" s="437"/>
      <c r="B4" s="2" t="s">
        <v>23</v>
      </c>
      <c r="C4" s="11" t="e">
        <f t="array" ref="C4">MATCH(#REF!&amp;"X",QT_HoTen&amp;QT_Dang_ApDung,0)</f>
        <v>#REF!</v>
      </c>
      <c r="D4" s="538"/>
      <c r="E4" s="537"/>
      <c r="F4" s="537"/>
      <c r="G4" s="537"/>
      <c r="H4" s="437"/>
      <c r="I4" s="437"/>
      <c r="J4" s="536"/>
      <c r="K4" s="437"/>
      <c r="L4" s="437"/>
      <c r="M4" s="21" t="s">
        <v>3</v>
      </c>
      <c r="N4" s="21" t="s">
        <v>14</v>
      </c>
      <c r="O4" s="547"/>
      <c r="P4" s="547"/>
      <c r="Q4" s="547"/>
      <c r="R4" s="537"/>
      <c r="S4" s="537"/>
      <c r="T4" s="537"/>
      <c r="U4" s="437"/>
    </row>
    <row r="5" spans="1:36" ht="18" customHeight="1">
      <c r="A5" s="437"/>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39" t="e">
        <f>#REF!</f>
        <v>#REF!</v>
      </c>
      <c r="J5" s="11" t="e">
        <f>#REF!</f>
        <v>#REF!</v>
      </c>
      <c r="K5" s="11" t="e">
        <f>#REF!</f>
        <v>#REF!</v>
      </c>
      <c r="L5" s="11" t="e">
        <f>IF(#REF!="",#REF!,#REF!)</f>
        <v>#REF!</v>
      </c>
      <c r="M5" s="11" t="e">
        <f>IF(#REF!+#REF!=0,0,#REF!+#REF!)</f>
        <v>#REF!</v>
      </c>
      <c r="N5" s="11" t="e">
        <f>IF(#REF!+#REF!=0,0,#REF!+#REF!)</f>
        <v>#REF!</v>
      </c>
      <c r="O5" s="239" t="e">
        <f>#REF!*(1+#REF!)+L5+M5</f>
        <v>#REF!</v>
      </c>
      <c r="P5" s="239"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35" t="s">
        <v>31</v>
      </c>
      <c r="B9" s="68" t="s">
        <v>26</v>
      </c>
      <c r="C9" s="560" t="s">
        <v>33</v>
      </c>
      <c r="D9" s="538" t="s">
        <v>17</v>
      </c>
      <c r="E9" s="537" t="s">
        <v>18</v>
      </c>
      <c r="F9" s="537" t="s">
        <v>18</v>
      </c>
      <c r="G9" s="537" t="s">
        <v>18</v>
      </c>
      <c r="H9" s="437" t="s">
        <v>9</v>
      </c>
      <c r="I9" s="437" t="s">
        <v>9</v>
      </c>
      <c r="J9" s="535" t="s">
        <v>2</v>
      </c>
      <c r="K9" s="437" t="s">
        <v>3</v>
      </c>
      <c r="L9" s="437" t="s">
        <v>13</v>
      </c>
      <c r="M9" s="538"/>
      <c r="N9" s="538"/>
      <c r="O9" s="547" t="s">
        <v>20</v>
      </c>
      <c r="P9" s="547" t="s">
        <v>20</v>
      </c>
      <c r="Q9" s="547" t="s">
        <v>20</v>
      </c>
      <c r="R9" s="537" t="s">
        <v>16</v>
      </c>
      <c r="S9" s="537" t="s">
        <v>16</v>
      </c>
      <c r="T9" s="537" t="s">
        <v>16</v>
      </c>
      <c r="U9" s="437" t="s">
        <v>21</v>
      </c>
    </row>
    <row r="10" spans="1:36" ht="30">
      <c r="A10" s="559"/>
      <c r="B10" s="67">
        <f>COUNTIF(DSDV!$G$7:$G$216,Them_DV!$F$10)</f>
        <v>0</v>
      </c>
      <c r="C10" s="561"/>
      <c r="D10" s="538"/>
      <c r="E10" s="537"/>
      <c r="F10" s="537"/>
      <c r="G10" s="537"/>
      <c r="H10" s="437"/>
      <c r="I10" s="437"/>
      <c r="J10" s="536"/>
      <c r="K10" s="437"/>
      <c r="L10" s="437"/>
      <c r="M10" s="21" t="s">
        <v>3</v>
      </c>
      <c r="N10" s="21" t="s">
        <v>14</v>
      </c>
      <c r="O10" s="547"/>
      <c r="P10" s="547"/>
      <c r="Q10" s="547"/>
      <c r="R10" s="537"/>
      <c r="S10" s="537"/>
      <c r="T10" s="537"/>
      <c r="U10" s="437"/>
    </row>
    <row r="11" spans="1:36" ht="16.899999999999999" customHeight="1">
      <c r="A11" s="559"/>
      <c r="B11" s="68" t="s">
        <v>28</v>
      </c>
      <c r="C11" s="562"/>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39" t="e">
        <f>#REF!*(1+#REF!)+L11+M11</f>
        <v>#REF!</v>
      </c>
      <c r="P11" s="239"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59"/>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59"/>
      <c r="B13" s="113">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60" t="s">
        <v>163</v>
      </c>
      <c r="D13" s="533" t="s">
        <v>465</v>
      </c>
      <c r="E13" s="533" t="s">
        <v>466</v>
      </c>
      <c r="F13" s="533" t="s">
        <v>156</v>
      </c>
      <c r="G13" s="533" t="s">
        <v>484</v>
      </c>
      <c r="H13" s="539" t="s">
        <v>482</v>
      </c>
      <c r="I13" s="539" t="s">
        <v>483</v>
      </c>
      <c r="J13" s="539" t="s">
        <v>10</v>
      </c>
      <c r="K13" s="549" t="s">
        <v>113</v>
      </c>
      <c r="L13" s="539" t="s">
        <v>467</v>
      </c>
      <c r="M13" s="540" t="s">
        <v>1</v>
      </c>
      <c r="N13" s="551" t="s">
        <v>468</v>
      </c>
      <c r="O13" s="552"/>
      <c r="P13" s="552"/>
      <c r="Q13" s="552"/>
      <c r="R13" s="552"/>
      <c r="S13" s="552"/>
      <c r="T13" s="553"/>
      <c r="U13" s="554" t="s">
        <v>3</v>
      </c>
      <c r="V13" s="555"/>
      <c r="W13" s="549" t="s">
        <v>489</v>
      </c>
      <c r="X13" s="549" t="s">
        <v>469</v>
      </c>
      <c r="Y13" s="539" t="s">
        <v>470</v>
      </c>
      <c r="Z13" s="539" t="s">
        <v>96</v>
      </c>
      <c r="AA13" s="539" t="s">
        <v>112</v>
      </c>
      <c r="AB13" s="545" t="s">
        <v>471</v>
      </c>
      <c r="AC13" s="539" t="s">
        <v>161</v>
      </c>
      <c r="AD13" s="539" t="s">
        <v>472</v>
      </c>
      <c r="AE13" s="539" t="s">
        <v>473</v>
      </c>
      <c r="AF13" s="539" t="s">
        <v>474</v>
      </c>
      <c r="AG13" s="542" t="s">
        <v>475</v>
      </c>
      <c r="AH13" s="539" t="s">
        <v>490</v>
      </c>
      <c r="AI13" s="539" t="s">
        <v>117</v>
      </c>
      <c r="AJ13" s="539" t="s">
        <v>476</v>
      </c>
    </row>
    <row r="14" spans="1:36" ht="41.25" customHeight="1">
      <c r="A14" s="559"/>
      <c r="B14" s="70"/>
      <c r="C14" s="561"/>
      <c r="D14" s="534"/>
      <c r="E14" s="534"/>
      <c r="F14" s="534"/>
      <c r="G14" s="534"/>
      <c r="H14" s="534"/>
      <c r="I14" s="534"/>
      <c r="J14" s="544"/>
      <c r="K14" s="550"/>
      <c r="L14" s="544"/>
      <c r="M14" s="541"/>
      <c r="N14" s="234" t="s">
        <v>477</v>
      </c>
      <c r="O14" s="237" t="s">
        <v>485</v>
      </c>
      <c r="P14" s="237" t="s">
        <v>478</v>
      </c>
      <c r="Q14" s="237" t="s">
        <v>486</v>
      </c>
      <c r="R14" s="238" t="s">
        <v>479</v>
      </c>
      <c r="S14" s="238" t="s">
        <v>487</v>
      </c>
      <c r="T14" s="235" t="s">
        <v>488</v>
      </c>
      <c r="U14" s="236" t="s">
        <v>480</v>
      </c>
      <c r="V14" s="236" t="s">
        <v>481</v>
      </c>
      <c r="W14" s="550"/>
      <c r="X14" s="550"/>
      <c r="Y14" s="544"/>
      <c r="Z14" s="544"/>
      <c r="AA14" s="544"/>
      <c r="AB14" s="546"/>
      <c r="AC14" s="544"/>
      <c r="AD14" s="544"/>
      <c r="AE14" s="544"/>
      <c r="AF14" s="544"/>
      <c r="AG14" s="543"/>
      <c r="AH14" s="534"/>
      <c r="AI14" s="534"/>
      <c r="AJ14" s="534"/>
    </row>
    <row r="15" spans="1:36" ht="19.149999999999999" customHeight="1">
      <c r="A15" s="536"/>
      <c r="B15" s="71"/>
      <c r="C15" s="563"/>
      <c r="D15" s="2">
        <f>Them_DV!C5</f>
        <v>0</v>
      </c>
      <c r="E15" s="2">
        <f>Them_DV!G5</f>
        <v>0</v>
      </c>
      <c r="F15" s="2" t="str">
        <f>"'"&amp;Them_DV!C3</f>
        <v>'</v>
      </c>
      <c r="G15" s="2" t="str">
        <f>"'"&amp;Them_DV!G3</f>
        <v>'</v>
      </c>
      <c r="H15" s="2">
        <f>Them_DV!C10</f>
        <v>0</v>
      </c>
      <c r="I15" s="240">
        <f>Them_DV!F10</f>
        <v>0</v>
      </c>
      <c r="J15" s="241" t="str">
        <f>Them_DV!C12</f>
        <v>Nam</v>
      </c>
      <c r="K15" s="2">
        <f>Them_DV!E14</f>
        <v>0</v>
      </c>
      <c r="L15" s="2">
        <f>Them_DV!C21</f>
        <v>0</v>
      </c>
      <c r="M15" s="4">
        <f>Them_DV!E12</f>
        <v>0</v>
      </c>
      <c r="N15" s="4">
        <f>Them_DV!C23</f>
        <v>0</v>
      </c>
      <c r="O15" s="240">
        <f>Them_DV!E23</f>
        <v>0</v>
      </c>
      <c r="P15" s="4">
        <f>Them_DV!C25</f>
        <v>0</v>
      </c>
      <c r="Q15" s="241">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41">
        <f>Them_DV!G12</f>
        <v>0</v>
      </c>
      <c r="AA15" s="2">
        <f>Them_DV!C14</f>
        <v>0</v>
      </c>
      <c r="AB15" s="240">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4"/>
      <c r="N16" s="114"/>
      <c r="O16" s="114"/>
      <c r="P16" s="114"/>
      <c r="Q16" s="114"/>
      <c r="R16" s="114"/>
      <c r="S16" s="114"/>
      <c r="T16" s="114"/>
      <c r="U16" s="114"/>
      <c r="V16" s="114"/>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4"/>
      <c r="J32" s="94"/>
    </row>
    <row r="33" spans="2:10" ht="15" customHeight="1">
      <c r="B33" s="1">
        <f>IF(OR(Them_QTCT!D5="",Them_QTCT!D7="",Them_QTCT!F7="",Them_QTCT!D9=""),1,0)</f>
        <v>1</v>
      </c>
      <c r="C33" s="535" t="s">
        <v>9</v>
      </c>
      <c r="D33" s="557" t="s">
        <v>166</v>
      </c>
      <c r="E33" s="558"/>
      <c r="F33" s="547" t="s">
        <v>169</v>
      </c>
      <c r="G33" s="532" t="s">
        <v>132</v>
      </c>
      <c r="H33" s="532"/>
      <c r="I33" s="556"/>
      <c r="J33" s="548"/>
    </row>
    <row r="34" spans="2:10">
      <c r="C34" s="536"/>
      <c r="D34" s="10" t="s">
        <v>167</v>
      </c>
      <c r="E34" s="21" t="s">
        <v>168</v>
      </c>
      <c r="F34" s="547"/>
      <c r="G34" s="532"/>
      <c r="H34" s="532"/>
      <c r="I34" s="556"/>
      <c r="J34" s="548"/>
    </row>
    <row r="35" spans="2:10">
      <c r="C35" s="12">
        <f>Them_QTCT!D5</f>
        <v>0</v>
      </c>
      <c r="D35" s="128">
        <f>Them_QTCT!D7</f>
        <v>0</v>
      </c>
      <c r="E35" s="265">
        <f>Them_QTCT!F7</f>
        <v>0</v>
      </c>
      <c r="F35" s="128">
        <f>Them_QTCT!D9</f>
        <v>0</v>
      </c>
      <c r="G35" s="263">
        <f>Them_QTCT!D13</f>
        <v>0</v>
      </c>
      <c r="H35" s="263"/>
      <c r="I35" s="264"/>
      <c r="J35" s="264"/>
    </row>
    <row r="36" spans="2:10">
      <c r="I36" s="94"/>
      <c r="J36" s="94"/>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C13" sqref="C13"/>
    </sheetView>
  </sheetViews>
  <sheetFormatPr defaultColWidth="9.140625" defaultRowHeight="15"/>
  <cols>
    <col min="1" max="1" width="25.140625" style="131" customWidth="1"/>
    <col min="2" max="2" width="18.42578125" style="20" customWidth="1"/>
    <col min="3" max="3" width="17.28515625" style="221" customWidth="1"/>
    <col min="4" max="4" width="70.140625" style="1" customWidth="1"/>
    <col min="5" max="5" width="25.28515625" style="1" customWidth="1"/>
    <col min="6" max="16384" width="9.140625" style="1"/>
  </cols>
  <sheetData>
    <row r="1" spans="1:5" ht="62.25" customHeight="1"/>
    <row r="2" spans="1:5" ht="27.75" customHeight="1">
      <c r="A2" s="568" t="s">
        <v>170</v>
      </c>
      <c r="B2" s="568"/>
      <c r="C2" s="568"/>
      <c r="D2" s="568"/>
      <c r="E2" s="568"/>
    </row>
    <row r="3" spans="1:5" ht="19.5" customHeight="1">
      <c r="A3" s="564" t="s">
        <v>9</v>
      </c>
      <c r="B3" s="566" t="s">
        <v>166</v>
      </c>
      <c r="C3" s="567"/>
      <c r="D3" s="564" t="s">
        <v>169</v>
      </c>
      <c r="E3" s="564" t="s">
        <v>132</v>
      </c>
    </row>
    <row r="4" spans="1:5" ht="19.5" customHeight="1">
      <c r="A4" s="565"/>
      <c r="B4" s="129" t="s">
        <v>167</v>
      </c>
      <c r="C4" s="130" t="s">
        <v>168</v>
      </c>
      <c r="D4" s="565"/>
      <c r="E4" s="565"/>
    </row>
    <row r="5" spans="1:5" ht="16.5" customHeight="1">
      <c r="A5" s="13">
        <v>1</v>
      </c>
      <c r="B5" s="13">
        <v>2</v>
      </c>
      <c r="C5" s="13">
        <v>3</v>
      </c>
      <c r="D5" s="13"/>
      <c r="E5" s="13">
        <v>5</v>
      </c>
    </row>
    <row r="6" spans="1:5">
      <c r="A6" s="132" t="s">
        <v>496</v>
      </c>
      <c r="B6" s="220" t="s">
        <v>497</v>
      </c>
      <c r="C6" s="220" t="s">
        <v>498</v>
      </c>
      <c r="D6" s="266" t="s">
        <v>499</v>
      </c>
      <c r="E6" s="220" t="s">
        <v>500</v>
      </c>
    </row>
    <row r="7" spans="1:5">
      <c r="A7" s="132" t="s">
        <v>496</v>
      </c>
      <c r="B7" s="220" t="s">
        <v>504</v>
      </c>
      <c r="C7" s="220" t="s">
        <v>505</v>
      </c>
      <c r="D7" s="132" t="s">
        <v>506</v>
      </c>
      <c r="E7" s="220" t="s">
        <v>507</v>
      </c>
    </row>
    <row r="8" spans="1:5">
      <c r="A8" s="132" t="s">
        <v>551</v>
      </c>
      <c r="B8" s="220" t="s">
        <v>558</v>
      </c>
      <c r="C8" s="220" t="s">
        <v>559</v>
      </c>
      <c r="D8" s="132" t="s">
        <v>560</v>
      </c>
      <c r="E8" s="220">
        <v>0</v>
      </c>
    </row>
    <row r="9" spans="1:5">
      <c r="A9" s="132" t="s">
        <v>551</v>
      </c>
      <c r="B9" s="220" t="s">
        <v>561</v>
      </c>
      <c r="C9" s="220" t="s">
        <v>562</v>
      </c>
      <c r="D9" s="132" t="s">
        <v>563</v>
      </c>
      <c r="E9" s="220">
        <v>0</v>
      </c>
    </row>
    <row r="10" spans="1:5">
      <c r="A10" s="132" t="s">
        <v>551</v>
      </c>
      <c r="B10" s="220" t="s">
        <v>564</v>
      </c>
      <c r="C10" s="220" t="s">
        <v>565</v>
      </c>
      <c r="D10" s="132" t="s">
        <v>566</v>
      </c>
      <c r="E10" s="220" t="s">
        <v>136</v>
      </c>
    </row>
    <row r="11" spans="1:5">
      <c r="A11" s="132" t="s">
        <v>551</v>
      </c>
      <c r="B11" s="220" t="s">
        <v>565</v>
      </c>
      <c r="C11" s="220" t="s">
        <v>569</v>
      </c>
      <c r="D11" s="132" t="s">
        <v>570</v>
      </c>
      <c r="E11" s="220" t="s">
        <v>136</v>
      </c>
    </row>
    <row r="12" spans="1:5">
      <c r="A12" s="132" t="s">
        <v>551</v>
      </c>
      <c r="B12" s="220" t="s">
        <v>571</v>
      </c>
      <c r="C12" s="220" t="s">
        <v>572</v>
      </c>
      <c r="D12" s="132" t="s">
        <v>573</v>
      </c>
      <c r="E12" s="220" t="s">
        <v>136</v>
      </c>
    </row>
    <row r="13" spans="1:5">
      <c r="A13" s="132" t="s">
        <v>551</v>
      </c>
      <c r="B13" s="220" t="s">
        <v>574</v>
      </c>
      <c r="C13" s="220" t="s">
        <v>575</v>
      </c>
      <c r="D13" s="132" t="s">
        <v>576</v>
      </c>
      <c r="E13" s="220" t="s">
        <v>136</v>
      </c>
    </row>
    <row r="14" spans="1:5">
      <c r="A14" s="132" t="s">
        <v>551</v>
      </c>
      <c r="B14" s="220" t="s">
        <v>657</v>
      </c>
      <c r="C14" s="220" t="s">
        <v>658</v>
      </c>
      <c r="D14" s="132" t="s">
        <v>659</v>
      </c>
      <c r="E14" s="220" t="s">
        <v>660</v>
      </c>
    </row>
    <row r="15" spans="1:5">
      <c r="A15" s="132" t="s">
        <v>492</v>
      </c>
      <c r="B15" s="220" t="s">
        <v>501</v>
      </c>
      <c r="C15" s="220" t="s">
        <v>503</v>
      </c>
      <c r="D15" s="132" t="s">
        <v>502</v>
      </c>
      <c r="E15" s="220">
        <v>45</v>
      </c>
    </row>
    <row r="16" spans="1:5">
      <c r="A16" s="132" t="s">
        <v>492</v>
      </c>
      <c r="B16" s="220" t="s">
        <v>529</v>
      </c>
      <c r="C16" s="220" t="s">
        <v>530</v>
      </c>
      <c r="D16" s="132" t="s">
        <v>531</v>
      </c>
      <c r="E16" s="220">
        <v>0</v>
      </c>
    </row>
    <row r="17" spans="1:5">
      <c r="A17" s="132" t="s">
        <v>492</v>
      </c>
      <c r="B17" s="220" t="s">
        <v>532</v>
      </c>
      <c r="C17" s="220" t="s">
        <v>532</v>
      </c>
      <c r="D17" s="132" t="s">
        <v>531</v>
      </c>
      <c r="E17" s="220">
        <v>0</v>
      </c>
    </row>
    <row r="18" spans="1:5">
      <c r="A18" s="132"/>
      <c r="B18" s="220"/>
      <c r="C18" s="220"/>
      <c r="D18" s="132"/>
      <c r="E18" s="220"/>
    </row>
    <row r="19" spans="1:5">
      <c r="A19" s="132"/>
      <c r="B19" s="220"/>
      <c r="C19" s="220"/>
      <c r="D19" s="132"/>
      <c r="E19" s="220"/>
    </row>
    <row r="20" spans="1:5">
      <c r="A20" s="132"/>
      <c r="B20" s="220"/>
      <c r="C20" s="220"/>
      <c r="D20" s="132"/>
      <c r="E20" s="220"/>
    </row>
    <row r="21" spans="1:5">
      <c r="A21" s="132"/>
      <c r="B21" s="220"/>
      <c r="C21" s="220"/>
      <c r="D21" s="132"/>
      <c r="E21" s="220"/>
    </row>
    <row r="22" spans="1:5">
      <c r="A22" s="132"/>
      <c r="B22" s="220"/>
      <c r="C22" s="220"/>
      <c r="D22" s="132"/>
      <c r="E22" s="220"/>
    </row>
    <row r="23" spans="1:5">
      <c r="A23" s="132"/>
      <c r="B23" s="220"/>
      <c r="C23" s="220"/>
      <c r="D23" s="132"/>
      <c r="E23" s="220"/>
    </row>
    <row r="24" spans="1:5">
      <c r="A24" s="132"/>
      <c r="B24" s="220"/>
      <c r="C24" s="220"/>
      <c r="D24" s="132"/>
      <c r="E24" s="220"/>
    </row>
    <row r="25" spans="1:5">
      <c r="A25" s="132"/>
      <c r="B25" s="220"/>
      <c r="C25" s="220"/>
      <c r="D25" s="132"/>
      <c r="E25" s="220"/>
    </row>
    <row r="26" spans="1:5">
      <c r="A26" s="132"/>
      <c r="B26" s="220"/>
      <c r="C26" s="220"/>
      <c r="D26" s="132"/>
      <c r="E26" s="220"/>
    </row>
    <row r="27" spans="1:5">
      <c r="A27" s="132"/>
      <c r="B27" s="220"/>
      <c r="C27" s="220"/>
      <c r="D27" s="132"/>
      <c r="E27" s="220"/>
    </row>
    <row r="28" spans="1:5">
      <c r="A28" s="132"/>
      <c r="B28" s="220"/>
      <c r="C28" s="220"/>
      <c r="D28" s="132"/>
      <c r="E28" s="220"/>
    </row>
    <row r="29" spans="1:5">
      <c r="A29" s="132"/>
      <c r="B29" s="220"/>
      <c r="C29" s="220"/>
      <c r="D29" s="132"/>
      <c r="E29" s="220"/>
    </row>
    <row r="30" spans="1:5">
      <c r="A30" s="132"/>
      <c r="B30" s="220"/>
      <c r="C30" s="220"/>
      <c r="D30" s="132"/>
      <c r="E30" s="220"/>
    </row>
    <row r="31" spans="1:5">
      <c r="A31" s="132"/>
      <c r="B31" s="220"/>
      <c r="C31" s="220"/>
      <c r="D31" s="132"/>
      <c r="E31" s="220"/>
    </row>
    <row r="32" spans="1:5">
      <c r="A32" s="132"/>
      <c r="B32" s="220"/>
      <c r="C32" s="220"/>
      <c r="D32" s="132"/>
      <c r="E32" s="220"/>
    </row>
    <row r="33" spans="1:5">
      <c r="A33" s="132"/>
      <c r="B33" s="220"/>
      <c r="C33" s="220"/>
      <c r="D33" s="132"/>
      <c r="E33" s="220"/>
    </row>
    <row r="34" spans="1:5">
      <c r="A34" s="132"/>
      <c r="B34" s="220"/>
      <c r="C34" s="220"/>
      <c r="D34" s="132"/>
      <c r="E34" s="220"/>
    </row>
    <row r="35" spans="1:5">
      <c r="A35" s="132"/>
      <c r="B35" s="220"/>
      <c r="C35" s="220"/>
      <c r="D35" s="132"/>
      <c r="E35" s="220"/>
    </row>
    <row r="36" spans="1:5">
      <c r="A36" s="132"/>
      <c r="B36" s="220"/>
      <c r="C36" s="220"/>
      <c r="D36" s="132"/>
      <c r="E36" s="220"/>
    </row>
    <row r="37" spans="1:5">
      <c r="A37" s="132"/>
      <c r="B37" s="220"/>
      <c r="C37" s="220"/>
      <c r="D37" s="132"/>
      <c r="E37" s="220"/>
    </row>
    <row r="38" spans="1:5">
      <c r="A38" s="132"/>
      <c r="B38" s="220"/>
      <c r="C38" s="220"/>
      <c r="D38" s="132"/>
      <c r="E38" s="220"/>
    </row>
    <row r="39" spans="1:5">
      <c r="A39" s="132"/>
      <c r="B39" s="220"/>
      <c r="C39" s="220"/>
      <c r="D39" s="132"/>
      <c r="E39" s="220"/>
    </row>
    <row r="40" spans="1:5">
      <c r="A40" s="132"/>
      <c r="B40" s="220"/>
      <c r="C40" s="220"/>
      <c r="D40" s="132"/>
      <c r="E40" s="220"/>
    </row>
    <row r="41" spans="1:5">
      <c r="A41" s="132"/>
      <c r="B41" s="220"/>
      <c r="C41" s="220"/>
      <c r="D41" s="132"/>
      <c r="E41" s="220"/>
    </row>
    <row r="42" spans="1:5">
      <c r="A42" s="132"/>
      <c r="B42" s="220"/>
      <c r="C42" s="220"/>
      <c r="D42" s="132"/>
      <c r="E42" s="220"/>
    </row>
    <row r="43" spans="1:5">
      <c r="A43" s="132"/>
      <c r="B43" s="220"/>
      <c r="C43" s="220"/>
      <c r="D43" s="132"/>
      <c r="E43" s="220"/>
    </row>
    <row r="44" spans="1:5">
      <c r="A44" s="132"/>
      <c r="B44" s="220"/>
      <c r="C44" s="220"/>
      <c r="D44" s="132"/>
      <c r="E44" s="220"/>
    </row>
    <row r="45" spans="1:5">
      <c r="A45" s="132"/>
      <c r="B45" s="220"/>
      <c r="C45" s="220"/>
      <c r="D45" s="132"/>
      <c r="E45" s="220"/>
    </row>
    <row r="46" spans="1:5">
      <c r="A46" s="132"/>
      <c r="B46" s="220"/>
      <c r="C46" s="220"/>
      <c r="D46" s="132"/>
      <c r="E46" s="220"/>
    </row>
    <row r="47" spans="1:5">
      <c r="A47" s="132"/>
      <c r="B47" s="220"/>
      <c r="C47" s="220"/>
      <c r="D47" s="132"/>
      <c r="E47" s="220"/>
    </row>
    <row r="48" spans="1:5">
      <c r="A48" s="132"/>
      <c r="B48" s="220"/>
      <c r="C48" s="220"/>
      <c r="D48" s="132"/>
      <c r="E48" s="220"/>
    </row>
    <row r="49" spans="1:5">
      <c r="A49" s="132"/>
      <c r="B49" s="220"/>
      <c r="C49" s="220"/>
      <c r="D49" s="132"/>
      <c r="E49" s="220"/>
    </row>
    <row r="50" spans="1:5">
      <c r="A50" s="132"/>
      <c r="B50" s="220"/>
      <c r="C50" s="220"/>
      <c r="D50" s="132"/>
      <c r="E50" s="220"/>
    </row>
    <row r="51" spans="1:5">
      <c r="A51" s="132"/>
      <c r="B51" s="220"/>
      <c r="C51" s="220"/>
      <c r="D51" s="132"/>
      <c r="E51" s="220"/>
    </row>
    <row r="52" spans="1:5">
      <c r="A52" s="132"/>
      <c r="B52" s="220"/>
      <c r="C52" s="220"/>
      <c r="D52" s="132"/>
      <c r="E52" s="220"/>
    </row>
    <row r="53" spans="1:5">
      <c r="A53" s="132"/>
      <c r="B53" s="220"/>
      <c r="C53" s="220"/>
      <c r="D53" s="132"/>
      <c r="E53" s="220"/>
    </row>
    <row r="54" spans="1:5">
      <c r="A54" s="132"/>
      <c r="B54" s="220"/>
      <c r="C54" s="220"/>
      <c r="D54" s="132"/>
      <c r="E54" s="220"/>
    </row>
    <row r="55" spans="1:5">
      <c r="A55" s="132"/>
      <c r="B55" s="220"/>
      <c r="C55" s="220"/>
      <c r="D55" s="132"/>
      <c r="E55" s="220"/>
    </row>
    <row r="56" spans="1:5">
      <c r="A56" s="132"/>
      <c r="B56" s="220"/>
      <c r="C56" s="220"/>
      <c r="D56" s="132"/>
      <c r="E56" s="220"/>
    </row>
    <row r="57" spans="1:5">
      <c r="A57" s="132"/>
      <c r="B57" s="220"/>
      <c r="C57" s="220"/>
      <c r="D57" s="132"/>
      <c r="E57" s="220"/>
    </row>
    <row r="58" spans="1:5">
      <c r="A58" s="132"/>
      <c r="B58" s="220"/>
      <c r="C58" s="220"/>
      <c r="D58" s="132"/>
      <c r="E58" s="220"/>
    </row>
    <row r="59" spans="1:5">
      <c r="A59" s="132"/>
      <c r="B59" s="220"/>
      <c r="C59" s="220"/>
      <c r="D59" s="132"/>
      <c r="E59" s="220"/>
    </row>
    <row r="60" spans="1:5">
      <c r="A60" s="132"/>
      <c r="B60" s="220"/>
      <c r="C60" s="220"/>
      <c r="D60" s="132"/>
      <c r="E60" s="220"/>
    </row>
    <row r="61" spans="1:5">
      <c r="A61" s="132"/>
      <c r="B61" s="220"/>
      <c r="C61" s="220"/>
      <c r="D61" s="132"/>
      <c r="E61" s="220"/>
    </row>
    <row r="62" spans="1:5">
      <c r="A62" s="132"/>
      <c r="B62" s="220"/>
      <c r="C62" s="220"/>
      <c r="D62" s="132"/>
      <c r="E62" s="220"/>
    </row>
    <row r="63" spans="1:5">
      <c r="A63" s="132"/>
      <c r="B63" s="220"/>
      <c r="C63" s="220"/>
      <c r="D63" s="132"/>
      <c r="E63" s="220"/>
    </row>
    <row r="64" spans="1:5">
      <c r="A64" s="132"/>
      <c r="B64" s="220"/>
      <c r="C64" s="220"/>
      <c r="D64" s="132"/>
      <c r="E64" s="220"/>
    </row>
    <row r="65" spans="1:5">
      <c r="A65" s="132"/>
      <c r="B65" s="220"/>
      <c r="C65" s="220"/>
      <c r="D65" s="132"/>
      <c r="E65" s="220"/>
    </row>
    <row r="66" spans="1:5">
      <c r="A66" s="132"/>
      <c r="B66" s="220"/>
      <c r="C66" s="220"/>
      <c r="D66" s="132"/>
      <c r="E66" s="220"/>
    </row>
    <row r="67" spans="1:5">
      <c r="A67" s="132"/>
      <c r="B67" s="220"/>
      <c r="C67" s="220"/>
      <c r="D67" s="132"/>
      <c r="E67" s="220"/>
    </row>
    <row r="68" spans="1:5">
      <c r="A68" s="132"/>
      <c r="B68" s="220"/>
      <c r="C68" s="220"/>
      <c r="D68" s="132"/>
      <c r="E68" s="220"/>
    </row>
    <row r="69" spans="1:5">
      <c r="A69" s="132"/>
      <c r="B69" s="220"/>
      <c r="C69" s="220"/>
      <c r="D69" s="132"/>
      <c r="E69" s="220"/>
    </row>
    <row r="70" spans="1:5">
      <c r="A70" s="132"/>
      <c r="B70" s="220"/>
      <c r="C70" s="220"/>
      <c r="D70" s="132"/>
      <c r="E70" s="220"/>
    </row>
    <row r="71" spans="1:5">
      <c r="A71" s="132"/>
      <c r="B71" s="220"/>
      <c r="C71" s="220"/>
      <c r="D71" s="132"/>
      <c r="E71" s="220"/>
    </row>
    <row r="72" spans="1:5">
      <c r="A72" s="132"/>
      <c r="B72" s="220"/>
      <c r="C72" s="220"/>
      <c r="D72" s="132"/>
      <c r="E72" s="220"/>
    </row>
    <row r="73" spans="1:5">
      <c r="A73" s="132"/>
      <c r="B73" s="220"/>
      <c r="C73" s="220"/>
      <c r="D73" s="132"/>
      <c r="E73" s="220"/>
    </row>
    <row r="74" spans="1:5">
      <c r="A74" s="132"/>
      <c r="B74" s="220"/>
      <c r="C74" s="220"/>
      <c r="D74" s="132"/>
      <c r="E74" s="220"/>
    </row>
    <row r="75" spans="1:5">
      <c r="A75" s="132"/>
      <c r="B75" s="220"/>
      <c r="C75" s="220"/>
      <c r="D75" s="132"/>
      <c r="E75" s="220"/>
    </row>
    <row r="76" spans="1:5">
      <c r="A76" s="132"/>
      <c r="B76" s="220"/>
      <c r="C76" s="220"/>
      <c r="D76" s="132"/>
      <c r="E76" s="220"/>
    </row>
    <row r="77" spans="1:5">
      <c r="A77" s="132"/>
      <c r="B77" s="220"/>
      <c r="C77" s="220"/>
      <c r="D77" s="132"/>
      <c r="E77" s="220"/>
    </row>
    <row r="78" spans="1:5">
      <c r="A78" s="132"/>
      <c r="B78" s="220"/>
      <c r="C78" s="220"/>
      <c r="D78" s="132"/>
      <c r="E78" s="220"/>
    </row>
    <row r="79" spans="1:5">
      <c r="A79" s="132"/>
      <c r="B79" s="220"/>
      <c r="C79" s="220"/>
      <c r="D79" s="132"/>
      <c r="E79" s="220"/>
    </row>
    <row r="80" spans="1:5">
      <c r="A80" s="132"/>
      <c r="B80" s="220"/>
      <c r="C80" s="220"/>
      <c r="D80" s="132"/>
      <c r="E80" s="220"/>
    </row>
    <row r="81" spans="1:5">
      <c r="A81" s="132"/>
      <c r="B81" s="220"/>
      <c r="C81" s="220"/>
      <c r="D81" s="132"/>
      <c r="E81" s="220"/>
    </row>
    <row r="82" spans="1:5">
      <c r="A82" s="132"/>
      <c r="B82" s="220"/>
      <c r="C82" s="220"/>
      <c r="D82" s="132"/>
      <c r="E82" s="220"/>
    </row>
    <row r="83" spans="1:5">
      <c r="A83" s="132"/>
      <c r="B83" s="220"/>
      <c r="C83" s="220"/>
      <c r="D83" s="132"/>
      <c r="E83" s="220"/>
    </row>
    <row r="84" spans="1:5">
      <c r="A84" s="132"/>
      <c r="B84" s="220"/>
      <c r="C84" s="220"/>
      <c r="D84" s="132"/>
      <c r="E84" s="220"/>
    </row>
    <row r="85" spans="1:5">
      <c r="A85" s="132"/>
      <c r="B85" s="220"/>
      <c r="C85" s="220"/>
      <c r="D85" s="132"/>
      <c r="E85" s="220"/>
    </row>
    <row r="86" spans="1:5">
      <c r="A86" s="132"/>
      <c r="B86" s="220"/>
      <c r="C86" s="220"/>
      <c r="D86" s="132"/>
      <c r="E86" s="220"/>
    </row>
    <row r="87" spans="1:5">
      <c r="A87" s="132"/>
      <c r="B87" s="220"/>
      <c r="C87" s="220"/>
      <c r="D87" s="132"/>
      <c r="E87" s="220"/>
    </row>
    <row r="88" spans="1:5">
      <c r="A88" s="132"/>
      <c r="B88" s="220"/>
      <c r="C88" s="220"/>
      <c r="D88" s="132"/>
      <c r="E88" s="220"/>
    </row>
    <row r="89" spans="1:5">
      <c r="A89" s="132"/>
      <c r="B89" s="220"/>
      <c r="C89" s="220"/>
      <c r="D89" s="132"/>
      <c r="E89" s="220"/>
    </row>
    <row r="90" spans="1:5">
      <c r="A90" s="132"/>
      <c r="B90" s="220"/>
      <c r="C90" s="220"/>
      <c r="D90" s="132"/>
      <c r="E90" s="220"/>
    </row>
    <row r="91" spans="1:5">
      <c r="A91" s="132"/>
      <c r="B91" s="220"/>
      <c r="C91" s="220"/>
      <c r="D91" s="132"/>
      <c r="E91" s="220"/>
    </row>
    <row r="92" spans="1:5">
      <c r="A92" s="132"/>
      <c r="B92" s="220"/>
      <c r="C92" s="220"/>
      <c r="D92" s="132"/>
      <c r="E92" s="220"/>
    </row>
    <row r="93" spans="1:5">
      <c r="A93" s="132"/>
      <c r="B93" s="220"/>
      <c r="C93" s="220"/>
      <c r="D93" s="132"/>
      <c r="E93" s="220"/>
    </row>
    <row r="94" spans="1:5">
      <c r="A94" s="132"/>
      <c r="B94" s="220"/>
      <c r="C94" s="220"/>
      <c r="D94" s="132"/>
      <c r="E94" s="220"/>
    </row>
    <row r="95" spans="1:5">
      <c r="A95" s="132"/>
      <c r="B95" s="220"/>
      <c r="C95" s="220"/>
      <c r="D95" s="132"/>
      <c r="E95" s="220"/>
    </row>
    <row r="96" spans="1:5">
      <c r="A96" s="132"/>
      <c r="B96" s="220"/>
      <c r="C96" s="220"/>
      <c r="D96" s="132"/>
      <c r="E96" s="220"/>
    </row>
    <row r="97" spans="1:5">
      <c r="A97" s="132"/>
      <c r="B97" s="220"/>
      <c r="C97" s="220"/>
      <c r="D97" s="132"/>
      <c r="E97" s="220"/>
    </row>
    <row r="98" spans="1:5">
      <c r="A98" s="132"/>
      <c r="B98" s="220"/>
      <c r="C98" s="220"/>
      <c r="D98" s="132"/>
      <c r="E98" s="220"/>
    </row>
    <row r="99" spans="1:5">
      <c r="A99" s="132"/>
      <c r="B99" s="220"/>
      <c r="C99" s="220"/>
      <c r="D99" s="132"/>
      <c r="E99" s="220"/>
    </row>
    <row r="100" spans="1:5">
      <c r="A100" s="132"/>
      <c r="B100" s="220"/>
      <c r="C100" s="220"/>
      <c r="D100" s="132"/>
      <c r="E100" s="220"/>
    </row>
    <row r="101" spans="1:5">
      <c r="A101" s="132"/>
      <c r="B101" s="220"/>
      <c r="C101" s="220"/>
      <c r="D101" s="132"/>
      <c r="E101" s="220"/>
    </row>
    <row r="102" spans="1:5">
      <c r="A102" s="132"/>
      <c r="B102" s="220"/>
      <c r="C102" s="220"/>
      <c r="D102" s="132"/>
      <c r="E102" s="220"/>
    </row>
    <row r="103" spans="1:5">
      <c r="A103" s="132"/>
      <c r="B103" s="220"/>
      <c r="C103" s="220"/>
      <c r="D103" s="132"/>
      <c r="E103" s="220"/>
    </row>
    <row r="104" spans="1:5">
      <c r="A104" s="132"/>
      <c r="B104" s="220"/>
      <c r="C104" s="220"/>
      <c r="D104" s="132"/>
      <c r="E104" s="220"/>
    </row>
    <row r="105" spans="1:5">
      <c r="A105" s="132"/>
      <c r="B105" s="220"/>
      <c r="C105" s="220"/>
      <c r="D105" s="132"/>
      <c r="E105" s="220"/>
    </row>
    <row r="106" spans="1:5">
      <c r="A106" s="132"/>
      <c r="B106" s="220"/>
      <c r="C106" s="220"/>
      <c r="D106" s="132"/>
      <c r="E106" s="220"/>
    </row>
    <row r="107" spans="1:5">
      <c r="A107" s="132"/>
      <c r="B107" s="220"/>
      <c r="C107" s="220"/>
      <c r="D107" s="132"/>
      <c r="E107" s="220"/>
    </row>
    <row r="108" spans="1:5">
      <c r="A108" s="132"/>
      <c r="B108" s="220"/>
      <c r="C108" s="220"/>
      <c r="D108" s="132"/>
      <c r="E108" s="220"/>
    </row>
    <row r="109" spans="1:5">
      <c r="A109" s="132"/>
      <c r="B109" s="220"/>
      <c r="C109" s="220"/>
      <c r="D109" s="132"/>
      <c r="E109" s="220"/>
    </row>
    <row r="110" spans="1:5">
      <c r="A110" s="132"/>
      <c r="B110" s="220"/>
      <c r="C110" s="220"/>
      <c r="D110" s="132"/>
      <c r="E110" s="220"/>
    </row>
    <row r="111" spans="1:5">
      <c r="A111" s="132"/>
      <c r="B111" s="220"/>
      <c r="C111" s="220"/>
      <c r="D111" s="132"/>
      <c r="E111" s="220"/>
    </row>
    <row r="112" spans="1:5">
      <c r="A112" s="132"/>
      <c r="B112" s="220"/>
      <c r="C112" s="220"/>
      <c r="D112" s="132"/>
      <c r="E112" s="220"/>
    </row>
    <row r="113" spans="1:5">
      <c r="A113" s="132"/>
      <c r="B113" s="220"/>
      <c r="C113" s="220"/>
      <c r="D113" s="132"/>
      <c r="E113" s="220"/>
    </row>
    <row r="114" spans="1:5">
      <c r="A114" s="132"/>
      <c r="B114" s="220"/>
      <c r="C114" s="220"/>
      <c r="D114" s="132"/>
      <c r="E114" s="220"/>
    </row>
    <row r="115" spans="1:5">
      <c r="A115" s="132"/>
      <c r="B115" s="220"/>
      <c r="C115" s="220"/>
      <c r="D115" s="132"/>
      <c r="E115" s="220"/>
    </row>
    <row r="116" spans="1:5">
      <c r="A116" s="132"/>
      <c r="B116" s="220"/>
      <c r="C116" s="220"/>
      <c r="D116" s="132"/>
      <c r="E116" s="220"/>
    </row>
    <row r="117" spans="1:5">
      <c r="A117" s="132"/>
      <c r="B117" s="220"/>
      <c r="C117" s="220"/>
      <c r="D117" s="132"/>
      <c r="E117" s="220"/>
    </row>
    <row r="118" spans="1:5">
      <c r="A118" s="132"/>
      <c r="B118" s="220"/>
      <c r="C118" s="220"/>
      <c r="D118" s="132"/>
      <c r="E118" s="220"/>
    </row>
    <row r="119" spans="1:5">
      <c r="A119" s="132"/>
      <c r="B119" s="220"/>
      <c r="C119" s="220"/>
      <c r="D119" s="132"/>
      <c r="E119" s="220"/>
    </row>
    <row r="120" spans="1:5">
      <c r="A120" s="132"/>
      <c r="B120" s="220"/>
      <c r="C120" s="220"/>
      <c r="D120" s="132"/>
      <c r="E120" s="220"/>
    </row>
    <row r="121" spans="1:5">
      <c r="A121" s="132"/>
      <c r="B121" s="220"/>
      <c r="C121" s="220"/>
      <c r="D121" s="132"/>
      <c r="E121" s="220"/>
    </row>
    <row r="122" spans="1:5">
      <c r="A122" s="132"/>
      <c r="B122" s="220"/>
      <c r="C122" s="220"/>
      <c r="D122" s="132"/>
      <c r="E122" s="220"/>
    </row>
    <row r="123" spans="1:5">
      <c r="A123" s="132"/>
      <c r="B123" s="220"/>
      <c r="C123" s="220"/>
      <c r="D123" s="132"/>
      <c r="E123" s="220"/>
    </row>
    <row r="124" spans="1:5">
      <c r="A124" s="132"/>
      <c r="B124" s="220"/>
      <c r="C124" s="220"/>
      <c r="D124" s="132"/>
      <c r="E124" s="220"/>
    </row>
    <row r="125" spans="1:5">
      <c r="A125" s="132"/>
      <c r="B125" s="220"/>
      <c r="C125" s="220"/>
      <c r="D125" s="132"/>
      <c r="E125" s="220"/>
    </row>
    <row r="126" spans="1:5">
      <c r="A126" s="132"/>
      <c r="B126" s="220"/>
      <c r="C126" s="220"/>
      <c r="D126" s="132"/>
      <c r="E126" s="220"/>
    </row>
    <row r="127" spans="1:5">
      <c r="A127" s="132"/>
      <c r="B127" s="220"/>
      <c r="C127" s="220"/>
      <c r="D127" s="132"/>
      <c r="E127" s="220"/>
    </row>
    <row r="128" spans="1:5">
      <c r="A128" s="132"/>
      <c r="B128" s="220"/>
      <c r="C128" s="220"/>
      <c r="D128" s="132"/>
      <c r="E128" s="220"/>
    </row>
    <row r="129" spans="1:5">
      <c r="A129" s="132"/>
      <c r="B129" s="220"/>
      <c r="C129" s="220"/>
      <c r="D129" s="132"/>
      <c r="E129" s="220"/>
    </row>
    <row r="130" spans="1:5">
      <c r="A130" s="132"/>
      <c r="B130" s="220"/>
      <c r="C130" s="220"/>
      <c r="D130" s="132"/>
      <c r="E130" s="220"/>
    </row>
    <row r="131" spans="1:5">
      <c r="A131" s="132"/>
      <c r="B131" s="220"/>
      <c r="C131" s="220"/>
      <c r="D131" s="132"/>
      <c r="E131" s="220"/>
    </row>
    <row r="132" spans="1:5">
      <c r="A132" s="132"/>
      <c r="B132" s="220"/>
      <c r="C132" s="220"/>
      <c r="D132" s="132"/>
      <c r="E132" s="220"/>
    </row>
    <row r="133" spans="1:5">
      <c r="A133" s="132"/>
      <c r="B133" s="220"/>
      <c r="C133" s="220"/>
      <c r="D133" s="132"/>
      <c r="E133" s="220"/>
    </row>
    <row r="134" spans="1:5">
      <c r="A134" s="132"/>
      <c r="B134" s="220"/>
      <c r="C134" s="220"/>
      <c r="D134" s="132"/>
      <c r="E134" s="220"/>
    </row>
    <row r="135" spans="1:5">
      <c r="A135" s="132"/>
      <c r="B135" s="220"/>
      <c r="C135" s="220"/>
      <c r="D135" s="132"/>
      <c r="E135" s="220"/>
    </row>
    <row r="136" spans="1:5">
      <c r="A136" s="132"/>
      <c r="B136" s="220"/>
      <c r="C136" s="220"/>
      <c r="D136" s="132"/>
      <c r="E136" s="220"/>
    </row>
    <row r="137" spans="1:5">
      <c r="A137" s="132"/>
      <c r="B137" s="220"/>
      <c r="C137" s="220"/>
      <c r="D137" s="132"/>
      <c r="E137" s="220"/>
    </row>
    <row r="138" spans="1:5">
      <c r="A138" s="132"/>
      <c r="B138" s="220"/>
      <c r="C138" s="220"/>
      <c r="D138" s="132"/>
      <c r="E138" s="220"/>
    </row>
    <row r="139" spans="1:5">
      <c r="A139" s="132"/>
      <c r="B139" s="220"/>
      <c r="C139" s="220"/>
      <c r="D139" s="132"/>
      <c r="E139" s="220"/>
    </row>
    <row r="140" spans="1:5">
      <c r="A140" s="132"/>
      <c r="B140" s="220"/>
      <c r="C140" s="220"/>
      <c r="D140" s="132"/>
      <c r="E140" s="220"/>
    </row>
    <row r="141" spans="1:5">
      <c r="A141" s="132"/>
      <c r="B141" s="220"/>
      <c r="C141" s="220"/>
      <c r="D141" s="132"/>
      <c r="E141" s="220"/>
    </row>
    <row r="142" spans="1:5">
      <c r="A142" s="132"/>
      <c r="B142" s="220"/>
      <c r="C142" s="220"/>
      <c r="D142" s="132"/>
      <c r="E142" s="220"/>
    </row>
    <row r="143" spans="1:5">
      <c r="A143" s="132"/>
      <c r="B143" s="220"/>
      <c r="C143" s="220"/>
      <c r="D143" s="132"/>
      <c r="E143" s="220"/>
    </row>
    <row r="144" spans="1:5">
      <c r="A144" s="132"/>
      <c r="B144" s="220"/>
      <c r="C144" s="220"/>
      <c r="D144" s="132"/>
      <c r="E144" s="220"/>
    </row>
    <row r="145" spans="1:5">
      <c r="A145" s="132"/>
      <c r="B145" s="220"/>
      <c r="C145" s="220"/>
      <c r="D145" s="132"/>
      <c r="E145" s="220"/>
    </row>
    <row r="146" spans="1:5">
      <c r="A146" s="132"/>
      <c r="B146" s="220"/>
      <c r="C146" s="220"/>
      <c r="D146" s="132"/>
      <c r="E146" s="220"/>
    </row>
    <row r="147" spans="1:5">
      <c r="A147" s="132"/>
      <c r="B147" s="220"/>
      <c r="C147" s="220"/>
      <c r="D147" s="132"/>
      <c r="E147" s="220"/>
    </row>
    <row r="148" spans="1:5">
      <c r="A148" s="132"/>
      <c r="B148" s="220"/>
      <c r="C148" s="220"/>
      <c r="D148" s="132"/>
      <c r="E148" s="220"/>
    </row>
    <row r="149" spans="1:5">
      <c r="A149" s="132"/>
      <c r="B149" s="220"/>
      <c r="C149" s="220"/>
      <c r="D149" s="132"/>
      <c r="E149" s="220"/>
    </row>
    <row r="150" spans="1:5">
      <c r="A150" s="132"/>
      <c r="B150" s="220"/>
      <c r="C150" s="220"/>
      <c r="D150" s="132"/>
      <c r="E150" s="220"/>
    </row>
    <row r="151" spans="1:5">
      <c r="A151" s="132"/>
      <c r="B151" s="220"/>
      <c r="C151" s="220"/>
      <c r="D151" s="132"/>
      <c r="E151" s="220"/>
    </row>
    <row r="152" spans="1:5">
      <c r="A152" s="132"/>
      <c r="B152" s="220"/>
      <c r="C152" s="220"/>
      <c r="D152" s="132"/>
      <c r="E152" s="220"/>
    </row>
    <row r="153" spans="1:5">
      <c r="A153" s="132"/>
      <c r="B153" s="220"/>
      <c r="C153" s="220"/>
      <c r="D153" s="132"/>
      <c r="E153" s="220"/>
    </row>
    <row r="154" spans="1:5">
      <c r="A154" s="132"/>
      <c r="B154" s="220"/>
      <c r="C154" s="220"/>
      <c r="D154" s="132"/>
      <c r="E154" s="220"/>
    </row>
    <row r="155" spans="1:5">
      <c r="A155" s="132"/>
      <c r="B155" s="220"/>
      <c r="C155" s="220"/>
      <c r="D155" s="132"/>
      <c r="E155" s="220"/>
    </row>
    <row r="156" spans="1:5">
      <c r="A156" s="132"/>
      <c r="B156" s="220"/>
      <c r="C156" s="220"/>
      <c r="D156" s="132"/>
      <c r="E156" s="220"/>
    </row>
    <row r="157" spans="1:5">
      <c r="A157" s="132"/>
      <c r="B157" s="220"/>
      <c r="C157" s="220"/>
      <c r="D157" s="132"/>
      <c r="E157" s="220"/>
    </row>
    <row r="158" spans="1:5">
      <c r="A158" s="132"/>
      <c r="B158" s="220"/>
      <c r="C158" s="220"/>
      <c r="D158" s="132"/>
      <c r="E158" s="220"/>
    </row>
    <row r="159" spans="1:5">
      <c r="A159" s="132"/>
      <c r="B159" s="220"/>
      <c r="C159" s="220"/>
      <c r="D159" s="132"/>
      <c r="E159" s="220"/>
    </row>
    <row r="160" spans="1:5">
      <c r="A160" s="132"/>
      <c r="B160" s="220"/>
      <c r="C160" s="220"/>
      <c r="D160" s="132"/>
      <c r="E160" s="220"/>
    </row>
    <row r="161" spans="1:5">
      <c r="A161" s="132"/>
      <c r="B161" s="220"/>
      <c r="C161" s="220"/>
      <c r="D161" s="132"/>
      <c r="E161" s="220"/>
    </row>
    <row r="162" spans="1:5">
      <c r="A162" s="132"/>
      <c r="B162" s="220"/>
      <c r="C162" s="220"/>
      <c r="D162" s="132"/>
      <c r="E162" s="220"/>
    </row>
    <row r="163" spans="1:5">
      <c r="A163" s="132"/>
      <c r="B163" s="220"/>
      <c r="C163" s="220"/>
      <c r="D163" s="132"/>
      <c r="E163" s="220"/>
    </row>
    <row r="164" spans="1:5">
      <c r="A164" s="132"/>
      <c r="B164" s="220"/>
      <c r="C164" s="220"/>
      <c r="D164" s="132"/>
      <c r="E164" s="220"/>
    </row>
    <row r="165" spans="1:5">
      <c r="A165" s="132"/>
      <c r="B165" s="220"/>
      <c r="C165" s="220"/>
      <c r="D165" s="132"/>
      <c r="E165" s="220"/>
    </row>
    <row r="166" spans="1:5">
      <c r="A166" s="132"/>
      <c r="B166" s="220"/>
      <c r="C166" s="220"/>
      <c r="D166" s="132"/>
      <c r="E166" s="220"/>
    </row>
    <row r="167" spans="1:5">
      <c r="A167" s="132"/>
      <c r="B167" s="220"/>
      <c r="C167" s="220"/>
      <c r="D167" s="132"/>
      <c r="E167" s="220"/>
    </row>
    <row r="168" spans="1:5">
      <c r="A168" s="132"/>
      <c r="B168" s="220"/>
      <c r="C168" s="220"/>
      <c r="D168" s="132"/>
      <c r="E168" s="220"/>
    </row>
    <row r="169" spans="1:5">
      <c r="A169" s="132"/>
      <c r="B169" s="220"/>
      <c r="C169" s="220"/>
      <c r="D169" s="132"/>
      <c r="E169" s="220"/>
    </row>
    <row r="170" spans="1:5">
      <c r="A170" s="132"/>
      <c r="B170" s="220"/>
      <c r="C170" s="220"/>
      <c r="D170" s="132"/>
      <c r="E170" s="220"/>
    </row>
    <row r="171" spans="1:5">
      <c r="A171" s="132"/>
      <c r="B171" s="220"/>
      <c r="C171" s="220"/>
      <c r="D171" s="132"/>
      <c r="E171" s="220"/>
    </row>
    <row r="172" spans="1:5">
      <c r="A172" s="132"/>
      <c r="B172" s="220"/>
      <c r="C172" s="220"/>
      <c r="D172" s="132"/>
      <c r="E172" s="220"/>
    </row>
    <row r="173" spans="1:5">
      <c r="A173" s="132"/>
      <c r="B173" s="220"/>
      <c r="C173" s="220"/>
      <c r="D173" s="132"/>
      <c r="E173" s="220"/>
    </row>
    <row r="174" spans="1:5">
      <c r="A174" s="132"/>
      <c r="B174" s="220"/>
      <c r="C174" s="220"/>
      <c r="D174" s="132"/>
      <c r="E174" s="220"/>
    </row>
    <row r="175" spans="1:5">
      <c r="A175" s="132"/>
      <c r="B175" s="220"/>
      <c r="C175" s="220"/>
      <c r="D175" s="132"/>
      <c r="E175" s="220"/>
    </row>
    <row r="176" spans="1:5">
      <c r="A176" s="132"/>
      <c r="B176" s="220"/>
      <c r="C176" s="220"/>
      <c r="D176" s="132"/>
      <c r="E176" s="220"/>
    </row>
    <row r="177" spans="1:5">
      <c r="A177" s="132"/>
      <c r="B177" s="220"/>
      <c r="C177" s="220"/>
      <c r="D177" s="132"/>
      <c r="E177" s="220"/>
    </row>
    <row r="178" spans="1:5">
      <c r="A178" s="132"/>
      <c r="B178" s="220"/>
      <c r="C178" s="220"/>
      <c r="D178" s="132"/>
      <c r="E178" s="220"/>
    </row>
    <row r="179" spans="1:5">
      <c r="A179" s="132"/>
      <c r="B179" s="220"/>
      <c r="C179" s="220"/>
      <c r="D179" s="132"/>
      <c r="E179" s="220"/>
    </row>
    <row r="180" spans="1:5">
      <c r="A180" s="132"/>
      <c r="B180" s="220"/>
      <c r="C180" s="220"/>
      <c r="D180" s="132"/>
      <c r="E180" s="220"/>
    </row>
    <row r="181" spans="1:5">
      <c r="A181" s="132"/>
      <c r="B181" s="220"/>
      <c r="C181" s="220"/>
      <c r="D181" s="132"/>
      <c r="E181" s="220"/>
    </row>
    <row r="182" spans="1:5">
      <c r="A182" s="132"/>
      <c r="B182" s="220"/>
      <c r="C182" s="220"/>
      <c r="D182" s="132"/>
      <c r="E182" s="220"/>
    </row>
    <row r="183" spans="1:5">
      <c r="A183" s="132"/>
      <c r="B183" s="220"/>
      <c r="C183" s="220"/>
      <c r="D183" s="132"/>
      <c r="E183" s="220"/>
    </row>
    <row r="184" spans="1:5">
      <c r="A184" s="132"/>
      <c r="B184" s="220"/>
      <c r="C184" s="220"/>
      <c r="D184" s="132"/>
      <c r="E184" s="220"/>
    </row>
    <row r="185" spans="1:5">
      <c r="A185" s="132"/>
      <c r="B185" s="220"/>
      <c r="C185" s="220"/>
      <c r="D185" s="132"/>
      <c r="E185" s="220"/>
    </row>
    <row r="186" spans="1:5">
      <c r="A186" s="132"/>
      <c r="B186" s="220"/>
      <c r="C186" s="220"/>
      <c r="D186" s="132"/>
      <c r="E186" s="220"/>
    </row>
    <row r="187" spans="1:5">
      <c r="A187" s="132"/>
      <c r="B187" s="220"/>
      <c r="C187" s="220"/>
      <c r="D187" s="132"/>
      <c r="E187" s="220"/>
    </row>
    <row r="188" spans="1:5">
      <c r="A188" s="132"/>
      <c r="B188" s="220"/>
      <c r="C188" s="220"/>
      <c r="D188" s="132"/>
      <c r="E188" s="220"/>
    </row>
    <row r="189" spans="1:5">
      <c r="A189" s="132"/>
      <c r="B189" s="220"/>
      <c r="C189" s="220"/>
      <c r="D189" s="132"/>
      <c r="E189" s="220"/>
    </row>
    <row r="190" spans="1:5">
      <c r="A190" s="132"/>
      <c r="B190" s="220"/>
      <c r="C190" s="220"/>
      <c r="D190" s="132"/>
      <c r="E190" s="220"/>
    </row>
    <row r="191" spans="1:5">
      <c r="A191" s="132"/>
      <c r="B191" s="220"/>
      <c r="C191" s="220"/>
      <c r="D191" s="132"/>
      <c r="E191" s="220"/>
    </row>
    <row r="192" spans="1:5">
      <c r="A192" s="132"/>
      <c r="B192" s="220"/>
      <c r="C192" s="220"/>
      <c r="D192" s="132"/>
      <c r="E192" s="220"/>
    </row>
    <row r="193" spans="1:5">
      <c r="A193" s="132"/>
      <c r="B193" s="220"/>
      <c r="C193" s="220"/>
      <c r="D193" s="132"/>
      <c r="E193" s="220"/>
    </row>
    <row r="194" spans="1:5">
      <c r="A194" s="132"/>
      <c r="B194" s="220"/>
      <c r="C194" s="220"/>
      <c r="D194" s="132"/>
      <c r="E194" s="220"/>
    </row>
    <row r="195" spans="1:5">
      <c r="A195" s="132"/>
      <c r="B195" s="220"/>
      <c r="C195" s="220"/>
      <c r="D195" s="132"/>
      <c r="E195" s="220"/>
    </row>
    <row r="196" spans="1:5">
      <c r="A196" s="132"/>
      <c r="B196" s="220"/>
      <c r="C196" s="220"/>
      <c r="D196" s="132"/>
      <c r="E196" s="220"/>
    </row>
    <row r="197" spans="1:5">
      <c r="A197" s="132"/>
      <c r="B197" s="220"/>
      <c r="C197" s="220"/>
      <c r="D197" s="132"/>
      <c r="E197" s="220"/>
    </row>
    <row r="198" spans="1:5">
      <c r="A198" s="132"/>
      <c r="B198" s="220"/>
      <c r="C198" s="220"/>
      <c r="D198" s="132"/>
      <c r="E198" s="220"/>
    </row>
    <row r="199" spans="1:5">
      <c r="A199" s="132"/>
      <c r="B199" s="220"/>
      <c r="C199" s="220"/>
      <c r="D199" s="132"/>
      <c r="E199" s="220"/>
    </row>
    <row r="200" spans="1:5">
      <c r="A200" s="132"/>
      <c r="B200" s="220"/>
      <c r="C200" s="220"/>
      <c r="D200" s="132"/>
      <c r="E200" s="220"/>
    </row>
    <row r="201" spans="1:5">
      <c r="A201" s="132"/>
      <c r="B201" s="220"/>
      <c r="C201" s="220"/>
      <c r="D201" s="132"/>
      <c r="E201" s="220"/>
    </row>
    <row r="202" spans="1:5">
      <c r="A202" s="132"/>
      <c r="B202" s="220"/>
      <c r="C202" s="220"/>
      <c r="D202" s="132"/>
      <c r="E202" s="220"/>
    </row>
    <row r="203" spans="1:5">
      <c r="A203" s="132"/>
      <c r="B203" s="220"/>
      <c r="C203" s="220"/>
      <c r="D203" s="132"/>
      <c r="E203" s="220"/>
    </row>
    <row r="204" spans="1:5">
      <c r="A204" s="132"/>
      <c r="B204" s="220"/>
      <c r="C204" s="220"/>
      <c r="D204" s="132"/>
      <c r="E204" s="220"/>
    </row>
    <row r="205" spans="1:5">
      <c r="A205" s="132"/>
      <c r="B205" s="220"/>
      <c r="C205" s="220"/>
      <c r="D205" s="132"/>
      <c r="E205" s="220"/>
    </row>
    <row r="206" spans="1:5">
      <c r="A206" s="132"/>
      <c r="B206" s="220"/>
      <c r="C206" s="220"/>
      <c r="D206" s="132"/>
      <c r="E206" s="220"/>
    </row>
    <row r="207" spans="1:5">
      <c r="A207" s="132"/>
      <c r="B207" s="220"/>
      <c r="C207" s="220"/>
      <c r="D207" s="132"/>
      <c r="E207" s="220"/>
    </row>
    <row r="208" spans="1:5">
      <c r="A208" s="132"/>
      <c r="B208" s="220"/>
      <c r="C208" s="220"/>
      <c r="D208" s="132"/>
      <c r="E208" s="220"/>
    </row>
    <row r="209" spans="1:5">
      <c r="A209" s="132"/>
      <c r="B209" s="220"/>
      <c r="C209" s="220"/>
      <c r="D209" s="132"/>
      <c r="E209" s="220"/>
    </row>
    <row r="210" spans="1:5">
      <c r="A210" s="132"/>
      <c r="B210" s="220"/>
      <c r="C210" s="220"/>
      <c r="D210" s="132"/>
      <c r="E210" s="220"/>
    </row>
    <row r="211" spans="1:5">
      <c r="A211" s="132"/>
      <c r="B211" s="220"/>
      <c r="C211" s="220"/>
      <c r="D211" s="132"/>
      <c r="E211" s="220"/>
    </row>
    <row r="212" spans="1:5">
      <c r="A212" s="132"/>
      <c r="B212" s="220"/>
      <c r="C212" s="220"/>
      <c r="D212" s="132"/>
      <c r="E212" s="220"/>
    </row>
    <row r="213" spans="1:5">
      <c r="A213" s="132"/>
      <c r="B213" s="220"/>
      <c r="C213" s="220"/>
      <c r="D213" s="132"/>
      <c r="E213" s="220"/>
    </row>
    <row r="214" spans="1:5">
      <c r="A214" s="132"/>
      <c r="B214" s="220"/>
      <c r="C214" s="220"/>
      <c r="D214" s="132"/>
      <c r="E214" s="220"/>
    </row>
    <row r="215" spans="1:5">
      <c r="A215" s="132"/>
      <c r="B215" s="220"/>
      <c r="C215" s="220"/>
      <c r="D215" s="132"/>
      <c r="E215" s="220"/>
    </row>
    <row r="216" spans="1:5">
      <c r="A216" s="132"/>
      <c r="B216" s="220"/>
      <c r="C216" s="220"/>
      <c r="D216" s="132"/>
      <c r="E216" s="220"/>
    </row>
    <row r="217" spans="1:5">
      <c r="A217" s="132"/>
      <c r="B217" s="220"/>
      <c r="C217" s="220"/>
      <c r="D217" s="132"/>
      <c r="E217" s="220"/>
    </row>
    <row r="218" spans="1:5">
      <c r="A218" s="132"/>
      <c r="B218" s="220"/>
      <c r="C218" s="220"/>
      <c r="D218" s="132"/>
      <c r="E218" s="220"/>
    </row>
    <row r="219" spans="1:5">
      <c r="A219" s="132"/>
      <c r="B219" s="220"/>
      <c r="C219" s="220"/>
      <c r="D219" s="132"/>
      <c r="E219" s="220"/>
    </row>
    <row r="220" spans="1:5">
      <c r="A220" s="132"/>
      <c r="B220" s="220"/>
      <c r="C220" s="220"/>
      <c r="D220" s="132"/>
      <c r="E220" s="220"/>
    </row>
    <row r="221" spans="1:5">
      <c r="A221" s="132"/>
      <c r="B221" s="220"/>
      <c r="C221" s="220"/>
      <c r="D221" s="132"/>
      <c r="E221" s="220"/>
    </row>
    <row r="222" spans="1:5">
      <c r="A222" s="132"/>
      <c r="B222" s="220"/>
      <c r="C222" s="220"/>
      <c r="D222" s="132"/>
      <c r="E222" s="220"/>
    </row>
    <row r="223" spans="1:5">
      <c r="A223" s="132"/>
      <c r="B223" s="220"/>
      <c r="C223" s="220"/>
      <c r="D223" s="132"/>
      <c r="E223" s="220"/>
    </row>
    <row r="224" spans="1:5">
      <c r="A224" s="132"/>
      <c r="B224" s="220"/>
      <c r="C224" s="220"/>
      <c r="D224" s="132"/>
      <c r="E224" s="220"/>
    </row>
    <row r="225" spans="1:5">
      <c r="A225" s="132"/>
      <c r="B225" s="220"/>
      <c r="C225" s="220"/>
      <c r="D225" s="132"/>
      <c r="E225" s="220"/>
    </row>
    <row r="226" spans="1:5">
      <c r="A226" s="132"/>
      <c r="B226" s="220"/>
      <c r="C226" s="220"/>
      <c r="D226" s="132"/>
      <c r="E226" s="220"/>
    </row>
    <row r="227" spans="1:5">
      <c r="A227" s="132"/>
      <c r="B227" s="220"/>
      <c r="C227" s="220"/>
      <c r="D227" s="132"/>
      <c r="E227" s="220"/>
    </row>
    <row r="228" spans="1:5">
      <c r="A228" s="132"/>
      <c r="B228" s="220"/>
      <c r="C228" s="220"/>
      <c r="D228" s="132"/>
      <c r="E228" s="220"/>
    </row>
    <row r="229" spans="1:5">
      <c r="A229" s="132"/>
      <c r="B229" s="220"/>
      <c r="C229" s="220"/>
      <c r="D229" s="132"/>
      <c r="E229" s="220"/>
    </row>
    <row r="230" spans="1:5">
      <c r="A230" s="132"/>
      <c r="B230" s="220"/>
      <c r="C230" s="220"/>
      <c r="D230" s="132"/>
      <c r="E230" s="220"/>
    </row>
    <row r="231" spans="1:5">
      <c r="A231" s="132"/>
      <c r="B231" s="220"/>
      <c r="C231" s="220"/>
      <c r="D231" s="132"/>
      <c r="E231" s="220"/>
    </row>
    <row r="232" spans="1:5">
      <c r="A232" s="132"/>
      <c r="B232" s="220"/>
      <c r="C232" s="220"/>
      <c r="D232" s="132"/>
      <c r="E232" s="220"/>
    </row>
    <row r="233" spans="1:5">
      <c r="A233" s="132"/>
      <c r="B233" s="220"/>
      <c r="C233" s="220"/>
      <c r="D233" s="132"/>
      <c r="E233" s="220"/>
    </row>
    <row r="234" spans="1:5">
      <c r="A234" s="132"/>
      <c r="B234" s="220"/>
      <c r="C234" s="220"/>
      <c r="D234" s="132"/>
      <c r="E234" s="220"/>
    </row>
    <row r="235" spans="1:5">
      <c r="A235" s="132"/>
      <c r="B235" s="220"/>
      <c r="C235" s="220"/>
      <c r="D235" s="132"/>
      <c r="E235" s="220"/>
    </row>
    <row r="236" spans="1:5">
      <c r="A236" s="132"/>
      <c r="B236" s="220"/>
      <c r="C236" s="220"/>
      <c r="D236" s="132"/>
      <c r="E236" s="220"/>
    </row>
    <row r="237" spans="1:5">
      <c r="A237" s="132"/>
      <c r="B237" s="220"/>
      <c r="C237" s="220"/>
      <c r="D237" s="132"/>
      <c r="E237" s="220"/>
    </row>
    <row r="238" spans="1:5">
      <c r="A238" s="132"/>
      <c r="B238" s="220"/>
      <c r="C238" s="220"/>
      <c r="D238" s="132"/>
      <c r="E238" s="220"/>
    </row>
    <row r="239" spans="1:5">
      <c r="A239" s="132"/>
      <c r="B239" s="220"/>
      <c r="C239" s="220"/>
      <c r="D239" s="132"/>
      <c r="E239" s="220"/>
    </row>
    <row r="240" spans="1:5">
      <c r="A240" s="132"/>
      <c r="B240" s="220"/>
      <c r="C240" s="220"/>
      <c r="D240" s="132"/>
      <c r="E240" s="220"/>
    </row>
    <row r="241" spans="1:5">
      <c r="A241" s="132"/>
      <c r="B241" s="220"/>
      <c r="C241" s="220"/>
      <c r="D241" s="132"/>
      <c r="E241" s="220"/>
    </row>
    <row r="242" spans="1:5">
      <c r="A242" s="132"/>
      <c r="B242" s="220"/>
      <c r="C242" s="220"/>
      <c r="D242" s="132"/>
      <c r="E242" s="220"/>
    </row>
    <row r="243" spans="1:5">
      <c r="A243" s="132"/>
      <c r="B243" s="220"/>
      <c r="C243" s="220"/>
      <c r="D243" s="132"/>
      <c r="E243" s="220"/>
    </row>
    <row r="244" spans="1:5">
      <c r="A244" s="132"/>
      <c r="B244" s="220"/>
      <c r="C244" s="220"/>
      <c r="D244" s="132"/>
      <c r="E244" s="220"/>
    </row>
    <row r="245" spans="1:5">
      <c r="A245" s="132"/>
      <c r="B245" s="220"/>
      <c r="C245" s="220"/>
      <c r="D245" s="132"/>
      <c r="E245" s="220"/>
    </row>
    <row r="246" spans="1:5">
      <c r="A246" s="132"/>
      <c r="B246" s="220"/>
      <c r="C246" s="220"/>
      <c r="D246" s="132"/>
      <c r="E246" s="220"/>
    </row>
    <row r="247" spans="1:5">
      <c r="A247" s="132"/>
      <c r="B247" s="220"/>
      <c r="C247" s="220"/>
      <c r="D247" s="132"/>
      <c r="E247" s="220"/>
    </row>
    <row r="248" spans="1:5">
      <c r="A248" s="132"/>
      <c r="B248" s="220"/>
      <c r="C248" s="220"/>
      <c r="D248" s="132"/>
      <c r="E248" s="220"/>
    </row>
    <row r="249" spans="1:5">
      <c r="A249" s="132"/>
      <c r="B249" s="220"/>
      <c r="C249" s="220"/>
      <c r="D249" s="132"/>
      <c r="E249" s="220"/>
    </row>
    <row r="250" spans="1:5">
      <c r="A250" s="132"/>
      <c r="B250" s="220"/>
      <c r="C250" s="220"/>
      <c r="D250" s="132"/>
      <c r="E250" s="220"/>
    </row>
    <row r="251" spans="1:5">
      <c r="A251" s="132"/>
      <c r="B251" s="220"/>
      <c r="C251" s="220"/>
      <c r="D251" s="132"/>
      <c r="E251" s="220"/>
    </row>
    <row r="252" spans="1:5">
      <c r="A252" s="132"/>
      <c r="B252" s="220"/>
      <c r="C252" s="220"/>
      <c r="D252" s="132"/>
      <c r="E252" s="220"/>
    </row>
    <row r="253" spans="1:5">
      <c r="A253" s="132"/>
      <c r="B253" s="220"/>
      <c r="C253" s="220"/>
      <c r="D253" s="132"/>
      <c r="E253" s="220"/>
    </row>
    <row r="254" spans="1:5">
      <c r="A254" s="132"/>
      <c r="B254" s="220"/>
      <c r="C254" s="220"/>
      <c r="D254" s="132"/>
      <c r="E254" s="220"/>
    </row>
    <row r="255" spans="1:5">
      <c r="A255" s="132"/>
      <c r="B255" s="220"/>
      <c r="C255" s="220"/>
      <c r="D255" s="132"/>
      <c r="E255" s="220"/>
    </row>
    <row r="256" spans="1:5">
      <c r="A256" s="132"/>
      <c r="B256" s="220"/>
      <c r="C256" s="220"/>
      <c r="D256" s="132"/>
      <c r="E256" s="220"/>
    </row>
    <row r="257" spans="1:5">
      <c r="A257" s="132"/>
      <c r="B257" s="220"/>
      <c r="C257" s="220"/>
      <c r="D257" s="132"/>
      <c r="E257" s="220"/>
    </row>
    <row r="258" spans="1:5">
      <c r="A258" s="132"/>
      <c r="B258" s="220"/>
      <c r="C258" s="220"/>
      <c r="D258" s="132"/>
      <c r="E258" s="220"/>
    </row>
    <row r="259" spans="1:5">
      <c r="A259" s="132"/>
      <c r="B259" s="220"/>
      <c r="C259" s="220"/>
      <c r="D259" s="132"/>
      <c r="E259" s="220"/>
    </row>
    <row r="260" spans="1:5">
      <c r="A260" s="132"/>
      <c r="B260" s="220"/>
      <c r="C260" s="220"/>
      <c r="D260" s="132"/>
      <c r="E260" s="220"/>
    </row>
    <row r="261" spans="1:5">
      <c r="A261" s="132"/>
      <c r="B261" s="220"/>
      <c r="C261" s="220"/>
      <c r="D261" s="132"/>
      <c r="E261" s="220"/>
    </row>
    <row r="262" spans="1:5">
      <c r="A262" s="132"/>
      <c r="B262" s="220"/>
      <c r="C262" s="220"/>
      <c r="D262" s="132"/>
      <c r="E262" s="220"/>
    </row>
    <row r="263" spans="1:5">
      <c r="A263" s="132"/>
      <c r="B263" s="220"/>
      <c r="C263" s="220"/>
      <c r="D263" s="132"/>
      <c r="E263" s="220"/>
    </row>
    <row r="264" spans="1:5">
      <c r="A264" s="132"/>
      <c r="B264" s="220"/>
      <c r="C264" s="220"/>
      <c r="D264" s="132"/>
      <c r="E264" s="220"/>
    </row>
    <row r="265" spans="1:5">
      <c r="A265" s="132"/>
      <c r="B265" s="220"/>
      <c r="C265" s="220"/>
      <c r="D265" s="132"/>
      <c r="E265" s="220"/>
    </row>
    <row r="266" spans="1:5">
      <c r="A266" s="132"/>
      <c r="B266" s="220"/>
      <c r="C266" s="220"/>
      <c r="D266" s="132"/>
      <c r="E266" s="220"/>
    </row>
    <row r="267" spans="1:5">
      <c r="A267" s="132"/>
      <c r="B267" s="220"/>
      <c r="C267" s="220"/>
      <c r="D267" s="132"/>
      <c r="E267" s="220"/>
    </row>
    <row r="268" spans="1:5">
      <c r="A268" s="132"/>
      <c r="B268" s="220"/>
      <c r="C268" s="220"/>
      <c r="D268" s="132"/>
      <c r="E268" s="220"/>
    </row>
    <row r="269" spans="1:5">
      <c r="A269" s="132"/>
      <c r="B269" s="220"/>
      <c r="C269" s="220"/>
      <c r="D269" s="132"/>
      <c r="E269" s="220"/>
    </row>
    <row r="270" spans="1:5">
      <c r="A270" s="132"/>
      <c r="B270" s="220"/>
      <c r="C270" s="220"/>
      <c r="D270" s="132"/>
      <c r="E270" s="220"/>
    </row>
    <row r="271" spans="1:5">
      <c r="A271" s="132"/>
      <c r="B271" s="220"/>
      <c r="C271" s="220"/>
      <c r="D271" s="132"/>
      <c r="E271" s="220"/>
    </row>
    <row r="272" spans="1:5">
      <c r="A272" s="132"/>
      <c r="B272" s="220"/>
      <c r="C272" s="220"/>
      <c r="D272" s="132"/>
      <c r="E272" s="220"/>
    </row>
    <row r="273" spans="1:5">
      <c r="A273" s="132"/>
      <c r="B273" s="220"/>
      <c r="C273" s="220"/>
      <c r="D273" s="132"/>
      <c r="E273" s="220"/>
    </row>
    <row r="274" spans="1:5">
      <c r="A274" s="132"/>
      <c r="B274" s="220"/>
      <c r="C274" s="220"/>
      <c r="D274" s="132"/>
      <c r="E274" s="220"/>
    </row>
    <row r="275" spans="1:5">
      <c r="A275" s="132"/>
      <c r="B275" s="220"/>
      <c r="C275" s="220"/>
      <c r="D275" s="132"/>
      <c r="E275" s="220"/>
    </row>
    <row r="276" spans="1:5">
      <c r="A276" s="132"/>
      <c r="B276" s="220"/>
      <c r="C276" s="220"/>
      <c r="D276" s="132"/>
      <c r="E276" s="220"/>
    </row>
    <row r="277" spans="1:5">
      <c r="A277" s="132"/>
      <c r="B277" s="220"/>
      <c r="C277" s="220"/>
      <c r="D277" s="132"/>
      <c r="E277" s="220"/>
    </row>
    <row r="278" spans="1:5">
      <c r="A278" s="132"/>
      <c r="B278" s="220"/>
      <c r="C278" s="220"/>
      <c r="D278" s="132"/>
      <c r="E278" s="220"/>
    </row>
    <row r="279" spans="1:5">
      <c r="A279" s="132"/>
      <c r="B279" s="220"/>
      <c r="C279" s="220"/>
      <c r="D279" s="132"/>
      <c r="E279" s="220"/>
    </row>
    <row r="280" spans="1:5">
      <c r="A280" s="132"/>
      <c r="B280" s="220"/>
      <c r="C280" s="220"/>
      <c r="D280" s="132"/>
      <c r="E280" s="220"/>
    </row>
    <row r="281" spans="1:5">
      <c r="A281" s="132"/>
      <c r="B281" s="220"/>
      <c r="C281" s="220"/>
      <c r="D281" s="132"/>
      <c r="E281" s="220"/>
    </row>
    <row r="282" spans="1:5">
      <c r="A282" s="132"/>
      <c r="B282" s="220"/>
      <c r="C282" s="220"/>
      <c r="D282" s="132"/>
      <c r="E282" s="220"/>
    </row>
    <row r="283" spans="1:5">
      <c r="A283" s="132"/>
      <c r="B283" s="220"/>
      <c r="C283" s="220"/>
      <c r="D283" s="132"/>
      <c r="E283" s="220"/>
    </row>
    <row r="284" spans="1:5">
      <c r="A284" s="132"/>
      <c r="B284" s="220"/>
      <c r="C284" s="220"/>
      <c r="D284" s="132"/>
      <c r="E284" s="220"/>
    </row>
    <row r="285" spans="1:5">
      <c r="A285" s="132"/>
      <c r="B285" s="220"/>
      <c r="C285" s="220"/>
      <c r="D285" s="132"/>
      <c r="E285" s="220"/>
    </row>
    <row r="286" spans="1:5">
      <c r="A286" s="132"/>
      <c r="B286" s="220"/>
      <c r="C286" s="220"/>
      <c r="D286" s="132"/>
      <c r="E286" s="220"/>
    </row>
    <row r="287" spans="1:5">
      <c r="A287" s="132"/>
      <c r="B287" s="220"/>
      <c r="C287" s="220"/>
      <c r="D287" s="132"/>
      <c r="E287" s="220"/>
    </row>
    <row r="288" spans="1:5">
      <c r="A288" s="132"/>
      <c r="B288" s="220"/>
      <c r="C288" s="220"/>
      <c r="D288" s="132"/>
      <c r="E288" s="220"/>
    </row>
    <row r="289" spans="1:5">
      <c r="A289" s="132"/>
      <c r="B289" s="220"/>
      <c r="C289" s="220"/>
      <c r="D289" s="132"/>
      <c r="E289" s="220"/>
    </row>
    <row r="290" spans="1:5">
      <c r="A290" s="132"/>
      <c r="B290" s="220"/>
      <c r="C290" s="220"/>
      <c r="D290" s="132"/>
      <c r="E290" s="220"/>
    </row>
    <row r="291" spans="1:5">
      <c r="A291" s="132"/>
      <c r="B291" s="220"/>
      <c r="C291" s="220"/>
      <c r="D291" s="132"/>
      <c r="E291" s="220"/>
    </row>
    <row r="292" spans="1:5">
      <c r="A292" s="132"/>
      <c r="B292" s="220"/>
      <c r="C292" s="220"/>
      <c r="D292" s="132"/>
      <c r="E292" s="220"/>
    </row>
    <row r="293" spans="1:5">
      <c r="A293" s="132"/>
      <c r="B293" s="220"/>
      <c r="C293" s="220"/>
      <c r="D293" s="132"/>
      <c r="E293" s="220"/>
    </row>
    <row r="294" spans="1:5">
      <c r="A294" s="132"/>
      <c r="B294" s="220"/>
      <c r="C294" s="220"/>
      <c r="D294" s="132"/>
      <c r="E294" s="220"/>
    </row>
    <row r="295" spans="1:5">
      <c r="A295" s="132"/>
      <c r="B295" s="220"/>
      <c r="C295" s="220"/>
      <c r="D295" s="132"/>
      <c r="E295" s="220"/>
    </row>
    <row r="296" spans="1:5">
      <c r="A296" s="132"/>
      <c r="B296" s="220"/>
      <c r="C296" s="220"/>
      <c r="D296" s="132"/>
      <c r="E296" s="220"/>
    </row>
    <row r="297" spans="1:5">
      <c r="A297" s="132"/>
      <c r="B297" s="220"/>
      <c r="C297" s="220"/>
      <c r="D297" s="132"/>
      <c r="E297" s="220"/>
    </row>
    <row r="298" spans="1:5">
      <c r="A298" s="132"/>
      <c r="B298" s="220"/>
      <c r="C298" s="220"/>
      <c r="D298" s="132"/>
      <c r="E298" s="220"/>
    </row>
    <row r="299" spans="1:5">
      <c r="A299" s="132"/>
      <c r="B299" s="220"/>
      <c r="C299" s="220"/>
      <c r="D299" s="132"/>
      <c r="E299" s="220"/>
    </row>
    <row r="300" spans="1:5">
      <c r="A300" s="132"/>
      <c r="B300" s="220"/>
      <c r="C300" s="220"/>
      <c r="D300" s="132"/>
      <c r="E300" s="220"/>
    </row>
    <row r="301" spans="1:5">
      <c r="A301" s="132"/>
      <c r="B301" s="220"/>
      <c r="C301" s="220"/>
      <c r="D301" s="132"/>
      <c r="E301" s="220"/>
    </row>
    <row r="302" spans="1:5">
      <c r="A302" s="132"/>
      <c r="B302" s="220"/>
      <c r="C302" s="220"/>
      <c r="D302" s="132"/>
      <c r="E302" s="220"/>
    </row>
    <row r="303" spans="1:5">
      <c r="A303" s="132"/>
      <c r="B303" s="220"/>
      <c r="C303" s="220"/>
      <c r="D303" s="132"/>
      <c r="E303" s="220"/>
    </row>
    <row r="304" spans="1:5">
      <c r="A304" s="132"/>
      <c r="B304" s="220"/>
      <c r="C304" s="220"/>
      <c r="D304" s="132"/>
      <c r="E304" s="220"/>
    </row>
    <row r="305" spans="1:5">
      <c r="A305" s="132"/>
      <c r="B305" s="220"/>
      <c r="C305" s="220"/>
      <c r="D305" s="132"/>
      <c r="E305" s="220"/>
    </row>
    <row r="306" spans="1:5">
      <c r="A306" s="132"/>
      <c r="B306" s="220"/>
      <c r="C306" s="220"/>
      <c r="D306" s="132"/>
      <c r="E306" s="220"/>
    </row>
    <row r="307" spans="1:5">
      <c r="A307" s="132"/>
      <c r="B307" s="220"/>
      <c r="C307" s="220"/>
      <c r="D307" s="132"/>
      <c r="E307" s="220"/>
    </row>
    <row r="308" spans="1:5">
      <c r="A308" s="132"/>
      <c r="B308" s="220"/>
      <c r="C308" s="220"/>
      <c r="D308" s="132"/>
      <c r="E308" s="220"/>
    </row>
    <row r="309" spans="1:5">
      <c r="A309" s="132"/>
      <c r="B309" s="220"/>
      <c r="C309" s="220"/>
      <c r="D309" s="132"/>
      <c r="E309" s="220"/>
    </row>
    <row r="310" spans="1:5">
      <c r="A310" s="132"/>
      <c r="B310" s="220"/>
      <c r="C310" s="220"/>
      <c r="D310" s="132"/>
      <c r="E310" s="220"/>
    </row>
    <row r="311" spans="1:5">
      <c r="A311" s="132"/>
      <c r="B311" s="220"/>
      <c r="C311" s="220"/>
      <c r="D311" s="132"/>
      <c r="E311" s="220"/>
    </row>
    <row r="312" spans="1:5">
      <c r="A312" s="132"/>
      <c r="B312" s="220"/>
      <c r="C312" s="220"/>
      <c r="D312" s="132"/>
      <c r="E312" s="220"/>
    </row>
    <row r="313" spans="1:5">
      <c r="A313" s="132"/>
      <c r="B313" s="220"/>
      <c r="C313" s="220"/>
      <c r="D313" s="132"/>
      <c r="E313" s="220"/>
    </row>
    <row r="314" spans="1:5">
      <c r="A314" s="132"/>
      <c r="B314" s="220"/>
      <c r="C314" s="220"/>
      <c r="D314" s="132"/>
      <c r="E314" s="220"/>
    </row>
    <row r="315" spans="1:5">
      <c r="A315" s="132"/>
      <c r="B315" s="220"/>
      <c r="C315" s="220"/>
      <c r="D315" s="132"/>
      <c r="E315" s="220"/>
    </row>
    <row r="316" spans="1:5">
      <c r="A316" s="132"/>
      <c r="B316" s="220"/>
      <c r="C316" s="220"/>
      <c r="D316" s="132"/>
      <c r="E316" s="220"/>
    </row>
    <row r="317" spans="1:5">
      <c r="A317" s="132"/>
      <c r="B317" s="220"/>
      <c r="C317" s="220"/>
      <c r="D317" s="132"/>
      <c r="E317" s="220"/>
    </row>
    <row r="318" spans="1:5">
      <c r="A318" s="132"/>
      <c r="B318" s="220"/>
      <c r="C318" s="220"/>
      <c r="D318" s="132"/>
      <c r="E318" s="220"/>
    </row>
    <row r="319" spans="1:5">
      <c r="A319" s="132"/>
      <c r="B319" s="220"/>
      <c r="C319" s="220"/>
      <c r="D319" s="132"/>
      <c r="E319" s="220"/>
    </row>
    <row r="320" spans="1:5">
      <c r="A320" s="132"/>
      <c r="B320" s="220"/>
      <c r="C320" s="220"/>
      <c r="D320" s="132"/>
      <c r="E320" s="220"/>
    </row>
    <row r="321" spans="1:5">
      <c r="A321" s="132"/>
      <c r="B321" s="220"/>
      <c r="C321" s="220"/>
      <c r="D321" s="132"/>
      <c r="E321" s="220"/>
    </row>
    <row r="322" spans="1:5">
      <c r="A322" s="132"/>
      <c r="B322" s="220"/>
      <c r="C322" s="220"/>
      <c r="D322" s="132"/>
      <c r="E322" s="220"/>
    </row>
    <row r="323" spans="1:5">
      <c r="A323" s="132"/>
      <c r="B323" s="220"/>
      <c r="C323" s="220"/>
      <c r="D323" s="132"/>
      <c r="E323" s="220"/>
    </row>
    <row r="324" spans="1:5">
      <c r="A324" s="132"/>
      <c r="B324" s="220"/>
      <c r="C324" s="220"/>
      <c r="D324" s="132"/>
      <c r="E324" s="220"/>
    </row>
    <row r="325" spans="1:5">
      <c r="A325" s="132"/>
      <c r="B325" s="220"/>
      <c r="C325" s="220"/>
      <c r="D325" s="132"/>
      <c r="E325" s="220"/>
    </row>
    <row r="326" spans="1:5">
      <c r="A326" s="132"/>
      <c r="B326" s="220"/>
      <c r="C326" s="220"/>
      <c r="D326" s="132"/>
      <c r="E326" s="220"/>
    </row>
    <row r="327" spans="1:5">
      <c r="A327" s="132"/>
      <c r="B327" s="220"/>
      <c r="C327" s="220"/>
      <c r="D327" s="132"/>
      <c r="E327" s="220"/>
    </row>
    <row r="328" spans="1:5">
      <c r="A328" s="132"/>
      <c r="B328" s="220"/>
      <c r="C328" s="220"/>
      <c r="D328" s="132"/>
      <c r="E328" s="220"/>
    </row>
    <row r="329" spans="1:5">
      <c r="A329" s="132"/>
      <c r="B329" s="220"/>
      <c r="C329" s="220"/>
      <c r="D329" s="132"/>
      <c r="E329" s="220"/>
    </row>
    <row r="330" spans="1:5">
      <c r="A330" s="132"/>
      <c r="B330" s="220"/>
      <c r="C330" s="220"/>
      <c r="D330" s="132"/>
      <c r="E330" s="220"/>
    </row>
    <row r="331" spans="1:5">
      <c r="A331" s="132"/>
      <c r="B331" s="220"/>
      <c r="C331" s="220"/>
      <c r="D331" s="132"/>
      <c r="E331" s="220"/>
    </row>
    <row r="332" spans="1:5">
      <c r="A332" s="132"/>
      <c r="B332" s="220"/>
      <c r="C332" s="220"/>
      <c r="D332" s="132"/>
      <c r="E332" s="220"/>
    </row>
    <row r="333" spans="1:5">
      <c r="A333" s="132"/>
      <c r="B333" s="220"/>
      <c r="C333" s="220"/>
      <c r="D333" s="132"/>
      <c r="E333" s="220"/>
    </row>
    <row r="334" spans="1:5">
      <c r="A334" s="132"/>
      <c r="B334" s="220"/>
      <c r="C334" s="220"/>
      <c r="D334" s="132"/>
      <c r="E334" s="220"/>
    </row>
    <row r="335" spans="1:5">
      <c r="A335" s="132"/>
      <c r="B335" s="220"/>
      <c r="C335" s="220"/>
      <c r="D335" s="132"/>
      <c r="E335" s="220"/>
    </row>
    <row r="336" spans="1:5">
      <c r="A336" s="132"/>
      <c r="B336" s="220"/>
      <c r="C336" s="220"/>
      <c r="D336" s="132"/>
      <c r="E336" s="220"/>
    </row>
    <row r="337" spans="1:5">
      <c r="A337" s="132"/>
      <c r="B337" s="220"/>
      <c r="C337" s="220"/>
      <c r="D337" s="132"/>
      <c r="E337" s="220"/>
    </row>
    <row r="338" spans="1:5">
      <c r="A338" s="132"/>
      <c r="B338" s="220"/>
      <c r="C338" s="220"/>
      <c r="D338" s="132"/>
      <c r="E338" s="220"/>
    </row>
    <row r="339" spans="1:5">
      <c r="A339" s="132"/>
      <c r="B339" s="220"/>
      <c r="C339" s="220"/>
      <c r="D339" s="132"/>
      <c r="E339" s="220"/>
    </row>
    <row r="340" spans="1:5">
      <c r="A340" s="132"/>
      <c r="B340" s="220"/>
      <c r="C340" s="220"/>
      <c r="D340" s="132"/>
      <c r="E340" s="220"/>
    </row>
    <row r="341" spans="1:5">
      <c r="A341" s="132"/>
      <c r="B341" s="220"/>
      <c r="C341" s="220"/>
      <c r="D341" s="132"/>
      <c r="E341" s="220"/>
    </row>
    <row r="342" spans="1:5">
      <c r="A342" s="132"/>
      <c r="B342" s="220"/>
      <c r="C342" s="220"/>
      <c r="D342" s="132"/>
      <c r="E342" s="220"/>
    </row>
    <row r="343" spans="1:5">
      <c r="A343" s="132"/>
      <c r="B343" s="220"/>
      <c r="C343" s="220"/>
      <c r="D343" s="132"/>
      <c r="E343" s="220"/>
    </row>
    <row r="344" spans="1:5">
      <c r="A344" s="132"/>
      <c r="B344" s="220"/>
      <c r="C344" s="220"/>
      <c r="D344" s="132"/>
      <c r="E344" s="220"/>
    </row>
    <row r="345" spans="1:5">
      <c r="A345" s="132"/>
      <c r="B345" s="220"/>
      <c r="C345" s="220"/>
      <c r="D345" s="132"/>
      <c r="E345" s="220"/>
    </row>
    <row r="346" spans="1:5">
      <c r="A346" s="132"/>
      <c r="B346" s="220"/>
      <c r="C346" s="220"/>
      <c r="D346" s="132"/>
      <c r="E346" s="220"/>
    </row>
    <row r="347" spans="1:5">
      <c r="A347" s="132"/>
      <c r="B347" s="220"/>
      <c r="C347" s="220"/>
      <c r="D347" s="132"/>
      <c r="E347" s="220"/>
    </row>
    <row r="348" spans="1:5">
      <c r="A348" s="132"/>
      <c r="B348" s="220"/>
      <c r="C348" s="220"/>
      <c r="D348" s="132"/>
      <c r="E348" s="220"/>
    </row>
    <row r="349" spans="1:5">
      <c r="A349" s="132"/>
      <c r="B349" s="220"/>
      <c r="C349" s="220"/>
      <c r="D349" s="132"/>
      <c r="E349" s="220"/>
    </row>
    <row r="350" spans="1:5">
      <c r="A350" s="132"/>
      <c r="B350" s="220"/>
      <c r="C350" s="220"/>
      <c r="D350" s="132"/>
      <c r="E350" s="220"/>
    </row>
    <row r="351" spans="1:5">
      <c r="A351" s="132"/>
      <c r="B351" s="220"/>
      <c r="C351" s="220"/>
      <c r="D351" s="132"/>
      <c r="E351" s="220"/>
    </row>
    <row r="352" spans="1:5">
      <c r="A352" s="132"/>
      <c r="B352" s="220"/>
      <c r="C352" s="220"/>
      <c r="D352" s="132"/>
      <c r="E352" s="220"/>
    </row>
    <row r="353" spans="1:5">
      <c r="A353" s="132"/>
      <c r="B353" s="220"/>
      <c r="C353" s="220"/>
      <c r="D353" s="132"/>
      <c r="E353" s="220"/>
    </row>
    <row r="354" spans="1:5">
      <c r="A354" s="132"/>
      <c r="B354" s="220"/>
      <c r="C354" s="220"/>
      <c r="D354" s="132"/>
      <c r="E354" s="220"/>
    </row>
    <row r="355" spans="1:5">
      <c r="A355" s="132"/>
      <c r="B355" s="220"/>
      <c r="C355" s="220"/>
      <c r="D355" s="132"/>
      <c r="E355" s="220"/>
    </row>
    <row r="356" spans="1:5">
      <c r="A356" s="132"/>
      <c r="B356" s="220"/>
      <c r="C356" s="220"/>
      <c r="D356" s="132"/>
      <c r="E356" s="220"/>
    </row>
    <row r="357" spans="1:5">
      <c r="A357" s="132"/>
      <c r="B357" s="220"/>
      <c r="C357" s="220"/>
      <c r="D357" s="132"/>
      <c r="E357" s="220"/>
    </row>
    <row r="358" spans="1:5">
      <c r="A358" s="132"/>
      <c r="B358" s="220"/>
      <c r="C358" s="220"/>
      <c r="D358" s="132"/>
      <c r="E358" s="220"/>
    </row>
    <row r="359" spans="1:5">
      <c r="A359" s="132"/>
      <c r="B359" s="220"/>
      <c r="C359" s="220"/>
      <c r="D359" s="132"/>
      <c r="E359" s="220"/>
    </row>
    <row r="360" spans="1:5">
      <c r="A360" s="132"/>
      <c r="B360" s="220"/>
      <c r="C360" s="220"/>
      <c r="D360" s="132"/>
      <c r="E360" s="220"/>
    </row>
    <row r="361" spans="1:5">
      <c r="A361" s="133"/>
      <c r="B361" s="220"/>
      <c r="C361" s="220"/>
      <c r="D361" s="132"/>
      <c r="E361" s="220"/>
    </row>
    <row r="362" spans="1:5">
      <c r="A362" s="133"/>
      <c r="B362" s="220"/>
      <c r="C362" s="220"/>
      <c r="D362" s="132"/>
      <c r="E362" s="220"/>
    </row>
    <row r="363" spans="1:5">
      <c r="A363" s="133"/>
      <c r="B363" s="220"/>
      <c r="C363" s="220"/>
      <c r="D363" s="132"/>
      <c r="E363" s="220"/>
    </row>
    <row r="364" spans="1:5">
      <c r="A364" s="133"/>
      <c r="B364" s="220"/>
      <c r="C364" s="220"/>
      <c r="D364" s="132"/>
      <c r="E364" s="220"/>
    </row>
    <row r="365" spans="1:5">
      <c r="A365" s="133"/>
      <c r="B365" s="220"/>
      <c r="C365" s="220"/>
      <c r="D365" s="132"/>
      <c r="E365" s="220"/>
    </row>
    <row r="366" spans="1:5">
      <c r="A366" s="133"/>
      <c r="B366" s="220"/>
      <c r="C366" s="220"/>
      <c r="D366" s="132"/>
      <c r="E366" s="220"/>
    </row>
    <row r="367" spans="1:5">
      <c r="A367" s="133"/>
      <c r="B367" s="220"/>
      <c r="C367" s="220"/>
      <c r="D367" s="132"/>
      <c r="E367" s="220"/>
    </row>
    <row r="368" spans="1:5">
      <c r="A368" s="133"/>
      <c r="B368" s="220"/>
      <c r="C368" s="220"/>
      <c r="D368" s="132"/>
      <c r="E368" s="220"/>
    </row>
    <row r="369" spans="1:5">
      <c r="A369" s="133"/>
      <c r="B369" s="220"/>
      <c r="C369" s="220"/>
      <c r="D369" s="132"/>
      <c r="E369" s="220"/>
    </row>
    <row r="370" spans="1:5">
      <c r="A370" s="133"/>
      <c r="B370" s="220"/>
      <c r="C370" s="220"/>
      <c r="D370" s="132"/>
      <c r="E370" s="220"/>
    </row>
    <row r="371" spans="1:5">
      <c r="A371" s="133"/>
      <c r="B371" s="220"/>
      <c r="C371" s="220"/>
      <c r="D371" s="132"/>
      <c r="E371" s="220"/>
    </row>
    <row r="372" spans="1:5">
      <c r="A372" s="133"/>
      <c r="B372" s="220"/>
      <c r="C372" s="220"/>
      <c r="D372" s="132"/>
      <c r="E372" s="220"/>
    </row>
    <row r="373" spans="1:5">
      <c r="A373" s="133"/>
      <c r="B373" s="220"/>
      <c r="C373" s="220"/>
      <c r="D373" s="132"/>
      <c r="E373" s="220"/>
    </row>
    <row r="374" spans="1:5">
      <c r="A374" s="133"/>
      <c r="B374" s="220"/>
      <c r="C374" s="220"/>
      <c r="D374" s="132"/>
      <c r="E374" s="220"/>
    </row>
    <row r="375" spans="1:5">
      <c r="A375" s="133"/>
      <c r="B375" s="220"/>
      <c r="C375" s="220"/>
      <c r="D375" s="132"/>
      <c r="E375" s="220"/>
    </row>
    <row r="376" spans="1:5">
      <c r="A376" s="133"/>
      <c r="B376" s="220"/>
      <c r="C376" s="220"/>
      <c r="D376" s="132"/>
      <c r="E376" s="220"/>
    </row>
    <row r="377" spans="1:5">
      <c r="A377" s="133"/>
      <c r="B377" s="220"/>
      <c r="C377" s="220"/>
      <c r="D377" s="132"/>
      <c r="E377" s="220"/>
    </row>
    <row r="378" spans="1:5">
      <c r="A378" s="133"/>
      <c r="B378" s="220"/>
      <c r="C378" s="220"/>
      <c r="D378" s="132"/>
      <c r="E378" s="220"/>
    </row>
    <row r="379" spans="1:5">
      <c r="A379" s="133"/>
      <c r="B379" s="220"/>
      <c r="C379" s="220"/>
      <c r="D379" s="132"/>
      <c r="E379" s="220"/>
    </row>
    <row r="380" spans="1:5">
      <c r="A380" s="133"/>
      <c r="B380" s="220"/>
      <c r="C380" s="220"/>
      <c r="D380" s="132"/>
      <c r="E380" s="220"/>
    </row>
    <row r="381" spans="1:5">
      <c r="A381" s="133"/>
      <c r="B381" s="220"/>
      <c r="C381" s="220"/>
      <c r="D381" s="132"/>
      <c r="E381" s="220"/>
    </row>
    <row r="382" spans="1:5">
      <c r="A382" s="133"/>
      <c r="B382" s="220"/>
      <c r="C382" s="220"/>
      <c r="D382" s="132"/>
      <c r="E382" s="220"/>
    </row>
    <row r="383" spans="1:5">
      <c r="A383" s="133"/>
      <c r="B383" s="220"/>
      <c r="C383" s="220"/>
      <c r="D383" s="132"/>
      <c r="E383" s="220"/>
    </row>
    <row r="384" spans="1:5">
      <c r="A384" s="133"/>
      <c r="B384" s="220"/>
      <c r="C384" s="220"/>
      <c r="D384" s="132"/>
      <c r="E384" s="220"/>
    </row>
    <row r="385" spans="1:5">
      <c r="A385" s="133"/>
      <c r="B385" s="220"/>
      <c r="C385" s="220"/>
      <c r="D385" s="132"/>
      <c r="E385" s="220"/>
    </row>
    <row r="386" spans="1:5">
      <c r="A386" s="133"/>
      <c r="B386" s="220"/>
      <c r="C386" s="220"/>
      <c r="D386" s="132"/>
      <c r="E386" s="220"/>
    </row>
    <row r="387" spans="1:5">
      <c r="A387" s="133"/>
      <c r="B387" s="220"/>
      <c r="C387" s="220"/>
      <c r="D387" s="132"/>
      <c r="E387" s="220"/>
    </row>
    <row r="388" spans="1:5">
      <c r="A388" s="133"/>
      <c r="B388" s="220"/>
      <c r="C388" s="220"/>
      <c r="D388" s="132"/>
      <c r="E388" s="220"/>
    </row>
    <row r="389" spans="1:5">
      <c r="A389" s="133"/>
      <c r="B389" s="220"/>
      <c r="C389" s="220"/>
      <c r="D389" s="132"/>
      <c r="E389" s="220"/>
    </row>
    <row r="390" spans="1:5">
      <c r="A390" s="133"/>
      <c r="B390" s="220"/>
      <c r="C390" s="220"/>
      <c r="D390" s="132"/>
      <c r="E390" s="220"/>
    </row>
    <row r="391" spans="1:5">
      <c r="A391" s="133"/>
      <c r="B391" s="220"/>
      <c r="C391" s="220"/>
      <c r="D391" s="132"/>
      <c r="E391" s="220"/>
    </row>
    <row r="392" spans="1:5">
      <c r="A392" s="133"/>
      <c r="B392" s="220"/>
      <c r="C392" s="220"/>
      <c r="D392" s="132"/>
      <c r="E392" s="220"/>
    </row>
    <row r="393" spans="1:5">
      <c r="A393" s="133"/>
      <c r="B393" s="220"/>
      <c r="C393" s="220"/>
      <c r="D393" s="132"/>
      <c r="E393" s="220"/>
    </row>
    <row r="394" spans="1:5">
      <c r="A394" s="133"/>
      <c r="B394" s="220"/>
      <c r="C394" s="220"/>
      <c r="D394" s="132"/>
      <c r="E394" s="220"/>
    </row>
    <row r="395" spans="1:5">
      <c r="A395" s="133"/>
      <c r="B395" s="220"/>
      <c r="C395" s="220"/>
      <c r="D395" s="132"/>
      <c r="E395" s="220"/>
    </row>
    <row r="396" spans="1:5">
      <c r="A396" s="133"/>
      <c r="B396" s="220"/>
      <c r="C396" s="220"/>
      <c r="D396" s="132"/>
      <c r="E396" s="220"/>
    </row>
    <row r="397" spans="1:5">
      <c r="A397" s="133"/>
      <c r="B397" s="220"/>
      <c r="C397" s="220"/>
      <c r="D397" s="132"/>
      <c r="E397" s="220"/>
    </row>
    <row r="398" spans="1:5">
      <c r="A398" s="133"/>
      <c r="B398" s="220"/>
      <c r="C398" s="220"/>
      <c r="D398" s="132"/>
      <c r="E398" s="220"/>
    </row>
    <row r="399" spans="1:5">
      <c r="A399" s="133"/>
      <c r="B399" s="220"/>
      <c r="C399" s="220"/>
      <c r="D399" s="132"/>
      <c r="E399" s="220"/>
    </row>
    <row r="400" spans="1:5">
      <c r="A400" s="133"/>
      <c r="B400" s="220"/>
      <c r="C400" s="220"/>
      <c r="D400" s="132"/>
      <c r="E400" s="220"/>
    </row>
    <row r="401" spans="1:5">
      <c r="A401" s="133"/>
      <c r="B401" s="220"/>
      <c r="C401" s="220"/>
      <c r="D401" s="132"/>
      <c r="E401" s="220"/>
    </row>
    <row r="402" spans="1:5">
      <c r="A402" s="133"/>
      <c r="B402" s="220"/>
      <c r="C402" s="220"/>
      <c r="D402" s="132"/>
      <c r="E402" s="220"/>
    </row>
    <row r="403" spans="1:5">
      <c r="A403" s="133"/>
      <c r="B403" s="220"/>
      <c r="C403" s="220"/>
      <c r="D403" s="132"/>
      <c r="E403" s="220"/>
    </row>
    <row r="404" spans="1:5">
      <c r="A404" s="133"/>
      <c r="B404" s="220"/>
      <c r="C404" s="220"/>
      <c r="D404" s="132"/>
      <c r="E404" s="220"/>
    </row>
    <row r="405" spans="1:5">
      <c r="A405" s="133"/>
      <c r="B405" s="220"/>
      <c r="C405" s="220"/>
      <c r="D405" s="132"/>
      <c r="E405" s="220"/>
    </row>
    <row r="406" spans="1:5">
      <c r="A406" s="133"/>
      <c r="B406" s="220"/>
      <c r="C406" s="220"/>
      <c r="D406" s="132"/>
      <c r="E406" s="220"/>
    </row>
    <row r="407" spans="1:5">
      <c r="A407" s="133"/>
      <c r="B407" s="220"/>
      <c r="C407" s="220"/>
      <c r="D407" s="132"/>
      <c r="E407" s="220"/>
    </row>
    <row r="408" spans="1:5">
      <c r="A408" s="133"/>
      <c r="B408" s="220"/>
      <c r="C408" s="220"/>
      <c r="D408" s="132"/>
      <c r="E408" s="220"/>
    </row>
    <row r="409" spans="1:5">
      <c r="A409" s="133"/>
      <c r="B409" s="220"/>
      <c r="C409" s="220"/>
      <c r="D409" s="132"/>
      <c r="E409" s="220"/>
    </row>
    <row r="410" spans="1:5">
      <c r="A410" s="133"/>
      <c r="B410" s="220"/>
      <c r="C410" s="220"/>
      <c r="D410" s="132"/>
      <c r="E410" s="220"/>
    </row>
    <row r="411" spans="1:5">
      <c r="A411" s="133"/>
      <c r="B411" s="220"/>
      <c r="C411" s="220"/>
      <c r="D411" s="132"/>
      <c r="E411" s="220"/>
    </row>
    <row r="412" spans="1:5">
      <c r="A412" s="133"/>
      <c r="B412" s="220"/>
      <c r="C412" s="220"/>
      <c r="D412" s="132"/>
      <c r="E412" s="220"/>
    </row>
    <row r="413" spans="1:5">
      <c r="A413" s="133"/>
      <c r="B413" s="220"/>
      <c r="C413" s="220"/>
      <c r="D413" s="132"/>
      <c r="E413" s="220"/>
    </row>
    <row r="414" spans="1:5">
      <c r="A414" s="133"/>
      <c r="B414" s="220"/>
      <c r="C414" s="220"/>
      <c r="D414" s="132"/>
      <c r="E414" s="220"/>
    </row>
    <row r="415" spans="1:5">
      <c r="A415" s="133"/>
      <c r="B415" s="220"/>
      <c r="C415" s="220"/>
      <c r="D415" s="132"/>
      <c r="E415" s="220"/>
    </row>
    <row r="416" spans="1:5">
      <c r="A416" s="133"/>
      <c r="B416" s="220"/>
      <c r="C416" s="220"/>
      <c r="D416" s="132"/>
      <c r="E416" s="220"/>
    </row>
    <row r="417" spans="1:5">
      <c r="A417" s="133"/>
      <c r="B417" s="220"/>
      <c r="C417" s="220"/>
      <c r="D417" s="132"/>
      <c r="E417" s="220"/>
    </row>
    <row r="418" spans="1:5">
      <c r="A418" s="133"/>
      <c r="B418" s="220"/>
      <c r="C418" s="220"/>
      <c r="D418" s="132"/>
      <c r="E418" s="220"/>
    </row>
    <row r="419" spans="1:5">
      <c r="A419" s="133"/>
      <c r="B419" s="220"/>
      <c r="C419" s="220"/>
      <c r="D419" s="132"/>
      <c r="E419" s="220"/>
    </row>
    <row r="420" spans="1:5">
      <c r="A420" s="133"/>
      <c r="B420" s="220"/>
      <c r="C420" s="220"/>
      <c r="D420" s="132"/>
      <c r="E420" s="220"/>
    </row>
    <row r="421" spans="1:5">
      <c r="A421" s="133"/>
      <c r="B421" s="220"/>
      <c r="C421" s="220"/>
      <c r="D421" s="132"/>
      <c r="E421" s="220"/>
    </row>
    <row r="422" spans="1:5">
      <c r="A422" s="133"/>
      <c r="B422" s="220"/>
      <c r="C422" s="220"/>
      <c r="D422" s="132"/>
      <c r="E422" s="220"/>
    </row>
    <row r="423" spans="1:5">
      <c r="A423" s="133"/>
      <c r="B423" s="220"/>
      <c r="C423" s="220"/>
      <c r="D423" s="132"/>
      <c r="E423" s="220"/>
    </row>
    <row r="424" spans="1:5">
      <c r="A424" s="133"/>
      <c r="B424" s="220"/>
      <c r="C424" s="220"/>
      <c r="D424" s="132"/>
      <c r="E424" s="220"/>
    </row>
    <row r="425" spans="1:5">
      <c r="A425" s="133"/>
      <c r="B425" s="220"/>
      <c r="C425" s="220"/>
      <c r="D425" s="132"/>
      <c r="E425" s="220"/>
    </row>
    <row r="426" spans="1:5">
      <c r="A426" s="133"/>
      <c r="B426" s="220"/>
      <c r="C426" s="220"/>
      <c r="D426" s="132"/>
      <c r="E426" s="220"/>
    </row>
    <row r="427" spans="1:5">
      <c r="A427" s="133"/>
      <c r="B427" s="220"/>
      <c r="C427" s="220"/>
      <c r="D427" s="132"/>
      <c r="E427" s="220"/>
    </row>
    <row r="428" spans="1:5">
      <c r="A428" s="133"/>
      <c r="B428" s="220"/>
      <c r="C428" s="220"/>
      <c r="D428" s="132"/>
      <c r="E428" s="220"/>
    </row>
    <row r="429" spans="1:5">
      <c r="A429" s="133"/>
      <c r="B429" s="220"/>
      <c r="C429" s="220"/>
      <c r="D429" s="132"/>
      <c r="E429" s="220"/>
    </row>
    <row r="430" spans="1:5">
      <c r="A430" s="133"/>
      <c r="B430" s="220"/>
      <c r="C430" s="220"/>
      <c r="D430" s="132"/>
      <c r="E430" s="220"/>
    </row>
    <row r="431" spans="1:5">
      <c r="A431" s="133"/>
      <c r="B431" s="220"/>
      <c r="C431" s="220"/>
      <c r="D431" s="132"/>
      <c r="E431" s="220"/>
    </row>
    <row r="432" spans="1:5">
      <c r="A432" s="133"/>
      <c r="B432" s="220"/>
      <c r="C432" s="220"/>
      <c r="D432" s="132"/>
      <c r="E432" s="220"/>
    </row>
    <row r="433" spans="1:5">
      <c r="A433" s="133"/>
      <c r="B433" s="220"/>
      <c r="C433" s="220"/>
      <c r="D433" s="132"/>
      <c r="E433" s="220"/>
    </row>
    <row r="434" spans="1:5">
      <c r="A434" s="133"/>
      <c r="B434" s="220"/>
      <c r="C434" s="220"/>
      <c r="D434" s="132"/>
      <c r="E434" s="220"/>
    </row>
    <row r="435" spans="1:5">
      <c r="A435" s="133"/>
      <c r="B435" s="220"/>
      <c r="C435" s="220"/>
      <c r="D435" s="132"/>
      <c r="E435" s="220"/>
    </row>
    <row r="436" spans="1:5">
      <c r="A436" s="133"/>
      <c r="B436" s="220"/>
      <c r="C436" s="220"/>
      <c r="D436" s="132"/>
      <c r="E436" s="220"/>
    </row>
    <row r="437" spans="1:5">
      <c r="A437" s="133"/>
      <c r="B437" s="220"/>
      <c r="C437" s="220"/>
      <c r="D437" s="132"/>
      <c r="E437" s="220"/>
    </row>
    <row r="438" spans="1:5">
      <c r="A438" s="133"/>
      <c r="B438" s="220"/>
      <c r="C438" s="220"/>
      <c r="D438" s="132"/>
      <c r="E438" s="220"/>
    </row>
    <row r="439" spans="1:5">
      <c r="A439" s="133"/>
      <c r="B439" s="220"/>
      <c r="C439" s="220"/>
      <c r="D439" s="132"/>
      <c r="E439" s="220"/>
    </row>
    <row r="440" spans="1:5">
      <c r="A440" s="133"/>
      <c r="B440" s="220"/>
      <c r="C440" s="220"/>
      <c r="D440" s="132"/>
      <c r="E440" s="220"/>
    </row>
    <row r="441" spans="1:5">
      <c r="A441" s="133"/>
      <c r="B441" s="220"/>
      <c r="C441" s="220"/>
      <c r="D441" s="132"/>
      <c r="E441" s="220"/>
    </row>
    <row r="442" spans="1:5">
      <c r="A442" s="133"/>
      <c r="B442" s="220"/>
      <c r="C442" s="220"/>
      <c r="D442" s="132"/>
      <c r="E442" s="220"/>
    </row>
    <row r="443" spans="1:5">
      <c r="A443" s="133"/>
      <c r="B443" s="220"/>
      <c r="C443" s="220"/>
      <c r="D443" s="132"/>
      <c r="E443" s="220"/>
    </row>
    <row r="444" spans="1:5">
      <c r="A444" s="133"/>
      <c r="B444" s="220"/>
      <c r="C444" s="220"/>
      <c r="D444" s="132"/>
      <c r="E444" s="220"/>
    </row>
    <row r="445" spans="1:5">
      <c r="A445" s="133"/>
      <c r="B445" s="220"/>
      <c r="C445" s="220"/>
      <c r="D445" s="132"/>
      <c r="E445" s="220"/>
    </row>
    <row r="446" spans="1:5">
      <c r="A446" s="133"/>
      <c r="B446" s="220"/>
      <c r="C446" s="220"/>
      <c r="D446" s="132"/>
      <c r="E446" s="220"/>
    </row>
    <row r="447" spans="1:5">
      <c r="A447" s="133"/>
      <c r="B447" s="220"/>
      <c r="C447" s="220"/>
      <c r="D447" s="132"/>
      <c r="E447" s="220"/>
    </row>
    <row r="448" spans="1:5">
      <c r="A448" s="133"/>
      <c r="B448" s="220"/>
      <c r="C448" s="220"/>
      <c r="D448" s="132"/>
      <c r="E448" s="220"/>
    </row>
    <row r="449" spans="1:5">
      <c r="A449" s="133"/>
      <c r="B449" s="220"/>
      <c r="C449" s="220"/>
      <c r="D449" s="132"/>
      <c r="E449" s="220"/>
    </row>
    <row r="450" spans="1:5">
      <c r="A450" s="133"/>
      <c r="B450" s="220"/>
      <c r="C450" s="220"/>
      <c r="D450" s="132"/>
      <c r="E450" s="220"/>
    </row>
    <row r="451" spans="1:5">
      <c r="A451" s="133"/>
      <c r="B451" s="220"/>
      <c r="C451" s="220"/>
      <c r="D451" s="132"/>
      <c r="E451" s="220"/>
    </row>
    <row r="452" spans="1:5">
      <c r="A452" s="133"/>
      <c r="B452" s="220"/>
      <c r="C452" s="220"/>
      <c r="D452" s="132"/>
      <c r="E452" s="220"/>
    </row>
    <row r="453" spans="1:5">
      <c r="A453" s="133"/>
      <c r="B453" s="220"/>
      <c r="C453" s="220"/>
      <c r="D453" s="132"/>
      <c r="E453" s="220"/>
    </row>
    <row r="454" spans="1:5">
      <c r="A454" s="133"/>
      <c r="B454" s="220"/>
      <c r="C454" s="220"/>
      <c r="D454" s="132"/>
      <c r="E454" s="220"/>
    </row>
    <row r="455" spans="1:5">
      <c r="A455" s="133"/>
      <c r="B455" s="220"/>
      <c r="C455" s="220"/>
      <c r="D455" s="132"/>
      <c r="E455" s="220"/>
    </row>
    <row r="456" spans="1:5">
      <c r="A456" s="133"/>
      <c r="B456" s="220"/>
      <c r="C456" s="220"/>
      <c r="D456" s="132"/>
      <c r="E456" s="220"/>
    </row>
    <row r="457" spans="1:5">
      <c r="A457" s="133"/>
      <c r="B457" s="220"/>
      <c r="C457" s="220"/>
      <c r="D457" s="132"/>
      <c r="E457" s="220"/>
    </row>
    <row r="458" spans="1:5">
      <c r="A458" s="133"/>
      <c r="B458" s="220"/>
      <c r="C458" s="220"/>
      <c r="D458" s="132"/>
      <c r="E458" s="220"/>
    </row>
    <row r="459" spans="1:5">
      <c r="A459" s="133"/>
      <c r="B459" s="220"/>
      <c r="C459" s="220"/>
      <c r="D459" s="132"/>
      <c r="E459" s="220"/>
    </row>
    <row r="460" spans="1:5">
      <c r="A460" s="133"/>
      <c r="B460" s="220"/>
      <c r="C460" s="220"/>
      <c r="D460" s="132"/>
      <c r="E460" s="220"/>
    </row>
    <row r="461" spans="1:5">
      <c r="A461" s="133"/>
      <c r="B461" s="220"/>
      <c r="C461" s="220"/>
      <c r="D461" s="132"/>
      <c r="E461" s="220"/>
    </row>
    <row r="462" spans="1:5">
      <c r="A462" s="133"/>
      <c r="B462" s="220"/>
      <c r="C462" s="220"/>
      <c r="D462" s="132"/>
      <c r="E462" s="220"/>
    </row>
    <row r="463" spans="1:5">
      <c r="A463" s="133"/>
      <c r="B463" s="220"/>
      <c r="C463" s="220"/>
      <c r="D463" s="132"/>
      <c r="E463" s="220"/>
    </row>
    <row r="464" spans="1:5">
      <c r="A464" s="133"/>
      <c r="B464" s="220"/>
      <c r="C464" s="220"/>
      <c r="D464" s="132"/>
      <c r="E464" s="220"/>
    </row>
    <row r="465" spans="1:5">
      <c r="A465" s="133"/>
      <c r="B465" s="220"/>
      <c r="C465" s="220"/>
      <c r="D465" s="132"/>
      <c r="E465" s="220"/>
    </row>
    <row r="466" spans="1:5">
      <c r="A466" s="133"/>
      <c r="B466" s="220"/>
      <c r="C466" s="220"/>
      <c r="D466" s="132"/>
      <c r="E466" s="220"/>
    </row>
    <row r="467" spans="1:5">
      <c r="A467" s="133"/>
      <c r="B467" s="220"/>
      <c r="C467" s="220"/>
      <c r="D467" s="132"/>
      <c r="E467" s="220"/>
    </row>
    <row r="468" spans="1:5">
      <c r="A468" s="133"/>
      <c r="B468" s="220"/>
      <c r="C468" s="220"/>
      <c r="D468" s="132"/>
      <c r="E468" s="220"/>
    </row>
    <row r="469" spans="1:5">
      <c r="A469" s="133"/>
      <c r="B469" s="220"/>
      <c r="C469" s="220"/>
      <c r="D469" s="132"/>
      <c r="E469" s="220"/>
    </row>
    <row r="470" spans="1:5">
      <c r="A470" s="133"/>
      <c r="B470" s="220"/>
      <c r="C470" s="220"/>
      <c r="D470" s="132"/>
      <c r="E470" s="220"/>
    </row>
    <row r="471" spans="1:5">
      <c r="A471" s="133"/>
      <c r="B471" s="220"/>
      <c r="C471" s="220"/>
      <c r="D471" s="132"/>
      <c r="E471" s="220"/>
    </row>
    <row r="472" spans="1:5">
      <c r="A472" s="133"/>
      <c r="B472" s="220"/>
      <c r="C472" s="220"/>
      <c r="D472" s="132"/>
      <c r="E472" s="220"/>
    </row>
    <row r="473" spans="1:5">
      <c r="A473" s="133"/>
      <c r="B473" s="220"/>
      <c r="C473" s="220"/>
      <c r="D473" s="132"/>
      <c r="E473" s="220"/>
    </row>
    <row r="474" spans="1:5">
      <c r="A474" s="133"/>
      <c r="B474" s="220"/>
      <c r="C474" s="220"/>
      <c r="D474" s="132"/>
      <c r="E474" s="220"/>
    </row>
    <row r="475" spans="1:5">
      <c r="A475" s="133"/>
      <c r="B475" s="220"/>
      <c r="C475" s="220"/>
      <c r="D475" s="132"/>
      <c r="E475" s="220"/>
    </row>
    <row r="476" spans="1:5">
      <c r="A476" s="133"/>
      <c r="B476" s="220"/>
      <c r="C476" s="220"/>
      <c r="D476" s="132"/>
      <c r="E476" s="220"/>
    </row>
    <row r="477" spans="1:5">
      <c r="A477" s="133"/>
      <c r="B477" s="220"/>
      <c r="C477" s="220"/>
      <c r="D477" s="132"/>
      <c r="E477" s="220"/>
    </row>
    <row r="478" spans="1:5">
      <c r="A478" s="133"/>
      <c r="B478" s="220"/>
      <c r="C478" s="220"/>
      <c r="D478" s="132"/>
      <c r="E478" s="220"/>
    </row>
    <row r="479" spans="1:5">
      <c r="A479" s="133"/>
      <c r="B479" s="220"/>
      <c r="C479" s="220"/>
      <c r="D479" s="132"/>
      <c r="E479" s="220"/>
    </row>
    <row r="480" spans="1:5">
      <c r="A480" s="133"/>
      <c r="B480" s="220"/>
      <c r="C480" s="220"/>
      <c r="D480" s="132"/>
      <c r="E480" s="220"/>
    </row>
    <row r="481" spans="1:5">
      <c r="A481" s="133"/>
      <c r="B481" s="220"/>
      <c r="C481" s="220"/>
      <c r="D481" s="132"/>
      <c r="E481" s="220"/>
    </row>
    <row r="482" spans="1:5">
      <c r="A482" s="133"/>
      <c r="B482" s="220"/>
      <c r="C482" s="220"/>
      <c r="D482" s="132"/>
      <c r="E482" s="220"/>
    </row>
    <row r="483" spans="1:5">
      <c r="A483" s="133"/>
      <c r="B483" s="220"/>
      <c r="C483" s="220"/>
      <c r="D483" s="132"/>
      <c r="E483" s="220"/>
    </row>
    <row r="484" spans="1:5">
      <c r="A484" s="133"/>
      <c r="B484" s="220"/>
      <c r="C484" s="220"/>
      <c r="D484" s="132"/>
      <c r="E484" s="220"/>
    </row>
    <row r="485" spans="1:5">
      <c r="A485" s="133"/>
      <c r="B485" s="220"/>
      <c r="C485" s="220"/>
      <c r="D485" s="132"/>
      <c r="E485" s="220"/>
    </row>
    <row r="486" spans="1:5">
      <c r="A486" s="133"/>
      <c r="B486" s="220"/>
      <c r="C486" s="220"/>
      <c r="D486" s="132"/>
      <c r="E486" s="220"/>
    </row>
    <row r="487" spans="1:5">
      <c r="A487" s="133"/>
      <c r="B487" s="220"/>
      <c r="C487" s="220"/>
      <c r="D487" s="132"/>
      <c r="E487" s="220"/>
    </row>
    <row r="488" spans="1:5">
      <c r="A488" s="133"/>
      <c r="B488" s="220"/>
      <c r="C488" s="220"/>
      <c r="D488" s="132"/>
      <c r="E488" s="220"/>
    </row>
    <row r="489" spans="1:5">
      <c r="A489" s="133"/>
      <c r="B489" s="220"/>
      <c r="C489" s="220"/>
      <c r="D489" s="132"/>
      <c r="E489" s="220"/>
    </row>
    <row r="490" spans="1:5">
      <c r="A490" s="133"/>
      <c r="B490" s="220"/>
      <c r="C490" s="220"/>
      <c r="D490" s="132"/>
      <c r="E490" s="220"/>
    </row>
    <row r="491" spans="1:5">
      <c r="A491" s="133"/>
      <c r="B491" s="220"/>
      <c r="C491" s="220"/>
      <c r="D491" s="132"/>
      <c r="E491" s="220"/>
    </row>
    <row r="492" spans="1:5">
      <c r="A492" s="133"/>
      <c r="B492" s="220"/>
      <c r="C492" s="220"/>
      <c r="D492" s="132"/>
      <c r="E492" s="220"/>
    </row>
    <row r="493" spans="1:5">
      <c r="A493" s="133"/>
      <c r="B493" s="220"/>
      <c r="C493" s="220"/>
      <c r="D493" s="132"/>
      <c r="E493" s="220"/>
    </row>
    <row r="494" spans="1:5">
      <c r="A494" s="133"/>
      <c r="B494" s="220"/>
      <c r="C494" s="220"/>
      <c r="D494" s="132"/>
      <c r="E494" s="220"/>
    </row>
    <row r="495" spans="1:5">
      <c r="A495" s="133"/>
      <c r="B495" s="220"/>
      <c r="C495" s="220"/>
      <c r="D495" s="132"/>
      <c r="E495" s="220"/>
    </row>
    <row r="496" spans="1:5">
      <c r="A496" s="133"/>
      <c r="B496" s="220"/>
      <c r="C496" s="220"/>
      <c r="D496" s="132"/>
      <c r="E496" s="220"/>
    </row>
    <row r="497" spans="1:5">
      <c r="A497" s="133"/>
      <c r="B497" s="220"/>
      <c r="C497" s="220"/>
      <c r="D497" s="132"/>
      <c r="E497" s="220"/>
    </row>
    <row r="498" spans="1:5">
      <c r="A498" s="133"/>
      <c r="B498" s="220"/>
      <c r="C498" s="220"/>
      <c r="D498" s="132"/>
      <c r="E498" s="220"/>
    </row>
    <row r="499" spans="1:5">
      <c r="A499" s="133"/>
      <c r="B499" s="220"/>
      <c r="C499" s="220"/>
      <c r="D499" s="132"/>
      <c r="E499" s="220"/>
    </row>
    <row r="500" spans="1:5">
      <c r="A500" s="133"/>
      <c r="B500" s="220"/>
      <c r="C500" s="220"/>
      <c r="D500" s="132"/>
      <c r="E500" s="220"/>
    </row>
    <row r="501" spans="1:5">
      <c r="A501" s="133"/>
      <c r="B501" s="220"/>
      <c r="C501" s="220"/>
      <c r="D501" s="132"/>
      <c r="E501" s="220"/>
    </row>
    <row r="502" spans="1:5">
      <c r="A502" s="133"/>
      <c r="B502" s="220"/>
      <c r="C502" s="220"/>
      <c r="D502" s="132"/>
      <c r="E502" s="220"/>
    </row>
    <row r="503" spans="1:5">
      <c r="A503" s="133"/>
      <c r="B503" s="220"/>
      <c r="C503" s="220"/>
      <c r="D503" s="132"/>
      <c r="E503" s="220"/>
    </row>
    <row r="504" spans="1:5">
      <c r="A504" s="133"/>
      <c r="B504" s="220"/>
      <c r="C504" s="220"/>
      <c r="D504" s="132"/>
      <c r="E504" s="220"/>
    </row>
    <row r="505" spans="1:5">
      <c r="A505" s="133"/>
      <c r="B505" s="220"/>
      <c r="C505" s="220"/>
      <c r="D505" s="132"/>
      <c r="E505" s="220"/>
    </row>
    <row r="506" spans="1:5">
      <c r="A506" s="133"/>
      <c r="B506" s="220"/>
      <c r="C506" s="220"/>
      <c r="D506" s="132"/>
      <c r="E506" s="220"/>
    </row>
    <row r="507" spans="1:5">
      <c r="A507" s="133"/>
      <c r="B507" s="220"/>
      <c r="C507" s="220"/>
      <c r="D507" s="132"/>
      <c r="E507" s="220"/>
    </row>
    <row r="508" spans="1:5">
      <c r="A508" s="133"/>
      <c r="B508" s="220"/>
      <c r="C508" s="220"/>
      <c r="D508" s="132"/>
      <c r="E508" s="220"/>
    </row>
    <row r="509" spans="1:5">
      <c r="A509" s="133"/>
      <c r="B509" s="220"/>
      <c r="C509" s="220"/>
      <c r="D509" s="132"/>
      <c r="E509" s="220"/>
    </row>
    <row r="510" spans="1:5">
      <c r="A510" s="133"/>
      <c r="B510" s="220"/>
      <c r="C510" s="220"/>
      <c r="D510" s="132"/>
      <c r="E510" s="220"/>
    </row>
    <row r="511" spans="1:5">
      <c r="A511" s="133"/>
      <c r="B511" s="220"/>
      <c r="C511" s="220"/>
      <c r="D511" s="132"/>
      <c r="E511" s="220"/>
    </row>
    <row r="512" spans="1:5">
      <c r="A512" s="133"/>
      <c r="B512" s="220"/>
      <c r="C512" s="220"/>
      <c r="D512" s="132"/>
      <c r="E512" s="220"/>
    </row>
    <row r="513" spans="1:5">
      <c r="A513" s="133"/>
      <c r="B513" s="220"/>
      <c r="C513" s="220"/>
      <c r="D513" s="132"/>
      <c r="E513" s="220"/>
    </row>
    <row r="514" spans="1:5">
      <c r="A514" s="133"/>
      <c r="B514" s="220"/>
      <c r="C514" s="220"/>
      <c r="D514" s="132"/>
      <c r="E514" s="220"/>
    </row>
    <row r="515" spans="1:5">
      <c r="A515" s="133"/>
      <c r="B515" s="220"/>
      <c r="C515" s="220"/>
      <c r="D515" s="132"/>
      <c r="E515" s="220"/>
    </row>
    <row r="516" spans="1:5">
      <c r="A516" s="133"/>
      <c r="B516" s="220"/>
      <c r="C516" s="220"/>
      <c r="D516" s="132"/>
      <c r="E516" s="220"/>
    </row>
    <row r="517" spans="1:5">
      <c r="A517" s="133"/>
      <c r="B517" s="220"/>
      <c r="C517" s="220"/>
      <c r="D517" s="132"/>
      <c r="E517" s="220"/>
    </row>
    <row r="518" spans="1:5">
      <c r="A518" s="133"/>
      <c r="B518" s="220"/>
      <c r="C518" s="220"/>
      <c r="D518" s="132"/>
      <c r="E518" s="220"/>
    </row>
    <row r="519" spans="1:5">
      <c r="A519" s="133"/>
      <c r="B519" s="220"/>
      <c r="C519" s="220"/>
      <c r="D519" s="132"/>
      <c r="E519" s="220"/>
    </row>
    <row r="520" spans="1:5">
      <c r="A520" s="133"/>
      <c r="B520" s="220"/>
      <c r="C520" s="220"/>
      <c r="D520" s="132"/>
      <c r="E520" s="220"/>
    </row>
    <row r="521" spans="1:5">
      <c r="A521" s="133"/>
      <c r="B521" s="220"/>
      <c r="C521" s="220"/>
      <c r="D521" s="132"/>
      <c r="E521" s="220"/>
    </row>
    <row r="522" spans="1:5">
      <c r="A522" s="133"/>
      <c r="B522" s="220"/>
      <c r="C522" s="220"/>
      <c r="D522" s="132"/>
      <c r="E522" s="220"/>
    </row>
    <row r="523" spans="1:5">
      <c r="A523" s="133"/>
      <c r="B523" s="220"/>
      <c r="C523" s="220"/>
      <c r="D523" s="132"/>
      <c r="E523" s="220"/>
    </row>
    <row r="524" spans="1:5">
      <c r="A524" s="133"/>
      <c r="B524" s="220"/>
      <c r="C524" s="220"/>
      <c r="D524" s="132"/>
      <c r="E524" s="220"/>
    </row>
    <row r="525" spans="1:5">
      <c r="A525" s="133"/>
      <c r="B525" s="220"/>
      <c r="C525" s="220"/>
      <c r="D525" s="132"/>
      <c r="E525" s="220"/>
    </row>
    <row r="526" spans="1:5">
      <c r="A526" s="133"/>
      <c r="B526" s="220"/>
      <c r="C526" s="220"/>
      <c r="D526" s="132"/>
      <c r="E526" s="220"/>
    </row>
    <row r="527" spans="1:5">
      <c r="A527" s="133"/>
      <c r="B527" s="220"/>
      <c r="C527" s="220"/>
      <c r="D527" s="132"/>
      <c r="E527" s="220"/>
    </row>
    <row r="528" spans="1:5">
      <c r="A528" s="133"/>
      <c r="B528" s="220"/>
      <c r="C528" s="220"/>
      <c r="D528" s="132"/>
      <c r="E528" s="220"/>
    </row>
    <row r="529" spans="1:5">
      <c r="A529" s="133"/>
      <c r="B529" s="220"/>
      <c r="C529" s="220"/>
      <c r="D529" s="132"/>
      <c r="E529" s="220"/>
    </row>
    <row r="530" spans="1:5">
      <c r="A530" s="133"/>
      <c r="B530" s="220"/>
      <c r="C530" s="220"/>
      <c r="D530" s="132"/>
      <c r="E530" s="220"/>
    </row>
    <row r="531" spans="1:5">
      <c r="A531" s="133"/>
      <c r="B531" s="220"/>
      <c r="C531" s="220"/>
      <c r="D531" s="132"/>
      <c r="E531" s="220"/>
    </row>
    <row r="532" spans="1:5">
      <c r="A532" s="133"/>
      <c r="B532" s="220"/>
      <c r="C532" s="220"/>
      <c r="D532" s="132"/>
      <c r="E532" s="220"/>
    </row>
    <row r="533" spans="1:5">
      <c r="A533" s="133"/>
      <c r="B533" s="220"/>
      <c r="C533" s="220"/>
      <c r="D533" s="132"/>
      <c r="E533" s="220"/>
    </row>
    <row r="534" spans="1:5">
      <c r="A534" s="133"/>
      <c r="B534" s="220"/>
      <c r="C534" s="220"/>
      <c r="D534" s="132"/>
      <c r="E534" s="220"/>
    </row>
    <row r="535" spans="1:5">
      <c r="A535" s="133"/>
      <c r="B535" s="220"/>
      <c r="C535" s="220"/>
      <c r="D535" s="132"/>
      <c r="E535" s="220"/>
    </row>
    <row r="536" spans="1:5">
      <c r="A536" s="133"/>
      <c r="B536" s="220"/>
      <c r="C536" s="220"/>
      <c r="D536" s="132"/>
      <c r="E536" s="220"/>
    </row>
    <row r="537" spans="1:5">
      <c r="A537" s="133"/>
      <c r="B537" s="220"/>
      <c r="C537" s="220"/>
      <c r="D537" s="132"/>
      <c r="E537" s="220"/>
    </row>
    <row r="538" spans="1:5">
      <c r="A538" s="133"/>
      <c r="B538" s="220"/>
      <c r="C538" s="220"/>
      <c r="D538" s="132"/>
      <c r="E538" s="220"/>
    </row>
    <row r="539" spans="1:5">
      <c r="A539" s="133"/>
      <c r="B539" s="220"/>
      <c r="C539" s="220"/>
      <c r="D539" s="132"/>
      <c r="E539" s="220"/>
    </row>
    <row r="540" spans="1:5">
      <c r="A540" s="133"/>
      <c r="B540" s="220"/>
      <c r="C540" s="220"/>
      <c r="D540" s="132"/>
      <c r="E540" s="220"/>
    </row>
    <row r="541" spans="1:5">
      <c r="A541" s="133"/>
      <c r="B541" s="220"/>
      <c r="C541" s="220"/>
      <c r="D541" s="132"/>
      <c r="E541" s="220"/>
    </row>
    <row r="542" spans="1:5">
      <c r="A542" s="133"/>
      <c r="B542" s="220"/>
      <c r="C542" s="220"/>
      <c r="D542" s="132"/>
      <c r="E542" s="220"/>
    </row>
    <row r="543" spans="1:5">
      <c r="A543" s="133"/>
      <c r="B543" s="220"/>
      <c r="C543" s="220"/>
      <c r="D543" s="132"/>
      <c r="E543" s="220"/>
    </row>
    <row r="544" spans="1:5">
      <c r="A544" s="133"/>
      <c r="B544" s="220"/>
      <c r="C544" s="220"/>
      <c r="D544" s="132"/>
      <c r="E544" s="220"/>
    </row>
    <row r="545" spans="1:5">
      <c r="A545" s="133"/>
      <c r="B545" s="220"/>
      <c r="C545" s="220"/>
      <c r="D545" s="132"/>
      <c r="E545" s="220"/>
    </row>
    <row r="546" spans="1:5">
      <c r="A546" s="133"/>
      <c r="B546" s="220"/>
      <c r="C546" s="220"/>
      <c r="D546" s="132"/>
      <c r="E546" s="220"/>
    </row>
    <row r="547" spans="1:5">
      <c r="A547" s="133"/>
      <c r="B547" s="220"/>
      <c r="C547" s="220"/>
      <c r="D547" s="132"/>
      <c r="E547" s="220"/>
    </row>
    <row r="548" spans="1:5">
      <c r="A548" s="133"/>
      <c r="B548" s="220"/>
      <c r="C548" s="220"/>
      <c r="D548" s="132"/>
      <c r="E548" s="220"/>
    </row>
    <row r="549" spans="1:5">
      <c r="A549" s="133"/>
      <c r="B549" s="220"/>
      <c r="C549" s="220"/>
      <c r="D549" s="132"/>
      <c r="E549" s="220"/>
    </row>
    <row r="550" spans="1:5">
      <c r="A550" s="133"/>
      <c r="B550" s="220"/>
      <c r="C550" s="220"/>
      <c r="D550" s="132"/>
      <c r="E550" s="220"/>
    </row>
    <row r="551" spans="1:5">
      <c r="A551" s="133"/>
      <c r="B551" s="220"/>
      <c r="C551" s="220"/>
      <c r="D551" s="132"/>
      <c r="E551" s="220"/>
    </row>
    <row r="552" spans="1:5">
      <c r="A552" s="133"/>
      <c r="B552" s="220"/>
      <c r="C552" s="220"/>
      <c r="D552" s="132"/>
      <c r="E552" s="220"/>
    </row>
    <row r="553" spans="1:5">
      <c r="A553" s="133"/>
      <c r="B553" s="220"/>
      <c r="C553" s="220"/>
      <c r="D553" s="132"/>
      <c r="E553" s="220"/>
    </row>
    <row r="554" spans="1:5">
      <c r="A554" s="133"/>
      <c r="B554" s="220"/>
      <c r="C554" s="220"/>
      <c r="D554" s="132"/>
      <c r="E554" s="220"/>
    </row>
    <row r="555" spans="1:5">
      <c r="A555" s="133"/>
      <c r="B555" s="220"/>
      <c r="C555" s="220"/>
      <c r="D555" s="132"/>
      <c r="E555" s="220"/>
    </row>
    <row r="556" spans="1:5">
      <c r="A556" s="133"/>
      <c r="B556" s="220"/>
      <c r="C556" s="220"/>
      <c r="D556" s="132"/>
      <c r="E556" s="220"/>
    </row>
    <row r="557" spans="1:5">
      <c r="A557" s="133"/>
      <c r="B557" s="220"/>
      <c r="C557" s="220"/>
      <c r="D557" s="132"/>
      <c r="E557" s="220"/>
    </row>
    <row r="558" spans="1:5">
      <c r="A558" s="133"/>
      <c r="B558" s="220"/>
      <c r="C558" s="220"/>
      <c r="D558" s="132"/>
      <c r="E558" s="220"/>
    </row>
    <row r="559" spans="1:5">
      <c r="A559" s="133"/>
      <c r="B559" s="220"/>
      <c r="C559" s="220"/>
      <c r="D559" s="132"/>
      <c r="E559" s="220"/>
    </row>
    <row r="560" spans="1:5">
      <c r="A560" s="133"/>
      <c r="B560" s="220"/>
      <c r="C560" s="220"/>
      <c r="D560" s="132"/>
      <c r="E560" s="220"/>
    </row>
    <row r="561" spans="1:5">
      <c r="A561" s="133"/>
      <c r="B561" s="220"/>
      <c r="C561" s="220"/>
      <c r="D561" s="132"/>
      <c r="E561" s="220"/>
    </row>
    <row r="562" spans="1:5">
      <c r="A562" s="133"/>
      <c r="B562" s="220"/>
      <c r="C562" s="220"/>
      <c r="D562" s="132"/>
      <c r="E562" s="220"/>
    </row>
    <row r="563" spans="1:5">
      <c r="A563" s="133"/>
      <c r="B563" s="220"/>
      <c r="C563" s="220"/>
      <c r="D563" s="132"/>
      <c r="E563" s="220"/>
    </row>
    <row r="564" spans="1:5">
      <c r="A564" s="133"/>
      <c r="B564" s="220"/>
      <c r="C564" s="220"/>
      <c r="D564" s="132"/>
      <c r="E564" s="220"/>
    </row>
    <row r="565" spans="1:5">
      <c r="A565" s="133"/>
      <c r="B565" s="220"/>
      <c r="C565" s="220"/>
      <c r="D565" s="132"/>
      <c r="E565" s="220"/>
    </row>
    <row r="566" spans="1:5">
      <c r="A566" s="133"/>
      <c r="B566" s="220"/>
      <c r="C566" s="220"/>
      <c r="D566" s="132"/>
      <c r="E566" s="220"/>
    </row>
    <row r="567" spans="1:5">
      <c r="A567" s="133"/>
      <c r="B567" s="220"/>
      <c r="C567" s="220"/>
      <c r="D567" s="132"/>
      <c r="E567" s="220"/>
    </row>
    <row r="568" spans="1:5">
      <c r="A568" s="133"/>
      <c r="B568" s="220"/>
      <c r="C568" s="220"/>
      <c r="D568" s="132"/>
      <c r="E568" s="220"/>
    </row>
    <row r="569" spans="1:5">
      <c r="A569" s="133"/>
      <c r="B569" s="220"/>
      <c r="C569" s="220"/>
      <c r="D569" s="132"/>
      <c r="E569" s="220"/>
    </row>
    <row r="570" spans="1:5">
      <c r="A570" s="133"/>
      <c r="B570" s="220"/>
      <c r="C570" s="220"/>
      <c r="D570" s="132"/>
      <c r="E570" s="220"/>
    </row>
    <row r="571" spans="1:5">
      <c r="A571" s="133"/>
      <c r="B571" s="220"/>
      <c r="C571" s="220"/>
      <c r="D571" s="132"/>
      <c r="E571" s="220"/>
    </row>
    <row r="572" spans="1:5">
      <c r="A572" s="133"/>
      <c r="B572" s="220"/>
      <c r="C572" s="220"/>
      <c r="D572" s="132"/>
      <c r="E572" s="220"/>
    </row>
    <row r="573" spans="1:5">
      <c r="A573" s="133"/>
      <c r="B573" s="220"/>
      <c r="C573" s="220"/>
      <c r="D573" s="132"/>
      <c r="E573" s="220"/>
    </row>
    <row r="574" spans="1:5">
      <c r="A574" s="133"/>
      <c r="B574" s="220"/>
      <c r="C574" s="220"/>
      <c r="D574" s="132"/>
      <c r="E574" s="220"/>
    </row>
    <row r="575" spans="1:5">
      <c r="A575" s="133"/>
      <c r="B575" s="220"/>
      <c r="C575" s="220"/>
      <c r="D575" s="132"/>
      <c r="E575" s="220"/>
    </row>
    <row r="576" spans="1:5">
      <c r="A576" s="133"/>
      <c r="B576" s="220"/>
      <c r="C576" s="220"/>
      <c r="D576" s="132"/>
      <c r="E576" s="220"/>
    </row>
    <row r="577" spans="1:5">
      <c r="A577" s="133"/>
      <c r="B577" s="220"/>
      <c r="C577" s="220"/>
      <c r="D577" s="132"/>
      <c r="E577" s="220"/>
    </row>
    <row r="578" spans="1:5">
      <c r="A578" s="133"/>
      <c r="B578" s="220"/>
      <c r="C578" s="220"/>
      <c r="D578" s="132"/>
      <c r="E578" s="220"/>
    </row>
    <row r="579" spans="1:5">
      <c r="A579" s="133"/>
      <c r="B579" s="220"/>
      <c r="C579" s="220"/>
      <c r="D579" s="132"/>
      <c r="E579" s="220"/>
    </row>
    <row r="580" spans="1:5">
      <c r="A580" s="133"/>
      <c r="B580" s="220"/>
      <c r="C580" s="220"/>
      <c r="D580" s="132"/>
      <c r="E580" s="220"/>
    </row>
    <row r="581" spans="1:5">
      <c r="A581" s="133"/>
      <c r="B581" s="220"/>
      <c r="C581" s="220"/>
      <c r="D581" s="132"/>
      <c r="E581" s="220"/>
    </row>
    <row r="582" spans="1:5">
      <c r="A582" s="133"/>
      <c r="B582" s="220"/>
      <c r="C582" s="220"/>
      <c r="D582" s="132"/>
      <c r="E582" s="220"/>
    </row>
    <row r="583" spans="1:5">
      <c r="A583" s="133"/>
      <c r="B583" s="220"/>
      <c r="C583" s="220"/>
      <c r="D583" s="132"/>
      <c r="E583" s="220"/>
    </row>
    <row r="584" spans="1:5">
      <c r="A584" s="133"/>
      <c r="B584" s="220"/>
      <c r="C584" s="220"/>
      <c r="D584" s="132"/>
      <c r="E584" s="220"/>
    </row>
    <row r="585" spans="1:5">
      <c r="A585" s="133"/>
      <c r="B585" s="220"/>
      <c r="C585" s="220"/>
      <c r="D585" s="132"/>
      <c r="E585" s="220"/>
    </row>
    <row r="586" spans="1:5">
      <c r="A586" s="133"/>
      <c r="B586" s="220"/>
      <c r="C586" s="220"/>
      <c r="D586" s="132"/>
      <c r="E586" s="220"/>
    </row>
    <row r="587" spans="1:5">
      <c r="A587" s="133"/>
      <c r="B587" s="220"/>
      <c r="C587" s="220"/>
      <c r="D587" s="132"/>
      <c r="E587" s="220"/>
    </row>
    <row r="588" spans="1:5">
      <c r="A588" s="133"/>
      <c r="B588" s="220"/>
      <c r="C588" s="220"/>
      <c r="D588" s="132"/>
      <c r="E588" s="220"/>
    </row>
    <row r="589" spans="1:5">
      <c r="A589" s="133"/>
      <c r="B589" s="220"/>
      <c r="C589" s="220"/>
      <c r="D589" s="132"/>
      <c r="E589" s="220"/>
    </row>
    <row r="590" spans="1:5">
      <c r="A590" s="133"/>
      <c r="B590" s="220"/>
      <c r="C590" s="220"/>
      <c r="D590" s="132"/>
      <c r="E590" s="220"/>
    </row>
    <row r="591" spans="1:5">
      <c r="A591" s="133"/>
      <c r="B591" s="220"/>
      <c r="C591" s="220"/>
      <c r="D591" s="132"/>
      <c r="E591" s="220"/>
    </row>
    <row r="592" spans="1:5">
      <c r="A592" s="133"/>
      <c r="B592" s="220"/>
      <c r="C592" s="220"/>
      <c r="D592" s="132"/>
      <c r="E592" s="220"/>
    </row>
    <row r="593" spans="1:5">
      <c r="A593" s="133"/>
      <c r="B593" s="220"/>
      <c r="C593" s="220"/>
      <c r="D593" s="132"/>
      <c r="E593" s="220"/>
    </row>
    <row r="594" spans="1:5">
      <c r="A594" s="133"/>
      <c r="B594" s="220"/>
      <c r="C594" s="220"/>
      <c r="D594" s="132"/>
      <c r="E594" s="220"/>
    </row>
    <row r="595" spans="1:5">
      <c r="A595" s="133"/>
      <c r="B595" s="220"/>
      <c r="C595" s="220"/>
      <c r="D595" s="132"/>
      <c r="E595" s="220"/>
    </row>
    <row r="596" spans="1:5">
      <c r="A596" s="133"/>
      <c r="B596" s="220"/>
      <c r="C596" s="220"/>
      <c r="D596" s="132"/>
      <c r="E596" s="220"/>
    </row>
    <row r="597" spans="1:5">
      <c r="A597" s="133"/>
      <c r="B597" s="220"/>
      <c r="C597" s="220"/>
      <c r="D597" s="132"/>
      <c r="E597" s="220"/>
    </row>
    <row r="598" spans="1:5">
      <c r="A598" s="133"/>
      <c r="B598" s="220"/>
      <c r="C598" s="220"/>
      <c r="D598" s="132"/>
      <c r="E598" s="220"/>
    </row>
    <row r="599" spans="1:5">
      <c r="A599" s="133"/>
      <c r="B599" s="220"/>
      <c r="C599" s="220"/>
      <c r="D599" s="132"/>
      <c r="E599" s="220"/>
    </row>
    <row r="600" spans="1:5">
      <c r="A600" s="133"/>
      <c r="B600" s="220"/>
      <c r="C600" s="220"/>
      <c r="D600" s="132"/>
      <c r="E600" s="220"/>
    </row>
    <row r="601" spans="1:5">
      <c r="A601" s="133"/>
      <c r="B601" s="220"/>
      <c r="C601" s="220"/>
      <c r="D601" s="132"/>
      <c r="E601" s="220"/>
    </row>
    <row r="602" spans="1:5">
      <c r="A602" s="133"/>
      <c r="B602" s="220"/>
      <c r="C602" s="220"/>
      <c r="D602" s="132"/>
      <c r="E602" s="220"/>
    </row>
    <row r="603" spans="1:5">
      <c r="A603" s="133"/>
      <c r="B603" s="220"/>
      <c r="C603" s="220"/>
      <c r="D603" s="132"/>
      <c r="E603" s="220"/>
    </row>
    <row r="604" spans="1:5">
      <c r="A604" s="133"/>
      <c r="B604" s="220"/>
      <c r="C604" s="220"/>
      <c r="D604" s="132"/>
      <c r="E604" s="220"/>
    </row>
    <row r="605" spans="1:5">
      <c r="A605" s="133"/>
      <c r="B605" s="220"/>
      <c r="C605" s="220"/>
      <c r="D605" s="132"/>
      <c r="E605" s="220"/>
    </row>
    <row r="606" spans="1:5">
      <c r="A606" s="133"/>
      <c r="B606" s="220"/>
      <c r="C606" s="220"/>
      <c r="D606" s="132"/>
      <c r="E606" s="220"/>
    </row>
    <row r="607" spans="1:5">
      <c r="A607" s="133"/>
      <c r="B607" s="220"/>
      <c r="C607" s="220"/>
      <c r="D607" s="132"/>
      <c r="E607" s="220"/>
    </row>
    <row r="608" spans="1:5">
      <c r="A608" s="133"/>
      <c r="B608" s="220"/>
      <c r="C608" s="220"/>
      <c r="D608" s="132"/>
      <c r="E608" s="220"/>
    </row>
    <row r="609" spans="1:5">
      <c r="A609" s="133"/>
      <c r="B609" s="220"/>
      <c r="C609" s="220"/>
      <c r="D609" s="132"/>
      <c r="E609" s="220"/>
    </row>
    <row r="610" spans="1:5">
      <c r="A610" s="133"/>
      <c r="B610" s="220"/>
      <c r="C610" s="220"/>
      <c r="D610" s="132"/>
      <c r="E610" s="220"/>
    </row>
    <row r="611" spans="1:5">
      <c r="A611" s="133"/>
      <c r="B611" s="220"/>
      <c r="C611" s="220"/>
      <c r="D611" s="132"/>
      <c r="E611" s="220"/>
    </row>
    <row r="612" spans="1:5">
      <c r="A612" s="133"/>
      <c r="B612" s="220"/>
      <c r="C612" s="220"/>
      <c r="D612" s="132"/>
      <c r="E612" s="220"/>
    </row>
    <row r="613" spans="1:5">
      <c r="A613" s="133"/>
      <c r="B613" s="220"/>
      <c r="C613" s="220"/>
      <c r="D613" s="132"/>
      <c r="E613" s="220"/>
    </row>
    <row r="614" spans="1:5">
      <c r="A614" s="133"/>
      <c r="B614" s="220"/>
      <c r="C614" s="220"/>
      <c r="D614" s="132"/>
      <c r="E614" s="220"/>
    </row>
    <row r="615" spans="1:5">
      <c r="A615" s="133"/>
      <c r="B615" s="220"/>
      <c r="C615" s="220"/>
      <c r="D615" s="132"/>
      <c r="E615" s="220"/>
    </row>
    <row r="616" spans="1:5">
      <c r="A616" s="133"/>
      <c r="B616" s="220"/>
      <c r="C616" s="220"/>
      <c r="D616" s="132"/>
      <c r="E616" s="220"/>
    </row>
    <row r="617" spans="1:5">
      <c r="A617" s="133"/>
      <c r="B617" s="220"/>
      <c r="C617" s="220"/>
      <c r="D617" s="132"/>
      <c r="E617" s="220"/>
    </row>
    <row r="618" spans="1:5">
      <c r="A618" s="133"/>
      <c r="B618" s="220"/>
      <c r="C618" s="220"/>
      <c r="D618" s="132"/>
      <c r="E618" s="220"/>
    </row>
    <row r="619" spans="1:5">
      <c r="A619" s="133"/>
      <c r="B619" s="220"/>
      <c r="C619" s="220"/>
      <c r="D619" s="132"/>
      <c r="E619" s="220"/>
    </row>
    <row r="620" spans="1:5">
      <c r="A620" s="133"/>
      <c r="B620" s="220"/>
      <c r="C620" s="220"/>
      <c r="D620" s="132"/>
      <c r="E620" s="220"/>
    </row>
    <row r="621" spans="1:5">
      <c r="A621" s="133"/>
      <c r="B621" s="220"/>
      <c r="C621" s="220"/>
      <c r="D621" s="132"/>
      <c r="E621" s="220"/>
    </row>
    <row r="622" spans="1:5">
      <c r="A622" s="133"/>
      <c r="B622" s="220"/>
      <c r="C622" s="220"/>
      <c r="D622" s="132"/>
      <c r="E622" s="220"/>
    </row>
    <row r="623" spans="1:5">
      <c r="A623" s="133"/>
      <c r="B623" s="220"/>
      <c r="C623" s="220"/>
      <c r="D623" s="132"/>
      <c r="E623" s="220"/>
    </row>
    <row r="624" spans="1:5">
      <c r="A624" s="133"/>
      <c r="B624" s="220"/>
      <c r="C624" s="220"/>
      <c r="D624" s="132"/>
      <c r="E624" s="220"/>
    </row>
    <row r="625" spans="1:5">
      <c r="A625" s="133"/>
      <c r="B625" s="220"/>
      <c r="C625" s="220"/>
      <c r="D625" s="132"/>
      <c r="E625" s="220"/>
    </row>
    <row r="626" spans="1:5">
      <c r="A626" s="133"/>
      <c r="B626" s="220"/>
      <c r="C626" s="220"/>
      <c r="D626" s="132"/>
      <c r="E626" s="220"/>
    </row>
    <row r="627" spans="1:5">
      <c r="A627" s="133"/>
      <c r="B627" s="220"/>
      <c r="C627" s="220"/>
      <c r="D627" s="132"/>
      <c r="E627" s="220"/>
    </row>
    <row r="628" spans="1:5">
      <c r="A628" s="133"/>
      <c r="B628" s="220"/>
      <c r="C628" s="220"/>
      <c r="D628" s="132"/>
      <c r="E628" s="220"/>
    </row>
    <row r="629" spans="1:5">
      <c r="A629" s="133"/>
      <c r="B629" s="220"/>
      <c r="C629" s="220"/>
      <c r="D629" s="132"/>
      <c r="E629" s="220"/>
    </row>
    <row r="630" spans="1:5">
      <c r="A630" s="133"/>
      <c r="B630" s="220"/>
      <c r="C630" s="220"/>
      <c r="D630" s="132"/>
      <c r="E630" s="220"/>
    </row>
    <row r="631" spans="1:5">
      <c r="A631" s="133"/>
      <c r="B631" s="220"/>
      <c r="C631" s="220"/>
      <c r="D631" s="132"/>
      <c r="E631" s="220"/>
    </row>
    <row r="632" spans="1:5">
      <c r="A632" s="133"/>
      <c r="B632" s="220"/>
      <c r="C632" s="220"/>
      <c r="D632" s="132"/>
      <c r="E632" s="220"/>
    </row>
    <row r="633" spans="1:5">
      <c r="A633" s="133"/>
      <c r="B633" s="220"/>
      <c r="C633" s="220"/>
      <c r="D633" s="132"/>
      <c r="E633" s="220"/>
    </row>
    <row r="634" spans="1:5">
      <c r="A634" s="133"/>
      <c r="B634" s="220"/>
      <c r="C634" s="220"/>
      <c r="D634" s="132"/>
      <c r="E634" s="220"/>
    </row>
    <row r="635" spans="1:5">
      <c r="A635" s="133"/>
      <c r="B635" s="220"/>
      <c r="C635" s="220"/>
      <c r="D635" s="132"/>
      <c r="E635" s="220"/>
    </row>
    <row r="636" spans="1:5">
      <c r="A636" s="133"/>
      <c r="B636" s="220"/>
      <c r="C636" s="220"/>
      <c r="D636" s="132"/>
      <c r="E636" s="220"/>
    </row>
    <row r="637" spans="1:5">
      <c r="A637" s="133"/>
      <c r="B637" s="220"/>
      <c r="C637" s="220"/>
      <c r="D637" s="132"/>
      <c r="E637" s="220"/>
    </row>
    <row r="638" spans="1:5">
      <c r="A638" s="133"/>
      <c r="B638" s="220"/>
      <c r="C638" s="220"/>
      <c r="D638" s="132"/>
      <c r="E638" s="220"/>
    </row>
    <row r="639" spans="1:5">
      <c r="A639" s="133"/>
      <c r="B639" s="220"/>
      <c r="C639" s="220"/>
      <c r="D639" s="132"/>
      <c r="E639" s="220"/>
    </row>
    <row r="640" spans="1:5">
      <c r="A640" s="133"/>
      <c r="B640" s="220"/>
      <c r="C640" s="220"/>
      <c r="D640" s="132"/>
      <c r="E640" s="220"/>
    </row>
    <row r="641" spans="1:5">
      <c r="A641" s="133"/>
      <c r="B641" s="220"/>
      <c r="C641" s="220"/>
      <c r="D641" s="132"/>
      <c r="E641" s="220"/>
    </row>
    <row r="642" spans="1:5">
      <c r="A642" s="133"/>
      <c r="B642" s="220"/>
      <c r="C642" s="220"/>
      <c r="D642" s="132"/>
      <c r="E642" s="220"/>
    </row>
    <row r="643" spans="1:5">
      <c r="A643" s="133"/>
      <c r="B643" s="220"/>
      <c r="C643" s="220"/>
      <c r="D643" s="132"/>
      <c r="E643" s="220"/>
    </row>
    <row r="644" spans="1:5">
      <c r="A644" s="133"/>
      <c r="B644" s="220"/>
      <c r="C644" s="220"/>
      <c r="D644" s="132"/>
      <c r="E644" s="220"/>
    </row>
    <row r="645" spans="1:5">
      <c r="A645" s="133"/>
      <c r="B645" s="220"/>
      <c r="C645" s="220"/>
      <c r="D645" s="132"/>
      <c r="E645" s="220"/>
    </row>
    <row r="646" spans="1:5">
      <c r="A646" s="133"/>
      <c r="B646" s="220"/>
      <c r="C646" s="220"/>
      <c r="D646" s="132"/>
      <c r="E646" s="220"/>
    </row>
    <row r="647" spans="1:5">
      <c r="A647" s="133"/>
      <c r="B647" s="220"/>
      <c r="C647" s="220"/>
      <c r="D647" s="132"/>
      <c r="E647" s="220"/>
    </row>
    <row r="648" spans="1:5">
      <c r="A648" s="133"/>
      <c r="B648" s="220"/>
      <c r="C648" s="220"/>
      <c r="D648" s="132"/>
      <c r="E648" s="220"/>
    </row>
    <row r="649" spans="1:5">
      <c r="A649" s="133"/>
      <c r="B649" s="220"/>
      <c r="C649" s="220"/>
      <c r="D649" s="132"/>
      <c r="E649" s="220"/>
    </row>
    <row r="650" spans="1:5">
      <c r="A650" s="133"/>
      <c r="B650" s="220"/>
      <c r="C650" s="220"/>
      <c r="D650" s="132"/>
      <c r="E650" s="220"/>
    </row>
    <row r="651" spans="1:5">
      <c r="A651" s="133"/>
      <c r="B651" s="220"/>
      <c r="C651" s="220"/>
      <c r="D651" s="132"/>
      <c r="E651" s="220"/>
    </row>
    <row r="652" spans="1:5">
      <c r="A652" s="133"/>
      <c r="B652" s="220"/>
      <c r="C652" s="220"/>
      <c r="D652" s="132"/>
      <c r="E652" s="220"/>
    </row>
    <row r="653" spans="1:5">
      <c r="A653" s="133"/>
      <c r="B653" s="220"/>
      <c r="C653" s="220"/>
      <c r="D653" s="132"/>
      <c r="E653" s="220"/>
    </row>
    <row r="654" spans="1:5">
      <c r="A654" s="133"/>
      <c r="B654" s="220"/>
      <c r="C654" s="220"/>
      <c r="D654" s="132"/>
      <c r="E654" s="220"/>
    </row>
    <row r="655" spans="1:5">
      <c r="A655" s="133"/>
      <c r="B655" s="220"/>
      <c r="C655" s="220"/>
      <c r="D655" s="132"/>
      <c r="E655" s="220"/>
    </row>
    <row r="656" spans="1:5">
      <c r="A656" s="133"/>
      <c r="B656" s="220"/>
      <c r="C656" s="220"/>
      <c r="D656" s="132"/>
      <c r="E656" s="220"/>
    </row>
    <row r="657" spans="1:5">
      <c r="A657" s="133"/>
      <c r="B657" s="220"/>
      <c r="C657" s="220"/>
      <c r="D657" s="132"/>
      <c r="E657" s="220"/>
    </row>
    <row r="658" spans="1:5">
      <c r="A658" s="133"/>
      <c r="B658" s="220"/>
      <c r="C658" s="220"/>
      <c r="D658" s="132"/>
      <c r="E658" s="220"/>
    </row>
    <row r="659" spans="1:5">
      <c r="A659" s="133"/>
      <c r="B659" s="220"/>
      <c r="C659" s="220"/>
      <c r="D659" s="132"/>
      <c r="E659" s="220"/>
    </row>
    <row r="660" spans="1:5">
      <c r="A660" s="133"/>
      <c r="B660" s="220"/>
      <c r="C660" s="220"/>
      <c r="D660" s="132"/>
      <c r="E660" s="220"/>
    </row>
    <row r="661" spans="1:5">
      <c r="A661" s="133"/>
      <c r="B661" s="220"/>
      <c r="C661" s="220"/>
      <c r="D661" s="132"/>
      <c r="E661" s="220"/>
    </row>
    <row r="662" spans="1:5">
      <c r="A662" s="133"/>
      <c r="B662" s="220"/>
      <c r="C662" s="220"/>
      <c r="D662" s="132"/>
      <c r="E662" s="220"/>
    </row>
    <row r="663" spans="1:5">
      <c r="A663" s="133"/>
      <c r="B663" s="220"/>
      <c r="C663" s="220"/>
      <c r="D663" s="132"/>
      <c r="E663" s="220"/>
    </row>
    <row r="664" spans="1:5">
      <c r="A664" s="133"/>
      <c r="B664" s="220"/>
      <c r="C664" s="220"/>
      <c r="D664" s="132"/>
      <c r="E664" s="220"/>
    </row>
    <row r="665" spans="1:5">
      <c r="A665" s="133"/>
      <c r="B665" s="220"/>
      <c r="C665" s="220"/>
      <c r="D665" s="132"/>
      <c r="E665" s="220"/>
    </row>
    <row r="666" spans="1:5">
      <c r="A666" s="133"/>
      <c r="B666" s="220"/>
      <c r="C666" s="220"/>
      <c r="D666" s="132"/>
      <c r="E666" s="220"/>
    </row>
    <row r="667" spans="1:5">
      <c r="A667" s="133"/>
      <c r="B667" s="220"/>
      <c r="C667" s="220"/>
      <c r="D667" s="132"/>
      <c r="E667" s="220"/>
    </row>
    <row r="668" spans="1:5">
      <c r="A668" s="133"/>
      <c r="B668" s="220"/>
      <c r="C668" s="220"/>
      <c r="D668" s="132"/>
      <c r="E668" s="220"/>
    </row>
    <row r="669" spans="1:5">
      <c r="A669" s="133"/>
      <c r="B669" s="220"/>
      <c r="C669" s="220"/>
      <c r="D669" s="132"/>
      <c r="E669" s="220"/>
    </row>
    <row r="670" spans="1:5">
      <c r="A670" s="133"/>
      <c r="B670" s="220"/>
      <c r="C670" s="220"/>
      <c r="D670" s="132"/>
      <c r="E670" s="220"/>
    </row>
    <row r="671" spans="1:5">
      <c r="A671" s="133"/>
      <c r="B671" s="220"/>
      <c r="C671" s="220"/>
      <c r="D671" s="132"/>
      <c r="E671" s="220"/>
    </row>
    <row r="672" spans="1:5">
      <c r="A672" s="133"/>
      <c r="B672" s="220"/>
      <c r="C672" s="220"/>
      <c r="D672" s="132"/>
      <c r="E672" s="220"/>
    </row>
    <row r="673" spans="1:5">
      <c r="A673" s="133"/>
      <c r="B673" s="220"/>
      <c r="C673" s="220"/>
      <c r="D673" s="132"/>
      <c r="E673" s="220"/>
    </row>
    <row r="674" spans="1:5">
      <c r="A674" s="133"/>
      <c r="B674" s="220"/>
      <c r="C674" s="220"/>
      <c r="D674" s="132"/>
      <c r="E674" s="220"/>
    </row>
    <row r="675" spans="1:5">
      <c r="A675" s="133"/>
      <c r="B675" s="220"/>
      <c r="C675" s="220"/>
      <c r="D675" s="132"/>
      <c r="E675" s="220"/>
    </row>
    <row r="676" spans="1:5">
      <c r="A676" s="133"/>
      <c r="B676" s="220"/>
      <c r="C676" s="220"/>
      <c r="D676" s="132"/>
      <c r="E676" s="220"/>
    </row>
    <row r="677" spans="1:5">
      <c r="A677" s="133"/>
      <c r="B677" s="220"/>
      <c r="C677" s="220"/>
      <c r="D677" s="132"/>
      <c r="E677" s="220"/>
    </row>
    <row r="678" spans="1:5">
      <c r="A678" s="133"/>
      <c r="B678" s="220"/>
      <c r="C678" s="220"/>
      <c r="D678" s="132"/>
      <c r="E678" s="220"/>
    </row>
    <row r="679" spans="1:5">
      <c r="A679" s="133"/>
      <c r="B679" s="220"/>
      <c r="C679" s="220"/>
      <c r="D679" s="132"/>
      <c r="E679" s="220"/>
    </row>
    <row r="680" spans="1:5">
      <c r="A680" s="133"/>
      <c r="B680" s="220"/>
      <c r="C680" s="220"/>
      <c r="D680" s="132"/>
      <c r="E680" s="220"/>
    </row>
    <row r="681" spans="1:5">
      <c r="A681" s="133"/>
      <c r="B681" s="220"/>
      <c r="C681" s="220"/>
      <c r="D681" s="132"/>
      <c r="E681" s="220"/>
    </row>
    <row r="682" spans="1:5">
      <c r="A682" s="133"/>
      <c r="B682" s="220"/>
      <c r="C682" s="220"/>
      <c r="D682" s="132"/>
      <c r="E682" s="220"/>
    </row>
    <row r="683" spans="1:5">
      <c r="A683" s="133"/>
      <c r="B683" s="220"/>
      <c r="C683" s="220"/>
      <c r="D683" s="132"/>
      <c r="E683" s="220"/>
    </row>
    <row r="684" spans="1:5">
      <c r="A684" s="133"/>
      <c r="B684" s="220"/>
      <c r="C684" s="220"/>
      <c r="D684" s="132"/>
      <c r="E684" s="220"/>
    </row>
    <row r="685" spans="1:5">
      <c r="A685" s="133"/>
      <c r="B685" s="220"/>
      <c r="C685" s="220"/>
      <c r="D685" s="132"/>
      <c r="E685" s="220"/>
    </row>
    <row r="686" spans="1:5">
      <c r="A686" s="133"/>
      <c r="B686" s="220"/>
      <c r="C686" s="220"/>
      <c r="D686" s="132"/>
      <c r="E686" s="220"/>
    </row>
    <row r="687" spans="1:5">
      <c r="A687" s="133"/>
      <c r="B687" s="220"/>
      <c r="C687" s="220"/>
      <c r="D687" s="132"/>
      <c r="E687" s="220"/>
    </row>
    <row r="688" spans="1:5">
      <c r="A688" s="133"/>
      <c r="B688" s="220"/>
      <c r="C688" s="220"/>
      <c r="D688" s="132"/>
      <c r="E688" s="220"/>
    </row>
    <row r="689" spans="1:5">
      <c r="A689" s="133"/>
      <c r="B689" s="220"/>
      <c r="C689" s="220"/>
      <c r="D689" s="132"/>
      <c r="E689" s="220"/>
    </row>
    <row r="690" spans="1:5">
      <c r="A690" s="133"/>
      <c r="B690" s="220"/>
      <c r="C690" s="220"/>
      <c r="D690" s="132"/>
      <c r="E690" s="220"/>
    </row>
    <row r="691" spans="1:5">
      <c r="A691" s="133"/>
      <c r="B691" s="220"/>
      <c r="C691" s="220"/>
      <c r="D691" s="132"/>
      <c r="E691" s="220"/>
    </row>
    <row r="692" spans="1:5">
      <c r="A692" s="133"/>
      <c r="B692" s="220"/>
      <c r="C692" s="220"/>
      <c r="D692" s="132"/>
      <c r="E692" s="220"/>
    </row>
    <row r="693" spans="1:5">
      <c r="A693" s="133"/>
      <c r="B693" s="220"/>
      <c r="C693" s="220"/>
      <c r="D693" s="132"/>
      <c r="E693" s="220"/>
    </row>
    <row r="694" spans="1:5">
      <c r="A694" s="133"/>
      <c r="B694" s="220"/>
      <c r="C694" s="220"/>
      <c r="D694" s="132"/>
      <c r="E694" s="220"/>
    </row>
    <row r="695" spans="1:5">
      <c r="A695" s="133"/>
      <c r="B695" s="220"/>
      <c r="C695" s="220"/>
      <c r="D695" s="132"/>
      <c r="E695" s="220"/>
    </row>
    <row r="696" spans="1:5">
      <c r="A696" s="133"/>
      <c r="B696" s="220"/>
      <c r="C696" s="220"/>
      <c r="D696" s="132"/>
      <c r="E696" s="220"/>
    </row>
    <row r="697" spans="1:5">
      <c r="A697" s="133"/>
      <c r="B697" s="220"/>
      <c r="C697" s="220"/>
      <c r="D697" s="132"/>
      <c r="E697" s="220"/>
    </row>
    <row r="698" spans="1:5">
      <c r="A698" s="133"/>
      <c r="B698" s="220"/>
      <c r="C698" s="220"/>
      <c r="D698" s="132"/>
      <c r="E698" s="220"/>
    </row>
    <row r="699" spans="1:5">
      <c r="A699" s="133"/>
      <c r="B699" s="220"/>
      <c r="C699" s="220"/>
      <c r="D699" s="132"/>
      <c r="E699" s="220"/>
    </row>
    <row r="700" spans="1:5">
      <c r="A700" s="133"/>
      <c r="B700" s="220"/>
      <c r="C700" s="220"/>
      <c r="D700" s="132"/>
      <c r="E700" s="220"/>
    </row>
    <row r="701" spans="1:5">
      <c r="A701" s="133"/>
      <c r="B701" s="220"/>
      <c r="C701" s="220"/>
      <c r="D701" s="132"/>
      <c r="E701" s="220"/>
    </row>
    <row r="702" spans="1:5">
      <c r="A702" s="133"/>
      <c r="B702" s="220"/>
      <c r="C702" s="220"/>
      <c r="D702" s="132"/>
      <c r="E702" s="220"/>
    </row>
    <row r="703" spans="1:5">
      <c r="A703" s="133"/>
      <c r="B703" s="220"/>
      <c r="C703" s="220"/>
      <c r="D703" s="132"/>
      <c r="E703" s="220"/>
    </row>
    <row r="704" spans="1:5">
      <c r="A704" s="133"/>
      <c r="B704" s="220"/>
      <c r="C704" s="220"/>
      <c r="D704" s="132"/>
      <c r="E704" s="220"/>
    </row>
    <row r="705" spans="1:5">
      <c r="A705" s="133"/>
      <c r="B705" s="220"/>
      <c r="C705" s="220"/>
      <c r="D705" s="132"/>
      <c r="E705" s="220"/>
    </row>
    <row r="706" spans="1:5">
      <c r="A706" s="133"/>
      <c r="B706" s="220"/>
      <c r="C706" s="220"/>
      <c r="D706" s="132"/>
      <c r="E706" s="220"/>
    </row>
    <row r="707" spans="1:5">
      <c r="A707" s="133"/>
      <c r="B707" s="220"/>
      <c r="C707" s="220"/>
      <c r="D707" s="132"/>
      <c r="E707" s="220"/>
    </row>
    <row r="708" spans="1:5">
      <c r="A708" s="133"/>
      <c r="B708" s="220"/>
      <c r="C708" s="220"/>
      <c r="D708" s="132"/>
      <c r="E708" s="220"/>
    </row>
    <row r="709" spans="1:5">
      <c r="A709" s="133"/>
      <c r="B709" s="220"/>
      <c r="C709" s="220"/>
      <c r="D709" s="132"/>
      <c r="E709" s="220"/>
    </row>
    <row r="710" spans="1:5">
      <c r="A710" s="133"/>
      <c r="B710" s="220"/>
      <c r="C710" s="220"/>
      <c r="D710" s="132"/>
      <c r="E710" s="220"/>
    </row>
    <row r="711" spans="1:5">
      <c r="A711" s="133"/>
      <c r="B711" s="220"/>
      <c r="C711" s="220"/>
      <c r="D711" s="132"/>
      <c r="E711" s="220"/>
    </row>
    <row r="712" spans="1:5">
      <c r="A712" s="133"/>
      <c r="B712" s="220"/>
      <c r="C712" s="220"/>
      <c r="D712" s="132"/>
      <c r="E712" s="220"/>
    </row>
    <row r="713" spans="1:5">
      <c r="A713" s="133"/>
      <c r="B713" s="220"/>
      <c r="C713" s="220"/>
      <c r="D713" s="132"/>
      <c r="E713" s="220"/>
    </row>
    <row r="714" spans="1:5">
      <c r="A714" s="133"/>
      <c r="B714" s="220"/>
      <c r="C714" s="220"/>
      <c r="D714" s="132"/>
      <c r="E714" s="220"/>
    </row>
    <row r="715" spans="1:5">
      <c r="A715" s="133"/>
      <c r="B715" s="220"/>
      <c r="C715" s="220"/>
      <c r="D715" s="132"/>
      <c r="E715" s="220"/>
    </row>
    <row r="716" spans="1:5">
      <c r="A716" s="133"/>
      <c r="B716" s="220"/>
      <c r="C716" s="220"/>
      <c r="D716" s="132"/>
      <c r="E716" s="220"/>
    </row>
    <row r="717" spans="1:5">
      <c r="A717" s="133"/>
      <c r="B717" s="220"/>
      <c r="C717" s="220"/>
      <c r="D717" s="132"/>
      <c r="E717" s="220"/>
    </row>
    <row r="718" spans="1:5">
      <c r="A718" s="133"/>
      <c r="B718" s="220"/>
      <c r="C718" s="220"/>
      <c r="D718" s="132"/>
      <c r="E718" s="220"/>
    </row>
    <row r="719" spans="1:5">
      <c r="A719" s="133"/>
      <c r="B719" s="220"/>
      <c r="C719" s="220"/>
      <c r="D719" s="132"/>
      <c r="E719" s="220"/>
    </row>
    <row r="720" spans="1:5">
      <c r="A720" s="133"/>
      <c r="B720" s="220"/>
      <c r="C720" s="220"/>
      <c r="D720" s="132"/>
      <c r="E720" s="220"/>
    </row>
    <row r="721" spans="1:5">
      <c r="A721" s="133"/>
      <c r="B721" s="220"/>
      <c r="C721" s="220"/>
      <c r="D721" s="132"/>
      <c r="E721" s="220"/>
    </row>
    <row r="722" spans="1:5">
      <c r="A722" s="133"/>
      <c r="B722" s="220"/>
      <c r="C722" s="220"/>
      <c r="D722" s="132"/>
      <c r="E722" s="220"/>
    </row>
    <row r="723" spans="1:5">
      <c r="A723" s="133"/>
      <c r="B723" s="220"/>
      <c r="C723" s="220"/>
      <c r="D723" s="132"/>
      <c r="E723" s="220"/>
    </row>
    <row r="724" spans="1:5">
      <c r="A724" s="133"/>
      <c r="B724" s="220"/>
      <c r="C724" s="220"/>
      <c r="D724" s="132"/>
      <c r="E724" s="220"/>
    </row>
    <row r="725" spans="1:5">
      <c r="A725" s="133"/>
      <c r="B725" s="220"/>
      <c r="C725" s="220"/>
      <c r="D725" s="132"/>
      <c r="E725" s="220"/>
    </row>
    <row r="726" spans="1:5">
      <c r="A726" s="133"/>
      <c r="B726" s="220"/>
      <c r="C726" s="220"/>
      <c r="D726" s="132"/>
      <c r="E726" s="220"/>
    </row>
    <row r="727" spans="1:5">
      <c r="A727" s="133"/>
      <c r="B727" s="220"/>
      <c r="C727" s="220"/>
      <c r="D727" s="132"/>
      <c r="E727" s="220"/>
    </row>
    <row r="728" spans="1:5">
      <c r="A728" s="133"/>
      <c r="B728" s="220"/>
      <c r="C728" s="220"/>
      <c r="D728" s="132"/>
      <c r="E728" s="220"/>
    </row>
    <row r="729" spans="1:5">
      <c r="A729" s="133"/>
      <c r="B729" s="220"/>
      <c r="C729" s="220"/>
      <c r="D729" s="132"/>
      <c r="E729" s="220"/>
    </row>
    <row r="730" spans="1:5">
      <c r="A730" s="133"/>
      <c r="B730" s="220"/>
      <c r="C730" s="220"/>
      <c r="D730" s="132"/>
      <c r="E730" s="220"/>
    </row>
    <row r="731" spans="1:5">
      <c r="A731" s="133"/>
      <c r="B731" s="220"/>
      <c r="C731" s="220"/>
      <c r="D731" s="132"/>
      <c r="E731" s="220"/>
    </row>
    <row r="732" spans="1:5">
      <c r="A732" s="133"/>
      <c r="B732" s="220"/>
      <c r="C732" s="220"/>
      <c r="D732" s="132"/>
      <c r="E732" s="220"/>
    </row>
    <row r="733" spans="1:5">
      <c r="A733" s="133"/>
      <c r="B733" s="220"/>
      <c r="C733" s="220"/>
      <c r="D733" s="132"/>
      <c r="E733" s="220"/>
    </row>
    <row r="734" spans="1:5">
      <c r="A734" s="133"/>
      <c r="B734" s="220"/>
      <c r="C734" s="220"/>
      <c r="D734" s="132"/>
      <c r="E734" s="220"/>
    </row>
    <row r="735" spans="1:5">
      <c r="A735" s="133"/>
      <c r="B735" s="220"/>
      <c r="C735" s="220"/>
      <c r="D735" s="132"/>
      <c r="E735" s="220"/>
    </row>
    <row r="736" spans="1:5">
      <c r="A736" s="133"/>
      <c r="B736" s="220"/>
      <c r="C736" s="220"/>
      <c r="D736" s="132"/>
      <c r="E736" s="220"/>
    </row>
    <row r="737" spans="1:5">
      <c r="A737" s="133"/>
      <c r="B737" s="220"/>
      <c r="C737" s="220"/>
      <c r="D737" s="132"/>
      <c r="E737" s="220"/>
    </row>
    <row r="738" spans="1:5">
      <c r="A738" s="133"/>
      <c r="B738" s="220"/>
      <c r="C738" s="220"/>
      <c r="D738" s="132"/>
      <c r="E738" s="220"/>
    </row>
    <row r="739" spans="1:5">
      <c r="A739" s="133"/>
      <c r="B739" s="220"/>
      <c r="C739" s="220"/>
      <c r="D739" s="132"/>
      <c r="E739" s="220"/>
    </row>
    <row r="740" spans="1:5">
      <c r="A740" s="133"/>
      <c r="B740" s="220"/>
      <c r="C740" s="220"/>
      <c r="D740" s="132"/>
      <c r="E740" s="220"/>
    </row>
    <row r="741" spans="1:5">
      <c r="A741" s="133"/>
      <c r="B741" s="220"/>
      <c r="C741" s="220"/>
      <c r="D741" s="132"/>
      <c r="E741" s="220"/>
    </row>
    <row r="742" spans="1:5">
      <c r="A742" s="133"/>
      <c r="B742" s="220"/>
      <c r="C742" s="220"/>
      <c r="D742" s="132"/>
      <c r="E742" s="220"/>
    </row>
    <row r="743" spans="1:5">
      <c r="A743" s="133"/>
      <c r="B743" s="220"/>
      <c r="C743" s="220"/>
      <c r="D743" s="132"/>
      <c r="E743" s="220"/>
    </row>
    <row r="744" spans="1:5">
      <c r="A744" s="133"/>
      <c r="B744" s="220"/>
      <c r="C744" s="220"/>
      <c r="D744" s="132"/>
      <c r="E744" s="220"/>
    </row>
    <row r="745" spans="1:5">
      <c r="A745" s="133"/>
      <c r="B745" s="220"/>
      <c r="C745" s="220"/>
      <c r="D745" s="132"/>
      <c r="E745" s="220"/>
    </row>
    <row r="746" spans="1:5">
      <c r="A746" s="133"/>
      <c r="B746" s="220"/>
      <c r="C746" s="220"/>
      <c r="D746" s="132"/>
      <c r="E746" s="220"/>
    </row>
    <row r="747" spans="1:5">
      <c r="A747" s="133"/>
      <c r="B747" s="220"/>
      <c r="C747" s="220"/>
      <c r="D747" s="132"/>
      <c r="E747" s="220"/>
    </row>
    <row r="748" spans="1:5">
      <c r="A748" s="133"/>
      <c r="B748" s="220"/>
      <c r="C748" s="220"/>
      <c r="D748" s="132"/>
      <c r="E748" s="220"/>
    </row>
    <row r="749" spans="1:5">
      <c r="A749" s="133"/>
      <c r="B749" s="220"/>
      <c r="C749" s="220"/>
      <c r="D749" s="132"/>
      <c r="E749" s="220"/>
    </row>
    <row r="750" spans="1:5">
      <c r="A750" s="133"/>
      <c r="B750" s="220"/>
      <c r="C750" s="220"/>
      <c r="D750" s="132"/>
      <c r="E750" s="220"/>
    </row>
    <row r="751" spans="1:5">
      <c r="A751" s="133"/>
      <c r="B751" s="220"/>
      <c r="C751" s="220"/>
      <c r="D751" s="132"/>
      <c r="E751" s="220"/>
    </row>
    <row r="752" spans="1:5">
      <c r="A752" s="133"/>
      <c r="B752" s="220"/>
      <c r="C752" s="220"/>
      <c r="D752" s="132"/>
      <c r="E752" s="220"/>
    </row>
    <row r="753" spans="1:5">
      <c r="A753" s="133"/>
      <c r="B753" s="220"/>
      <c r="C753" s="220"/>
      <c r="D753" s="132"/>
      <c r="E753" s="220"/>
    </row>
    <row r="754" spans="1:5">
      <c r="A754" s="133"/>
      <c r="B754" s="220"/>
      <c r="C754" s="220"/>
      <c r="D754" s="132"/>
      <c r="E754" s="220"/>
    </row>
    <row r="755" spans="1:5">
      <c r="A755" s="133"/>
      <c r="B755" s="220"/>
      <c r="C755" s="220"/>
      <c r="D755" s="132"/>
      <c r="E755" s="220"/>
    </row>
    <row r="756" spans="1:5">
      <c r="A756" s="133"/>
      <c r="B756" s="220"/>
      <c r="C756" s="220"/>
      <c r="D756" s="132"/>
      <c r="E756" s="220"/>
    </row>
    <row r="757" spans="1:5">
      <c r="A757" s="133"/>
      <c r="B757" s="220"/>
      <c r="C757" s="220"/>
      <c r="D757" s="132"/>
      <c r="E757" s="220"/>
    </row>
    <row r="758" spans="1:5">
      <c r="A758" s="133"/>
      <c r="B758" s="220"/>
      <c r="C758" s="220"/>
      <c r="D758" s="132"/>
      <c r="E758" s="220"/>
    </row>
    <row r="759" spans="1:5">
      <c r="A759" s="133"/>
      <c r="B759" s="220"/>
      <c r="C759" s="220"/>
      <c r="D759" s="132"/>
      <c r="E759" s="220"/>
    </row>
    <row r="760" spans="1:5">
      <c r="A760" s="133"/>
      <c r="B760" s="220"/>
      <c r="C760" s="220"/>
      <c r="D760" s="132"/>
      <c r="E760" s="220"/>
    </row>
    <row r="761" spans="1:5">
      <c r="A761" s="133"/>
      <c r="B761" s="220"/>
      <c r="C761" s="220"/>
      <c r="D761" s="132"/>
      <c r="E761" s="220"/>
    </row>
    <row r="762" spans="1:5">
      <c r="A762" s="133"/>
      <c r="B762" s="220"/>
      <c r="C762" s="220"/>
      <c r="D762" s="132"/>
      <c r="E762" s="220"/>
    </row>
    <row r="763" spans="1:5">
      <c r="A763" s="133"/>
      <c r="B763" s="220"/>
      <c r="C763" s="220"/>
      <c r="D763" s="132"/>
      <c r="E763" s="220"/>
    </row>
    <row r="764" spans="1:5">
      <c r="A764" s="133"/>
      <c r="B764" s="220"/>
      <c r="C764" s="220"/>
      <c r="D764" s="132"/>
      <c r="E764" s="220"/>
    </row>
    <row r="765" spans="1:5">
      <c r="A765" s="133"/>
      <c r="B765" s="220"/>
      <c r="C765" s="220"/>
      <c r="D765" s="132"/>
      <c r="E765" s="220"/>
    </row>
    <row r="766" spans="1:5">
      <c r="A766" s="133"/>
      <c r="B766" s="220"/>
      <c r="C766" s="220"/>
      <c r="D766" s="132"/>
      <c r="E766" s="220"/>
    </row>
    <row r="767" spans="1:5">
      <c r="A767" s="133"/>
      <c r="B767" s="220"/>
      <c r="C767" s="220"/>
      <c r="D767" s="132"/>
      <c r="E767" s="220"/>
    </row>
    <row r="768" spans="1:5">
      <c r="A768" s="133"/>
      <c r="B768" s="220"/>
      <c r="C768" s="220"/>
      <c r="D768" s="132"/>
      <c r="E768" s="220"/>
    </row>
    <row r="769" spans="1:5">
      <c r="A769" s="133"/>
      <c r="B769" s="220"/>
      <c r="C769" s="220"/>
      <c r="D769" s="132"/>
      <c r="E769" s="220"/>
    </row>
    <row r="770" spans="1:5">
      <c r="A770" s="133"/>
      <c r="B770" s="220"/>
      <c r="C770" s="220"/>
      <c r="D770" s="132"/>
      <c r="E770" s="220"/>
    </row>
    <row r="771" spans="1:5">
      <c r="A771" s="133"/>
      <c r="B771" s="220"/>
      <c r="C771" s="220"/>
      <c r="D771" s="132"/>
      <c r="E771" s="220"/>
    </row>
    <row r="772" spans="1:5">
      <c r="A772" s="133"/>
      <c r="B772" s="220"/>
      <c r="C772" s="220"/>
      <c r="D772" s="132"/>
      <c r="E772" s="220"/>
    </row>
    <row r="773" spans="1:5">
      <c r="A773" s="133"/>
      <c r="B773" s="220"/>
      <c r="C773" s="220"/>
      <c r="D773" s="132"/>
      <c r="E773" s="220"/>
    </row>
    <row r="774" spans="1:5">
      <c r="A774" s="133"/>
      <c r="B774" s="220"/>
      <c r="C774" s="220"/>
      <c r="D774" s="132"/>
      <c r="E774" s="220"/>
    </row>
    <row r="775" spans="1:5">
      <c r="A775" s="133"/>
      <c r="B775" s="220"/>
      <c r="C775" s="220"/>
      <c r="D775" s="132"/>
      <c r="E775" s="220"/>
    </row>
    <row r="776" spans="1:5">
      <c r="A776" s="133"/>
      <c r="B776" s="220"/>
      <c r="C776" s="220"/>
      <c r="D776" s="132"/>
      <c r="E776" s="220"/>
    </row>
    <row r="777" spans="1:5">
      <c r="A777" s="133"/>
      <c r="B777" s="220"/>
      <c r="C777" s="220"/>
      <c r="D777" s="132"/>
      <c r="E777" s="220"/>
    </row>
    <row r="778" spans="1:5">
      <c r="A778" s="133"/>
      <c r="B778" s="220"/>
      <c r="C778" s="220"/>
      <c r="D778" s="132"/>
      <c r="E778" s="220"/>
    </row>
    <row r="779" spans="1:5">
      <c r="A779" s="133"/>
      <c r="B779" s="220"/>
      <c r="C779" s="220"/>
      <c r="D779" s="132"/>
      <c r="E779" s="220"/>
    </row>
    <row r="780" spans="1:5">
      <c r="A780" s="133"/>
      <c r="B780" s="220"/>
      <c r="C780" s="220"/>
      <c r="D780" s="132"/>
      <c r="E780" s="220"/>
    </row>
    <row r="781" spans="1:5">
      <c r="A781" s="133"/>
      <c r="B781" s="220"/>
      <c r="C781" s="220"/>
      <c r="D781" s="132"/>
      <c r="E781" s="220"/>
    </row>
    <row r="782" spans="1:5">
      <c r="A782" s="133"/>
      <c r="B782" s="220"/>
      <c r="C782" s="220"/>
      <c r="D782" s="132"/>
      <c r="E782" s="220"/>
    </row>
    <row r="783" spans="1:5">
      <c r="A783" s="133"/>
      <c r="B783" s="220"/>
      <c r="C783" s="220"/>
      <c r="D783" s="132"/>
      <c r="E783" s="220"/>
    </row>
    <row r="784" spans="1:5">
      <c r="A784" s="133"/>
      <c r="B784" s="220"/>
      <c r="C784" s="220"/>
      <c r="D784" s="132"/>
      <c r="E784" s="220"/>
    </row>
    <row r="785" spans="1:5">
      <c r="A785" s="133"/>
      <c r="B785" s="220"/>
      <c r="C785" s="220"/>
      <c r="D785" s="132"/>
      <c r="E785" s="220"/>
    </row>
    <row r="786" spans="1:5">
      <c r="A786" s="133"/>
      <c r="B786" s="220"/>
      <c r="C786" s="220"/>
      <c r="D786" s="132"/>
      <c r="E786" s="220"/>
    </row>
    <row r="787" spans="1:5">
      <c r="A787" s="133"/>
      <c r="B787" s="220"/>
      <c r="C787" s="220"/>
      <c r="D787" s="132"/>
      <c r="E787" s="220"/>
    </row>
    <row r="788" spans="1:5">
      <c r="A788" s="133"/>
      <c r="B788" s="220"/>
      <c r="C788" s="220"/>
      <c r="D788" s="132"/>
      <c r="E788" s="220"/>
    </row>
    <row r="789" spans="1:5">
      <c r="A789" s="133"/>
      <c r="B789" s="220"/>
      <c r="C789" s="220"/>
      <c r="D789" s="132"/>
      <c r="E789" s="220"/>
    </row>
    <row r="790" spans="1:5">
      <c r="A790" s="133"/>
      <c r="B790" s="220"/>
      <c r="C790" s="220"/>
      <c r="D790" s="132"/>
      <c r="E790" s="220"/>
    </row>
    <row r="791" spans="1:5">
      <c r="A791" s="133"/>
      <c r="B791" s="220"/>
      <c r="C791" s="220"/>
      <c r="D791" s="132"/>
      <c r="E791" s="220"/>
    </row>
    <row r="792" spans="1:5">
      <c r="A792" s="133"/>
      <c r="B792" s="220"/>
      <c r="C792" s="220"/>
      <c r="D792" s="132"/>
      <c r="E792" s="220"/>
    </row>
    <row r="793" spans="1:5">
      <c r="A793" s="133"/>
      <c r="B793" s="220"/>
      <c r="C793" s="220"/>
      <c r="D793" s="132"/>
      <c r="E793" s="220"/>
    </row>
    <row r="794" spans="1:5">
      <c r="A794" s="133"/>
      <c r="B794" s="220"/>
      <c r="C794" s="220"/>
      <c r="D794" s="132"/>
      <c r="E794" s="220"/>
    </row>
    <row r="795" spans="1:5">
      <c r="A795" s="133"/>
      <c r="B795" s="220"/>
      <c r="C795" s="220"/>
      <c r="D795" s="132"/>
      <c r="E795" s="220"/>
    </row>
    <row r="796" spans="1:5">
      <c r="A796" s="133"/>
      <c r="B796" s="220"/>
      <c r="C796" s="220"/>
      <c r="D796" s="132"/>
      <c r="E796" s="220"/>
    </row>
    <row r="797" spans="1:5">
      <c r="A797" s="133"/>
      <c r="B797" s="220"/>
      <c r="C797" s="220"/>
      <c r="D797" s="132"/>
      <c r="E797" s="220"/>
    </row>
    <row r="798" spans="1:5">
      <c r="A798" s="133"/>
      <c r="B798" s="220"/>
      <c r="C798" s="220"/>
      <c r="D798" s="132"/>
      <c r="E798" s="220"/>
    </row>
    <row r="799" spans="1:5">
      <c r="A799" s="133"/>
      <c r="B799" s="220"/>
      <c r="C799" s="220"/>
      <c r="D799" s="132"/>
      <c r="E799" s="220"/>
    </row>
    <row r="800" spans="1:5">
      <c r="A800" s="133"/>
      <c r="B800" s="220"/>
      <c r="C800" s="220"/>
      <c r="D800" s="132"/>
      <c r="E800" s="220"/>
    </row>
    <row r="801" spans="1:5">
      <c r="A801" s="133"/>
      <c r="B801" s="220"/>
      <c r="C801" s="220"/>
      <c r="D801" s="132"/>
      <c r="E801" s="220"/>
    </row>
    <row r="802" spans="1:5">
      <c r="A802" s="133"/>
      <c r="B802" s="220"/>
      <c r="C802" s="220"/>
      <c r="D802" s="132"/>
      <c r="E802" s="220"/>
    </row>
    <row r="803" spans="1:5">
      <c r="A803" s="133"/>
      <c r="B803" s="220"/>
      <c r="C803" s="220"/>
      <c r="D803" s="132"/>
      <c r="E803" s="220"/>
    </row>
    <row r="804" spans="1:5">
      <c r="A804" s="133"/>
      <c r="B804" s="220"/>
      <c r="C804" s="220"/>
      <c r="D804" s="132"/>
      <c r="E804" s="220"/>
    </row>
    <row r="805" spans="1:5">
      <c r="A805" s="133"/>
      <c r="B805" s="220"/>
      <c r="C805" s="220"/>
      <c r="D805" s="132"/>
      <c r="E805" s="220"/>
    </row>
    <row r="806" spans="1:5">
      <c r="A806" s="133"/>
      <c r="B806" s="220"/>
      <c r="C806" s="220"/>
      <c r="D806" s="132"/>
      <c r="E806" s="220"/>
    </row>
    <row r="807" spans="1:5">
      <c r="A807" s="133"/>
      <c r="B807" s="220"/>
      <c r="C807" s="220"/>
      <c r="D807" s="132"/>
      <c r="E807" s="220"/>
    </row>
    <row r="808" spans="1:5">
      <c r="A808" s="133"/>
      <c r="B808" s="220"/>
      <c r="C808" s="220"/>
      <c r="D808" s="132"/>
      <c r="E808" s="220"/>
    </row>
    <row r="809" spans="1:5">
      <c r="A809" s="133"/>
      <c r="B809" s="220"/>
      <c r="C809" s="220"/>
      <c r="D809" s="132"/>
      <c r="E809" s="220"/>
    </row>
    <row r="810" spans="1:5">
      <c r="A810" s="133"/>
      <c r="B810" s="220"/>
      <c r="C810" s="220"/>
      <c r="D810" s="132"/>
      <c r="E810" s="220"/>
    </row>
    <row r="811" spans="1:5">
      <c r="A811" s="133"/>
      <c r="B811" s="220"/>
      <c r="C811" s="220"/>
      <c r="D811" s="132"/>
      <c r="E811" s="220"/>
    </row>
    <row r="812" spans="1:5">
      <c r="A812" s="133"/>
      <c r="B812" s="220"/>
      <c r="C812" s="220"/>
      <c r="D812" s="132"/>
      <c r="E812" s="220"/>
    </row>
    <row r="813" spans="1:5">
      <c r="A813" s="133"/>
      <c r="B813" s="220"/>
      <c r="C813" s="220"/>
      <c r="D813" s="132"/>
      <c r="E813" s="220"/>
    </row>
    <row r="814" spans="1:5">
      <c r="A814" s="133"/>
      <c r="B814" s="220"/>
      <c r="C814" s="220"/>
      <c r="D814" s="132"/>
      <c r="E814" s="220"/>
    </row>
    <row r="815" spans="1:5">
      <c r="A815" s="133"/>
      <c r="B815" s="220"/>
      <c r="C815" s="220"/>
      <c r="D815" s="132"/>
      <c r="E815" s="220"/>
    </row>
    <row r="816" spans="1:5">
      <c r="A816" s="133"/>
      <c r="B816" s="220"/>
      <c r="C816" s="220"/>
      <c r="D816" s="132"/>
      <c r="E816" s="220"/>
    </row>
    <row r="817" spans="1:5">
      <c r="A817" s="133"/>
      <c r="B817" s="220"/>
      <c r="C817" s="220"/>
      <c r="D817" s="132"/>
      <c r="E817" s="220"/>
    </row>
    <row r="818" spans="1:5">
      <c r="A818" s="133"/>
      <c r="B818" s="220"/>
      <c r="C818" s="220"/>
      <c r="D818" s="132"/>
      <c r="E818" s="220"/>
    </row>
    <row r="819" spans="1:5">
      <c r="A819" s="133"/>
      <c r="B819" s="220"/>
      <c r="C819" s="220"/>
      <c r="D819" s="132"/>
      <c r="E819" s="220"/>
    </row>
    <row r="820" spans="1:5">
      <c r="A820" s="133"/>
      <c r="B820" s="220"/>
      <c r="C820" s="220"/>
      <c r="D820" s="132"/>
      <c r="E820" s="220"/>
    </row>
    <row r="821" spans="1:5">
      <c r="A821" s="133"/>
      <c r="B821" s="220"/>
      <c r="C821" s="220"/>
      <c r="D821" s="132"/>
      <c r="E821" s="220"/>
    </row>
    <row r="822" spans="1:5">
      <c r="A822" s="133"/>
      <c r="B822" s="220"/>
      <c r="C822" s="220"/>
      <c r="D822" s="132"/>
      <c r="E822" s="220"/>
    </row>
    <row r="823" spans="1:5">
      <c r="A823" s="133"/>
      <c r="B823" s="220"/>
      <c r="C823" s="220"/>
      <c r="D823" s="132"/>
      <c r="E823" s="220"/>
    </row>
    <row r="824" spans="1:5">
      <c r="A824" s="133"/>
      <c r="B824" s="220"/>
      <c r="C824" s="220"/>
      <c r="D824" s="132"/>
      <c r="E824" s="220"/>
    </row>
    <row r="825" spans="1:5">
      <c r="A825" s="133"/>
      <c r="B825" s="220"/>
      <c r="C825" s="220"/>
      <c r="D825" s="132"/>
      <c r="E825" s="220"/>
    </row>
    <row r="826" spans="1:5">
      <c r="A826" s="133"/>
      <c r="B826" s="220"/>
      <c r="C826" s="220"/>
      <c r="D826" s="132"/>
      <c r="E826" s="220"/>
    </row>
    <row r="827" spans="1:5">
      <c r="A827" s="133"/>
      <c r="B827" s="220"/>
      <c r="C827" s="220"/>
      <c r="D827" s="132"/>
      <c r="E827" s="220"/>
    </row>
    <row r="828" spans="1:5">
      <c r="A828" s="133"/>
      <c r="B828" s="220"/>
      <c r="C828" s="220"/>
      <c r="D828" s="132"/>
      <c r="E828" s="220"/>
    </row>
    <row r="829" spans="1:5">
      <c r="A829" s="133"/>
      <c r="B829" s="220"/>
      <c r="C829" s="220"/>
      <c r="D829" s="132"/>
      <c r="E829" s="220"/>
    </row>
    <row r="830" spans="1:5">
      <c r="A830" s="133"/>
      <c r="B830" s="220"/>
      <c r="C830" s="220"/>
      <c r="D830" s="132"/>
      <c r="E830" s="220"/>
    </row>
    <row r="831" spans="1:5">
      <c r="A831" s="133"/>
      <c r="B831" s="220"/>
      <c r="C831" s="220"/>
      <c r="D831" s="132"/>
      <c r="E831" s="220"/>
    </row>
    <row r="832" spans="1:5">
      <c r="A832" s="133"/>
      <c r="B832" s="220"/>
      <c r="C832" s="220"/>
      <c r="D832" s="132"/>
      <c r="E832" s="220"/>
    </row>
    <row r="833" spans="1:5">
      <c r="A833" s="133"/>
      <c r="B833" s="220"/>
      <c r="C833" s="220"/>
      <c r="D833" s="132"/>
      <c r="E833" s="220"/>
    </row>
    <row r="834" spans="1:5">
      <c r="A834" s="133"/>
      <c r="B834" s="220"/>
      <c r="C834" s="220"/>
      <c r="D834" s="132"/>
      <c r="E834" s="220"/>
    </row>
    <row r="835" spans="1:5">
      <c r="A835" s="133"/>
      <c r="B835" s="220"/>
      <c r="C835" s="220"/>
      <c r="D835" s="132"/>
      <c r="E835" s="220"/>
    </row>
    <row r="836" spans="1:5">
      <c r="A836" s="133"/>
      <c r="B836" s="220"/>
      <c r="C836" s="220"/>
      <c r="D836" s="132"/>
      <c r="E836" s="220"/>
    </row>
    <row r="837" spans="1:5">
      <c r="A837" s="133"/>
      <c r="B837" s="220"/>
      <c r="C837" s="220"/>
      <c r="D837" s="132"/>
      <c r="E837" s="220"/>
    </row>
    <row r="838" spans="1:5">
      <c r="A838" s="133"/>
      <c r="B838" s="220"/>
      <c r="C838" s="220"/>
      <c r="D838" s="132"/>
      <c r="E838" s="220"/>
    </row>
    <row r="839" spans="1:5">
      <c r="A839" s="133"/>
      <c r="B839" s="220"/>
      <c r="C839" s="220"/>
      <c r="D839" s="132"/>
      <c r="E839" s="220"/>
    </row>
    <row r="840" spans="1:5">
      <c r="A840" s="133"/>
      <c r="B840" s="220"/>
      <c r="C840" s="220"/>
      <c r="D840" s="132"/>
      <c r="E840" s="220"/>
    </row>
    <row r="841" spans="1:5">
      <c r="A841" s="133"/>
      <c r="B841" s="220"/>
      <c r="C841" s="220"/>
      <c r="D841" s="132"/>
      <c r="E841" s="220"/>
    </row>
    <row r="842" spans="1:5">
      <c r="A842" s="133"/>
      <c r="B842" s="220"/>
      <c r="C842" s="220"/>
      <c r="D842" s="132"/>
      <c r="E842" s="220"/>
    </row>
    <row r="843" spans="1:5">
      <c r="A843" s="133"/>
      <c r="B843" s="220"/>
      <c r="C843" s="220"/>
      <c r="D843" s="132"/>
      <c r="E843" s="220"/>
    </row>
    <row r="844" spans="1:5">
      <c r="A844" s="133"/>
      <c r="B844" s="220"/>
      <c r="C844" s="220"/>
      <c r="D844" s="132"/>
      <c r="E844" s="220"/>
    </row>
    <row r="845" spans="1:5">
      <c r="A845" s="133"/>
      <c r="B845" s="220"/>
      <c r="C845" s="220"/>
      <c r="D845" s="132"/>
      <c r="E845" s="220"/>
    </row>
    <row r="846" spans="1:5">
      <c r="A846" s="133"/>
      <c r="B846" s="220"/>
      <c r="C846" s="220"/>
      <c r="D846" s="132"/>
      <c r="E846" s="220"/>
    </row>
    <row r="847" spans="1:5">
      <c r="A847" s="133"/>
      <c r="B847" s="220"/>
      <c r="C847" s="220"/>
      <c r="D847" s="132"/>
      <c r="E847" s="220"/>
    </row>
    <row r="848" spans="1:5">
      <c r="A848" s="133"/>
      <c r="B848" s="220"/>
      <c r="C848" s="220"/>
      <c r="D848" s="132"/>
      <c r="E848" s="220"/>
    </row>
    <row r="849" spans="1:5">
      <c r="A849" s="133"/>
      <c r="B849" s="220"/>
      <c r="C849" s="220"/>
      <c r="D849" s="132"/>
      <c r="E849" s="220"/>
    </row>
    <row r="850" spans="1:5">
      <c r="A850" s="133"/>
      <c r="B850" s="220"/>
      <c r="C850" s="220"/>
      <c r="D850" s="132"/>
      <c r="E850" s="220"/>
    </row>
    <row r="851" spans="1:5">
      <c r="A851" s="133"/>
      <c r="B851" s="220"/>
      <c r="C851" s="220"/>
      <c r="D851" s="132"/>
      <c r="E851" s="220"/>
    </row>
    <row r="852" spans="1:5">
      <c r="A852" s="133"/>
      <c r="B852" s="220"/>
      <c r="C852" s="220"/>
      <c r="D852" s="132"/>
      <c r="E852" s="220"/>
    </row>
    <row r="853" spans="1:5">
      <c r="A853" s="133"/>
      <c r="B853" s="220"/>
      <c r="C853" s="220"/>
      <c r="D853" s="132"/>
      <c r="E853" s="220"/>
    </row>
    <row r="854" spans="1:5">
      <c r="A854" s="133"/>
      <c r="B854" s="220"/>
      <c r="C854" s="220"/>
      <c r="D854" s="132"/>
      <c r="E854" s="220"/>
    </row>
    <row r="855" spans="1:5">
      <c r="A855" s="133"/>
      <c r="B855" s="220"/>
      <c r="C855" s="220"/>
      <c r="D855" s="132"/>
      <c r="E855" s="220"/>
    </row>
    <row r="856" spans="1:5">
      <c r="A856" s="133"/>
      <c r="B856" s="220"/>
      <c r="C856" s="220"/>
      <c r="D856" s="132"/>
      <c r="E856" s="220"/>
    </row>
    <row r="857" spans="1:5">
      <c r="A857" s="133"/>
      <c r="B857" s="220"/>
      <c r="C857" s="220"/>
      <c r="D857" s="132"/>
      <c r="E857" s="220"/>
    </row>
    <row r="858" spans="1:5">
      <c r="A858" s="133"/>
      <c r="B858" s="220"/>
      <c r="C858" s="220"/>
      <c r="D858" s="132"/>
      <c r="E858" s="220"/>
    </row>
    <row r="859" spans="1:5">
      <c r="A859" s="133"/>
      <c r="B859" s="220"/>
      <c r="C859" s="220"/>
      <c r="D859" s="132"/>
      <c r="E859" s="220"/>
    </row>
    <row r="860" spans="1:5">
      <c r="A860" s="133"/>
      <c r="B860" s="220"/>
      <c r="C860" s="220"/>
      <c r="D860" s="132"/>
      <c r="E860" s="220"/>
    </row>
    <row r="861" spans="1:5">
      <c r="A861" s="133"/>
      <c r="B861" s="220"/>
      <c r="C861" s="220"/>
      <c r="D861" s="132"/>
      <c r="E861" s="220"/>
    </row>
    <row r="862" spans="1:5">
      <c r="A862" s="133"/>
      <c r="B862" s="220"/>
      <c r="C862" s="220"/>
      <c r="D862" s="132"/>
      <c r="E862" s="220"/>
    </row>
    <row r="863" spans="1:5">
      <c r="A863" s="133"/>
      <c r="B863" s="220"/>
      <c r="C863" s="220"/>
      <c r="D863" s="132"/>
      <c r="E863" s="220"/>
    </row>
    <row r="864" spans="1:5">
      <c r="A864" s="133"/>
      <c r="B864" s="220"/>
      <c r="C864" s="220"/>
      <c r="D864" s="132"/>
      <c r="E864" s="220"/>
    </row>
    <row r="865" spans="1:5">
      <c r="A865" s="133"/>
      <c r="B865" s="220"/>
      <c r="C865" s="220"/>
      <c r="D865" s="132"/>
      <c r="E865" s="220"/>
    </row>
    <row r="866" spans="1:5">
      <c r="A866" s="133"/>
      <c r="B866" s="220"/>
      <c r="C866" s="220"/>
      <c r="D866" s="132"/>
      <c r="E866" s="220"/>
    </row>
    <row r="867" spans="1:5">
      <c r="A867" s="133"/>
      <c r="B867" s="220"/>
      <c r="C867" s="220"/>
      <c r="D867" s="132"/>
      <c r="E867" s="220"/>
    </row>
    <row r="868" spans="1:5">
      <c r="A868" s="133"/>
      <c r="B868" s="220"/>
      <c r="C868" s="220"/>
      <c r="D868" s="132"/>
      <c r="E868" s="220"/>
    </row>
    <row r="869" spans="1:5">
      <c r="A869" s="133"/>
      <c r="B869" s="220"/>
      <c r="C869" s="220"/>
      <c r="D869" s="132"/>
      <c r="E869" s="220"/>
    </row>
    <row r="870" spans="1:5">
      <c r="A870" s="133"/>
      <c r="B870" s="220"/>
      <c r="C870" s="220"/>
      <c r="D870" s="132"/>
      <c r="E870" s="220"/>
    </row>
    <row r="871" spans="1:5">
      <c r="A871" s="133"/>
      <c r="B871" s="220"/>
      <c r="C871" s="220"/>
      <c r="D871" s="132"/>
      <c r="E871" s="220"/>
    </row>
    <row r="872" spans="1:5">
      <c r="A872" s="133"/>
      <c r="B872" s="220"/>
      <c r="C872" s="220"/>
      <c r="D872" s="132"/>
      <c r="E872" s="220"/>
    </row>
    <row r="873" spans="1:5">
      <c r="A873" s="133"/>
      <c r="B873" s="220"/>
      <c r="C873" s="220"/>
      <c r="D873" s="132"/>
      <c r="E873" s="220"/>
    </row>
    <row r="874" spans="1:5">
      <c r="A874" s="133"/>
      <c r="B874" s="220"/>
      <c r="C874" s="220"/>
      <c r="D874" s="132"/>
      <c r="E874" s="220"/>
    </row>
    <row r="875" spans="1:5">
      <c r="A875" s="133"/>
      <c r="B875" s="220"/>
      <c r="C875" s="220"/>
      <c r="D875" s="132"/>
      <c r="E875" s="220"/>
    </row>
    <row r="876" spans="1:5">
      <c r="A876" s="133"/>
      <c r="B876" s="220"/>
      <c r="C876" s="220"/>
      <c r="D876" s="132"/>
      <c r="E876" s="220"/>
    </row>
    <row r="877" spans="1:5">
      <c r="A877" s="133"/>
      <c r="B877" s="220"/>
      <c r="C877" s="220"/>
      <c r="D877" s="132"/>
      <c r="E877" s="220"/>
    </row>
    <row r="878" spans="1:5">
      <c r="A878" s="133"/>
      <c r="B878" s="220"/>
      <c r="C878" s="220"/>
      <c r="D878" s="132"/>
      <c r="E878" s="220"/>
    </row>
    <row r="879" spans="1:5">
      <c r="A879" s="133"/>
      <c r="B879" s="220"/>
      <c r="C879" s="220"/>
      <c r="D879" s="132"/>
      <c r="E879" s="220"/>
    </row>
    <row r="880" spans="1:5">
      <c r="A880" s="133"/>
      <c r="B880" s="220"/>
      <c r="C880" s="220"/>
      <c r="D880" s="132"/>
      <c r="E880" s="220"/>
    </row>
    <row r="881" spans="1:5">
      <c r="A881" s="133"/>
      <c r="B881" s="220"/>
      <c r="C881" s="220"/>
      <c r="D881" s="132"/>
      <c r="E881" s="220"/>
    </row>
    <row r="882" spans="1:5">
      <c r="A882" s="133"/>
      <c r="B882" s="220"/>
      <c r="C882" s="220"/>
      <c r="D882" s="132"/>
      <c r="E882" s="220"/>
    </row>
    <row r="883" spans="1:5">
      <c r="A883" s="133"/>
      <c r="B883" s="220"/>
      <c r="C883" s="220"/>
      <c r="D883" s="132"/>
      <c r="E883" s="220"/>
    </row>
    <row r="884" spans="1:5">
      <c r="A884" s="133"/>
      <c r="B884" s="220"/>
      <c r="C884" s="220"/>
      <c r="D884" s="132"/>
      <c r="E884" s="220"/>
    </row>
    <row r="885" spans="1:5">
      <c r="A885" s="133"/>
      <c r="B885" s="220"/>
      <c r="C885" s="220"/>
      <c r="D885" s="132"/>
      <c r="E885" s="220"/>
    </row>
    <row r="886" spans="1:5">
      <c r="A886" s="133"/>
      <c r="B886" s="220"/>
      <c r="C886" s="220"/>
      <c r="D886" s="132"/>
      <c r="E886" s="220"/>
    </row>
    <row r="887" spans="1:5">
      <c r="A887" s="133"/>
      <c r="B887" s="220"/>
      <c r="C887" s="220"/>
      <c r="D887" s="132"/>
      <c r="E887" s="220"/>
    </row>
    <row r="888" spans="1:5">
      <c r="A888" s="133"/>
      <c r="B888" s="220"/>
      <c r="C888" s="220"/>
      <c r="D888" s="132"/>
      <c r="E888" s="220"/>
    </row>
    <row r="889" spans="1:5">
      <c r="A889" s="133"/>
      <c r="B889" s="220"/>
      <c r="C889" s="220"/>
      <c r="D889" s="132"/>
      <c r="E889" s="220"/>
    </row>
    <row r="890" spans="1:5">
      <c r="A890" s="133"/>
      <c r="B890" s="220"/>
      <c r="C890" s="220"/>
      <c r="D890" s="132"/>
      <c r="E890" s="220"/>
    </row>
    <row r="891" spans="1:5">
      <c r="A891" s="133"/>
      <c r="B891" s="220"/>
      <c r="C891" s="220"/>
      <c r="D891" s="132"/>
      <c r="E891" s="220"/>
    </row>
    <row r="892" spans="1:5">
      <c r="A892" s="133"/>
      <c r="B892" s="220"/>
      <c r="C892" s="220"/>
      <c r="D892" s="132"/>
      <c r="E892" s="220"/>
    </row>
    <row r="893" spans="1:5">
      <c r="A893" s="133"/>
      <c r="B893" s="220"/>
      <c r="C893" s="220"/>
      <c r="D893" s="132"/>
      <c r="E893" s="220"/>
    </row>
    <row r="894" spans="1:5">
      <c r="A894" s="133"/>
      <c r="B894" s="220"/>
      <c r="C894" s="220"/>
      <c r="D894" s="132"/>
      <c r="E894" s="220"/>
    </row>
    <row r="895" spans="1:5">
      <c r="A895" s="133"/>
      <c r="B895" s="220"/>
      <c r="C895" s="220"/>
      <c r="D895" s="132"/>
      <c r="E895" s="220"/>
    </row>
    <row r="896" spans="1:5">
      <c r="A896" s="133"/>
      <c r="B896" s="220"/>
      <c r="C896" s="220"/>
      <c r="D896" s="132"/>
      <c r="E896" s="220"/>
    </row>
    <row r="897" spans="1:5">
      <c r="A897" s="133"/>
      <c r="B897" s="220"/>
      <c r="C897" s="220"/>
      <c r="D897" s="132"/>
      <c r="E897" s="220"/>
    </row>
    <row r="898" spans="1:5">
      <c r="A898" s="133"/>
      <c r="B898" s="220"/>
      <c r="C898" s="220"/>
      <c r="D898" s="132"/>
      <c r="E898" s="220"/>
    </row>
    <row r="899" spans="1:5">
      <c r="A899" s="133"/>
      <c r="B899" s="220"/>
      <c r="C899" s="220"/>
      <c r="D899" s="132"/>
      <c r="E899" s="220"/>
    </row>
    <row r="900" spans="1:5">
      <c r="A900" s="133"/>
      <c r="B900" s="220"/>
      <c r="C900" s="220"/>
      <c r="D900" s="132"/>
      <c r="E900" s="220"/>
    </row>
    <row r="901" spans="1:5">
      <c r="A901" s="133"/>
      <c r="B901" s="220"/>
      <c r="C901" s="220"/>
      <c r="D901" s="132"/>
      <c r="E901" s="220"/>
    </row>
    <row r="902" spans="1:5">
      <c r="A902" s="133"/>
      <c r="B902" s="220"/>
      <c r="C902" s="220"/>
      <c r="D902" s="132"/>
      <c r="E902" s="220"/>
    </row>
    <row r="903" spans="1:5">
      <c r="A903" s="133"/>
      <c r="B903" s="220"/>
      <c r="C903" s="220"/>
      <c r="D903" s="132"/>
      <c r="E903" s="220"/>
    </row>
    <row r="904" spans="1:5">
      <c r="A904" s="133"/>
      <c r="B904" s="220"/>
      <c r="C904" s="220"/>
      <c r="D904" s="132"/>
      <c r="E904" s="220"/>
    </row>
    <row r="905" spans="1:5">
      <c r="A905" s="133"/>
      <c r="B905" s="220"/>
      <c r="C905" s="220"/>
      <c r="D905" s="132"/>
      <c r="E905" s="220"/>
    </row>
    <row r="906" spans="1:5">
      <c r="A906" s="133"/>
      <c r="B906" s="220"/>
      <c r="C906" s="220"/>
      <c r="D906" s="132"/>
      <c r="E906" s="220"/>
    </row>
    <row r="907" spans="1:5">
      <c r="A907" s="133"/>
      <c r="B907" s="220"/>
      <c r="C907" s="220"/>
      <c r="D907" s="132"/>
      <c r="E907" s="220"/>
    </row>
    <row r="908" spans="1:5">
      <c r="A908" s="133"/>
      <c r="B908" s="220"/>
      <c r="C908" s="220"/>
      <c r="D908" s="132"/>
      <c r="E908" s="220"/>
    </row>
    <row r="909" spans="1:5">
      <c r="A909" s="133"/>
      <c r="B909" s="220"/>
      <c r="C909" s="220"/>
      <c r="D909" s="132"/>
      <c r="E909" s="220"/>
    </row>
    <row r="910" spans="1:5">
      <c r="A910" s="133"/>
      <c r="B910" s="220"/>
      <c r="C910" s="220"/>
      <c r="D910" s="132"/>
      <c r="E910" s="220"/>
    </row>
    <row r="911" spans="1:5">
      <c r="A911" s="133"/>
      <c r="B911" s="220"/>
      <c r="C911" s="220"/>
      <c r="D911" s="132"/>
      <c r="E911" s="220"/>
    </row>
    <row r="912" spans="1:5">
      <c r="A912" s="133"/>
      <c r="B912" s="220"/>
      <c r="C912" s="220"/>
      <c r="D912" s="132"/>
      <c r="E912" s="220"/>
    </row>
    <row r="913" spans="1:5">
      <c r="A913" s="133"/>
      <c r="B913" s="220"/>
      <c r="C913" s="220"/>
      <c r="D913" s="132"/>
      <c r="E913" s="220"/>
    </row>
    <row r="914" spans="1:5">
      <c r="A914" s="133"/>
      <c r="B914" s="220"/>
      <c r="C914" s="220"/>
      <c r="D914" s="132"/>
      <c r="E914" s="220"/>
    </row>
    <row r="915" spans="1:5">
      <c r="A915" s="133"/>
      <c r="B915" s="220"/>
      <c r="C915" s="220"/>
      <c r="D915" s="132"/>
      <c r="E915" s="220"/>
    </row>
    <row r="916" spans="1:5">
      <c r="A916" s="133"/>
      <c r="B916" s="220"/>
      <c r="C916" s="220"/>
      <c r="D916" s="132"/>
      <c r="E916" s="220"/>
    </row>
    <row r="917" spans="1:5">
      <c r="A917" s="133"/>
      <c r="B917" s="220"/>
      <c r="C917" s="220"/>
      <c r="D917" s="132"/>
      <c r="E917" s="220"/>
    </row>
    <row r="918" spans="1:5">
      <c r="A918" s="133"/>
      <c r="B918" s="220"/>
      <c r="C918" s="220"/>
      <c r="D918" s="132"/>
      <c r="E918" s="220"/>
    </row>
    <row r="919" spans="1:5">
      <c r="A919" s="133"/>
      <c r="B919" s="220"/>
      <c r="C919" s="220"/>
      <c r="D919" s="132"/>
      <c r="E919" s="220"/>
    </row>
    <row r="920" spans="1:5">
      <c r="A920" s="133"/>
      <c r="B920" s="220"/>
      <c r="C920" s="220"/>
      <c r="D920" s="132"/>
      <c r="E920" s="220"/>
    </row>
    <row r="921" spans="1:5">
      <c r="A921" s="133"/>
      <c r="B921" s="220"/>
      <c r="C921" s="220"/>
      <c r="D921" s="132"/>
      <c r="E921" s="220"/>
    </row>
    <row r="922" spans="1:5">
      <c r="A922" s="133"/>
      <c r="B922" s="220"/>
      <c r="C922" s="220"/>
      <c r="D922" s="132"/>
      <c r="E922" s="220"/>
    </row>
    <row r="923" spans="1:5">
      <c r="A923" s="133"/>
      <c r="B923" s="220"/>
      <c r="C923" s="220"/>
      <c r="D923" s="132"/>
      <c r="E923" s="220"/>
    </row>
    <row r="924" spans="1:5">
      <c r="A924" s="133"/>
      <c r="B924" s="220"/>
      <c r="C924" s="220"/>
      <c r="D924" s="132"/>
      <c r="E924" s="220"/>
    </row>
    <row r="925" spans="1:5">
      <c r="A925" s="133"/>
      <c r="B925" s="220"/>
      <c r="C925" s="220"/>
      <c r="D925" s="132"/>
      <c r="E925" s="220"/>
    </row>
    <row r="926" spans="1:5">
      <c r="A926" s="133"/>
      <c r="B926" s="220"/>
      <c r="C926" s="220"/>
      <c r="D926" s="132"/>
      <c r="E926" s="220"/>
    </row>
    <row r="927" spans="1:5">
      <c r="A927" s="133"/>
      <c r="B927" s="220"/>
      <c r="C927" s="220"/>
      <c r="D927" s="132"/>
      <c r="E927" s="220"/>
    </row>
    <row r="928" spans="1:5">
      <c r="A928" s="133"/>
      <c r="B928" s="220"/>
      <c r="C928" s="220"/>
      <c r="D928" s="132"/>
      <c r="E928" s="220"/>
    </row>
    <row r="929" spans="1:5">
      <c r="A929" s="133"/>
      <c r="B929" s="220"/>
      <c r="C929" s="220"/>
      <c r="D929" s="132"/>
      <c r="E929" s="220"/>
    </row>
    <row r="930" spans="1:5">
      <c r="A930" s="133"/>
      <c r="B930" s="220"/>
      <c r="C930" s="220"/>
      <c r="D930" s="132"/>
      <c r="E930" s="220"/>
    </row>
    <row r="931" spans="1:5">
      <c r="A931" s="133"/>
      <c r="B931" s="220"/>
      <c r="C931" s="220"/>
      <c r="D931" s="132"/>
      <c r="E931" s="220"/>
    </row>
    <row r="932" spans="1:5">
      <c r="A932" s="133"/>
      <c r="B932" s="220"/>
      <c r="C932" s="220"/>
      <c r="D932" s="132"/>
      <c r="E932" s="220"/>
    </row>
    <row r="933" spans="1:5">
      <c r="A933" s="133"/>
      <c r="B933" s="220"/>
      <c r="C933" s="220"/>
      <c r="D933" s="132"/>
      <c r="E933" s="220"/>
    </row>
    <row r="934" spans="1:5">
      <c r="A934" s="133"/>
      <c r="B934" s="220"/>
      <c r="C934" s="220"/>
      <c r="D934" s="132"/>
      <c r="E934" s="220"/>
    </row>
    <row r="935" spans="1:5">
      <c r="A935" s="133"/>
      <c r="B935" s="220"/>
      <c r="C935" s="220"/>
      <c r="D935" s="132"/>
      <c r="E935" s="220"/>
    </row>
    <row r="936" spans="1:5">
      <c r="A936" s="133"/>
      <c r="B936" s="220"/>
      <c r="C936" s="220"/>
      <c r="D936" s="132"/>
      <c r="E936" s="220"/>
    </row>
    <row r="937" spans="1:5">
      <c r="A937" s="133"/>
      <c r="B937" s="220"/>
      <c r="C937" s="220"/>
      <c r="D937" s="132"/>
      <c r="E937" s="220"/>
    </row>
    <row r="938" spans="1:5">
      <c r="A938" s="133"/>
      <c r="B938" s="220"/>
      <c r="C938" s="220"/>
      <c r="D938" s="132"/>
      <c r="E938" s="220"/>
    </row>
    <row r="939" spans="1:5">
      <c r="A939" s="133"/>
      <c r="B939" s="220"/>
      <c r="C939" s="220"/>
      <c r="D939" s="132"/>
      <c r="E939" s="220"/>
    </row>
    <row r="940" spans="1:5">
      <c r="A940" s="133"/>
      <c r="B940" s="220"/>
      <c r="C940" s="220"/>
      <c r="D940" s="132"/>
      <c r="E940" s="220"/>
    </row>
    <row r="941" spans="1:5">
      <c r="A941" s="133"/>
      <c r="B941" s="220"/>
      <c r="C941" s="220"/>
      <c r="D941" s="132"/>
      <c r="E941" s="220"/>
    </row>
    <row r="942" spans="1:5">
      <c r="A942" s="133"/>
      <c r="B942" s="220"/>
      <c r="C942" s="220"/>
      <c r="D942" s="132"/>
      <c r="E942" s="220"/>
    </row>
    <row r="943" spans="1:5">
      <c r="A943" s="133"/>
      <c r="B943" s="220"/>
      <c r="C943" s="220"/>
      <c r="D943" s="132"/>
      <c r="E943" s="220"/>
    </row>
    <row r="944" spans="1:5">
      <c r="A944" s="133"/>
      <c r="B944" s="220"/>
      <c r="C944" s="220"/>
      <c r="D944" s="132"/>
      <c r="E944" s="220"/>
    </row>
    <row r="945" spans="1:5">
      <c r="A945" s="133"/>
      <c r="B945" s="220"/>
      <c r="C945" s="220"/>
      <c r="D945" s="132"/>
      <c r="E945" s="220"/>
    </row>
    <row r="946" spans="1:5">
      <c r="A946" s="133"/>
      <c r="B946" s="220"/>
      <c r="C946" s="220"/>
      <c r="D946" s="132"/>
      <c r="E946" s="220"/>
    </row>
    <row r="947" spans="1:5">
      <c r="A947" s="133"/>
      <c r="B947" s="220"/>
      <c r="C947" s="220"/>
      <c r="D947" s="132"/>
      <c r="E947" s="220"/>
    </row>
    <row r="948" spans="1:5">
      <c r="A948" s="133"/>
      <c r="B948" s="220"/>
      <c r="C948" s="220"/>
      <c r="D948" s="132"/>
      <c r="E948" s="220"/>
    </row>
    <row r="949" spans="1:5">
      <c r="A949" s="133"/>
      <c r="B949" s="220"/>
      <c r="C949" s="220"/>
      <c r="D949" s="132"/>
      <c r="E949" s="220"/>
    </row>
    <row r="950" spans="1:5">
      <c r="A950" s="133"/>
      <c r="B950" s="220"/>
      <c r="C950" s="220"/>
      <c r="D950" s="132"/>
      <c r="E950" s="220"/>
    </row>
    <row r="951" spans="1:5">
      <c r="A951" s="133"/>
      <c r="B951" s="220"/>
      <c r="C951" s="220"/>
      <c r="D951" s="132"/>
      <c r="E951" s="220"/>
    </row>
    <row r="952" spans="1:5">
      <c r="A952" s="133"/>
      <c r="B952" s="220"/>
      <c r="C952" s="220"/>
      <c r="D952" s="132"/>
      <c r="E952" s="220"/>
    </row>
    <row r="953" spans="1:5">
      <c r="A953" s="133"/>
      <c r="B953" s="220"/>
      <c r="C953" s="220"/>
      <c r="D953" s="132"/>
      <c r="E953" s="220"/>
    </row>
    <row r="954" spans="1:5">
      <c r="A954" s="133"/>
      <c r="B954" s="220"/>
      <c r="C954" s="220"/>
      <c r="D954" s="132"/>
      <c r="E954" s="220"/>
    </row>
    <row r="955" spans="1:5">
      <c r="A955" s="133"/>
      <c r="B955" s="220"/>
      <c r="C955" s="220"/>
      <c r="D955" s="132"/>
      <c r="E955" s="220"/>
    </row>
    <row r="956" spans="1:5">
      <c r="A956" s="133"/>
      <c r="B956" s="220"/>
      <c r="C956" s="220"/>
      <c r="D956" s="132"/>
      <c r="E956" s="220"/>
    </row>
    <row r="957" spans="1:5">
      <c r="A957" s="133"/>
      <c r="B957" s="220"/>
      <c r="C957" s="220"/>
      <c r="D957" s="132"/>
      <c r="E957" s="220"/>
    </row>
    <row r="958" spans="1:5">
      <c r="A958" s="133"/>
      <c r="B958" s="220"/>
      <c r="C958" s="220"/>
      <c r="D958" s="132"/>
      <c r="E958" s="220"/>
    </row>
    <row r="959" spans="1:5">
      <c r="A959" s="133"/>
      <c r="B959" s="220"/>
      <c r="C959" s="220"/>
      <c r="D959" s="132"/>
      <c r="E959" s="220"/>
    </row>
    <row r="960" spans="1:5">
      <c r="A960" s="133"/>
      <c r="B960" s="220"/>
      <c r="C960" s="220"/>
      <c r="D960" s="132"/>
      <c r="E960" s="220"/>
    </row>
    <row r="961" spans="1:5">
      <c r="A961" s="133"/>
      <c r="B961" s="220"/>
      <c r="C961" s="220"/>
      <c r="D961" s="132"/>
      <c r="E961" s="220"/>
    </row>
    <row r="962" spans="1:5">
      <c r="A962" s="133"/>
      <c r="B962" s="220"/>
      <c r="C962" s="220"/>
      <c r="D962" s="132"/>
      <c r="E962" s="220"/>
    </row>
    <row r="963" spans="1:5">
      <c r="A963" s="133"/>
      <c r="B963" s="220"/>
      <c r="C963" s="220"/>
      <c r="D963" s="132"/>
      <c r="E963" s="220"/>
    </row>
    <row r="964" spans="1:5">
      <c r="A964" s="133"/>
      <c r="B964" s="220"/>
      <c r="C964" s="220"/>
      <c r="D964" s="132"/>
      <c r="E964" s="220"/>
    </row>
    <row r="965" spans="1:5">
      <c r="A965" s="133"/>
      <c r="B965" s="220"/>
      <c r="C965" s="220"/>
      <c r="D965" s="132"/>
      <c r="E965" s="220"/>
    </row>
    <row r="966" spans="1:5">
      <c r="A966" s="133"/>
      <c r="B966" s="220"/>
      <c r="C966" s="220"/>
      <c r="D966" s="132"/>
      <c r="E966" s="220"/>
    </row>
    <row r="967" spans="1:5">
      <c r="A967" s="133"/>
      <c r="B967" s="220"/>
      <c r="C967" s="220"/>
      <c r="D967" s="132"/>
      <c r="E967" s="220"/>
    </row>
    <row r="968" spans="1:5">
      <c r="A968" s="133"/>
      <c r="B968" s="220"/>
      <c r="C968" s="220"/>
      <c r="D968" s="132"/>
      <c r="E968" s="220"/>
    </row>
    <row r="969" spans="1:5">
      <c r="A969" s="133"/>
      <c r="B969" s="220"/>
      <c r="C969" s="220"/>
      <c r="D969" s="132"/>
      <c r="E969" s="220"/>
    </row>
    <row r="970" spans="1:5">
      <c r="A970" s="133"/>
      <c r="B970" s="220"/>
      <c r="C970" s="220"/>
      <c r="D970" s="132"/>
      <c r="E970" s="220"/>
    </row>
    <row r="971" spans="1:5">
      <c r="A971" s="133"/>
      <c r="B971" s="220"/>
      <c r="C971" s="220"/>
      <c r="D971" s="132"/>
      <c r="E971" s="220"/>
    </row>
    <row r="972" spans="1:5">
      <c r="A972" s="133"/>
      <c r="B972" s="220"/>
      <c r="C972" s="220"/>
      <c r="D972" s="132"/>
      <c r="E972" s="220"/>
    </row>
    <row r="973" spans="1:5">
      <c r="A973" s="133"/>
      <c r="B973" s="220"/>
      <c r="C973" s="220"/>
      <c r="D973" s="132"/>
      <c r="E973" s="220"/>
    </row>
    <row r="974" spans="1:5">
      <c r="A974" s="133"/>
      <c r="B974" s="220"/>
      <c r="C974" s="220"/>
      <c r="D974" s="132"/>
      <c r="E974" s="220"/>
    </row>
    <row r="975" spans="1:5">
      <c r="A975" s="133"/>
      <c r="B975" s="220"/>
      <c r="C975" s="220"/>
      <c r="D975" s="132"/>
      <c r="E975" s="220"/>
    </row>
    <row r="976" spans="1:5">
      <c r="A976" s="133"/>
      <c r="B976" s="220"/>
      <c r="C976" s="220"/>
      <c r="D976" s="132"/>
      <c r="E976" s="220"/>
    </row>
    <row r="977" spans="1:5">
      <c r="A977" s="133"/>
      <c r="B977" s="220"/>
      <c r="C977" s="220"/>
      <c r="D977" s="132"/>
      <c r="E977" s="220"/>
    </row>
    <row r="978" spans="1:5">
      <c r="A978" s="133"/>
      <c r="B978" s="220"/>
      <c r="C978" s="220"/>
      <c r="D978" s="132"/>
      <c r="E978" s="220"/>
    </row>
    <row r="979" spans="1:5">
      <c r="A979" s="133"/>
      <c r="B979" s="220"/>
      <c r="C979" s="220"/>
      <c r="D979" s="132"/>
      <c r="E979" s="220"/>
    </row>
    <row r="980" spans="1:5">
      <c r="A980" s="133"/>
      <c r="B980" s="220"/>
      <c r="C980" s="220"/>
      <c r="D980" s="132"/>
      <c r="E980" s="220"/>
    </row>
    <row r="981" spans="1:5">
      <c r="A981" s="133"/>
      <c r="B981" s="220"/>
      <c r="C981" s="220"/>
      <c r="D981" s="132"/>
      <c r="E981" s="220"/>
    </row>
    <row r="982" spans="1:5">
      <c r="A982" s="133"/>
      <c r="B982" s="220"/>
      <c r="C982" s="220"/>
      <c r="D982" s="132"/>
      <c r="E982" s="220"/>
    </row>
    <row r="983" spans="1:5">
      <c r="A983" s="133"/>
      <c r="B983" s="220"/>
      <c r="C983" s="220"/>
      <c r="D983" s="132"/>
      <c r="E983" s="220"/>
    </row>
    <row r="984" spans="1:5">
      <c r="A984" s="133"/>
      <c r="B984" s="220"/>
      <c r="C984" s="220"/>
      <c r="D984" s="132"/>
      <c r="E984" s="220"/>
    </row>
    <row r="985" spans="1:5">
      <c r="A985" s="133"/>
      <c r="B985" s="220"/>
      <c r="C985" s="220"/>
      <c r="D985" s="132"/>
      <c r="E985" s="220"/>
    </row>
    <row r="986" spans="1:5">
      <c r="A986" s="133"/>
      <c r="B986" s="220"/>
      <c r="C986" s="220"/>
      <c r="D986" s="132"/>
      <c r="E986" s="220"/>
    </row>
    <row r="987" spans="1:5">
      <c r="A987" s="133"/>
      <c r="B987" s="220"/>
      <c r="C987" s="220"/>
      <c r="D987" s="132"/>
      <c r="E987" s="220"/>
    </row>
    <row r="988" spans="1:5">
      <c r="A988" s="133"/>
      <c r="B988" s="220"/>
      <c r="C988" s="220"/>
      <c r="D988" s="132"/>
      <c r="E988" s="220"/>
    </row>
    <row r="989" spans="1:5">
      <c r="A989" s="133"/>
      <c r="B989" s="220"/>
      <c r="C989" s="220"/>
      <c r="D989" s="132"/>
      <c r="E989" s="220"/>
    </row>
    <row r="990" spans="1:5">
      <c r="A990" s="133"/>
      <c r="B990" s="220"/>
      <c r="C990" s="220"/>
      <c r="D990" s="132"/>
      <c r="E990" s="220"/>
    </row>
    <row r="991" spans="1:5">
      <c r="A991" s="133"/>
      <c r="B991" s="220"/>
      <c r="C991" s="220"/>
      <c r="D991" s="132"/>
      <c r="E991" s="220"/>
    </row>
    <row r="992" spans="1:5">
      <c r="A992" s="133"/>
      <c r="B992" s="220"/>
      <c r="C992" s="220"/>
      <c r="D992" s="132"/>
      <c r="E992" s="220"/>
    </row>
    <row r="993" spans="1:5">
      <c r="A993" s="133"/>
      <c r="B993" s="220"/>
      <c r="C993" s="220"/>
      <c r="D993" s="132"/>
      <c r="E993" s="220"/>
    </row>
    <row r="994" spans="1:5">
      <c r="A994" s="133"/>
      <c r="B994" s="220"/>
      <c r="C994" s="220"/>
      <c r="D994" s="132"/>
      <c r="E994" s="220"/>
    </row>
    <row r="995" spans="1:5">
      <c r="A995" s="133"/>
      <c r="B995" s="220"/>
      <c r="C995" s="220"/>
      <c r="D995" s="132"/>
      <c r="E995" s="220"/>
    </row>
    <row r="996" spans="1:5">
      <c r="A996" s="133"/>
      <c r="B996" s="220"/>
      <c r="C996" s="220"/>
      <c r="D996" s="132"/>
      <c r="E996" s="220"/>
    </row>
    <row r="997" spans="1:5">
      <c r="A997" s="133"/>
      <c r="B997" s="220"/>
      <c r="C997" s="220"/>
      <c r="D997" s="132"/>
      <c r="E997" s="220"/>
    </row>
    <row r="998" spans="1:5">
      <c r="A998" s="133"/>
      <c r="B998" s="220"/>
      <c r="C998" s="220"/>
      <c r="D998" s="132"/>
      <c r="E998" s="220"/>
    </row>
    <row r="999" spans="1:5">
      <c r="A999" s="133"/>
      <c r="B999" s="220"/>
      <c r="C999" s="220"/>
      <c r="D999" s="132"/>
      <c r="E999" s="220"/>
    </row>
    <row r="1000" spans="1:5">
      <c r="A1000" s="133"/>
      <c r="B1000" s="220"/>
      <c r="C1000" s="220"/>
      <c r="D1000" s="132"/>
      <c r="E1000" s="220"/>
    </row>
    <row r="1001" spans="1:5">
      <c r="A1001" s="133"/>
      <c r="B1001" s="220"/>
      <c r="C1001" s="220"/>
      <c r="D1001" s="132"/>
      <c r="E1001" s="220"/>
    </row>
    <row r="1002" spans="1:5">
      <c r="A1002" s="133"/>
      <c r="B1002" s="220"/>
      <c r="C1002" s="220"/>
      <c r="D1002" s="132"/>
      <c r="E1002" s="220"/>
    </row>
    <row r="1003" spans="1:5">
      <c r="A1003" s="133"/>
      <c r="B1003" s="220"/>
      <c r="C1003" s="220"/>
      <c r="D1003" s="132"/>
      <c r="E1003" s="220"/>
    </row>
    <row r="1004" spans="1:5">
      <c r="A1004" s="133"/>
      <c r="B1004" s="220"/>
      <c r="C1004" s="220"/>
      <c r="D1004" s="132"/>
      <c r="E1004" s="220"/>
    </row>
    <row r="1005" spans="1:5">
      <c r="A1005" s="133"/>
      <c r="B1005" s="220"/>
      <c r="C1005" s="220"/>
      <c r="D1005" s="132"/>
      <c r="E1005" s="220"/>
    </row>
    <row r="1006" spans="1:5">
      <c r="A1006" s="133"/>
      <c r="B1006" s="220"/>
      <c r="C1006" s="220"/>
      <c r="D1006" s="132"/>
      <c r="E1006" s="220"/>
    </row>
    <row r="1007" spans="1:5">
      <c r="A1007" s="133"/>
      <c r="B1007" s="220"/>
      <c r="C1007" s="220"/>
      <c r="D1007" s="132"/>
      <c r="E1007" s="220"/>
    </row>
    <row r="1008" spans="1:5">
      <c r="A1008" s="133"/>
      <c r="B1008" s="220"/>
      <c r="C1008" s="220"/>
      <c r="D1008" s="132"/>
      <c r="E1008" s="220"/>
    </row>
    <row r="1009" spans="1:5">
      <c r="A1009" s="133"/>
      <c r="B1009" s="220"/>
      <c r="C1009" s="220"/>
      <c r="D1009" s="132"/>
      <c r="E1009" s="220"/>
    </row>
    <row r="1010" spans="1:5">
      <c r="A1010" s="133"/>
      <c r="B1010" s="220"/>
      <c r="C1010" s="220"/>
      <c r="D1010" s="132"/>
      <c r="E1010" s="220"/>
    </row>
    <row r="1011" spans="1:5">
      <c r="A1011" s="133"/>
      <c r="B1011" s="220"/>
      <c r="C1011" s="220"/>
      <c r="D1011" s="132"/>
      <c r="E1011" s="220"/>
    </row>
    <row r="1012" spans="1:5">
      <c r="A1012" s="133"/>
      <c r="B1012" s="220"/>
      <c r="C1012" s="220"/>
      <c r="D1012" s="132"/>
      <c r="E1012" s="220"/>
    </row>
    <row r="1013" spans="1:5">
      <c r="A1013" s="133"/>
      <c r="B1013" s="220"/>
      <c r="C1013" s="220"/>
      <c r="D1013" s="132"/>
      <c r="E1013" s="220"/>
    </row>
    <row r="1014" spans="1:5">
      <c r="A1014" s="133"/>
      <c r="B1014" s="220"/>
      <c r="C1014" s="220"/>
      <c r="D1014" s="132"/>
      <c r="E1014" s="220"/>
    </row>
    <row r="1015" spans="1:5">
      <c r="A1015" s="133"/>
      <c r="B1015" s="220"/>
      <c r="C1015" s="220"/>
      <c r="D1015" s="132"/>
      <c r="E1015" s="220"/>
    </row>
    <row r="1016" spans="1:5">
      <c r="A1016" s="133"/>
      <c r="B1016" s="220"/>
      <c r="C1016" s="220"/>
      <c r="D1016" s="132"/>
      <c r="E1016" s="220"/>
    </row>
    <row r="1017" spans="1:5">
      <c r="A1017" s="133"/>
      <c r="B1017" s="220"/>
      <c r="C1017" s="220"/>
      <c r="D1017" s="132"/>
      <c r="E1017" s="220"/>
    </row>
    <row r="1018" spans="1:5">
      <c r="A1018" s="133"/>
      <c r="B1018" s="220"/>
      <c r="C1018" s="220"/>
      <c r="D1018" s="132"/>
      <c r="E1018" s="220"/>
    </row>
    <row r="1019" spans="1:5">
      <c r="A1019" s="133"/>
      <c r="B1019" s="220"/>
      <c r="C1019" s="220"/>
      <c r="D1019" s="132"/>
      <c r="E1019" s="220"/>
    </row>
    <row r="1020" spans="1:5">
      <c r="A1020" s="133"/>
      <c r="B1020" s="220"/>
      <c r="C1020" s="220"/>
      <c r="D1020" s="132"/>
      <c r="E1020" s="220"/>
    </row>
    <row r="1021" spans="1:5">
      <c r="A1021" s="133"/>
      <c r="B1021" s="220"/>
      <c r="C1021" s="220"/>
      <c r="D1021" s="132"/>
      <c r="E1021" s="220"/>
    </row>
    <row r="1022" spans="1:5">
      <c r="A1022" s="133"/>
      <c r="B1022" s="220"/>
      <c r="C1022" s="220"/>
      <c r="D1022" s="132"/>
      <c r="E1022" s="220"/>
    </row>
    <row r="1023" spans="1:5">
      <c r="A1023" s="133"/>
      <c r="B1023" s="220"/>
      <c r="C1023" s="220"/>
      <c r="D1023" s="132"/>
      <c r="E1023" s="220"/>
    </row>
    <row r="1024" spans="1:5">
      <c r="A1024" s="133"/>
      <c r="B1024" s="220"/>
      <c r="C1024" s="220"/>
      <c r="D1024" s="132"/>
      <c r="E1024" s="220"/>
    </row>
    <row r="1025" spans="1:5">
      <c r="A1025" s="133"/>
      <c r="B1025" s="220"/>
      <c r="C1025" s="220"/>
      <c r="D1025" s="132"/>
      <c r="E1025" s="220"/>
    </row>
    <row r="1026" spans="1:5">
      <c r="A1026" s="133"/>
      <c r="B1026" s="220"/>
      <c r="C1026" s="220"/>
      <c r="D1026" s="132"/>
      <c r="E1026" s="220"/>
    </row>
    <row r="1027" spans="1:5">
      <c r="A1027" s="133"/>
      <c r="B1027" s="220"/>
      <c r="C1027" s="220"/>
      <c r="D1027" s="132"/>
      <c r="E1027" s="220"/>
    </row>
    <row r="1028" spans="1:5">
      <c r="A1028" s="133"/>
      <c r="B1028" s="220"/>
      <c r="C1028" s="220"/>
      <c r="D1028" s="132"/>
      <c r="E1028" s="220"/>
    </row>
    <row r="1029" spans="1:5">
      <c r="A1029" s="133"/>
      <c r="B1029" s="220"/>
      <c r="C1029" s="220"/>
      <c r="D1029" s="132"/>
      <c r="E1029" s="220"/>
    </row>
    <row r="1030" spans="1:5">
      <c r="A1030" s="133"/>
      <c r="B1030" s="220"/>
      <c r="C1030" s="220"/>
      <c r="D1030" s="132"/>
      <c r="E1030" s="220"/>
    </row>
    <row r="1031" spans="1:5">
      <c r="A1031" s="133"/>
      <c r="B1031" s="220"/>
      <c r="C1031" s="220"/>
      <c r="D1031" s="132"/>
      <c r="E1031" s="220"/>
    </row>
    <row r="1032" spans="1:5">
      <c r="A1032" s="133"/>
      <c r="B1032" s="220"/>
      <c r="C1032" s="220"/>
      <c r="D1032" s="132"/>
      <c r="E1032" s="220"/>
    </row>
    <row r="1033" spans="1:5">
      <c r="A1033" s="133"/>
      <c r="B1033" s="220"/>
      <c r="C1033" s="220"/>
      <c r="D1033" s="132"/>
      <c r="E1033" s="220"/>
    </row>
    <row r="1034" spans="1:5">
      <c r="A1034" s="133"/>
      <c r="B1034" s="220"/>
      <c r="C1034" s="220"/>
      <c r="D1034" s="132"/>
      <c r="E1034" s="220"/>
    </row>
    <row r="1035" spans="1:5">
      <c r="A1035" s="133"/>
      <c r="B1035" s="220"/>
      <c r="C1035" s="220"/>
      <c r="D1035" s="132"/>
      <c r="E1035" s="220"/>
    </row>
    <row r="1036" spans="1:5">
      <c r="A1036" s="133"/>
      <c r="B1036" s="220"/>
      <c r="C1036" s="220"/>
      <c r="D1036" s="132"/>
      <c r="E1036" s="220"/>
    </row>
    <row r="1037" spans="1:5">
      <c r="A1037" s="133"/>
      <c r="B1037" s="220"/>
      <c r="C1037" s="220"/>
      <c r="D1037" s="132"/>
      <c r="E1037" s="220"/>
    </row>
    <row r="1038" spans="1:5">
      <c r="A1038" s="133"/>
      <c r="B1038" s="220"/>
      <c r="C1038" s="220"/>
      <c r="D1038" s="132"/>
      <c r="E1038" s="220"/>
    </row>
    <row r="1039" spans="1:5">
      <c r="A1039" s="133"/>
      <c r="B1039" s="220"/>
      <c r="C1039" s="220"/>
      <c r="D1039" s="132"/>
      <c r="E1039" s="220"/>
    </row>
    <row r="1040" spans="1:5">
      <c r="A1040" s="133"/>
      <c r="B1040" s="220"/>
      <c r="C1040" s="220"/>
      <c r="D1040" s="132"/>
      <c r="E1040" s="220"/>
    </row>
    <row r="1041" spans="1:5">
      <c r="A1041" s="133"/>
      <c r="B1041" s="220"/>
      <c r="C1041" s="220"/>
      <c r="D1041" s="132"/>
      <c r="E1041" s="220"/>
    </row>
    <row r="1042" spans="1:5">
      <c r="A1042" s="133"/>
      <c r="B1042" s="220"/>
      <c r="C1042" s="220"/>
      <c r="D1042" s="132"/>
      <c r="E1042" s="220"/>
    </row>
    <row r="1043" spans="1:5">
      <c r="A1043" s="133"/>
      <c r="B1043" s="220"/>
      <c r="C1043" s="220"/>
      <c r="D1043" s="132"/>
      <c r="E1043" s="220"/>
    </row>
    <row r="1044" spans="1:5">
      <c r="A1044" s="133"/>
      <c r="B1044" s="220"/>
      <c r="C1044" s="220"/>
      <c r="D1044" s="132"/>
      <c r="E1044" s="220"/>
    </row>
    <row r="1045" spans="1:5">
      <c r="A1045" s="133"/>
      <c r="B1045" s="220"/>
      <c r="C1045" s="220"/>
      <c r="D1045" s="132"/>
      <c r="E1045" s="220"/>
    </row>
    <row r="1046" spans="1:5">
      <c r="A1046" s="133"/>
      <c r="B1046" s="220"/>
      <c r="C1046" s="220"/>
      <c r="D1046" s="132"/>
      <c r="E1046" s="220"/>
    </row>
    <row r="1047" spans="1:5">
      <c r="A1047" s="133"/>
      <c r="B1047" s="220"/>
      <c r="C1047" s="220"/>
      <c r="D1047" s="132"/>
      <c r="E1047" s="220"/>
    </row>
    <row r="1048" spans="1:5">
      <c r="A1048" s="133"/>
      <c r="B1048" s="220"/>
      <c r="C1048" s="220"/>
      <c r="D1048" s="132"/>
      <c r="E1048" s="220"/>
    </row>
    <row r="1049" spans="1:5">
      <c r="A1049" s="133"/>
      <c r="B1049" s="220"/>
      <c r="C1049" s="220"/>
      <c r="D1049" s="132"/>
      <c r="E1049" s="220"/>
    </row>
    <row r="1050" spans="1:5">
      <c r="A1050" s="133"/>
      <c r="B1050" s="220"/>
      <c r="C1050" s="220"/>
      <c r="D1050" s="132"/>
      <c r="E1050" s="220"/>
    </row>
    <row r="1051" spans="1:5">
      <c r="A1051" s="133"/>
      <c r="B1051" s="220"/>
      <c r="C1051" s="220"/>
      <c r="D1051" s="132"/>
      <c r="E1051" s="220"/>
    </row>
    <row r="1052" spans="1:5">
      <c r="A1052" s="133"/>
      <c r="B1052" s="220"/>
      <c r="C1052" s="220"/>
      <c r="D1052" s="132"/>
      <c r="E1052" s="220"/>
    </row>
    <row r="1053" spans="1:5">
      <c r="A1053" s="133"/>
      <c r="B1053" s="220"/>
      <c r="C1053" s="220"/>
      <c r="D1053" s="132"/>
      <c r="E1053" s="220"/>
    </row>
    <row r="1054" spans="1:5">
      <c r="A1054" s="133"/>
      <c r="B1054" s="220"/>
      <c r="C1054" s="220"/>
      <c r="D1054" s="132"/>
      <c r="E1054" s="220"/>
    </row>
    <row r="1055" spans="1:5">
      <c r="A1055" s="133"/>
      <c r="B1055" s="220"/>
      <c r="C1055" s="220"/>
      <c r="D1055" s="132"/>
      <c r="E1055" s="220"/>
    </row>
    <row r="1056" spans="1:5">
      <c r="A1056" s="133"/>
      <c r="B1056" s="220"/>
      <c r="C1056" s="220"/>
      <c r="D1056" s="132"/>
      <c r="E1056" s="220"/>
    </row>
    <row r="1057" spans="1:5">
      <c r="A1057" s="133"/>
      <c r="B1057" s="220"/>
      <c r="C1057" s="220"/>
      <c r="D1057" s="132"/>
      <c r="E1057" s="220"/>
    </row>
    <row r="1058" spans="1:5">
      <c r="A1058" s="133"/>
      <c r="B1058" s="220"/>
      <c r="C1058" s="220"/>
      <c r="D1058" s="132"/>
      <c r="E1058" s="220"/>
    </row>
    <row r="1059" spans="1:5">
      <c r="A1059" s="133"/>
      <c r="B1059" s="220"/>
      <c r="C1059" s="220"/>
      <c r="D1059" s="132"/>
      <c r="E1059" s="220"/>
    </row>
    <row r="1060" spans="1:5">
      <c r="A1060" s="133"/>
      <c r="B1060" s="220"/>
      <c r="C1060" s="220"/>
      <c r="D1060" s="132"/>
      <c r="E1060" s="220"/>
    </row>
    <row r="1061" spans="1:5">
      <c r="A1061" s="133"/>
      <c r="B1061" s="220"/>
      <c r="C1061" s="220"/>
      <c r="D1061" s="132"/>
      <c r="E1061" s="220"/>
    </row>
    <row r="1062" spans="1:5">
      <c r="A1062" s="133"/>
      <c r="B1062" s="220"/>
      <c r="C1062" s="220"/>
      <c r="D1062" s="132"/>
      <c r="E1062" s="220"/>
    </row>
    <row r="1063" spans="1:5">
      <c r="A1063" s="133"/>
      <c r="B1063" s="220"/>
      <c r="C1063" s="220"/>
      <c r="D1063" s="132"/>
      <c r="E1063" s="220"/>
    </row>
    <row r="1064" spans="1:5">
      <c r="A1064" s="133"/>
      <c r="B1064" s="220"/>
      <c r="C1064" s="220"/>
      <c r="D1064" s="132"/>
      <c r="E1064" s="220"/>
    </row>
    <row r="1065" spans="1:5">
      <c r="A1065" s="133"/>
      <c r="B1065" s="220"/>
      <c r="C1065" s="220"/>
      <c r="D1065" s="132"/>
      <c r="E1065" s="220"/>
    </row>
    <row r="1066" spans="1:5">
      <c r="A1066" s="133"/>
      <c r="B1066" s="220"/>
      <c r="C1066" s="220"/>
      <c r="D1066" s="132"/>
      <c r="E1066" s="220"/>
    </row>
    <row r="1067" spans="1:5">
      <c r="A1067" s="133"/>
      <c r="B1067" s="220"/>
      <c r="C1067" s="220"/>
      <c r="D1067" s="132"/>
      <c r="E1067" s="220"/>
    </row>
    <row r="1068" spans="1:5">
      <c r="A1068" s="133"/>
      <c r="B1068" s="220"/>
      <c r="C1068" s="220"/>
      <c r="D1068" s="132"/>
      <c r="E1068" s="220"/>
    </row>
    <row r="1069" spans="1:5">
      <c r="A1069" s="133"/>
      <c r="B1069" s="220"/>
      <c r="C1069" s="220"/>
      <c r="D1069" s="132"/>
      <c r="E1069" s="220"/>
    </row>
    <row r="1070" spans="1:5">
      <c r="A1070" s="133"/>
      <c r="B1070" s="220"/>
      <c r="C1070" s="220"/>
      <c r="D1070" s="132"/>
      <c r="E1070" s="220"/>
    </row>
    <row r="1071" spans="1:5">
      <c r="A1071" s="133"/>
      <c r="B1071" s="220"/>
      <c r="C1071" s="220"/>
      <c r="D1071" s="132"/>
      <c r="E1071" s="220"/>
    </row>
    <row r="1072" spans="1:5">
      <c r="A1072" s="133"/>
      <c r="B1072" s="220"/>
      <c r="C1072" s="220"/>
      <c r="D1072" s="132"/>
      <c r="E1072" s="220"/>
    </row>
    <row r="1073" spans="1:5">
      <c r="A1073" s="133"/>
      <c r="B1073" s="220"/>
      <c r="C1073" s="220"/>
      <c r="D1073" s="132"/>
      <c r="E1073" s="220"/>
    </row>
    <row r="1074" spans="1:5">
      <c r="A1074" s="133"/>
      <c r="B1074" s="220"/>
      <c r="C1074" s="220"/>
      <c r="D1074" s="132"/>
      <c r="E1074" s="220"/>
    </row>
    <row r="1075" spans="1:5">
      <c r="A1075" s="133"/>
      <c r="B1075" s="220"/>
      <c r="C1075" s="220"/>
      <c r="D1075" s="132"/>
      <c r="E1075" s="220"/>
    </row>
    <row r="1076" spans="1:5">
      <c r="A1076" s="133"/>
      <c r="B1076" s="220"/>
      <c r="C1076" s="220"/>
      <c r="D1076" s="132"/>
      <c r="E1076" s="220"/>
    </row>
    <row r="1077" spans="1:5">
      <c r="A1077" s="133"/>
      <c r="B1077" s="220"/>
      <c r="C1077" s="220"/>
      <c r="D1077" s="132"/>
      <c r="E1077" s="220"/>
    </row>
    <row r="1078" spans="1:5">
      <c r="A1078" s="133"/>
      <c r="B1078" s="220"/>
      <c r="C1078" s="220"/>
      <c r="D1078" s="132"/>
      <c r="E1078" s="220"/>
    </row>
    <row r="1079" spans="1:5">
      <c r="A1079" s="133"/>
      <c r="B1079" s="220"/>
      <c r="C1079" s="220"/>
      <c r="D1079" s="132"/>
      <c r="E1079" s="220"/>
    </row>
    <row r="1080" spans="1:5">
      <c r="A1080" s="133"/>
      <c r="B1080" s="220"/>
      <c r="C1080" s="220"/>
      <c r="D1080" s="132"/>
      <c r="E1080" s="220"/>
    </row>
    <row r="1081" spans="1:5">
      <c r="A1081" s="133"/>
      <c r="B1081" s="220"/>
      <c r="C1081" s="220"/>
      <c r="D1081" s="132"/>
      <c r="E1081" s="220"/>
    </row>
    <row r="1082" spans="1:5">
      <c r="A1082" s="133"/>
      <c r="B1082" s="220"/>
      <c r="C1082" s="220"/>
      <c r="D1082" s="132"/>
      <c r="E1082" s="220"/>
    </row>
    <row r="1083" spans="1:5">
      <c r="A1083" s="133"/>
      <c r="B1083" s="220"/>
      <c r="C1083" s="220"/>
      <c r="D1083" s="132"/>
      <c r="E1083" s="220"/>
    </row>
    <row r="1084" spans="1:5">
      <c r="A1084" s="133"/>
      <c r="B1084" s="220"/>
      <c r="C1084" s="220"/>
      <c r="D1084" s="132"/>
      <c r="E1084" s="220"/>
    </row>
    <row r="1085" spans="1:5">
      <c r="A1085" s="133"/>
      <c r="B1085" s="220"/>
      <c r="C1085" s="220"/>
      <c r="D1085" s="132"/>
      <c r="E1085" s="220"/>
    </row>
    <row r="1086" spans="1:5">
      <c r="A1086" s="133"/>
      <c r="B1086" s="220"/>
      <c r="C1086" s="220"/>
      <c r="D1086" s="132"/>
      <c r="E1086" s="220"/>
    </row>
    <row r="1087" spans="1:5">
      <c r="A1087" s="133"/>
      <c r="B1087" s="220"/>
      <c r="C1087" s="220"/>
      <c r="D1087" s="132"/>
      <c r="E1087" s="220"/>
    </row>
    <row r="1088" spans="1:5">
      <c r="A1088" s="133"/>
      <c r="B1088" s="220"/>
      <c r="C1088" s="220"/>
      <c r="D1088" s="132"/>
      <c r="E1088" s="220"/>
    </row>
    <row r="1089" spans="1:5">
      <c r="A1089" s="133"/>
      <c r="B1089" s="220"/>
      <c r="C1089" s="220"/>
      <c r="D1089" s="132"/>
      <c r="E1089" s="220"/>
    </row>
    <row r="1090" spans="1:5">
      <c r="A1090" s="133"/>
      <c r="B1090" s="220"/>
      <c r="C1090" s="220"/>
      <c r="D1090" s="132"/>
      <c r="E1090" s="220"/>
    </row>
    <row r="1091" spans="1:5">
      <c r="A1091" s="133"/>
      <c r="B1091" s="220"/>
      <c r="C1091" s="220"/>
      <c r="D1091" s="132"/>
      <c r="E1091" s="220"/>
    </row>
    <row r="1092" spans="1:5">
      <c r="A1092" s="133"/>
      <c r="B1092" s="220"/>
      <c r="C1092" s="220"/>
      <c r="D1092" s="132"/>
      <c r="E1092" s="220"/>
    </row>
    <row r="1093" spans="1:5">
      <c r="A1093" s="133"/>
      <c r="B1093" s="220"/>
      <c r="C1093" s="220"/>
      <c r="D1093" s="132"/>
      <c r="E1093" s="220"/>
    </row>
    <row r="1094" spans="1:5">
      <c r="A1094" s="133"/>
      <c r="B1094" s="220"/>
      <c r="C1094" s="220"/>
      <c r="D1094" s="132"/>
      <c r="E1094" s="220"/>
    </row>
    <row r="1095" spans="1:5">
      <c r="A1095" s="133"/>
      <c r="B1095" s="220"/>
      <c r="C1095" s="220"/>
      <c r="D1095" s="132"/>
      <c r="E1095" s="220"/>
    </row>
    <row r="1096" spans="1:5">
      <c r="A1096" s="133"/>
      <c r="B1096" s="220"/>
      <c r="C1096" s="220"/>
      <c r="D1096" s="132"/>
      <c r="E1096" s="220"/>
    </row>
    <row r="1097" spans="1:5">
      <c r="A1097" s="133"/>
      <c r="B1097" s="220"/>
      <c r="C1097" s="220"/>
      <c r="D1097" s="132"/>
      <c r="E1097" s="220"/>
    </row>
    <row r="1098" spans="1:5">
      <c r="A1098" s="133"/>
      <c r="B1098" s="220"/>
      <c r="C1098" s="220"/>
      <c r="D1098" s="132"/>
      <c r="E1098" s="220"/>
    </row>
    <row r="1099" spans="1:5">
      <c r="A1099" s="133"/>
      <c r="B1099" s="220"/>
      <c r="C1099" s="220"/>
      <c r="D1099" s="132"/>
      <c r="E1099" s="220"/>
    </row>
    <row r="1100" spans="1:5">
      <c r="A1100" s="133"/>
      <c r="B1100" s="220"/>
      <c r="C1100" s="220"/>
      <c r="D1100" s="132"/>
      <c r="E1100" s="220"/>
    </row>
    <row r="1101" spans="1:5">
      <c r="A1101" s="133"/>
      <c r="B1101" s="220"/>
      <c r="C1101" s="220"/>
      <c r="D1101" s="132"/>
      <c r="E1101" s="220"/>
    </row>
    <row r="1102" spans="1:5">
      <c r="A1102" s="133"/>
      <c r="B1102" s="220"/>
      <c r="C1102" s="220"/>
      <c r="D1102" s="132"/>
      <c r="E1102" s="220"/>
    </row>
    <row r="1103" spans="1:5">
      <c r="A1103" s="133"/>
      <c r="B1103" s="220"/>
      <c r="C1103" s="220"/>
      <c r="D1103" s="132"/>
      <c r="E1103" s="220"/>
    </row>
    <row r="1104" spans="1:5">
      <c r="A1104" s="133"/>
      <c r="B1104" s="220"/>
      <c r="C1104" s="220"/>
      <c r="D1104" s="132"/>
      <c r="E1104" s="220"/>
    </row>
    <row r="1105" spans="1:5">
      <c r="A1105" s="133"/>
      <c r="B1105" s="220"/>
      <c r="C1105" s="220"/>
      <c r="D1105" s="132"/>
      <c r="E1105" s="220"/>
    </row>
    <row r="1106" spans="1:5">
      <c r="A1106" s="133"/>
      <c r="B1106" s="220"/>
      <c r="C1106" s="220"/>
      <c r="D1106" s="132"/>
      <c r="E1106" s="220"/>
    </row>
    <row r="1107" spans="1:5">
      <c r="A1107" s="133"/>
      <c r="B1107" s="220"/>
      <c r="C1107" s="220"/>
      <c r="D1107" s="132"/>
      <c r="E1107" s="220"/>
    </row>
    <row r="1108" spans="1:5">
      <c r="A1108" s="133"/>
      <c r="B1108" s="220"/>
      <c r="C1108" s="220"/>
      <c r="D1108" s="132"/>
      <c r="E1108" s="220"/>
    </row>
    <row r="1109" spans="1:5">
      <c r="A1109" s="133"/>
      <c r="B1109" s="220"/>
      <c r="C1109" s="220"/>
      <c r="D1109" s="132"/>
      <c r="E1109" s="220"/>
    </row>
    <row r="1110" spans="1:5">
      <c r="A1110" s="133"/>
      <c r="B1110" s="220"/>
      <c r="C1110" s="220"/>
      <c r="D1110" s="132"/>
      <c r="E1110" s="220"/>
    </row>
    <row r="1111" spans="1:5">
      <c r="A1111" s="133"/>
      <c r="B1111" s="220"/>
      <c r="C1111" s="220"/>
      <c r="D1111" s="132"/>
      <c r="E1111" s="220"/>
    </row>
    <row r="1112" spans="1:5">
      <c r="A1112" s="133"/>
      <c r="B1112" s="220"/>
      <c r="C1112" s="220"/>
      <c r="D1112" s="132"/>
      <c r="E1112" s="220"/>
    </row>
    <row r="1113" spans="1:5">
      <c r="A1113" s="133"/>
      <c r="B1113" s="220"/>
      <c r="C1113" s="220"/>
      <c r="D1113" s="132"/>
      <c r="E1113" s="220"/>
    </row>
    <row r="1114" spans="1:5">
      <c r="A1114" s="133"/>
      <c r="B1114" s="220"/>
      <c r="C1114" s="220"/>
      <c r="D1114" s="132"/>
      <c r="E1114" s="220"/>
    </row>
    <row r="1115" spans="1:5">
      <c r="A1115" s="133"/>
      <c r="B1115" s="220"/>
      <c r="C1115" s="220"/>
      <c r="D1115" s="132"/>
      <c r="E1115" s="220"/>
    </row>
    <row r="1116" spans="1:5">
      <c r="A1116" s="133"/>
      <c r="B1116" s="220"/>
      <c r="C1116" s="220"/>
      <c r="D1116" s="132"/>
      <c r="E1116" s="220"/>
    </row>
    <row r="1117" spans="1:5">
      <c r="A1117" s="133"/>
      <c r="B1117" s="220"/>
      <c r="C1117" s="220"/>
      <c r="D1117" s="132"/>
      <c r="E1117" s="220"/>
    </row>
    <row r="1118" spans="1:5">
      <c r="A1118" s="133"/>
      <c r="B1118" s="220"/>
      <c r="C1118" s="220"/>
      <c r="D1118" s="132"/>
      <c r="E1118" s="220"/>
    </row>
    <row r="1119" spans="1:5">
      <c r="A1119" s="133"/>
      <c r="B1119" s="220"/>
      <c r="C1119" s="220"/>
      <c r="D1119" s="132"/>
      <c r="E1119" s="220"/>
    </row>
    <row r="1120" spans="1:5">
      <c r="A1120" s="133"/>
      <c r="B1120" s="220"/>
      <c r="C1120" s="220"/>
      <c r="D1120" s="132"/>
      <c r="E1120" s="220"/>
    </row>
    <row r="1121" spans="1:5">
      <c r="A1121" s="133"/>
      <c r="B1121" s="220"/>
      <c r="C1121" s="220"/>
      <c r="D1121" s="132"/>
      <c r="E1121" s="220"/>
    </row>
    <row r="1122" spans="1:5">
      <c r="A1122" s="133"/>
      <c r="B1122" s="220"/>
      <c r="C1122" s="220"/>
      <c r="D1122" s="132"/>
      <c r="E1122" s="220"/>
    </row>
    <row r="1123" spans="1:5">
      <c r="A1123" s="133"/>
      <c r="B1123" s="220"/>
      <c r="C1123" s="220"/>
      <c r="D1123" s="132"/>
      <c r="E1123" s="220"/>
    </row>
    <row r="1124" spans="1:5">
      <c r="A1124" s="133"/>
      <c r="B1124" s="220"/>
      <c r="C1124" s="220"/>
      <c r="D1124" s="132"/>
      <c r="E1124" s="220"/>
    </row>
    <row r="1125" spans="1:5">
      <c r="A1125" s="133"/>
      <c r="B1125" s="220"/>
      <c r="C1125" s="220"/>
      <c r="D1125" s="132"/>
      <c r="E1125" s="220"/>
    </row>
    <row r="1126" spans="1:5">
      <c r="A1126" s="133"/>
      <c r="B1126" s="220"/>
      <c r="C1126" s="220"/>
      <c r="D1126" s="132"/>
      <c r="E1126" s="220"/>
    </row>
    <row r="1127" spans="1:5">
      <c r="A1127" s="133"/>
      <c r="B1127" s="220"/>
      <c r="C1127" s="220"/>
      <c r="D1127" s="132"/>
      <c r="E1127" s="220"/>
    </row>
    <row r="1128" spans="1:5">
      <c r="A1128" s="133"/>
      <c r="B1128" s="220"/>
      <c r="C1128" s="220"/>
      <c r="D1128" s="132"/>
      <c r="E1128" s="220"/>
    </row>
    <row r="1129" spans="1:5">
      <c r="A1129" s="133"/>
      <c r="B1129" s="220"/>
      <c r="C1129" s="220"/>
      <c r="D1129" s="132"/>
      <c r="E1129" s="220"/>
    </row>
    <row r="1130" spans="1:5">
      <c r="A1130" s="133"/>
      <c r="B1130" s="220"/>
      <c r="C1130" s="220"/>
      <c r="D1130" s="132"/>
      <c r="E1130" s="220"/>
    </row>
    <row r="1131" spans="1:5">
      <c r="A1131" s="133"/>
      <c r="B1131" s="220"/>
      <c r="C1131" s="220"/>
      <c r="D1131" s="132"/>
      <c r="E1131" s="220"/>
    </row>
    <row r="1132" spans="1:5">
      <c r="A1132" s="133"/>
      <c r="B1132" s="220"/>
      <c r="C1132" s="220"/>
      <c r="D1132" s="132"/>
      <c r="E1132" s="220"/>
    </row>
    <row r="1133" spans="1:5">
      <c r="A1133" s="133"/>
      <c r="B1133" s="220"/>
      <c r="C1133" s="220"/>
      <c r="D1133" s="132"/>
      <c r="E1133" s="220"/>
    </row>
    <row r="1134" spans="1:5">
      <c r="A1134" s="133"/>
      <c r="B1134" s="220"/>
      <c r="C1134" s="220"/>
      <c r="D1134" s="132"/>
      <c r="E1134" s="220"/>
    </row>
    <row r="1135" spans="1:5">
      <c r="A1135" s="133"/>
      <c r="B1135" s="220"/>
      <c r="C1135" s="220"/>
      <c r="D1135" s="132"/>
      <c r="E1135" s="220"/>
    </row>
    <row r="1136" spans="1:5">
      <c r="A1136" s="133"/>
      <c r="B1136" s="220"/>
      <c r="C1136" s="220"/>
      <c r="D1136" s="132"/>
      <c r="E1136" s="220"/>
    </row>
    <row r="1137" spans="1:5">
      <c r="A1137" s="133"/>
      <c r="B1137" s="220"/>
      <c r="C1137" s="220"/>
      <c r="D1137" s="132"/>
      <c r="E1137" s="220"/>
    </row>
    <row r="1138" spans="1:5">
      <c r="A1138" s="133"/>
      <c r="B1138" s="220"/>
      <c r="C1138" s="220"/>
      <c r="D1138" s="132"/>
      <c r="E1138" s="220"/>
    </row>
    <row r="1139" spans="1:5">
      <c r="A1139" s="133"/>
      <c r="B1139" s="220"/>
      <c r="C1139" s="220"/>
      <c r="D1139" s="132"/>
      <c r="E1139" s="220"/>
    </row>
    <row r="1140" spans="1:5">
      <c r="A1140" s="133"/>
      <c r="B1140" s="220"/>
      <c r="C1140" s="220"/>
      <c r="D1140" s="132"/>
      <c r="E1140" s="220"/>
    </row>
    <row r="1141" spans="1:5">
      <c r="A1141" s="133"/>
      <c r="B1141" s="220"/>
      <c r="C1141" s="220"/>
      <c r="D1141" s="132"/>
      <c r="E1141" s="220"/>
    </row>
    <row r="1142" spans="1:5">
      <c r="A1142" s="133"/>
      <c r="B1142" s="220"/>
      <c r="C1142" s="220"/>
      <c r="D1142" s="132"/>
      <c r="E1142" s="220"/>
    </row>
    <row r="1143" spans="1:5">
      <c r="A1143" s="133"/>
      <c r="B1143" s="220"/>
      <c r="C1143" s="220"/>
      <c r="D1143" s="132"/>
      <c r="E1143" s="220"/>
    </row>
    <row r="1144" spans="1:5">
      <c r="A1144" s="133"/>
      <c r="B1144" s="220"/>
      <c r="C1144" s="220"/>
      <c r="D1144" s="132"/>
      <c r="E1144" s="220"/>
    </row>
    <row r="1145" spans="1:5">
      <c r="A1145" s="133"/>
      <c r="B1145" s="220"/>
      <c r="C1145" s="220"/>
      <c r="D1145" s="132"/>
      <c r="E1145" s="220"/>
    </row>
    <row r="1146" spans="1:5">
      <c r="A1146" s="133"/>
      <c r="B1146" s="220"/>
      <c r="C1146" s="220"/>
      <c r="D1146" s="132"/>
      <c r="E1146" s="220"/>
    </row>
    <row r="1147" spans="1:5">
      <c r="A1147" s="133"/>
      <c r="B1147" s="220"/>
      <c r="C1147" s="220"/>
      <c r="D1147" s="132"/>
      <c r="E1147" s="220"/>
    </row>
    <row r="1148" spans="1:5">
      <c r="A1148" s="133"/>
      <c r="B1148" s="220"/>
      <c r="C1148" s="220"/>
      <c r="D1148" s="132"/>
      <c r="E1148" s="220"/>
    </row>
    <row r="1149" spans="1:5">
      <c r="A1149" s="133"/>
      <c r="B1149" s="220"/>
      <c r="C1149" s="220"/>
      <c r="D1149" s="132"/>
      <c r="E1149" s="220"/>
    </row>
    <row r="1150" spans="1:5">
      <c r="A1150" s="133"/>
      <c r="B1150" s="220"/>
      <c r="C1150" s="220"/>
      <c r="D1150" s="132"/>
      <c r="E1150" s="220"/>
    </row>
    <row r="1151" spans="1:5">
      <c r="A1151" s="133"/>
      <c r="B1151" s="220"/>
      <c r="C1151" s="220"/>
      <c r="D1151" s="132"/>
      <c r="E1151" s="220"/>
    </row>
    <row r="1152" spans="1:5">
      <c r="A1152" s="133"/>
      <c r="B1152" s="220"/>
      <c r="C1152" s="220"/>
      <c r="D1152" s="132"/>
      <c r="E1152" s="220"/>
    </row>
    <row r="1153" spans="1:5">
      <c r="A1153" s="133"/>
      <c r="B1153" s="220"/>
      <c r="C1153" s="220"/>
      <c r="D1153" s="132"/>
      <c r="E1153" s="220"/>
    </row>
    <row r="1154" spans="1:5">
      <c r="A1154" s="133"/>
      <c r="B1154" s="220"/>
      <c r="C1154" s="220"/>
      <c r="D1154" s="132"/>
      <c r="E1154" s="220"/>
    </row>
    <row r="1155" spans="1:5">
      <c r="A1155" s="133"/>
      <c r="B1155" s="220"/>
      <c r="C1155" s="220"/>
      <c r="D1155" s="132"/>
      <c r="E1155" s="220"/>
    </row>
    <row r="1156" spans="1:5">
      <c r="A1156" s="133"/>
      <c r="B1156" s="220"/>
      <c r="C1156" s="220"/>
      <c r="D1156" s="132"/>
      <c r="E1156" s="220"/>
    </row>
    <row r="1157" spans="1:5">
      <c r="A1157" s="133"/>
      <c r="B1157" s="220"/>
      <c r="C1157" s="220"/>
      <c r="D1157" s="132"/>
      <c r="E1157" s="220"/>
    </row>
    <row r="1158" spans="1:5">
      <c r="A1158" s="133"/>
      <c r="B1158" s="220"/>
      <c r="C1158" s="220"/>
      <c r="D1158" s="132"/>
      <c r="E1158" s="220"/>
    </row>
    <row r="1159" spans="1:5">
      <c r="A1159" s="133"/>
      <c r="B1159" s="220"/>
      <c r="C1159" s="220"/>
      <c r="D1159" s="132"/>
      <c r="E1159" s="220"/>
    </row>
    <row r="1160" spans="1:5">
      <c r="A1160" s="133"/>
      <c r="B1160" s="220"/>
      <c r="C1160" s="220"/>
      <c r="D1160" s="132"/>
      <c r="E1160" s="220"/>
    </row>
    <row r="1161" spans="1:5">
      <c r="A1161" s="133"/>
      <c r="B1161" s="220"/>
      <c r="C1161" s="220"/>
      <c r="D1161" s="132"/>
      <c r="E1161" s="220"/>
    </row>
    <row r="1162" spans="1:5">
      <c r="A1162" s="133"/>
      <c r="B1162" s="220"/>
      <c r="C1162" s="220"/>
      <c r="D1162" s="132"/>
      <c r="E1162" s="220"/>
    </row>
    <row r="1163" spans="1:5">
      <c r="A1163" s="133"/>
      <c r="B1163" s="220"/>
      <c r="C1163" s="220"/>
      <c r="D1163" s="132"/>
      <c r="E1163" s="220"/>
    </row>
    <row r="1164" spans="1:5">
      <c r="A1164" s="133"/>
      <c r="B1164" s="220"/>
      <c r="C1164" s="220"/>
      <c r="D1164" s="132"/>
      <c r="E1164" s="220"/>
    </row>
    <row r="1165" spans="1:5">
      <c r="A1165" s="133"/>
      <c r="B1165" s="220"/>
      <c r="C1165" s="220"/>
      <c r="D1165" s="132"/>
      <c r="E1165" s="220"/>
    </row>
    <row r="1166" spans="1:5">
      <c r="A1166" s="133"/>
      <c r="B1166" s="220"/>
      <c r="C1166" s="220"/>
      <c r="D1166" s="132"/>
      <c r="E1166" s="220"/>
    </row>
    <row r="1167" spans="1:5">
      <c r="A1167" s="133"/>
      <c r="B1167" s="220"/>
      <c r="C1167" s="220"/>
      <c r="D1167" s="132"/>
      <c r="E1167" s="220"/>
    </row>
    <row r="1168" spans="1:5">
      <c r="A1168" s="133"/>
      <c r="B1168" s="220"/>
      <c r="C1168" s="220"/>
      <c r="D1168" s="132"/>
      <c r="E1168" s="220"/>
    </row>
    <row r="1169" spans="1:5">
      <c r="A1169" s="133"/>
      <c r="B1169" s="220"/>
      <c r="C1169" s="220"/>
      <c r="D1169" s="132"/>
      <c r="E1169" s="220"/>
    </row>
    <row r="1170" spans="1:5">
      <c r="A1170" s="133"/>
      <c r="B1170" s="220"/>
      <c r="C1170" s="220"/>
      <c r="D1170" s="132"/>
      <c r="E1170" s="220"/>
    </row>
    <row r="1171" spans="1:5">
      <c r="A1171" s="133"/>
      <c r="B1171" s="220"/>
      <c r="C1171" s="220"/>
      <c r="D1171" s="132"/>
      <c r="E1171" s="220"/>
    </row>
    <row r="1172" spans="1:5">
      <c r="A1172" s="133"/>
      <c r="B1172" s="220"/>
      <c r="C1172" s="220"/>
      <c r="D1172" s="132"/>
      <c r="E1172" s="220"/>
    </row>
    <row r="1173" spans="1:5">
      <c r="A1173" s="133"/>
      <c r="B1173" s="220"/>
      <c r="C1173" s="220"/>
      <c r="D1173" s="132"/>
      <c r="E1173" s="220"/>
    </row>
    <row r="1174" spans="1:5">
      <c r="A1174" s="133"/>
      <c r="B1174" s="220"/>
      <c r="C1174" s="220"/>
      <c r="D1174" s="132"/>
      <c r="E1174" s="220"/>
    </row>
    <row r="1175" spans="1:5">
      <c r="A1175" s="133"/>
      <c r="B1175" s="220"/>
      <c r="C1175" s="220"/>
      <c r="D1175" s="132"/>
      <c r="E1175" s="220"/>
    </row>
    <row r="1176" spans="1:5">
      <c r="A1176" s="133"/>
      <c r="B1176" s="220"/>
      <c r="C1176" s="220"/>
      <c r="D1176" s="132"/>
      <c r="E1176" s="220"/>
    </row>
    <row r="1177" spans="1:5">
      <c r="A1177" s="133"/>
      <c r="B1177" s="220"/>
      <c r="C1177" s="220"/>
      <c r="D1177" s="132"/>
      <c r="E1177" s="220"/>
    </row>
    <row r="1178" spans="1:5">
      <c r="A1178" s="133"/>
      <c r="B1178" s="220"/>
      <c r="C1178" s="220"/>
      <c r="D1178" s="132"/>
      <c r="E1178" s="220"/>
    </row>
    <row r="1179" spans="1:5">
      <c r="A1179" s="133"/>
      <c r="B1179" s="220"/>
      <c r="C1179" s="220"/>
      <c r="D1179" s="132"/>
      <c r="E1179" s="220"/>
    </row>
    <row r="1180" spans="1:5">
      <c r="A1180" s="133"/>
      <c r="B1180" s="220"/>
      <c r="C1180" s="220"/>
      <c r="D1180" s="132"/>
      <c r="E1180" s="220"/>
    </row>
    <row r="1181" spans="1:5">
      <c r="A1181" s="133"/>
      <c r="B1181" s="220"/>
      <c r="C1181" s="220"/>
      <c r="D1181" s="132"/>
      <c r="E1181" s="220"/>
    </row>
    <row r="1182" spans="1:5">
      <c r="A1182" s="133"/>
      <c r="B1182" s="220"/>
      <c r="C1182" s="220"/>
      <c r="D1182" s="132"/>
      <c r="E1182" s="220"/>
    </row>
    <row r="1183" spans="1:5">
      <c r="A1183" s="133"/>
      <c r="B1183" s="220"/>
      <c r="C1183" s="220"/>
      <c r="D1183" s="132"/>
      <c r="E1183" s="220"/>
    </row>
    <row r="1184" spans="1:5">
      <c r="A1184" s="133"/>
      <c r="B1184" s="220"/>
      <c r="C1184" s="220"/>
      <c r="D1184" s="132"/>
      <c r="E1184" s="220"/>
    </row>
    <row r="1185" spans="1:5">
      <c r="A1185" s="133"/>
      <c r="B1185" s="220"/>
      <c r="C1185" s="220"/>
      <c r="D1185" s="132"/>
      <c r="E1185" s="220"/>
    </row>
    <row r="1186" spans="1:5">
      <c r="A1186" s="133"/>
      <c r="B1186" s="220"/>
      <c r="C1186" s="220"/>
      <c r="D1186" s="132"/>
      <c r="E1186" s="220"/>
    </row>
    <row r="1187" spans="1:5">
      <c r="A1187" s="133"/>
      <c r="B1187" s="220"/>
      <c r="C1187" s="220"/>
      <c r="D1187" s="132"/>
      <c r="E1187" s="220"/>
    </row>
    <row r="1188" spans="1:5">
      <c r="A1188" s="133"/>
      <c r="B1188" s="220"/>
      <c r="C1188" s="220"/>
      <c r="D1188" s="132"/>
      <c r="E1188" s="220"/>
    </row>
    <row r="1189" spans="1:5">
      <c r="A1189" s="133"/>
      <c r="B1189" s="220"/>
      <c r="C1189" s="220"/>
      <c r="D1189" s="132"/>
      <c r="E1189" s="220"/>
    </row>
    <row r="1190" spans="1:5">
      <c r="A1190" s="133"/>
      <c r="B1190" s="220"/>
      <c r="C1190" s="220"/>
      <c r="D1190" s="132"/>
      <c r="E1190" s="220"/>
    </row>
    <row r="1191" spans="1:5">
      <c r="A1191" s="133"/>
      <c r="B1191" s="220"/>
      <c r="C1191" s="220"/>
      <c r="D1191" s="132"/>
      <c r="E1191" s="220"/>
    </row>
    <row r="1192" spans="1:5">
      <c r="A1192" s="133"/>
      <c r="B1192" s="220"/>
      <c r="C1192" s="220"/>
      <c r="D1192" s="132"/>
      <c r="E1192" s="220"/>
    </row>
    <row r="1193" spans="1:5">
      <c r="A1193" s="133"/>
      <c r="B1193" s="220"/>
      <c r="C1193" s="220"/>
      <c r="D1193" s="132"/>
      <c r="E1193" s="220"/>
    </row>
    <row r="1194" spans="1:5">
      <c r="A1194" s="133"/>
      <c r="B1194" s="220"/>
      <c r="C1194" s="220"/>
      <c r="D1194" s="132"/>
      <c r="E1194" s="220"/>
    </row>
    <row r="1195" spans="1:5">
      <c r="A1195" s="133"/>
      <c r="B1195" s="220"/>
      <c r="C1195" s="220"/>
      <c r="D1195" s="132"/>
      <c r="E1195" s="220"/>
    </row>
    <row r="1196" spans="1:5">
      <c r="A1196" s="133"/>
      <c r="B1196" s="220"/>
      <c r="C1196" s="220"/>
      <c r="D1196" s="132"/>
      <c r="E1196" s="220"/>
    </row>
    <row r="1197" spans="1:5">
      <c r="A1197" s="133"/>
      <c r="B1197" s="220"/>
      <c r="C1197" s="220"/>
      <c r="D1197" s="132"/>
      <c r="E1197" s="220"/>
    </row>
    <row r="1198" spans="1:5">
      <c r="A1198" s="133"/>
      <c r="B1198" s="220"/>
      <c r="C1198" s="220"/>
      <c r="D1198" s="132"/>
      <c r="E1198" s="220"/>
    </row>
    <row r="1199" spans="1:5">
      <c r="A1199" s="133"/>
      <c r="B1199" s="220"/>
      <c r="C1199" s="220"/>
      <c r="D1199" s="132"/>
      <c r="E1199" s="220"/>
    </row>
    <row r="1200" spans="1:5">
      <c r="A1200" s="133"/>
      <c r="B1200" s="220"/>
      <c r="C1200" s="220"/>
      <c r="D1200" s="132"/>
      <c r="E1200" s="220"/>
    </row>
    <row r="1201" spans="1:5">
      <c r="A1201" s="133"/>
      <c r="B1201" s="220"/>
      <c r="C1201" s="220"/>
      <c r="D1201" s="132"/>
      <c r="E1201" s="220"/>
    </row>
    <row r="1202" spans="1:5">
      <c r="A1202" s="133"/>
      <c r="B1202" s="220"/>
      <c r="C1202" s="220"/>
      <c r="D1202" s="132"/>
      <c r="E1202" s="220"/>
    </row>
    <row r="1203" spans="1:5">
      <c r="A1203" s="133"/>
      <c r="B1203" s="220"/>
      <c r="C1203" s="220"/>
      <c r="D1203" s="132"/>
      <c r="E1203" s="220"/>
    </row>
    <row r="1204" spans="1:5">
      <c r="A1204" s="133"/>
      <c r="B1204" s="220"/>
      <c r="C1204" s="220"/>
      <c r="D1204" s="132"/>
      <c r="E1204" s="220"/>
    </row>
    <row r="1205" spans="1:5">
      <c r="A1205" s="133"/>
      <c r="B1205" s="220"/>
      <c r="C1205" s="220"/>
      <c r="D1205" s="132"/>
      <c r="E1205" s="220"/>
    </row>
    <row r="1206" spans="1:5">
      <c r="A1206" s="133"/>
      <c r="B1206" s="220"/>
      <c r="C1206" s="220"/>
      <c r="D1206" s="132"/>
      <c r="E1206" s="220"/>
    </row>
    <row r="1207" spans="1:5">
      <c r="A1207" s="133"/>
      <c r="B1207" s="220"/>
      <c r="C1207" s="220"/>
      <c r="D1207" s="132"/>
      <c r="E1207" s="220"/>
    </row>
    <row r="1208" spans="1:5">
      <c r="A1208" s="133"/>
      <c r="B1208" s="220"/>
      <c r="C1208" s="220"/>
      <c r="D1208" s="132"/>
      <c r="E1208" s="220"/>
    </row>
    <row r="1209" spans="1:5">
      <c r="A1209" s="133"/>
      <c r="B1209" s="220"/>
      <c r="C1209" s="220"/>
      <c r="D1209" s="132"/>
      <c r="E1209" s="220"/>
    </row>
    <row r="1210" spans="1:5">
      <c r="A1210" s="133"/>
      <c r="B1210" s="220"/>
      <c r="C1210" s="220"/>
      <c r="D1210" s="132"/>
      <c r="E1210" s="220"/>
    </row>
    <row r="1211" spans="1:5">
      <c r="A1211" s="133"/>
      <c r="B1211" s="220"/>
      <c r="C1211" s="220"/>
      <c r="D1211" s="132"/>
      <c r="E1211" s="220"/>
    </row>
    <row r="1212" spans="1:5">
      <c r="A1212" s="133"/>
      <c r="B1212" s="220"/>
      <c r="C1212" s="220"/>
      <c r="D1212" s="132"/>
      <c r="E1212" s="220"/>
    </row>
    <row r="1213" spans="1:5">
      <c r="A1213" s="133"/>
      <c r="B1213" s="220"/>
      <c r="C1213" s="220"/>
      <c r="D1213" s="132"/>
      <c r="E1213" s="220"/>
    </row>
    <row r="1214" spans="1:5">
      <c r="A1214" s="133"/>
      <c r="B1214" s="220"/>
      <c r="C1214" s="220"/>
      <c r="D1214" s="132"/>
      <c r="E1214" s="220"/>
    </row>
    <row r="1215" spans="1:5">
      <c r="A1215" s="133"/>
      <c r="B1215" s="220"/>
      <c r="C1215" s="220"/>
      <c r="D1215" s="132"/>
      <c r="E1215" s="220"/>
    </row>
    <row r="1216" spans="1:5">
      <c r="A1216" s="133"/>
      <c r="B1216" s="220"/>
      <c r="C1216" s="220"/>
      <c r="D1216" s="132"/>
      <c r="E1216" s="220"/>
    </row>
    <row r="1217" spans="1:5">
      <c r="A1217" s="133"/>
      <c r="B1217" s="220"/>
      <c r="C1217" s="220"/>
      <c r="D1217" s="132"/>
      <c r="E1217" s="220"/>
    </row>
    <row r="1218" spans="1:5">
      <c r="A1218" s="133"/>
      <c r="B1218" s="220"/>
      <c r="C1218" s="220"/>
      <c r="D1218" s="132"/>
      <c r="E1218" s="220"/>
    </row>
    <row r="1219" spans="1:5">
      <c r="A1219" s="133"/>
      <c r="B1219" s="220"/>
      <c r="C1219" s="220"/>
      <c r="D1219" s="132"/>
      <c r="E1219" s="220"/>
    </row>
    <row r="1220" spans="1:5">
      <c r="A1220" s="133"/>
      <c r="B1220" s="220"/>
      <c r="C1220" s="220"/>
      <c r="D1220" s="132"/>
      <c r="E1220" s="220"/>
    </row>
    <row r="1221" spans="1:5">
      <c r="A1221" s="133"/>
      <c r="B1221" s="220"/>
      <c r="C1221" s="220"/>
      <c r="D1221" s="132"/>
      <c r="E1221" s="220"/>
    </row>
    <row r="1222" spans="1:5">
      <c r="A1222" s="133"/>
      <c r="B1222" s="220"/>
      <c r="C1222" s="220"/>
      <c r="D1222" s="132"/>
      <c r="E1222" s="220"/>
    </row>
    <row r="1223" spans="1:5">
      <c r="A1223" s="133"/>
      <c r="B1223" s="220"/>
      <c r="C1223" s="220"/>
      <c r="D1223" s="132"/>
      <c r="E1223" s="220"/>
    </row>
    <row r="1224" spans="1:5">
      <c r="A1224" s="133"/>
      <c r="B1224" s="220"/>
      <c r="C1224" s="220"/>
      <c r="D1224" s="132"/>
      <c r="E1224" s="220"/>
    </row>
    <row r="1225" spans="1:5">
      <c r="A1225" s="133"/>
      <c r="B1225" s="220"/>
      <c r="C1225" s="220"/>
      <c r="D1225" s="132"/>
      <c r="E1225" s="220"/>
    </row>
    <row r="1226" spans="1:5">
      <c r="A1226" s="133"/>
      <c r="B1226" s="220"/>
      <c r="C1226" s="220"/>
      <c r="D1226" s="132"/>
      <c r="E1226" s="220"/>
    </row>
    <row r="1227" spans="1:5">
      <c r="A1227" s="133"/>
      <c r="B1227" s="220"/>
      <c r="C1227" s="220"/>
      <c r="D1227" s="132"/>
      <c r="E1227" s="220"/>
    </row>
    <row r="1228" spans="1:5">
      <c r="A1228" s="133"/>
      <c r="B1228" s="220"/>
      <c r="C1228" s="220"/>
      <c r="D1228" s="132"/>
      <c r="E1228" s="220"/>
    </row>
    <row r="1229" spans="1:5">
      <c r="A1229" s="133"/>
      <c r="B1229" s="220"/>
      <c r="C1229" s="220"/>
      <c r="D1229" s="132"/>
      <c r="E1229" s="220"/>
    </row>
    <row r="1230" spans="1:5">
      <c r="A1230" s="133"/>
      <c r="B1230" s="220"/>
      <c r="C1230" s="220"/>
      <c r="D1230" s="132"/>
      <c r="E1230" s="220"/>
    </row>
    <row r="1231" spans="1:5">
      <c r="A1231" s="133"/>
      <c r="B1231" s="220"/>
      <c r="C1231" s="220"/>
      <c r="D1231" s="132"/>
      <c r="E1231" s="220"/>
    </row>
    <row r="1232" spans="1:5">
      <c r="A1232" s="133"/>
      <c r="B1232" s="220"/>
      <c r="C1232" s="220"/>
      <c r="D1232" s="132"/>
      <c r="E1232" s="220"/>
    </row>
    <row r="1233" spans="1:5">
      <c r="A1233" s="133"/>
      <c r="B1233" s="220"/>
      <c r="C1233" s="220"/>
      <c r="D1233" s="132"/>
      <c r="E1233" s="220"/>
    </row>
    <row r="1234" spans="1:5">
      <c r="A1234" s="133"/>
      <c r="B1234" s="220"/>
      <c r="C1234" s="220"/>
      <c r="D1234" s="132"/>
      <c r="E1234" s="220"/>
    </row>
    <row r="1235" spans="1:5">
      <c r="A1235" s="133"/>
      <c r="B1235" s="220"/>
      <c r="C1235" s="220"/>
      <c r="D1235" s="132"/>
      <c r="E1235" s="220"/>
    </row>
    <row r="1236" spans="1:5">
      <c r="A1236" s="133"/>
      <c r="B1236" s="220"/>
      <c r="C1236" s="220"/>
      <c r="D1236" s="132"/>
      <c r="E1236" s="220"/>
    </row>
    <row r="1237" spans="1:5">
      <c r="A1237" s="133"/>
      <c r="B1237" s="220"/>
      <c r="C1237" s="220"/>
      <c r="D1237" s="132"/>
      <c r="E1237" s="220"/>
    </row>
    <row r="1238" spans="1:5">
      <c r="A1238" s="133"/>
      <c r="B1238" s="220"/>
      <c r="C1238" s="220"/>
      <c r="D1238" s="132"/>
      <c r="E1238" s="220"/>
    </row>
    <row r="1239" spans="1:5">
      <c r="A1239" s="133"/>
      <c r="B1239" s="220"/>
      <c r="C1239" s="220"/>
      <c r="D1239" s="132"/>
      <c r="E1239" s="220"/>
    </row>
    <row r="1240" spans="1:5">
      <c r="A1240" s="133"/>
      <c r="B1240" s="220"/>
      <c r="C1240" s="220"/>
      <c r="D1240" s="132"/>
      <c r="E1240" s="220"/>
    </row>
    <row r="1241" spans="1:5">
      <c r="A1241" s="133"/>
      <c r="B1241" s="220"/>
      <c r="C1241" s="220"/>
      <c r="D1241" s="132"/>
      <c r="E1241" s="220"/>
    </row>
    <row r="1242" spans="1:5">
      <c r="A1242" s="133"/>
      <c r="B1242" s="220"/>
      <c r="C1242" s="220"/>
      <c r="D1242" s="132"/>
      <c r="E1242" s="220"/>
    </row>
    <row r="1243" spans="1:5">
      <c r="A1243" s="133"/>
      <c r="B1243" s="220"/>
      <c r="C1243" s="220"/>
      <c r="D1243" s="132"/>
      <c r="E1243" s="220"/>
    </row>
    <row r="1244" spans="1:5">
      <c r="A1244" s="133"/>
      <c r="B1244" s="220"/>
      <c r="C1244" s="220"/>
      <c r="D1244" s="132"/>
      <c r="E1244" s="220"/>
    </row>
    <row r="1245" spans="1:5">
      <c r="A1245" s="133"/>
      <c r="B1245" s="220"/>
      <c r="C1245" s="220"/>
      <c r="D1245" s="132"/>
      <c r="E1245" s="220"/>
    </row>
    <row r="1246" spans="1:5">
      <c r="A1246" s="133"/>
      <c r="B1246" s="220"/>
      <c r="C1246" s="220"/>
      <c r="D1246" s="132"/>
      <c r="E1246" s="220"/>
    </row>
    <row r="1247" spans="1:5">
      <c r="A1247" s="133"/>
      <c r="B1247" s="220"/>
      <c r="C1247" s="220"/>
      <c r="D1247" s="132"/>
      <c r="E1247" s="220"/>
    </row>
    <row r="1248" spans="1:5">
      <c r="A1248" s="133"/>
      <c r="B1248" s="220"/>
      <c r="C1248" s="220"/>
      <c r="D1248" s="132"/>
      <c r="E1248" s="220"/>
    </row>
    <row r="1249" spans="1:5">
      <c r="A1249" s="133"/>
      <c r="B1249" s="220"/>
      <c r="C1249" s="220"/>
      <c r="D1249" s="132"/>
      <c r="E1249" s="220"/>
    </row>
    <row r="1250" spans="1:5">
      <c r="A1250" s="133"/>
      <c r="B1250" s="220"/>
      <c r="C1250" s="220"/>
      <c r="D1250" s="132"/>
      <c r="E1250" s="220"/>
    </row>
    <row r="1251" spans="1:5">
      <c r="A1251" s="133"/>
      <c r="B1251" s="220"/>
      <c r="C1251" s="220"/>
      <c r="D1251" s="132"/>
      <c r="E1251" s="220"/>
    </row>
    <row r="1252" spans="1:5">
      <c r="A1252" s="133"/>
      <c r="B1252" s="220"/>
      <c r="C1252" s="220"/>
      <c r="D1252" s="132"/>
      <c r="E1252" s="220"/>
    </row>
    <row r="1253" spans="1:5">
      <c r="A1253" s="133"/>
      <c r="B1253" s="220"/>
      <c r="C1253" s="220"/>
      <c r="D1253" s="132"/>
      <c r="E1253" s="220"/>
    </row>
    <row r="1254" spans="1:5">
      <c r="A1254" s="133"/>
      <c r="B1254" s="220"/>
      <c r="C1254" s="220"/>
      <c r="D1254" s="132"/>
      <c r="E1254" s="220"/>
    </row>
    <row r="1255" spans="1:5">
      <c r="A1255" s="133"/>
      <c r="B1255" s="220"/>
      <c r="C1255" s="220"/>
      <c r="D1255" s="132"/>
      <c r="E1255" s="220"/>
    </row>
    <row r="1256" spans="1:5">
      <c r="A1256" s="133"/>
      <c r="B1256" s="220"/>
      <c r="C1256" s="220"/>
      <c r="D1256" s="132"/>
      <c r="E1256" s="220"/>
    </row>
    <row r="1257" spans="1:5">
      <c r="A1257" s="133"/>
      <c r="B1257" s="220"/>
      <c r="C1257" s="220"/>
      <c r="D1257" s="132"/>
      <c r="E1257" s="220"/>
    </row>
    <row r="1258" spans="1:5">
      <c r="A1258" s="133"/>
      <c r="B1258" s="220"/>
      <c r="C1258" s="220"/>
      <c r="D1258" s="132"/>
      <c r="E1258" s="220"/>
    </row>
    <row r="1259" spans="1:5">
      <c r="A1259" s="133"/>
      <c r="B1259" s="220"/>
      <c r="C1259" s="220"/>
      <c r="D1259" s="132"/>
      <c r="E1259" s="220"/>
    </row>
    <row r="1260" spans="1:5">
      <c r="A1260" s="133"/>
      <c r="B1260" s="220"/>
      <c r="C1260" s="220"/>
      <c r="D1260" s="132"/>
      <c r="E1260" s="220"/>
    </row>
    <row r="1261" spans="1:5">
      <c r="A1261" s="133"/>
      <c r="B1261" s="220"/>
      <c r="C1261" s="220"/>
      <c r="D1261" s="132"/>
      <c r="E1261" s="220"/>
    </row>
    <row r="1262" spans="1:5">
      <c r="A1262" s="133"/>
      <c r="B1262" s="220"/>
      <c r="C1262" s="220"/>
      <c r="D1262" s="132"/>
      <c r="E1262" s="220"/>
    </row>
    <row r="1263" spans="1:5">
      <c r="A1263" s="133"/>
      <c r="B1263" s="220"/>
      <c r="C1263" s="220"/>
      <c r="D1263" s="132"/>
      <c r="E1263" s="220"/>
    </row>
    <row r="1264" spans="1:5">
      <c r="A1264" s="133"/>
      <c r="B1264" s="220"/>
      <c r="C1264" s="220"/>
      <c r="D1264" s="132"/>
      <c r="E1264" s="220"/>
    </row>
    <row r="1265" spans="1:5">
      <c r="A1265" s="133"/>
      <c r="B1265" s="220"/>
      <c r="C1265" s="220"/>
      <c r="D1265" s="132"/>
      <c r="E1265" s="220"/>
    </row>
    <row r="1266" spans="1:5">
      <c r="A1266" s="133"/>
      <c r="B1266" s="220"/>
      <c r="C1266" s="220"/>
      <c r="D1266" s="132"/>
      <c r="E1266" s="220"/>
    </row>
    <row r="1267" spans="1:5">
      <c r="A1267" s="133"/>
      <c r="B1267" s="220"/>
      <c r="C1267" s="220"/>
      <c r="D1267" s="132"/>
      <c r="E1267" s="220"/>
    </row>
    <row r="1268" spans="1:5">
      <c r="A1268" s="133"/>
      <c r="B1268" s="220"/>
      <c r="C1268" s="220"/>
      <c r="D1268" s="132"/>
      <c r="E1268" s="220"/>
    </row>
    <row r="1269" spans="1:5">
      <c r="A1269" s="133"/>
      <c r="B1269" s="220"/>
      <c r="C1269" s="220"/>
      <c r="D1269" s="132"/>
      <c r="E1269" s="220"/>
    </row>
    <row r="1270" spans="1:5">
      <c r="A1270" s="133"/>
      <c r="B1270" s="220"/>
      <c r="C1270" s="220"/>
      <c r="D1270" s="132"/>
      <c r="E1270" s="220"/>
    </row>
    <row r="1271" spans="1:5">
      <c r="A1271" s="133"/>
      <c r="B1271" s="220"/>
      <c r="C1271" s="220"/>
      <c r="D1271" s="132"/>
      <c r="E1271" s="220"/>
    </row>
    <row r="1272" spans="1:5">
      <c r="A1272" s="133"/>
      <c r="B1272" s="220"/>
      <c r="C1272" s="220"/>
      <c r="D1272" s="132"/>
      <c r="E1272" s="220"/>
    </row>
    <row r="1273" spans="1:5">
      <c r="A1273" s="133"/>
      <c r="B1273" s="220"/>
      <c r="C1273" s="220"/>
      <c r="D1273" s="132"/>
      <c r="E1273" s="220"/>
    </row>
    <row r="1274" spans="1:5">
      <c r="A1274" s="133"/>
      <c r="B1274" s="220"/>
      <c r="C1274" s="220"/>
      <c r="D1274" s="132"/>
      <c r="E1274" s="220"/>
    </row>
    <row r="1275" spans="1:5">
      <c r="A1275" s="133"/>
      <c r="B1275" s="220"/>
      <c r="C1275" s="220"/>
      <c r="D1275" s="132"/>
      <c r="E1275" s="220"/>
    </row>
    <row r="1276" spans="1:5">
      <c r="A1276" s="133"/>
      <c r="B1276" s="220"/>
      <c r="C1276" s="220"/>
      <c r="D1276" s="132"/>
      <c r="E1276" s="220"/>
    </row>
    <row r="1277" spans="1:5">
      <c r="A1277" s="133"/>
      <c r="B1277" s="220"/>
      <c r="C1277" s="220"/>
      <c r="D1277" s="132"/>
      <c r="E1277" s="220"/>
    </row>
    <row r="1278" spans="1:5">
      <c r="A1278" s="133"/>
      <c r="B1278" s="220"/>
      <c r="C1278" s="220"/>
      <c r="D1278" s="132"/>
      <c r="E1278" s="220"/>
    </row>
    <row r="1279" spans="1:5">
      <c r="A1279" s="133"/>
      <c r="B1279" s="220"/>
      <c r="C1279" s="220"/>
      <c r="D1279" s="132"/>
      <c r="E1279" s="220"/>
    </row>
    <row r="1280" spans="1:5">
      <c r="A1280" s="133"/>
      <c r="B1280" s="220"/>
      <c r="C1280" s="220"/>
      <c r="D1280" s="132"/>
      <c r="E1280" s="220"/>
    </row>
    <row r="1281" spans="1:5">
      <c r="A1281" s="133"/>
      <c r="B1281" s="220"/>
      <c r="C1281" s="220"/>
      <c r="D1281" s="132"/>
      <c r="E1281" s="220"/>
    </row>
    <row r="1282" spans="1:5">
      <c r="A1282" s="133"/>
      <c r="B1282" s="220"/>
      <c r="C1282" s="220"/>
      <c r="D1282" s="132"/>
      <c r="E1282" s="220"/>
    </row>
    <row r="1283" spans="1:5">
      <c r="A1283" s="133"/>
      <c r="B1283" s="220"/>
      <c r="C1283" s="220"/>
      <c r="D1283" s="132"/>
      <c r="E1283" s="220"/>
    </row>
    <row r="1284" spans="1:5">
      <c r="A1284" s="133"/>
      <c r="B1284" s="220"/>
      <c r="C1284" s="220"/>
      <c r="D1284" s="132"/>
      <c r="E1284" s="220"/>
    </row>
    <row r="1285" spans="1:5">
      <c r="A1285" s="133"/>
      <c r="B1285" s="220"/>
      <c r="C1285" s="220"/>
      <c r="D1285" s="132"/>
      <c r="E1285" s="220"/>
    </row>
    <row r="1286" spans="1:5">
      <c r="A1286" s="133"/>
      <c r="B1286" s="220"/>
      <c r="C1286" s="220"/>
      <c r="D1286" s="132"/>
      <c r="E1286" s="220"/>
    </row>
    <row r="1287" spans="1:5">
      <c r="A1287" s="133"/>
      <c r="B1287" s="220"/>
      <c r="C1287" s="220"/>
      <c r="D1287" s="132"/>
      <c r="E1287" s="220"/>
    </row>
    <row r="1288" spans="1:5">
      <c r="A1288" s="133"/>
      <c r="B1288" s="220"/>
      <c r="C1288" s="220"/>
      <c r="D1288" s="132"/>
      <c r="E1288" s="220"/>
    </row>
    <row r="1289" spans="1:5">
      <c r="A1289" s="133"/>
      <c r="B1289" s="220"/>
      <c r="C1289" s="220"/>
      <c r="D1289" s="132"/>
      <c r="E1289" s="220"/>
    </row>
    <row r="1290" spans="1:5">
      <c r="A1290" s="133"/>
      <c r="B1290" s="220"/>
      <c r="C1290" s="220"/>
      <c r="D1290" s="132"/>
      <c r="E1290" s="220"/>
    </row>
    <row r="1291" spans="1:5">
      <c r="A1291" s="133"/>
      <c r="B1291" s="220"/>
      <c r="C1291" s="220"/>
      <c r="D1291" s="132"/>
      <c r="E1291" s="220"/>
    </row>
    <row r="1292" spans="1:5">
      <c r="A1292" s="133"/>
      <c r="B1292" s="220"/>
      <c r="C1292" s="220"/>
      <c r="D1292" s="132"/>
      <c r="E1292" s="220"/>
    </row>
    <row r="1293" spans="1:5">
      <c r="A1293" s="133"/>
      <c r="B1293" s="220"/>
      <c r="C1293" s="220"/>
      <c r="D1293" s="132"/>
      <c r="E1293" s="220"/>
    </row>
    <row r="1294" spans="1:5">
      <c r="A1294" s="133"/>
      <c r="B1294" s="220"/>
      <c r="C1294" s="220"/>
      <c r="D1294" s="132"/>
      <c r="E1294" s="220"/>
    </row>
    <row r="1295" spans="1:5">
      <c r="A1295" s="133"/>
      <c r="B1295" s="220"/>
      <c r="C1295" s="220"/>
      <c r="D1295" s="132"/>
      <c r="E1295" s="220"/>
    </row>
    <row r="1296" spans="1:5">
      <c r="A1296" s="133"/>
      <c r="B1296" s="220"/>
      <c r="C1296" s="220"/>
      <c r="D1296" s="132"/>
      <c r="E1296" s="220"/>
    </row>
    <row r="1297" spans="1:5">
      <c r="A1297" s="133"/>
      <c r="B1297" s="220"/>
      <c r="C1297" s="220"/>
      <c r="D1297" s="132"/>
      <c r="E1297" s="220"/>
    </row>
    <row r="1298" spans="1:5">
      <c r="A1298" s="133"/>
      <c r="B1298" s="220"/>
      <c r="C1298" s="220"/>
      <c r="D1298" s="132"/>
      <c r="E1298" s="220"/>
    </row>
    <row r="1299" spans="1:5">
      <c r="A1299" s="133"/>
      <c r="B1299" s="220"/>
      <c r="C1299" s="220"/>
      <c r="D1299" s="132"/>
      <c r="E1299" s="220"/>
    </row>
    <row r="1300" spans="1:5">
      <c r="A1300" s="133"/>
      <c r="B1300" s="220"/>
      <c r="C1300" s="220"/>
      <c r="D1300" s="132"/>
      <c r="E1300" s="220"/>
    </row>
    <row r="1301" spans="1:5">
      <c r="A1301" s="133"/>
      <c r="B1301" s="220"/>
      <c r="C1301" s="220"/>
      <c r="D1301" s="132"/>
      <c r="E1301" s="220"/>
    </row>
    <row r="1302" spans="1:5">
      <c r="A1302" s="133"/>
      <c r="B1302" s="220"/>
      <c r="C1302" s="220"/>
      <c r="D1302" s="132"/>
      <c r="E1302" s="220"/>
    </row>
    <row r="1303" spans="1:5">
      <c r="A1303" s="133"/>
      <c r="B1303" s="220"/>
      <c r="C1303" s="220"/>
      <c r="D1303" s="132"/>
      <c r="E1303" s="220"/>
    </row>
    <row r="1304" spans="1:5">
      <c r="A1304" s="133"/>
      <c r="B1304" s="220"/>
      <c r="C1304" s="220"/>
      <c r="D1304" s="132"/>
      <c r="E1304" s="220"/>
    </row>
    <row r="1305" spans="1:5">
      <c r="A1305" s="133"/>
      <c r="B1305" s="220"/>
      <c r="C1305" s="220"/>
      <c r="D1305" s="132"/>
      <c r="E1305" s="220"/>
    </row>
    <row r="1306" spans="1:5">
      <c r="A1306" s="133"/>
      <c r="B1306" s="220"/>
      <c r="C1306" s="220"/>
      <c r="D1306" s="132"/>
      <c r="E1306" s="220"/>
    </row>
    <row r="1307" spans="1:5">
      <c r="A1307" s="133"/>
      <c r="B1307" s="220"/>
      <c r="C1307" s="220"/>
      <c r="D1307" s="132"/>
      <c r="E1307" s="220"/>
    </row>
    <row r="1308" spans="1:5">
      <c r="A1308" s="133"/>
      <c r="B1308" s="220"/>
      <c r="C1308" s="220"/>
      <c r="D1308" s="132"/>
      <c r="E1308" s="220"/>
    </row>
    <row r="1309" spans="1:5">
      <c r="A1309" s="133"/>
      <c r="B1309" s="220"/>
      <c r="C1309" s="220"/>
      <c r="D1309" s="132"/>
      <c r="E1309" s="220"/>
    </row>
    <row r="1310" spans="1:5">
      <c r="A1310" s="133"/>
      <c r="B1310" s="220"/>
      <c r="C1310" s="220"/>
      <c r="D1310" s="132"/>
      <c r="E1310" s="220"/>
    </row>
    <row r="1311" spans="1:5">
      <c r="A1311" s="133"/>
      <c r="B1311" s="220"/>
      <c r="C1311" s="220"/>
      <c r="D1311" s="132"/>
      <c r="E1311" s="220"/>
    </row>
    <row r="1312" spans="1:5">
      <c r="A1312" s="133"/>
      <c r="B1312" s="220"/>
      <c r="C1312" s="220"/>
      <c r="D1312" s="132"/>
      <c r="E1312" s="220"/>
    </row>
    <row r="1313" spans="1:5">
      <c r="A1313" s="133"/>
      <c r="B1313" s="220"/>
      <c r="C1313" s="220"/>
      <c r="D1313" s="132"/>
      <c r="E1313" s="220"/>
    </row>
    <row r="1314" spans="1:5">
      <c r="A1314" s="133"/>
      <c r="B1314" s="220"/>
      <c r="C1314" s="220"/>
      <c r="D1314" s="132"/>
      <c r="E1314" s="220"/>
    </row>
    <row r="1315" spans="1:5">
      <c r="A1315" s="133"/>
      <c r="B1315" s="220"/>
      <c r="C1315" s="220"/>
      <c r="D1315" s="132"/>
      <c r="E1315" s="220"/>
    </row>
    <row r="1316" spans="1:5">
      <c r="A1316" s="133"/>
      <c r="B1316" s="220"/>
      <c r="C1316" s="220"/>
      <c r="D1316" s="132"/>
      <c r="E1316" s="220"/>
    </row>
    <row r="1317" spans="1:5">
      <c r="A1317" s="133"/>
      <c r="B1317" s="220"/>
      <c r="C1317" s="220"/>
      <c r="D1317" s="132"/>
      <c r="E1317" s="220"/>
    </row>
    <row r="1318" spans="1:5">
      <c r="A1318" s="133"/>
      <c r="B1318" s="220"/>
      <c r="C1318" s="220"/>
      <c r="D1318" s="132"/>
      <c r="E1318" s="220"/>
    </row>
    <row r="1319" spans="1:5">
      <c r="A1319" s="133"/>
      <c r="B1319" s="220"/>
      <c r="C1319" s="220"/>
      <c r="D1319" s="132"/>
      <c r="E1319" s="220"/>
    </row>
    <row r="1320" spans="1:5">
      <c r="A1320" s="133"/>
      <c r="B1320" s="220"/>
      <c r="C1320" s="220"/>
      <c r="D1320" s="132"/>
      <c r="E1320" s="220"/>
    </row>
    <row r="1321" spans="1:5">
      <c r="A1321" s="133"/>
      <c r="B1321" s="220"/>
      <c r="C1321" s="220"/>
      <c r="D1321" s="132"/>
      <c r="E1321" s="220"/>
    </row>
    <row r="1322" spans="1:5">
      <c r="A1322" s="133"/>
      <c r="B1322" s="220"/>
      <c r="C1322" s="220"/>
      <c r="D1322" s="132"/>
      <c r="E1322" s="220"/>
    </row>
    <row r="1323" spans="1:5">
      <c r="A1323" s="133"/>
      <c r="B1323" s="220"/>
      <c r="C1323" s="220"/>
      <c r="D1323" s="132"/>
      <c r="E1323" s="220"/>
    </row>
    <row r="1324" spans="1:5">
      <c r="A1324" s="133"/>
      <c r="B1324" s="220"/>
      <c r="C1324" s="220"/>
      <c r="D1324" s="132"/>
      <c r="E1324" s="220"/>
    </row>
    <row r="1325" spans="1:5">
      <c r="A1325" s="133"/>
      <c r="B1325" s="220"/>
      <c r="C1325" s="220"/>
      <c r="D1325" s="132"/>
      <c r="E1325" s="220"/>
    </row>
    <row r="1326" spans="1:5">
      <c r="A1326" s="133"/>
      <c r="B1326" s="220"/>
      <c r="C1326" s="220"/>
      <c r="D1326" s="132"/>
      <c r="E1326" s="220"/>
    </row>
    <row r="1327" spans="1:5">
      <c r="A1327" s="133"/>
      <c r="B1327" s="220"/>
      <c r="C1327" s="220"/>
      <c r="D1327" s="132"/>
      <c r="E1327" s="220"/>
    </row>
    <row r="1328" spans="1:5">
      <c r="A1328" s="133"/>
      <c r="B1328" s="220"/>
      <c r="C1328" s="220"/>
      <c r="D1328" s="132"/>
      <c r="E1328" s="220"/>
    </row>
    <row r="1329" spans="1:5">
      <c r="A1329" s="133"/>
      <c r="B1329" s="220"/>
      <c r="C1329" s="220"/>
      <c r="D1329" s="132"/>
      <c r="E1329" s="220"/>
    </row>
    <row r="1330" spans="1:5">
      <c r="A1330" s="133"/>
      <c r="B1330" s="220"/>
      <c r="C1330" s="220"/>
      <c r="D1330" s="132"/>
      <c r="E1330" s="220"/>
    </row>
    <row r="1331" spans="1:5">
      <c r="A1331" s="133"/>
      <c r="B1331" s="220"/>
      <c r="C1331" s="220"/>
      <c r="D1331" s="132"/>
      <c r="E1331" s="220"/>
    </row>
    <row r="1332" spans="1:5">
      <c r="A1332" s="133"/>
      <c r="B1332" s="220"/>
      <c r="C1332" s="220"/>
      <c r="D1332" s="132"/>
      <c r="E1332" s="220"/>
    </row>
    <row r="1333" spans="1:5">
      <c r="A1333" s="133"/>
      <c r="B1333" s="220"/>
      <c r="C1333" s="220"/>
      <c r="D1333" s="132"/>
      <c r="E1333" s="220"/>
    </row>
    <row r="1334" spans="1:5">
      <c r="A1334" s="133"/>
      <c r="B1334" s="220"/>
      <c r="C1334" s="220"/>
      <c r="D1334" s="132"/>
      <c r="E1334" s="220"/>
    </row>
    <row r="1335" spans="1:5">
      <c r="A1335" s="133"/>
      <c r="B1335" s="220"/>
      <c r="C1335" s="220"/>
      <c r="D1335" s="132"/>
      <c r="E1335" s="220"/>
    </row>
    <row r="1336" spans="1:5">
      <c r="A1336" s="133"/>
      <c r="B1336" s="220"/>
      <c r="C1336" s="220"/>
      <c r="D1336" s="132"/>
      <c r="E1336" s="220"/>
    </row>
    <row r="1337" spans="1:5">
      <c r="A1337" s="133"/>
      <c r="B1337" s="220"/>
      <c r="C1337" s="220"/>
      <c r="D1337" s="132"/>
      <c r="E1337" s="220"/>
    </row>
    <row r="1338" spans="1:5">
      <c r="A1338" s="133"/>
      <c r="B1338" s="220"/>
      <c r="C1338" s="220"/>
      <c r="D1338" s="132"/>
      <c r="E1338" s="220"/>
    </row>
    <row r="1339" spans="1:5">
      <c r="A1339" s="133"/>
      <c r="B1339" s="220"/>
      <c r="C1339" s="220"/>
      <c r="D1339" s="132"/>
      <c r="E1339" s="220"/>
    </row>
    <row r="1340" spans="1:5">
      <c r="A1340" s="133"/>
      <c r="B1340" s="220"/>
      <c r="C1340" s="220"/>
      <c r="D1340" s="132"/>
      <c r="E1340" s="220"/>
    </row>
    <row r="1341" spans="1:5">
      <c r="A1341" s="133"/>
      <c r="B1341" s="220"/>
      <c r="C1341" s="220"/>
      <c r="D1341" s="132"/>
      <c r="E1341" s="220"/>
    </row>
    <row r="1342" spans="1:5">
      <c r="A1342" s="133"/>
      <c r="B1342" s="220"/>
      <c r="C1342" s="220"/>
      <c r="D1342" s="132"/>
      <c r="E1342" s="220"/>
    </row>
    <row r="1343" spans="1:5">
      <c r="A1343" s="133"/>
      <c r="B1343" s="220"/>
      <c r="C1343" s="220"/>
      <c r="D1343" s="132"/>
      <c r="E1343" s="220"/>
    </row>
    <row r="1344" spans="1:5">
      <c r="A1344" s="133"/>
      <c r="B1344" s="220"/>
      <c r="C1344" s="220"/>
      <c r="D1344" s="132"/>
      <c r="E1344" s="220"/>
    </row>
    <row r="1345" spans="1:5">
      <c r="A1345" s="133"/>
      <c r="B1345" s="220"/>
      <c r="C1345" s="220"/>
      <c r="D1345" s="132"/>
      <c r="E1345" s="220"/>
    </row>
    <row r="1346" spans="1:5">
      <c r="A1346" s="133"/>
      <c r="B1346" s="220"/>
      <c r="C1346" s="220"/>
      <c r="D1346" s="132"/>
      <c r="E1346" s="220"/>
    </row>
    <row r="1347" spans="1:5">
      <c r="A1347" s="133"/>
      <c r="B1347" s="220"/>
      <c r="C1347" s="220"/>
      <c r="D1347" s="132"/>
      <c r="E1347" s="220"/>
    </row>
    <row r="1348" spans="1:5">
      <c r="A1348" s="133"/>
      <c r="B1348" s="220"/>
      <c r="C1348" s="220"/>
      <c r="D1348" s="132"/>
      <c r="E1348" s="220"/>
    </row>
    <row r="1349" spans="1:5">
      <c r="A1349" s="133"/>
      <c r="B1349" s="220"/>
      <c r="C1349" s="220"/>
      <c r="D1349" s="132"/>
      <c r="E1349" s="220"/>
    </row>
    <row r="1350" spans="1:5">
      <c r="A1350" s="133"/>
      <c r="B1350" s="220"/>
      <c r="C1350" s="220"/>
      <c r="D1350" s="132"/>
      <c r="E1350" s="220"/>
    </row>
    <row r="1351" spans="1:5">
      <c r="A1351" s="133"/>
      <c r="B1351" s="220"/>
      <c r="C1351" s="220"/>
      <c r="D1351" s="132"/>
      <c r="E1351" s="220"/>
    </row>
    <row r="1352" spans="1:5">
      <c r="A1352" s="133"/>
      <c r="B1352" s="220"/>
      <c r="C1352" s="220"/>
      <c r="D1352" s="132"/>
      <c r="E1352" s="220"/>
    </row>
    <row r="1353" spans="1:5">
      <c r="A1353" s="133"/>
      <c r="B1353" s="220"/>
      <c r="C1353" s="220"/>
      <c r="D1353" s="132"/>
      <c r="E1353" s="220"/>
    </row>
    <row r="1354" spans="1:5">
      <c r="A1354" s="133"/>
      <c r="B1354" s="220"/>
      <c r="C1354" s="220"/>
      <c r="D1354" s="132"/>
      <c r="E1354" s="220"/>
    </row>
    <row r="1355" spans="1:5">
      <c r="A1355" s="133"/>
      <c r="B1355" s="220"/>
      <c r="C1355" s="220"/>
      <c r="D1355" s="132"/>
      <c r="E1355" s="220"/>
    </row>
    <row r="1356" spans="1:5">
      <c r="A1356" s="133"/>
      <c r="B1356" s="220"/>
      <c r="C1356" s="220"/>
      <c r="D1356" s="132"/>
      <c r="E1356" s="220"/>
    </row>
    <row r="1357" spans="1:5">
      <c r="A1357" s="133"/>
      <c r="B1357" s="220"/>
      <c r="C1357" s="220"/>
      <c r="D1357" s="132"/>
      <c r="E1357" s="220"/>
    </row>
    <row r="1358" spans="1:5">
      <c r="A1358" s="133"/>
      <c r="B1358" s="220"/>
      <c r="C1358" s="220"/>
      <c r="D1358" s="132"/>
      <c r="E1358" s="220"/>
    </row>
    <row r="1359" spans="1:5">
      <c r="A1359" s="133"/>
      <c r="B1359" s="220"/>
      <c r="C1359" s="220"/>
      <c r="D1359" s="132"/>
      <c r="E1359" s="220"/>
    </row>
    <row r="1360" spans="1:5">
      <c r="A1360" s="133"/>
      <c r="B1360" s="220"/>
      <c r="C1360" s="220"/>
      <c r="D1360" s="132"/>
      <c r="E1360" s="220"/>
    </row>
    <row r="1361" spans="1:5">
      <c r="A1361" s="133"/>
      <c r="B1361" s="220"/>
      <c r="C1361" s="220"/>
      <c r="D1361" s="132"/>
      <c r="E1361" s="220"/>
    </row>
    <row r="1362" spans="1:5">
      <c r="A1362" s="133"/>
      <c r="B1362" s="220"/>
      <c r="C1362" s="220"/>
      <c r="D1362" s="132"/>
      <c r="E1362" s="220"/>
    </row>
    <row r="1363" spans="1:5">
      <c r="A1363" s="133"/>
      <c r="B1363" s="220"/>
      <c r="C1363" s="220"/>
      <c r="D1363" s="132"/>
      <c r="E1363" s="220"/>
    </row>
    <row r="1364" spans="1:5">
      <c r="A1364" s="133"/>
      <c r="B1364" s="220"/>
      <c r="C1364" s="220"/>
      <c r="D1364" s="132"/>
      <c r="E1364" s="220"/>
    </row>
    <row r="1365" spans="1:5">
      <c r="A1365" s="133"/>
      <c r="B1365" s="220"/>
      <c r="C1365" s="220"/>
      <c r="D1365" s="132"/>
      <c r="E1365" s="220"/>
    </row>
    <row r="1366" spans="1:5">
      <c r="A1366" s="133"/>
      <c r="B1366" s="220"/>
      <c r="C1366" s="220"/>
      <c r="D1366" s="132"/>
      <c r="E1366" s="220"/>
    </row>
    <row r="1367" spans="1:5">
      <c r="A1367" s="133"/>
      <c r="B1367" s="220"/>
      <c r="C1367" s="220"/>
      <c r="D1367" s="132"/>
      <c r="E1367" s="220"/>
    </row>
    <row r="1368" spans="1:5">
      <c r="A1368" s="133"/>
      <c r="B1368" s="220"/>
      <c r="C1368" s="220"/>
      <c r="D1368" s="132"/>
      <c r="E1368" s="220"/>
    </row>
    <row r="1369" spans="1:5">
      <c r="A1369" s="133"/>
      <c r="B1369" s="220"/>
      <c r="C1369" s="220"/>
      <c r="D1369" s="132"/>
      <c r="E1369" s="220"/>
    </row>
    <row r="1370" spans="1:5">
      <c r="A1370" s="133"/>
      <c r="B1370" s="220"/>
      <c r="C1370" s="220"/>
      <c r="D1370" s="132"/>
      <c r="E1370" s="220"/>
    </row>
    <row r="1371" spans="1:5">
      <c r="A1371" s="133"/>
      <c r="B1371" s="220"/>
      <c r="C1371" s="220"/>
      <c r="D1371" s="132"/>
      <c r="E1371" s="220"/>
    </row>
    <row r="1372" spans="1:5">
      <c r="A1372" s="133"/>
      <c r="B1372" s="220"/>
      <c r="C1372" s="220"/>
      <c r="D1372" s="132"/>
      <c r="E1372" s="220"/>
    </row>
    <row r="1373" spans="1:5">
      <c r="A1373" s="133"/>
      <c r="B1373" s="220"/>
      <c r="C1373" s="220"/>
      <c r="D1373" s="132"/>
      <c r="E1373" s="220"/>
    </row>
    <row r="1374" spans="1:5">
      <c r="A1374" s="133"/>
      <c r="B1374" s="220"/>
      <c r="C1374" s="220"/>
      <c r="D1374" s="132"/>
      <c r="E1374" s="220"/>
    </row>
    <row r="1375" spans="1:5">
      <c r="A1375" s="133"/>
      <c r="B1375" s="220"/>
      <c r="C1375" s="220"/>
      <c r="D1375" s="132"/>
      <c r="E1375" s="220"/>
    </row>
    <row r="1376" spans="1:5">
      <c r="A1376" s="133"/>
      <c r="B1376" s="220"/>
      <c r="C1376" s="220"/>
      <c r="D1376" s="132"/>
      <c r="E1376" s="220"/>
    </row>
    <row r="1377" spans="1:5">
      <c r="A1377" s="133"/>
      <c r="B1377" s="220"/>
      <c r="C1377" s="220"/>
      <c r="D1377" s="132"/>
      <c r="E1377" s="220"/>
    </row>
    <row r="1378" spans="1:5">
      <c r="A1378" s="133"/>
      <c r="B1378" s="220"/>
      <c r="C1378" s="220"/>
      <c r="D1378" s="132"/>
      <c r="E1378" s="220"/>
    </row>
    <row r="1379" spans="1:5">
      <c r="A1379" s="133"/>
      <c r="B1379" s="220"/>
      <c r="C1379" s="220"/>
      <c r="D1379" s="132"/>
      <c r="E1379" s="220"/>
    </row>
    <row r="1380" spans="1:5">
      <c r="A1380" s="133"/>
      <c r="B1380" s="220"/>
      <c r="C1380" s="220"/>
      <c r="D1380" s="132"/>
      <c r="E1380" s="220"/>
    </row>
    <row r="1381" spans="1:5">
      <c r="A1381" s="133"/>
      <c r="B1381" s="220"/>
      <c r="C1381" s="220"/>
      <c r="D1381" s="132"/>
      <c r="E1381" s="220"/>
    </row>
    <row r="1382" spans="1:5">
      <c r="A1382" s="133"/>
      <c r="B1382" s="220"/>
      <c r="C1382" s="220"/>
      <c r="D1382" s="132"/>
      <c r="E1382" s="220"/>
    </row>
    <row r="1383" spans="1:5">
      <c r="A1383" s="133"/>
      <c r="B1383" s="220"/>
      <c r="C1383" s="220"/>
      <c r="D1383" s="132"/>
      <c r="E1383" s="220"/>
    </row>
    <row r="1384" spans="1:5">
      <c r="A1384" s="133"/>
      <c r="B1384" s="220"/>
      <c r="C1384" s="220"/>
      <c r="D1384" s="132"/>
      <c r="E1384" s="220"/>
    </row>
    <row r="1385" spans="1:5">
      <c r="A1385" s="133"/>
      <c r="B1385" s="220"/>
      <c r="C1385" s="220"/>
      <c r="D1385" s="132"/>
      <c r="E1385" s="220"/>
    </row>
    <row r="1386" spans="1:5">
      <c r="A1386" s="133"/>
      <c r="B1386" s="220"/>
      <c r="C1386" s="220"/>
      <c r="D1386" s="132"/>
      <c r="E1386" s="220"/>
    </row>
    <row r="1387" spans="1:5">
      <c r="A1387" s="133"/>
      <c r="B1387" s="220"/>
      <c r="C1387" s="220"/>
      <c r="D1387" s="132"/>
      <c r="E1387" s="220"/>
    </row>
    <row r="1388" spans="1:5">
      <c r="A1388" s="133"/>
      <c r="B1388" s="220"/>
      <c r="C1388" s="220"/>
      <c r="D1388" s="132"/>
      <c r="E1388" s="220"/>
    </row>
    <row r="1389" spans="1:5">
      <c r="A1389" s="133"/>
      <c r="B1389" s="220"/>
      <c r="C1389" s="220"/>
      <c r="D1389" s="132"/>
      <c r="E1389" s="220"/>
    </row>
    <row r="1390" spans="1:5">
      <c r="A1390" s="133"/>
      <c r="B1390" s="220"/>
      <c r="C1390" s="220"/>
      <c r="D1390" s="132"/>
      <c r="E1390" s="220"/>
    </row>
    <row r="1391" spans="1:5">
      <c r="A1391" s="133"/>
      <c r="B1391" s="220"/>
      <c r="C1391" s="220"/>
      <c r="D1391" s="132"/>
      <c r="E1391" s="220"/>
    </row>
    <row r="1392" spans="1:5">
      <c r="A1392" s="133"/>
      <c r="B1392" s="220"/>
      <c r="C1392" s="220"/>
      <c r="D1392" s="132"/>
      <c r="E1392" s="220"/>
    </row>
    <row r="1393" spans="1:5">
      <c r="A1393" s="133"/>
      <c r="B1393" s="220"/>
      <c r="C1393" s="220"/>
      <c r="D1393" s="132"/>
      <c r="E1393" s="220"/>
    </row>
    <row r="1394" spans="1:5">
      <c r="A1394" s="133"/>
      <c r="B1394" s="220"/>
      <c r="C1394" s="220"/>
      <c r="D1394" s="132"/>
      <c r="E1394" s="220"/>
    </row>
    <row r="1395" spans="1:5">
      <c r="A1395" s="133"/>
      <c r="B1395" s="220"/>
      <c r="C1395" s="220"/>
      <c r="D1395" s="132"/>
      <c r="E1395" s="220"/>
    </row>
    <row r="1396" spans="1:5">
      <c r="A1396" s="133"/>
      <c r="B1396" s="220"/>
      <c r="C1396" s="220"/>
      <c r="D1396" s="132"/>
      <c r="E1396" s="220"/>
    </row>
    <row r="1397" spans="1:5">
      <c r="A1397" s="133"/>
      <c r="B1397" s="220"/>
      <c r="C1397" s="220"/>
      <c r="D1397" s="132"/>
      <c r="E1397" s="220"/>
    </row>
    <row r="1398" spans="1:5">
      <c r="A1398" s="133"/>
      <c r="B1398" s="220"/>
      <c r="C1398" s="220"/>
      <c r="D1398" s="132"/>
      <c r="E1398" s="220"/>
    </row>
    <row r="1399" spans="1:5">
      <c r="A1399" s="133"/>
      <c r="B1399" s="220"/>
      <c r="C1399" s="220"/>
      <c r="D1399" s="132"/>
      <c r="E1399" s="220"/>
    </row>
    <row r="1400" spans="1:5">
      <c r="A1400" s="133"/>
      <c r="B1400" s="220"/>
      <c r="C1400" s="220"/>
      <c r="D1400" s="132"/>
      <c r="E1400" s="220"/>
    </row>
    <row r="1401" spans="1:5">
      <c r="A1401" s="133"/>
      <c r="B1401" s="220"/>
      <c r="C1401" s="220"/>
      <c r="D1401" s="132"/>
      <c r="E1401" s="220"/>
    </row>
    <row r="1402" spans="1:5">
      <c r="A1402" s="133"/>
      <c r="B1402" s="220"/>
      <c r="C1402" s="220"/>
      <c r="D1402" s="132"/>
      <c r="E1402" s="220"/>
    </row>
    <row r="1403" spans="1:5">
      <c r="A1403" s="133"/>
      <c r="B1403" s="220"/>
      <c r="C1403" s="220"/>
      <c r="D1403" s="132"/>
      <c r="E1403" s="220"/>
    </row>
    <row r="1404" spans="1:5">
      <c r="A1404" s="133"/>
      <c r="B1404" s="220"/>
      <c r="C1404" s="220"/>
      <c r="D1404" s="132"/>
      <c r="E1404" s="220"/>
    </row>
    <row r="1405" spans="1:5">
      <c r="A1405" s="133"/>
      <c r="B1405" s="220"/>
      <c r="C1405" s="220"/>
      <c r="D1405" s="132"/>
      <c r="E1405" s="220"/>
    </row>
    <row r="1406" spans="1:5">
      <c r="A1406" s="133"/>
      <c r="B1406" s="220"/>
      <c r="C1406" s="220"/>
      <c r="D1406" s="132"/>
      <c r="E1406" s="220"/>
    </row>
    <row r="1407" spans="1:5">
      <c r="A1407" s="133"/>
      <c r="B1407" s="220"/>
      <c r="C1407" s="220"/>
      <c r="D1407" s="132"/>
      <c r="E1407" s="220"/>
    </row>
    <row r="1408" spans="1:5">
      <c r="A1408" s="133"/>
      <c r="B1408" s="220"/>
      <c r="C1408" s="220"/>
      <c r="D1408" s="132"/>
      <c r="E1408" s="220"/>
    </row>
    <row r="1409" spans="1:5">
      <c r="A1409" s="133"/>
      <c r="B1409" s="220"/>
      <c r="C1409" s="220"/>
      <c r="D1409" s="132"/>
      <c r="E1409" s="220"/>
    </row>
    <row r="1410" spans="1:5">
      <c r="A1410" s="133"/>
      <c r="B1410" s="220"/>
      <c r="C1410" s="220"/>
      <c r="D1410" s="132"/>
      <c r="E1410" s="220"/>
    </row>
    <row r="1411" spans="1:5">
      <c r="A1411" s="133"/>
      <c r="B1411" s="220"/>
      <c r="C1411" s="220"/>
      <c r="D1411" s="132"/>
      <c r="E1411" s="220"/>
    </row>
    <row r="1412" spans="1:5">
      <c r="A1412" s="133"/>
      <c r="B1412" s="220"/>
      <c r="C1412" s="220"/>
      <c r="D1412" s="132"/>
      <c r="E1412" s="220"/>
    </row>
    <row r="1413" spans="1:5">
      <c r="A1413" s="133"/>
      <c r="B1413" s="220"/>
      <c r="C1413" s="220"/>
      <c r="D1413" s="132"/>
      <c r="E1413" s="220"/>
    </row>
    <row r="1414" spans="1:5">
      <c r="A1414" s="133"/>
      <c r="B1414" s="220"/>
      <c r="C1414" s="220"/>
      <c r="D1414" s="132"/>
      <c r="E1414" s="220"/>
    </row>
    <row r="1415" spans="1:5">
      <c r="A1415" s="133"/>
      <c r="B1415" s="220"/>
      <c r="C1415" s="220"/>
      <c r="D1415" s="132"/>
      <c r="E1415" s="220"/>
    </row>
    <row r="1416" spans="1:5">
      <c r="A1416" s="133"/>
      <c r="B1416" s="220"/>
      <c r="C1416" s="220"/>
      <c r="D1416" s="132"/>
      <c r="E1416" s="220"/>
    </row>
    <row r="1417" spans="1:5">
      <c r="A1417" s="133"/>
      <c r="B1417" s="220"/>
      <c r="C1417" s="220"/>
      <c r="D1417" s="132"/>
      <c r="E1417" s="220"/>
    </row>
    <row r="1418" spans="1:5">
      <c r="A1418" s="133"/>
      <c r="B1418" s="220"/>
      <c r="C1418" s="220"/>
      <c r="D1418" s="132"/>
      <c r="E1418" s="220"/>
    </row>
    <row r="1419" spans="1:5">
      <c r="A1419" s="133"/>
      <c r="B1419" s="220"/>
      <c r="C1419" s="220"/>
      <c r="D1419" s="132"/>
      <c r="E1419" s="220"/>
    </row>
    <row r="1420" spans="1:5">
      <c r="A1420" s="133"/>
      <c r="B1420" s="220"/>
      <c r="C1420" s="220"/>
      <c r="D1420" s="132"/>
      <c r="E1420" s="220"/>
    </row>
    <row r="1421" spans="1:5">
      <c r="A1421" s="133"/>
      <c r="B1421" s="220"/>
      <c r="C1421" s="220"/>
      <c r="D1421" s="132"/>
      <c r="E1421" s="220"/>
    </row>
    <row r="1422" spans="1:5">
      <c r="A1422" s="133"/>
      <c r="B1422" s="220"/>
      <c r="C1422" s="220"/>
      <c r="D1422" s="132"/>
      <c r="E1422" s="220"/>
    </row>
    <row r="1423" spans="1:5">
      <c r="A1423" s="133"/>
      <c r="B1423" s="220"/>
      <c r="C1423" s="220"/>
      <c r="D1423" s="132"/>
      <c r="E1423" s="220"/>
    </row>
    <row r="1424" spans="1:5">
      <c r="A1424" s="133"/>
      <c r="B1424" s="220"/>
      <c r="C1424" s="220"/>
      <c r="D1424" s="132"/>
      <c r="E1424" s="220"/>
    </row>
    <row r="1425" spans="1:5">
      <c r="A1425" s="133"/>
      <c r="B1425" s="220"/>
      <c r="C1425" s="220"/>
      <c r="D1425" s="132"/>
      <c r="E1425" s="220"/>
    </row>
    <row r="1426" spans="1:5">
      <c r="A1426" s="133"/>
      <c r="B1426" s="220"/>
      <c r="C1426" s="220"/>
      <c r="D1426" s="132"/>
      <c r="E1426" s="220"/>
    </row>
    <row r="1427" spans="1:5">
      <c r="A1427" s="133"/>
      <c r="B1427" s="220"/>
      <c r="C1427" s="220"/>
      <c r="D1427" s="132"/>
      <c r="E1427" s="220"/>
    </row>
    <row r="1428" spans="1:5">
      <c r="A1428" s="133"/>
      <c r="B1428" s="220"/>
      <c r="C1428" s="220"/>
      <c r="D1428" s="132"/>
      <c r="E1428" s="220"/>
    </row>
    <row r="1429" spans="1:5">
      <c r="A1429" s="133"/>
      <c r="B1429" s="220"/>
      <c r="C1429" s="220"/>
      <c r="D1429" s="132"/>
      <c r="E1429" s="220"/>
    </row>
    <row r="1430" spans="1:5">
      <c r="A1430" s="133"/>
      <c r="B1430" s="220"/>
      <c r="C1430" s="220"/>
      <c r="D1430" s="132"/>
      <c r="E1430" s="220"/>
    </row>
    <row r="1431" spans="1:5">
      <c r="A1431" s="133"/>
      <c r="B1431" s="220"/>
      <c r="C1431" s="220"/>
      <c r="D1431" s="132"/>
      <c r="E1431" s="220"/>
    </row>
    <row r="1432" spans="1:5">
      <c r="A1432" s="133"/>
      <c r="B1432" s="220"/>
      <c r="C1432" s="220"/>
      <c r="D1432" s="132"/>
      <c r="E1432" s="220"/>
    </row>
    <row r="1433" spans="1:5">
      <c r="A1433" s="133"/>
      <c r="B1433" s="220"/>
      <c r="C1433" s="220"/>
      <c r="D1433" s="132"/>
      <c r="E1433" s="220"/>
    </row>
    <row r="1434" spans="1:5">
      <c r="A1434" s="133"/>
      <c r="B1434" s="220"/>
      <c r="C1434" s="220"/>
      <c r="D1434" s="132"/>
      <c r="E1434" s="220"/>
    </row>
    <row r="1435" spans="1:5">
      <c r="A1435" s="133"/>
      <c r="B1435" s="220"/>
      <c r="C1435" s="220"/>
      <c r="D1435" s="132"/>
      <c r="E1435" s="220"/>
    </row>
    <row r="1436" spans="1:5">
      <c r="A1436" s="133"/>
      <c r="B1436" s="220"/>
      <c r="C1436" s="220"/>
      <c r="D1436" s="132"/>
      <c r="E1436" s="220"/>
    </row>
    <row r="1437" spans="1:5">
      <c r="A1437" s="133"/>
      <c r="B1437" s="220"/>
      <c r="C1437" s="220"/>
      <c r="D1437" s="132"/>
      <c r="E1437" s="220"/>
    </row>
    <row r="1438" spans="1:5">
      <c r="A1438" s="133"/>
      <c r="B1438" s="220"/>
      <c r="C1438" s="220"/>
      <c r="D1438" s="132"/>
      <c r="E1438" s="220"/>
    </row>
    <row r="1439" spans="1:5">
      <c r="A1439" s="133"/>
      <c r="B1439" s="220"/>
      <c r="C1439" s="220"/>
      <c r="D1439" s="132"/>
      <c r="E1439" s="220"/>
    </row>
    <row r="1440" spans="1:5">
      <c r="A1440" s="133"/>
      <c r="B1440" s="220"/>
      <c r="C1440" s="220"/>
      <c r="D1440" s="132"/>
      <c r="E1440" s="220"/>
    </row>
    <row r="1441" spans="1:5">
      <c r="A1441" s="133"/>
      <c r="B1441" s="220"/>
      <c r="C1441" s="220"/>
      <c r="D1441" s="132"/>
      <c r="E1441" s="220"/>
    </row>
    <row r="1442" spans="1:5">
      <c r="A1442" s="133"/>
      <c r="B1442" s="220"/>
      <c r="C1442" s="220"/>
      <c r="D1442" s="132"/>
      <c r="E1442" s="220"/>
    </row>
    <row r="1443" spans="1:5">
      <c r="A1443" s="133"/>
      <c r="B1443" s="220"/>
      <c r="C1443" s="220"/>
      <c r="D1443" s="132"/>
      <c r="E1443" s="220"/>
    </row>
    <row r="1444" spans="1:5">
      <c r="A1444" s="133"/>
      <c r="B1444" s="220"/>
      <c r="C1444" s="220"/>
      <c r="D1444" s="132"/>
      <c r="E1444" s="220"/>
    </row>
    <row r="1445" spans="1:5">
      <c r="A1445" s="133"/>
      <c r="B1445" s="220"/>
      <c r="C1445" s="220"/>
      <c r="D1445" s="132"/>
      <c r="E1445" s="220"/>
    </row>
    <row r="1446" spans="1:5">
      <c r="A1446" s="133"/>
      <c r="B1446" s="220"/>
      <c r="C1446" s="220"/>
      <c r="D1446" s="132"/>
      <c r="E1446" s="220"/>
    </row>
    <row r="1447" spans="1:5">
      <c r="A1447" s="133"/>
      <c r="B1447" s="220"/>
      <c r="C1447" s="220"/>
      <c r="D1447" s="132"/>
      <c r="E1447" s="220"/>
    </row>
    <row r="1448" spans="1:5">
      <c r="A1448" s="133"/>
      <c r="B1448" s="220"/>
      <c r="C1448" s="220"/>
      <c r="D1448" s="132"/>
      <c r="E1448" s="220"/>
    </row>
    <row r="1449" spans="1:5">
      <c r="A1449" s="133"/>
      <c r="B1449" s="220"/>
      <c r="C1449" s="220"/>
      <c r="D1449" s="132"/>
      <c r="E1449" s="220"/>
    </row>
    <row r="1450" spans="1:5">
      <c r="A1450" s="133"/>
      <c r="B1450" s="220"/>
      <c r="C1450" s="220"/>
      <c r="D1450" s="132"/>
      <c r="E1450" s="220"/>
    </row>
    <row r="1451" spans="1:5">
      <c r="A1451" s="133"/>
      <c r="B1451" s="220"/>
      <c r="C1451" s="220"/>
      <c r="D1451" s="132"/>
      <c r="E1451" s="220"/>
    </row>
    <row r="1452" spans="1:5">
      <c r="A1452" s="133"/>
      <c r="B1452" s="220"/>
      <c r="C1452" s="220"/>
      <c r="D1452" s="132"/>
      <c r="E1452" s="220"/>
    </row>
    <row r="1453" spans="1:5">
      <c r="A1453" s="133"/>
      <c r="B1453" s="220"/>
      <c r="C1453" s="220"/>
      <c r="D1453" s="132"/>
      <c r="E1453" s="220"/>
    </row>
    <row r="1454" spans="1:5">
      <c r="A1454" s="133"/>
      <c r="B1454" s="220"/>
      <c r="C1454" s="220"/>
      <c r="D1454" s="132"/>
      <c r="E1454" s="220"/>
    </row>
    <row r="1455" spans="1:5">
      <c r="A1455" s="133"/>
      <c r="B1455" s="220"/>
      <c r="C1455" s="220"/>
      <c r="D1455" s="132"/>
      <c r="E1455" s="220"/>
    </row>
    <row r="1456" spans="1:5">
      <c r="A1456" s="133"/>
      <c r="B1456" s="220"/>
      <c r="C1456" s="220"/>
      <c r="D1456" s="132"/>
      <c r="E1456" s="220"/>
    </row>
    <row r="1457" spans="1:5">
      <c r="A1457" s="133"/>
      <c r="B1457" s="220"/>
      <c r="C1457" s="220"/>
      <c r="D1457" s="132"/>
      <c r="E1457" s="220"/>
    </row>
    <row r="1458" spans="1:5">
      <c r="A1458" s="133"/>
      <c r="B1458" s="220"/>
      <c r="C1458" s="220"/>
      <c r="D1458" s="132"/>
      <c r="E1458" s="220"/>
    </row>
    <row r="1459" spans="1:5">
      <c r="A1459" s="133"/>
      <c r="B1459" s="220"/>
      <c r="C1459" s="220"/>
      <c r="D1459" s="132"/>
      <c r="E1459" s="220"/>
    </row>
    <row r="1460" spans="1:5">
      <c r="A1460" s="133"/>
      <c r="B1460" s="220"/>
      <c r="C1460" s="220"/>
      <c r="D1460" s="132"/>
      <c r="E1460" s="220"/>
    </row>
    <row r="1461" spans="1:5">
      <c r="A1461" s="133"/>
      <c r="B1461" s="220"/>
      <c r="C1461" s="220"/>
      <c r="D1461" s="132"/>
      <c r="E1461" s="220"/>
    </row>
    <row r="1462" spans="1:5">
      <c r="A1462" s="133"/>
      <c r="B1462" s="220"/>
      <c r="C1462" s="220"/>
      <c r="D1462" s="132"/>
      <c r="E1462" s="220"/>
    </row>
    <row r="1463" spans="1:5">
      <c r="A1463" s="133"/>
      <c r="B1463" s="220"/>
      <c r="C1463" s="220"/>
      <c r="D1463" s="132"/>
      <c r="E1463" s="220"/>
    </row>
    <row r="1464" spans="1:5">
      <c r="A1464" s="133"/>
      <c r="B1464" s="220"/>
      <c r="C1464" s="220"/>
      <c r="D1464" s="132"/>
      <c r="E1464" s="220"/>
    </row>
    <row r="1465" spans="1:5">
      <c r="A1465" s="133"/>
      <c r="B1465" s="220"/>
      <c r="C1465" s="220"/>
      <c r="D1465" s="132"/>
      <c r="E1465" s="220"/>
    </row>
    <row r="1466" spans="1:5">
      <c r="A1466" s="133"/>
      <c r="B1466" s="220"/>
      <c r="C1466" s="220"/>
      <c r="D1466" s="132"/>
      <c r="E1466" s="220"/>
    </row>
    <row r="1467" spans="1:5">
      <c r="A1467" s="133"/>
      <c r="B1467" s="220"/>
      <c r="C1467" s="220"/>
      <c r="D1467" s="132"/>
      <c r="E1467" s="220"/>
    </row>
    <row r="1468" spans="1:5">
      <c r="A1468" s="133"/>
      <c r="B1468" s="220"/>
      <c r="C1468" s="220"/>
      <c r="D1468" s="132"/>
      <c r="E1468" s="220"/>
    </row>
    <row r="1469" spans="1:5">
      <c r="A1469" s="133"/>
      <c r="B1469" s="220"/>
      <c r="C1469" s="220"/>
      <c r="D1469" s="132"/>
      <c r="E1469" s="220"/>
    </row>
    <row r="1470" spans="1:5">
      <c r="A1470" s="133"/>
      <c r="B1470" s="220"/>
      <c r="C1470" s="220"/>
      <c r="D1470" s="132"/>
      <c r="E1470" s="220"/>
    </row>
    <row r="1471" spans="1:5">
      <c r="A1471" s="133"/>
      <c r="B1471" s="220"/>
      <c r="C1471" s="220"/>
      <c r="D1471" s="132"/>
      <c r="E1471" s="220"/>
    </row>
    <row r="1472" spans="1:5">
      <c r="A1472" s="133"/>
      <c r="B1472" s="220"/>
      <c r="C1472" s="220"/>
      <c r="D1472" s="132"/>
      <c r="E1472" s="220"/>
    </row>
    <row r="1473" spans="1:5">
      <c r="A1473" s="133"/>
      <c r="B1473" s="220"/>
      <c r="C1473" s="220"/>
      <c r="D1473" s="132"/>
      <c r="E1473" s="220"/>
    </row>
    <row r="1474" spans="1:5">
      <c r="A1474" s="133"/>
      <c r="B1474" s="220"/>
      <c r="C1474" s="220"/>
      <c r="D1474" s="132"/>
      <c r="E1474" s="220"/>
    </row>
    <row r="1475" spans="1:5">
      <c r="A1475" s="133"/>
      <c r="B1475" s="220"/>
      <c r="C1475" s="220"/>
      <c r="D1475" s="132"/>
      <c r="E1475" s="220"/>
    </row>
    <row r="1476" spans="1:5">
      <c r="A1476" s="133"/>
      <c r="B1476" s="220"/>
      <c r="C1476" s="220"/>
      <c r="D1476" s="132"/>
      <c r="E1476" s="220"/>
    </row>
    <row r="1477" spans="1:5">
      <c r="A1477" s="133"/>
      <c r="B1477" s="220"/>
      <c r="C1477" s="220"/>
      <c r="D1477" s="132"/>
      <c r="E1477" s="220"/>
    </row>
    <row r="1478" spans="1:5">
      <c r="A1478" s="133"/>
      <c r="B1478" s="220"/>
      <c r="C1478" s="220"/>
      <c r="D1478" s="132"/>
      <c r="E1478" s="220"/>
    </row>
    <row r="1479" spans="1:5">
      <c r="A1479" s="133"/>
      <c r="B1479" s="220"/>
      <c r="C1479" s="220"/>
      <c r="D1479" s="132"/>
      <c r="E1479" s="220"/>
    </row>
    <row r="1480" spans="1:5">
      <c r="A1480" s="133"/>
      <c r="B1480" s="220"/>
      <c r="C1480" s="220"/>
      <c r="D1480" s="132"/>
      <c r="E1480" s="220"/>
    </row>
    <row r="1481" spans="1:5">
      <c r="A1481" s="133"/>
      <c r="B1481" s="220"/>
      <c r="C1481" s="220"/>
      <c r="D1481" s="132"/>
      <c r="E1481" s="220"/>
    </row>
    <row r="1482" spans="1:5">
      <c r="A1482" s="133"/>
      <c r="B1482" s="220"/>
      <c r="C1482" s="220"/>
      <c r="D1482" s="132"/>
      <c r="E1482" s="220"/>
    </row>
    <row r="1483" spans="1:5">
      <c r="A1483" s="133"/>
      <c r="B1483" s="220"/>
      <c r="C1483" s="220"/>
      <c r="D1483" s="132"/>
      <c r="E1483" s="220"/>
    </row>
    <row r="1484" spans="1:5">
      <c r="A1484" s="133"/>
      <c r="B1484" s="220"/>
      <c r="C1484" s="220"/>
      <c r="D1484" s="132"/>
      <c r="E1484" s="220"/>
    </row>
    <row r="1485" spans="1:5">
      <c r="A1485" s="133"/>
      <c r="B1485" s="220"/>
      <c r="C1485" s="220"/>
      <c r="D1485" s="132"/>
      <c r="E1485" s="220"/>
    </row>
    <row r="1486" spans="1:5">
      <c r="A1486" s="133"/>
      <c r="B1486" s="220"/>
      <c r="C1486" s="220"/>
      <c r="D1486" s="132"/>
      <c r="E1486" s="220"/>
    </row>
    <row r="1487" spans="1:5">
      <c r="A1487" s="133"/>
      <c r="B1487" s="220"/>
      <c r="C1487" s="220"/>
      <c r="D1487" s="132"/>
      <c r="E1487" s="220"/>
    </row>
    <row r="1488" spans="1:5">
      <c r="A1488" s="133"/>
      <c r="B1488" s="220"/>
      <c r="C1488" s="220"/>
      <c r="D1488" s="132"/>
      <c r="E1488" s="220"/>
    </row>
    <row r="1489" spans="1:5">
      <c r="A1489" s="133"/>
      <c r="B1489" s="220"/>
      <c r="C1489" s="220"/>
      <c r="D1489" s="132"/>
      <c r="E1489" s="220"/>
    </row>
    <row r="1490" spans="1:5">
      <c r="A1490" s="133"/>
      <c r="B1490" s="220"/>
      <c r="C1490" s="220"/>
      <c r="D1490" s="132"/>
      <c r="E1490" s="220"/>
    </row>
    <row r="1491" spans="1:5">
      <c r="A1491" s="133"/>
      <c r="B1491" s="220"/>
      <c r="C1491" s="220"/>
      <c r="D1491" s="132"/>
      <c r="E1491" s="220"/>
    </row>
    <row r="1492" spans="1:5">
      <c r="A1492" s="133"/>
      <c r="B1492" s="220"/>
      <c r="C1492" s="220"/>
      <c r="D1492" s="132"/>
      <c r="E1492" s="220"/>
    </row>
    <row r="1493" spans="1:5">
      <c r="A1493" s="133"/>
      <c r="B1493" s="220"/>
      <c r="C1493" s="220"/>
      <c r="D1493" s="132"/>
      <c r="E1493" s="220"/>
    </row>
    <row r="1494" spans="1:5">
      <c r="A1494" s="133"/>
      <c r="B1494" s="220"/>
      <c r="C1494" s="220"/>
      <c r="D1494" s="132"/>
      <c r="E1494" s="220"/>
    </row>
    <row r="1495" spans="1:5">
      <c r="A1495" s="133"/>
      <c r="B1495" s="220"/>
      <c r="C1495" s="220"/>
      <c r="D1495" s="132"/>
      <c r="E1495" s="220"/>
    </row>
    <row r="1496" spans="1:5">
      <c r="A1496" s="133"/>
      <c r="B1496" s="220"/>
      <c r="C1496" s="220"/>
      <c r="D1496" s="132"/>
      <c r="E1496" s="220"/>
    </row>
    <row r="1497" spans="1:5">
      <c r="A1497" s="133"/>
      <c r="B1497" s="220"/>
      <c r="C1497" s="220"/>
      <c r="D1497" s="132"/>
      <c r="E1497" s="220"/>
    </row>
    <row r="1498" spans="1:5">
      <c r="A1498" s="133"/>
      <c r="B1498" s="220"/>
      <c r="C1498" s="220"/>
      <c r="D1498" s="132"/>
      <c r="E1498" s="220"/>
    </row>
    <row r="1499" spans="1:5">
      <c r="A1499" s="133"/>
      <c r="B1499" s="220"/>
      <c r="C1499" s="220"/>
      <c r="D1499" s="132"/>
      <c r="E1499" s="220"/>
    </row>
    <row r="1500" spans="1:5">
      <c r="A1500" s="133"/>
      <c r="B1500" s="220"/>
      <c r="C1500" s="220"/>
      <c r="D1500" s="132"/>
      <c r="E1500" s="220"/>
    </row>
    <row r="1501" spans="1:5">
      <c r="A1501" s="133"/>
      <c r="B1501" s="220"/>
      <c r="C1501" s="220"/>
      <c r="D1501" s="132"/>
      <c r="E1501" s="220"/>
    </row>
    <row r="1502" spans="1:5">
      <c r="A1502" s="133"/>
      <c r="B1502" s="220"/>
      <c r="C1502" s="220"/>
      <c r="D1502" s="132"/>
      <c r="E1502" s="220"/>
    </row>
    <row r="1503" spans="1:5">
      <c r="A1503" s="133"/>
      <c r="B1503" s="220"/>
      <c r="C1503" s="220"/>
      <c r="D1503" s="132"/>
      <c r="E1503" s="220"/>
    </row>
    <row r="1504" spans="1:5">
      <c r="A1504" s="133"/>
      <c r="B1504" s="220"/>
      <c r="C1504" s="220"/>
      <c r="D1504" s="132"/>
      <c r="E1504" s="220"/>
    </row>
    <row r="1505" spans="1:5">
      <c r="A1505" s="133"/>
      <c r="B1505" s="220"/>
      <c r="C1505" s="220"/>
      <c r="D1505" s="132"/>
      <c r="E1505" s="220"/>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1" t="s">
        <v>171</v>
      </c>
      <c r="B2" s="571"/>
      <c r="C2" s="571"/>
      <c r="D2" s="571"/>
      <c r="E2" s="571"/>
      <c r="F2" s="571"/>
      <c r="G2" s="571"/>
      <c r="H2" s="571"/>
      <c r="I2" s="571"/>
      <c r="J2" s="571"/>
      <c r="K2" s="32"/>
      <c r="L2" s="16"/>
      <c r="M2" s="16"/>
      <c r="N2" s="16"/>
      <c r="O2" s="16"/>
      <c r="P2" s="16"/>
      <c r="Q2" s="16"/>
      <c r="R2" s="16"/>
    </row>
    <row r="3" spans="1:18" ht="9" customHeight="1">
      <c r="A3" s="119"/>
      <c r="B3" s="120"/>
      <c r="C3" s="37"/>
      <c r="D3" s="37"/>
      <c r="E3" s="37"/>
      <c r="F3" s="37"/>
      <c r="G3" s="37"/>
      <c r="H3" s="37"/>
      <c r="I3" s="38"/>
      <c r="J3" s="39"/>
      <c r="K3" s="32"/>
      <c r="L3" s="16"/>
      <c r="M3" s="16"/>
      <c r="N3" s="16"/>
      <c r="O3" s="16"/>
      <c r="P3" s="16"/>
      <c r="Q3" s="16"/>
      <c r="R3" s="16"/>
    </row>
    <row r="4" spans="1:18" ht="8.25" customHeight="1">
      <c r="A4" s="40"/>
      <c r="B4" s="121"/>
      <c r="C4" s="41"/>
      <c r="D4" s="42"/>
      <c r="E4" s="42"/>
      <c r="F4" s="42"/>
      <c r="G4" s="42"/>
      <c r="H4" s="42"/>
      <c r="I4" s="42"/>
      <c r="J4" s="43"/>
      <c r="K4" s="32"/>
      <c r="L4" s="16"/>
      <c r="M4" s="16"/>
      <c r="N4" s="16"/>
      <c r="O4" s="16"/>
      <c r="P4" s="16"/>
      <c r="Q4" s="16"/>
      <c r="R4" s="16"/>
    </row>
    <row r="5" spans="1:18" ht="22.35" customHeight="1">
      <c r="A5" s="569" t="s">
        <v>175</v>
      </c>
      <c r="B5" s="572" t="s">
        <v>173</v>
      </c>
      <c r="C5" s="573"/>
      <c r="D5" s="590"/>
      <c r="E5" s="591"/>
      <c r="F5" s="592" t="s">
        <v>556</v>
      </c>
      <c r="G5" s="593"/>
      <c r="H5" s="589"/>
      <c r="I5" s="589"/>
      <c r="J5" s="45"/>
      <c r="K5" s="32"/>
      <c r="L5" s="16"/>
      <c r="M5" s="16"/>
      <c r="N5" s="16"/>
      <c r="O5" s="16"/>
      <c r="P5" s="16"/>
      <c r="Q5" s="16"/>
      <c r="R5" s="16"/>
    </row>
    <row r="6" spans="1:18" ht="15" customHeight="1">
      <c r="A6" s="569"/>
      <c r="B6" s="123"/>
      <c r="C6" s="124"/>
      <c r="D6" s="127"/>
      <c r="E6" s="125"/>
      <c r="F6" s="127"/>
      <c r="G6" s="127"/>
      <c r="H6" s="125"/>
      <c r="I6" s="127"/>
      <c r="J6" s="45"/>
      <c r="K6" s="32"/>
      <c r="L6" s="16"/>
      <c r="M6" s="16"/>
      <c r="N6" s="16"/>
      <c r="O6" s="16"/>
      <c r="P6" s="16"/>
      <c r="Q6" s="16"/>
      <c r="R6" s="16"/>
    </row>
    <row r="7" spans="1:18" ht="22.35" customHeight="1">
      <c r="A7" s="569"/>
      <c r="B7" s="574" t="s">
        <v>172</v>
      </c>
      <c r="C7" s="575"/>
      <c r="D7" s="213"/>
      <c r="E7" s="125" t="s">
        <v>168</v>
      </c>
      <c r="F7" s="214"/>
      <c r="G7" s="126"/>
      <c r="H7" s="126"/>
      <c r="I7" s="126"/>
      <c r="J7" s="45"/>
      <c r="K7" s="32"/>
      <c r="L7" s="16"/>
      <c r="M7" s="16"/>
      <c r="N7" s="16"/>
      <c r="O7" s="16"/>
      <c r="P7" s="16"/>
      <c r="Q7" s="16"/>
      <c r="R7" s="16"/>
    </row>
    <row r="8" spans="1:18" ht="12.75" customHeight="1">
      <c r="A8" s="569"/>
      <c r="B8" s="123"/>
      <c r="C8" s="124"/>
      <c r="D8" s="127"/>
      <c r="E8" s="125"/>
      <c r="F8" s="127"/>
      <c r="G8" s="127"/>
      <c r="H8" s="125"/>
      <c r="I8" s="127"/>
      <c r="J8" s="45"/>
      <c r="K8" s="32"/>
      <c r="L8" s="16"/>
      <c r="M8" s="16"/>
      <c r="N8" s="16"/>
      <c r="O8" s="16"/>
      <c r="P8" s="16"/>
      <c r="Q8" s="16"/>
      <c r="R8" s="16"/>
    </row>
    <row r="9" spans="1:18" ht="22.35" customHeight="1">
      <c r="A9" s="569"/>
      <c r="B9" s="585" t="s">
        <v>176</v>
      </c>
      <c r="C9" s="586"/>
      <c r="D9" s="576"/>
      <c r="E9" s="577"/>
      <c r="F9" s="577"/>
      <c r="G9" s="577"/>
      <c r="H9" s="577"/>
      <c r="I9" s="578"/>
      <c r="J9" s="45"/>
      <c r="K9" s="32"/>
      <c r="L9" s="16"/>
      <c r="M9" s="16"/>
      <c r="N9" s="16"/>
      <c r="O9" s="16"/>
      <c r="P9" s="16"/>
      <c r="Q9" s="16"/>
      <c r="R9" s="16"/>
    </row>
    <row r="10" spans="1:18" ht="22.35" customHeight="1">
      <c r="A10" s="569"/>
      <c r="B10" s="585"/>
      <c r="C10" s="586"/>
      <c r="D10" s="579"/>
      <c r="E10" s="580"/>
      <c r="F10" s="580"/>
      <c r="G10" s="580"/>
      <c r="H10" s="580"/>
      <c r="I10" s="581"/>
      <c r="J10" s="45"/>
      <c r="K10" s="32"/>
      <c r="L10" s="16"/>
      <c r="M10" s="16"/>
      <c r="N10" s="16"/>
      <c r="O10" s="16"/>
      <c r="P10" s="16"/>
      <c r="Q10" s="16"/>
      <c r="R10" s="16"/>
    </row>
    <row r="11" spans="1:18" ht="22.35" customHeight="1">
      <c r="A11" s="569"/>
      <c r="B11" s="585"/>
      <c r="C11" s="586"/>
      <c r="D11" s="582"/>
      <c r="E11" s="583"/>
      <c r="F11" s="583"/>
      <c r="G11" s="583"/>
      <c r="H11" s="583"/>
      <c r="I11" s="584"/>
      <c r="J11" s="45"/>
      <c r="K11" s="32"/>
      <c r="L11" s="16"/>
      <c r="M11" s="16"/>
      <c r="N11" s="16"/>
      <c r="O11" s="16"/>
      <c r="P11" s="16"/>
      <c r="Q11" s="16"/>
      <c r="R11" s="16"/>
    </row>
    <row r="12" spans="1:18" ht="12.75" customHeight="1">
      <c r="A12" s="569"/>
      <c r="B12" s="123"/>
      <c r="C12" s="124"/>
      <c r="D12" s="127"/>
      <c r="E12" s="125"/>
      <c r="F12" s="127"/>
      <c r="G12" s="127"/>
      <c r="H12" s="125"/>
      <c r="I12" s="127"/>
      <c r="J12" s="45"/>
      <c r="K12" s="32"/>
      <c r="L12" s="16"/>
      <c r="M12" s="16"/>
      <c r="N12" s="16"/>
      <c r="O12" s="16"/>
      <c r="P12" s="16"/>
      <c r="Q12" s="16"/>
      <c r="R12" s="16"/>
    </row>
    <row r="13" spans="1:18" ht="22.35" customHeight="1">
      <c r="A13" s="569"/>
      <c r="B13" s="574" t="s">
        <v>174</v>
      </c>
      <c r="C13" s="575"/>
      <c r="D13" s="587"/>
      <c r="E13" s="588"/>
      <c r="F13" s="126"/>
      <c r="G13" s="126"/>
      <c r="H13" s="126"/>
      <c r="I13" s="126"/>
      <c r="J13" s="45"/>
      <c r="K13" s="32"/>
      <c r="L13" s="16"/>
      <c r="M13" s="16"/>
      <c r="N13" s="16"/>
      <c r="O13" s="16"/>
      <c r="P13" s="16"/>
      <c r="Q13" s="16"/>
      <c r="R13" s="16"/>
    </row>
    <row r="14" spans="1:18" ht="20.25" customHeight="1">
      <c r="A14" s="570"/>
      <c r="B14" s="122"/>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15" sqref="E15:K15"/>
    </sheetView>
  </sheetViews>
  <sheetFormatPr defaultRowHeight="15"/>
  <cols>
    <col min="1" max="1" width="18" style="323" customWidth="1"/>
    <col min="2" max="2" width="12.5703125" style="323" customWidth="1"/>
    <col min="3" max="3" width="18" style="323" customWidth="1"/>
    <col min="4" max="4" width="11.140625" style="323" customWidth="1"/>
    <col min="5" max="5" width="15.140625" style="323" customWidth="1"/>
    <col min="6" max="6" width="11.140625" style="323" customWidth="1"/>
    <col min="7" max="7" width="15.140625" style="323" customWidth="1"/>
    <col min="8" max="11" width="11.5703125" style="323" customWidth="1"/>
    <col min="12" max="16384" width="9.140625" style="323"/>
  </cols>
  <sheetData>
    <row r="1" spans="1:12" ht="19.5" customHeight="1"/>
    <row r="2" spans="1:12" ht="19.5" customHeight="1"/>
    <row r="3" spans="1:12" ht="22.5" customHeight="1">
      <c r="A3" s="596" t="s">
        <v>642</v>
      </c>
      <c r="B3" s="597"/>
      <c r="C3" s="597"/>
      <c r="D3" s="597"/>
      <c r="E3" s="597"/>
      <c r="F3" s="597"/>
      <c r="G3" s="597"/>
      <c r="H3" s="597"/>
      <c r="I3" s="597"/>
      <c r="J3" s="597"/>
      <c r="K3" s="597"/>
      <c r="L3" s="598"/>
    </row>
    <row r="4" spans="1:12" ht="15" customHeight="1">
      <c r="A4" s="599"/>
      <c r="B4" s="600"/>
      <c r="C4" s="600"/>
      <c r="D4" s="600"/>
      <c r="E4" s="600"/>
      <c r="F4" s="600"/>
      <c r="G4" s="600"/>
      <c r="H4" s="600"/>
      <c r="I4" s="600"/>
      <c r="J4" s="600"/>
      <c r="K4" s="600"/>
      <c r="L4" s="601"/>
    </row>
    <row r="5" spans="1:12" ht="8.25" customHeight="1">
      <c r="A5" s="324"/>
      <c r="B5" s="325"/>
      <c r="C5" s="325"/>
      <c r="D5" s="325"/>
      <c r="E5" s="325"/>
      <c r="F5" s="325"/>
      <c r="G5" s="325"/>
      <c r="H5" s="325"/>
      <c r="I5" s="325"/>
      <c r="J5" s="325"/>
      <c r="K5" s="325"/>
      <c r="L5" s="326"/>
    </row>
    <row r="6" spans="1:12" ht="24" customHeight="1">
      <c r="A6" s="602" t="s">
        <v>175</v>
      </c>
      <c r="B6" s="359"/>
      <c r="C6" s="360"/>
      <c r="D6" s="360"/>
      <c r="E6" s="360"/>
      <c r="F6" s="360"/>
      <c r="G6" s="360"/>
      <c r="H6" s="360"/>
      <c r="I6" s="360"/>
      <c r="J6" s="360"/>
      <c r="K6" s="360"/>
      <c r="L6" s="364"/>
    </row>
    <row r="7" spans="1:12" ht="24" customHeight="1">
      <c r="A7" s="602"/>
      <c r="B7" s="359"/>
      <c r="C7" s="360"/>
      <c r="D7" s="361" t="s">
        <v>644</v>
      </c>
      <c r="E7" s="595" t="s">
        <v>551</v>
      </c>
      <c r="F7" s="595"/>
      <c r="G7" s="595"/>
      <c r="H7" s="594" t="s">
        <v>643</v>
      </c>
      <c r="I7" s="594"/>
      <c r="J7" s="594"/>
      <c r="K7" s="360"/>
      <c r="L7" s="364"/>
    </row>
    <row r="8" spans="1:12" ht="13.5" customHeight="1">
      <c r="A8" s="602"/>
      <c r="B8" s="359"/>
      <c r="C8" s="360"/>
      <c r="D8" s="360"/>
      <c r="E8" s="360"/>
      <c r="F8" s="360"/>
      <c r="G8" s="360"/>
      <c r="H8" s="360"/>
      <c r="I8" s="360"/>
      <c r="J8" s="360"/>
      <c r="K8" s="360"/>
      <c r="L8" s="364"/>
    </row>
    <row r="9" spans="1:12" ht="24" customHeight="1">
      <c r="A9" s="602"/>
      <c r="B9" s="359"/>
      <c r="C9" s="360"/>
      <c r="D9" s="361" t="s">
        <v>645</v>
      </c>
      <c r="E9" s="351"/>
      <c r="F9" s="365" t="s">
        <v>646</v>
      </c>
      <c r="G9" s="351"/>
      <c r="H9" s="360"/>
      <c r="I9" s="360"/>
      <c r="J9" s="360"/>
      <c r="K9" s="360"/>
      <c r="L9" s="364"/>
    </row>
    <row r="10" spans="1:12" ht="16.5" customHeight="1">
      <c r="A10" s="602"/>
      <c r="B10" s="359"/>
      <c r="C10" s="360"/>
      <c r="D10" s="360"/>
      <c r="E10" s="360"/>
      <c r="F10" s="360"/>
      <c r="G10" s="360"/>
      <c r="H10" s="360"/>
      <c r="I10" s="360"/>
      <c r="J10" s="360"/>
      <c r="K10" s="360"/>
      <c r="L10" s="364"/>
    </row>
    <row r="11" spans="1:12" ht="27.75" customHeight="1">
      <c r="A11" s="602"/>
      <c r="B11" s="359"/>
      <c r="C11" s="360"/>
      <c r="D11" s="361" t="s">
        <v>648</v>
      </c>
      <c r="E11" s="604"/>
      <c r="F11" s="605"/>
      <c r="G11" s="605"/>
      <c r="H11" s="605"/>
      <c r="I11" s="605"/>
      <c r="J11" s="605"/>
      <c r="K11" s="606"/>
      <c r="L11" s="364"/>
    </row>
    <row r="12" spans="1:12" ht="15.75" customHeight="1">
      <c r="A12" s="602"/>
      <c r="B12" s="359"/>
      <c r="C12" s="360"/>
      <c r="D12" s="361"/>
      <c r="E12" s="366"/>
      <c r="F12" s="366"/>
      <c r="G12" s="366"/>
      <c r="H12" s="366"/>
      <c r="I12" s="366"/>
      <c r="J12" s="366"/>
      <c r="K12" s="366"/>
      <c r="L12" s="364"/>
    </row>
    <row r="13" spans="1:12" ht="27.75" customHeight="1">
      <c r="A13" s="602"/>
      <c r="B13" s="360"/>
      <c r="C13" s="360"/>
      <c r="D13" s="361" t="s">
        <v>647</v>
      </c>
      <c r="E13" s="607"/>
      <c r="F13" s="607"/>
      <c r="G13" s="607"/>
      <c r="H13" s="607"/>
      <c r="I13" s="607"/>
      <c r="J13" s="607"/>
      <c r="K13" s="607"/>
      <c r="L13" s="364"/>
    </row>
    <row r="14" spans="1:12" ht="15.75" customHeight="1">
      <c r="A14" s="602"/>
      <c r="B14" s="360"/>
      <c r="C14" s="360"/>
      <c r="D14" s="361"/>
      <c r="E14" s="366"/>
      <c r="F14" s="366"/>
      <c r="G14" s="366"/>
      <c r="H14" s="366"/>
      <c r="I14" s="366"/>
      <c r="J14" s="366"/>
      <c r="K14" s="366"/>
      <c r="L14" s="364"/>
    </row>
    <row r="15" spans="1:12" ht="27.75" customHeight="1">
      <c r="A15" s="602"/>
      <c r="B15" s="360"/>
      <c r="C15" s="360"/>
      <c r="D15" s="361" t="s">
        <v>649</v>
      </c>
      <c r="E15" s="607"/>
      <c r="F15" s="607"/>
      <c r="G15" s="607"/>
      <c r="H15" s="607"/>
      <c r="I15" s="607"/>
      <c r="J15" s="607"/>
      <c r="K15" s="607"/>
      <c r="L15" s="364"/>
    </row>
    <row r="16" spans="1:12" ht="20.25">
      <c r="A16" s="602"/>
      <c r="B16" s="360"/>
      <c r="C16" s="360"/>
      <c r="D16" s="361"/>
      <c r="E16" s="366"/>
      <c r="F16" s="366"/>
      <c r="G16" s="366"/>
      <c r="H16" s="366"/>
      <c r="I16" s="366"/>
      <c r="J16" s="366"/>
      <c r="K16" s="366"/>
      <c r="L16" s="364"/>
    </row>
    <row r="17" spans="1:12" ht="27.75" customHeight="1">
      <c r="A17" s="602"/>
      <c r="B17" s="360"/>
      <c r="C17" s="360"/>
      <c r="D17" s="361" t="s">
        <v>650</v>
      </c>
      <c r="E17" s="607"/>
      <c r="F17" s="607"/>
      <c r="G17" s="607"/>
      <c r="H17" s="607"/>
      <c r="I17" s="607"/>
      <c r="J17" s="607"/>
      <c r="K17" s="607"/>
      <c r="L17" s="364"/>
    </row>
    <row r="18" spans="1:12" ht="20.25">
      <c r="A18" s="602"/>
      <c r="B18" s="360"/>
      <c r="C18" s="360"/>
      <c r="D18" s="361"/>
      <c r="E18" s="366"/>
      <c r="F18" s="366"/>
      <c r="G18" s="366"/>
      <c r="H18" s="366"/>
      <c r="I18" s="366"/>
      <c r="J18" s="366"/>
      <c r="K18" s="366"/>
      <c r="L18" s="364"/>
    </row>
    <row r="19" spans="1:12" ht="27.75" customHeight="1">
      <c r="A19" s="602"/>
      <c r="B19" s="360"/>
      <c r="C19" s="360"/>
      <c r="D19" s="361" t="s">
        <v>651</v>
      </c>
      <c r="E19" s="607"/>
      <c r="F19" s="607"/>
      <c r="G19" s="607"/>
      <c r="H19" s="607"/>
      <c r="I19" s="607"/>
      <c r="J19" s="607"/>
      <c r="K19" s="607"/>
      <c r="L19" s="364"/>
    </row>
    <row r="20" spans="1:12" ht="20.25">
      <c r="A20" s="603"/>
      <c r="B20" s="362"/>
      <c r="C20" s="362"/>
      <c r="D20" s="362"/>
      <c r="E20" s="362"/>
      <c r="F20" s="362"/>
      <c r="G20" s="362"/>
      <c r="H20" s="362"/>
      <c r="I20" s="362"/>
      <c r="J20" s="362"/>
      <c r="K20" s="362"/>
      <c r="L20" s="363"/>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000"/>
  <sheetViews>
    <sheetView workbookViewId="0">
      <selection activeCell="C13" sqref="C13"/>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8" ht="48" customHeight="1"/>
    <row r="2" spans="1:8" ht="18.75">
      <c r="A2" s="609" t="s">
        <v>640</v>
      </c>
      <c r="B2" s="610"/>
      <c r="C2" s="610"/>
      <c r="D2" s="610"/>
      <c r="E2" s="610"/>
      <c r="F2" s="610"/>
      <c r="G2" s="610"/>
      <c r="H2" s="611"/>
    </row>
    <row r="3" spans="1:8">
      <c r="A3" s="564" t="s">
        <v>9</v>
      </c>
      <c r="B3" s="608" t="s">
        <v>627</v>
      </c>
      <c r="C3" s="608" t="s">
        <v>628</v>
      </c>
      <c r="D3" s="612" t="s">
        <v>166</v>
      </c>
      <c r="E3" s="612"/>
      <c r="F3" s="608" t="s">
        <v>629</v>
      </c>
      <c r="G3" s="608" t="s">
        <v>641</v>
      </c>
      <c r="H3" s="608" t="s">
        <v>222</v>
      </c>
    </row>
    <row r="4" spans="1:8">
      <c r="A4" s="565"/>
      <c r="B4" s="608"/>
      <c r="C4" s="608"/>
      <c r="D4" s="129" t="s">
        <v>167</v>
      </c>
      <c r="E4" s="130" t="s">
        <v>168</v>
      </c>
      <c r="F4" s="608"/>
      <c r="G4" s="608"/>
      <c r="H4" s="608"/>
    </row>
    <row r="5" spans="1:8">
      <c r="A5" s="322" t="s">
        <v>551</v>
      </c>
      <c r="B5" s="322" t="s">
        <v>652</v>
      </c>
      <c r="C5" s="322" t="s">
        <v>653</v>
      </c>
      <c r="D5" s="327">
        <v>43832</v>
      </c>
      <c r="E5" s="327">
        <v>44209</v>
      </c>
      <c r="F5" s="322" t="s">
        <v>654</v>
      </c>
      <c r="G5" s="322" t="s">
        <v>655</v>
      </c>
      <c r="H5" s="322" t="s">
        <v>656</v>
      </c>
    </row>
    <row r="6" spans="1:8">
      <c r="A6" s="322" t="s">
        <v>551</v>
      </c>
      <c r="B6" s="322" t="s">
        <v>661</v>
      </c>
      <c r="C6" s="322" t="s">
        <v>662</v>
      </c>
      <c r="D6" s="327">
        <v>43832</v>
      </c>
      <c r="E6" s="327">
        <v>44209</v>
      </c>
      <c r="F6" s="322" t="s">
        <v>654</v>
      </c>
      <c r="G6" s="322" t="s">
        <v>655</v>
      </c>
      <c r="H6" s="322" t="s">
        <v>656</v>
      </c>
    </row>
    <row r="7" spans="1:8">
      <c r="A7" s="322" t="s">
        <v>551</v>
      </c>
      <c r="B7" s="322" t="s">
        <v>661</v>
      </c>
      <c r="C7" s="322" t="s">
        <v>662</v>
      </c>
      <c r="D7" s="327">
        <v>43832</v>
      </c>
      <c r="E7" s="327">
        <v>44209</v>
      </c>
      <c r="F7" s="322" t="s">
        <v>654</v>
      </c>
      <c r="G7" s="322" t="s">
        <v>655</v>
      </c>
      <c r="H7" s="322" t="s">
        <v>662</v>
      </c>
    </row>
    <row r="8" spans="1:8">
      <c r="A8" s="322" t="s">
        <v>663</v>
      </c>
      <c r="B8" s="322" t="s">
        <v>664</v>
      </c>
      <c r="C8" s="322" t="s">
        <v>665</v>
      </c>
      <c r="D8" s="327">
        <v>44352</v>
      </c>
      <c r="E8" s="327">
        <v>44354</v>
      </c>
      <c r="F8" s="322" t="s">
        <v>666</v>
      </c>
      <c r="G8" s="322" t="s">
        <v>667</v>
      </c>
      <c r="H8" s="322" t="s">
        <v>668</v>
      </c>
    </row>
    <row r="9" spans="1:8">
      <c r="A9" s="322" t="s">
        <v>663</v>
      </c>
      <c r="B9" s="322" t="s">
        <v>664</v>
      </c>
      <c r="C9" s="322" t="s">
        <v>665</v>
      </c>
      <c r="D9" s="327">
        <v>44352</v>
      </c>
      <c r="E9" s="327">
        <v>44354</v>
      </c>
      <c r="F9" s="322" t="s">
        <v>666</v>
      </c>
      <c r="G9" s="322" t="s">
        <v>667</v>
      </c>
      <c r="H9" s="322" t="s">
        <v>668</v>
      </c>
    </row>
    <row r="10" spans="1:8">
      <c r="A10" s="322" t="s">
        <v>663</v>
      </c>
      <c r="B10" s="322" t="s">
        <v>664</v>
      </c>
      <c r="C10" s="322" t="s">
        <v>665</v>
      </c>
      <c r="D10" s="327">
        <v>44352</v>
      </c>
      <c r="E10" s="327">
        <v>44354</v>
      </c>
      <c r="F10" s="322" t="s">
        <v>666</v>
      </c>
      <c r="G10" s="322" t="s">
        <v>667</v>
      </c>
      <c r="H10" s="322" t="s">
        <v>668</v>
      </c>
    </row>
    <row r="11" spans="1:8">
      <c r="A11" s="322" t="s">
        <v>663</v>
      </c>
      <c r="B11" s="322" t="s">
        <v>664</v>
      </c>
      <c r="C11" s="322" t="s">
        <v>665</v>
      </c>
      <c r="D11" s="327">
        <v>44352</v>
      </c>
      <c r="E11" s="327">
        <v>44354</v>
      </c>
      <c r="F11" s="322" t="s">
        <v>666</v>
      </c>
      <c r="G11" s="322" t="s">
        <v>667</v>
      </c>
      <c r="H11" s="322" t="s">
        <v>668</v>
      </c>
    </row>
    <row r="12" spans="1:8">
      <c r="A12" s="322"/>
      <c r="B12" s="322"/>
      <c r="C12" s="322"/>
      <c r="D12" s="322"/>
      <c r="E12" s="322"/>
      <c r="F12" s="322"/>
      <c r="G12" s="322"/>
      <c r="H12" s="322"/>
    </row>
    <row r="13" spans="1:8">
      <c r="A13" s="322"/>
      <c r="B13" s="322"/>
      <c r="C13" s="322"/>
      <c r="D13" s="322"/>
      <c r="E13" s="322"/>
      <c r="F13" s="322"/>
      <c r="G13" s="322"/>
      <c r="H13" s="322"/>
    </row>
    <row r="14" spans="1:8">
      <c r="A14" s="322"/>
      <c r="B14" s="322"/>
      <c r="C14" s="322"/>
      <c r="D14" s="322"/>
      <c r="E14" s="322"/>
      <c r="F14" s="322"/>
      <c r="G14" s="322"/>
      <c r="H14" s="322"/>
    </row>
    <row r="15" spans="1:8">
      <c r="A15" s="322"/>
      <c r="B15" s="322"/>
      <c r="C15" s="322"/>
      <c r="D15" s="322"/>
      <c r="E15" s="322"/>
      <c r="F15" s="322"/>
      <c r="G15" s="322"/>
      <c r="H15" s="322"/>
    </row>
    <row r="16" spans="1:8">
      <c r="A16" s="322"/>
      <c r="B16" s="322"/>
      <c r="C16" s="322"/>
      <c r="D16" s="322"/>
      <c r="E16" s="322"/>
      <c r="F16" s="322"/>
      <c r="G16" s="322"/>
      <c r="H16" s="322"/>
    </row>
    <row r="17" spans="1:8">
      <c r="A17" s="322"/>
      <c r="B17" s="322"/>
      <c r="C17" s="322"/>
      <c r="D17" s="322"/>
      <c r="E17" s="322"/>
      <c r="F17" s="322"/>
      <c r="G17" s="322"/>
      <c r="H17" s="322"/>
    </row>
    <row r="18" spans="1:8">
      <c r="A18" s="322"/>
      <c r="B18" s="322"/>
      <c r="C18" s="322"/>
      <c r="D18" s="322"/>
      <c r="E18" s="322"/>
      <c r="F18" s="322"/>
      <c r="G18" s="322"/>
      <c r="H18" s="322"/>
    </row>
    <row r="19" spans="1:8">
      <c r="A19" s="322"/>
      <c r="B19" s="322"/>
      <c r="C19" s="322"/>
      <c r="D19" s="322"/>
      <c r="E19" s="322"/>
      <c r="F19" s="322"/>
      <c r="G19" s="322"/>
      <c r="H19" s="322"/>
    </row>
    <row r="20" spans="1:8">
      <c r="A20" s="322"/>
      <c r="B20" s="322"/>
      <c r="C20" s="322"/>
      <c r="D20" s="322"/>
      <c r="E20" s="322"/>
      <c r="F20" s="322"/>
      <c r="G20" s="322"/>
      <c r="H20" s="322"/>
    </row>
    <row r="21" spans="1:8">
      <c r="A21" s="322"/>
      <c r="B21" s="322"/>
      <c r="C21" s="322"/>
      <c r="D21" s="322"/>
      <c r="E21" s="322"/>
      <c r="F21" s="322"/>
      <c r="G21" s="322"/>
      <c r="H21" s="322"/>
    </row>
    <row r="22" spans="1:8">
      <c r="A22" s="322"/>
      <c r="B22" s="322"/>
      <c r="C22" s="322"/>
      <c r="D22" s="322"/>
      <c r="E22" s="322"/>
      <c r="F22" s="322"/>
      <c r="G22" s="322"/>
      <c r="H22" s="322"/>
    </row>
    <row r="23" spans="1:8">
      <c r="A23" s="322"/>
      <c r="B23" s="322"/>
      <c r="C23" s="322"/>
      <c r="D23" s="322"/>
      <c r="E23" s="322"/>
      <c r="F23" s="322"/>
      <c r="G23" s="322"/>
      <c r="H23" s="322"/>
    </row>
    <row r="24" spans="1:8">
      <c r="A24" s="322"/>
      <c r="B24" s="322"/>
      <c r="C24" s="322"/>
      <c r="D24" s="322"/>
      <c r="E24" s="322"/>
      <c r="F24" s="322"/>
      <c r="G24" s="322"/>
      <c r="H24" s="322"/>
    </row>
    <row r="25" spans="1:8">
      <c r="A25" s="322"/>
      <c r="B25" s="322"/>
      <c r="C25" s="322"/>
      <c r="D25" s="322"/>
      <c r="E25" s="322"/>
      <c r="F25" s="322"/>
      <c r="G25" s="322"/>
      <c r="H25" s="322"/>
    </row>
    <row r="26" spans="1:8">
      <c r="A26" s="322"/>
      <c r="B26" s="322"/>
      <c r="C26" s="322"/>
      <c r="D26" s="322"/>
      <c r="E26" s="322"/>
      <c r="F26" s="322"/>
      <c r="G26" s="322"/>
      <c r="H26" s="322"/>
    </row>
    <row r="27" spans="1:8">
      <c r="A27" s="322"/>
      <c r="B27" s="322"/>
      <c r="C27" s="322"/>
      <c r="D27" s="322"/>
      <c r="E27" s="322"/>
      <c r="F27" s="322"/>
      <c r="G27" s="322"/>
      <c r="H27" s="322"/>
    </row>
    <row r="28" spans="1:8">
      <c r="A28" s="322"/>
      <c r="B28" s="322"/>
      <c r="C28" s="322"/>
      <c r="D28" s="322"/>
      <c r="E28" s="322"/>
      <c r="F28" s="322"/>
      <c r="G28" s="322"/>
      <c r="H28" s="322"/>
    </row>
    <row r="29" spans="1:8">
      <c r="A29" s="322"/>
      <c r="B29" s="322"/>
      <c r="C29" s="322"/>
      <c r="D29" s="322"/>
      <c r="E29" s="322"/>
      <c r="F29" s="322"/>
      <c r="G29" s="322"/>
      <c r="H29" s="322"/>
    </row>
    <row r="30" spans="1:8">
      <c r="A30" s="322"/>
      <c r="B30" s="322"/>
      <c r="C30" s="322"/>
      <c r="D30" s="322"/>
      <c r="E30" s="322"/>
      <c r="F30" s="322"/>
      <c r="G30" s="322"/>
      <c r="H30" s="322"/>
    </row>
    <row r="31" spans="1:8">
      <c r="A31" s="322"/>
      <c r="B31" s="322"/>
      <c r="C31" s="322"/>
      <c r="D31" s="322"/>
      <c r="E31" s="322"/>
      <c r="F31" s="322"/>
      <c r="G31" s="322"/>
      <c r="H31" s="322"/>
    </row>
    <row r="32" spans="1:8">
      <c r="A32" s="322"/>
      <c r="B32" s="322"/>
      <c r="C32" s="322"/>
      <c r="D32" s="322"/>
      <c r="E32" s="322"/>
      <c r="F32" s="322"/>
      <c r="G32" s="322"/>
      <c r="H32" s="322"/>
    </row>
    <row r="33" spans="1:8">
      <c r="A33" s="322"/>
      <c r="B33" s="322"/>
      <c r="C33" s="322"/>
      <c r="D33" s="322"/>
      <c r="E33" s="322"/>
      <c r="F33" s="322"/>
      <c r="G33" s="322"/>
      <c r="H33" s="322"/>
    </row>
    <row r="34" spans="1:8">
      <c r="A34" s="322"/>
      <c r="B34" s="322"/>
      <c r="C34" s="322"/>
      <c r="D34" s="322"/>
      <c r="E34" s="322"/>
      <c r="F34" s="322"/>
      <c r="G34" s="322"/>
      <c r="H34" s="322"/>
    </row>
    <row r="35" spans="1:8">
      <c r="A35" s="322"/>
      <c r="B35" s="322"/>
      <c r="C35" s="322"/>
      <c r="D35" s="322"/>
      <c r="E35" s="322"/>
      <c r="F35" s="322"/>
      <c r="G35" s="322"/>
      <c r="H35" s="322"/>
    </row>
    <row r="36" spans="1:8">
      <c r="A36" s="322"/>
      <c r="B36" s="322"/>
      <c r="C36" s="322"/>
      <c r="D36" s="322"/>
      <c r="E36" s="322"/>
      <c r="F36" s="322"/>
      <c r="G36" s="322"/>
      <c r="H36" s="322"/>
    </row>
    <row r="37" spans="1:8">
      <c r="A37" s="322"/>
      <c r="B37" s="322"/>
      <c r="C37" s="322"/>
      <c r="D37" s="322"/>
      <c r="E37" s="322"/>
      <c r="F37" s="322"/>
      <c r="G37" s="322"/>
      <c r="H37" s="322"/>
    </row>
    <row r="38" spans="1:8">
      <c r="A38" s="322"/>
      <c r="B38" s="322"/>
      <c r="C38" s="322"/>
      <c r="D38" s="322"/>
      <c r="E38" s="322"/>
      <c r="F38" s="322"/>
      <c r="G38" s="322"/>
      <c r="H38" s="322"/>
    </row>
    <row r="39" spans="1:8">
      <c r="A39" s="322"/>
      <c r="B39" s="322"/>
      <c r="C39" s="322"/>
      <c r="D39" s="322"/>
      <c r="E39" s="322"/>
      <c r="F39" s="322"/>
      <c r="G39" s="322"/>
      <c r="H39" s="322"/>
    </row>
    <row r="40" spans="1:8">
      <c r="A40" s="322"/>
      <c r="B40" s="322"/>
      <c r="C40" s="322"/>
      <c r="D40" s="322"/>
      <c r="E40" s="322"/>
      <c r="F40" s="322"/>
      <c r="G40" s="322"/>
      <c r="H40" s="322"/>
    </row>
    <row r="41" spans="1:8">
      <c r="A41" s="322"/>
      <c r="B41" s="322"/>
      <c r="C41" s="322"/>
      <c r="D41" s="322"/>
      <c r="E41" s="322"/>
      <c r="F41" s="322"/>
      <c r="G41" s="322"/>
      <c r="H41" s="322"/>
    </row>
    <row r="42" spans="1:8">
      <c r="A42" s="322"/>
      <c r="B42" s="322"/>
      <c r="C42" s="322"/>
      <c r="D42" s="322"/>
      <c r="E42" s="322"/>
      <c r="F42" s="322"/>
      <c r="G42" s="322"/>
      <c r="H42" s="322"/>
    </row>
    <row r="43" spans="1:8">
      <c r="A43" s="322"/>
      <c r="B43" s="322"/>
      <c r="C43" s="322"/>
      <c r="D43" s="322"/>
      <c r="E43" s="322"/>
      <c r="F43" s="322"/>
      <c r="G43" s="322"/>
      <c r="H43" s="322"/>
    </row>
    <row r="44" spans="1:8">
      <c r="A44" s="322"/>
      <c r="B44" s="322"/>
      <c r="C44" s="322"/>
      <c r="D44" s="322"/>
      <c r="E44" s="322"/>
      <c r="F44" s="322"/>
      <c r="G44" s="322"/>
      <c r="H44" s="322"/>
    </row>
    <row r="45" spans="1:8">
      <c r="A45" s="322"/>
      <c r="B45" s="322"/>
      <c r="C45" s="322"/>
      <c r="D45" s="322"/>
      <c r="E45" s="322"/>
      <c r="F45" s="322"/>
      <c r="G45" s="322"/>
      <c r="H45" s="322"/>
    </row>
    <row r="46" spans="1:8">
      <c r="A46" s="322"/>
      <c r="B46" s="322"/>
      <c r="C46" s="322"/>
      <c r="D46" s="322"/>
      <c r="E46" s="322"/>
      <c r="F46" s="322"/>
      <c r="G46" s="322"/>
      <c r="H46" s="322"/>
    </row>
    <row r="47" spans="1:8">
      <c r="A47" s="322"/>
      <c r="B47" s="322"/>
      <c r="C47" s="322"/>
      <c r="D47" s="322"/>
      <c r="E47" s="322"/>
      <c r="F47" s="322"/>
      <c r="G47" s="322"/>
      <c r="H47" s="322"/>
    </row>
    <row r="48" spans="1:8">
      <c r="A48" s="322"/>
      <c r="B48" s="322"/>
      <c r="C48" s="322"/>
      <c r="D48" s="322"/>
      <c r="E48" s="322"/>
      <c r="F48" s="322"/>
      <c r="G48" s="322"/>
      <c r="H48" s="322"/>
    </row>
    <row r="49" spans="1:8">
      <c r="A49" s="322"/>
      <c r="B49" s="322"/>
      <c r="C49" s="322"/>
      <c r="D49" s="322"/>
      <c r="E49" s="322"/>
      <c r="F49" s="322"/>
      <c r="G49" s="322"/>
      <c r="H49" s="322"/>
    </row>
    <row r="50" spans="1:8">
      <c r="A50" s="322"/>
      <c r="B50" s="322"/>
      <c r="C50" s="322"/>
      <c r="D50" s="322"/>
      <c r="E50" s="322"/>
      <c r="F50" s="322"/>
      <c r="G50" s="322"/>
      <c r="H50" s="322"/>
    </row>
    <row r="51" spans="1:8">
      <c r="A51" s="322"/>
      <c r="B51" s="322"/>
      <c r="C51" s="322"/>
      <c r="D51" s="322"/>
      <c r="E51" s="322"/>
      <c r="F51" s="322"/>
      <c r="G51" s="322"/>
      <c r="H51" s="322"/>
    </row>
    <row r="52" spans="1:8">
      <c r="A52" s="322"/>
      <c r="B52" s="322"/>
      <c r="C52" s="322"/>
      <c r="D52" s="322"/>
      <c r="E52" s="322"/>
      <c r="F52" s="322"/>
      <c r="G52" s="322"/>
      <c r="H52" s="322"/>
    </row>
    <row r="53" spans="1:8">
      <c r="A53" s="322"/>
      <c r="B53" s="322"/>
      <c r="C53" s="322"/>
      <c r="D53" s="322"/>
      <c r="E53" s="322"/>
      <c r="F53" s="322"/>
      <c r="G53" s="322"/>
      <c r="H53" s="322"/>
    </row>
    <row r="54" spans="1:8">
      <c r="A54" s="322"/>
      <c r="B54" s="322"/>
      <c r="C54" s="322"/>
      <c r="D54" s="322"/>
      <c r="E54" s="322"/>
      <c r="F54" s="322"/>
      <c r="G54" s="322"/>
      <c r="H54" s="322"/>
    </row>
    <row r="55" spans="1:8">
      <c r="A55" s="322"/>
      <c r="B55" s="322"/>
      <c r="C55" s="322"/>
      <c r="D55" s="322"/>
      <c r="E55" s="322"/>
      <c r="F55" s="322"/>
      <c r="G55" s="322"/>
      <c r="H55" s="322"/>
    </row>
    <row r="56" spans="1:8">
      <c r="A56" s="322"/>
      <c r="B56" s="322"/>
      <c r="C56" s="322"/>
      <c r="D56" s="322"/>
      <c r="E56" s="322"/>
      <c r="F56" s="322"/>
      <c r="G56" s="322"/>
      <c r="H56" s="322"/>
    </row>
    <row r="57" spans="1:8">
      <c r="A57" s="322"/>
      <c r="B57" s="322"/>
      <c r="C57" s="322"/>
      <c r="D57" s="322"/>
      <c r="E57" s="322"/>
      <c r="F57" s="322"/>
      <c r="G57" s="322"/>
      <c r="H57" s="322"/>
    </row>
    <row r="58" spans="1:8">
      <c r="A58" s="322"/>
      <c r="B58" s="322"/>
      <c r="C58" s="322"/>
      <c r="D58" s="322"/>
      <c r="E58" s="322"/>
      <c r="F58" s="322"/>
      <c r="G58" s="322"/>
      <c r="H58" s="322"/>
    </row>
    <row r="59" spans="1:8">
      <c r="A59" s="322"/>
      <c r="B59" s="322"/>
      <c r="C59" s="322"/>
      <c r="D59" s="322"/>
      <c r="E59" s="322"/>
      <c r="F59" s="322"/>
      <c r="G59" s="322"/>
      <c r="H59" s="322"/>
    </row>
    <row r="60" spans="1:8">
      <c r="A60" s="322"/>
      <c r="B60" s="322"/>
      <c r="C60" s="322"/>
      <c r="D60" s="322"/>
      <c r="E60" s="322"/>
      <c r="F60" s="322"/>
      <c r="G60" s="322"/>
      <c r="H60" s="322"/>
    </row>
    <row r="61" spans="1:8">
      <c r="A61" s="322"/>
      <c r="B61" s="322"/>
      <c r="C61" s="322"/>
      <c r="D61" s="322"/>
      <c r="E61" s="322"/>
      <c r="F61" s="322"/>
      <c r="G61" s="322"/>
      <c r="H61" s="322"/>
    </row>
    <row r="62" spans="1:8">
      <c r="A62" s="322"/>
      <c r="B62" s="322"/>
      <c r="C62" s="322"/>
      <c r="D62" s="322"/>
      <c r="E62" s="322"/>
      <c r="F62" s="322"/>
      <c r="G62" s="322"/>
      <c r="H62" s="322"/>
    </row>
    <row r="63" spans="1:8">
      <c r="A63" s="322"/>
      <c r="B63" s="322"/>
      <c r="C63" s="322"/>
      <c r="D63" s="322"/>
      <c r="E63" s="322"/>
      <c r="F63" s="322"/>
      <c r="G63" s="322"/>
      <c r="H63" s="322"/>
    </row>
    <row r="64" spans="1:8">
      <c r="A64" s="322"/>
      <c r="B64" s="322"/>
      <c r="C64" s="322"/>
      <c r="D64" s="322"/>
      <c r="E64" s="322"/>
      <c r="F64" s="322"/>
      <c r="G64" s="322"/>
      <c r="H64" s="322"/>
    </row>
    <row r="65" spans="1:8">
      <c r="A65" s="322"/>
      <c r="B65" s="322"/>
      <c r="C65" s="322"/>
      <c r="D65" s="322"/>
      <c r="E65" s="322"/>
      <c r="F65" s="322"/>
      <c r="G65" s="322"/>
      <c r="H65" s="322"/>
    </row>
    <row r="66" spans="1:8">
      <c r="A66" s="322"/>
      <c r="B66" s="322"/>
      <c r="C66" s="322"/>
      <c r="D66" s="322"/>
      <c r="E66" s="322"/>
      <c r="F66" s="322"/>
      <c r="G66" s="322"/>
      <c r="H66" s="322"/>
    </row>
    <row r="67" spans="1:8">
      <c r="A67" s="322"/>
      <c r="B67" s="322"/>
      <c r="C67" s="322"/>
      <c r="D67" s="322"/>
      <c r="E67" s="322"/>
      <c r="F67" s="322"/>
      <c r="G67" s="322"/>
      <c r="H67" s="322"/>
    </row>
    <row r="68" spans="1:8">
      <c r="A68" s="322"/>
      <c r="B68" s="322"/>
      <c r="C68" s="322"/>
      <c r="D68" s="322"/>
      <c r="E68" s="322"/>
      <c r="F68" s="322"/>
      <c r="G68" s="322"/>
      <c r="H68" s="322"/>
    </row>
    <row r="69" spans="1:8">
      <c r="A69" s="322"/>
      <c r="B69" s="322"/>
      <c r="C69" s="322"/>
      <c r="D69" s="322"/>
      <c r="E69" s="322"/>
      <c r="F69" s="322"/>
      <c r="G69" s="322"/>
      <c r="H69" s="322"/>
    </row>
    <row r="70" spans="1:8">
      <c r="A70" s="322"/>
      <c r="B70" s="322"/>
      <c r="C70" s="322"/>
      <c r="D70" s="322"/>
      <c r="E70" s="322"/>
      <c r="F70" s="322"/>
      <c r="G70" s="322"/>
      <c r="H70" s="322"/>
    </row>
    <row r="71" spans="1:8">
      <c r="A71" s="322"/>
      <c r="B71" s="322"/>
      <c r="C71" s="322"/>
      <c r="D71" s="322"/>
      <c r="E71" s="322"/>
      <c r="F71" s="322"/>
      <c r="G71" s="322"/>
      <c r="H71" s="322"/>
    </row>
    <row r="72" spans="1:8">
      <c r="A72" s="322"/>
      <c r="B72" s="322"/>
      <c r="C72" s="322"/>
      <c r="D72" s="322"/>
      <c r="E72" s="322"/>
      <c r="F72" s="322"/>
      <c r="G72" s="322"/>
      <c r="H72" s="322"/>
    </row>
    <row r="73" spans="1:8">
      <c r="A73" s="322"/>
      <c r="B73" s="322"/>
      <c r="C73" s="322"/>
      <c r="D73" s="322"/>
      <c r="E73" s="322"/>
      <c r="F73" s="322"/>
      <c r="G73" s="322"/>
      <c r="H73" s="322"/>
    </row>
    <row r="74" spans="1:8">
      <c r="A74" s="322"/>
      <c r="B74" s="322"/>
      <c r="C74" s="322"/>
      <c r="D74" s="322"/>
      <c r="E74" s="322"/>
      <c r="F74" s="322"/>
      <c r="G74" s="322"/>
      <c r="H74" s="322"/>
    </row>
    <row r="75" spans="1:8">
      <c r="A75" s="322"/>
      <c r="B75" s="322"/>
      <c r="C75" s="322"/>
      <c r="D75" s="322"/>
      <c r="E75" s="322"/>
      <c r="F75" s="322"/>
      <c r="G75" s="322"/>
      <c r="H75" s="322"/>
    </row>
    <row r="76" spans="1:8">
      <c r="A76" s="322"/>
      <c r="B76" s="322"/>
      <c r="C76" s="322"/>
      <c r="D76" s="322"/>
      <c r="E76" s="322"/>
      <c r="F76" s="322"/>
      <c r="G76" s="322"/>
      <c r="H76" s="322"/>
    </row>
    <row r="77" spans="1:8">
      <c r="A77" s="322"/>
      <c r="B77" s="322"/>
      <c r="C77" s="322"/>
      <c r="D77" s="322"/>
      <c r="E77" s="322"/>
      <c r="F77" s="322"/>
      <c r="G77" s="322"/>
      <c r="H77" s="322"/>
    </row>
    <row r="78" spans="1:8">
      <c r="A78" s="322"/>
      <c r="B78" s="322"/>
      <c r="C78" s="322"/>
      <c r="D78" s="322"/>
      <c r="E78" s="322"/>
      <c r="F78" s="322"/>
      <c r="G78" s="322"/>
      <c r="H78" s="322"/>
    </row>
    <row r="79" spans="1:8">
      <c r="A79" s="322"/>
      <c r="B79" s="322"/>
      <c r="C79" s="322"/>
      <c r="D79" s="322"/>
      <c r="E79" s="322"/>
      <c r="F79" s="322"/>
      <c r="G79" s="322"/>
      <c r="H79" s="322"/>
    </row>
    <row r="80" spans="1:8">
      <c r="A80" s="322"/>
      <c r="B80" s="322"/>
      <c r="C80" s="322"/>
      <c r="D80" s="322"/>
      <c r="E80" s="322"/>
      <c r="F80" s="322"/>
      <c r="G80" s="322"/>
      <c r="H80" s="322"/>
    </row>
    <row r="81" spans="1:8">
      <c r="A81" s="322"/>
      <c r="B81" s="322"/>
      <c r="C81" s="322"/>
      <c r="D81" s="322"/>
      <c r="E81" s="322"/>
      <c r="F81" s="322"/>
      <c r="G81" s="322"/>
      <c r="H81" s="322"/>
    </row>
    <row r="82" spans="1:8">
      <c r="A82" s="322"/>
      <c r="B82" s="322"/>
      <c r="C82" s="322"/>
      <c r="D82" s="322"/>
      <c r="E82" s="322"/>
      <c r="F82" s="322"/>
      <c r="G82" s="322"/>
      <c r="H82" s="322"/>
    </row>
    <row r="83" spans="1:8">
      <c r="A83" s="322"/>
      <c r="B83" s="322"/>
      <c r="C83" s="322"/>
      <c r="D83" s="322"/>
      <c r="E83" s="322"/>
      <c r="F83" s="322"/>
      <c r="G83" s="322"/>
      <c r="H83" s="322"/>
    </row>
    <row r="84" spans="1:8">
      <c r="A84" s="322"/>
      <c r="B84" s="322"/>
      <c r="C84" s="322"/>
      <c r="D84" s="322"/>
      <c r="E84" s="322"/>
      <c r="F84" s="322"/>
      <c r="G84" s="322"/>
      <c r="H84" s="322"/>
    </row>
    <row r="85" spans="1:8">
      <c r="A85" s="322"/>
      <c r="B85" s="322"/>
      <c r="C85" s="322"/>
      <c r="D85" s="322"/>
      <c r="E85" s="322"/>
      <c r="F85" s="322"/>
      <c r="G85" s="322"/>
      <c r="H85" s="322"/>
    </row>
    <row r="86" spans="1:8">
      <c r="A86" s="322"/>
      <c r="B86" s="322"/>
      <c r="C86" s="322"/>
      <c r="D86" s="322"/>
      <c r="E86" s="322"/>
      <c r="F86" s="322"/>
      <c r="G86" s="322"/>
      <c r="H86" s="322"/>
    </row>
    <row r="87" spans="1:8">
      <c r="A87" s="322"/>
      <c r="B87" s="322"/>
      <c r="C87" s="322"/>
      <c r="D87" s="322"/>
      <c r="E87" s="322"/>
      <c r="F87" s="322"/>
      <c r="G87" s="322"/>
      <c r="H87" s="322"/>
    </row>
    <row r="88" spans="1:8">
      <c r="A88" s="322"/>
      <c r="B88" s="322"/>
      <c r="C88" s="322"/>
      <c r="D88" s="322"/>
      <c r="E88" s="322"/>
      <c r="F88" s="322"/>
      <c r="G88" s="322"/>
      <c r="H88" s="322"/>
    </row>
    <row r="89" spans="1:8">
      <c r="A89" s="322"/>
      <c r="B89" s="322"/>
      <c r="C89" s="322"/>
      <c r="D89" s="322"/>
      <c r="E89" s="322"/>
      <c r="F89" s="322"/>
      <c r="G89" s="322"/>
      <c r="H89" s="322"/>
    </row>
    <row r="90" spans="1:8">
      <c r="A90" s="322"/>
      <c r="B90" s="322"/>
      <c r="C90" s="322"/>
      <c r="D90" s="322"/>
      <c r="E90" s="322"/>
      <c r="F90" s="322"/>
      <c r="G90" s="322"/>
      <c r="H90" s="322"/>
    </row>
    <row r="91" spans="1:8">
      <c r="A91" s="322"/>
      <c r="B91" s="322"/>
      <c r="C91" s="322"/>
      <c r="D91" s="322"/>
      <c r="E91" s="322"/>
      <c r="F91" s="322"/>
      <c r="G91" s="322"/>
      <c r="H91" s="322"/>
    </row>
    <row r="92" spans="1:8">
      <c r="A92" s="322"/>
      <c r="B92" s="322"/>
      <c r="C92" s="322"/>
      <c r="D92" s="322"/>
      <c r="E92" s="322"/>
      <c r="F92" s="322"/>
      <c r="G92" s="322"/>
      <c r="H92" s="322"/>
    </row>
    <row r="93" spans="1:8">
      <c r="A93" s="322"/>
      <c r="B93" s="322"/>
      <c r="C93" s="322"/>
      <c r="D93" s="322"/>
      <c r="E93" s="322"/>
      <c r="F93" s="322"/>
      <c r="G93" s="322"/>
      <c r="H93" s="322"/>
    </row>
    <row r="94" spans="1:8">
      <c r="A94" s="322"/>
      <c r="B94" s="322"/>
      <c r="C94" s="322"/>
      <c r="D94" s="322"/>
      <c r="E94" s="322"/>
      <c r="F94" s="322"/>
      <c r="G94" s="322"/>
      <c r="H94" s="322"/>
    </row>
    <row r="95" spans="1:8">
      <c r="A95" s="322"/>
      <c r="B95" s="322"/>
      <c r="C95" s="322"/>
      <c r="D95" s="322"/>
      <c r="E95" s="322"/>
      <c r="F95" s="322"/>
      <c r="G95" s="322"/>
      <c r="H95" s="322"/>
    </row>
    <row r="96" spans="1:8">
      <c r="A96" s="322"/>
      <c r="B96" s="322"/>
      <c r="C96" s="322"/>
      <c r="D96" s="322"/>
      <c r="E96" s="322"/>
      <c r="F96" s="322"/>
      <c r="G96" s="322"/>
      <c r="H96" s="322"/>
    </row>
    <row r="97" spans="1:8">
      <c r="A97" s="322"/>
      <c r="B97" s="322"/>
      <c r="C97" s="322"/>
      <c r="D97" s="322"/>
      <c r="E97" s="322"/>
      <c r="F97" s="322"/>
      <c r="G97" s="322"/>
      <c r="H97" s="322"/>
    </row>
    <row r="98" spans="1:8">
      <c r="A98" s="322"/>
      <c r="B98" s="322"/>
      <c r="C98" s="322"/>
      <c r="D98" s="322"/>
      <c r="E98" s="322"/>
      <c r="F98" s="322"/>
      <c r="G98" s="322"/>
      <c r="H98" s="322"/>
    </row>
    <row r="99" spans="1:8">
      <c r="A99" s="322"/>
      <c r="B99" s="322"/>
      <c r="C99" s="322"/>
      <c r="D99" s="322"/>
      <c r="E99" s="322"/>
      <c r="F99" s="322"/>
      <c r="G99" s="322"/>
      <c r="H99" s="322"/>
    </row>
    <row r="100" spans="1:8">
      <c r="A100" s="322"/>
      <c r="B100" s="322"/>
      <c r="C100" s="322"/>
      <c r="D100" s="322"/>
      <c r="E100" s="322"/>
      <c r="F100" s="322"/>
      <c r="G100" s="322"/>
      <c r="H100" s="322"/>
    </row>
    <row r="101" spans="1:8">
      <c r="A101" s="322"/>
      <c r="B101" s="322"/>
      <c r="C101" s="322"/>
      <c r="D101" s="322"/>
      <c r="E101" s="322"/>
      <c r="F101" s="322"/>
      <c r="G101" s="322"/>
      <c r="H101" s="322"/>
    </row>
    <row r="102" spans="1:8">
      <c r="A102" s="322"/>
      <c r="B102" s="322"/>
      <c r="C102" s="322"/>
      <c r="D102" s="322"/>
      <c r="E102" s="322"/>
      <c r="F102" s="322"/>
      <c r="G102" s="322"/>
      <c r="H102" s="322"/>
    </row>
    <row r="103" spans="1:8">
      <c r="A103" s="322"/>
      <c r="B103" s="322"/>
      <c r="C103" s="322"/>
      <c r="D103" s="322"/>
      <c r="E103" s="322"/>
      <c r="F103" s="322"/>
      <c r="G103" s="322"/>
      <c r="H103" s="322"/>
    </row>
    <row r="104" spans="1:8">
      <c r="A104" s="322"/>
      <c r="B104" s="322"/>
      <c r="C104" s="322"/>
      <c r="D104" s="322"/>
      <c r="E104" s="322"/>
      <c r="F104" s="322"/>
      <c r="G104" s="322"/>
      <c r="H104" s="322"/>
    </row>
    <row r="105" spans="1:8">
      <c r="A105" s="322"/>
      <c r="B105" s="322"/>
      <c r="C105" s="322"/>
      <c r="D105" s="322"/>
      <c r="E105" s="322"/>
      <c r="F105" s="322"/>
      <c r="G105" s="322"/>
      <c r="H105" s="322"/>
    </row>
    <row r="106" spans="1:8">
      <c r="A106" s="322"/>
      <c r="B106" s="322"/>
      <c r="C106" s="322"/>
      <c r="D106" s="322"/>
      <c r="E106" s="322"/>
      <c r="F106" s="322"/>
      <c r="G106" s="322"/>
      <c r="H106" s="322"/>
    </row>
    <row r="107" spans="1:8">
      <c r="A107" s="322"/>
      <c r="B107" s="322"/>
      <c r="C107" s="322"/>
      <c r="D107" s="322"/>
      <c r="E107" s="322"/>
      <c r="F107" s="322"/>
      <c r="G107" s="322"/>
      <c r="H107" s="322"/>
    </row>
    <row r="108" spans="1:8">
      <c r="A108" s="322"/>
      <c r="B108" s="322"/>
      <c r="C108" s="322"/>
      <c r="D108" s="322"/>
      <c r="E108" s="322"/>
      <c r="F108" s="322"/>
      <c r="G108" s="322"/>
      <c r="H108" s="322"/>
    </row>
    <row r="109" spans="1:8">
      <c r="A109" s="322"/>
      <c r="B109" s="322"/>
      <c r="C109" s="322"/>
      <c r="D109" s="322"/>
      <c r="E109" s="322"/>
      <c r="F109" s="322"/>
      <c r="G109" s="322"/>
      <c r="H109" s="322"/>
    </row>
    <row r="110" spans="1:8">
      <c r="A110" s="322"/>
      <c r="B110" s="322"/>
      <c r="C110" s="322"/>
      <c r="D110" s="322"/>
      <c r="E110" s="322"/>
      <c r="F110" s="322"/>
      <c r="G110" s="322"/>
      <c r="H110" s="322"/>
    </row>
    <row r="111" spans="1:8">
      <c r="A111" s="322"/>
      <c r="B111" s="322"/>
      <c r="C111" s="322"/>
      <c r="D111" s="322"/>
      <c r="E111" s="322"/>
      <c r="F111" s="322"/>
      <c r="G111" s="322"/>
      <c r="H111" s="322"/>
    </row>
    <row r="112" spans="1:8">
      <c r="A112" s="322"/>
      <c r="B112" s="322"/>
      <c r="C112" s="322"/>
      <c r="D112" s="322"/>
      <c r="E112" s="322"/>
      <c r="F112" s="322"/>
      <c r="G112" s="322"/>
      <c r="H112" s="322"/>
    </row>
    <row r="113" spans="1:8">
      <c r="A113" s="322"/>
      <c r="B113" s="322"/>
      <c r="C113" s="322"/>
      <c r="D113" s="322"/>
      <c r="E113" s="322"/>
      <c r="F113" s="322"/>
      <c r="G113" s="322"/>
      <c r="H113" s="322"/>
    </row>
    <row r="114" spans="1:8">
      <c r="A114" s="322"/>
      <c r="B114" s="322"/>
      <c r="C114" s="322"/>
      <c r="D114" s="322"/>
      <c r="E114" s="322"/>
      <c r="F114" s="322"/>
      <c r="G114" s="322"/>
      <c r="H114" s="322"/>
    </row>
    <row r="115" spans="1:8">
      <c r="A115" s="322"/>
      <c r="B115" s="322"/>
      <c r="C115" s="322"/>
      <c r="D115" s="322"/>
      <c r="E115" s="322"/>
      <c r="F115" s="322"/>
      <c r="G115" s="322"/>
      <c r="H115" s="322"/>
    </row>
    <row r="116" spans="1:8">
      <c r="A116" s="322"/>
      <c r="B116" s="322"/>
      <c r="C116" s="322"/>
      <c r="D116" s="322"/>
      <c r="E116" s="322"/>
      <c r="F116" s="322"/>
      <c r="G116" s="322"/>
      <c r="H116" s="322"/>
    </row>
    <row r="117" spans="1:8">
      <c r="A117" s="322"/>
      <c r="B117" s="322"/>
      <c r="C117" s="322"/>
      <c r="D117" s="322"/>
      <c r="E117" s="322"/>
      <c r="F117" s="322"/>
      <c r="G117" s="322"/>
      <c r="H117" s="322"/>
    </row>
    <row r="118" spans="1:8">
      <c r="A118" s="322"/>
      <c r="B118" s="322"/>
      <c r="C118" s="322"/>
      <c r="D118" s="322"/>
      <c r="E118" s="322"/>
      <c r="F118" s="322"/>
      <c r="G118" s="322"/>
      <c r="H118" s="322"/>
    </row>
    <row r="119" spans="1:8">
      <c r="A119" s="322"/>
      <c r="B119" s="322"/>
      <c r="C119" s="322"/>
      <c r="D119" s="322"/>
      <c r="E119" s="322"/>
      <c r="F119" s="322"/>
      <c r="G119" s="322"/>
      <c r="H119" s="322"/>
    </row>
    <row r="120" spans="1:8">
      <c r="A120" s="322"/>
      <c r="B120" s="322"/>
      <c r="C120" s="322"/>
      <c r="D120" s="322"/>
      <c r="E120" s="322"/>
      <c r="F120" s="322"/>
      <c r="G120" s="322"/>
      <c r="H120" s="322"/>
    </row>
    <row r="121" spans="1:8">
      <c r="A121" s="322"/>
      <c r="B121" s="322"/>
      <c r="C121" s="322"/>
      <c r="D121" s="322"/>
      <c r="E121" s="322"/>
      <c r="F121" s="322"/>
      <c r="G121" s="322"/>
      <c r="H121" s="322"/>
    </row>
    <row r="122" spans="1:8">
      <c r="A122" s="322"/>
      <c r="B122" s="322"/>
      <c r="C122" s="322"/>
      <c r="D122" s="322"/>
      <c r="E122" s="322"/>
      <c r="F122" s="322"/>
      <c r="G122" s="322"/>
      <c r="H122" s="322"/>
    </row>
    <row r="123" spans="1:8">
      <c r="A123" s="322"/>
      <c r="B123" s="322"/>
      <c r="C123" s="322"/>
      <c r="D123" s="322"/>
      <c r="E123" s="322"/>
      <c r="F123" s="322"/>
      <c r="G123" s="322"/>
      <c r="H123" s="322"/>
    </row>
    <row r="124" spans="1:8">
      <c r="A124" s="322"/>
      <c r="B124" s="322"/>
      <c r="C124" s="322"/>
      <c r="D124" s="322"/>
      <c r="E124" s="322"/>
      <c r="F124" s="322"/>
      <c r="G124" s="322"/>
      <c r="H124" s="322"/>
    </row>
    <row r="125" spans="1:8">
      <c r="A125" s="322"/>
      <c r="B125" s="322"/>
      <c r="C125" s="322"/>
      <c r="D125" s="322"/>
      <c r="E125" s="322"/>
      <c r="F125" s="322"/>
      <c r="G125" s="322"/>
      <c r="H125" s="322"/>
    </row>
    <row r="126" spans="1:8">
      <c r="A126" s="322"/>
      <c r="B126" s="322"/>
      <c r="C126" s="322"/>
      <c r="D126" s="322"/>
      <c r="E126" s="322"/>
      <c r="F126" s="322"/>
      <c r="G126" s="322"/>
      <c r="H126" s="322"/>
    </row>
    <row r="127" spans="1:8">
      <c r="A127" s="322"/>
      <c r="B127" s="322"/>
      <c r="C127" s="322"/>
      <c r="D127" s="322"/>
      <c r="E127" s="322"/>
      <c r="F127" s="322"/>
      <c r="G127" s="322"/>
      <c r="H127" s="322"/>
    </row>
    <row r="128" spans="1:8">
      <c r="A128" s="322"/>
      <c r="B128" s="322"/>
      <c r="C128" s="322"/>
      <c r="D128" s="322"/>
      <c r="E128" s="322"/>
      <c r="F128" s="322"/>
      <c r="G128" s="322"/>
      <c r="H128" s="322"/>
    </row>
    <row r="129" spans="1:8">
      <c r="A129" s="322"/>
      <c r="B129" s="322"/>
      <c r="C129" s="322"/>
      <c r="D129" s="322"/>
      <c r="E129" s="322"/>
      <c r="F129" s="322"/>
      <c r="G129" s="322"/>
      <c r="H129" s="322"/>
    </row>
    <row r="130" spans="1:8">
      <c r="A130" s="322"/>
      <c r="B130" s="322"/>
      <c r="C130" s="322"/>
      <c r="D130" s="322"/>
      <c r="E130" s="322"/>
      <c r="F130" s="322"/>
      <c r="G130" s="322"/>
      <c r="H130" s="322"/>
    </row>
    <row r="131" spans="1:8">
      <c r="A131" s="322"/>
      <c r="B131" s="322"/>
      <c r="C131" s="322"/>
      <c r="D131" s="322"/>
      <c r="E131" s="322"/>
      <c r="F131" s="322"/>
      <c r="G131" s="322"/>
      <c r="H131" s="322"/>
    </row>
    <row r="132" spans="1:8">
      <c r="A132" s="322"/>
      <c r="B132" s="322"/>
      <c r="C132" s="322"/>
      <c r="D132" s="322"/>
      <c r="E132" s="322"/>
      <c r="F132" s="322"/>
      <c r="G132" s="322"/>
      <c r="H132" s="322"/>
    </row>
    <row r="133" spans="1:8">
      <c r="A133" s="322"/>
      <c r="B133" s="322"/>
      <c r="C133" s="322"/>
      <c r="D133" s="322"/>
      <c r="E133" s="322"/>
      <c r="F133" s="322"/>
      <c r="G133" s="322"/>
      <c r="H133" s="322"/>
    </row>
    <row r="134" spans="1:8">
      <c r="A134" s="322"/>
      <c r="B134" s="322"/>
      <c r="C134" s="322"/>
      <c r="D134" s="322"/>
      <c r="E134" s="322"/>
      <c r="F134" s="322"/>
      <c r="G134" s="322"/>
      <c r="H134" s="322"/>
    </row>
    <row r="135" spans="1:8">
      <c r="A135" s="322"/>
      <c r="B135" s="322"/>
      <c r="C135" s="322"/>
      <c r="D135" s="322"/>
      <c r="E135" s="322"/>
      <c r="F135" s="322"/>
      <c r="G135" s="322"/>
      <c r="H135" s="322"/>
    </row>
    <row r="136" spans="1:8">
      <c r="A136" s="322"/>
      <c r="B136" s="322"/>
      <c r="C136" s="322"/>
      <c r="D136" s="322"/>
      <c r="E136" s="322"/>
      <c r="F136" s="322"/>
      <c r="G136" s="322"/>
      <c r="H136" s="322"/>
    </row>
    <row r="137" spans="1:8">
      <c r="A137" s="322"/>
      <c r="B137" s="322"/>
      <c r="C137" s="322"/>
      <c r="D137" s="322"/>
      <c r="E137" s="322"/>
      <c r="F137" s="322"/>
      <c r="G137" s="322"/>
      <c r="H137" s="322"/>
    </row>
    <row r="138" spans="1:8">
      <c r="A138" s="322"/>
      <c r="B138" s="322"/>
      <c r="C138" s="322"/>
      <c r="D138" s="322"/>
      <c r="E138" s="322"/>
      <c r="F138" s="322"/>
      <c r="G138" s="322"/>
      <c r="H138" s="322"/>
    </row>
    <row r="139" spans="1:8">
      <c r="A139" s="322"/>
      <c r="B139" s="322"/>
      <c r="C139" s="322"/>
      <c r="D139" s="322"/>
      <c r="E139" s="322"/>
      <c r="F139" s="322"/>
      <c r="G139" s="322"/>
      <c r="H139" s="322"/>
    </row>
    <row r="140" spans="1:8">
      <c r="A140" s="322"/>
      <c r="B140" s="322"/>
      <c r="C140" s="322"/>
      <c r="D140" s="322"/>
      <c r="E140" s="322"/>
      <c r="F140" s="322"/>
      <c r="G140" s="322"/>
      <c r="H140" s="322"/>
    </row>
    <row r="141" spans="1:8">
      <c r="A141" s="322"/>
      <c r="B141" s="322"/>
      <c r="C141" s="322"/>
      <c r="D141" s="322"/>
      <c r="E141" s="322"/>
      <c r="F141" s="322"/>
      <c r="G141" s="322"/>
      <c r="H141" s="322"/>
    </row>
    <row r="142" spans="1:8">
      <c r="A142" s="322"/>
      <c r="B142" s="322"/>
      <c r="C142" s="322"/>
      <c r="D142" s="322"/>
      <c r="E142" s="322"/>
      <c r="F142" s="322"/>
      <c r="G142" s="322"/>
      <c r="H142" s="322"/>
    </row>
    <row r="143" spans="1:8">
      <c r="A143" s="322"/>
      <c r="B143" s="322"/>
      <c r="C143" s="322"/>
      <c r="D143" s="322"/>
      <c r="E143" s="322"/>
      <c r="F143" s="322"/>
      <c r="G143" s="322"/>
      <c r="H143" s="322"/>
    </row>
    <row r="144" spans="1:8">
      <c r="A144" s="322"/>
      <c r="B144" s="322"/>
      <c r="C144" s="322"/>
      <c r="D144" s="322"/>
      <c r="E144" s="322"/>
      <c r="F144" s="322"/>
      <c r="G144" s="322"/>
      <c r="H144" s="322"/>
    </row>
    <row r="145" spans="1:8">
      <c r="A145" s="322"/>
      <c r="B145" s="322"/>
      <c r="C145" s="322"/>
      <c r="D145" s="322"/>
      <c r="E145" s="322"/>
      <c r="F145" s="322"/>
      <c r="G145" s="322"/>
      <c r="H145" s="322"/>
    </row>
    <row r="146" spans="1:8">
      <c r="A146" s="322"/>
      <c r="B146" s="322"/>
      <c r="C146" s="322"/>
      <c r="D146" s="322"/>
      <c r="E146" s="322"/>
      <c r="F146" s="322"/>
      <c r="G146" s="322"/>
      <c r="H146" s="322"/>
    </row>
    <row r="147" spans="1:8">
      <c r="A147" s="322"/>
      <c r="B147" s="322"/>
      <c r="C147" s="322"/>
      <c r="D147" s="322"/>
      <c r="E147" s="322"/>
      <c r="F147" s="322"/>
      <c r="G147" s="322"/>
      <c r="H147" s="322"/>
    </row>
    <row r="148" spans="1:8">
      <c r="A148" s="322"/>
      <c r="B148" s="322"/>
      <c r="C148" s="322"/>
      <c r="D148" s="322"/>
      <c r="E148" s="322"/>
      <c r="F148" s="322"/>
      <c r="G148" s="322"/>
      <c r="H148" s="322"/>
    </row>
    <row r="149" spans="1:8">
      <c r="A149" s="322"/>
      <c r="B149" s="322"/>
      <c r="C149" s="322"/>
      <c r="D149" s="322"/>
      <c r="E149" s="322"/>
      <c r="F149" s="322"/>
      <c r="G149" s="322"/>
      <c r="H149" s="322"/>
    </row>
    <row r="150" spans="1:8">
      <c r="A150" s="322"/>
      <c r="B150" s="322"/>
      <c r="C150" s="322"/>
      <c r="D150" s="322"/>
      <c r="E150" s="322"/>
      <c r="F150" s="322"/>
      <c r="G150" s="322"/>
      <c r="H150" s="322"/>
    </row>
    <row r="151" spans="1:8">
      <c r="A151" s="322"/>
      <c r="B151" s="322"/>
      <c r="C151" s="322"/>
      <c r="D151" s="322"/>
      <c r="E151" s="322"/>
      <c r="F151" s="322"/>
      <c r="G151" s="322"/>
      <c r="H151" s="322"/>
    </row>
    <row r="152" spans="1:8">
      <c r="A152" s="322"/>
      <c r="B152" s="322"/>
      <c r="C152" s="322"/>
      <c r="D152" s="322"/>
      <c r="E152" s="322"/>
      <c r="F152" s="322"/>
      <c r="G152" s="322"/>
      <c r="H152" s="322"/>
    </row>
    <row r="153" spans="1:8">
      <c r="A153" s="322"/>
      <c r="B153" s="322"/>
      <c r="C153" s="322"/>
      <c r="D153" s="322"/>
      <c r="E153" s="322"/>
      <c r="F153" s="322"/>
      <c r="G153" s="322"/>
      <c r="H153" s="322"/>
    </row>
    <row r="154" spans="1:8">
      <c r="A154" s="322"/>
      <c r="B154" s="322"/>
      <c r="C154" s="322"/>
      <c r="D154" s="322"/>
      <c r="E154" s="322"/>
      <c r="F154" s="322"/>
      <c r="G154" s="322"/>
      <c r="H154" s="322"/>
    </row>
    <row r="155" spans="1:8">
      <c r="A155" s="322"/>
      <c r="B155" s="322"/>
      <c r="C155" s="322"/>
      <c r="D155" s="322"/>
      <c r="E155" s="322"/>
      <c r="F155" s="322"/>
      <c r="G155" s="322"/>
      <c r="H155" s="322"/>
    </row>
    <row r="156" spans="1:8">
      <c r="A156" s="322"/>
      <c r="B156" s="322"/>
      <c r="C156" s="322"/>
      <c r="D156" s="322"/>
      <c r="E156" s="322"/>
      <c r="F156" s="322"/>
      <c r="G156" s="322"/>
      <c r="H156" s="322"/>
    </row>
    <row r="157" spans="1:8">
      <c r="A157" s="322"/>
      <c r="B157" s="322"/>
      <c r="C157" s="322"/>
      <c r="D157" s="322"/>
      <c r="E157" s="322"/>
      <c r="F157" s="322"/>
      <c r="G157" s="322"/>
      <c r="H157" s="322"/>
    </row>
    <row r="158" spans="1:8">
      <c r="A158" s="322"/>
      <c r="B158" s="322"/>
      <c r="C158" s="322"/>
      <c r="D158" s="322"/>
      <c r="E158" s="322"/>
      <c r="F158" s="322"/>
      <c r="G158" s="322"/>
      <c r="H158" s="322"/>
    </row>
    <row r="159" spans="1:8">
      <c r="A159" s="322"/>
      <c r="B159" s="322"/>
      <c r="C159" s="322"/>
      <c r="D159" s="322"/>
      <c r="E159" s="322"/>
      <c r="F159" s="322"/>
      <c r="G159" s="322"/>
      <c r="H159" s="322"/>
    </row>
    <row r="160" spans="1:8">
      <c r="A160" s="322"/>
      <c r="B160" s="322"/>
      <c r="C160" s="322"/>
      <c r="D160" s="322"/>
      <c r="E160" s="322"/>
      <c r="F160" s="322"/>
      <c r="G160" s="322"/>
      <c r="H160" s="322"/>
    </row>
    <row r="161" spans="1:8">
      <c r="A161" s="322"/>
      <c r="B161" s="322"/>
      <c r="C161" s="322"/>
      <c r="D161" s="322"/>
      <c r="E161" s="322"/>
      <c r="F161" s="322"/>
      <c r="G161" s="322"/>
      <c r="H161" s="322"/>
    </row>
    <row r="162" spans="1:8">
      <c r="A162" s="322"/>
      <c r="B162" s="322"/>
      <c r="C162" s="322"/>
      <c r="D162" s="322"/>
      <c r="E162" s="322"/>
      <c r="F162" s="322"/>
      <c r="G162" s="322"/>
      <c r="H162" s="322"/>
    </row>
    <row r="163" spans="1:8">
      <c r="A163" s="322"/>
      <c r="B163" s="322"/>
      <c r="C163" s="322"/>
      <c r="D163" s="322"/>
      <c r="E163" s="322"/>
      <c r="F163" s="322"/>
      <c r="G163" s="322"/>
      <c r="H163" s="322"/>
    </row>
    <row r="164" spans="1:8">
      <c r="A164" s="322"/>
      <c r="B164" s="322"/>
      <c r="C164" s="322"/>
      <c r="D164" s="322"/>
      <c r="E164" s="322"/>
      <c r="F164" s="322"/>
      <c r="G164" s="322"/>
      <c r="H164" s="322"/>
    </row>
    <row r="165" spans="1:8">
      <c r="A165" s="322"/>
      <c r="B165" s="322"/>
      <c r="C165" s="322"/>
      <c r="D165" s="322"/>
      <c r="E165" s="322"/>
      <c r="F165" s="322"/>
      <c r="G165" s="322"/>
      <c r="H165" s="322"/>
    </row>
    <row r="166" spans="1:8">
      <c r="A166" s="322"/>
      <c r="B166" s="322"/>
      <c r="C166" s="322"/>
      <c r="D166" s="322"/>
      <c r="E166" s="322"/>
      <c r="F166" s="322"/>
      <c r="G166" s="322"/>
      <c r="H166" s="322"/>
    </row>
    <row r="167" spans="1:8">
      <c r="A167" s="322"/>
      <c r="B167" s="322"/>
      <c r="C167" s="322"/>
      <c r="D167" s="322"/>
      <c r="E167" s="322"/>
      <c r="F167" s="322"/>
      <c r="G167" s="322"/>
      <c r="H167" s="322"/>
    </row>
    <row r="168" spans="1:8">
      <c r="A168" s="322"/>
      <c r="B168" s="322"/>
      <c r="C168" s="322"/>
      <c r="D168" s="322"/>
      <c r="E168" s="322"/>
      <c r="F168" s="322"/>
      <c r="G168" s="322"/>
      <c r="H168" s="322"/>
    </row>
    <row r="169" spans="1:8">
      <c r="A169" s="322"/>
      <c r="B169" s="322"/>
      <c r="C169" s="322"/>
      <c r="D169" s="322"/>
      <c r="E169" s="322"/>
      <c r="F169" s="322"/>
      <c r="G169" s="322"/>
      <c r="H169" s="322"/>
    </row>
    <row r="170" spans="1:8">
      <c r="A170" s="322"/>
      <c r="B170" s="322"/>
      <c r="C170" s="322"/>
      <c r="D170" s="322"/>
      <c r="E170" s="322"/>
      <c r="F170" s="322"/>
      <c r="G170" s="322"/>
      <c r="H170" s="322"/>
    </row>
    <row r="171" spans="1:8">
      <c r="A171" s="322"/>
      <c r="B171" s="322"/>
      <c r="C171" s="322"/>
      <c r="D171" s="322"/>
      <c r="E171" s="322"/>
      <c r="F171" s="322"/>
      <c r="G171" s="322"/>
      <c r="H171" s="322"/>
    </row>
    <row r="172" spans="1:8">
      <c r="A172" s="322"/>
      <c r="B172" s="322"/>
      <c r="C172" s="322"/>
      <c r="D172" s="322"/>
      <c r="E172" s="322"/>
      <c r="F172" s="322"/>
      <c r="G172" s="322"/>
      <c r="H172" s="322"/>
    </row>
    <row r="173" spans="1:8">
      <c r="A173" s="322"/>
      <c r="B173" s="322"/>
      <c r="C173" s="322"/>
      <c r="D173" s="322"/>
      <c r="E173" s="322"/>
      <c r="F173" s="322"/>
      <c r="G173" s="322"/>
      <c r="H173" s="322"/>
    </row>
    <row r="174" spans="1:8">
      <c r="A174" s="322"/>
      <c r="B174" s="322"/>
      <c r="C174" s="322"/>
      <c r="D174" s="322"/>
      <c r="E174" s="322"/>
      <c r="F174" s="322"/>
      <c r="G174" s="322"/>
      <c r="H174" s="322"/>
    </row>
    <row r="175" spans="1:8">
      <c r="A175" s="322"/>
      <c r="B175" s="322"/>
      <c r="C175" s="322"/>
      <c r="D175" s="322"/>
      <c r="E175" s="322"/>
      <c r="F175" s="322"/>
      <c r="G175" s="322"/>
      <c r="H175" s="322"/>
    </row>
    <row r="176" spans="1:8">
      <c r="A176" s="322"/>
      <c r="B176" s="322"/>
      <c r="C176" s="322"/>
      <c r="D176" s="322"/>
      <c r="E176" s="322"/>
      <c r="F176" s="322"/>
      <c r="G176" s="322"/>
      <c r="H176" s="322"/>
    </row>
    <row r="177" spans="1:8">
      <c r="A177" s="322"/>
      <c r="B177" s="322"/>
      <c r="C177" s="322"/>
      <c r="D177" s="322"/>
      <c r="E177" s="322"/>
      <c r="F177" s="322"/>
      <c r="G177" s="322"/>
      <c r="H177" s="322"/>
    </row>
    <row r="178" spans="1:8">
      <c r="A178" s="322"/>
      <c r="B178" s="322"/>
      <c r="C178" s="322"/>
      <c r="D178" s="322"/>
      <c r="E178" s="322"/>
      <c r="F178" s="322"/>
      <c r="G178" s="322"/>
      <c r="H178" s="322"/>
    </row>
    <row r="179" spans="1:8">
      <c r="A179" s="322"/>
      <c r="B179" s="322"/>
      <c r="C179" s="322"/>
      <c r="D179" s="322"/>
      <c r="E179" s="322"/>
      <c r="F179" s="322"/>
      <c r="G179" s="322"/>
      <c r="H179" s="322"/>
    </row>
    <row r="180" spans="1:8">
      <c r="A180" s="322"/>
      <c r="B180" s="322"/>
      <c r="C180" s="322"/>
      <c r="D180" s="322"/>
      <c r="E180" s="322"/>
      <c r="F180" s="322"/>
      <c r="G180" s="322"/>
      <c r="H180" s="322"/>
    </row>
    <row r="181" spans="1:8">
      <c r="A181" s="322"/>
      <c r="B181" s="322"/>
      <c r="C181" s="322"/>
      <c r="D181" s="322"/>
      <c r="E181" s="322"/>
      <c r="F181" s="322"/>
      <c r="G181" s="322"/>
      <c r="H181" s="322"/>
    </row>
    <row r="182" spans="1:8">
      <c r="A182" s="322"/>
      <c r="B182" s="322"/>
      <c r="C182" s="322"/>
      <c r="D182" s="322"/>
      <c r="E182" s="322"/>
      <c r="F182" s="322"/>
      <c r="G182" s="322"/>
      <c r="H182" s="322"/>
    </row>
    <row r="183" spans="1:8">
      <c r="A183" s="322"/>
      <c r="B183" s="322"/>
      <c r="C183" s="322"/>
      <c r="D183" s="322"/>
      <c r="E183" s="322"/>
      <c r="F183" s="322"/>
      <c r="G183" s="322"/>
      <c r="H183" s="322"/>
    </row>
    <row r="184" spans="1:8">
      <c r="A184" s="322"/>
      <c r="B184" s="322"/>
      <c r="C184" s="322"/>
      <c r="D184" s="322"/>
      <c r="E184" s="322"/>
      <c r="F184" s="322"/>
      <c r="G184" s="322"/>
      <c r="H184" s="322"/>
    </row>
    <row r="185" spans="1:8">
      <c r="A185" s="322"/>
      <c r="B185" s="322"/>
      <c r="C185" s="322"/>
      <c r="D185" s="322"/>
      <c r="E185" s="322"/>
      <c r="F185" s="322"/>
      <c r="G185" s="322"/>
      <c r="H185" s="322"/>
    </row>
    <row r="186" spans="1:8">
      <c r="A186" s="322"/>
      <c r="B186" s="322"/>
      <c r="C186" s="322"/>
      <c r="D186" s="322"/>
      <c r="E186" s="322"/>
      <c r="F186" s="322"/>
      <c r="G186" s="322"/>
      <c r="H186" s="322"/>
    </row>
    <row r="187" spans="1:8">
      <c r="A187" s="322"/>
      <c r="B187" s="322"/>
      <c r="C187" s="322"/>
      <c r="D187" s="322"/>
      <c r="E187" s="322"/>
      <c r="F187" s="322"/>
      <c r="G187" s="322"/>
      <c r="H187" s="322"/>
    </row>
    <row r="188" spans="1:8">
      <c r="A188" s="322"/>
      <c r="B188" s="322"/>
      <c r="C188" s="322"/>
      <c r="D188" s="322"/>
      <c r="E188" s="322"/>
      <c r="F188" s="322"/>
      <c r="G188" s="322"/>
      <c r="H188" s="322"/>
    </row>
    <row r="189" spans="1:8">
      <c r="A189" s="322"/>
      <c r="B189" s="322"/>
      <c r="C189" s="322"/>
      <c r="D189" s="322"/>
      <c r="E189" s="322"/>
      <c r="F189" s="322"/>
      <c r="G189" s="322"/>
      <c r="H189" s="322"/>
    </row>
    <row r="190" spans="1:8">
      <c r="A190" s="322"/>
      <c r="B190" s="322"/>
      <c r="C190" s="322"/>
      <c r="D190" s="322"/>
      <c r="E190" s="322"/>
      <c r="F190" s="322"/>
      <c r="G190" s="322"/>
      <c r="H190" s="322"/>
    </row>
    <row r="191" spans="1:8">
      <c r="A191" s="322"/>
      <c r="B191" s="322"/>
      <c r="C191" s="322"/>
      <c r="D191" s="322"/>
      <c r="E191" s="322"/>
      <c r="F191" s="322"/>
      <c r="G191" s="322"/>
      <c r="H191" s="322"/>
    </row>
    <row r="192" spans="1:8">
      <c r="A192" s="322"/>
      <c r="B192" s="322"/>
      <c r="C192" s="322"/>
      <c r="D192" s="322"/>
      <c r="E192" s="322"/>
      <c r="F192" s="322"/>
      <c r="G192" s="322"/>
      <c r="H192" s="322"/>
    </row>
    <row r="193" spans="1:8">
      <c r="A193" s="322"/>
      <c r="B193" s="322"/>
      <c r="C193" s="322"/>
      <c r="D193" s="322"/>
      <c r="E193" s="322"/>
      <c r="F193" s="322"/>
      <c r="G193" s="322"/>
      <c r="H193" s="322"/>
    </row>
    <row r="194" spans="1:8">
      <c r="A194" s="322"/>
      <c r="B194" s="322"/>
      <c r="C194" s="322"/>
      <c r="D194" s="322"/>
      <c r="E194" s="322"/>
      <c r="F194" s="322"/>
      <c r="G194" s="322"/>
      <c r="H194" s="322"/>
    </row>
    <row r="195" spans="1:8">
      <c r="A195" s="322"/>
      <c r="B195" s="322"/>
      <c r="C195" s="322"/>
      <c r="D195" s="322"/>
      <c r="E195" s="322"/>
      <c r="F195" s="322"/>
      <c r="G195" s="322"/>
      <c r="H195" s="322"/>
    </row>
    <row r="196" spans="1:8">
      <c r="A196" s="322"/>
      <c r="B196" s="322"/>
      <c r="C196" s="322"/>
      <c r="D196" s="322"/>
      <c r="E196" s="322"/>
      <c r="F196" s="322"/>
      <c r="G196" s="322"/>
      <c r="H196" s="322"/>
    </row>
    <row r="197" spans="1:8">
      <c r="A197" s="322"/>
      <c r="B197" s="322"/>
      <c r="C197" s="322"/>
      <c r="D197" s="322"/>
      <c r="E197" s="322"/>
      <c r="F197" s="322"/>
      <c r="G197" s="322"/>
      <c r="H197" s="322"/>
    </row>
    <row r="198" spans="1:8">
      <c r="A198" s="322"/>
      <c r="B198" s="322"/>
      <c r="C198" s="322"/>
      <c r="D198" s="322"/>
      <c r="E198" s="322"/>
      <c r="F198" s="322"/>
      <c r="G198" s="322"/>
      <c r="H198" s="322"/>
    </row>
    <row r="199" spans="1:8">
      <c r="A199" s="322"/>
      <c r="B199" s="322"/>
      <c r="C199" s="322"/>
      <c r="D199" s="322"/>
      <c r="E199" s="322"/>
      <c r="F199" s="322"/>
      <c r="G199" s="322"/>
      <c r="H199" s="322"/>
    </row>
    <row r="200" spans="1:8">
      <c r="A200" s="322"/>
      <c r="B200" s="322"/>
      <c r="C200" s="322"/>
      <c r="D200" s="322"/>
      <c r="E200" s="322"/>
      <c r="F200" s="322"/>
      <c r="G200" s="322"/>
      <c r="H200" s="322"/>
    </row>
    <row r="201" spans="1:8">
      <c r="A201" s="322"/>
      <c r="B201" s="322"/>
      <c r="C201" s="322"/>
      <c r="D201" s="322"/>
      <c r="E201" s="322"/>
      <c r="F201" s="322"/>
      <c r="G201" s="322"/>
      <c r="H201" s="322"/>
    </row>
    <row r="202" spans="1:8">
      <c r="A202" s="322"/>
      <c r="B202" s="322"/>
      <c r="C202" s="322"/>
      <c r="D202" s="322"/>
      <c r="E202" s="322"/>
      <c r="F202" s="322"/>
      <c r="G202" s="322"/>
      <c r="H202" s="322"/>
    </row>
    <row r="203" spans="1:8">
      <c r="A203" s="322"/>
      <c r="B203" s="322"/>
      <c r="C203" s="322"/>
      <c r="D203" s="322"/>
      <c r="E203" s="322"/>
      <c r="F203" s="322"/>
      <c r="G203" s="322"/>
      <c r="H203" s="322"/>
    </row>
    <row r="204" spans="1:8">
      <c r="A204" s="322"/>
      <c r="B204" s="322"/>
      <c r="C204" s="322"/>
      <c r="D204" s="322"/>
      <c r="E204" s="322"/>
      <c r="F204" s="322"/>
      <c r="G204" s="322"/>
      <c r="H204" s="322"/>
    </row>
    <row r="205" spans="1:8">
      <c r="A205" s="322"/>
      <c r="B205" s="322"/>
      <c r="C205" s="322"/>
      <c r="D205" s="322"/>
      <c r="E205" s="322"/>
      <c r="F205" s="322"/>
      <c r="G205" s="322"/>
      <c r="H205" s="322"/>
    </row>
    <row r="206" spans="1:8">
      <c r="A206" s="322"/>
      <c r="B206" s="322"/>
      <c r="C206" s="322"/>
      <c r="D206" s="322"/>
      <c r="E206" s="322"/>
      <c r="F206" s="322"/>
      <c r="G206" s="322"/>
      <c r="H206" s="322"/>
    </row>
    <row r="207" spans="1:8">
      <c r="A207" s="322"/>
      <c r="B207" s="322"/>
      <c r="C207" s="322"/>
      <c r="D207" s="322"/>
      <c r="E207" s="322"/>
      <c r="F207" s="322"/>
      <c r="G207" s="322"/>
      <c r="H207" s="322"/>
    </row>
    <row r="208" spans="1:8">
      <c r="A208" s="322"/>
      <c r="B208" s="322"/>
      <c r="C208" s="322"/>
      <c r="D208" s="322"/>
      <c r="E208" s="322"/>
      <c r="F208" s="322"/>
      <c r="G208" s="322"/>
      <c r="H208" s="322"/>
    </row>
    <row r="209" spans="1:8">
      <c r="A209" s="322"/>
      <c r="B209" s="322"/>
      <c r="C209" s="322"/>
      <c r="D209" s="322"/>
      <c r="E209" s="322"/>
      <c r="F209" s="322"/>
      <c r="G209" s="322"/>
      <c r="H209" s="322"/>
    </row>
    <row r="210" spans="1:8">
      <c r="A210" s="322"/>
      <c r="B210" s="322"/>
      <c r="C210" s="322"/>
      <c r="D210" s="322"/>
      <c r="E210" s="322"/>
      <c r="F210" s="322"/>
      <c r="G210" s="322"/>
      <c r="H210" s="322"/>
    </row>
    <row r="211" spans="1:8">
      <c r="A211" s="322"/>
      <c r="B211" s="322"/>
      <c r="C211" s="322"/>
      <c r="D211" s="322"/>
      <c r="E211" s="322"/>
      <c r="F211" s="322"/>
      <c r="G211" s="322"/>
      <c r="H211" s="322"/>
    </row>
    <row r="212" spans="1:8">
      <c r="A212" s="322"/>
      <c r="B212" s="322"/>
      <c r="C212" s="322"/>
      <c r="D212" s="322"/>
      <c r="E212" s="322"/>
      <c r="F212" s="322"/>
      <c r="G212" s="322"/>
      <c r="H212" s="322"/>
    </row>
    <row r="213" spans="1:8">
      <c r="A213" s="322"/>
      <c r="B213" s="322"/>
      <c r="C213" s="322"/>
      <c r="D213" s="322"/>
      <c r="E213" s="322"/>
      <c r="F213" s="322"/>
      <c r="G213" s="322"/>
      <c r="H213" s="322"/>
    </row>
    <row r="214" spans="1:8">
      <c r="A214" s="322"/>
      <c r="B214" s="322"/>
      <c r="C214" s="322"/>
      <c r="D214" s="322"/>
      <c r="E214" s="322"/>
      <c r="F214" s="322"/>
      <c r="G214" s="322"/>
      <c r="H214" s="322"/>
    </row>
    <row r="215" spans="1:8">
      <c r="A215" s="322"/>
      <c r="B215" s="322"/>
      <c r="C215" s="322"/>
      <c r="D215" s="322"/>
      <c r="E215" s="322"/>
      <c r="F215" s="322"/>
      <c r="G215" s="322"/>
      <c r="H215" s="322"/>
    </row>
    <row r="216" spans="1:8">
      <c r="A216" s="322"/>
      <c r="B216" s="322"/>
      <c r="C216" s="322"/>
      <c r="D216" s="322"/>
      <c r="E216" s="322"/>
      <c r="F216" s="322"/>
      <c r="G216" s="322"/>
      <c r="H216" s="322"/>
    </row>
    <row r="217" spans="1:8">
      <c r="A217" s="322"/>
      <c r="B217" s="322"/>
      <c r="C217" s="322"/>
      <c r="D217" s="322"/>
      <c r="E217" s="322"/>
      <c r="F217" s="322"/>
      <c r="G217" s="322"/>
      <c r="H217" s="322"/>
    </row>
    <row r="218" spans="1:8">
      <c r="A218" s="322"/>
      <c r="B218" s="322"/>
      <c r="C218" s="322"/>
      <c r="D218" s="322"/>
      <c r="E218" s="322"/>
      <c r="F218" s="322"/>
      <c r="G218" s="322"/>
      <c r="H218" s="322"/>
    </row>
    <row r="219" spans="1:8">
      <c r="A219" s="322"/>
      <c r="B219" s="322"/>
      <c r="C219" s="322"/>
      <c r="D219" s="322"/>
      <c r="E219" s="322"/>
      <c r="F219" s="322"/>
      <c r="G219" s="322"/>
      <c r="H219" s="322"/>
    </row>
    <row r="220" spans="1:8">
      <c r="A220" s="322"/>
      <c r="B220" s="322"/>
      <c r="C220" s="322"/>
      <c r="D220" s="322"/>
      <c r="E220" s="322"/>
      <c r="F220" s="322"/>
      <c r="G220" s="322"/>
      <c r="H220" s="322"/>
    </row>
    <row r="221" spans="1:8">
      <c r="A221" s="322"/>
      <c r="B221" s="322"/>
      <c r="C221" s="322"/>
      <c r="D221" s="322"/>
      <c r="E221" s="322"/>
      <c r="F221" s="322"/>
      <c r="G221" s="322"/>
      <c r="H221" s="322"/>
    </row>
    <row r="222" spans="1:8">
      <c r="A222" s="322"/>
      <c r="B222" s="322"/>
      <c r="C222" s="322"/>
      <c r="D222" s="322"/>
      <c r="E222" s="322"/>
      <c r="F222" s="322"/>
      <c r="G222" s="322"/>
      <c r="H222" s="322"/>
    </row>
    <row r="223" spans="1:8">
      <c r="A223" s="322"/>
      <c r="B223" s="322"/>
      <c r="C223" s="322"/>
      <c r="D223" s="322"/>
      <c r="E223" s="322"/>
      <c r="F223" s="322"/>
      <c r="G223" s="322"/>
      <c r="H223" s="322"/>
    </row>
    <row r="224" spans="1:8">
      <c r="A224" s="322"/>
      <c r="B224" s="322"/>
      <c r="C224" s="322"/>
      <c r="D224" s="322"/>
      <c r="E224" s="322"/>
      <c r="F224" s="322"/>
      <c r="G224" s="322"/>
      <c r="H224" s="322"/>
    </row>
    <row r="225" spans="1:8">
      <c r="A225" s="322"/>
      <c r="B225" s="322"/>
      <c r="C225" s="322"/>
      <c r="D225" s="322"/>
      <c r="E225" s="322"/>
      <c r="F225" s="322"/>
      <c r="G225" s="322"/>
      <c r="H225" s="322"/>
    </row>
    <row r="226" spans="1:8">
      <c r="A226" s="322"/>
      <c r="B226" s="322"/>
      <c r="C226" s="322"/>
      <c r="D226" s="322"/>
      <c r="E226" s="322"/>
      <c r="F226" s="322"/>
      <c r="G226" s="322"/>
      <c r="H226" s="322"/>
    </row>
    <row r="227" spans="1:8">
      <c r="A227" s="322"/>
      <c r="B227" s="322"/>
      <c r="C227" s="322"/>
      <c r="D227" s="322"/>
      <c r="E227" s="322"/>
      <c r="F227" s="322"/>
      <c r="G227" s="322"/>
      <c r="H227" s="322"/>
    </row>
    <row r="228" spans="1:8">
      <c r="A228" s="322"/>
      <c r="B228" s="322"/>
      <c r="C228" s="322"/>
      <c r="D228" s="322"/>
      <c r="E228" s="322"/>
      <c r="F228" s="322"/>
      <c r="G228" s="322"/>
      <c r="H228" s="322"/>
    </row>
    <row r="229" spans="1:8">
      <c r="A229" s="322"/>
      <c r="B229" s="322"/>
      <c r="C229" s="322"/>
      <c r="D229" s="322"/>
      <c r="E229" s="322"/>
      <c r="F229" s="322"/>
      <c r="G229" s="322"/>
      <c r="H229" s="322"/>
    </row>
    <row r="230" spans="1:8">
      <c r="A230" s="322"/>
      <c r="B230" s="322"/>
      <c r="C230" s="322"/>
      <c r="D230" s="322"/>
      <c r="E230" s="322"/>
      <c r="F230" s="322"/>
      <c r="G230" s="322"/>
      <c r="H230" s="322"/>
    </row>
    <row r="231" spans="1:8">
      <c r="A231" s="322"/>
      <c r="B231" s="322"/>
      <c r="C231" s="322"/>
      <c r="D231" s="322"/>
      <c r="E231" s="322"/>
      <c r="F231" s="322"/>
      <c r="G231" s="322"/>
      <c r="H231" s="322"/>
    </row>
    <row r="232" spans="1:8">
      <c r="A232" s="322"/>
      <c r="B232" s="322"/>
      <c r="C232" s="322"/>
      <c r="D232" s="322"/>
      <c r="E232" s="322"/>
      <c r="F232" s="322"/>
      <c r="G232" s="322"/>
      <c r="H232" s="322"/>
    </row>
    <row r="233" spans="1:8">
      <c r="A233" s="322"/>
      <c r="B233" s="322"/>
      <c r="C233" s="322"/>
      <c r="D233" s="322"/>
      <c r="E233" s="322"/>
      <c r="F233" s="322"/>
      <c r="G233" s="322"/>
      <c r="H233" s="322"/>
    </row>
    <row r="234" spans="1:8">
      <c r="A234" s="322"/>
      <c r="B234" s="322"/>
      <c r="C234" s="322"/>
      <c r="D234" s="322"/>
      <c r="E234" s="322"/>
      <c r="F234" s="322"/>
      <c r="G234" s="322"/>
      <c r="H234" s="322"/>
    </row>
    <row r="235" spans="1:8">
      <c r="A235" s="322"/>
      <c r="B235" s="322"/>
      <c r="C235" s="322"/>
      <c r="D235" s="322"/>
      <c r="E235" s="322"/>
      <c r="F235" s="322"/>
      <c r="G235" s="322"/>
      <c r="H235" s="322"/>
    </row>
    <row r="236" spans="1:8">
      <c r="A236" s="322"/>
      <c r="B236" s="322"/>
      <c r="C236" s="322"/>
      <c r="D236" s="322"/>
      <c r="E236" s="322"/>
      <c r="F236" s="322"/>
      <c r="G236" s="322"/>
      <c r="H236" s="322"/>
    </row>
    <row r="237" spans="1:8">
      <c r="A237" s="322"/>
      <c r="B237" s="322"/>
      <c r="C237" s="322"/>
      <c r="D237" s="322"/>
      <c r="E237" s="322"/>
      <c r="F237" s="322"/>
      <c r="G237" s="322"/>
      <c r="H237" s="322"/>
    </row>
    <row r="238" spans="1:8">
      <c r="A238" s="322"/>
      <c r="B238" s="322"/>
      <c r="C238" s="322"/>
      <c r="D238" s="322"/>
      <c r="E238" s="322"/>
      <c r="F238" s="322"/>
      <c r="G238" s="322"/>
      <c r="H238" s="322"/>
    </row>
    <row r="239" spans="1:8">
      <c r="A239" s="322"/>
      <c r="B239" s="322"/>
      <c r="C239" s="322"/>
      <c r="D239" s="322"/>
      <c r="E239" s="322"/>
      <c r="F239" s="322"/>
      <c r="G239" s="322"/>
      <c r="H239" s="322"/>
    </row>
    <row r="240" spans="1:8">
      <c r="A240" s="322"/>
      <c r="B240" s="322"/>
      <c r="C240" s="322"/>
      <c r="D240" s="322"/>
      <c r="E240" s="322"/>
      <c r="F240" s="322"/>
      <c r="G240" s="322"/>
      <c r="H240" s="322"/>
    </row>
    <row r="241" spans="1:8">
      <c r="A241" s="322"/>
      <c r="B241" s="322"/>
      <c r="C241" s="322"/>
      <c r="D241" s="322"/>
      <c r="E241" s="322"/>
      <c r="F241" s="322"/>
      <c r="G241" s="322"/>
      <c r="H241" s="322"/>
    </row>
    <row r="242" spans="1:8">
      <c r="A242" s="322"/>
      <c r="B242" s="322"/>
      <c r="C242" s="322"/>
      <c r="D242" s="322"/>
      <c r="E242" s="322"/>
      <c r="F242" s="322"/>
      <c r="G242" s="322"/>
      <c r="H242" s="322"/>
    </row>
    <row r="243" spans="1:8">
      <c r="A243" s="322"/>
      <c r="B243" s="322"/>
      <c r="C243" s="322"/>
      <c r="D243" s="322"/>
      <c r="E243" s="322"/>
      <c r="F243" s="322"/>
      <c r="G243" s="322"/>
      <c r="H243" s="322"/>
    </row>
    <row r="244" spans="1:8">
      <c r="A244" s="322"/>
      <c r="B244" s="322"/>
      <c r="C244" s="322"/>
      <c r="D244" s="322"/>
      <c r="E244" s="322"/>
      <c r="F244" s="322"/>
      <c r="G244" s="322"/>
      <c r="H244" s="322"/>
    </row>
    <row r="245" spans="1:8">
      <c r="A245" s="322"/>
      <c r="B245" s="322"/>
      <c r="C245" s="322"/>
      <c r="D245" s="322"/>
      <c r="E245" s="322"/>
      <c r="F245" s="322"/>
      <c r="G245" s="322"/>
      <c r="H245" s="322"/>
    </row>
    <row r="246" spans="1:8">
      <c r="A246" s="322"/>
      <c r="B246" s="322"/>
      <c r="C246" s="322"/>
      <c r="D246" s="322"/>
      <c r="E246" s="322"/>
      <c r="F246" s="322"/>
      <c r="G246" s="322"/>
      <c r="H246" s="322"/>
    </row>
    <row r="247" spans="1:8">
      <c r="A247" s="322"/>
      <c r="B247" s="322"/>
      <c r="C247" s="322"/>
      <c r="D247" s="322"/>
      <c r="E247" s="322"/>
      <c r="F247" s="322"/>
      <c r="G247" s="322"/>
      <c r="H247" s="322"/>
    </row>
    <row r="248" spans="1:8">
      <c r="A248" s="322"/>
      <c r="B248" s="322"/>
      <c r="C248" s="322"/>
      <c r="D248" s="322"/>
      <c r="E248" s="322"/>
      <c r="F248" s="322"/>
      <c r="G248" s="322"/>
      <c r="H248" s="322"/>
    </row>
    <row r="249" spans="1:8">
      <c r="A249" s="322"/>
      <c r="B249" s="322"/>
      <c r="C249" s="322"/>
      <c r="D249" s="322"/>
      <c r="E249" s="322"/>
      <c r="F249" s="322"/>
      <c r="G249" s="322"/>
      <c r="H249" s="322"/>
    </row>
    <row r="250" spans="1:8">
      <c r="A250" s="322"/>
      <c r="B250" s="322"/>
      <c r="C250" s="322"/>
      <c r="D250" s="322"/>
      <c r="E250" s="322"/>
      <c r="F250" s="322"/>
      <c r="G250" s="322"/>
      <c r="H250" s="322"/>
    </row>
    <row r="251" spans="1:8">
      <c r="A251" s="322"/>
      <c r="B251" s="322"/>
      <c r="C251" s="322"/>
      <c r="D251" s="322"/>
      <c r="E251" s="322"/>
      <c r="F251" s="322"/>
      <c r="G251" s="322"/>
      <c r="H251" s="322"/>
    </row>
    <row r="252" spans="1:8">
      <c r="A252" s="322"/>
      <c r="B252" s="322"/>
      <c r="C252" s="322"/>
      <c r="D252" s="322"/>
      <c r="E252" s="322"/>
      <c r="F252" s="322"/>
      <c r="G252" s="322"/>
      <c r="H252" s="322"/>
    </row>
    <row r="253" spans="1:8">
      <c r="A253" s="322"/>
      <c r="B253" s="322"/>
      <c r="C253" s="322"/>
      <c r="D253" s="322"/>
      <c r="E253" s="322"/>
      <c r="F253" s="322"/>
      <c r="G253" s="322"/>
      <c r="H253" s="322"/>
    </row>
    <row r="254" spans="1:8">
      <c r="A254" s="322"/>
      <c r="B254" s="322"/>
      <c r="C254" s="322"/>
      <c r="D254" s="322"/>
      <c r="E254" s="322"/>
      <c r="F254" s="322"/>
      <c r="G254" s="322"/>
      <c r="H254" s="322"/>
    </row>
    <row r="255" spans="1:8">
      <c r="A255" s="322"/>
      <c r="B255" s="322"/>
      <c r="C255" s="322"/>
      <c r="D255" s="322"/>
      <c r="E255" s="322"/>
      <c r="F255" s="322"/>
      <c r="G255" s="322"/>
      <c r="H255" s="322"/>
    </row>
    <row r="256" spans="1:8">
      <c r="A256" s="322"/>
      <c r="B256" s="322"/>
      <c r="C256" s="322"/>
      <c r="D256" s="322"/>
      <c r="E256" s="322"/>
      <c r="F256" s="322"/>
      <c r="G256" s="322"/>
      <c r="H256" s="322"/>
    </row>
    <row r="257" spans="1:8">
      <c r="A257" s="322"/>
      <c r="B257" s="322"/>
      <c r="C257" s="322"/>
      <c r="D257" s="322"/>
      <c r="E257" s="322"/>
      <c r="F257" s="322"/>
      <c r="G257" s="322"/>
      <c r="H257" s="322"/>
    </row>
    <row r="258" spans="1:8">
      <c r="A258" s="322"/>
      <c r="B258" s="322"/>
      <c r="C258" s="322"/>
      <c r="D258" s="322"/>
      <c r="E258" s="322"/>
      <c r="F258" s="322"/>
      <c r="G258" s="322"/>
      <c r="H258" s="322"/>
    </row>
    <row r="259" spans="1:8">
      <c r="A259" s="322"/>
      <c r="B259" s="322"/>
      <c r="C259" s="322"/>
      <c r="D259" s="322"/>
      <c r="E259" s="322"/>
      <c r="F259" s="322"/>
      <c r="G259" s="322"/>
      <c r="H259" s="322"/>
    </row>
    <row r="260" spans="1:8">
      <c r="A260" s="322"/>
      <c r="B260" s="322"/>
      <c r="C260" s="322"/>
      <c r="D260" s="322"/>
      <c r="E260" s="322"/>
      <c r="F260" s="322"/>
      <c r="G260" s="322"/>
      <c r="H260" s="322"/>
    </row>
    <row r="261" spans="1:8">
      <c r="A261" s="322"/>
      <c r="B261" s="322"/>
      <c r="C261" s="322"/>
      <c r="D261" s="322"/>
      <c r="E261" s="322"/>
      <c r="F261" s="322"/>
      <c r="G261" s="322"/>
      <c r="H261" s="322"/>
    </row>
    <row r="262" spans="1:8">
      <c r="A262" s="322"/>
      <c r="B262" s="322"/>
      <c r="C262" s="322"/>
      <c r="D262" s="322"/>
      <c r="E262" s="322"/>
      <c r="F262" s="322"/>
      <c r="G262" s="322"/>
      <c r="H262" s="322"/>
    </row>
    <row r="263" spans="1:8">
      <c r="A263" s="322"/>
      <c r="B263" s="322"/>
      <c r="C263" s="322"/>
      <c r="D263" s="322"/>
      <c r="E263" s="322"/>
      <c r="F263" s="322"/>
      <c r="G263" s="322"/>
      <c r="H263" s="322"/>
    </row>
    <row r="264" spans="1:8">
      <c r="A264" s="322"/>
      <c r="B264" s="322"/>
      <c r="C264" s="322"/>
      <c r="D264" s="322"/>
      <c r="E264" s="322"/>
      <c r="F264" s="322"/>
      <c r="G264" s="322"/>
      <c r="H264" s="322"/>
    </row>
    <row r="265" spans="1:8">
      <c r="A265" s="322"/>
      <c r="B265" s="322"/>
      <c r="C265" s="322"/>
      <c r="D265" s="322"/>
      <c r="E265" s="322"/>
      <c r="F265" s="322"/>
      <c r="G265" s="322"/>
      <c r="H265" s="322"/>
    </row>
    <row r="266" spans="1:8">
      <c r="A266" s="322"/>
      <c r="B266" s="322"/>
      <c r="C266" s="322"/>
      <c r="D266" s="322"/>
      <c r="E266" s="322"/>
      <c r="F266" s="322"/>
      <c r="G266" s="322"/>
      <c r="H266" s="322"/>
    </row>
    <row r="267" spans="1:8">
      <c r="A267" s="322"/>
      <c r="B267" s="322"/>
      <c r="C267" s="322"/>
      <c r="D267" s="322"/>
      <c r="E267" s="322"/>
      <c r="F267" s="322"/>
      <c r="G267" s="322"/>
      <c r="H267" s="322"/>
    </row>
    <row r="268" spans="1:8">
      <c r="A268" s="322"/>
      <c r="B268" s="322"/>
      <c r="C268" s="322"/>
      <c r="D268" s="322"/>
      <c r="E268" s="322"/>
      <c r="F268" s="322"/>
      <c r="G268" s="322"/>
      <c r="H268" s="322"/>
    </row>
    <row r="269" spans="1:8">
      <c r="A269" s="322"/>
      <c r="B269" s="322"/>
      <c r="C269" s="322"/>
      <c r="D269" s="322"/>
      <c r="E269" s="322"/>
      <c r="F269" s="322"/>
      <c r="G269" s="322"/>
      <c r="H269" s="322"/>
    </row>
    <row r="270" spans="1:8">
      <c r="A270" s="322"/>
      <c r="B270" s="322"/>
      <c r="C270" s="322"/>
      <c r="D270" s="322"/>
      <c r="E270" s="322"/>
      <c r="F270" s="322"/>
      <c r="G270" s="322"/>
      <c r="H270" s="322"/>
    </row>
    <row r="271" spans="1:8">
      <c r="A271" s="322"/>
      <c r="B271" s="322"/>
      <c r="C271" s="322"/>
      <c r="D271" s="322"/>
      <c r="E271" s="322"/>
      <c r="F271" s="322"/>
      <c r="G271" s="322"/>
      <c r="H271" s="322"/>
    </row>
    <row r="272" spans="1:8">
      <c r="A272" s="322"/>
      <c r="B272" s="322"/>
      <c r="C272" s="322"/>
      <c r="D272" s="322"/>
      <c r="E272" s="322"/>
      <c r="F272" s="322"/>
      <c r="G272" s="322"/>
      <c r="H272" s="322"/>
    </row>
    <row r="273" spans="1:8">
      <c r="A273" s="322"/>
      <c r="B273" s="322"/>
      <c r="C273" s="322"/>
      <c r="D273" s="322"/>
      <c r="E273" s="322"/>
      <c r="F273" s="322"/>
      <c r="G273" s="322"/>
      <c r="H273" s="322"/>
    </row>
    <row r="274" spans="1:8">
      <c r="A274" s="322"/>
      <c r="B274" s="322"/>
      <c r="C274" s="322"/>
      <c r="D274" s="322"/>
      <c r="E274" s="322"/>
      <c r="F274" s="322"/>
      <c r="G274" s="322"/>
      <c r="H274" s="322"/>
    </row>
    <row r="275" spans="1:8">
      <c r="A275" s="322"/>
      <c r="B275" s="322"/>
      <c r="C275" s="322"/>
      <c r="D275" s="322"/>
      <c r="E275" s="322"/>
      <c r="F275" s="322"/>
      <c r="G275" s="322"/>
      <c r="H275" s="322"/>
    </row>
    <row r="276" spans="1:8">
      <c r="A276" s="322"/>
      <c r="B276" s="322"/>
      <c r="C276" s="322"/>
      <c r="D276" s="322"/>
      <c r="E276" s="322"/>
      <c r="F276" s="322"/>
      <c r="G276" s="322"/>
      <c r="H276" s="322"/>
    </row>
    <row r="277" spans="1:8">
      <c r="A277" s="322"/>
      <c r="B277" s="322"/>
      <c r="C277" s="322"/>
      <c r="D277" s="322"/>
      <c r="E277" s="322"/>
      <c r="F277" s="322"/>
      <c r="G277" s="322"/>
      <c r="H277" s="322"/>
    </row>
    <row r="278" spans="1:8">
      <c r="A278" s="322"/>
      <c r="B278" s="322"/>
      <c r="C278" s="322"/>
      <c r="D278" s="322"/>
      <c r="E278" s="322"/>
      <c r="F278" s="322"/>
      <c r="G278" s="322"/>
      <c r="H278" s="322"/>
    </row>
    <row r="279" spans="1:8">
      <c r="A279" s="322"/>
      <c r="B279" s="322"/>
      <c r="C279" s="322"/>
      <c r="D279" s="322"/>
      <c r="E279" s="322"/>
      <c r="F279" s="322"/>
      <c r="G279" s="322"/>
      <c r="H279" s="322"/>
    </row>
    <row r="280" spans="1:8">
      <c r="A280" s="322"/>
      <c r="B280" s="322"/>
      <c r="C280" s="322"/>
      <c r="D280" s="322"/>
      <c r="E280" s="322"/>
      <c r="F280" s="322"/>
      <c r="G280" s="322"/>
      <c r="H280" s="322"/>
    </row>
    <row r="281" spans="1:8">
      <c r="A281" s="322"/>
      <c r="B281" s="322"/>
      <c r="C281" s="322"/>
      <c r="D281" s="322"/>
      <c r="E281" s="322"/>
      <c r="F281" s="322"/>
      <c r="G281" s="322"/>
      <c r="H281" s="322"/>
    </row>
    <row r="282" spans="1:8">
      <c r="A282" s="322"/>
      <c r="B282" s="322"/>
      <c r="C282" s="322"/>
      <c r="D282" s="322"/>
      <c r="E282" s="322"/>
      <c r="F282" s="322"/>
      <c r="G282" s="322"/>
      <c r="H282" s="322"/>
    </row>
    <row r="283" spans="1:8">
      <c r="A283" s="322"/>
      <c r="B283" s="322"/>
      <c r="C283" s="322"/>
      <c r="D283" s="322"/>
      <c r="E283" s="322"/>
      <c r="F283" s="322"/>
      <c r="G283" s="322"/>
      <c r="H283" s="322"/>
    </row>
    <row r="284" spans="1:8">
      <c r="A284" s="322"/>
      <c r="B284" s="322"/>
      <c r="C284" s="322"/>
      <c r="D284" s="322"/>
      <c r="E284" s="322"/>
      <c r="F284" s="322"/>
      <c r="G284" s="322"/>
      <c r="H284" s="322"/>
    </row>
    <row r="285" spans="1:8">
      <c r="A285" s="322"/>
      <c r="B285" s="322"/>
      <c r="C285" s="322"/>
      <c r="D285" s="322"/>
      <c r="E285" s="322"/>
      <c r="F285" s="322"/>
      <c r="G285" s="322"/>
      <c r="H285" s="322"/>
    </row>
    <row r="286" spans="1:8">
      <c r="A286" s="322"/>
      <c r="B286" s="322"/>
      <c r="C286" s="322"/>
      <c r="D286" s="322"/>
      <c r="E286" s="322"/>
      <c r="F286" s="322"/>
      <c r="G286" s="322"/>
      <c r="H286" s="322"/>
    </row>
    <row r="287" spans="1:8">
      <c r="A287" s="322"/>
      <c r="B287" s="322"/>
      <c r="C287" s="322"/>
      <c r="D287" s="322"/>
      <c r="E287" s="322"/>
      <c r="F287" s="322"/>
      <c r="G287" s="322"/>
      <c r="H287" s="322"/>
    </row>
    <row r="288" spans="1:8">
      <c r="A288" s="322"/>
      <c r="B288" s="322"/>
      <c r="C288" s="322"/>
      <c r="D288" s="322"/>
      <c r="E288" s="322"/>
      <c r="F288" s="322"/>
      <c r="G288" s="322"/>
      <c r="H288" s="322"/>
    </row>
    <row r="289" spans="1:8">
      <c r="A289" s="322"/>
      <c r="B289" s="322"/>
      <c r="C289" s="322"/>
      <c r="D289" s="322"/>
      <c r="E289" s="322"/>
      <c r="F289" s="322"/>
      <c r="G289" s="322"/>
      <c r="H289" s="322"/>
    </row>
    <row r="290" spans="1:8">
      <c r="A290" s="322"/>
      <c r="B290" s="322"/>
      <c r="C290" s="322"/>
      <c r="D290" s="322"/>
      <c r="E290" s="322"/>
      <c r="F290" s="322"/>
      <c r="G290" s="322"/>
      <c r="H290" s="322"/>
    </row>
    <row r="291" spans="1:8">
      <c r="A291" s="322"/>
      <c r="B291" s="322"/>
      <c r="C291" s="322"/>
      <c r="D291" s="322"/>
      <c r="E291" s="322"/>
      <c r="F291" s="322"/>
      <c r="G291" s="322"/>
      <c r="H291" s="322"/>
    </row>
    <row r="292" spans="1:8">
      <c r="A292" s="322"/>
      <c r="B292" s="322"/>
      <c r="C292" s="322"/>
      <c r="D292" s="322"/>
      <c r="E292" s="322"/>
      <c r="F292" s="322"/>
      <c r="G292" s="322"/>
      <c r="H292" s="322"/>
    </row>
    <row r="293" spans="1:8">
      <c r="A293" s="322"/>
      <c r="B293" s="322"/>
      <c r="C293" s="322"/>
      <c r="D293" s="322"/>
      <c r="E293" s="322"/>
      <c r="F293" s="322"/>
      <c r="G293" s="322"/>
      <c r="H293" s="322"/>
    </row>
    <row r="294" spans="1:8">
      <c r="A294" s="322"/>
      <c r="B294" s="322"/>
      <c r="C294" s="322"/>
      <c r="D294" s="322"/>
      <c r="E294" s="322"/>
      <c r="F294" s="322"/>
      <c r="G294" s="322"/>
      <c r="H294" s="322"/>
    </row>
    <row r="295" spans="1:8">
      <c r="A295" s="322"/>
      <c r="B295" s="322"/>
      <c r="C295" s="322"/>
      <c r="D295" s="322"/>
      <c r="E295" s="322"/>
      <c r="F295" s="322"/>
      <c r="G295" s="322"/>
      <c r="H295" s="322"/>
    </row>
    <row r="296" spans="1:8">
      <c r="A296" s="322"/>
      <c r="B296" s="322"/>
      <c r="C296" s="322"/>
      <c r="D296" s="322"/>
      <c r="E296" s="322"/>
      <c r="F296" s="322"/>
      <c r="G296" s="322"/>
      <c r="H296" s="322"/>
    </row>
    <row r="297" spans="1:8">
      <c r="A297" s="322"/>
      <c r="B297" s="322"/>
      <c r="C297" s="322"/>
      <c r="D297" s="322"/>
      <c r="E297" s="322"/>
      <c r="F297" s="322"/>
      <c r="G297" s="322"/>
      <c r="H297" s="322"/>
    </row>
    <row r="298" spans="1:8">
      <c r="A298" s="322"/>
      <c r="B298" s="322"/>
      <c r="C298" s="322"/>
      <c r="D298" s="322"/>
      <c r="E298" s="322"/>
      <c r="F298" s="322"/>
      <c r="G298" s="322"/>
      <c r="H298" s="322"/>
    </row>
    <row r="299" spans="1:8">
      <c r="A299" s="322"/>
      <c r="B299" s="322"/>
      <c r="C299" s="322"/>
      <c r="D299" s="322"/>
      <c r="E299" s="322"/>
      <c r="F299" s="322"/>
      <c r="G299" s="322"/>
      <c r="H299" s="322"/>
    </row>
    <row r="300" spans="1:8">
      <c r="A300" s="322"/>
      <c r="B300" s="322"/>
      <c r="C300" s="322"/>
      <c r="D300" s="322"/>
      <c r="E300" s="322"/>
      <c r="F300" s="322"/>
      <c r="G300" s="322"/>
      <c r="H300" s="322"/>
    </row>
    <row r="301" spans="1:8">
      <c r="A301" s="322"/>
      <c r="B301" s="322"/>
      <c r="C301" s="322"/>
      <c r="D301" s="322"/>
      <c r="E301" s="322"/>
      <c r="F301" s="322"/>
      <c r="G301" s="322"/>
      <c r="H301" s="322"/>
    </row>
    <row r="302" spans="1:8">
      <c r="A302" s="322"/>
      <c r="B302" s="322"/>
      <c r="C302" s="322"/>
      <c r="D302" s="322"/>
      <c r="E302" s="322"/>
      <c r="F302" s="322"/>
      <c r="G302" s="322"/>
      <c r="H302" s="322"/>
    </row>
    <row r="303" spans="1:8">
      <c r="A303" s="322"/>
      <c r="B303" s="322"/>
      <c r="C303" s="322"/>
      <c r="D303" s="322"/>
      <c r="E303" s="322"/>
      <c r="F303" s="322"/>
      <c r="G303" s="322"/>
      <c r="H303" s="322"/>
    </row>
    <row r="304" spans="1:8">
      <c r="A304" s="322"/>
      <c r="B304" s="322"/>
      <c r="C304" s="322"/>
      <c r="D304" s="322"/>
      <c r="E304" s="322"/>
      <c r="F304" s="322"/>
      <c r="G304" s="322"/>
      <c r="H304" s="322"/>
    </row>
    <row r="305" spans="1:8">
      <c r="A305" s="322"/>
      <c r="B305" s="322"/>
      <c r="C305" s="322"/>
      <c r="D305" s="322"/>
      <c r="E305" s="322"/>
      <c r="F305" s="322"/>
      <c r="G305" s="322"/>
      <c r="H305" s="322"/>
    </row>
    <row r="306" spans="1:8">
      <c r="A306" s="322"/>
      <c r="B306" s="322"/>
      <c r="C306" s="322"/>
      <c r="D306" s="322"/>
      <c r="E306" s="322"/>
      <c r="F306" s="322"/>
      <c r="G306" s="322"/>
      <c r="H306" s="322"/>
    </row>
    <row r="307" spans="1:8">
      <c r="A307" s="322"/>
      <c r="B307" s="322"/>
      <c r="C307" s="322"/>
      <c r="D307" s="322"/>
      <c r="E307" s="322"/>
      <c r="F307" s="322"/>
      <c r="G307" s="322"/>
      <c r="H307" s="322"/>
    </row>
    <row r="308" spans="1:8">
      <c r="A308" s="322"/>
      <c r="B308" s="322"/>
      <c r="C308" s="322"/>
      <c r="D308" s="322"/>
      <c r="E308" s="322"/>
      <c r="F308" s="322"/>
      <c r="G308" s="322"/>
      <c r="H308" s="322"/>
    </row>
    <row r="309" spans="1:8">
      <c r="A309" s="322"/>
      <c r="B309" s="322"/>
      <c r="C309" s="322"/>
      <c r="D309" s="322"/>
      <c r="E309" s="322"/>
      <c r="F309" s="322"/>
      <c r="G309" s="322"/>
      <c r="H309" s="322"/>
    </row>
    <row r="310" spans="1:8">
      <c r="A310" s="322"/>
      <c r="B310" s="322"/>
      <c r="C310" s="322"/>
      <c r="D310" s="322"/>
      <c r="E310" s="322"/>
      <c r="F310" s="322"/>
      <c r="G310" s="322"/>
      <c r="H310" s="322"/>
    </row>
    <row r="311" spans="1:8">
      <c r="A311" s="322"/>
      <c r="B311" s="322"/>
      <c r="C311" s="322"/>
      <c r="D311" s="322"/>
      <c r="E311" s="322"/>
      <c r="F311" s="322"/>
      <c r="G311" s="322"/>
      <c r="H311" s="322"/>
    </row>
    <row r="312" spans="1:8">
      <c r="A312" s="322"/>
      <c r="B312" s="322"/>
      <c r="C312" s="322"/>
      <c r="D312" s="322"/>
      <c r="E312" s="322"/>
      <c r="F312" s="322"/>
      <c r="G312" s="322"/>
      <c r="H312" s="322"/>
    </row>
    <row r="313" spans="1:8">
      <c r="A313" s="322"/>
      <c r="B313" s="322"/>
      <c r="C313" s="322"/>
      <c r="D313" s="322"/>
      <c r="E313" s="322"/>
      <c r="F313" s="322"/>
      <c r="G313" s="322"/>
      <c r="H313" s="322"/>
    </row>
    <row r="314" spans="1:8">
      <c r="A314" s="322"/>
      <c r="B314" s="322"/>
      <c r="C314" s="322"/>
      <c r="D314" s="322"/>
      <c r="E314" s="322"/>
      <c r="F314" s="322"/>
      <c r="G314" s="322"/>
      <c r="H314" s="322"/>
    </row>
    <row r="315" spans="1:8">
      <c r="A315" s="322"/>
      <c r="B315" s="322"/>
      <c r="C315" s="322"/>
      <c r="D315" s="322"/>
      <c r="E315" s="322"/>
      <c r="F315" s="322"/>
      <c r="G315" s="322"/>
      <c r="H315" s="322"/>
    </row>
    <row r="316" spans="1:8">
      <c r="A316" s="322"/>
      <c r="B316" s="322"/>
      <c r="C316" s="322"/>
      <c r="D316" s="322"/>
      <c r="E316" s="322"/>
      <c r="F316" s="322"/>
      <c r="G316" s="322"/>
      <c r="H316" s="322"/>
    </row>
    <row r="317" spans="1:8">
      <c r="A317" s="322"/>
      <c r="B317" s="322"/>
      <c r="C317" s="322"/>
      <c r="D317" s="322"/>
      <c r="E317" s="322"/>
      <c r="F317" s="322"/>
      <c r="G317" s="322"/>
      <c r="H317" s="322"/>
    </row>
    <row r="318" spans="1:8">
      <c r="A318" s="322"/>
      <c r="B318" s="322"/>
      <c r="C318" s="322"/>
      <c r="D318" s="322"/>
      <c r="E318" s="322"/>
      <c r="F318" s="322"/>
      <c r="G318" s="322"/>
      <c r="H318" s="322"/>
    </row>
    <row r="319" spans="1:8">
      <c r="A319" s="322"/>
      <c r="B319" s="322"/>
      <c r="C319" s="322"/>
      <c r="D319" s="322"/>
      <c r="E319" s="322"/>
      <c r="F319" s="322"/>
      <c r="G319" s="322"/>
      <c r="H319" s="322"/>
    </row>
    <row r="320" spans="1:8">
      <c r="A320" s="322"/>
      <c r="B320" s="322"/>
      <c r="C320" s="322"/>
      <c r="D320" s="322"/>
      <c r="E320" s="322"/>
      <c r="F320" s="322"/>
      <c r="G320" s="322"/>
      <c r="H320" s="322"/>
    </row>
    <row r="321" spans="1:8">
      <c r="A321" s="322"/>
      <c r="B321" s="322"/>
      <c r="C321" s="322"/>
      <c r="D321" s="322"/>
      <c r="E321" s="322"/>
      <c r="F321" s="322"/>
      <c r="G321" s="322"/>
      <c r="H321" s="322"/>
    </row>
    <row r="322" spans="1:8">
      <c r="A322" s="322"/>
      <c r="B322" s="322"/>
      <c r="C322" s="322"/>
      <c r="D322" s="322"/>
      <c r="E322" s="322"/>
      <c r="F322" s="322"/>
      <c r="G322" s="322"/>
      <c r="H322" s="322"/>
    </row>
    <row r="323" spans="1:8">
      <c r="A323" s="322"/>
      <c r="B323" s="322"/>
      <c r="C323" s="322"/>
      <c r="D323" s="322"/>
      <c r="E323" s="322"/>
      <c r="F323" s="322"/>
      <c r="G323" s="322"/>
      <c r="H323" s="322"/>
    </row>
    <row r="324" spans="1:8">
      <c r="A324" s="322"/>
      <c r="B324" s="322"/>
      <c r="C324" s="322"/>
      <c r="D324" s="322"/>
      <c r="E324" s="322"/>
      <c r="F324" s="322"/>
      <c r="G324" s="322"/>
      <c r="H324" s="322"/>
    </row>
    <row r="325" spans="1:8">
      <c r="A325" s="322"/>
      <c r="B325" s="322"/>
      <c r="C325" s="322"/>
      <c r="D325" s="322"/>
      <c r="E325" s="322"/>
      <c r="F325" s="322"/>
      <c r="G325" s="322"/>
      <c r="H325" s="322"/>
    </row>
    <row r="326" spans="1:8">
      <c r="A326" s="322"/>
      <c r="B326" s="322"/>
      <c r="C326" s="322"/>
      <c r="D326" s="322"/>
      <c r="E326" s="322"/>
      <c r="F326" s="322"/>
      <c r="G326" s="322"/>
      <c r="H326" s="322"/>
    </row>
    <row r="327" spans="1:8">
      <c r="A327" s="322"/>
      <c r="B327" s="322"/>
      <c r="C327" s="322"/>
      <c r="D327" s="322"/>
      <c r="E327" s="322"/>
      <c r="F327" s="322"/>
      <c r="G327" s="322"/>
      <c r="H327" s="322"/>
    </row>
    <row r="328" spans="1:8">
      <c r="A328" s="322"/>
      <c r="B328" s="322"/>
      <c r="C328" s="322"/>
      <c r="D328" s="322"/>
      <c r="E328" s="322"/>
      <c r="F328" s="322"/>
      <c r="G328" s="322"/>
      <c r="H328" s="322"/>
    </row>
    <row r="329" spans="1:8">
      <c r="A329" s="322"/>
      <c r="B329" s="322"/>
      <c r="C329" s="322"/>
      <c r="D329" s="322"/>
      <c r="E329" s="322"/>
      <c r="F329" s="322"/>
      <c r="G329" s="322"/>
      <c r="H329" s="322"/>
    </row>
    <row r="330" spans="1:8">
      <c r="A330" s="322"/>
      <c r="B330" s="322"/>
      <c r="C330" s="322"/>
      <c r="D330" s="322"/>
      <c r="E330" s="322"/>
      <c r="F330" s="322"/>
      <c r="G330" s="322"/>
      <c r="H330" s="322"/>
    </row>
    <row r="331" spans="1:8">
      <c r="A331" s="322"/>
      <c r="B331" s="322"/>
      <c r="C331" s="322"/>
      <c r="D331" s="322"/>
      <c r="E331" s="322"/>
      <c r="F331" s="322"/>
      <c r="G331" s="322"/>
      <c r="H331" s="322"/>
    </row>
    <row r="332" spans="1:8">
      <c r="A332" s="322"/>
      <c r="B332" s="322"/>
      <c r="C332" s="322"/>
      <c r="D332" s="322"/>
      <c r="E332" s="322"/>
      <c r="F332" s="322"/>
      <c r="G332" s="322"/>
      <c r="H332" s="322"/>
    </row>
    <row r="333" spans="1:8">
      <c r="A333" s="322"/>
      <c r="B333" s="322"/>
      <c r="C333" s="322"/>
      <c r="D333" s="322"/>
      <c r="E333" s="322"/>
      <c r="F333" s="322"/>
      <c r="G333" s="322"/>
      <c r="H333" s="322"/>
    </row>
    <row r="334" spans="1:8">
      <c r="A334" s="322"/>
      <c r="B334" s="322"/>
      <c r="C334" s="322"/>
      <c r="D334" s="322"/>
      <c r="E334" s="322"/>
      <c r="F334" s="322"/>
      <c r="G334" s="322"/>
      <c r="H334" s="322"/>
    </row>
    <row r="335" spans="1:8">
      <c r="A335" s="322"/>
      <c r="B335" s="322"/>
      <c r="C335" s="322"/>
      <c r="D335" s="322"/>
      <c r="E335" s="322"/>
      <c r="F335" s="322"/>
      <c r="G335" s="322"/>
      <c r="H335" s="322"/>
    </row>
    <row r="336" spans="1:8">
      <c r="A336" s="322"/>
      <c r="B336" s="322"/>
      <c r="C336" s="322"/>
      <c r="D336" s="322"/>
      <c r="E336" s="322"/>
      <c r="F336" s="322"/>
      <c r="G336" s="322"/>
      <c r="H336" s="322"/>
    </row>
    <row r="337" spans="1:8">
      <c r="A337" s="322"/>
      <c r="B337" s="322"/>
      <c r="C337" s="322"/>
      <c r="D337" s="322"/>
      <c r="E337" s="322"/>
      <c r="F337" s="322"/>
      <c r="G337" s="322"/>
      <c r="H337" s="322"/>
    </row>
    <row r="338" spans="1:8">
      <c r="A338" s="322"/>
      <c r="B338" s="322"/>
      <c r="C338" s="322"/>
      <c r="D338" s="322"/>
      <c r="E338" s="322"/>
      <c r="F338" s="322"/>
      <c r="G338" s="322"/>
      <c r="H338" s="322"/>
    </row>
    <row r="339" spans="1:8">
      <c r="A339" s="322"/>
      <c r="B339" s="322"/>
      <c r="C339" s="322"/>
      <c r="D339" s="322"/>
      <c r="E339" s="322"/>
      <c r="F339" s="322"/>
      <c r="G339" s="322"/>
      <c r="H339" s="322"/>
    </row>
    <row r="340" spans="1:8">
      <c r="A340" s="322"/>
      <c r="B340" s="322"/>
      <c r="C340" s="322"/>
      <c r="D340" s="322"/>
      <c r="E340" s="322"/>
      <c r="F340" s="322"/>
      <c r="G340" s="322"/>
      <c r="H340" s="322"/>
    </row>
    <row r="341" spans="1:8">
      <c r="A341" s="322"/>
      <c r="B341" s="322"/>
      <c r="C341" s="322"/>
      <c r="D341" s="322"/>
      <c r="E341" s="322"/>
      <c r="F341" s="322"/>
      <c r="G341" s="322"/>
      <c r="H341" s="322"/>
    </row>
    <row r="342" spans="1:8">
      <c r="A342" s="322"/>
      <c r="B342" s="322"/>
      <c r="C342" s="322"/>
      <c r="D342" s="322"/>
      <c r="E342" s="322"/>
      <c r="F342" s="322"/>
      <c r="G342" s="322"/>
      <c r="H342" s="322"/>
    </row>
    <row r="343" spans="1:8">
      <c r="A343" s="322"/>
      <c r="B343" s="322"/>
      <c r="C343" s="322"/>
      <c r="D343" s="322"/>
      <c r="E343" s="322"/>
      <c r="F343" s="322"/>
      <c r="G343" s="322"/>
      <c r="H343" s="322"/>
    </row>
    <row r="344" spans="1:8">
      <c r="A344" s="322"/>
      <c r="B344" s="322"/>
      <c r="C344" s="322"/>
      <c r="D344" s="322"/>
      <c r="E344" s="322"/>
      <c r="F344" s="322"/>
      <c r="G344" s="322"/>
      <c r="H344" s="322"/>
    </row>
    <row r="345" spans="1:8">
      <c r="A345" s="322"/>
      <c r="B345" s="322"/>
      <c r="C345" s="322"/>
      <c r="D345" s="322"/>
      <c r="E345" s="322"/>
      <c r="F345" s="322"/>
      <c r="G345" s="322"/>
      <c r="H345" s="322"/>
    </row>
    <row r="346" spans="1:8">
      <c r="A346" s="322"/>
      <c r="B346" s="322"/>
      <c r="C346" s="322"/>
      <c r="D346" s="322"/>
      <c r="E346" s="322"/>
      <c r="F346" s="322"/>
      <c r="G346" s="322"/>
      <c r="H346" s="322"/>
    </row>
    <row r="347" spans="1:8">
      <c r="A347" s="322"/>
      <c r="B347" s="322"/>
      <c r="C347" s="322"/>
      <c r="D347" s="322"/>
      <c r="E347" s="322"/>
      <c r="F347" s="322"/>
      <c r="G347" s="322"/>
      <c r="H347" s="322"/>
    </row>
    <row r="348" spans="1:8">
      <c r="A348" s="322"/>
      <c r="B348" s="322"/>
      <c r="C348" s="322"/>
      <c r="D348" s="322"/>
      <c r="E348" s="322"/>
      <c r="F348" s="322"/>
      <c r="G348" s="322"/>
      <c r="H348" s="322"/>
    </row>
    <row r="349" spans="1:8">
      <c r="A349" s="322"/>
      <c r="B349" s="322"/>
      <c r="C349" s="322"/>
      <c r="D349" s="322"/>
      <c r="E349" s="322"/>
      <c r="F349" s="322"/>
      <c r="G349" s="322"/>
      <c r="H349" s="322"/>
    </row>
    <row r="350" spans="1:8">
      <c r="A350" s="322"/>
      <c r="B350" s="322"/>
      <c r="C350" s="322"/>
      <c r="D350" s="322"/>
      <c r="E350" s="322"/>
      <c r="F350" s="322"/>
      <c r="G350" s="322"/>
      <c r="H350" s="322"/>
    </row>
    <row r="351" spans="1:8">
      <c r="A351" s="322"/>
      <c r="B351" s="322"/>
      <c r="C351" s="322"/>
      <c r="D351" s="322"/>
      <c r="E351" s="322"/>
      <c r="F351" s="322"/>
      <c r="G351" s="322"/>
      <c r="H351" s="322"/>
    </row>
    <row r="352" spans="1:8">
      <c r="A352" s="322"/>
      <c r="B352" s="322"/>
      <c r="C352" s="322"/>
      <c r="D352" s="322"/>
      <c r="E352" s="322"/>
      <c r="F352" s="322"/>
      <c r="G352" s="322"/>
      <c r="H352" s="322"/>
    </row>
    <row r="353" spans="1:8">
      <c r="A353" s="322"/>
      <c r="B353" s="322"/>
      <c r="C353" s="322"/>
      <c r="D353" s="322"/>
      <c r="E353" s="322"/>
      <c r="F353" s="322"/>
      <c r="G353" s="322"/>
      <c r="H353" s="322"/>
    </row>
    <row r="354" spans="1:8">
      <c r="A354" s="322"/>
      <c r="B354" s="322"/>
      <c r="C354" s="322"/>
      <c r="D354" s="322"/>
      <c r="E354" s="322"/>
      <c r="F354" s="322"/>
      <c r="G354" s="322"/>
      <c r="H354" s="322"/>
    </row>
    <row r="355" spans="1:8">
      <c r="A355" s="322"/>
      <c r="B355" s="322"/>
      <c r="C355" s="322"/>
      <c r="D355" s="322"/>
      <c r="E355" s="322"/>
      <c r="F355" s="322"/>
      <c r="G355" s="322"/>
      <c r="H355" s="322"/>
    </row>
    <row r="356" spans="1:8">
      <c r="A356" s="322"/>
      <c r="B356" s="322"/>
      <c r="C356" s="322"/>
      <c r="D356" s="322"/>
      <c r="E356" s="322"/>
      <c r="F356" s="322"/>
      <c r="G356" s="322"/>
      <c r="H356" s="322"/>
    </row>
    <row r="357" spans="1:8">
      <c r="A357" s="322"/>
      <c r="B357" s="322"/>
      <c r="C357" s="322"/>
      <c r="D357" s="322"/>
      <c r="E357" s="322"/>
      <c r="F357" s="322"/>
      <c r="G357" s="322"/>
      <c r="H357" s="322"/>
    </row>
    <row r="358" spans="1:8">
      <c r="A358" s="322"/>
      <c r="B358" s="322"/>
      <c r="C358" s="322"/>
      <c r="D358" s="322"/>
      <c r="E358" s="322"/>
      <c r="F358" s="322"/>
      <c r="G358" s="322"/>
      <c r="H358" s="322"/>
    </row>
    <row r="359" spans="1:8">
      <c r="A359" s="322"/>
      <c r="B359" s="322"/>
      <c r="C359" s="322"/>
      <c r="D359" s="322"/>
      <c r="E359" s="322"/>
      <c r="F359" s="322"/>
      <c r="G359" s="322"/>
      <c r="H359" s="322"/>
    </row>
    <row r="360" spans="1:8">
      <c r="A360" s="322"/>
      <c r="B360" s="322"/>
      <c r="C360" s="322"/>
      <c r="D360" s="322"/>
      <c r="E360" s="322"/>
      <c r="F360" s="322"/>
      <c r="G360" s="322"/>
      <c r="H360" s="322"/>
    </row>
    <row r="361" spans="1:8">
      <c r="A361" s="322"/>
      <c r="B361" s="322"/>
      <c r="C361" s="322"/>
      <c r="D361" s="322"/>
      <c r="E361" s="322"/>
      <c r="F361" s="322"/>
      <c r="G361" s="322"/>
      <c r="H361" s="322"/>
    </row>
    <row r="362" spans="1:8">
      <c r="A362" s="322"/>
      <c r="B362" s="322"/>
      <c r="C362" s="322"/>
      <c r="D362" s="322"/>
      <c r="E362" s="322"/>
      <c r="F362" s="322"/>
      <c r="G362" s="322"/>
      <c r="H362" s="322"/>
    </row>
    <row r="363" spans="1:8">
      <c r="A363" s="322"/>
      <c r="B363" s="322"/>
      <c r="C363" s="322"/>
      <c r="D363" s="322"/>
      <c r="E363" s="322"/>
      <c r="F363" s="322"/>
      <c r="G363" s="322"/>
      <c r="H363" s="322"/>
    </row>
    <row r="364" spans="1:8">
      <c r="A364" s="322"/>
      <c r="B364" s="322"/>
      <c r="C364" s="322"/>
      <c r="D364" s="322"/>
      <c r="E364" s="322"/>
      <c r="F364" s="322"/>
      <c r="G364" s="322"/>
      <c r="H364" s="322"/>
    </row>
    <row r="365" spans="1:8">
      <c r="A365" s="322"/>
      <c r="B365" s="322"/>
      <c r="C365" s="322"/>
      <c r="D365" s="322"/>
      <c r="E365" s="322"/>
      <c r="F365" s="322"/>
      <c r="G365" s="322"/>
      <c r="H365" s="322"/>
    </row>
    <row r="366" spans="1:8">
      <c r="A366" s="322"/>
      <c r="B366" s="322"/>
      <c r="C366" s="322"/>
      <c r="D366" s="322"/>
      <c r="E366" s="322"/>
      <c r="F366" s="322"/>
      <c r="G366" s="322"/>
      <c r="H366" s="322"/>
    </row>
    <row r="367" spans="1:8">
      <c r="A367" s="322"/>
      <c r="B367" s="322"/>
      <c r="C367" s="322"/>
      <c r="D367" s="322"/>
      <c r="E367" s="322"/>
      <c r="F367" s="322"/>
      <c r="G367" s="322"/>
      <c r="H367" s="322"/>
    </row>
    <row r="368" spans="1:8">
      <c r="A368" s="322"/>
      <c r="B368" s="322"/>
      <c r="C368" s="322"/>
      <c r="D368" s="322"/>
      <c r="E368" s="322"/>
      <c r="F368" s="322"/>
      <c r="G368" s="322"/>
      <c r="H368" s="322"/>
    </row>
    <row r="369" spans="1:8">
      <c r="A369" s="322"/>
      <c r="B369" s="322"/>
      <c r="C369" s="322"/>
      <c r="D369" s="322"/>
      <c r="E369" s="322"/>
      <c r="F369" s="322"/>
      <c r="G369" s="322"/>
      <c r="H369" s="322"/>
    </row>
    <row r="370" spans="1:8">
      <c r="A370" s="322"/>
      <c r="B370" s="322"/>
      <c r="C370" s="322"/>
      <c r="D370" s="322"/>
      <c r="E370" s="322"/>
      <c r="F370" s="322"/>
      <c r="G370" s="322"/>
      <c r="H370" s="322"/>
    </row>
    <row r="371" spans="1:8">
      <c r="A371" s="322"/>
      <c r="B371" s="322"/>
      <c r="C371" s="322"/>
      <c r="D371" s="322"/>
      <c r="E371" s="322"/>
      <c r="F371" s="322"/>
      <c r="G371" s="322"/>
      <c r="H371" s="322"/>
    </row>
    <row r="372" spans="1:8">
      <c r="A372" s="322"/>
      <c r="B372" s="322"/>
      <c r="C372" s="322"/>
      <c r="D372" s="322"/>
      <c r="E372" s="322"/>
      <c r="F372" s="322"/>
      <c r="G372" s="322"/>
      <c r="H372" s="322"/>
    </row>
    <row r="373" spans="1:8">
      <c r="A373" s="322"/>
      <c r="B373" s="322"/>
      <c r="C373" s="322"/>
      <c r="D373" s="322"/>
      <c r="E373" s="322"/>
      <c r="F373" s="322"/>
      <c r="G373" s="322"/>
      <c r="H373" s="322"/>
    </row>
    <row r="374" spans="1:8">
      <c r="A374" s="322"/>
      <c r="B374" s="322"/>
      <c r="C374" s="322"/>
      <c r="D374" s="322"/>
      <c r="E374" s="322"/>
      <c r="F374" s="322"/>
      <c r="G374" s="322"/>
      <c r="H374" s="322"/>
    </row>
    <row r="375" spans="1:8">
      <c r="A375" s="322"/>
      <c r="B375" s="322"/>
      <c r="C375" s="322"/>
      <c r="D375" s="322"/>
      <c r="E375" s="322"/>
      <c r="F375" s="322"/>
      <c r="G375" s="322"/>
      <c r="H375" s="322"/>
    </row>
    <row r="376" spans="1:8">
      <c r="A376" s="322"/>
      <c r="B376" s="322"/>
      <c r="C376" s="322"/>
      <c r="D376" s="322"/>
      <c r="E376" s="322"/>
      <c r="F376" s="322"/>
      <c r="G376" s="322"/>
      <c r="H376" s="322"/>
    </row>
    <row r="377" spans="1:8">
      <c r="A377" s="322"/>
      <c r="B377" s="322"/>
      <c r="C377" s="322"/>
      <c r="D377" s="322"/>
      <c r="E377" s="322"/>
      <c r="F377" s="322"/>
      <c r="G377" s="322"/>
      <c r="H377" s="322"/>
    </row>
    <row r="378" spans="1:8">
      <c r="A378" s="322"/>
      <c r="B378" s="322"/>
      <c r="C378" s="322"/>
      <c r="D378" s="322"/>
      <c r="E378" s="322"/>
      <c r="F378" s="322"/>
      <c r="G378" s="322"/>
      <c r="H378" s="322"/>
    </row>
    <row r="379" spans="1:8">
      <c r="A379" s="322"/>
      <c r="B379" s="322"/>
      <c r="C379" s="322"/>
      <c r="D379" s="322"/>
      <c r="E379" s="322"/>
      <c r="F379" s="322"/>
      <c r="G379" s="322"/>
      <c r="H379" s="322"/>
    </row>
    <row r="380" spans="1:8">
      <c r="A380" s="322"/>
      <c r="B380" s="322"/>
      <c r="C380" s="322"/>
      <c r="D380" s="322"/>
      <c r="E380" s="322"/>
      <c r="F380" s="322"/>
      <c r="G380" s="322"/>
      <c r="H380" s="322"/>
    </row>
    <row r="381" spans="1:8">
      <c r="A381" s="322"/>
      <c r="B381" s="322"/>
      <c r="C381" s="322"/>
      <c r="D381" s="322"/>
      <c r="E381" s="322"/>
      <c r="F381" s="322"/>
      <c r="G381" s="322"/>
      <c r="H381" s="322"/>
    </row>
    <row r="382" spans="1:8">
      <c r="A382" s="322"/>
      <c r="B382" s="322"/>
      <c r="C382" s="322"/>
      <c r="D382" s="322"/>
      <c r="E382" s="322"/>
      <c r="F382" s="322"/>
      <c r="G382" s="322"/>
      <c r="H382" s="322"/>
    </row>
    <row r="383" spans="1:8">
      <c r="A383" s="322"/>
      <c r="B383" s="322"/>
      <c r="C383" s="322"/>
      <c r="D383" s="322"/>
      <c r="E383" s="322"/>
      <c r="F383" s="322"/>
      <c r="G383" s="322"/>
      <c r="H383" s="322"/>
    </row>
    <row r="384" spans="1:8">
      <c r="A384" s="322"/>
      <c r="B384" s="322"/>
      <c r="C384" s="322"/>
      <c r="D384" s="322"/>
      <c r="E384" s="322"/>
      <c r="F384" s="322"/>
      <c r="G384" s="322"/>
      <c r="H384" s="322"/>
    </row>
    <row r="385" spans="1:8">
      <c r="A385" s="322"/>
      <c r="B385" s="322"/>
      <c r="C385" s="322"/>
      <c r="D385" s="322"/>
      <c r="E385" s="322"/>
      <c r="F385" s="322"/>
      <c r="G385" s="322"/>
      <c r="H385" s="322"/>
    </row>
    <row r="386" spans="1:8">
      <c r="A386" s="322"/>
      <c r="B386" s="322"/>
      <c r="C386" s="322"/>
      <c r="D386" s="322"/>
      <c r="E386" s="322"/>
      <c r="F386" s="322"/>
      <c r="G386" s="322"/>
      <c r="H386" s="322"/>
    </row>
    <row r="387" spans="1:8">
      <c r="A387" s="322"/>
      <c r="B387" s="322"/>
      <c r="C387" s="322"/>
      <c r="D387" s="322"/>
      <c r="E387" s="322"/>
      <c r="F387" s="322"/>
      <c r="G387" s="322"/>
      <c r="H387" s="322"/>
    </row>
    <row r="388" spans="1:8">
      <c r="A388" s="322"/>
      <c r="B388" s="322"/>
      <c r="C388" s="322"/>
      <c r="D388" s="322"/>
      <c r="E388" s="322"/>
      <c r="F388" s="322"/>
      <c r="G388" s="322"/>
      <c r="H388" s="322"/>
    </row>
    <row r="389" spans="1:8">
      <c r="A389" s="322"/>
      <c r="B389" s="322"/>
      <c r="C389" s="322"/>
      <c r="D389" s="322"/>
      <c r="E389" s="322"/>
      <c r="F389" s="322"/>
      <c r="G389" s="322"/>
      <c r="H389" s="322"/>
    </row>
    <row r="390" spans="1:8">
      <c r="A390" s="322"/>
      <c r="B390" s="322"/>
      <c r="C390" s="322"/>
      <c r="D390" s="322"/>
      <c r="E390" s="322"/>
      <c r="F390" s="322"/>
      <c r="G390" s="322"/>
      <c r="H390" s="322"/>
    </row>
    <row r="391" spans="1:8">
      <c r="A391" s="322"/>
      <c r="B391" s="322"/>
      <c r="C391" s="322"/>
      <c r="D391" s="322"/>
      <c r="E391" s="322"/>
      <c r="F391" s="322"/>
      <c r="G391" s="322"/>
      <c r="H391" s="322"/>
    </row>
    <row r="392" spans="1:8">
      <c r="A392" s="322"/>
      <c r="B392" s="322"/>
      <c r="C392" s="322"/>
      <c r="D392" s="322"/>
      <c r="E392" s="322"/>
      <c r="F392" s="322"/>
      <c r="G392" s="322"/>
      <c r="H392" s="322"/>
    </row>
    <row r="393" spans="1:8">
      <c r="A393" s="322"/>
      <c r="B393" s="322"/>
      <c r="C393" s="322"/>
      <c r="D393" s="322"/>
      <c r="E393" s="322"/>
      <c r="F393" s="322"/>
      <c r="G393" s="322"/>
      <c r="H393" s="322"/>
    </row>
    <row r="394" spans="1:8">
      <c r="A394" s="322"/>
      <c r="B394" s="322"/>
      <c r="C394" s="322"/>
      <c r="D394" s="322"/>
      <c r="E394" s="322"/>
      <c r="F394" s="322"/>
      <c r="G394" s="322"/>
      <c r="H394" s="322"/>
    </row>
    <row r="395" spans="1:8">
      <c r="A395" s="322"/>
      <c r="B395" s="322"/>
      <c r="C395" s="322"/>
      <c r="D395" s="322"/>
      <c r="E395" s="322"/>
      <c r="F395" s="322"/>
      <c r="G395" s="322"/>
      <c r="H395" s="322"/>
    </row>
    <row r="396" spans="1:8">
      <c r="A396" s="322"/>
      <c r="B396" s="322"/>
      <c r="C396" s="322"/>
      <c r="D396" s="322"/>
      <c r="E396" s="322"/>
      <c r="F396" s="322"/>
      <c r="G396" s="322"/>
      <c r="H396" s="322"/>
    </row>
    <row r="397" spans="1:8">
      <c r="A397" s="322"/>
      <c r="B397" s="322"/>
      <c r="C397" s="322"/>
      <c r="D397" s="322"/>
      <c r="E397" s="322"/>
      <c r="F397" s="322"/>
      <c r="G397" s="322"/>
      <c r="H397" s="322"/>
    </row>
    <row r="398" spans="1:8">
      <c r="A398" s="322"/>
      <c r="B398" s="322"/>
      <c r="C398" s="322"/>
      <c r="D398" s="322"/>
      <c r="E398" s="322"/>
      <c r="F398" s="322"/>
      <c r="G398" s="322"/>
      <c r="H398" s="322"/>
    </row>
    <row r="399" spans="1:8">
      <c r="A399" s="322"/>
      <c r="B399" s="322"/>
      <c r="C399" s="322"/>
      <c r="D399" s="322"/>
      <c r="E399" s="322"/>
      <c r="F399" s="322"/>
      <c r="G399" s="322"/>
      <c r="H399" s="322"/>
    </row>
    <row r="400" spans="1:8">
      <c r="A400" s="322"/>
      <c r="B400" s="322"/>
      <c r="C400" s="322"/>
      <c r="D400" s="322"/>
      <c r="E400" s="322"/>
      <c r="F400" s="322"/>
      <c r="G400" s="322"/>
      <c r="H400" s="322"/>
    </row>
    <row r="401" spans="1:8">
      <c r="A401" s="322"/>
      <c r="B401" s="322"/>
      <c r="C401" s="322"/>
      <c r="D401" s="322"/>
      <c r="E401" s="322"/>
      <c r="F401" s="322"/>
      <c r="G401" s="322"/>
      <c r="H401" s="322"/>
    </row>
    <row r="402" spans="1:8">
      <c r="A402" s="322"/>
      <c r="B402" s="322"/>
      <c r="C402" s="322"/>
      <c r="D402" s="322"/>
      <c r="E402" s="322"/>
      <c r="F402" s="322"/>
      <c r="G402" s="322"/>
      <c r="H402" s="322"/>
    </row>
    <row r="403" spans="1:8">
      <c r="A403" s="322"/>
      <c r="B403" s="322"/>
      <c r="C403" s="322"/>
      <c r="D403" s="322"/>
      <c r="E403" s="322"/>
      <c r="F403" s="322"/>
      <c r="G403" s="322"/>
      <c r="H403" s="322"/>
    </row>
    <row r="404" spans="1:8">
      <c r="A404" s="322"/>
      <c r="B404" s="322"/>
      <c r="C404" s="322"/>
      <c r="D404" s="322"/>
      <c r="E404" s="322"/>
      <c r="F404" s="322"/>
      <c r="G404" s="322"/>
      <c r="H404" s="322"/>
    </row>
    <row r="405" spans="1:8">
      <c r="A405" s="322"/>
      <c r="B405" s="322"/>
      <c r="C405" s="322"/>
      <c r="D405" s="322"/>
      <c r="E405" s="322"/>
      <c r="F405" s="322"/>
      <c r="G405" s="322"/>
      <c r="H405" s="322"/>
    </row>
    <row r="406" spans="1:8">
      <c r="A406" s="322"/>
      <c r="B406" s="322"/>
      <c r="C406" s="322"/>
      <c r="D406" s="322"/>
      <c r="E406" s="322"/>
      <c r="F406" s="322"/>
      <c r="G406" s="322"/>
      <c r="H406" s="322"/>
    </row>
    <row r="407" spans="1:8">
      <c r="A407" s="322"/>
      <c r="B407" s="322"/>
      <c r="C407" s="322"/>
      <c r="D407" s="322"/>
      <c r="E407" s="322"/>
      <c r="F407" s="322"/>
      <c r="G407" s="322"/>
      <c r="H407" s="322"/>
    </row>
    <row r="408" spans="1:8">
      <c r="A408" s="322"/>
      <c r="B408" s="322"/>
      <c r="C408" s="322"/>
      <c r="D408" s="322"/>
      <c r="E408" s="322"/>
      <c r="F408" s="322"/>
      <c r="G408" s="322"/>
      <c r="H408" s="322"/>
    </row>
    <row r="409" spans="1:8">
      <c r="A409" s="322"/>
      <c r="B409" s="322"/>
      <c r="C409" s="322"/>
      <c r="D409" s="322"/>
      <c r="E409" s="322"/>
      <c r="F409" s="322"/>
      <c r="G409" s="322"/>
      <c r="H409" s="322"/>
    </row>
    <row r="410" spans="1:8">
      <c r="A410" s="322"/>
      <c r="B410" s="322"/>
      <c r="C410" s="322"/>
      <c r="D410" s="322"/>
      <c r="E410" s="322"/>
      <c r="F410" s="322"/>
      <c r="G410" s="322"/>
      <c r="H410" s="322"/>
    </row>
    <row r="411" spans="1:8">
      <c r="A411" s="322"/>
      <c r="B411" s="322"/>
      <c r="C411" s="322"/>
      <c r="D411" s="322"/>
      <c r="E411" s="322"/>
      <c r="F411" s="322"/>
      <c r="G411" s="322"/>
      <c r="H411" s="322"/>
    </row>
    <row r="412" spans="1:8">
      <c r="A412" s="322"/>
      <c r="B412" s="322"/>
      <c r="C412" s="322"/>
      <c r="D412" s="322"/>
      <c r="E412" s="322"/>
      <c r="F412" s="322"/>
      <c r="G412" s="322"/>
      <c r="H412" s="322"/>
    </row>
    <row r="413" spans="1:8">
      <c r="A413" s="322"/>
      <c r="B413" s="322"/>
      <c r="C413" s="322"/>
      <c r="D413" s="322"/>
      <c r="E413" s="322"/>
      <c r="F413" s="322"/>
      <c r="G413" s="322"/>
      <c r="H413" s="322"/>
    </row>
    <row r="414" spans="1:8">
      <c r="A414" s="322"/>
      <c r="B414" s="322"/>
      <c r="C414" s="322"/>
      <c r="D414" s="322"/>
      <c r="E414" s="322"/>
      <c r="F414" s="322"/>
      <c r="G414" s="322"/>
      <c r="H414" s="322"/>
    </row>
    <row r="415" spans="1:8">
      <c r="A415" s="322"/>
      <c r="B415" s="322"/>
      <c r="C415" s="322"/>
      <c r="D415" s="322"/>
      <c r="E415" s="322"/>
      <c r="F415" s="322"/>
      <c r="G415" s="322"/>
      <c r="H415" s="322"/>
    </row>
    <row r="416" spans="1:8">
      <c r="A416" s="322"/>
      <c r="B416" s="322"/>
      <c r="C416" s="322"/>
      <c r="D416" s="322"/>
      <c r="E416" s="322"/>
      <c r="F416" s="322"/>
      <c r="G416" s="322"/>
      <c r="H416" s="322"/>
    </row>
    <row r="417" spans="1:8">
      <c r="A417" s="322"/>
      <c r="B417" s="322"/>
      <c r="C417" s="322"/>
      <c r="D417" s="322"/>
      <c r="E417" s="322"/>
      <c r="F417" s="322"/>
      <c r="G417" s="322"/>
      <c r="H417" s="322"/>
    </row>
    <row r="418" spans="1:8">
      <c r="A418" s="322"/>
      <c r="B418" s="322"/>
      <c r="C418" s="322"/>
      <c r="D418" s="322"/>
      <c r="E418" s="322"/>
      <c r="F418" s="322"/>
      <c r="G418" s="322"/>
      <c r="H418" s="322"/>
    </row>
    <row r="419" spans="1:8">
      <c r="A419" s="322"/>
      <c r="B419" s="322"/>
      <c r="C419" s="322"/>
      <c r="D419" s="322"/>
      <c r="E419" s="322"/>
      <c r="F419" s="322"/>
      <c r="G419" s="322"/>
      <c r="H419" s="322"/>
    </row>
    <row r="420" spans="1:8">
      <c r="A420" s="322"/>
      <c r="B420" s="322"/>
      <c r="C420" s="322"/>
      <c r="D420" s="322"/>
      <c r="E420" s="322"/>
      <c r="F420" s="322"/>
      <c r="G420" s="322"/>
      <c r="H420" s="322"/>
    </row>
    <row r="421" spans="1:8">
      <c r="A421" s="322"/>
      <c r="B421" s="322"/>
      <c r="C421" s="322"/>
      <c r="D421" s="322"/>
      <c r="E421" s="322"/>
      <c r="F421" s="322"/>
      <c r="G421" s="322"/>
      <c r="H421" s="322"/>
    </row>
    <row r="422" spans="1:8">
      <c r="A422" s="322"/>
      <c r="B422" s="322"/>
      <c r="C422" s="322"/>
      <c r="D422" s="322"/>
      <c r="E422" s="322"/>
      <c r="F422" s="322"/>
      <c r="G422" s="322"/>
      <c r="H422" s="322"/>
    </row>
    <row r="423" spans="1:8">
      <c r="A423" s="322"/>
      <c r="B423" s="322"/>
      <c r="C423" s="322"/>
      <c r="D423" s="322"/>
      <c r="E423" s="322"/>
      <c r="F423" s="322"/>
      <c r="G423" s="322"/>
      <c r="H423" s="322"/>
    </row>
    <row r="424" spans="1:8">
      <c r="A424" s="322"/>
      <c r="B424" s="322"/>
      <c r="C424" s="322"/>
      <c r="D424" s="322"/>
      <c r="E424" s="322"/>
      <c r="F424" s="322"/>
      <c r="G424" s="322"/>
      <c r="H424" s="322"/>
    </row>
    <row r="425" spans="1:8">
      <c r="A425" s="322"/>
      <c r="B425" s="322"/>
      <c r="C425" s="322"/>
      <c r="D425" s="322"/>
      <c r="E425" s="322"/>
      <c r="F425" s="322"/>
      <c r="G425" s="322"/>
      <c r="H425" s="322"/>
    </row>
    <row r="426" spans="1:8">
      <c r="A426" s="322"/>
      <c r="B426" s="322"/>
      <c r="C426" s="322"/>
      <c r="D426" s="322"/>
      <c r="E426" s="322"/>
      <c r="F426" s="322"/>
      <c r="G426" s="322"/>
      <c r="H426" s="322"/>
    </row>
    <row r="427" spans="1:8">
      <c r="A427" s="322"/>
      <c r="B427" s="322"/>
      <c r="C427" s="322"/>
      <c r="D427" s="322"/>
      <c r="E427" s="322"/>
      <c r="F427" s="322"/>
      <c r="G427" s="322"/>
      <c r="H427" s="322"/>
    </row>
    <row r="428" spans="1:8">
      <c r="A428" s="322"/>
      <c r="B428" s="322"/>
      <c r="C428" s="322"/>
      <c r="D428" s="322"/>
      <c r="E428" s="322"/>
      <c r="F428" s="322"/>
      <c r="G428" s="322"/>
      <c r="H428" s="322"/>
    </row>
    <row r="429" spans="1:8">
      <c r="A429" s="322"/>
      <c r="B429" s="322"/>
      <c r="C429" s="322"/>
      <c r="D429" s="322"/>
      <c r="E429" s="322"/>
      <c r="F429" s="322"/>
      <c r="G429" s="322"/>
      <c r="H429" s="322"/>
    </row>
    <row r="430" spans="1:8">
      <c r="A430" s="322"/>
      <c r="B430" s="322"/>
      <c r="C430" s="322"/>
      <c r="D430" s="322"/>
      <c r="E430" s="322"/>
      <c r="F430" s="322"/>
      <c r="G430" s="322"/>
      <c r="H430" s="322"/>
    </row>
    <row r="431" spans="1:8">
      <c r="A431" s="322"/>
      <c r="B431" s="322"/>
      <c r="C431" s="322"/>
      <c r="D431" s="322"/>
      <c r="E431" s="322"/>
      <c r="F431" s="322"/>
      <c r="G431" s="322"/>
      <c r="H431" s="322"/>
    </row>
    <row r="432" spans="1:8">
      <c r="A432" s="322"/>
      <c r="B432" s="322"/>
      <c r="C432" s="322"/>
      <c r="D432" s="322"/>
      <c r="E432" s="322"/>
      <c r="F432" s="322"/>
      <c r="G432" s="322"/>
      <c r="H432" s="322"/>
    </row>
    <row r="433" spans="1:8">
      <c r="A433" s="322"/>
      <c r="B433" s="322"/>
      <c r="C433" s="322"/>
      <c r="D433" s="322"/>
      <c r="E433" s="322"/>
      <c r="F433" s="322"/>
      <c r="G433" s="322"/>
      <c r="H433" s="322"/>
    </row>
    <row r="434" spans="1:8">
      <c r="A434" s="322"/>
      <c r="B434" s="322"/>
      <c r="C434" s="322"/>
      <c r="D434" s="322"/>
      <c r="E434" s="322"/>
      <c r="F434" s="322"/>
      <c r="G434" s="322"/>
      <c r="H434" s="322"/>
    </row>
    <row r="435" spans="1:8">
      <c r="A435" s="322"/>
      <c r="B435" s="322"/>
      <c r="C435" s="322"/>
      <c r="D435" s="322"/>
      <c r="E435" s="322"/>
      <c r="F435" s="322"/>
      <c r="G435" s="322"/>
      <c r="H435" s="322"/>
    </row>
    <row r="436" spans="1:8">
      <c r="A436" s="322"/>
      <c r="B436" s="322"/>
      <c r="C436" s="322"/>
      <c r="D436" s="322"/>
      <c r="E436" s="322"/>
      <c r="F436" s="322"/>
      <c r="G436" s="322"/>
      <c r="H436" s="322"/>
    </row>
    <row r="437" spans="1:8">
      <c r="A437" s="322"/>
      <c r="B437" s="322"/>
      <c r="C437" s="322"/>
      <c r="D437" s="322"/>
      <c r="E437" s="322"/>
      <c r="F437" s="322"/>
      <c r="G437" s="322"/>
      <c r="H437" s="322"/>
    </row>
    <row r="438" spans="1:8">
      <c r="A438" s="322"/>
      <c r="B438" s="322"/>
      <c r="C438" s="322"/>
      <c r="D438" s="322"/>
      <c r="E438" s="322"/>
      <c r="F438" s="322"/>
      <c r="G438" s="322"/>
      <c r="H438" s="322"/>
    </row>
    <row r="439" spans="1:8">
      <c r="A439" s="322"/>
      <c r="B439" s="322"/>
      <c r="C439" s="322"/>
      <c r="D439" s="322"/>
      <c r="E439" s="322"/>
      <c r="F439" s="322"/>
      <c r="G439" s="322"/>
      <c r="H439" s="322"/>
    </row>
    <row r="440" spans="1:8">
      <c r="A440" s="322"/>
      <c r="B440" s="322"/>
      <c r="C440" s="322"/>
      <c r="D440" s="322"/>
      <c r="E440" s="322"/>
      <c r="F440" s="322"/>
      <c r="G440" s="322"/>
      <c r="H440" s="322"/>
    </row>
    <row r="441" spans="1:8">
      <c r="A441" s="322"/>
      <c r="B441" s="322"/>
      <c r="C441" s="322"/>
      <c r="D441" s="322"/>
      <c r="E441" s="322"/>
      <c r="F441" s="322"/>
      <c r="G441" s="322"/>
      <c r="H441" s="322"/>
    </row>
    <row r="442" spans="1:8">
      <c r="A442" s="322"/>
      <c r="B442" s="322"/>
      <c r="C442" s="322"/>
      <c r="D442" s="322"/>
      <c r="E442" s="322"/>
      <c r="F442" s="322"/>
      <c r="G442" s="322"/>
      <c r="H442" s="322"/>
    </row>
    <row r="443" spans="1:8">
      <c r="A443" s="322"/>
      <c r="B443" s="322"/>
      <c r="C443" s="322"/>
      <c r="D443" s="322"/>
      <c r="E443" s="322"/>
      <c r="F443" s="322"/>
      <c r="G443" s="322"/>
      <c r="H443" s="322"/>
    </row>
    <row r="444" spans="1:8">
      <c r="A444" s="322"/>
      <c r="B444" s="322"/>
      <c r="C444" s="322"/>
      <c r="D444" s="322"/>
      <c r="E444" s="322"/>
      <c r="F444" s="322"/>
      <c r="G444" s="322"/>
      <c r="H444" s="322"/>
    </row>
    <row r="445" spans="1:8">
      <c r="A445" s="322"/>
      <c r="B445" s="322"/>
      <c r="C445" s="322"/>
      <c r="D445" s="322"/>
      <c r="E445" s="322"/>
      <c r="F445" s="322"/>
      <c r="G445" s="322"/>
      <c r="H445" s="322"/>
    </row>
    <row r="446" spans="1:8">
      <c r="A446" s="322"/>
      <c r="B446" s="322"/>
      <c r="C446" s="322"/>
      <c r="D446" s="322"/>
      <c r="E446" s="322"/>
      <c r="F446" s="322"/>
      <c r="G446" s="322"/>
      <c r="H446" s="322"/>
    </row>
    <row r="447" spans="1:8">
      <c r="A447" s="322"/>
      <c r="B447" s="322"/>
      <c r="C447" s="322"/>
      <c r="D447" s="322"/>
      <c r="E447" s="322"/>
      <c r="F447" s="322"/>
      <c r="G447" s="322"/>
      <c r="H447" s="322"/>
    </row>
    <row r="448" spans="1:8">
      <c r="A448" s="322"/>
      <c r="B448" s="322"/>
      <c r="C448" s="322"/>
      <c r="D448" s="322"/>
      <c r="E448" s="322"/>
      <c r="F448" s="322"/>
      <c r="G448" s="322"/>
      <c r="H448" s="322"/>
    </row>
    <row r="449" spans="1:8">
      <c r="A449" s="322"/>
      <c r="B449" s="322"/>
      <c r="C449" s="322"/>
      <c r="D449" s="322"/>
      <c r="E449" s="322"/>
      <c r="F449" s="322"/>
      <c r="G449" s="322"/>
      <c r="H449" s="322"/>
    </row>
    <row r="450" spans="1:8">
      <c r="A450" s="322"/>
      <c r="B450" s="322"/>
      <c r="C450" s="322"/>
      <c r="D450" s="322"/>
      <c r="E450" s="322"/>
      <c r="F450" s="322"/>
      <c r="G450" s="322"/>
      <c r="H450" s="322"/>
    </row>
    <row r="451" spans="1:8">
      <c r="A451" s="322"/>
      <c r="B451" s="322"/>
      <c r="C451" s="322"/>
      <c r="D451" s="322"/>
      <c r="E451" s="322"/>
      <c r="F451" s="322"/>
      <c r="G451" s="322"/>
      <c r="H451" s="322"/>
    </row>
    <row r="452" spans="1:8">
      <c r="A452" s="322"/>
      <c r="B452" s="322"/>
      <c r="C452" s="322"/>
      <c r="D452" s="322"/>
      <c r="E452" s="322"/>
      <c r="F452" s="322"/>
      <c r="G452" s="322"/>
      <c r="H452" s="322"/>
    </row>
    <row r="453" spans="1:8">
      <c r="A453" s="322"/>
      <c r="B453" s="322"/>
      <c r="C453" s="322"/>
      <c r="D453" s="322"/>
      <c r="E453" s="322"/>
      <c r="F453" s="322"/>
      <c r="G453" s="322"/>
      <c r="H453" s="322"/>
    </row>
    <row r="454" spans="1:8">
      <c r="A454" s="322"/>
      <c r="B454" s="322"/>
      <c r="C454" s="322"/>
      <c r="D454" s="322"/>
      <c r="E454" s="322"/>
      <c r="F454" s="322"/>
      <c r="G454" s="322"/>
      <c r="H454" s="322"/>
    </row>
    <row r="455" spans="1:8">
      <c r="A455" s="322"/>
      <c r="B455" s="322"/>
      <c r="C455" s="322"/>
      <c r="D455" s="322"/>
      <c r="E455" s="322"/>
      <c r="F455" s="322"/>
      <c r="G455" s="322"/>
      <c r="H455" s="322"/>
    </row>
    <row r="456" spans="1:8">
      <c r="A456" s="322"/>
      <c r="B456" s="322"/>
      <c r="C456" s="322"/>
      <c r="D456" s="322"/>
      <c r="E456" s="322"/>
      <c r="F456" s="322"/>
      <c r="G456" s="322"/>
      <c r="H456" s="322"/>
    </row>
    <row r="457" spans="1:8">
      <c r="A457" s="322"/>
      <c r="B457" s="322"/>
      <c r="C457" s="322"/>
      <c r="D457" s="322"/>
      <c r="E457" s="322"/>
      <c r="F457" s="322"/>
      <c r="G457" s="322"/>
      <c r="H457" s="322"/>
    </row>
    <row r="458" spans="1:8">
      <c r="A458" s="322"/>
      <c r="B458" s="322"/>
      <c r="C458" s="322"/>
      <c r="D458" s="322"/>
      <c r="E458" s="322"/>
      <c r="F458" s="322"/>
      <c r="G458" s="322"/>
      <c r="H458" s="322"/>
    </row>
    <row r="459" spans="1:8">
      <c r="A459" s="322"/>
      <c r="B459" s="322"/>
      <c r="C459" s="322"/>
      <c r="D459" s="322"/>
      <c r="E459" s="322"/>
      <c r="F459" s="322"/>
      <c r="G459" s="322"/>
      <c r="H459" s="322"/>
    </row>
    <row r="460" spans="1:8">
      <c r="A460" s="322"/>
      <c r="B460" s="322"/>
      <c r="C460" s="322"/>
      <c r="D460" s="322"/>
      <c r="E460" s="322"/>
      <c r="F460" s="322"/>
      <c r="G460" s="322"/>
      <c r="H460" s="322"/>
    </row>
    <row r="461" spans="1:8">
      <c r="A461" s="322"/>
      <c r="B461" s="322"/>
      <c r="C461" s="322"/>
      <c r="D461" s="322"/>
      <c r="E461" s="322"/>
      <c r="F461" s="322"/>
      <c r="G461" s="322"/>
      <c r="H461" s="322"/>
    </row>
    <row r="462" spans="1:8">
      <c r="A462" s="322"/>
      <c r="B462" s="322"/>
      <c r="C462" s="322"/>
      <c r="D462" s="322"/>
      <c r="E462" s="322"/>
      <c r="F462" s="322"/>
      <c r="G462" s="322"/>
      <c r="H462" s="322"/>
    </row>
    <row r="463" spans="1:8">
      <c r="A463" s="322"/>
      <c r="B463" s="322"/>
      <c r="C463" s="322"/>
      <c r="D463" s="322"/>
      <c r="E463" s="322"/>
      <c r="F463" s="322"/>
      <c r="G463" s="322"/>
      <c r="H463" s="322"/>
    </row>
    <row r="464" spans="1:8">
      <c r="A464" s="322"/>
      <c r="B464" s="322"/>
      <c r="C464" s="322"/>
      <c r="D464" s="322"/>
      <c r="E464" s="322"/>
      <c r="F464" s="322"/>
      <c r="G464" s="322"/>
      <c r="H464" s="322"/>
    </row>
    <row r="465" spans="1:8">
      <c r="A465" s="322"/>
      <c r="B465" s="322"/>
      <c r="C465" s="322"/>
      <c r="D465" s="322"/>
      <c r="E465" s="322"/>
      <c r="F465" s="322"/>
      <c r="G465" s="322"/>
      <c r="H465" s="322"/>
    </row>
    <row r="466" spans="1:8">
      <c r="A466" s="322"/>
      <c r="B466" s="322"/>
      <c r="C466" s="322"/>
      <c r="D466" s="322"/>
      <c r="E466" s="322"/>
      <c r="F466" s="322"/>
      <c r="G466" s="322"/>
      <c r="H466" s="322"/>
    </row>
    <row r="467" spans="1:8">
      <c r="A467" s="322"/>
      <c r="B467" s="322"/>
      <c r="C467" s="322"/>
      <c r="D467" s="322"/>
      <c r="E467" s="322"/>
      <c r="F467" s="322"/>
      <c r="G467" s="322"/>
      <c r="H467" s="322"/>
    </row>
    <row r="468" spans="1:8">
      <c r="A468" s="322"/>
      <c r="B468" s="322"/>
      <c r="C468" s="322"/>
      <c r="D468" s="322"/>
      <c r="E468" s="322"/>
      <c r="F468" s="322"/>
      <c r="G468" s="322"/>
      <c r="H468" s="322"/>
    </row>
    <row r="469" spans="1:8">
      <c r="A469" s="322"/>
      <c r="B469" s="322"/>
      <c r="C469" s="322"/>
      <c r="D469" s="322"/>
      <c r="E469" s="322"/>
      <c r="F469" s="322"/>
      <c r="G469" s="322"/>
      <c r="H469" s="322"/>
    </row>
    <row r="470" spans="1:8">
      <c r="A470" s="322"/>
      <c r="B470" s="322"/>
      <c r="C470" s="322"/>
      <c r="D470" s="322"/>
      <c r="E470" s="322"/>
      <c r="F470" s="322"/>
      <c r="G470" s="322"/>
      <c r="H470" s="322"/>
    </row>
    <row r="471" spans="1:8">
      <c r="A471" s="322"/>
      <c r="B471" s="322"/>
      <c r="C471" s="322"/>
      <c r="D471" s="322"/>
      <c r="E471" s="322"/>
      <c r="F471" s="322"/>
      <c r="G471" s="322"/>
      <c r="H471" s="322"/>
    </row>
    <row r="472" spans="1:8">
      <c r="A472" s="322"/>
      <c r="B472" s="322"/>
      <c r="C472" s="322"/>
      <c r="D472" s="322"/>
      <c r="E472" s="322"/>
      <c r="F472" s="322"/>
      <c r="G472" s="322"/>
      <c r="H472" s="322"/>
    </row>
    <row r="473" spans="1:8">
      <c r="A473" s="322"/>
      <c r="B473" s="322"/>
      <c r="C473" s="322"/>
      <c r="D473" s="322"/>
      <c r="E473" s="322"/>
      <c r="F473" s="322"/>
      <c r="G473" s="322"/>
      <c r="H473" s="322"/>
    </row>
    <row r="474" spans="1:8">
      <c r="A474" s="322"/>
      <c r="B474" s="322"/>
      <c r="C474" s="322"/>
      <c r="D474" s="322"/>
      <c r="E474" s="322"/>
      <c r="F474" s="322"/>
      <c r="G474" s="322"/>
      <c r="H474" s="322"/>
    </row>
    <row r="475" spans="1:8">
      <c r="A475" s="322"/>
      <c r="B475" s="322"/>
      <c r="C475" s="322"/>
      <c r="D475" s="322"/>
      <c r="E475" s="322"/>
      <c r="F475" s="322"/>
      <c r="G475" s="322"/>
      <c r="H475" s="322"/>
    </row>
    <row r="476" spans="1:8">
      <c r="A476" s="322"/>
      <c r="B476" s="322"/>
      <c r="C476" s="322"/>
      <c r="D476" s="322"/>
      <c r="E476" s="322"/>
      <c r="F476" s="322"/>
      <c r="G476" s="322"/>
      <c r="H476" s="322"/>
    </row>
    <row r="477" spans="1:8">
      <c r="A477" s="322"/>
      <c r="B477" s="322"/>
      <c r="C477" s="322"/>
      <c r="D477" s="322"/>
      <c r="E477" s="322"/>
      <c r="F477" s="322"/>
      <c r="G477" s="322"/>
      <c r="H477" s="322"/>
    </row>
    <row r="478" spans="1:8">
      <c r="A478" s="322"/>
      <c r="B478" s="322"/>
      <c r="C478" s="322"/>
      <c r="D478" s="322"/>
      <c r="E478" s="322"/>
      <c r="F478" s="322"/>
      <c r="G478" s="322"/>
      <c r="H478" s="322"/>
    </row>
    <row r="479" spans="1:8">
      <c r="A479" s="322"/>
      <c r="B479" s="322"/>
      <c r="C479" s="322"/>
      <c r="D479" s="322"/>
      <c r="E479" s="322"/>
      <c r="F479" s="322"/>
      <c r="G479" s="322"/>
      <c r="H479" s="322"/>
    </row>
    <row r="480" spans="1:8">
      <c r="A480" s="322"/>
      <c r="B480" s="322"/>
      <c r="C480" s="322"/>
      <c r="D480" s="322"/>
      <c r="E480" s="322"/>
      <c r="F480" s="322"/>
      <c r="G480" s="322"/>
      <c r="H480" s="322"/>
    </row>
    <row r="481" spans="1:8">
      <c r="A481" s="322"/>
      <c r="B481" s="322"/>
      <c r="C481" s="322"/>
      <c r="D481" s="322"/>
      <c r="E481" s="322"/>
      <c r="F481" s="322"/>
      <c r="G481" s="322"/>
      <c r="H481" s="322"/>
    </row>
    <row r="482" spans="1:8">
      <c r="A482" s="322"/>
      <c r="B482" s="322"/>
      <c r="C482" s="322"/>
      <c r="D482" s="322"/>
      <c r="E482" s="322"/>
      <c r="F482" s="322"/>
      <c r="G482" s="322"/>
      <c r="H482" s="322"/>
    </row>
    <row r="483" spans="1:8">
      <c r="A483" s="322"/>
      <c r="B483" s="322"/>
      <c r="C483" s="322"/>
      <c r="D483" s="322"/>
      <c r="E483" s="322"/>
      <c r="F483" s="322"/>
      <c r="G483" s="322"/>
      <c r="H483" s="322"/>
    </row>
    <row r="484" spans="1:8">
      <c r="A484" s="322"/>
      <c r="B484" s="322"/>
      <c r="C484" s="322"/>
      <c r="D484" s="322"/>
      <c r="E484" s="322"/>
      <c r="F484" s="322"/>
      <c r="G484" s="322"/>
      <c r="H484" s="322"/>
    </row>
    <row r="485" spans="1:8">
      <c r="A485" s="322"/>
      <c r="B485" s="322"/>
      <c r="C485" s="322"/>
      <c r="D485" s="322"/>
      <c r="E485" s="322"/>
      <c r="F485" s="322"/>
      <c r="G485" s="322"/>
      <c r="H485" s="322"/>
    </row>
    <row r="486" spans="1:8">
      <c r="A486" s="322"/>
      <c r="B486" s="322"/>
      <c r="C486" s="322"/>
      <c r="D486" s="322"/>
      <c r="E486" s="322"/>
      <c r="F486" s="322"/>
      <c r="G486" s="322"/>
      <c r="H486" s="322"/>
    </row>
    <row r="487" spans="1:8">
      <c r="A487" s="322"/>
      <c r="B487" s="322"/>
      <c r="C487" s="322"/>
      <c r="D487" s="322"/>
      <c r="E487" s="322"/>
      <c r="F487" s="322"/>
      <c r="G487" s="322"/>
      <c r="H487" s="322"/>
    </row>
    <row r="488" spans="1:8">
      <c r="A488" s="322"/>
      <c r="B488" s="322"/>
      <c r="C488" s="322"/>
      <c r="D488" s="322"/>
      <c r="E488" s="322"/>
      <c r="F488" s="322"/>
      <c r="G488" s="322"/>
      <c r="H488" s="322"/>
    </row>
    <row r="489" spans="1:8">
      <c r="A489" s="322"/>
      <c r="B489" s="322"/>
      <c r="C489" s="322"/>
      <c r="D489" s="322"/>
      <c r="E489" s="322"/>
      <c r="F489" s="322"/>
      <c r="G489" s="322"/>
      <c r="H489" s="322"/>
    </row>
    <row r="490" spans="1:8">
      <c r="A490" s="322"/>
      <c r="B490" s="322"/>
      <c r="C490" s="322"/>
      <c r="D490" s="322"/>
      <c r="E490" s="322"/>
      <c r="F490" s="322"/>
      <c r="G490" s="322"/>
      <c r="H490" s="322"/>
    </row>
    <row r="491" spans="1:8">
      <c r="A491" s="322"/>
      <c r="B491" s="322"/>
      <c r="C491" s="322"/>
      <c r="D491" s="322"/>
      <c r="E491" s="322"/>
      <c r="F491" s="322"/>
      <c r="G491" s="322"/>
      <c r="H491" s="322"/>
    </row>
    <row r="492" spans="1:8">
      <c r="A492" s="322"/>
      <c r="B492" s="322"/>
      <c r="C492" s="322"/>
      <c r="D492" s="322"/>
      <c r="E492" s="322"/>
      <c r="F492" s="322"/>
      <c r="G492" s="322"/>
      <c r="H492" s="322"/>
    </row>
    <row r="493" spans="1:8">
      <c r="A493" s="322"/>
      <c r="B493" s="322"/>
      <c r="C493" s="322"/>
      <c r="D493" s="322"/>
      <c r="E493" s="322"/>
      <c r="F493" s="322"/>
      <c r="G493" s="322"/>
      <c r="H493" s="322"/>
    </row>
    <row r="494" spans="1:8">
      <c r="A494" s="322"/>
      <c r="B494" s="322"/>
      <c r="C494" s="322"/>
      <c r="D494" s="322"/>
      <c r="E494" s="322"/>
      <c r="F494" s="322"/>
      <c r="G494" s="322"/>
      <c r="H494" s="322"/>
    </row>
    <row r="495" spans="1:8">
      <c r="A495" s="322"/>
      <c r="B495" s="322"/>
      <c r="C495" s="322"/>
      <c r="D495" s="322"/>
      <c r="E495" s="322"/>
      <c r="F495" s="322"/>
      <c r="G495" s="322"/>
      <c r="H495" s="322"/>
    </row>
    <row r="496" spans="1:8">
      <c r="A496" s="322"/>
      <c r="B496" s="322"/>
      <c r="C496" s="322"/>
      <c r="D496" s="322"/>
      <c r="E496" s="322"/>
      <c r="F496" s="322"/>
      <c r="G496" s="322"/>
      <c r="H496" s="322"/>
    </row>
    <row r="497" spans="1:8">
      <c r="A497" s="322"/>
      <c r="B497" s="322"/>
      <c r="C497" s="322"/>
      <c r="D497" s="322"/>
      <c r="E497" s="322"/>
      <c r="F497" s="322"/>
      <c r="G497" s="322"/>
      <c r="H497" s="322"/>
    </row>
    <row r="498" spans="1:8">
      <c r="A498" s="322"/>
      <c r="B498" s="322"/>
      <c r="C498" s="322"/>
      <c r="D498" s="322"/>
      <c r="E498" s="322"/>
      <c r="F498" s="322"/>
      <c r="G498" s="322"/>
      <c r="H498" s="322"/>
    </row>
    <row r="499" spans="1:8">
      <c r="A499" s="322"/>
      <c r="B499" s="322"/>
      <c r="C499" s="322"/>
      <c r="D499" s="322"/>
      <c r="E499" s="322"/>
      <c r="F499" s="322"/>
      <c r="G499" s="322"/>
      <c r="H499" s="322"/>
    </row>
    <row r="500" spans="1:8">
      <c r="A500" s="322"/>
      <c r="B500" s="322"/>
      <c r="C500" s="322"/>
      <c r="D500" s="322"/>
      <c r="E500" s="322"/>
      <c r="F500" s="322"/>
      <c r="G500" s="322"/>
      <c r="H500" s="322"/>
    </row>
    <row r="501" spans="1:8">
      <c r="A501" s="322"/>
      <c r="B501" s="322"/>
      <c r="C501" s="322"/>
      <c r="D501" s="322"/>
      <c r="E501" s="322"/>
      <c r="F501" s="322"/>
      <c r="G501" s="322"/>
      <c r="H501" s="322"/>
    </row>
    <row r="502" spans="1:8">
      <c r="A502" s="322"/>
      <c r="B502" s="322"/>
      <c r="C502" s="322"/>
      <c r="D502" s="322"/>
      <c r="E502" s="322"/>
      <c r="F502" s="322"/>
      <c r="G502" s="322"/>
      <c r="H502" s="322"/>
    </row>
    <row r="503" spans="1:8">
      <c r="A503" s="322"/>
      <c r="B503" s="322"/>
      <c r="C503" s="322"/>
      <c r="D503" s="322"/>
      <c r="E503" s="322"/>
      <c r="F503" s="322"/>
      <c r="G503" s="322"/>
      <c r="H503" s="322"/>
    </row>
    <row r="504" spans="1:8">
      <c r="A504" s="322"/>
      <c r="B504" s="322"/>
      <c r="C504" s="322"/>
      <c r="D504" s="322"/>
      <c r="E504" s="322"/>
      <c r="F504" s="322"/>
      <c r="G504" s="322"/>
      <c r="H504" s="322"/>
    </row>
    <row r="505" spans="1:8">
      <c r="A505" s="322"/>
      <c r="B505" s="322"/>
      <c r="C505" s="322"/>
      <c r="D505" s="322"/>
      <c r="E505" s="322"/>
      <c r="F505" s="322"/>
      <c r="G505" s="322"/>
      <c r="H505" s="322"/>
    </row>
    <row r="506" spans="1:8">
      <c r="A506" s="322"/>
      <c r="B506" s="322"/>
      <c r="C506" s="322"/>
      <c r="D506" s="322"/>
      <c r="E506" s="322"/>
      <c r="F506" s="322"/>
      <c r="G506" s="322"/>
      <c r="H506" s="322"/>
    </row>
    <row r="507" spans="1:8">
      <c r="A507" s="322"/>
      <c r="B507" s="322"/>
      <c r="C507" s="322"/>
      <c r="D507" s="322"/>
      <c r="E507" s="322"/>
      <c r="F507" s="322"/>
      <c r="G507" s="322"/>
      <c r="H507" s="322"/>
    </row>
    <row r="508" spans="1:8">
      <c r="A508" s="322"/>
      <c r="B508" s="322"/>
      <c r="C508" s="322"/>
      <c r="D508" s="322"/>
      <c r="E508" s="322"/>
      <c r="F508" s="322"/>
      <c r="G508" s="322"/>
      <c r="H508" s="322"/>
    </row>
    <row r="509" spans="1:8">
      <c r="A509" s="322"/>
      <c r="B509" s="322"/>
      <c r="C509" s="322"/>
      <c r="D509" s="322"/>
      <c r="E509" s="322"/>
      <c r="F509" s="322"/>
      <c r="G509" s="322"/>
      <c r="H509" s="322"/>
    </row>
    <row r="510" spans="1:8">
      <c r="A510" s="322"/>
      <c r="B510" s="322"/>
      <c r="C510" s="322"/>
      <c r="D510" s="322"/>
      <c r="E510" s="322"/>
      <c r="F510" s="322"/>
      <c r="G510" s="322"/>
      <c r="H510" s="322"/>
    </row>
    <row r="511" spans="1:8">
      <c r="A511" s="322"/>
      <c r="B511" s="322"/>
      <c r="C511" s="322"/>
      <c r="D511" s="322"/>
      <c r="E511" s="322"/>
      <c r="F511" s="322"/>
      <c r="G511" s="322"/>
      <c r="H511" s="322"/>
    </row>
    <row r="512" spans="1:8">
      <c r="A512" s="322"/>
      <c r="B512" s="322"/>
      <c r="C512" s="322"/>
      <c r="D512" s="322"/>
      <c r="E512" s="322"/>
      <c r="F512" s="322"/>
      <c r="G512" s="322"/>
      <c r="H512" s="322"/>
    </row>
    <row r="513" spans="1:8">
      <c r="A513" s="322"/>
      <c r="B513" s="322"/>
      <c r="C513" s="322"/>
      <c r="D513" s="322"/>
      <c r="E513" s="322"/>
      <c r="F513" s="322"/>
      <c r="G513" s="322"/>
      <c r="H513" s="322"/>
    </row>
    <row r="514" spans="1:8">
      <c r="A514" s="322"/>
      <c r="B514" s="322"/>
      <c r="C514" s="322"/>
      <c r="D514" s="322"/>
      <c r="E514" s="322"/>
      <c r="F514" s="322"/>
      <c r="G514" s="322"/>
      <c r="H514" s="322"/>
    </row>
    <row r="515" spans="1:8">
      <c r="A515" s="322"/>
      <c r="B515" s="322"/>
      <c r="C515" s="322"/>
      <c r="D515" s="322"/>
      <c r="E515" s="322"/>
      <c r="F515" s="322"/>
      <c r="G515" s="322"/>
      <c r="H515" s="322"/>
    </row>
    <row r="516" spans="1:8">
      <c r="A516" s="322"/>
      <c r="B516" s="322"/>
      <c r="C516" s="322"/>
      <c r="D516" s="322"/>
      <c r="E516" s="322"/>
      <c r="F516" s="322"/>
      <c r="G516" s="322"/>
      <c r="H516" s="322"/>
    </row>
    <row r="517" spans="1:8">
      <c r="A517" s="322"/>
      <c r="B517" s="322"/>
      <c r="C517" s="322"/>
      <c r="D517" s="322"/>
      <c r="E517" s="322"/>
      <c r="F517" s="322"/>
      <c r="G517" s="322"/>
      <c r="H517" s="322"/>
    </row>
    <row r="518" spans="1:8">
      <c r="A518" s="322"/>
      <c r="B518" s="322"/>
      <c r="C518" s="322"/>
      <c r="D518" s="322"/>
      <c r="E518" s="322"/>
      <c r="F518" s="322"/>
      <c r="G518" s="322"/>
      <c r="H518" s="322"/>
    </row>
    <row r="519" spans="1:8">
      <c r="A519" s="322"/>
      <c r="B519" s="322"/>
      <c r="C519" s="322"/>
      <c r="D519" s="322"/>
      <c r="E519" s="322"/>
      <c r="F519" s="322"/>
      <c r="G519" s="322"/>
      <c r="H519" s="322"/>
    </row>
    <row r="520" spans="1:8">
      <c r="A520" s="322"/>
      <c r="B520" s="322"/>
      <c r="C520" s="322"/>
      <c r="D520" s="322"/>
      <c r="E520" s="322"/>
      <c r="F520" s="322"/>
      <c r="G520" s="322"/>
      <c r="H520" s="322"/>
    </row>
    <row r="521" spans="1:8">
      <c r="A521" s="322"/>
      <c r="B521" s="322"/>
      <c r="C521" s="322"/>
      <c r="D521" s="322"/>
      <c r="E521" s="322"/>
      <c r="F521" s="322"/>
      <c r="G521" s="322"/>
      <c r="H521" s="322"/>
    </row>
    <row r="522" spans="1:8">
      <c r="A522" s="322"/>
      <c r="B522" s="322"/>
      <c r="C522" s="322"/>
      <c r="D522" s="322"/>
      <c r="E522" s="322"/>
      <c r="F522" s="322"/>
      <c r="G522" s="322"/>
      <c r="H522" s="322"/>
    </row>
    <row r="523" spans="1:8">
      <c r="A523" s="322"/>
      <c r="B523" s="322"/>
      <c r="C523" s="322"/>
      <c r="D523" s="322"/>
      <c r="E523" s="322"/>
      <c r="F523" s="322"/>
      <c r="G523" s="322"/>
      <c r="H523" s="322"/>
    </row>
    <row r="524" spans="1:8">
      <c r="A524" s="322"/>
      <c r="B524" s="322"/>
      <c r="C524" s="322"/>
      <c r="D524" s="322"/>
      <c r="E524" s="322"/>
      <c r="F524" s="322"/>
      <c r="G524" s="322"/>
      <c r="H524" s="322"/>
    </row>
    <row r="525" spans="1:8">
      <c r="A525" s="322"/>
      <c r="B525" s="322"/>
      <c r="C525" s="322"/>
      <c r="D525" s="322"/>
      <c r="E525" s="322"/>
      <c r="F525" s="322"/>
      <c r="G525" s="322"/>
      <c r="H525" s="322"/>
    </row>
    <row r="526" spans="1:8">
      <c r="A526" s="322"/>
      <c r="B526" s="322"/>
      <c r="C526" s="322"/>
      <c r="D526" s="322"/>
      <c r="E526" s="322"/>
      <c r="F526" s="322"/>
      <c r="G526" s="322"/>
      <c r="H526" s="322"/>
    </row>
    <row r="527" spans="1:8">
      <c r="A527" s="322"/>
      <c r="B527" s="322"/>
      <c r="C527" s="322"/>
      <c r="D527" s="322"/>
      <c r="E527" s="322"/>
      <c r="F527" s="322"/>
      <c r="G527" s="322"/>
      <c r="H527" s="322"/>
    </row>
    <row r="528" spans="1:8">
      <c r="A528" s="322"/>
      <c r="B528" s="322"/>
      <c r="C528" s="322"/>
      <c r="D528" s="322"/>
      <c r="E528" s="322"/>
      <c r="F528" s="322"/>
      <c r="G528" s="322"/>
      <c r="H528" s="322"/>
    </row>
    <row r="529" spans="1:8">
      <c r="A529" s="322"/>
      <c r="B529" s="322"/>
      <c r="C529" s="322"/>
      <c r="D529" s="322"/>
      <c r="E529" s="322"/>
      <c r="F529" s="322"/>
      <c r="G529" s="322"/>
      <c r="H529" s="322"/>
    </row>
    <row r="530" spans="1:8">
      <c r="A530" s="322"/>
      <c r="B530" s="322"/>
      <c r="C530" s="322"/>
      <c r="D530" s="322"/>
      <c r="E530" s="322"/>
      <c r="F530" s="322"/>
      <c r="G530" s="322"/>
      <c r="H530" s="322"/>
    </row>
    <row r="531" spans="1:8">
      <c r="A531" s="322"/>
      <c r="B531" s="322"/>
      <c r="C531" s="322"/>
      <c r="D531" s="322"/>
      <c r="E531" s="322"/>
      <c r="F531" s="322"/>
      <c r="G531" s="322"/>
      <c r="H531" s="322"/>
    </row>
    <row r="532" spans="1:8">
      <c r="A532" s="322"/>
      <c r="B532" s="322"/>
      <c r="C532" s="322"/>
      <c r="D532" s="322"/>
      <c r="E532" s="322"/>
      <c r="F532" s="322"/>
      <c r="G532" s="322"/>
      <c r="H532" s="322"/>
    </row>
    <row r="533" spans="1:8">
      <c r="A533" s="322"/>
      <c r="B533" s="322"/>
      <c r="C533" s="322"/>
      <c r="D533" s="322"/>
      <c r="E533" s="322"/>
      <c r="F533" s="322"/>
      <c r="G533" s="322"/>
      <c r="H533" s="322"/>
    </row>
    <row r="534" spans="1:8">
      <c r="A534" s="322"/>
      <c r="B534" s="322"/>
      <c r="C534" s="322"/>
      <c r="D534" s="322"/>
      <c r="E534" s="322"/>
      <c r="F534" s="322"/>
      <c r="G534" s="322"/>
      <c r="H534" s="322"/>
    </row>
    <row r="535" spans="1:8">
      <c r="A535" s="322"/>
      <c r="B535" s="322"/>
      <c r="C535" s="322"/>
      <c r="D535" s="322"/>
      <c r="E535" s="322"/>
      <c r="F535" s="322"/>
      <c r="G535" s="322"/>
      <c r="H535" s="322"/>
    </row>
    <row r="536" spans="1:8">
      <c r="A536" s="322"/>
      <c r="B536" s="322"/>
      <c r="C536" s="322"/>
      <c r="D536" s="322"/>
      <c r="E536" s="322"/>
      <c r="F536" s="322"/>
      <c r="G536" s="322"/>
      <c r="H536" s="322"/>
    </row>
    <row r="537" spans="1:8">
      <c r="A537" s="322"/>
      <c r="B537" s="322"/>
      <c r="C537" s="322"/>
      <c r="D537" s="322"/>
      <c r="E537" s="322"/>
      <c r="F537" s="322"/>
      <c r="G537" s="322"/>
      <c r="H537" s="322"/>
    </row>
    <row r="538" spans="1:8">
      <c r="A538" s="322"/>
      <c r="B538" s="322"/>
      <c r="C538" s="322"/>
      <c r="D538" s="322"/>
      <c r="E538" s="322"/>
      <c r="F538" s="322"/>
      <c r="G538" s="322"/>
      <c r="H538" s="322"/>
    </row>
    <row r="539" spans="1:8">
      <c r="A539" s="322"/>
      <c r="B539" s="322"/>
      <c r="C539" s="322"/>
      <c r="D539" s="322"/>
      <c r="E539" s="322"/>
      <c r="F539" s="322"/>
      <c r="G539" s="322"/>
      <c r="H539" s="322"/>
    </row>
    <row r="540" spans="1:8">
      <c r="A540" s="322"/>
      <c r="B540" s="322"/>
      <c r="C540" s="322"/>
      <c r="D540" s="322"/>
      <c r="E540" s="322"/>
      <c r="F540" s="322"/>
      <c r="G540" s="322"/>
      <c r="H540" s="322"/>
    </row>
    <row r="541" spans="1:8">
      <c r="A541" s="322"/>
      <c r="B541" s="322"/>
      <c r="C541" s="322"/>
      <c r="D541" s="322"/>
      <c r="E541" s="322"/>
      <c r="F541" s="322"/>
      <c r="G541" s="322"/>
      <c r="H541" s="322"/>
    </row>
    <row r="542" spans="1:8">
      <c r="A542" s="322"/>
      <c r="B542" s="322"/>
      <c r="C542" s="322"/>
      <c r="D542" s="322"/>
      <c r="E542" s="322"/>
      <c r="F542" s="322"/>
      <c r="G542" s="322"/>
      <c r="H542" s="322"/>
    </row>
    <row r="543" spans="1:8">
      <c r="A543" s="322"/>
      <c r="B543" s="322"/>
      <c r="C543" s="322"/>
      <c r="D543" s="322"/>
      <c r="E543" s="322"/>
      <c r="F543" s="322"/>
      <c r="G543" s="322"/>
      <c r="H543" s="322"/>
    </row>
    <row r="544" spans="1:8">
      <c r="A544" s="322"/>
      <c r="B544" s="322"/>
      <c r="C544" s="322"/>
      <c r="D544" s="322"/>
      <c r="E544" s="322"/>
      <c r="F544" s="322"/>
      <c r="G544" s="322"/>
      <c r="H544" s="322"/>
    </row>
    <row r="545" spans="1:8">
      <c r="A545" s="322"/>
      <c r="B545" s="322"/>
      <c r="C545" s="322"/>
      <c r="D545" s="322"/>
      <c r="E545" s="322"/>
      <c r="F545" s="322"/>
      <c r="G545" s="322"/>
      <c r="H545" s="322"/>
    </row>
    <row r="546" spans="1:8">
      <c r="A546" s="322"/>
      <c r="B546" s="322"/>
      <c r="C546" s="322"/>
      <c r="D546" s="322"/>
      <c r="E546" s="322"/>
      <c r="F546" s="322"/>
      <c r="G546" s="322"/>
      <c r="H546" s="322"/>
    </row>
    <row r="547" spans="1:8">
      <c r="A547" s="322"/>
      <c r="B547" s="322"/>
      <c r="C547" s="322"/>
      <c r="D547" s="322"/>
      <c r="E547" s="322"/>
      <c r="F547" s="322"/>
      <c r="G547" s="322"/>
      <c r="H547" s="322"/>
    </row>
    <row r="548" spans="1:8">
      <c r="A548" s="322"/>
      <c r="B548" s="322"/>
      <c r="C548" s="322"/>
      <c r="D548" s="322"/>
      <c r="E548" s="322"/>
      <c r="F548" s="322"/>
      <c r="G548" s="322"/>
      <c r="H548" s="322"/>
    </row>
    <row r="549" spans="1:8">
      <c r="A549" s="322"/>
      <c r="B549" s="322"/>
      <c r="C549" s="322"/>
      <c r="D549" s="322"/>
      <c r="E549" s="322"/>
      <c r="F549" s="322"/>
      <c r="G549" s="322"/>
      <c r="H549" s="322"/>
    </row>
    <row r="550" spans="1:8">
      <c r="A550" s="322"/>
      <c r="B550" s="322"/>
      <c r="C550" s="322"/>
      <c r="D550" s="322"/>
      <c r="E550" s="322"/>
      <c r="F550" s="322"/>
      <c r="G550" s="322"/>
      <c r="H550" s="322"/>
    </row>
    <row r="551" spans="1:8">
      <c r="A551" s="322"/>
      <c r="B551" s="322"/>
      <c r="C551" s="322"/>
      <c r="D551" s="322"/>
      <c r="E551" s="322"/>
      <c r="F551" s="322"/>
      <c r="G551" s="322"/>
      <c r="H551" s="322"/>
    </row>
    <row r="552" spans="1:8">
      <c r="A552" s="322"/>
      <c r="B552" s="322"/>
      <c r="C552" s="322"/>
      <c r="D552" s="322"/>
      <c r="E552" s="322"/>
      <c r="F552" s="322"/>
      <c r="G552" s="322"/>
      <c r="H552" s="322"/>
    </row>
    <row r="553" spans="1:8">
      <c r="A553" s="322"/>
      <c r="B553" s="322"/>
      <c r="C553" s="322"/>
      <c r="D553" s="322"/>
      <c r="E553" s="322"/>
      <c r="F553" s="322"/>
      <c r="G553" s="322"/>
      <c r="H553" s="322"/>
    </row>
    <row r="554" spans="1:8">
      <c r="A554" s="322"/>
      <c r="B554" s="322"/>
      <c r="C554" s="322"/>
      <c r="D554" s="322"/>
      <c r="E554" s="322"/>
      <c r="F554" s="322"/>
      <c r="G554" s="322"/>
      <c r="H554" s="322"/>
    </row>
    <row r="555" spans="1:8">
      <c r="A555" s="322"/>
      <c r="B555" s="322"/>
      <c r="C555" s="322"/>
      <c r="D555" s="322"/>
      <c r="E555" s="322"/>
      <c r="F555" s="322"/>
      <c r="G555" s="322"/>
      <c r="H555" s="322"/>
    </row>
    <row r="556" spans="1:8">
      <c r="A556" s="322"/>
      <c r="B556" s="322"/>
      <c r="C556" s="322"/>
      <c r="D556" s="322"/>
      <c r="E556" s="322"/>
      <c r="F556" s="322"/>
      <c r="G556" s="322"/>
      <c r="H556" s="322"/>
    </row>
    <row r="557" spans="1:8">
      <c r="A557" s="322"/>
      <c r="B557" s="322"/>
      <c r="C557" s="322"/>
      <c r="D557" s="322"/>
      <c r="E557" s="322"/>
      <c r="F557" s="322"/>
      <c r="G557" s="322"/>
      <c r="H557" s="322"/>
    </row>
    <row r="558" spans="1:8">
      <c r="A558" s="322"/>
      <c r="B558" s="322"/>
      <c r="C558" s="322"/>
      <c r="D558" s="322"/>
      <c r="E558" s="322"/>
      <c r="F558" s="322"/>
      <c r="G558" s="322"/>
      <c r="H558" s="322"/>
    </row>
    <row r="559" spans="1:8">
      <c r="A559" s="322"/>
      <c r="B559" s="322"/>
      <c r="C559" s="322"/>
      <c r="D559" s="322"/>
      <c r="E559" s="322"/>
      <c r="F559" s="322"/>
      <c r="G559" s="322"/>
      <c r="H559" s="322"/>
    </row>
    <row r="560" spans="1:8">
      <c r="A560" s="322"/>
      <c r="B560" s="322"/>
      <c r="C560" s="322"/>
      <c r="D560" s="322"/>
      <c r="E560" s="322"/>
      <c r="F560" s="322"/>
      <c r="G560" s="322"/>
      <c r="H560" s="322"/>
    </row>
    <row r="561" spans="1:8">
      <c r="A561" s="322"/>
      <c r="B561" s="322"/>
      <c r="C561" s="322"/>
      <c r="D561" s="322"/>
      <c r="E561" s="322"/>
      <c r="F561" s="322"/>
      <c r="G561" s="322"/>
      <c r="H561" s="322"/>
    </row>
    <row r="562" spans="1:8">
      <c r="A562" s="322"/>
      <c r="B562" s="322"/>
      <c r="C562" s="322"/>
      <c r="D562" s="322"/>
      <c r="E562" s="322"/>
      <c r="F562" s="322"/>
      <c r="G562" s="322"/>
      <c r="H562" s="322"/>
    </row>
    <row r="563" spans="1:8">
      <c r="A563" s="322"/>
      <c r="B563" s="322"/>
      <c r="C563" s="322"/>
      <c r="D563" s="322"/>
      <c r="E563" s="322"/>
      <c r="F563" s="322"/>
      <c r="G563" s="322"/>
      <c r="H563" s="322"/>
    </row>
    <row r="564" spans="1:8">
      <c r="A564" s="322"/>
      <c r="B564" s="322"/>
      <c r="C564" s="322"/>
      <c r="D564" s="322"/>
      <c r="E564" s="322"/>
      <c r="F564" s="322"/>
      <c r="G564" s="322"/>
      <c r="H564" s="322"/>
    </row>
    <row r="565" spans="1:8">
      <c r="A565" s="322"/>
      <c r="B565" s="322"/>
      <c r="C565" s="322"/>
      <c r="D565" s="322"/>
      <c r="E565" s="322"/>
      <c r="F565" s="322"/>
      <c r="G565" s="322"/>
      <c r="H565" s="322"/>
    </row>
    <row r="566" spans="1:8">
      <c r="A566" s="322"/>
      <c r="B566" s="322"/>
      <c r="C566" s="322"/>
      <c r="D566" s="322"/>
      <c r="E566" s="322"/>
      <c r="F566" s="322"/>
      <c r="G566" s="322"/>
      <c r="H566" s="322"/>
    </row>
    <row r="567" spans="1:8">
      <c r="A567" s="322"/>
      <c r="B567" s="322"/>
      <c r="C567" s="322"/>
      <c r="D567" s="322"/>
      <c r="E567" s="322"/>
      <c r="F567" s="322"/>
      <c r="G567" s="322"/>
      <c r="H567" s="322"/>
    </row>
    <row r="568" spans="1:8">
      <c r="A568" s="322"/>
      <c r="B568" s="322"/>
      <c r="C568" s="322"/>
      <c r="D568" s="322"/>
      <c r="E568" s="322"/>
      <c r="F568" s="322"/>
      <c r="G568" s="322"/>
      <c r="H568" s="322"/>
    </row>
    <row r="569" spans="1:8">
      <c r="A569" s="322"/>
      <c r="B569" s="322"/>
      <c r="C569" s="322"/>
      <c r="D569" s="322"/>
      <c r="E569" s="322"/>
      <c r="F569" s="322"/>
      <c r="G569" s="322"/>
      <c r="H569" s="322"/>
    </row>
    <row r="570" spans="1:8">
      <c r="A570" s="322"/>
      <c r="B570" s="322"/>
      <c r="C570" s="322"/>
      <c r="D570" s="322"/>
      <c r="E570" s="322"/>
      <c r="F570" s="322"/>
      <c r="G570" s="322"/>
      <c r="H570" s="322"/>
    </row>
    <row r="571" spans="1:8">
      <c r="A571" s="322"/>
      <c r="B571" s="322"/>
      <c r="C571" s="322"/>
      <c r="D571" s="322"/>
      <c r="E571" s="322"/>
      <c r="F571" s="322"/>
      <c r="G571" s="322"/>
      <c r="H571" s="322"/>
    </row>
    <row r="572" spans="1:8">
      <c r="A572" s="322"/>
      <c r="B572" s="322"/>
      <c r="C572" s="322"/>
      <c r="D572" s="322"/>
      <c r="E572" s="322"/>
      <c r="F572" s="322"/>
      <c r="G572" s="322"/>
      <c r="H572" s="322"/>
    </row>
    <row r="573" spans="1:8">
      <c r="A573" s="322"/>
      <c r="B573" s="322"/>
      <c r="C573" s="322"/>
      <c r="D573" s="322"/>
      <c r="E573" s="322"/>
      <c r="F573" s="322"/>
      <c r="G573" s="322"/>
      <c r="H573" s="322"/>
    </row>
    <row r="574" spans="1:8">
      <c r="A574" s="322"/>
      <c r="B574" s="322"/>
      <c r="C574" s="322"/>
      <c r="D574" s="322"/>
      <c r="E574" s="322"/>
      <c r="F574" s="322"/>
      <c r="G574" s="322"/>
      <c r="H574" s="322"/>
    </row>
    <row r="575" spans="1:8">
      <c r="A575" s="322"/>
      <c r="B575" s="322"/>
      <c r="C575" s="322"/>
      <c r="D575" s="322"/>
      <c r="E575" s="322"/>
      <c r="F575" s="322"/>
      <c r="G575" s="322"/>
      <c r="H575" s="322"/>
    </row>
    <row r="576" spans="1:8">
      <c r="A576" s="322"/>
      <c r="B576" s="322"/>
      <c r="C576" s="322"/>
      <c r="D576" s="322"/>
      <c r="E576" s="322"/>
      <c r="F576" s="322"/>
      <c r="G576" s="322"/>
      <c r="H576" s="322"/>
    </row>
    <row r="577" spans="1:8">
      <c r="A577" s="322"/>
      <c r="B577" s="322"/>
      <c r="C577" s="322"/>
      <c r="D577" s="322"/>
      <c r="E577" s="322"/>
      <c r="F577" s="322"/>
      <c r="G577" s="322"/>
      <c r="H577" s="322"/>
    </row>
    <row r="578" spans="1:8">
      <c r="A578" s="322"/>
      <c r="B578" s="322"/>
      <c r="C578" s="322"/>
      <c r="D578" s="322"/>
      <c r="E578" s="322"/>
      <c r="F578" s="322"/>
      <c r="G578" s="322"/>
      <c r="H578" s="322"/>
    </row>
    <row r="579" spans="1:8">
      <c r="A579" s="322"/>
      <c r="B579" s="322"/>
      <c r="C579" s="322"/>
      <c r="D579" s="322"/>
      <c r="E579" s="322"/>
      <c r="F579" s="322"/>
      <c r="G579" s="322"/>
      <c r="H579" s="322"/>
    </row>
    <row r="580" spans="1:8">
      <c r="A580" s="322"/>
      <c r="B580" s="322"/>
      <c r="C580" s="322"/>
      <c r="D580" s="322"/>
      <c r="E580" s="322"/>
      <c r="F580" s="322"/>
      <c r="G580" s="322"/>
      <c r="H580" s="322"/>
    </row>
    <row r="581" spans="1:8">
      <c r="A581" s="322"/>
      <c r="B581" s="322"/>
      <c r="C581" s="322"/>
      <c r="D581" s="322"/>
      <c r="E581" s="322"/>
      <c r="F581" s="322"/>
      <c r="G581" s="322"/>
      <c r="H581" s="322"/>
    </row>
    <row r="582" spans="1:8">
      <c r="A582" s="322"/>
      <c r="B582" s="322"/>
      <c r="C582" s="322"/>
      <c r="D582" s="322"/>
      <c r="E582" s="322"/>
      <c r="F582" s="322"/>
      <c r="G582" s="322"/>
      <c r="H582" s="322"/>
    </row>
    <row r="583" spans="1:8">
      <c r="A583" s="322"/>
      <c r="B583" s="322"/>
      <c r="C583" s="322"/>
      <c r="D583" s="322"/>
      <c r="E583" s="322"/>
      <c r="F583" s="322"/>
      <c r="G583" s="322"/>
      <c r="H583" s="322"/>
    </row>
    <row r="584" spans="1:8">
      <c r="A584" s="322"/>
      <c r="B584" s="322"/>
      <c r="C584" s="322"/>
      <c r="D584" s="322"/>
      <c r="E584" s="322"/>
      <c r="F584" s="322"/>
      <c r="G584" s="322"/>
      <c r="H584" s="322"/>
    </row>
    <row r="585" spans="1:8">
      <c r="A585" s="322"/>
      <c r="B585" s="322"/>
      <c r="C585" s="322"/>
      <c r="D585" s="322"/>
      <c r="E585" s="322"/>
      <c r="F585" s="322"/>
      <c r="G585" s="322"/>
      <c r="H585" s="322"/>
    </row>
    <row r="586" spans="1:8">
      <c r="A586" s="322"/>
      <c r="B586" s="322"/>
      <c r="C586" s="322"/>
      <c r="D586" s="322"/>
      <c r="E586" s="322"/>
      <c r="F586" s="322"/>
      <c r="G586" s="322"/>
      <c r="H586" s="322"/>
    </row>
    <row r="587" spans="1:8">
      <c r="A587" s="322"/>
      <c r="B587" s="322"/>
      <c r="C587" s="322"/>
      <c r="D587" s="322"/>
      <c r="E587" s="322"/>
      <c r="F587" s="322"/>
      <c r="G587" s="322"/>
      <c r="H587" s="322"/>
    </row>
    <row r="588" spans="1:8">
      <c r="A588" s="322"/>
      <c r="B588" s="322"/>
      <c r="C588" s="322"/>
      <c r="D588" s="322"/>
      <c r="E588" s="322"/>
      <c r="F588" s="322"/>
      <c r="G588" s="322"/>
      <c r="H588" s="322"/>
    </row>
    <row r="589" spans="1:8">
      <c r="A589" s="322"/>
      <c r="B589" s="322"/>
      <c r="C589" s="322"/>
      <c r="D589" s="322"/>
      <c r="E589" s="322"/>
      <c r="F589" s="322"/>
      <c r="G589" s="322"/>
      <c r="H589" s="322"/>
    </row>
    <row r="590" spans="1:8">
      <c r="A590" s="322"/>
      <c r="B590" s="322"/>
      <c r="C590" s="322"/>
      <c r="D590" s="322"/>
      <c r="E590" s="322"/>
      <c r="F590" s="322"/>
      <c r="G590" s="322"/>
      <c r="H590" s="322"/>
    </row>
    <row r="591" spans="1:8">
      <c r="A591" s="322"/>
      <c r="B591" s="322"/>
      <c r="C591" s="322"/>
      <c r="D591" s="322"/>
      <c r="E591" s="322"/>
      <c r="F591" s="322"/>
      <c r="G591" s="322"/>
      <c r="H591" s="322"/>
    </row>
    <row r="592" spans="1:8">
      <c r="A592" s="322"/>
      <c r="B592" s="322"/>
      <c r="C592" s="322"/>
      <c r="D592" s="322"/>
      <c r="E592" s="322"/>
      <c r="F592" s="322"/>
      <c r="G592" s="322"/>
      <c r="H592" s="322"/>
    </row>
    <row r="593" spans="1:8">
      <c r="A593" s="322"/>
      <c r="B593" s="322"/>
      <c r="C593" s="322"/>
      <c r="D593" s="322"/>
      <c r="E593" s="322"/>
      <c r="F593" s="322"/>
      <c r="G593" s="322"/>
      <c r="H593" s="322"/>
    </row>
    <row r="594" spans="1:8">
      <c r="A594" s="322"/>
      <c r="B594" s="322"/>
      <c r="C594" s="322"/>
      <c r="D594" s="322"/>
      <c r="E594" s="322"/>
      <c r="F594" s="322"/>
      <c r="G594" s="322"/>
      <c r="H594" s="322"/>
    </row>
    <row r="595" spans="1:8">
      <c r="A595" s="322"/>
      <c r="B595" s="322"/>
      <c r="C595" s="322"/>
      <c r="D595" s="322"/>
      <c r="E595" s="322"/>
      <c r="F595" s="322"/>
      <c r="G595" s="322"/>
      <c r="H595" s="322"/>
    </row>
    <row r="596" spans="1:8">
      <c r="A596" s="322"/>
      <c r="B596" s="322"/>
      <c r="C596" s="322"/>
      <c r="D596" s="322"/>
      <c r="E596" s="322"/>
      <c r="F596" s="322"/>
      <c r="G596" s="322"/>
      <c r="H596" s="322"/>
    </row>
    <row r="597" spans="1:8">
      <c r="A597" s="322"/>
      <c r="B597" s="322"/>
      <c r="C597" s="322"/>
      <c r="D597" s="322"/>
      <c r="E597" s="322"/>
      <c r="F597" s="322"/>
      <c r="G597" s="322"/>
      <c r="H597" s="322"/>
    </row>
    <row r="598" spans="1:8">
      <c r="A598" s="322"/>
      <c r="B598" s="322"/>
      <c r="C598" s="322"/>
      <c r="D598" s="322"/>
      <c r="E598" s="322"/>
      <c r="F598" s="322"/>
      <c r="G598" s="322"/>
      <c r="H598" s="322"/>
    </row>
    <row r="599" spans="1:8">
      <c r="A599" s="322"/>
      <c r="B599" s="322"/>
      <c r="C599" s="322"/>
      <c r="D599" s="322"/>
      <c r="E599" s="322"/>
      <c r="F599" s="322"/>
      <c r="G599" s="322"/>
      <c r="H599" s="322"/>
    </row>
    <row r="600" spans="1:8">
      <c r="A600" s="322"/>
      <c r="B600" s="322"/>
      <c r="C600" s="322"/>
      <c r="D600" s="322"/>
      <c r="E600" s="322"/>
      <c r="F600" s="322"/>
      <c r="G600" s="322"/>
      <c r="H600" s="322"/>
    </row>
    <row r="601" spans="1:8">
      <c r="A601" s="322"/>
      <c r="B601" s="322"/>
      <c r="C601" s="322"/>
      <c r="D601" s="322"/>
      <c r="E601" s="322"/>
      <c r="F601" s="322"/>
      <c r="G601" s="322"/>
      <c r="H601" s="322"/>
    </row>
    <row r="602" spans="1:8">
      <c r="A602" s="322"/>
      <c r="B602" s="322"/>
      <c r="C602" s="322"/>
      <c r="D602" s="322"/>
      <c r="E602" s="322"/>
      <c r="F602" s="322"/>
      <c r="G602" s="322"/>
      <c r="H602" s="322"/>
    </row>
    <row r="603" spans="1:8">
      <c r="A603" s="322"/>
      <c r="B603" s="322"/>
      <c r="C603" s="322"/>
      <c r="D603" s="322"/>
      <c r="E603" s="322"/>
      <c r="F603" s="322"/>
      <c r="G603" s="322"/>
      <c r="H603" s="322"/>
    </row>
    <row r="604" spans="1:8">
      <c r="A604" s="322"/>
      <c r="B604" s="322"/>
      <c r="C604" s="322"/>
      <c r="D604" s="322"/>
      <c r="E604" s="322"/>
      <c r="F604" s="322"/>
      <c r="G604" s="322"/>
      <c r="H604" s="322"/>
    </row>
    <row r="605" spans="1:8">
      <c r="A605" s="322"/>
      <c r="B605" s="322"/>
      <c r="C605" s="322"/>
      <c r="D605" s="322"/>
      <c r="E605" s="322"/>
      <c r="F605" s="322"/>
      <c r="G605" s="322"/>
      <c r="H605" s="322"/>
    </row>
    <row r="606" spans="1:8">
      <c r="A606" s="322"/>
      <c r="B606" s="322"/>
      <c r="C606" s="322"/>
      <c r="D606" s="322"/>
      <c r="E606" s="322"/>
      <c r="F606" s="322"/>
      <c r="G606" s="322"/>
      <c r="H606" s="322"/>
    </row>
    <row r="607" spans="1:8">
      <c r="A607" s="322"/>
      <c r="B607" s="322"/>
      <c r="C607" s="322"/>
      <c r="D607" s="322"/>
      <c r="E607" s="322"/>
      <c r="F607" s="322"/>
      <c r="G607" s="322"/>
      <c r="H607" s="322"/>
    </row>
    <row r="608" spans="1:8">
      <c r="A608" s="322"/>
      <c r="B608" s="322"/>
      <c r="C608" s="322"/>
      <c r="D608" s="322"/>
      <c r="E608" s="322"/>
      <c r="F608" s="322"/>
      <c r="G608" s="322"/>
      <c r="H608" s="322"/>
    </row>
    <row r="609" spans="1:8">
      <c r="A609" s="322"/>
      <c r="B609" s="322"/>
      <c r="C609" s="322"/>
      <c r="D609" s="322"/>
      <c r="E609" s="322"/>
      <c r="F609" s="322"/>
      <c r="G609" s="322"/>
      <c r="H609" s="322"/>
    </row>
    <row r="610" spans="1:8">
      <c r="A610" s="322"/>
      <c r="B610" s="322"/>
      <c r="C610" s="322"/>
      <c r="D610" s="322"/>
      <c r="E610" s="322"/>
      <c r="F610" s="322"/>
      <c r="G610" s="322"/>
      <c r="H610" s="322"/>
    </row>
    <row r="611" spans="1:8">
      <c r="A611" s="322"/>
      <c r="B611" s="322"/>
      <c r="C611" s="322"/>
      <c r="D611" s="322"/>
      <c r="E611" s="322"/>
      <c r="F611" s="322"/>
      <c r="G611" s="322"/>
      <c r="H611" s="322"/>
    </row>
    <row r="612" spans="1:8">
      <c r="A612" s="322"/>
      <c r="B612" s="322"/>
      <c r="C612" s="322"/>
      <c r="D612" s="322"/>
      <c r="E612" s="322"/>
      <c r="F612" s="322"/>
      <c r="G612" s="322"/>
      <c r="H612" s="322"/>
    </row>
    <row r="613" spans="1:8">
      <c r="A613" s="322"/>
      <c r="B613" s="322"/>
      <c r="C613" s="322"/>
      <c r="D613" s="322"/>
      <c r="E613" s="322"/>
      <c r="F613" s="322"/>
      <c r="G613" s="322"/>
      <c r="H613" s="322"/>
    </row>
    <row r="614" spans="1:8">
      <c r="A614" s="322"/>
      <c r="B614" s="322"/>
      <c r="C614" s="322"/>
      <c r="D614" s="322"/>
      <c r="E614" s="322"/>
      <c r="F614" s="322"/>
      <c r="G614" s="322"/>
      <c r="H614" s="322"/>
    </row>
    <row r="615" spans="1:8">
      <c r="A615" s="322"/>
      <c r="B615" s="322"/>
      <c r="C615" s="322"/>
      <c r="D615" s="322"/>
      <c r="E615" s="322"/>
      <c r="F615" s="322"/>
      <c r="G615" s="322"/>
      <c r="H615" s="322"/>
    </row>
    <row r="616" spans="1:8">
      <c r="A616" s="322"/>
      <c r="B616" s="322"/>
      <c r="C616" s="322"/>
      <c r="D616" s="322"/>
      <c r="E616" s="322"/>
      <c r="F616" s="322"/>
      <c r="G616" s="322"/>
      <c r="H616" s="322"/>
    </row>
    <row r="617" spans="1:8">
      <c r="A617" s="322"/>
      <c r="B617" s="322"/>
      <c r="C617" s="322"/>
      <c r="D617" s="322"/>
      <c r="E617" s="322"/>
      <c r="F617" s="322"/>
      <c r="G617" s="322"/>
      <c r="H617" s="322"/>
    </row>
    <row r="618" spans="1:8">
      <c r="A618" s="322"/>
      <c r="B618" s="322"/>
      <c r="C618" s="322"/>
      <c r="D618" s="322"/>
      <c r="E618" s="322"/>
      <c r="F618" s="322"/>
      <c r="G618" s="322"/>
      <c r="H618" s="322"/>
    </row>
    <row r="619" spans="1:8">
      <c r="A619" s="322"/>
      <c r="B619" s="322"/>
      <c r="C619" s="322"/>
      <c r="D619" s="322"/>
      <c r="E619" s="322"/>
      <c r="F619" s="322"/>
      <c r="G619" s="322"/>
      <c r="H619" s="322"/>
    </row>
    <row r="620" spans="1:8">
      <c r="A620" s="322"/>
      <c r="B620" s="322"/>
      <c r="C620" s="322"/>
      <c r="D620" s="322"/>
      <c r="E620" s="322"/>
      <c r="F620" s="322"/>
      <c r="G620" s="322"/>
      <c r="H620" s="322"/>
    </row>
    <row r="621" spans="1:8">
      <c r="A621" s="322"/>
      <c r="B621" s="322"/>
      <c r="C621" s="322"/>
      <c r="D621" s="322"/>
      <c r="E621" s="322"/>
      <c r="F621" s="322"/>
      <c r="G621" s="322"/>
      <c r="H621" s="322"/>
    </row>
    <row r="622" spans="1:8">
      <c r="A622" s="322"/>
      <c r="B622" s="322"/>
      <c r="C622" s="322"/>
      <c r="D622" s="322"/>
      <c r="E622" s="322"/>
      <c r="F622" s="322"/>
      <c r="G622" s="322"/>
      <c r="H622" s="322"/>
    </row>
    <row r="623" spans="1:8">
      <c r="A623" s="322"/>
      <c r="B623" s="322"/>
      <c r="C623" s="322"/>
      <c r="D623" s="322"/>
      <c r="E623" s="322"/>
      <c r="F623" s="322"/>
      <c r="G623" s="322"/>
      <c r="H623" s="322"/>
    </row>
    <row r="624" spans="1:8">
      <c r="A624" s="322"/>
      <c r="B624" s="322"/>
      <c r="C624" s="322"/>
      <c r="D624" s="322"/>
      <c r="E624" s="322"/>
      <c r="F624" s="322"/>
      <c r="G624" s="322"/>
      <c r="H624" s="322"/>
    </row>
    <row r="625" spans="1:8">
      <c r="A625" s="322"/>
      <c r="B625" s="322"/>
      <c r="C625" s="322"/>
      <c r="D625" s="322"/>
      <c r="E625" s="322"/>
      <c r="F625" s="322"/>
      <c r="G625" s="322"/>
      <c r="H625" s="322"/>
    </row>
    <row r="626" spans="1:8">
      <c r="A626" s="322"/>
      <c r="B626" s="322"/>
      <c r="C626" s="322"/>
      <c r="D626" s="322"/>
      <c r="E626" s="322"/>
      <c r="F626" s="322"/>
      <c r="G626" s="322"/>
      <c r="H626" s="322"/>
    </row>
    <row r="627" spans="1:8">
      <c r="A627" s="322"/>
      <c r="B627" s="322"/>
      <c r="C627" s="322"/>
      <c r="D627" s="322"/>
      <c r="E627" s="322"/>
      <c r="F627" s="322"/>
      <c r="G627" s="322"/>
      <c r="H627" s="322"/>
    </row>
    <row r="628" spans="1:8">
      <c r="A628" s="322"/>
      <c r="B628" s="322"/>
      <c r="C628" s="322"/>
      <c r="D628" s="322"/>
      <c r="E628" s="322"/>
      <c r="F628" s="322"/>
      <c r="G628" s="322"/>
      <c r="H628" s="322"/>
    </row>
    <row r="629" spans="1:8">
      <c r="A629" s="322"/>
      <c r="B629" s="322"/>
      <c r="C629" s="322"/>
      <c r="D629" s="322"/>
      <c r="E629" s="322"/>
      <c r="F629" s="322"/>
      <c r="G629" s="322"/>
      <c r="H629" s="322"/>
    </row>
    <row r="630" spans="1:8">
      <c r="A630" s="322"/>
      <c r="B630" s="322"/>
      <c r="C630" s="322"/>
      <c r="D630" s="322"/>
      <c r="E630" s="322"/>
      <c r="F630" s="322"/>
      <c r="G630" s="322"/>
      <c r="H630" s="322"/>
    </row>
    <row r="631" spans="1:8">
      <c r="A631" s="322"/>
      <c r="B631" s="322"/>
      <c r="C631" s="322"/>
      <c r="D631" s="322"/>
      <c r="E631" s="322"/>
      <c r="F631" s="322"/>
      <c r="G631" s="322"/>
      <c r="H631" s="322"/>
    </row>
    <row r="632" spans="1:8">
      <c r="A632" s="322"/>
      <c r="B632" s="322"/>
      <c r="C632" s="322"/>
      <c r="D632" s="322"/>
      <c r="E632" s="322"/>
      <c r="F632" s="322"/>
      <c r="G632" s="322"/>
      <c r="H632" s="322"/>
    </row>
    <row r="633" spans="1:8">
      <c r="A633" s="322"/>
      <c r="B633" s="322"/>
      <c r="C633" s="322"/>
      <c r="D633" s="322"/>
      <c r="E633" s="322"/>
      <c r="F633" s="322"/>
      <c r="G633" s="322"/>
      <c r="H633" s="322"/>
    </row>
    <row r="634" spans="1:8">
      <c r="A634" s="322"/>
      <c r="B634" s="322"/>
      <c r="C634" s="322"/>
      <c r="D634" s="322"/>
      <c r="E634" s="322"/>
      <c r="F634" s="322"/>
      <c r="G634" s="322"/>
      <c r="H634" s="322"/>
    </row>
    <row r="635" spans="1:8">
      <c r="A635" s="322"/>
      <c r="B635" s="322"/>
      <c r="C635" s="322"/>
      <c r="D635" s="322"/>
      <c r="E635" s="322"/>
      <c r="F635" s="322"/>
      <c r="G635" s="322"/>
      <c r="H635" s="322"/>
    </row>
    <row r="636" spans="1:8">
      <c r="A636" s="322"/>
      <c r="B636" s="322"/>
      <c r="C636" s="322"/>
      <c r="D636" s="322"/>
      <c r="E636" s="322"/>
      <c r="F636" s="322"/>
      <c r="G636" s="322"/>
      <c r="H636" s="322"/>
    </row>
    <row r="637" spans="1:8">
      <c r="A637" s="322"/>
      <c r="B637" s="322"/>
      <c r="C637" s="322"/>
      <c r="D637" s="322"/>
      <c r="E637" s="322"/>
      <c r="F637" s="322"/>
      <c r="G637" s="322"/>
      <c r="H637" s="322"/>
    </row>
    <row r="638" spans="1:8">
      <c r="A638" s="322"/>
      <c r="B638" s="322"/>
      <c r="C638" s="322"/>
      <c r="D638" s="322"/>
      <c r="E638" s="322"/>
      <c r="F638" s="322"/>
      <c r="G638" s="322"/>
      <c r="H638" s="322"/>
    </row>
    <row r="639" spans="1:8">
      <c r="A639" s="322"/>
      <c r="B639" s="322"/>
      <c r="C639" s="322"/>
      <c r="D639" s="322"/>
      <c r="E639" s="322"/>
      <c r="F639" s="322"/>
      <c r="G639" s="322"/>
      <c r="H639" s="322"/>
    </row>
    <row r="640" spans="1:8">
      <c r="A640" s="322"/>
      <c r="B640" s="322"/>
      <c r="C640" s="322"/>
      <c r="D640" s="322"/>
      <c r="E640" s="322"/>
      <c r="F640" s="322"/>
      <c r="G640" s="322"/>
      <c r="H640" s="322"/>
    </row>
    <row r="641" spans="1:8">
      <c r="A641" s="322"/>
      <c r="B641" s="322"/>
      <c r="C641" s="322"/>
      <c r="D641" s="322"/>
      <c r="E641" s="322"/>
      <c r="F641" s="322"/>
      <c r="G641" s="322"/>
      <c r="H641" s="322"/>
    </row>
    <row r="642" spans="1:8">
      <c r="A642" s="322"/>
      <c r="B642" s="322"/>
      <c r="C642" s="322"/>
      <c r="D642" s="322"/>
      <c r="E642" s="322"/>
      <c r="F642" s="322"/>
      <c r="G642" s="322"/>
      <c r="H642" s="322"/>
    </row>
    <row r="643" spans="1:8">
      <c r="A643" s="322"/>
      <c r="B643" s="322"/>
      <c r="C643" s="322"/>
      <c r="D643" s="322"/>
      <c r="E643" s="322"/>
      <c r="F643" s="322"/>
      <c r="G643" s="322"/>
      <c r="H643" s="322"/>
    </row>
    <row r="644" spans="1:8">
      <c r="A644" s="322"/>
      <c r="B644" s="322"/>
      <c r="C644" s="322"/>
      <c r="D644" s="322"/>
      <c r="E644" s="322"/>
      <c r="F644" s="322"/>
      <c r="G644" s="322"/>
      <c r="H644" s="322"/>
    </row>
    <row r="645" spans="1:8">
      <c r="A645" s="322"/>
      <c r="B645" s="322"/>
      <c r="C645" s="322"/>
      <c r="D645" s="322"/>
      <c r="E645" s="322"/>
      <c r="F645" s="322"/>
      <c r="G645" s="322"/>
      <c r="H645" s="322"/>
    </row>
    <row r="646" spans="1:8">
      <c r="A646" s="322"/>
      <c r="B646" s="322"/>
      <c r="C646" s="322"/>
      <c r="D646" s="322"/>
      <c r="E646" s="322"/>
      <c r="F646" s="322"/>
      <c r="G646" s="322"/>
      <c r="H646" s="322"/>
    </row>
    <row r="647" spans="1:8">
      <c r="A647" s="322"/>
      <c r="B647" s="322"/>
      <c r="C647" s="322"/>
      <c r="D647" s="322"/>
      <c r="E647" s="322"/>
      <c r="F647" s="322"/>
      <c r="G647" s="322"/>
      <c r="H647" s="322"/>
    </row>
    <row r="648" spans="1:8">
      <c r="A648" s="322"/>
      <c r="B648" s="322"/>
      <c r="C648" s="322"/>
      <c r="D648" s="322"/>
      <c r="E648" s="322"/>
      <c r="F648" s="322"/>
      <c r="G648" s="322"/>
      <c r="H648" s="322"/>
    </row>
    <row r="649" spans="1:8">
      <c r="A649" s="322"/>
      <c r="B649" s="322"/>
      <c r="C649" s="322"/>
      <c r="D649" s="322"/>
      <c r="E649" s="322"/>
      <c r="F649" s="322"/>
      <c r="G649" s="322"/>
      <c r="H649" s="322"/>
    </row>
    <row r="650" spans="1:8">
      <c r="A650" s="322"/>
      <c r="B650" s="322"/>
      <c r="C650" s="322"/>
      <c r="D650" s="322"/>
      <c r="E650" s="322"/>
      <c r="F650" s="322"/>
      <c r="G650" s="322"/>
      <c r="H650" s="322"/>
    </row>
    <row r="651" spans="1:8">
      <c r="A651" s="322"/>
      <c r="B651" s="322"/>
      <c r="C651" s="322"/>
      <c r="D651" s="322"/>
      <c r="E651" s="322"/>
      <c r="F651" s="322"/>
      <c r="G651" s="322"/>
      <c r="H651" s="322"/>
    </row>
    <row r="652" spans="1:8">
      <c r="A652" s="322"/>
      <c r="B652" s="322"/>
      <c r="C652" s="322"/>
      <c r="D652" s="322"/>
      <c r="E652" s="322"/>
      <c r="F652" s="322"/>
      <c r="G652" s="322"/>
      <c r="H652" s="322"/>
    </row>
    <row r="653" spans="1:8">
      <c r="A653" s="322"/>
      <c r="B653" s="322"/>
      <c r="C653" s="322"/>
      <c r="D653" s="322"/>
      <c r="E653" s="322"/>
      <c r="F653" s="322"/>
      <c r="G653" s="322"/>
      <c r="H653" s="322"/>
    </row>
    <row r="654" spans="1:8">
      <c r="A654" s="322"/>
      <c r="B654" s="322"/>
      <c r="C654" s="322"/>
      <c r="D654" s="322"/>
      <c r="E654" s="322"/>
      <c r="F654" s="322"/>
      <c r="G654" s="322"/>
      <c r="H654" s="322"/>
    </row>
    <row r="655" spans="1:8">
      <c r="A655" s="322"/>
      <c r="B655" s="322"/>
      <c r="C655" s="322"/>
      <c r="D655" s="322"/>
      <c r="E655" s="322"/>
      <c r="F655" s="322"/>
      <c r="G655" s="322"/>
      <c r="H655" s="322"/>
    </row>
    <row r="656" spans="1:8">
      <c r="A656" s="322"/>
      <c r="B656" s="322"/>
      <c r="C656" s="322"/>
      <c r="D656" s="322"/>
      <c r="E656" s="322"/>
      <c r="F656" s="322"/>
      <c r="G656" s="322"/>
      <c r="H656" s="322"/>
    </row>
    <row r="657" spans="1:8">
      <c r="A657" s="322"/>
      <c r="B657" s="322"/>
      <c r="C657" s="322"/>
      <c r="D657" s="322"/>
      <c r="E657" s="322"/>
      <c r="F657" s="322"/>
      <c r="G657" s="322"/>
      <c r="H657" s="322"/>
    </row>
    <row r="658" spans="1:8">
      <c r="A658" s="322"/>
      <c r="B658" s="322"/>
      <c r="C658" s="322"/>
      <c r="D658" s="322"/>
      <c r="E658" s="322"/>
      <c r="F658" s="322"/>
      <c r="G658" s="322"/>
      <c r="H658" s="322"/>
    </row>
    <row r="659" spans="1:8">
      <c r="A659" s="322"/>
      <c r="B659" s="322"/>
      <c r="C659" s="322"/>
      <c r="D659" s="322"/>
      <c r="E659" s="322"/>
      <c r="F659" s="322"/>
      <c r="G659" s="322"/>
      <c r="H659" s="322"/>
    </row>
    <row r="660" spans="1:8">
      <c r="A660" s="322"/>
      <c r="B660" s="322"/>
      <c r="C660" s="322"/>
      <c r="D660" s="322"/>
      <c r="E660" s="322"/>
      <c r="F660" s="322"/>
      <c r="G660" s="322"/>
      <c r="H660" s="322"/>
    </row>
    <row r="661" spans="1:8">
      <c r="A661" s="322"/>
      <c r="B661" s="322"/>
      <c r="C661" s="322"/>
      <c r="D661" s="322"/>
      <c r="E661" s="322"/>
      <c r="F661" s="322"/>
      <c r="G661" s="322"/>
      <c r="H661" s="322"/>
    </row>
    <row r="662" spans="1:8">
      <c r="A662" s="322"/>
      <c r="B662" s="322"/>
      <c r="C662" s="322"/>
      <c r="D662" s="322"/>
      <c r="E662" s="322"/>
      <c r="F662" s="322"/>
      <c r="G662" s="322"/>
      <c r="H662" s="322"/>
    </row>
    <row r="663" spans="1:8">
      <c r="A663" s="322"/>
      <c r="B663" s="322"/>
      <c r="C663" s="322"/>
      <c r="D663" s="322"/>
      <c r="E663" s="322"/>
      <c r="F663" s="322"/>
      <c r="G663" s="322"/>
      <c r="H663" s="322"/>
    </row>
    <row r="664" spans="1:8">
      <c r="A664" s="322"/>
      <c r="B664" s="322"/>
      <c r="C664" s="322"/>
      <c r="D664" s="322"/>
      <c r="E664" s="322"/>
      <c r="F664" s="322"/>
      <c r="G664" s="322"/>
      <c r="H664" s="322"/>
    </row>
    <row r="665" spans="1:8">
      <c r="A665" s="322"/>
      <c r="B665" s="322"/>
      <c r="C665" s="322"/>
      <c r="D665" s="322"/>
      <c r="E665" s="322"/>
      <c r="F665" s="322"/>
      <c r="G665" s="322"/>
      <c r="H665" s="322"/>
    </row>
    <row r="666" spans="1:8">
      <c r="A666" s="322"/>
      <c r="B666" s="322"/>
      <c r="C666" s="322"/>
      <c r="D666" s="322"/>
      <c r="E666" s="322"/>
      <c r="F666" s="322"/>
      <c r="G666" s="322"/>
      <c r="H666" s="322"/>
    </row>
    <row r="667" spans="1:8">
      <c r="A667" s="322"/>
      <c r="B667" s="322"/>
      <c r="C667" s="322"/>
      <c r="D667" s="322"/>
      <c r="E667" s="322"/>
      <c r="F667" s="322"/>
      <c r="G667" s="322"/>
      <c r="H667" s="322"/>
    </row>
    <row r="668" spans="1:8">
      <c r="A668" s="322"/>
      <c r="B668" s="322"/>
      <c r="C668" s="322"/>
      <c r="D668" s="322"/>
      <c r="E668" s="322"/>
      <c r="F668" s="322"/>
      <c r="G668" s="322"/>
      <c r="H668" s="322"/>
    </row>
    <row r="669" spans="1:8">
      <c r="A669" s="322"/>
      <c r="B669" s="322"/>
      <c r="C669" s="322"/>
      <c r="D669" s="322"/>
      <c r="E669" s="322"/>
      <c r="F669" s="322"/>
      <c r="G669" s="322"/>
      <c r="H669" s="322"/>
    </row>
    <row r="670" spans="1:8">
      <c r="A670" s="322"/>
      <c r="B670" s="322"/>
      <c r="C670" s="322"/>
      <c r="D670" s="322"/>
      <c r="E670" s="322"/>
      <c r="F670" s="322"/>
      <c r="G670" s="322"/>
      <c r="H670" s="322"/>
    </row>
    <row r="671" spans="1:8">
      <c r="A671" s="322"/>
      <c r="B671" s="322"/>
      <c r="C671" s="322"/>
      <c r="D671" s="322"/>
      <c r="E671" s="322"/>
      <c r="F671" s="322"/>
      <c r="G671" s="322"/>
      <c r="H671" s="322"/>
    </row>
    <row r="672" spans="1:8">
      <c r="A672" s="322"/>
      <c r="B672" s="322"/>
      <c r="C672" s="322"/>
      <c r="D672" s="322"/>
      <c r="E672" s="322"/>
      <c r="F672" s="322"/>
      <c r="G672" s="322"/>
      <c r="H672" s="322"/>
    </row>
    <row r="673" spans="1:8">
      <c r="A673" s="322"/>
      <c r="B673" s="322"/>
      <c r="C673" s="322"/>
      <c r="D673" s="322"/>
      <c r="E673" s="322"/>
      <c r="F673" s="322"/>
      <c r="G673" s="322"/>
      <c r="H673" s="322"/>
    </row>
    <row r="674" spans="1:8">
      <c r="A674" s="322"/>
      <c r="B674" s="322"/>
      <c r="C674" s="322"/>
      <c r="D674" s="322"/>
      <c r="E674" s="322"/>
      <c r="F674" s="322"/>
      <c r="G674" s="322"/>
      <c r="H674" s="322"/>
    </row>
    <row r="675" spans="1:8">
      <c r="A675" s="322"/>
      <c r="B675" s="322"/>
      <c r="C675" s="322"/>
      <c r="D675" s="322"/>
      <c r="E675" s="322"/>
      <c r="F675" s="322"/>
      <c r="G675" s="322"/>
      <c r="H675" s="322"/>
    </row>
    <row r="676" spans="1:8">
      <c r="A676" s="322"/>
      <c r="B676" s="322"/>
      <c r="C676" s="322"/>
      <c r="D676" s="322"/>
      <c r="E676" s="322"/>
      <c r="F676" s="322"/>
      <c r="G676" s="322"/>
      <c r="H676" s="322"/>
    </row>
    <row r="677" spans="1:8">
      <c r="A677" s="322"/>
      <c r="B677" s="322"/>
      <c r="C677" s="322"/>
      <c r="D677" s="322"/>
      <c r="E677" s="322"/>
      <c r="F677" s="322"/>
      <c r="G677" s="322"/>
      <c r="H677" s="322"/>
    </row>
    <row r="678" spans="1:8">
      <c r="A678" s="322"/>
      <c r="B678" s="322"/>
      <c r="C678" s="322"/>
      <c r="D678" s="322"/>
      <c r="E678" s="322"/>
      <c r="F678" s="322"/>
      <c r="G678" s="322"/>
      <c r="H678" s="322"/>
    </row>
    <row r="679" spans="1:8">
      <c r="A679" s="322"/>
      <c r="B679" s="322"/>
      <c r="C679" s="322"/>
      <c r="D679" s="322"/>
      <c r="E679" s="322"/>
      <c r="F679" s="322"/>
      <c r="G679" s="322"/>
      <c r="H679" s="322"/>
    </row>
    <row r="680" spans="1:8">
      <c r="A680" s="322"/>
      <c r="B680" s="322"/>
      <c r="C680" s="322"/>
      <c r="D680" s="322"/>
      <c r="E680" s="322"/>
      <c r="F680" s="322"/>
      <c r="G680" s="322"/>
      <c r="H680" s="322"/>
    </row>
    <row r="681" spans="1:8">
      <c r="A681" s="322"/>
      <c r="B681" s="322"/>
      <c r="C681" s="322"/>
      <c r="D681" s="322"/>
      <c r="E681" s="322"/>
      <c r="F681" s="322"/>
      <c r="G681" s="322"/>
      <c r="H681" s="322"/>
    </row>
    <row r="682" spans="1:8">
      <c r="A682" s="322"/>
      <c r="B682" s="322"/>
      <c r="C682" s="322"/>
      <c r="D682" s="322"/>
      <c r="E682" s="322"/>
      <c r="F682" s="322"/>
      <c r="G682" s="322"/>
      <c r="H682" s="322"/>
    </row>
    <row r="683" spans="1:8">
      <c r="A683" s="322"/>
      <c r="B683" s="322"/>
      <c r="C683" s="322"/>
      <c r="D683" s="322"/>
      <c r="E683" s="322"/>
      <c r="F683" s="322"/>
      <c r="G683" s="322"/>
      <c r="H683" s="322"/>
    </row>
    <row r="684" spans="1:8">
      <c r="A684" s="322"/>
      <c r="B684" s="322"/>
      <c r="C684" s="322"/>
      <c r="D684" s="322"/>
      <c r="E684" s="322"/>
      <c r="F684" s="322"/>
      <c r="G684" s="322"/>
      <c r="H684" s="322"/>
    </row>
    <row r="685" spans="1:8">
      <c r="A685" s="322"/>
      <c r="B685" s="322"/>
      <c r="C685" s="322"/>
      <c r="D685" s="322"/>
      <c r="E685" s="322"/>
      <c r="F685" s="322"/>
      <c r="G685" s="322"/>
      <c r="H685" s="322"/>
    </row>
    <row r="686" spans="1:8">
      <c r="A686" s="322"/>
      <c r="B686" s="322"/>
      <c r="C686" s="322"/>
      <c r="D686" s="322"/>
      <c r="E686" s="322"/>
      <c r="F686" s="322"/>
      <c r="G686" s="322"/>
      <c r="H686" s="322"/>
    </row>
    <row r="687" spans="1:8">
      <c r="A687" s="322"/>
      <c r="B687" s="322"/>
      <c r="C687" s="322"/>
      <c r="D687" s="322"/>
      <c r="E687" s="322"/>
      <c r="F687" s="322"/>
      <c r="G687" s="322"/>
      <c r="H687" s="322"/>
    </row>
    <row r="688" spans="1:8">
      <c r="A688" s="322"/>
      <c r="B688" s="322"/>
      <c r="C688" s="322"/>
      <c r="D688" s="322"/>
      <c r="E688" s="322"/>
      <c r="F688" s="322"/>
      <c r="G688" s="322"/>
      <c r="H688" s="322"/>
    </row>
    <row r="689" spans="1:8">
      <c r="A689" s="322"/>
      <c r="B689" s="322"/>
      <c r="C689" s="322"/>
      <c r="D689" s="322"/>
      <c r="E689" s="322"/>
      <c r="F689" s="322"/>
      <c r="G689" s="322"/>
      <c r="H689" s="322"/>
    </row>
    <row r="690" spans="1:8">
      <c r="A690" s="322"/>
      <c r="B690" s="322"/>
      <c r="C690" s="322"/>
      <c r="D690" s="322"/>
      <c r="E690" s="322"/>
      <c r="F690" s="322"/>
      <c r="G690" s="322"/>
      <c r="H690" s="322"/>
    </row>
    <row r="691" spans="1:8">
      <c r="A691" s="322"/>
      <c r="B691" s="322"/>
      <c r="C691" s="322"/>
      <c r="D691" s="322"/>
      <c r="E691" s="322"/>
      <c r="F691" s="322"/>
      <c r="G691" s="322"/>
      <c r="H691" s="322"/>
    </row>
    <row r="692" spans="1:8">
      <c r="A692" s="322"/>
      <c r="B692" s="322"/>
      <c r="C692" s="322"/>
      <c r="D692" s="322"/>
      <c r="E692" s="322"/>
      <c r="F692" s="322"/>
      <c r="G692" s="322"/>
      <c r="H692" s="322"/>
    </row>
    <row r="693" spans="1:8">
      <c r="A693" s="322"/>
      <c r="B693" s="322"/>
      <c r="C693" s="322"/>
      <c r="D693" s="322"/>
      <c r="E693" s="322"/>
      <c r="F693" s="322"/>
      <c r="G693" s="322"/>
      <c r="H693" s="322"/>
    </row>
    <row r="694" spans="1:8">
      <c r="A694" s="322"/>
      <c r="B694" s="322"/>
      <c r="C694" s="322"/>
      <c r="D694" s="322"/>
      <c r="E694" s="322"/>
      <c r="F694" s="322"/>
      <c r="G694" s="322"/>
      <c r="H694" s="322"/>
    </row>
    <row r="695" spans="1:8">
      <c r="A695" s="322"/>
      <c r="B695" s="322"/>
      <c r="C695" s="322"/>
      <c r="D695" s="322"/>
      <c r="E695" s="322"/>
      <c r="F695" s="322"/>
      <c r="G695" s="322"/>
      <c r="H695" s="322"/>
    </row>
    <row r="696" spans="1:8">
      <c r="A696" s="322"/>
      <c r="B696" s="322"/>
      <c r="C696" s="322"/>
      <c r="D696" s="322"/>
      <c r="E696" s="322"/>
      <c r="F696" s="322"/>
      <c r="G696" s="322"/>
      <c r="H696" s="322"/>
    </row>
    <row r="697" spans="1:8">
      <c r="A697" s="322"/>
      <c r="B697" s="322"/>
      <c r="C697" s="322"/>
      <c r="D697" s="322"/>
      <c r="E697" s="322"/>
      <c r="F697" s="322"/>
      <c r="G697" s="322"/>
      <c r="H697" s="322"/>
    </row>
    <row r="698" spans="1:8">
      <c r="A698" s="322"/>
      <c r="B698" s="322"/>
      <c r="C698" s="322"/>
      <c r="D698" s="322"/>
      <c r="E698" s="322"/>
      <c r="F698" s="322"/>
      <c r="G698" s="322"/>
      <c r="H698" s="322"/>
    </row>
    <row r="699" spans="1:8">
      <c r="A699" s="322"/>
      <c r="B699" s="322"/>
      <c r="C699" s="322"/>
      <c r="D699" s="322"/>
      <c r="E699" s="322"/>
      <c r="F699" s="322"/>
      <c r="G699" s="322"/>
      <c r="H699" s="322"/>
    </row>
    <row r="700" spans="1:8">
      <c r="A700" s="322"/>
      <c r="B700" s="322"/>
      <c r="C700" s="322"/>
      <c r="D700" s="322"/>
      <c r="E700" s="322"/>
      <c r="F700" s="322"/>
      <c r="G700" s="322"/>
      <c r="H700" s="322"/>
    </row>
    <row r="701" spans="1:8">
      <c r="A701" s="322"/>
      <c r="B701" s="322"/>
      <c r="C701" s="322"/>
      <c r="D701" s="322"/>
      <c r="E701" s="322"/>
      <c r="F701" s="322"/>
      <c r="G701" s="322"/>
      <c r="H701" s="322"/>
    </row>
    <row r="702" spans="1:8">
      <c r="A702" s="322"/>
      <c r="B702" s="322"/>
      <c r="C702" s="322"/>
      <c r="D702" s="322"/>
      <c r="E702" s="322"/>
      <c r="F702" s="322"/>
      <c r="G702" s="322"/>
      <c r="H702" s="322"/>
    </row>
    <row r="703" spans="1:8">
      <c r="A703" s="322"/>
      <c r="B703" s="322"/>
      <c r="C703" s="322"/>
      <c r="D703" s="322"/>
      <c r="E703" s="322"/>
      <c r="F703" s="322"/>
      <c r="G703" s="322"/>
      <c r="H703" s="322"/>
    </row>
    <row r="704" spans="1:8">
      <c r="A704" s="322"/>
      <c r="B704" s="322"/>
      <c r="C704" s="322"/>
      <c r="D704" s="322"/>
      <c r="E704" s="322"/>
      <c r="F704" s="322"/>
      <c r="G704" s="322"/>
      <c r="H704" s="322"/>
    </row>
    <row r="705" spans="1:8">
      <c r="A705" s="322"/>
      <c r="B705" s="322"/>
      <c r="C705" s="322"/>
      <c r="D705" s="322"/>
      <c r="E705" s="322"/>
      <c r="F705" s="322"/>
      <c r="G705" s="322"/>
      <c r="H705" s="322"/>
    </row>
    <row r="706" spans="1:8">
      <c r="A706" s="322"/>
      <c r="B706" s="322"/>
      <c r="C706" s="322"/>
      <c r="D706" s="322"/>
      <c r="E706" s="322"/>
      <c r="F706" s="322"/>
      <c r="G706" s="322"/>
      <c r="H706" s="322"/>
    </row>
    <row r="707" spans="1:8">
      <c r="A707" s="322"/>
      <c r="B707" s="322"/>
      <c r="C707" s="322"/>
      <c r="D707" s="322"/>
      <c r="E707" s="322"/>
      <c r="F707" s="322"/>
      <c r="G707" s="322"/>
      <c r="H707" s="322"/>
    </row>
    <row r="708" spans="1:8">
      <c r="A708" s="322"/>
      <c r="B708" s="322"/>
      <c r="C708" s="322"/>
      <c r="D708" s="322"/>
      <c r="E708" s="322"/>
      <c r="F708" s="322"/>
      <c r="G708" s="322"/>
      <c r="H708" s="322"/>
    </row>
    <row r="709" spans="1:8">
      <c r="A709" s="322"/>
      <c r="B709" s="322"/>
      <c r="C709" s="322"/>
      <c r="D709" s="322"/>
      <c r="E709" s="322"/>
      <c r="F709" s="322"/>
      <c r="G709" s="322"/>
      <c r="H709" s="322"/>
    </row>
    <row r="710" spans="1:8">
      <c r="A710" s="322"/>
      <c r="B710" s="322"/>
      <c r="C710" s="322"/>
      <c r="D710" s="322"/>
      <c r="E710" s="322"/>
      <c r="F710" s="322"/>
      <c r="G710" s="322"/>
      <c r="H710" s="322"/>
    </row>
    <row r="711" spans="1:8">
      <c r="A711" s="322"/>
      <c r="B711" s="322"/>
      <c r="C711" s="322"/>
      <c r="D711" s="322"/>
      <c r="E711" s="322"/>
      <c r="F711" s="322"/>
      <c r="G711" s="322"/>
      <c r="H711" s="322"/>
    </row>
    <row r="712" spans="1:8">
      <c r="A712" s="322"/>
      <c r="B712" s="322"/>
      <c r="C712" s="322"/>
      <c r="D712" s="322"/>
      <c r="E712" s="322"/>
      <c r="F712" s="322"/>
      <c r="G712" s="322"/>
      <c r="H712" s="322"/>
    </row>
    <row r="713" spans="1:8">
      <c r="A713" s="322"/>
      <c r="B713" s="322"/>
      <c r="C713" s="322"/>
      <c r="D713" s="322"/>
      <c r="E713" s="322"/>
      <c r="F713" s="322"/>
      <c r="G713" s="322"/>
      <c r="H713" s="322"/>
    </row>
    <row r="714" spans="1:8">
      <c r="A714" s="322"/>
      <c r="B714" s="322"/>
      <c r="C714" s="322"/>
      <c r="D714" s="322"/>
      <c r="E714" s="322"/>
      <c r="F714" s="322"/>
      <c r="G714" s="322"/>
      <c r="H714" s="322"/>
    </row>
    <row r="715" spans="1:8">
      <c r="A715" s="322"/>
      <c r="B715" s="322"/>
      <c r="C715" s="322"/>
      <c r="D715" s="322"/>
      <c r="E715" s="322"/>
      <c r="F715" s="322"/>
      <c r="G715" s="322"/>
      <c r="H715" s="322"/>
    </row>
    <row r="716" spans="1:8">
      <c r="A716" s="322"/>
      <c r="B716" s="322"/>
      <c r="C716" s="322"/>
      <c r="D716" s="322"/>
      <c r="E716" s="322"/>
      <c r="F716" s="322"/>
      <c r="G716" s="322"/>
      <c r="H716" s="322"/>
    </row>
    <row r="717" spans="1:8">
      <c r="A717" s="322"/>
      <c r="B717" s="322"/>
      <c r="C717" s="322"/>
      <c r="D717" s="322"/>
      <c r="E717" s="322"/>
      <c r="F717" s="322"/>
      <c r="G717" s="322"/>
      <c r="H717" s="322"/>
    </row>
    <row r="718" spans="1:8">
      <c r="A718" s="322"/>
      <c r="B718" s="322"/>
      <c r="C718" s="322"/>
      <c r="D718" s="322"/>
      <c r="E718" s="322"/>
      <c r="F718" s="322"/>
      <c r="G718" s="322"/>
      <c r="H718" s="322"/>
    </row>
    <row r="719" spans="1:8">
      <c r="A719" s="322"/>
      <c r="B719" s="322"/>
      <c r="C719" s="322"/>
      <c r="D719" s="322"/>
      <c r="E719" s="322"/>
      <c r="F719" s="322"/>
      <c r="G719" s="322"/>
      <c r="H719" s="322"/>
    </row>
    <row r="720" spans="1:8">
      <c r="A720" s="322"/>
      <c r="B720" s="322"/>
      <c r="C720" s="322"/>
      <c r="D720" s="322"/>
      <c r="E720" s="322"/>
      <c r="F720" s="322"/>
      <c r="G720" s="322"/>
      <c r="H720" s="322"/>
    </row>
    <row r="721" spans="1:8">
      <c r="A721" s="322"/>
      <c r="B721" s="322"/>
      <c r="C721" s="322"/>
      <c r="D721" s="322"/>
      <c r="E721" s="322"/>
      <c r="F721" s="322"/>
      <c r="G721" s="322"/>
      <c r="H721" s="322"/>
    </row>
    <row r="722" spans="1:8">
      <c r="A722" s="322"/>
      <c r="B722" s="322"/>
      <c r="C722" s="322"/>
      <c r="D722" s="322"/>
      <c r="E722" s="322"/>
      <c r="F722" s="322"/>
      <c r="G722" s="322"/>
      <c r="H722" s="322"/>
    </row>
    <row r="723" spans="1:8">
      <c r="A723" s="322"/>
      <c r="B723" s="322"/>
      <c r="C723" s="322"/>
      <c r="D723" s="322"/>
      <c r="E723" s="322"/>
      <c r="F723" s="322"/>
      <c r="G723" s="322"/>
      <c r="H723" s="322"/>
    </row>
    <row r="724" spans="1:8">
      <c r="A724" s="322"/>
      <c r="B724" s="322"/>
      <c r="C724" s="322"/>
      <c r="D724" s="322"/>
      <c r="E724" s="322"/>
      <c r="F724" s="322"/>
      <c r="G724" s="322"/>
      <c r="H724" s="322"/>
    </row>
    <row r="725" spans="1:8">
      <c r="A725" s="322"/>
      <c r="B725" s="322"/>
      <c r="C725" s="322"/>
      <c r="D725" s="322"/>
      <c r="E725" s="322"/>
      <c r="F725" s="322"/>
      <c r="G725" s="322"/>
      <c r="H725" s="322"/>
    </row>
    <row r="726" spans="1:8">
      <c r="A726" s="322"/>
      <c r="B726" s="322"/>
      <c r="C726" s="322"/>
      <c r="D726" s="322"/>
      <c r="E726" s="322"/>
      <c r="F726" s="322"/>
      <c r="G726" s="322"/>
      <c r="H726" s="322"/>
    </row>
    <row r="727" spans="1:8">
      <c r="A727" s="322"/>
      <c r="B727" s="322"/>
      <c r="C727" s="322"/>
      <c r="D727" s="322"/>
      <c r="E727" s="322"/>
      <c r="F727" s="322"/>
      <c r="G727" s="322"/>
      <c r="H727" s="322"/>
    </row>
    <row r="728" spans="1:8">
      <c r="A728" s="322"/>
      <c r="B728" s="322"/>
      <c r="C728" s="322"/>
      <c r="D728" s="322"/>
      <c r="E728" s="322"/>
      <c r="F728" s="322"/>
      <c r="G728" s="322"/>
      <c r="H728" s="322"/>
    </row>
    <row r="729" spans="1:8">
      <c r="A729" s="322"/>
      <c r="B729" s="322"/>
      <c r="C729" s="322"/>
      <c r="D729" s="322"/>
      <c r="E729" s="322"/>
      <c r="F729" s="322"/>
      <c r="G729" s="322"/>
      <c r="H729" s="322"/>
    </row>
    <row r="730" spans="1:8">
      <c r="A730" s="322"/>
      <c r="B730" s="322"/>
      <c r="C730" s="322"/>
      <c r="D730" s="322"/>
      <c r="E730" s="322"/>
      <c r="F730" s="322"/>
      <c r="G730" s="322"/>
      <c r="H730" s="322"/>
    </row>
    <row r="731" spans="1:8">
      <c r="A731" s="322"/>
      <c r="B731" s="322"/>
      <c r="C731" s="322"/>
      <c r="D731" s="322"/>
      <c r="E731" s="322"/>
      <c r="F731" s="322"/>
      <c r="G731" s="322"/>
      <c r="H731" s="322"/>
    </row>
    <row r="732" spans="1:8">
      <c r="A732" s="322"/>
      <c r="B732" s="322"/>
      <c r="C732" s="322"/>
      <c r="D732" s="322"/>
      <c r="E732" s="322"/>
      <c r="F732" s="322"/>
      <c r="G732" s="322"/>
      <c r="H732" s="322"/>
    </row>
    <row r="733" spans="1:8">
      <c r="A733" s="322"/>
      <c r="B733" s="322"/>
      <c r="C733" s="322"/>
      <c r="D733" s="322"/>
      <c r="E733" s="322"/>
      <c r="F733" s="322"/>
      <c r="G733" s="322"/>
      <c r="H733" s="322"/>
    </row>
    <row r="734" spans="1:8">
      <c r="A734" s="322"/>
      <c r="B734" s="322"/>
      <c r="C734" s="322"/>
      <c r="D734" s="322"/>
      <c r="E734" s="322"/>
      <c r="F734" s="322"/>
      <c r="G734" s="322"/>
      <c r="H734" s="322"/>
    </row>
    <row r="735" spans="1:8">
      <c r="A735" s="322"/>
      <c r="B735" s="322"/>
      <c r="C735" s="322"/>
      <c r="D735" s="322"/>
      <c r="E735" s="322"/>
      <c r="F735" s="322"/>
      <c r="G735" s="322"/>
      <c r="H735" s="322"/>
    </row>
    <row r="736" spans="1:8">
      <c r="A736" s="322"/>
      <c r="B736" s="322"/>
      <c r="C736" s="322"/>
      <c r="D736" s="322"/>
      <c r="E736" s="322"/>
      <c r="F736" s="322"/>
      <c r="G736" s="322"/>
      <c r="H736" s="322"/>
    </row>
    <row r="737" spans="1:8">
      <c r="A737" s="322"/>
      <c r="B737" s="322"/>
      <c r="C737" s="322"/>
      <c r="D737" s="322"/>
      <c r="E737" s="322"/>
      <c r="F737" s="322"/>
      <c r="G737" s="322"/>
      <c r="H737" s="322"/>
    </row>
    <row r="738" spans="1:8">
      <c r="A738" s="322"/>
      <c r="B738" s="322"/>
      <c r="C738" s="322"/>
      <c r="D738" s="322"/>
      <c r="E738" s="322"/>
      <c r="F738" s="322"/>
      <c r="G738" s="322"/>
      <c r="H738" s="322"/>
    </row>
    <row r="739" spans="1:8">
      <c r="A739" s="322"/>
      <c r="B739" s="322"/>
      <c r="C739" s="322"/>
      <c r="D739" s="322"/>
      <c r="E739" s="322"/>
      <c r="F739" s="322"/>
      <c r="G739" s="322"/>
      <c r="H739" s="322"/>
    </row>
    <row r="740" spans="1:8">
      <c r="A740" s="322"/>
      <c r="B740" s="322"/>
      <c r="C740" s="322"/>
      <c r="D740" s="322"/>
      <c r="E740" s="322"/>
      <c r="F740" s="322"/>
      <c r="G740" s="322"/>
      <c r="H740" s="322"/>
    </row>
    <row r="741" spans="1:8">
      <c r="A741" s="322"/>
      <c r="B741" s="322"/>
      <c r="C741" s="322"/>
      <c r="D741" s="322"/>
      <c r="E741" s="322"/>
      <c r="F741" s="322"/>
      <c r="G741" s="322"/>
      <c r="H741" s="322"/>
    </row>
    <row r="742" spans="1:8">
      <c r="A742" s="322"/>
      <c r="B742" s="322"/>
      <c r="C742" s="322"/>
      <c r="D742" s="322"/>
      <c r="E742" s="322"/>
      <c r="F742" s="322"/>
      <c r="G742" s="322"/>
      <c r="H742" s="322"/>
    </row>
    <row r="743" spans="1:8">
      <c r="A743" s="322"/>
      <c r="B743" s="322"/>
      <c r="C743" s="322"/>
      <c r="D743" s="322"/>
      <c r="E743" s="322"/>
      <c r="F743" s="322"/>
      <c r="G743" s="322"/>
      <c r="H743" s="322"/>
    </row>
    <row r="744" spans="1:8">
      <c r="A744" s="322"/>
      <c r="B744" s="322"/>
      <c r="C744" s="322"/>
      <c r="D744" s="322"/>
      <c r="E744" s="322"/>
      <c r="F744" s="322"/>
      <c r="G744" s="322"/>
      <c r="H744" s="322"/>
    </row>
    <row r="745" spans="1:8">
      <c r="A745" s="322"/>
      <c r="B745" s="322"/>
      <c r="C745" s="322"/>
      <c r="D745" s="322"/>
      <c r="E745" s="322"/>
      <c r="F745" s="322"/>
      <c r="G745" s="322"/>
      <c r="H745" s="322"/>
    </row>
    <row r="746" spans="1:8">
      <c r="A746" s="322"/>
      <c r="B746" s="322"/>
      <c r="C746" s="322"/>
      <c r="D746" s="322"/>
      <c r="E746" s="322"/>
      <c r="F746" s="322"/>
      <c r="G746" s="322"/>
      <c r="H746" s="322"/>
    </row>
    <row r="747" spans="1:8">
      <c r="A747" s="322"/>
      <c r="B747" s="322"/>
      <c r="C747" s="322"/>
      <c r="D747" s="322"/>
      <c r="E747" s="322"/>
      <c r="F747" s="322"/>
      <c r="G747" s="322"/>
      <c r="H747" s="322"/>
    </row>
    <row r="748" spans="1:8">
      <c r="A748" s="322"/>
      <c r="B748" s="322"/>
      <c r="C748" s="322"/>
      <c r="D748" s="322"/>
      <c r="E748" s="322"/>
      <c r="F748" s="322"/>
      <c r="G748" s="322"/>
      <c r="H748" s="322"/>
    </row>
    <row r="749" spans="1:8">
      <c r="A749" s="322"/>
      <c r="B749" s="322"/>
      <c r="C749" s="322"/>
      <c r="D749" s="322"/>
      <c r="E749" s="322"/>
      <c r="F749" s="322"/>
      <c r="G749" s="322"/>
      <c r="H749" s="322"/>
    </row>
    <row r="750" spans="1:8">
      <c r="A750" s="322"/>
      <c r="B750" s="322"/>
      <c r="C750" s="322"/>
      <c r="D750" s="322"/>
      <c r="E750" s="322"/>
      <c r="F750" s="322"/>
      <c r="G750" s="322"/>
      <c r="H750" s="322"/>
    </row>
    <row r="751" spans="1:8">
      <c r="A751" s="322"/>
      <c r="B751" s="322"/>
      <c r="C751" s="322"/>
      <c r="D751" s="322"/>
      <c r="E751" s="322"/>
      <c r="F751" s="322"/>
      <c r="G751" s="322"/>
      <c r="H751" s="322"/>
    </row>
    <row r="752" spans="1:8">
      <c r="A752" s="322"/>
      <c r="B752" s="322"/>
      <c r="C752" s="322"/>
      <c r="D752" s="322"/>
      <c r="E752" s="322"/>
      <c r="F752" s="322"/>
      <c r="G752" s="322"/>
      <c r="H752" s="322"/>
    </row>
    <row r="753" spans="1:8">
      <c r="A753" s="322"/>
      <c r="B753" s="322"/>
      <c r="C753" s="322"/>
      <c r="D753" s="322"/>
      <c r="E753" s="322"/>
      <c r="F753" s="322"/>
      <c r="G753" s="322"/>
      <c r="H753" s="322"/>
    </row>
    <row r="754" spans="1:8">
      <c r="A754" s="322"/>
      <c r="B754" s="322"/>
      <c r="C754" s="322"/>
      <c r="D754" s="322"/>
      <c r="E754" s="322"/>
      <c r="F754" s="322"/>
      <c r="G754" s="322"/>
      <c r="H754" s="322"/>
    </row>
    <row r="755" spans="1:8">
      <c r="A755" s="322"/>
      <c r="B755" s="322"/>
      <c r="C755" s="322"/>
      <c r="D755" s="322"/>
      <c r="E755" s="322"/>
      <c r="F755" s="322"/>
      <c r="G755" s="322"/>
      <c r="H755" s="322"/>
    </row>
    <row r="756" spans="1:8">
      <c r="A756" s="322"/>
      <c r="B756" s="322"/>
      <c r="C756" s="322"/>
      <c r="D756" s="322"/>
      <c r="E756" s="322"/>
      <c r="F756" s="322"/>
      <c r="G756" s="322"/>
      <c r="H756" s="322"/>
    </row>
    <row r="757" spans="1:8">
      <c r="A757" s="322"/>
      <c r="B757" s="322"/>
      <c r="C757" s="322"/>
      <c r="D757" s="322"/>
      <c r="E757" s="322"/>
      <c r="F757" s="322"/>
      <c r="G757" s="322"/>
      <c r="H757" s="322"/>
    </row>
    <row r="758" spans="1:8">
      <c r="A758" s="322"/>
      <c r="B758" s="322"/>
      <c r="C758" s="322"/>
      <c r="D758" s="322"/>
      <c r="E758" s="322"/>
      <c r="F758" s="322"/>
      <c r="G758" s="322"/>
      <c r="H758" s="322"/>
    </row>
    <row r="759" spans="1:8">
      <c r="A759" s="322"/>
      <c r="B759" s="322"/>
      <c r="C759" s="322"/>
      <c r="D759" s="322"/>
      <c r="E759" s="322"/>
      <c r="F759" s="322"/>
      <c r="G759" s="322"/>
      <c r="H759" s="322"/>
    </row>
    <row r="760" spans="1:8">
      <c r="A760" s="322"/>
      <c r="B760" s="322"/>
      <c r="C760" s="322"/>
      <c r="D760" s="322"/>
      <c r="E760" s="322"/>
      <c r="F760" s="322"/>
      <c r="G760" s="322"/>
      <c r="H760" s="322"/>
    </row>
    <row r="761" spans="1:8">
      <c r="A761" s="322"/>
      <c r="B761" s="322"/>
      <c r="C761" s="322"/>
      <c r="D761" s="322"/>
      <c r="E761" s="322"/>
      <c r="F761" s="322"/>
      <c r="G761" s="322"/>
      <c r="H761" s="322"/>
    </row>
    <row r="762" spans="1:8">
      <c r="A762" s="322"/>
      <c r="B762" s="322"/>
      <c r="C762" s="322"/>
      <c r="D762" s="322"/>
      <c r="E762" s="322"/>
      <c r="F762" s="322"/>
      <c r="G762" s="322"/>
      <c r="H762" s="322"/>
    </row>
    <row r="763" spans="1:8">
      <c r="A763" s="322"/>
      <c r="B763" s="322"/>
      <c r="C763" s="322"/>
      <c r="D763" s="322"/>
      <c r="E763" s="322"/>
      <c r="F763" s="322"/>
      <c r="G763" s="322"/>
      <c r="H763" s="322"/>
    </row>
    <row r="764" spans="1:8">
      <c r="A764" s="322"/>
      <c r="B764" s="322"/>
      <c r="C764" s="322"/>
      <c r="D764" s="322"/>
      <c r="E764" s="322"/>
      <c r="F764" s="322"/>
      <c r="G764" s="322"/>
      <c r="H764" s="322"/>
    </row>
    <row r="765" spans="1:8">
      <c r="A765" s="322"/>
      <c r="B765" s="322"/>
      <c r="C765" s="322"/>
      <c r="D765" s="322"/>
      <c r="E765" s="322"/>
      <c r="F765" s="322"/>
      <c r="G765" s="322"/>
      <c r="H765" s="322"/>
    </row>
    <row r="766" spans="1:8">
      <c r="A766" s="322"/>
      <c r="B766" s="322"/>
      <c r="C766" s="322"/>
      <c r="D766" s="322"/>
      <c r="E766" s="322"/>
      <c r="F766" s="322"/>
      <c r="G766" s="322"/>
      <c r="H766" s="322"/>
    </row>
    <row r="767" spans="1:8">
      <c r="A767" s="322"/>
      <c r="B767" s="322"/>
      <c r="C767" s="322"/>
      <c r="D767" s="322"/>
      <c r="E767" s="322"/>
      <c r="F767" s="322"/>
      <c r="G767" s="322"/>
      <c r="H767" s="322"/>
    </row>
    <row r="768" spans="1:8">
      <c r="A768" s="322"/>
      <c r="B768" s="322"/>
      <c r="C768" s="322"/>
      <c r="D768" s="322"/>
      <c r="E768" s="322"/>
      <c r="F768" s="322"/>
      <c r="G768" s="322"/>
      <c r="H768" s="322"/>
    </row>
    <row r="769" spans="1:8">
      <c r="A769" s="322"/>
      <c r="B769" s="322"/>
      <c r="C769" s="322"/>
      <c r="D769" s="322"/>
      <c r="E769" s="322"/>
      <c r="F769" s="322"/>
      <c r="G769" s="322"/>
      <c r="H769" s="322"/>
    </row>
    <row r="770" spans="1:8">
      <c r="A770" s="322"/>
      <c r="B770" s="322"/>
      <c r="C770" s="322"/>
      <c r="D770" s="322"/>
      <c r="E770" s="322"/>
      <c r="F770" s="322"/>
      <c r="G770" s="322"/>
      <c r="H770" s="322"/>
    </row>
    <row r="771" spans="1:8">
      <c r="A771" s="322"/>
      <c r="B771" s="322"/>
      <c r="C771" s="322"/>
      <c r="D771" s="322"/>
      <c r="E771" s="322"/>
      <c r="F771" s="322"/>
      <c r="G771" s="322"/>
      <c r="H771" s="322"/>
    </row>
    <row r="772" spans="1:8">
      <c r="A772" s="322"/>
      <c r="B772" s="322"/>
      <c r="C772" s="322"/>
      <c r="D772" s="322"/>
      <c r="E772" s="322"/>
      <c r="F772" s="322"/>
      <c r="G772" s="322"/>
      <c r="H772" s="322"/>
    </row>
    <row r="773" spans="1:8">
      <c r="A773" s="322"/>
      <c r="B773" s="322"/>
      <c r="C773" s="322"/>
      <c r="D773" s="322"/>
      <c r="E773" s="322"/>
      <c r="F773" s="322"/>
      <c r="G773" s="322"/>
      <c r="H773" s="322"/>
    </row>
    <row r="774" spans="1:8">
      <c r="A774" s="322"/>
      <c r="B774" s="322"/>
      <c r="C774" s="322"/>
      <c r="D774" s="322"/>
      <c r="E774" s="322"/>
      <c r="F774" s="322"/>
      <c r="G774" s="322"/>
      <c r="H774" s="322"/>
    </row>
    <row r="775" spans="1:8">
      <c r="A775" s="322"/>
      <c r="B775" s="322"/>
      <c r="C775" s="322"/>
      <c r="D775" s="322"/>
      <c r="E775" s="322"/>
      <c r="F775" s="322"/>
      <c r="G775" s="322"/>
      <c r="H775" s="322"/>
    </row>
    <row r="776" spans="1:8">
      <c r="A776" s="322"/>
      <c r="B776" s="322"/>
      <c r="C776" s="322"/>
      <c r="D776" s="322"/>
      <c r="E776" s="322"/>
      <c r="F776" s="322"/>
      <c r="G776" s="322"/>
      <c r="H776" s="322"/>
    </row>
    <row r="777" spans="1:8">
      <c r="A777" s="322"/>
      <c r="B777" s="322"/>
      <c r="C777" s="322"/>
      <c r="D777" s="322"/>
      <c r="E777" s="322"/>
      <c r="F777" s="322"/>
      <c r="G777" s="322"/>
      <c r="H777" s="322"/>
    </row>
    <row r="778" spans="1:8">
      <c r="A778" s="322"/>
      <c r="B778" s="322"/>
      <c r="C778" s="322"/>
      <c r="D778" s="322"/>
      <c r="E778" s="322"/>
      <c r="F778" s="322"/>
      <c r="G778" s="322"/>
      <c r="H778" s="322"/>
    </row>
    <row r="779" spans="1:8">
      <c r="A779" s="322"/>
      <c r="B779" s="322"/>
      <c r="C779" s="322"/>
      <c r="D779" s="322"/>
      <c r="E779" s="322"/>
      <c r="F779" s="322"/>
      <c r="G779" s="322"/>
      <c r="H779" s="322"/>
    </row>
    <row r="780" spans="1:8">
      <c r="A780" s="322"/>
      <c r="B780" s="322"/>
      <c r="C780" s="322"/>
      <c r="D780" s="322"/>
      <c r="E780" s="322"/>
      <c r="F780" s="322"/>
      <c r="G780" s="322"/>
      <c r="H780" s="322"/>
    </row>
    <row r="781" spans="1:8">
      <c r="A781" s="322"/>
      <c r="B781" s="322"/>
      <c r="C781" s="322"/>
      <c r="D781" s="322"/>
      <c r="E781" s="322"/>
      <c r="F781" s="322"/>
      <c r="G781" s="322"/>
      <c r="H781" s="322"/>
    </row>
    <row r="782" spans="1:8">
      <c r="A782" s="322"/>
      <c r="B782" s="322"/>
      <c r="C782" s="322"/>
      <c r="D782" s="322"/>
      <c r="E782" s="322"/>
      <c r="F782" s="322"/>
      <c r="G782" s="322"/>
      <c r="H782" s="322"/>
    </row>
    <row r="783" spans="1:8">
      <c r="A783" s="322"/>
      <c r="B783" s="322"/>
      <c r="C783" s="322"/>
      <c r="D783" s="322"/>
      <c r="E783" s="322"/>
      <c r="F783" s="322"/>
      <c r="G783" s="322"/>
      <c r="H783" s="322"/>
    </row>
    <row r="784" spans="1:8">
      <c r="A784" s="322"/>
      <c r="B784" s="322"/>
      <c r="C784" s="322"/>
      <c r="D784" s="322"/>
      <c r="E784" s="322"/>
      <c r="F784" s="322"/>
      <c r="G784" s="322"/>
      <c r="H784" s="322"/>
    </row>
    <row r="785" spans="1:8">
      <c r="A785" s="322"/>
      <c r="B785" s="322"/>
      <c r="C785" s="322"/>
      <c r="D785" s="322"/>
      <c r="E785" s="322"/>
      <c r="F785" s="322"/>
      <c r="G785" s="322"/>
      <c r="H785" s="322"/>
    </row>
    <row r="786" spans="1:8">
      <c r="A786" s="322"/>
      <c r="B786" s="322"/>
      <c r="C786" s="322"/>
      <c r="D786" s="322"/>
      <c r="E786" s="322"/>
      <c r="F786" s="322"/>
      <c r="G786" s="322"/>
      <c r="H786" s="322"/>
    </row>
    <row r="787" spans="1:8">
      <c r="A787" s="322"/>
      <c r="B787" s="322"/>
      <c r="C787" s="322"/>
      <c r="D787" s="322"/>
      <c r="E787" s="322"/>
      <c r="F787" s="322"/>
      <c r="G787" s="322"/>
      <c r="H787" s="322"/>
    </row>
    <row r="788" spans="1:8">
      <c r="A788" s="322"/>
      <c r="B788" s="322"/>
      <c r="C788" s="322"/>
      <c r="D788" s="322"/>
      <c r="E788" s="322"/>
      <c r="F788" s="322"/>
      <c r="G788" s="322"/>
      <c r="H788" s="322"/>
    </row>
    <row r="789" spans="1:8">
      <c r="A789" s="322"/>
      <c r="B789" s="322"/>
      <c r="C789" s="322"/>
      <c r="D789" s="322"/>
      <c r="E789" s="322"/>
      <c r="F789" s="322"/>
      <c r="G789" s="322"/>
      <c r="H789" s="322"/>
    </row>
    <row r="790" spans="1:8">
      <c r="A790" s="322"/>
      <c r="B790" s="322"/>
      <c r="C790" s="322"/>
      <c r="D790" s="322"/>
      <c r="E790" s="322"/>
      <c r="F790" s="322"/>
      <c r="G790" s="322"/>
      <c r="H790" s="322"/>
    </row>
    <row r="791" spans="1:8">
      <c r="A791" s="322"/>
      <c r="B791" s="322"/>
      <c r="C791" s="322"/>
      <c r="D791" s="322"/>
      <c r="E791" s="322"/>
      <c r="F791" s="322"/>
      <c r="G791" s="322"/>
      <c r="H791" s="322"/>
    </row>
    <row r="792" spans="1:8">
      <c r="A792" s="322"/>
      <c r="B792" s="322"/>
      <c r="C792" s="322"/>
      <c r="D792" s="322"/>
      <c r="E792" s="322"/>
      <c r="F792" s="322"/>
      <c r="G792" s="322"/>
      <c r="H792" s="322"/>
    </row>
    <row r="793" spans="1:8">
      <c r="A793" s="322"/>
      <c r="B793" s="322"/>
      <c r="C793" s="322"/>
      <c r="D793" s="322"/>
      <c r="E793" s="322"/>
      <c r="F793" s="322"/>
      <c r="G793" s="322"/>
      <c r="H793" s="322"/>
    </row>
    <row r="794" spans="1:8">
      <c r="A794" s="322"/>
      <c r="B794" s="322"/>
      <c r="C794" s="322"/>
      <c r="D794" s="322"/>
      <c r="E794" s="322"/>
      <c r="F794" s="322"/>
      <c r="G794" s="322"/>
      <c r="H794" s="322"/>
    </row>
    <row r="795" spans="1:8">
      <c r="A795" s="322"/>
      <c r="B795" s="322"/>
      <c r="C795" s="322"/>
      <c r="D795" s="322"/>
      <c r="E795" s="322"/>
      <c r="F795" s="322"/>
      <c r="G795" s="322"/>
      <c r="H795" s="322"/>
    </row>
    <row r="796" spans="1:8">
      <c r="A796" s="322"/>
      <c r="B796" s="322"/>
      <c r="C796" s="322"/>
      <c r="D796" s="322"/>
      <c r="E796" s="322"/>
      <c r="F796" s="322"/>
      <c r="G796" s="322"/>
      <c r="H796" s="322"/>
    </row>
    <row r="797" spans="1:8">
      <c r="A797" s="322"/>
      <c r="B797" s="322"/>
      <c r="C797" s="322"/>
      <c r="D797" s="322"/>
      <c r="E797" s="322"/>
      <c r="F797" s="322"/>
      <c r="G797" s="322"/>
      <c r="H797" s="322"/>
    </row>
    <row r="798" spans="1:8">
      <c r="A798" s="322"/>
      <c r="B798" s="322"/>
      <c r="C798" s="322"/>
      <c r="D798" s="322"/>
      <c r="E798" s="322"/>
      <c r="F798" s="322"/>
      <c r="G798" s="322"/>
      <c r="H798" s="322"/>
    </row>
    <row r="799" spans="1:8">
      <c r="A799" s="322"/>
      <c r="B799" s="322"/>
      <c r="C799" s="322"/>
      <c r="D799" s="322"/>
      <c r="E799" s="322"/>
      <c r="F799" s="322"/>
      <c r="G799" s="322"/>
      <c r="H799" s="322"/>
    </row>
    <row r="800" spans="1:8">
      <c r="A800" s="322"/>
      <c r="B800" s="322"/>
      <c r="C800" s="322"/>
      <c r="D800" s="322"/>
      <c r="E800" s="322"/>
      <c r="F800" s="322"/>
      <c r="G800" s="322"/>
      <c r="H800" s="322"/>
    </row>
    <row r="801" spans="1:8">
      <c r="A801" s="322"/>
      <c r="B801" s="322"/>
      <c r="C801" s="322"/>
      <c r="D801" s="322"/>
      <c r="E801" s="322"/>
      <c r="F801" s="322"/>
      <c r="G801" s="322"/>
      <c r="H801" s="322"/>
    </row>
    <row r="802" spans="1:8">
      <c r="A802" s="322"/>
      <c r="B802" s="322"/>
      <c r="C802" s="322"/>
      <c r="D802" s="322"/>
      <c r="E802" s="322"/>
      <c r="F802" s="322"/>
      <c r="G802" s="322"/>
      <c r="H802" s="322"/>
    </row>
    <row r="803" spans="1:8">
      <c r="A803" s="322"/>
      <c r="B803" s="322"/>
      <c r="C803" s="322"/>
      <c r="D803" s="322"/>
      <c r="E803" s="322"/>
      <c r="F803" s="322"/>
      <c r="G803" s="322"/>
      <c r="H803" s="322"/>
    </row>
    <row r="804" spans="1:8">
      <c r="A804" s="322"/>
      <c r="B804" s="322"/>
      <c r="C804" s="322"/>
      <c r="D804" s="322"/>
      <c r="E804" s="322"/>
      <c r="F804" s="322"/>
      <c r="G804" s="322"/>
      <c r="H804" s="322"/>
    </row>
    <row r="805" spans="1:8">
      <c r="A805" s="322"/>
      <c r="B805" s="322"/>
      <c r="C805" s="322"/>
      <c r="D805" s="322"/>
      <c r="E805" s="322"/>
      <c r="F805" s="322"/>
      <c r="G805" s="322"/>
      <c r="H805" s="322"/>
    </row>
    <row r="806" spans="1:8">
      <c r="A806" s="322"/>
      <c r="B806" s="322"/>
      <c r="C806" s="322"/>
      <c r="D806" s="322"/>
      <c r="E806" s="322"/>
      <c r="F806" s="322"/>
      <c r="G806" s="322"/>
      <c r="H806" s="322"/>
    </row>
    <row r="807" spans="1:8">
      <c r="A807" s="322"/>
      <c r="B807" s="322"/>
      <c r="C807" s="322"/>
      <c r="D807" s="322"/>
      <c r="E807" s="322"/>
      <c r="F807" s="322"/>
      <c r="G807" s="322"/>
      <c r="H807" s="322"/>
    </row>
    <row r="808" spans="1:8">
      <c r="A808" s="322"/>
      <c r="B808" s="322"/>
      <c r="C808" s="322"/>
      <c r="D808" s="322"/>
      <c r="E808" s="322"/>
      <c r="F808" s="322"/>
      <c r="G808" s="322"/>
      <c r="H808" s="322"/>
    </row>
    <row r="809" spans="1:8">
      <c r="A809" s="322"/>
      <c r="B809" s="322"/>
      <c r="C809" s="322"/>
      <c r="D809" s="322"/>
      <c r="E809" s="322"/>
      <c r="F809" s="322"/>
      <c r="G809" s="322"/>
      <c r="H809" s="322"/>
    </row>
    <row r="810" spans="1:8">
      <c r="A810" s="322"/>
      <c r="B810" s="322"/>
      <c r="C810" s="322"/>
      <c r="D810" s="322"/>
      <c r="E810" s="322"/>
      <c r="F810" s="322"/>
      <c r="G810" s="322"/>
      <c r="H810" s="322"/>
    </row>
    <row r="811" spans="1:8">
      <c r="A811" s="322"/>
      <c r="B811" s="322"/>
      <c r="C811" s="322"/>
      <c r="D811" s="322"/>
      <c r="E811" s="322"/>
      <c r="F811" s="322"/>
      <c r="G811" s="322"/>
      <c r="H811" s="322"/>
    </row>
    <row r="812" spans="1:8">
      <c r="A812" s="322"/>
      <c r="B812" s="322"/>
      <c r="C812" s="322"/>
      <c r="D812" s="322"/>
      <c r="E812" s="322"/>
      <c r="F812" s="322"/>
      <c r="G812" s="322"/>
      <c r="H812" s="322"/>
    </row>
    <row r="813" spans="1:8">
      <c r="A813" s="322"/>
      <c r="B813" s="322"/>
      <c r="C813" s="322"/>
      <c r="D813" s="322"/>
      <c r="E813" s="322"/>
      <c r="F813" s="322"/>
      <c r="G813" s="322"/>
      <c r="H813" s="322"/>
    </row>
    <row r="814" spans="1:8">
      <c r="A814" s="322"/>
      <c r="B814" s="322"/>
      <c r="C814" s="322"/>
      <c r="D814" s="322"/>
      <c r="E814" s="322"/>
      <c r="F814" s="322"/>
      <c r="G814" s="322"/>
      <c r="H814" s="322"/>
    </row>
    <row r="815" spans="1:8">
      <c r="A815" s="322"/>
      <c r="B815" s="322"/>
      <c r="C815" s="322"/>
      <c r="D815" s="322"/>
      <c r="E815" s="322"/>
      <c r="F815" s="322"/>
      <c r="G815" s="322"/>
      <c r="H815" s="322"/>
    </row>
    <row r="816" spans="1:8">
      <c r="A816" s="322"/>
      <c r="B816" s="322"/>
      <c r="C816" s="322"/>
      <c r="D816" s="322"/>
      <c r="E816" s="322"/>
      <c r="F816" s="322"/>
      <c r="G816" s="322"/>
      <c r="H816" s="322"/>
    </row>
    <row r="817" spans="1:8">
      <c r="A817" s="322"/>
      <c r="B817" s="322"/>
      <c r="C817" s="322"/>
      <c r="D817" s="322"/>
      <c r="E817" s="322"/>
      <c r="F817" s="322"/>
      <c r="G817" s="322"/>
      <c r="H817" s="322"/>
    </row>
    <row r="818" spans="1:8">
      <c r="A818" s="322"/>
      <c r="B818" s="322"/>
      <c r="C818" s="322"/>
      <c r="D818" s="322"/>
      <c r="E818" s="322"/>
      <c r="F818" s="322"/>
      <c r="G818" s="322"/>
      <c r="H818" s="322"/>
    </row>
    <row r="819" spans="1:8">
      <c r="A819" s="322"/>
      <c r="B819" s="322"/>
      <c r="C819" s="322"/>
      <c r="D819" s="322"/>
      <c r="E819" s="322"/>
      <c r="F819" s="322"/>
      <c r="G819" s="322"/>
      <c r="H819" s="322"/>
    </row>
    <row r="820" spans="1:8">
      <c r="A820" s="322"/>
      <c r="B820" s="322"/>
      <c r="C820" s="322"/>
      <c r="D820" s="322"/>
      <c r="E820" s="322"/>
      <c r="F820" s="322"/>
      <c r="G820" s="322"/>
      <c r="H820" s="322"/>
    </row>
    <row r="821" spans="1:8">
      <c r="A821" s="322"/>
      <c r="B821" s="322"/>
      <c r="C821" s="322"/>
      <c r="D821" s="322"/>
      <c r="E821" s="322"/>
      <c r="F821" s="322"/>
      <c r="G821" s="322"/>
      <c r="H821" s="322"/>
    </row>
    <row r="822" spans="1:8">
      <c r="A822" s="322"/>
      <c r="B822" s="322"/>
      <c r="C822" s="322"/>
      <c r="D822" s="322"/>
      <c r="E822" s="322"/>
      <c r="F822" s="322"/>
      <c r="G822" s="322"/>
      <c r="H822" s="322"/>
    </row>
    <row r="823" spans="1:8">
      <c r="A823" s="322"/>
      <c r="B823" s="322"/>
      <c r="C823" s="322"/>
      <c r="D823" s="322"/>
      <c r="E823" s="322"/>
      <c r="F823" s="322"/>
      <c r="G823" s="322"/>
      <c r="H823" s="322"/>
    </row>
    <row r="824" spans="1:8">
      <c r="A824" s="322"/>
      <c r="B824" s="322"/>
      <c r="C824" s="322"/>
      <c r="D824" s="322"/>
      <c r="E824" s="322"/>
      <c r="F824" s="322"/>
      <c r="G824" s="322"/>
      <c r="H824" s="322"/>
    </row>
    <row r="825" spans="1:8">
      <c r="A825" s="322"/>
      <c r="B825" s="322"/>
      <c r="C825" s="322"/>
      <c r="D825" s="322"/>
      <c r="E825" s="322"/>
      <c r="F825" s="322"/>
      <c r="G825" s="322"/>
      <c r="H825" s="322"/>
    </row>
    <row r="826" spans="1:8">
      <c r="A826" s="322"/>
      <c r="B826" s="322"/>
      <c r="C826" s="322"/>
      <c r="D826" s="322"/>
      <c r="E826" s="322"/>
      <c r="F826" s="322"/>
      <c r="G826" s="322"/>
      <c r="H826" s="322"/>
    </row>
    <row r="827" spans="1:8">
      <c r="A827" s="322"/>
      <c r="B827" s="322"/>
      <c r="C827" s="322"/>
      <c r="D827" s="322"/>
      <c r="E827" s="322"/>
      <c r="F827" s="322"/>
      <c r="G827" s="322"/>
      <c r="H827" s="322"/>
    </row>
    <row r="828" spans="1:8">
      <c r="A828" s="322"/>
      <c r="B828" s="322"/>
      <c r="C828" s="322"/>
      <c r="D828" s="322"/>
      <c r="E828" s="322"/>
      <c r="F828" s="322"/>
      <c r="G828" s="322"/>
      <c r="H828" s="322"/>
    </row>
    <row r="829" spans="1:8">
      <c r="A829" s="322"/>
      <c r="B829" s="322"/>
      <c r="C829" s="322"/>
      <c r="D829" s="322"/>
      <c r="E829" s="322"/>
      <c r="F829" s="322"/>
      <c r="G829" s="322"/>
      <c r="H829" s="322"/>
    </row>
    <row r="830" spans="1:8">
      <c r="A830" s="322"/>
      <c r="B830" s="322"/>
      <c r="C830" s="322"/>
      <c r="D830" s="322"/>
      <c r="E830" s="322"/>
      <c r="F830" s="322"/>
      <c r="G830" s="322"/>
      <c r="H830" s="322"/>
    </row>
    <row r="831" spans="1:8">
      <c r="A831" s="322"/>
      <c r="B831" s="322"/>
      <c r="C831" s="322"/>
      <c r="D831" s="322"/>
      <c r="E831" s="322"/>
      <c r="F831" s="322"/>
      <c r="G831" s="322"/>
      <c r="H831" s="322"/>
    </row>
    <row r="832" spans="1:8">
      <c r="A832" s="322"/>
      <c r="B832" s="322"/>
      <c r="C832" s="322"/>
      <c r="D832" s="322"/>
      <c r="E832" s="322"/>
      <c r="F832" s="322"/>
      <c r="G832" s="322"/>
      <c r="H832" s="322"/>
    </row>
    <row r="833" spans="1:8">
      <c r="A833" s="322"/>
      <c r="B833" s="322"/>
      <c r="C833" s="322"/>
      <c r="D833" s="322"/>
      <c r="E833" s="322"/>
      <c r="F833" s="322"/>
      <c r="G833" s="322"/>
      <c r="H833" s="322"/>
    </row>
    <row r="834" spans="1:8">
      <c r="A834" s="322"/>
      <c r="B834" s="322"/>
      <c r="C834" s="322"/>
      <c r="D834" s="322"/>
      <c r="E834" s="322"/>
      <c r="F834" s="322"/>
      <c r="G834" s="322"/>
      <c r="H834" s="322"/>
    </row>
    <row r="835" spans="1:8">
      <c r="A835" s="322"/>
      <c r="B835" s="322"/>
      <c r="C835" s="322"/>
      <c r="D835" s="322"/>
      <c r="E835" s="322"/>
      <c r="F835" s="322"/>
      <c r="G835" s="322"/>
      <c r="H835" s="322"/>
    </row>
    <row r="836" spans="1:8">
      <c r="A836" s="322"/>
      <c r="B836" s="322"/>
      <c r="C836" s="322"/>
      <c r="D836" s="322"/>
      <c r="E836" s="322"/>
      <c r="F836" s="322"/>
      <c r="G836" s="322"/>
      <c r="H836" s="322"/>
    </row>
    <row r="837" spans="1:8">
      <c r="A837" s="322"/>
      <c r="B837" s="322"/>
      <c r="C837" s="322"/>
      <c r="D837" s="322"/>
      <c r="E837" s="322"/>
      <c r="F837" s="322"/>
      <c r="G837" s="322"/>
      <c r="H837" s="322"/>
    </row>
    <row r="838" spans="1:8">
      <c r="A838" s="322"/>
      <c r="B838" s="322"/>
      <c r="C838" s="322"/>
      <c r="D838" s="322"/>
      <c r="E838" s="322"/>
      <c r="F838" s="322"/>
      <c r="G838" s="322"/>
      <c r="H838" s="322"/>
    </row>
    <row r="839" spans="1:8">
      <c r="A839" s="322"/>
      <c r="B839" s="322"/>
      <c r="C839" s="322"/>
      <c r="D839" s="322"/>
      <c r="E839" s="322"/>
      <c r="F839" s="322"/>
      <c r="G839" s="322"/>
      <c r="H839" s="322"/>
    </row>
    <row r="840" spans="1:8">
      <c r="A840" s="322"/>
      <c r="B840" s="322"/>
      <c r="C840" s="322"/>
      <c r="D840" s="322"/>
      <c r="E840" s="322"/>
      <c r="F840" s="322"/>
      <c r="G840" s="322"/>
      <c r="H840" s="322"/>
    </row>
    <row r="841" spans="1:8">
      <c r="A841" s="322"/>
      <c r="B841" s="322"/>
      <c r="C841" s="322"/>
      <c r="D841" s="322"/>
      <c r="E841" s="322"/>
      <c r="F841" s="322"/>
      <c r="G841" s="322"/>
      <c r="H841" s="322"/>
    </row>
    <row r="842" spans="1:8">
      <c r="A842" s="322"/>
      <c r="B842" s="322"/>
      <c r="C842" s="322"/>
      <c r="D842" s="322"/>
      <c r="E842" s="322"/>
      <c r="F842" s="322"/>
      <c r="G842" s="322"/>
      <c r="H842" s="322"/>
    </row>
    <row r="843" spans="1:8">
      <c r="A843" s="322"/>
      <c r="B843" s="322"/>
      <c r="C843" s="322"/>
      <c r="D843" s="322"/>
      <c r="E843" s="322"/>
      <c r="F843" s="322"/>
      <c r="G843" s="322"/>
      <c r="H843" s="322"/>
    </row>
    <row r="844" spans="1:8">
      <c r="A844" s="322"/>
      <c r="B844" s="322"/>
      <c r="C844" s="322"/>
      <c r="D844" s="322"/>
      <c r="E844" s="322"/>
      <c r="F844" s="322"/>
      <c r="G844" s="322"/>
      <c r="H844" s="322"/>
    </row>
    <row r="845" spans="1:8">
      <c r="A845" s="322"/>
      <c r="B845" s="322"/>
      <c r="C845" s="322"/>
      <c r="D845" s="322"/>
      <c r="E845" s="322"/>
      <c r="F845" s="322"/>
      <c r="G845" s="322"/>
      <c r="H845" s="322"/>
    </row>
    <row r="846" spans="1:8">
      <c r="A846" s="322"/>
      <c r="B846" s="322"/>
      <c r="C846" s="322"/>
      <c r="D846" s="322"/>
      <c r="E846" s="322"/>
      <c r="F846" s="322"/>
      <c r="G846" s="322"/>
      <c r="H846" s="322"/>
    </row>
    <row r="847" spans="1:8">
      <c r="A847" s="322"/>
      <c r="B847" s="322"/>
      <c r="C847" s="322"/>
      <c r="D847" s="322"/>
      <c r="E847" s="322"/>
      <c r="F847" s="322"/>
      <c r="G847" s="322"/>
      <c r="H847" s="322"/>
    </row>
    <row r="848" spans="1:8">
      <c r="A848" s="322"/>
      <c r="B848" s="322"/>
      <c r="C848" s="322"/>
      <c r="D848" s="322"/>
      <c r="E848" s="322"/>
      <c r="F848" s="322"/>
      <c r="G848" s="322"/>
      <c r="H848" s="322"/>
    </row>
    <row r="849" spans="1:8">
      <c r="A849" s="322"/>
      <c r="B849" s="322"/>
      <c r="C849" s="322"/>
      <c r="D849" s="322"/>
      <c r="E849" s="322"/>
      <c r="F849" s="322"/>
      <c r="G849" s="322"/>
      <c r="H849" s="322"/>
    </row>
    <row r="850" spans="1:8">
      <c r="A850" s="322"/>
      <c r="B850" s="322"/>
      <c r="C850" s="322"/>
      <c r="D850" s="322"/>
      <c r="E850" s="322"/>
      <c r="F850" s="322"/>
      <c r="G850" s="322"/>
      <c r="H850" s="322"/>
    </row>
    <row r="851" spans="1:8">
      <c r="A851" s="322"/>
      <c r="B851" s="322"/>
      <c r="C851" s="322"/>
      <c r="D851" s="322"/>
      <c r="E851" s="322"/>
      <c r="F851" s="322"/>
      <c r="G851" s="322"/>
      <c r="H851" s="322"/>
    </row>
    <row r="852" spans="1:8">
      <c r="A852" s="322"/>
      <c r="B852" s="322"/>
      <c r="C852" s="322"/>
      <c r="D852" s="322"/>
      <c r="E852" s="322"/>
      <c r="F852" s="322"/>
      <c r="G852" s="322"/>
      <c r="H852" s="322"/>
    </row>
    <row r="853" spans="1:8">
      <c r="A853" s="322"/>
      <c r="B853" s="322"/>
      <c r="C853" s="322"/>
      <c r="D853" s="322"/>
      <c r="E853" s="322"/>
      <c r="F853" s="322"/>
      <c r="G853" s="322"/>
      <c r="H853" s="322"/>
    </row>
    <row r="854" spans="1:8">
      <c r="A854" s="322"/>
      <c r="B854" s="322"/>
      <c r="C854" s="322"/>
      <c r="D854" s="322"/>
      <c r="E854" s="322"/>
      <c r="F854" s="322"/>
      <c r="G854" s="322"/>
      <c r="H854" s="322"/>
    </row>
    <row r="855" spans="1:8">
      <c r="A855" s="322"/>
      <c r="B855" s="322"/>
      <c r="C855" s="322"/>
      <c r="D855" s="322"/>
      <c r="E855" s="322"/>
      <c r="F855" s="322"/>
      <c r="G855" s="322"/>
      <c r="H855" s="322"/>
    </row>
    <row r="856" spans="1:8">
      <c r="A856" s="322"/>
      <c r="B856" s="322"/>
      <c r="C856" s="322"/>
      <c r="D856" s="322"/>
      <c r="E856" s="322"/>
      <c r="F856" s="322"/>
      <c r="G856" s="322"/>
      <c r="H856" s="322"/>
    </row>
    <row r="857" spans="1:8">
      <c r="A857" s="322"/>
      <c r="B857" s="322"/>
      <c r="C857" s="322"/>
      <c r="D857" s="322"/>
      <c r="E857" s="322"/>
      <c r="F857" s="322"/>
      <c r="G857" s="322"/>
      <c r="H857" s="322"/>
    </row>
    <row r="858" spans="1:8">
      <c r="A858" s="322"/>
      <c r="B858" s="322"/>
      <c r="C858" s="322"/>
      <c r="D858" s="322"/>
      <c r="E858" s="322"/>
      <c r="F858" s="322"/>
      <c r="G858" s="322"/>
      <c r="H858" s="322"/>
    </row>
    <row r="859" spans="1:8">
      <c r="A859" s="322"/>
      <c r="B859" s="322"/>
      <c r="C859" s="322"/>
      <c r="D859" s="322"/>
      <c r="E859" s="322"/>
      <c r="F859" s="322"/>
      <c r="G859" s="322"/>
      <c r="H859" s="322"/>
    </row>
    <row r="860" spans="1:8">
      <c r="A860" s="322"/>
      <c r="B860" s="322"/>
      <c r="C860" s="322"/>
      <c r="D860" s="322"/>
      <c r="E860" s="322"/>
      <c r="F860" s="322"/>
      <c r="G860" s="322"/>
      <c r="H860" s="322"/>
    </row>
    <row r="861" spans="1:8">
      <c r="A861" s="322"/>
      <c r="B861" s="322"/>
      <c r="C861" s="322"/>
      <c r="D861" s="322"/>
      <c r="E861" s="322"/>
      <c r="F861" s="322"/>
      <c r="G861" s="322"/>
      <c r="H861" s="322"/>
    </row>
    <row r="862" spans="1:8">
      <c r="A862" s="322"/>
      <c r="B862" s="322"/>
      <c r="C862" s="322"/>
      <c r="D862" s="322"/>
      <c r="E862" s="322"/>
      <c r="F862" s="322"/>
      <c r="G862" s="322"/>
      <c r="H862" s="322"/>
    </row>
    <row r="863" spans="1:8">
      <c r="A863" s="322"/>
      <c r="B863" s="322"/>
      <c r="C863" s="322"/>
      <c r="D863" s="322"/>
      <c r="E863" s="322"/>
      <c r="F863" s="322"/>
      <c r="G863" s="322"/>
      <c r="H863" s="322"/>
    </row>
    <row r="864" spans="1:8">
      <c r="A864" s="322"/>
      <c r="B864" s="322"/>
      <c r="C864" s="322"/>
      <c r="D864" s="322"/>
      <c r="E864" s="322"/>
      <c r="F864" s="322"/>
      <c r="G864" s="322"/>
      <c r="H864" s="322"/>
    </row>
    <row r="865" spans="1:8">
      <c r="A865" s="322"/>
      <c r="B865" s="322"/>
      <c r="C865" s="322"/>
      <c r="D865" s="322"/>
      <c r="E865" s="322"/>
      <c r="F865" s="322"/>
      <c r="G865" s="322"/>
      <c r="H865" s="322"/>
    </row>
    <row r="866" spans="1:8">
      <c r="A866" s="322"/>
      <c r="B866" s="322"/>
      <c r="C866" s="322"/>
      <c r="D866" s="322"/>
      <c r="E866" s="322"/>
      <c r="F866" s="322"/>
      <c r="G866" s="322"/>
      <c r="H866" s="322"/>
    </row>
    <row r="867" spans="1:8">
      <c r="A867" s="322"/>
      <c r="B867" s="322"/>
      <c r="C867" s="322"/>
      <c r="D867" s="322"/>
      <c r="E867" s="322"/>
      <c r="F867" s="322"/>
      <c r="G867" s="322"/>
      <c r="H867" s="322"/>
    </row>
    <row r="868" spans="1:8">
      <c r="A868" s="322"/>
      <c r="B868" s="322"/>
      <c r="C868" s="322"/>
      <c r="D868" s="322"/>
      <c r="E868" s="322"/>
      <c r="F868" s="322"/>
      <c r="G868" s="322"/>
      <c r="H868" s="322"/>
    </row>
    <row r="869" spans="1:8">
      <c r="A869" s="322"/>
      <c r="B869" s="322"/>
      <c r="C869" s="322"/>
      <c r="D869" s="322"/>
      <c r="E869" s="322"/>
      <c r="F869" s="322"/>
      <c r="G869" s="322"/>
      <c r="H869" s="322"/>
    </row>
    <row r="870" spans="1:8">
      <c r="A870" s="322"/>
      <c r="B870" s="322"/>
      <c r="C870" s="322"/>
      <c r="D870" s="322"/>
      <c r="E870" s="322"/>
      <c r="F870" s="322"/>
      <c r="G870" s="322"/>
      <c r="H870" s="322"/>
    </row>
    <row r="871" spans="1:8">
      <c r="A871" s="322"/>
      <c r="B871" s="322"/>
      <c r="C871" s="322"/>
      <c r="D871" s="322"/>
      <c r="E871" s="322"/>
      <c r="F871" s="322"/>
      <c r="G871" s="322"/>
      <c r="H871" s="322"/>
    </row>
    <row r="872" spans="1:8">
      <c r="A872" s="322"/>
      <c r="B872" s="322"/>
      <c r="C872" s="322"/>
      <c r="D872" s="322"/>
      <c r="E872" s="322"/>
      <c r="F872" s="322"/>
      <c r="G872" s="322"/>
      <c r="H872" s="322"/>
    </row>
    <row r="873" spans="1:8">
      <c r="A873" s="322"/>
      <c r="B873" s="322"/>
      <c r="C873" s="322"/>
      <c r="D873" s="322"/>
      <c r="E873" s="322"/>
      <c r="F873" s="322"/>
      <c r="G873" s="322"/>
      <c r="H873" s="322"/>
    </row>
    <row r="874" spans="1:8">
      <c r="A874" s="322"/>
      <c r="B874" s="322"/>
      <c r="C874" s="322"/>
      <c r="D874" s="322"/>
      <c r="E874" s="322"/>
      <c r="F874" s="322"/>
      <c r="G874" s="322"/>
      <c r="H874" s="322"/>
    </row>
    <row r="875" spans="1:8">
      <c r="A875" s="322"/>
      <c r="B875" s="322"/>
      <c r="C875" s="322"/>
      <c r="D875" s="322"/>
      <c r="E875" s="322"/>
      <c r="F875" s="322"/>
      <c r="G875" s="322"/>
      <c r="H875" s="322"/>
    </row>
    <row r="876" spans="1:8">
      <c r="A876" s="322"/>
      <c r="B876" s="322"/>
      <c r="C876" s="322"/>
      <c r="D876" s="322"/>
      <c r="E876" s="322"/>
      <c r="F876" s="322"/>
      <c r="G876" s="322"/>
      <c r="H876" s="322"/>
    </row>
    <row r="877" spans="1:8">
      <c r="A877" s="322"/>
      <c r="B877" s="322"/>
      <c r="C877" s="322"/>
      <c r="D877" s="322"/>
      <c r="E877" s="322"/>
      <c r="F877" s="322"/>
      <c r="G877" s="322"/>
      <c r="H877" s="322"/>
    </row>
    <row r="878" spans="1:8">
      <c r="A878" s="322"/>
      <c r="B878" s="322"/>
      <c r="C878" s="322"/>
      <c r="D878" s="322"/>
      <c r="E878" s="322"/>
      <c r="F878" s="322"/>
      <c r="G878" s="322"/>
      <c r="H878" s="322"/>
    </row>
    <row r="879" spans="1:8">
      <c r="A879" s="322"/>
      <c r="B879" s="322"/>
      <c r="C879" s="322"/>
      <c r="D879" s="322"/>
      <c r="E879" s="322"/>
      <c r="F879" s="322"/>
      <c r="G879" s="322"/>
      <c r="H879" s="322"/>
    </row>
    <row r="880" spans="1:8">
      <c r="A880" s="322"/>
      <c r="B880" s="322"/>
      <c r="C880" s="322"/>
      <c r="D880" s="322"/>
      <c r="E880" s="322"/>
      <c r="F880" s="322"/>
      <c r="G880" s="322"/>
      <c r="H880" s="322"/>
    </row>
    <row r="881" spans="1:8">
      <c r="A881" s="322"/>
      <c r="B881" s="322"/>
      <c r="C881" s="322"/>
      <c r="D881" s="322"/>
      <c r="E881" s="322"/>
      <c r="F881" s="322"/>
      <c r="G881" s="322"/>
      <c r="H881" s="322"/>
    </row>
    <row r="882" spans="1:8">
      <c r="A882" s="322"/>
      <c r="B882" s="322"/>
      <c r="C882" s="322"/>
      <c r="D882" s="322"/>
      <c r="E882" s="322"/>
      <c r="F882" s="322"/>
      <c r="G882" s="322"/>
      <c r="H882" s="322"/>
    </row>
    <row r="883" spans="1:8">
      <c r="A883" s="322"/>
      <c r="B883" s="322"/>
      <c r="C883" s="322"/>
      <c r="D883" s="322"/>
      <c r="E883" s="322"/>
      <c r="F883" s="322"/>
      <c r="G883" s="322"/>
      <c r="H883" s="322"/>
    </row>
    <row r="884" spans="1:8">
      <c r="A884" s="322"/>
      <c r="B884" s="322"/>
      <c r="C884" s="322"/>
      <c r="D884" s="322"/>
      <c r="E884" s="322"/>
      <c r="F884" s="322"/>
      <c r="G884" s="322"/>
      <c r="H884" s="322"/>
    </row>
    <row r="885" spans="1:8">
      <c r="A885" s="322"/>
      <c r="B885" s="322"/>
      <c r="C885" s="322"/>
      <c r="D885" s="322"/>
      <c r="E885" s="322"/>
      <c r="F885" s="322"/>
      <c r="G885" s="322"/>
      <c r="H885" s="322"/>
    </row>
    <row r="886" spans="1:8">
      <c r="A886" s="322"/>
      <c r="B886" s="322"/>
      <c r="C886" s="322"/>
      <c r="D886" s="322"/>
      <c r="E886" s="322"/>
      <c r="F886" s="322"/>
      <c r="G886" s="322"/>
      <c r="H886" s="322"/>
    </row>
    <row r="887" spans="1:8">
      <c r="A887" s="322"/>
      <c r="B887" s="322"/>
      <c r="C887" s="322"/>
      <c r="D887" s="322"/>
      <c r="E887" s="322"/>
      <c r="F887" s="322"/>
      <c r="G887" s="322"/>
      <c r="H887" s="322"/>
    </row>
    <row r="888" spans="1:8">
      <c r="A888" s="322"/>
      <c r="B888" s="322"/>
      <c r="C888" s="322"/>
      <c r="D888" s="322"/>
      <c r="E888" s="322"/>
      <c r="F888" s="322"/>
      <c r="G888" s="322"/>
      <c r="H888" s="322"/>
    </row>
    <row r="889" spans="1:8">
      <c r="A889" s="322"/>
      <c r="B889" s="322"/>
      <c r="C889" s="322"/>
      <c r="D889" s="322"/>
      <c r="E889" s="322"/>
      <c r="F889" s="322"/>
      <c r="G889" s="322"/>
      <c r="H889" s="322"/>
    </row>
    <row r="890" spans="1:8">
      <c r="A890" s="322"/>
      <c r="B890" s="322"/>
      <c r="C890" s="322"/>
      <c r="D890" s="322"/>
      <c r="E890" s="322"/>
      <c r="F890" s="322"/>
      <c r="G890" s="322"/>
      <c r="H890" s="322"/>
    </row>
    <row r="891" spans="1:8">
      <c r="A891" s="322"/>
      <c r="B891" s="322"/>
      <c r="C891" s="322"/>
      <c r="D891" s="322"/>
      <c r="E891" s="322"/>
      <c r="F891" s="322"/>
      <c r="G891" s="322"/>
      <c r="H891" s="322"/>
    </row>
    <row r="892" spans="1:8">
      <c r="A892" s="322"/>
      <c r="B892" s="322"/>
      <c r="C892" s="322"/>
      <c r="D892" s="322"/>
      <c r="E892" s="322"/>
      <c r="F892" s="322"/>
      <c r="G892" s="322"/>
      <c r="H892" s="322"/>
    </row>
    <row r="893" spans="1:8">
      <c r="A893" s="322"/>
      <c r="B893" s="322"/>
      <c r="C893" s="322"/>
      <c r="D893" s="322"/>
      <c r="E893" s="322"/>
      <c r="F893" s="322"/>
      <c r="G893" s="322"/>
      <c r="H893" s="322"/>
    </row>
    <row r="894" spans="1:8">
      <c r="A894" s="322"/>
      <c r="B894" s="322"/>
      <c r="C894" s="322"/>
      <c r="D894" s="322"/>
      <c r="E894" s="322"/>
      <c r="F894" s="322"/>
      <c r="G894" s="322"/>
      <c r="H894" s="322"/>
    </row>
    <row r="895" spans="1:8">
      <c r="A895" s="322"/>
      <c r="B895" s="322"/>
      <c r="C895" s="322"/>
      <c r="D895" s="322"/>
      <c r="E895" s="322"/>
      <c r="F895" s="322"/>
      <c r="G895" s="322"/>
      <c r="H895" s="322"/>
    </row>
    <row r="896" spans="1:8">
      <c r="A896" s="322"/>
      <c r="B896" s="322"/>
      <c r="C896" s="322"/>
      <c r="D896" s="322"/>
      <c r="E896" s="322"/>
      <c r="F896" s="322"/>
      <c r="G896" s="322"/>
      <c r="H896" s="322"/>
    </row>
    <row r="897" spans="1:8">
      <c r="A897" s="322"/>
      <c r="B897" s="322"/>
      <c r="C897" s="322"/>
      <c r="D897" s="322"/>
      <c r="E897" s="322"/>
      <c r="F897" s="322"/>
      <c r="G897" s="322"/>
      <c r="H897" s="322"/>
    </row>
    <row r="898" spans="1:8">
      <c r="A898" s="322"/>
      <c r="B898" s="322"/>
      <c r="C898" s="322"/>
      <c r="D898" s="322"/>
      <c r="E898" s="322"/>
      <c r="F898" s="322"/>
      <c r="G898" s="322"/>
      <c r="H898" s="322"/>
    </row>
    <row r="899" spans="1:8">
      <c r="A899" s="322"/>
      <c r="B899" s="322"/>
      <c r="C899" s="322"/>
      <c r="D899" s="322"/>
      <c r="E899" s="322"/>
      <c r="F899" s="322"/>
      <c r="G899" s="322"/>
      <c r="H899" s="322"/>
    </row>
    <row r="900" spans="1:8">
      <c r="A900" s="322"/>
      <c r="B900" s="322"/>
      <c r="C900" s="322"/>
      <c r="D900" s="322"/>
      <c r="E900" s="322"/>
      <c r="F900" s="322"/>
      <c r="G900" s="322"/>
      <c r="H900" s="322"/>
    </row>
    <row r="901" spans="1:8">
      <c r="A901" s="322"/>
      <c r="B901" s="322"/>
      <c r="C901" s="322"/>
      <c r="D901" s="322"/>
      <c r="E901" s="322"/>
      <c r="F901" s="322"/>
      <c r="G901" s="322"/>
      <c r="H901" s="322"/>
    </row>
    <row r="902" spans="1:8">
      <c r="A902" s="322"/>
      <c r="B902" s="322"/>
      <c r="C902" s="322"/>
      <c r="D902" s="322"/>
      <c r="E902" s="322"/>
      <c r="F902" s="322"/>
      <c r="G902" s="322"/>
      <c r="H902" s="322"/>
    </row>
    <row r="903" spans="1:8">
      <c r="A903" s="322"/>
      <c r="B903" s="322"/>
      <c r="C903" s="322"/>
      <c r="D903" s="322"/>
      <c r="E903" s="322"/>
      <c r="F903" s="322"/>
      <c r="G903" s="322"/>
      <c r="H903" s="322"/>
    </row>
    <row r="904" spans="1:8">
      <c r="A904" s="322"/>
      <c r="B904" s="322"/>
      <c r="C904" s="322"/>
      <c r="D904" s="322"/>
      <c r="E904" s="322"/>
      <c r="F904" s="322"/>
      <c r="G904" s="322"/>
      <c r="H904" s="322"/>
    </row>
    <row r="905" spans="1:8">
      <c r="A905" s="322"/>
      <c r="B905" s="322"/>
      <c r="C905" s="322"/>
      <c r="D905" s="322"/>
      <c r="E905" s="322"/>
      <c r="F905" s="322"/>
      <c r="G905" s="322"/>
      <c r="H905" s="322"/>
    </row>
    <row r="906" spans="1:8">
      <c r="A906" s="322"/>
      <c r="B906" s="322"/>
      <c r="C906" s="322"/>
      <c r="D906" s="322"/>
      <c r="E906" s="322"/>
      <c r="F906" s="322"/>
      <c r="G906" s="322"/>
      <c r="H906" s="322"/>
    </row>
    <row r="907" spans="1:8">
      <c r="A907" s="322"/>
      <c r="B907" s="322"/>
      <c r="C907" s="322"/>
      <c r="D907" s="322"/>
      <c r="E907" s="322"/>
      <c r="F907" s="322"/>
      <c r="G907" s="322"/>
      <c r="H907" s="322"/>
    </row>
    <row r="908" spans="1:8">
      <c r="A908" s="322"/>
      <c r="B908" s="322"/>
      <c r="C908" s="322"/>
      <c r="D908" s="322"/>
      <c r="E908" s="322"/>
      <c r="F908" s="322"/>
      <c r="G908" s="322"/>
      <c r="H908" s="322"/>
    </row>
    <row r="909" spans="1:8">
      <c r="A909" s="322"/>
      <c r="B909" s="322"/>
      <c r="C909" s="322"/>
      <c r="D909" s="322"/>
      <c r="E909" s="322"/>
      <c r="F909" s="322"/>
      <c r="G909" s="322"/>
      <c r="H909" s="322"/>
    </row>
    <row r="910" spans="1:8">
      <c r="A910" s="322"/>
      <c r="B910" s="322"/>
      <c r="C910" s="322"/>
      <c r="D910" s="322"/>
      <c r="E910" s="322"/>
      <c r="F910" s="322"/>
      <c r="G910" s="322"/>
      <c r="H910" s="322"/>
    </row>
    <row r="911" spans="1:8">
      <c r="A911" s="322"/>
      <c r="B911" s="322"/>
      <c r="C911" s="322"/>
      <c r="D911" s="322"/>
      <c r="E911" s="322"/>
      <c r="F911" s="322"/>
      <c r="G911" s="322"/>
      <c r="H911" s="322"/>
    </row>
    <row r="912" spans="1:8">
      <c r="A912" s="322"/>
      <c r="B912" s="322"/>
      <c r="C912" s="322"/>
      <c r="D912" s="322"/>
      <c r="E912" s="322"/>
      <c r="F912" s="322"/>
      <c r="G912" s="322"/>
      <c r="H912" s="322"/>
    </row>
    <row r="913" spans="1:8">
      <c r="A913" s="322"/>
      <c r="B913" s="322"/>
      <c r="C913" s="322"/>
      <c r="D913" s="322"/>
      <c r="E913" s="322"/>
      <c r="F913" s="322"/>
      <c r="G913" s="322"/>
      <c r="H913" s="322"/>
    </row>
    <row r="914" spans="1:8">
      <c r="A914" s="322"/>
      <c r="B914" s="322"/>
      <c r="C914" s="322"/>
      <c r="D914" s="322"/>
      <c r="E914" s="322"/>
      <c r="F914" s="322"/>
      <c r="G914" s="322"/>
      <c r="H914" s="322"/>
    </row>
    <row r="915" spans="1:8">
      <c r="A915" s="322"/>
      <c r="B915" s="322"/>
      <c r="C915" s="322"/>
      <c r="D915" s="322"/>
      <c r="E915" s="322"/>
      <c r="F915" s="322"/>
      <c r="G915" s="322"/>
      <c r="H915" s="322"/>
    </row>
    <row r="916" spans="1:8">
      <c r="A916" s="322"/>
      <c r="B916" s="322"/>
      <c r="C916" s="322"/>
      <c r="D916" s="322"/>
      <c r="E916" s="322"/>
      <c r="F916" s="322"/>
      <c r="G916" s="322"/>
      <c r="H916" s="322"/>
    </row>
    <row r="917" spans="1:8">
      <c r="A917" s="322"/>
      <c r="B917" s="322"/>
      <c r="C917" s="322"/>
      <c r="D917" s="322"/>
      <c r="E917" s="322"/>
      <c r="F917" s="322"/>
      <c r="G917" s="322"/>
      <c r="H917" s="322"/>
    </row>
    <row r="918" spans="1:8">
      <c r="A918" s="322"/>
      <c r="B918" s="322"/>
      <c r="C918" s="322"/>
      <c r="D918" s="322"/>
      <c r="E918" s="322"/>
      <c r="F918" s="322"/>
      <c r="G918" s="322"/>
      <c r="H918" s="322"/>
    </row>
    <row r="919" spans="1:8">
      <c r="A919" s="322"/>
      <c r="B919" s="322"/>
      <c r="C919" s="322"/>
      <c r="D919" s="322"/>
      <c r="E919" s="322"/>
      <c r="F919" s="322"/>
      <c r="G919" s="322"/>
      <c r="H919" s="322"/>
    </row>
    <row r="920" spans="1:8">
      <c r="A920" s="322"/>
      <c r="B920" s="322"/>
      <c r="C920" s="322"/>
      <c r="D920" s="322"/>
      <c r="E920" s="322"/>
      <c r="F920" s="322"/>
      <c r="G920" s="322"/>
      <c r="H920" s="322"/>
    </row>
    <row r="921" spans="1:8">
      <c r="A921" s="322"/>
      <c r="B921" s="322"/>
      <c r="C921" s="322"/>
      <c r="D921" s="322"/>
      <c r="E921" s="322"/>
      <c r="F921" s="322"/>
      <c r="G921" s="322"/>
      <c r="H921" s="322"/>
    </row>
    <row r="922" spans="1:8">
      <c r="A922" s="322"/>
      <c r="B922" s="322"/>
      <c r="C922" s="322"/>
      <c r="D922" s="322"/>
      <c r="E922" s="322"/>
      <c r="F922" s="322"/>
      <c r="G922" s="322"/>
      <c r="H922" s="322"/>
    </row>
    <row r="923" spans="1:8">
      <c r="A923" s="322"/>
      <c r="B923" s="322"/>
      <c r="C923" s="322"/>
      <c r="D923" s="322"/>
      <c r="E923" s="322"/>
      <c r="F923" s="322"/>
      <c r="G923" s="322"/>
      <c r="H923" s="322"/>
    </row>
    <row r="924" spans="1:8">
      <c r="A924" s="322"/>
      <c r="B924" s="322"/>
      <c r="C924" s="322"/>
      <c r="D924" s="322"/>
      <c r="E924" s="322"/>
      <c r="F924" s="322"/>
      <c r="G924" s="322"/>
      <c r="H924" s="322"/>
    </row>
    <row r="925" spans="1:8">
      <c r="A925" s="322"/>
      <c r="B925" s="322"/>
      <c r="C925" s="322"/>
      <c r="D925" s="322"/>
      <c r="E925" s="322"/>
      <c r="F925" s="322"/>
      <c r="G925" s="322"/>
      <c r="H925" s="322"/>
    </row>
    <row r="926" spans="1:8">
      <c r="A926" s="322"/>
      <c r="B926" s="322"/>
      <c r="C926" s="322"/>
      <c r="D926" s="322"/>
      <c r="E926" s="322"/>
      <c r="F926" s="322"/>
      <c r="G926" s="322"/>
      <c r="H926" s="322"/>
    </row>
    <row r="927" spans="1:8">
      <c r="A927" s="322"/>
      <c r="B927" s="322"/>
      <c r="C927" s="322"/>
      <c r="D927" s="322"/>
      <c r="E927" s="322"/>
      <c r="F927" s="322"/>
      <c r="G927" s="322"/>
      <c r="H927" s="322"/>
    </row>
    <row r="928" spans="1:8">
      <c r="A928" s="322"/>
      <c r="B928" s="322"/>
      <c r="C928" s="322"/>
      <c r="D928" s="322"/>
      <c r="E928" s="322"/>
      <c r="F928" s="322"/>
      <c r="G928" s="322"/>
      <c r="H928" s="322"/>
    </row>
    <row r="929" spans="1:8">
      <c r="A929" s="322"/>
      <c r="B929" s="322"/>
      <c r="C929" s="322"/>
      <c r="D929" s="322"/>
      <c r="E929" s="322"/>
      <c r="F929" s="322"/>
      <c r="G929" s="322"/>
      <c r="H929" s="322"/>
    </row>
    <row r="930" spans="1:8">
      <c r="A930" s="322"/>
      <c r="B930" s="322"/>
      <c r="C930" s="322"/>
      <c r="D930" s="322"/>
      <c r="E930" s="322"/>
      <c r="F930" s="322"/>
      <c r="G930" s="322"/>
      <c r="H930" s="322"/>
    </row>
    <row r="931" spans="1:8">
      <c r="A931" s="322"/>
      <c r="B931" s="322"/>
      <c r="C931" s="322"/>
      <c r="D931" s="322"/>
      <c r="E931" s="322"/>
      <c r="F931" s="322"/>
      <c r="G931" s="322"/>
      <c r="H931" s="322"/>
    </row>
    <row r="932" spans="1:8">
      <c r="A932" s="322"/>
      <c r="B932" s="322"/>
      <c r="C932" s="322"/>
      <c r="D932" s="322"/>
      <c r="E932" s="322"/>
      <c r="F932" s="322"/>
      <c r="G932" s="322"/>
      <c r="H932" s="322"/>
    </row>
    <row r="933" spans="1:8">
      <c r="A933" s="322"/>
      <c r="B933" s="322"/>
      <c r="C933" s="322"/>
      <c r="D933" s="322"/>
      <c r="E933" s="322"/>
      <c r="F933" s="322"/>
      <c r="G933" s="322"/>
      <c r="H933" s="322"/>
    </row>
    <row r="934" spans="1:8">
      <c r="A934" s="322"/>
      <c r="B934" s="322"/>
      <c r="C934" s="322"/>
      <c r="D934" s="322"/>
      <c r="E934" s="322"/>
      <c r="F934" s="322"/>
      <c r="G934" s="322"/>
      <c r="H934" s="322"/>
    </row>
    <row r="935" spans="1:8">
      <c r="A935" s="322"/>
      <c r="B935" s="322"/>
      <c r="C935" s="322"/>
      <c r="D935" s="322"/>
      <c r="E935" s="322"/>
      <c r="F935" s="322"/>
      <c r="G935" s="322"/>
      <c r="H935" s="322"/>
    </row>
    <row r="936" spans="1:8">
      <c r="A936" s="322"/>
      <c r="B936" s="322"/>
      <c r="C936" s="322"/>
      <c r="D936" s="322"/>
      <c r="E936" s="322"/>
      <c r="F936" s="322"/>
      <c r="G936" s="322"/>
      <c r="H936" s="322"/>
    </row>
    <row r="937" spans="1:8">
      <c r="A937" s="322"/>
      <c r="B937" s="322"/>
      <c r="C937" s="322"/>
      <c r="D937" s="322"/>
      <c r="E937" s="322"/>
      <c r="F937" s="322"/>
      <c r="G937" s="322"/>
      <c r="H937" s="322"/>
    </row>
    <row r="938" spans="1:8">
      <c r="A938" s="322"/>
      <c r="B938" s="322"/>
      <c r="C938" s="322"/>
      <c r="D938" s="322"/>
      <c r="E938" s="322"/>
      <c r="F938" s="322"/>
      <c r="G938" s="322"/>
      <c r="H938" s="322"/>
    </row>
    <row r="939" spans="1:8">
      <c r="A939" s="322"/>
      <c r="B939" s="322"/>
      <c r="C939" s="322"/>
      <c r="D939" s="322"/>
      <c r="E939" s="322"/>
      <c r="F939" s="322"/>
      <c r="G939" s="322"/>
      <c r="H939" s="322"/>
    </row>
    <row r="940" spans="1:8">
      <c r="A940" s="322"/>
      <c r="B940" s="322"/>
      <c r="C940" s="322"/>
      <c r="D940" s="322"/>
      <c r="E940" s="322"/>
      <c r="F940" s="322"/>
      <c r="G940" s="322"/>
      <c r="H940" s="322"/>
    </row>
    <row r="941" spans="1:8">
      <c r="A941" s="322"/>
      <c r="B941" s="322"/>
      <c r="C941" s="322"/>
      <c r="D941" s="322"/>
      <c r="E941" s="322"/>
      <c r="F941" s="322"/>
      <c r="G941" s="322"/>
      <c r="H941" s="322"/>
    </row>
    <row r="942" spans="1:8">
      <c r="A942" s="322"/>
      <c r="B942" s="322"/>
      <c r="C942" s="322"/>
      <c r="D942" s="322"/>
      <c r="E942" s="322"/>
      <c r="F942" s="322"/>
      <c r="G942" s="322"/>
      <c r="H942" s="322"/>
    </row>
    <row r="943" spans="1:8">
      <c r="A943" s="322"/>
      <c r="B943" s="322"/>
      <c r="C943" s="322"/>
      <c r="D943" s="322"/>
      <c r="E943" s="322"/>
      <c r="F943" s="322"/>
      <c r="G943" s="322"/>
      <c r="H943" s="322"/>
    </row>
    <row r="944" spans="1:8">
      <c r="A944" s="322"/>
      <c r="B944" s="322"/>
      <c r="C944" s="322"/>
      <c r="D944" s="322"/>
      <c r="E944" s="322"/>
      <c r="F944" s="322"/>
      <c r="G944" s="322"/>
      <c r="H944" s="322"/>
    </row>
    <row r="945" spans="1:8">
      <c r="A945" s="322"/>
      <c r="B945" s="322"/>
      <c r="C945" s="322"/>
      <c r="D945" s="322"/>
      <c r="E945" s="322"/>
      <c r="F945" s="322"/>
      <c r="G945" s="322"/>
      <c r="H945" s="322"/>
    </row>
    <row r="946" spans="1:8">
      <c r="A946" s="322"/>
      <c r="B946" s="322"/>
      <c r="C946" s="322"/>
      <c r="D946" s="322"/>
      <c r="E946" s="322"/>
      <c r="F946" s="322"/>
      <c r="G946" s="322"/>
      <c r="H946" s="322"/>
    </row>
    <row r="947" spans="1:8">
      <c r="A947" s="322"/>
      <c r="B947" s="322"/>
      <c r="C947" s="322"/>
      <c r="D947" s="322"/>
      <c r="E947" s="322"/>
      <c r="F947" s="322"/>
      <c r="G947" s="322"/>
      <c r="H947" s="322"/>
    </row>
    <row r="948" spans="1:8">
      <c r="A948" s="322"/>
      <c r="B948" s="322"/>
      <c r="C948" s="322"/>
      <c r="D948" s="322"/>
      <c r="E948" s="322"/>
      <c r="F948" s="322"/>
      <c r="G948" s="322"/>
      <c r="H948" s="322"/>
    </row>
    <row r="949" spans="1:8">
      <c r="A949" s="322"/>
      <c r="B949" s="322"/>
      <c r="C949" s="322"/>
      <c r="D949" s="322"/>
      <c r="E949" s="322"/>
      <c r="F949" s="322"/>
      <c r="G949" s="322"/>
      <c r="H949" s="322"/>
    </row>
    <row r="950" spans="1:8">
      <c r="A950" s="322"/>
      <c r="B950" s="322"/>
      <c r="C950" s="322"/>
      <c r="D950" s="322"/>
      <c r="E950" s="322"/>
      <c r="F950" s="322"/>
      <c r="G950" s="322"/>
      <c r="H950" s="322"/>
    </row>
    <row r="951" spans="1:8">
      <c r="A951" s="322"/>
      <c r="B951" s="322"/>
      <c r="C951" s="322"/>
      <c r="D951" s="322"/>
      <c r="E951" s="322"/>
      <c r="F951" s="322"/>
      <c r="G951" s="322"/>
      <c r="H951" s="322"/>
    </row>
    <row r="952" spans="1:8">
      <c r="A952" s="322"/>
      <c r="B952" s="322"/>
      <c r="C952" s="322"/>
      <c r="D952" s="322"/>
      <c r="E952" s="322"/>
      <c r="F952" s="322"/>
      <c r="G952" s="322"/>
      <c r="H952" s="322"/>
    </row>
    <row r="953" spans="1:8">
      <c r="A953" s="322"/>
      <c r="B953" s="322"/>
      <c r="C953" s="322"/>
      <c r="D953" s="322"/>
      <c r="E953" s="322"/>
      <c r="F953" s="322"/>
      <c r="G953" s="322"/>
      <c r="H953" s="322"/>
    </row>
    <row r="954" spans="1:8">
      <c r="A954" s="322"/>
      <c r="B954" s="322"/>
      <c r="C954" s="322"/>
      <c r="D954" s="322"/>
      <c r="E954" s="322"/>
      <c r="F954" s="322"/>
      <c r="G954" s="322"/>
      <c r="H954" s="322"/>
    </row>
    <row r="955" spans="1:8">
      <c r="A955" s="322"/>
      <c r="B955" s="322"/>
      <c r="C955" s="322"/>
      <c r="D955" s="322"/>
      <c r="E955" s="322"/>
      <c r="F955" s="322"/>
      <c r="G955" s="322"/>
      <c r="H955" s="322"/>
    </row>
    <row r="956" spans="1:8">
      <c r="A956" s="322"/>
      <c r="B956" s="322"/>
      <c r="C956" s="322"/>
      <c r="D956" s="322"/>
      <c r="E956" s="322"/>
      <c r="F956" s="322"/>
      <c r="G956" s="322"/>
      <c r="H956" s="322"/>
    </row>
    <row r="957" spans="1:8">
      <c r="A957" s="322"/>
      <c r="B957" s="322"/>
      <c r="C957" s="322"/>
      <c r="D957" s="322"/>
      <c r="E957" s="322"/>
      <c r="F957" s="322"/>
      <c r="G957" s="322"/>
      <c r="H957" s="322"/>
    </row>
    <row r="958" spans="1:8">
      <c r="A958" s="322"/>
      <c r="B958" s="322"/>
      <c r="C958" s="322"/>
      <c r="D958" s="322"/>
      <c r="E958" s="322"/>
      <c r="F958" s="322"/>
      <c r="G958" s="322"/>
      <c r="H958" s="322"/>
    </row>
    <row r="959" spans="1:8">
      <c r="A959" s="322"/>
      <c r="B959" s="322"/>
      <c r="C959" s="322"/>
      <c r="D959" s="322"/>
      <c r="E959" s="322"/>
      <c r="F959" s="322"/>
      <c r="G959" s="322"/>
      <c r="H959" s="322"/>
    </row>
    <row r="960" spans="1:8">
      <c r="A960" s="322"/>
      <c r="B960" s="322"/>
      <c r="C960" s="322"/>
      <c r="D960" s="322"/>
      <c r="E960" s="322"/>
      <c r="F960" s="322"/>
      <c r="G960" s="322"/>
      <c r="H960" s="322"/>
    </row>
    <row r="961" spans="1:8">
      <c r="A961" s="322"/>
      <c r="B961" s="322"/>
      <c r="C961" s="322"/>
      <c r="D961" s="322"/>
      <c r="E961" s="322"/>
      <c r="F961" s="322"/>
      <c r="G961" s="322"/>
      <c r="H961" s="322"/>
    </row>
    <row r="962" spans="1:8">
      <c r="A962" s="322"/>
      <c r="B962" s="322"/>
      <c r="C962" s="322"/>
      <c r="D962" s="322"/>
      <c r="E962" s="322"/>
      <c r="F962" s="322"/>
      <c r="G962" s="322"/>
      <c r="H962" s="322"/>
    </row>
    <row r="963" spans="1:8">
      <c r="A963" s="322"/>
      <c r="B963" s="322"/>
      <c r="C963" s="322"/>
      <c r="D963" s="322"/>
      <c r="E963" s="322"/>
      <c r="F963" s="322"/>
      <c r="G963" s="322"/>
      <c r="H963" s="322"/>
    </row>
    <row r="964" spans="1:8">
      <c r="A964" s="322"/>
      <c r="B964" s="322"/>
      <c r="C964" s="322"/>
      <c r="D964" s="322"/>
      <c r="E964" s="322"/>
      <c r="F964" s="322"/>
      <c r="G964" s="322"/>
      <c r="H964" s="322"/>
    </row>
    <row r="965" spans="1:8">
      <c r="A965" s="322"/>
      <c r="B965" s="322"/>
      <c r="C965" s="322"/>
      <c r="D965" s="322"/>
      <c r="E965" s="322"/>
      <c r="F965" s="322"/>
      <c r="G965" s="322"/>
      <c r="H965" s="322"/>
    </row>
    <row r="966" spans="1:8">
      <c r="A966" s="322"/>
      <c r="B966" s="322"/>
      <c r="C966" s="322"/>
      <c r="D966" s="322"/>
      <c r="E966" s="322"/>
      <c r="F966" s="322"/>
      <c r="G966" s="322"/>
      <c r="H966" s="322"/>
    </row>
    <row r="967" spans="1:8">
      <c r="A967" s="322"/>
      <c r="B967" s="322"/>
      <c r="C967" s="322"/>
      <c r="D967" s="322"/>
      <c r="E967" s="322"/>
      <c r="F967" s="322"/>
      <c r="G967" s="322"/>
      <c r="H967" s="322"/>
    </row>
    <row r="968" spans="1:8">
      <c r="A968" s="322"/>
      <c r="B968" s="322"/>
      <c r="C968" s="322"/>
      <c r="D968" s="322"/>
      <c r="E968" s="322"/>
      <c r="F968" s="322"/>
      <c r="G968" s="322"/>
      <c r="H968" s="322"/>
    </row>
    <row r="969" spans="1:8">
      <c r="A969" s="322"/>
      <c r="B969" s="322"/>
      <c r="C969" s="322"/>
      <c r="D969" s="322"/>
      <c r="E969" s="322"/>
      <c r="F969" s="322"/>
      <c r="G969" s="322"/>
      <c r="H969" s="322"/>
    </row>
    <row r="970" spans="1:8">
      <c r="A970" s="322"/>
      <c r="B970" s="322"/>
      <c r="C970" s="322"/>
      <c r="D970" s="322"/>
      <c r="E970" s="322"/>
      <c r="F970" s="322"/>
      <c r="G970" s="322"/>
      <c r="H970" s="322"/>
    </row>
    <row r="971" spans="1:8">
      <c r="A971" s="322"/>
      <c r="B971" s="322"/>
      <c r="C971" s="322"/>
      <c r="D971" s="322"/>
      <c r="E971" s="322"/>
      <c r="F971" s="322"/>
      <c r="G971" s="322"/>
      <c r="H971" s="322"/>
    </row>
    <row r="972" spans="1:8">
      <c r="A972" s="322"/>
      <c r="B972" s="322"/>
      <c r="C972" s="322"/>
      <c r="D972" s="322"/>
      <c r="E972" s="322"/>
      <c r="F972" s="322"/>
      <c r="G972" s="322"/>
      <c r="H972" s="322"/>
    </row>
    <row r="973" spans="1:8">
      <c r="A973" s="322"/>
      <c r="B973" s="322"/>
      <c r="C973" s="322"/>
      <c r="D973" s="322"/>
      <c r="E973" s="322"/>
      <c r="F973" s="322"/>
      <c r="G973" s="322"/>
      <c r="H973" s="322"/>
    </row>
    <row r="974" spans="1:8">
      <c r="A974" s="322"/>
      <c r="B974" s="322"/>
      <c r="C974" s="322"/>
      <c r="D974" s="322"/>
      <c r="E974" s="322"/>
      <c r="F974" s="322"/>
      <c r="G974" s="322"/>
      <c r="H974" s="322"/>
    </row>
    <row r="975" spans="1:8">
      <c r="A975" s="322"/>
      <c r="B975" s="322"/>
      <c r="C975" s="322"/>
      <c r="D975" s="322"/>
      <c r="E975" s="322"/>
      <c r="F975" s="322"/>
      <c r="G975" s="322"/>
      <c r="H975" s="322"/>
    </row>
    <row r="976" spans="1:8">
      <c r="A976" s="322"/>
      <c r="B976" s="322"/>
      <c r="C976" s="322"/>
      <c r="D976" s="322"/>
      <c r="E976" s="322"/>
      <c r="F976" s="322"/>
      <c r="G976" s="322"/>
      <c r="H976" s="322"/>
    </row>
    <row r="977" spans="1:8">
      <c r="A977" s="322"/>
      <c r="B977" s="322"/>
      <c r="C977" s="322"/>
      <c r="D977" s="322"/>
      <c r="E977" s="322"/>
      <c r="F977" s="322"/>
      <c r="G977" s="322"/>
      <c r="H977" s="322"/>
    </row>
    <row r="978" spans="1:8">
      <c r="A978" s="322"/>
      <c r="B978" s="322"/>
      <c r="C978" s="322"/>
      <c r="D978" s="322"/>
      <c r="E978" s="322"/>
      <c r="F978" s="322"/>
      <c r="G978" s="322"/>
      <c r="H978" s="322"/>
    </row>
    <row r="979" spans="1:8">
      <c r="A979" s="322"/>
      <c r="B979" s="322"/>
      <c r="C979" s="322"/>
      <c r="D979" s="322"/>
      <c r="E979" s="322"/>
      <c r="F979" s="322"/>
      <c r="G979" s="322"/>
      <c r="H979" s="322"/>
    </row>
    <row r="980" spans="1:8">
      <c r="A980" s="322"/>
      <c r="B980" s="322"/>
      <c r="C980" s="322"/>
      <c r="D980" s="322"/>
      <c r="E980" s="322"/>
      <c r="F980" s="322"/>
      <c r="G980" s="322"/>
      <c r="H980" s="322"/>
    </row>
    <row r="981" spans="1:8">
      <c r="A981" s="322"/>
      <c r="B981" s="322"/>
      <c r="C981" s="322"/>
      <c r="D981" s="322"/>
      <c r="E981" s="322"/>
      <c r="F981" s="322"/>
      <c r="G981" s="322"/>
      <c r="H981" s="322"/>
    </row>
    <row r="982" spans="1:8">
      <c r="A982" s="322"/>
      <c r="B982" s="322"/>
      <c r="C982" s="322"/>
      <c r="D982" s="322"/>
      <c r="E982" s="322"/>
      <c r="F982" s="322"/>
      <c r="G982" s="322"/>
      <c r="H982" s="322"/>
    </row>
    <row r="983" spans="1:8">
      <c r="A983" s="322"/>
      <c r="B983" s="322"/>
      <c r="C983" s="322"/>
      <c r="D983" s="322"/>
      <c r="E983" s="322"/>
      <c r="F983" s="322"/>
      <c r="G983" s="322"/>
      <c r="H983" s="322"/>
    </row>
    <row r="984" spans="1:8">
      <c r="A984" s="322"/>
      <c r="B984" s="322"/>
      <c r="C984" s="322"/>
      <c r="D984" s="322"/>
      <c r="E984" s="322"/>
      <c r="F984" s="322"/>
      <c r="G984" s="322"/>
      <c r="H984" s="322"/>
    </row>
    <row r="985" spans="1:8">
      <c r="A985" s="322"/>
      <c r="B985" s="322"/>
      <c r="C985" s="322"/>
      <c r="D985" s="322"/>
      <c r="E985" s="322"/>
      <c r="F985" s="322"/>
      <c r="G985" s="322"/>
      <c r="H985" s="322"/>
    </row>
    <row r="986" spans="1:8">
      <c r="A986" s="322"/>
      <c r="B986" s="322"/>
      <c r="C986" s="322"/>
      <c r="D986" s="322"/>
      <c r="E986" s="322"/>
      <c r="F986" s="322"/>
      <c r="G986" s="322"/>
      <c r="H986" s="322"/>
    </row>
    <row r="987" spans="1:8">
      <c r="A987" s="322"/>
      <c r="B987" s="322"/>
      <c r="C987" s="322"/>
      <c r="D987" s="322"/>
      <c r="E987" s="322"/>
      <c r="F987" s="322"/>
      <c r="G987" s="322"/>
      <c r="H987" s="322"/>
    </row>
    <row r="988" spans="1:8">
      <c r="A988" s="322"/>
      <c r="B988" s="322"/>
      <c r="C988" s="322"/>
      <c r="D988" s="322"/>
      <c r="E988" s="322"/>
      <c r="F988" s="322"/>
      <c r="G988" s="322"/>
      <c r="H988" s="322"/>
    </row>
    <row r="989" spans="1:8">
      <c r="A989" s="322"/>
      <c r="B989" s="322"/>
      <c r="C989" s="322"/>
      <c r="D989" s="322"/>
      <c r="E989" s="322"/>
      <c r="F989" s="322"/>
      <c r="G989" s="322"/>
      <c r="H989" s="322"/>
    </row>
    <row r="990" spans="1:8">
      <c r="A990" s="322"/>
      <c r="B990" s="322"/>
      <c r="C990" s="322"/>
      <c r="D990" s="322"/>
      <c r="E990" s="322"/>
      <c r="F990" s="322"/>
      <c r="G990" s="322"/>
      <c r="H990" s="322"/>
    </row>
    <row r="991" spans="1:8">
      <c r="A991" s="322"/>
      <c r="B991" s="322"/>
      <c r="C991" s="322"/>
      <c r="D991" s="322"/>
      <c r="E991" s="322"/>
      <c r="F991" s="322"/>
      <c r="G991" s="322"/>
      <c r="H991" s="322"/>
    </row>
    <row r="992" spans="1:8">
      <c r="A992" s="322"/>
      <c r="B992" s="322"/>
      <c r="C992" s="322"/>
      <c r="D992" s="322"/>
      <c r="E992" s="322"/>
      <c r="F992" s="322"/>
      <c r="G992" s="322"/>
      <c r="H992" s="322"/>
    </row>
    <row r="993" spans="1:8">
      <c r="A993" s="322"/>
      <c r="B993" s="322"/>
      <c r="C993" s="322"/>
      <c r="D993" s="322"/>
      <c r="E993" s="322"/>
      <c r="F993" s="322"/>
      <c r="G993" s="322"/>
      <c r="H993" s="322"/>
    </row>
    <row r="994" spans="1:8">
      <c r="A994" s="322"/>
      <c r="B994" s="322"/>
      <c r="C994" s="322"/>
      <c r="D994" s="322"/>
      <c r="E994" s="322"/>
      <c r="F994" s="322"/>
      <c r="G994" s="322"/>
      <c r="H994" s="322"/>
    </row>
    <row r="995" spans="1:8">
      <c r="A995" s="322"/>
      <c r="B995" s="322"/>
      <c r="C995" s="322"/>
      <c r="D995" s="322"/>
      <c r="E995" s="322"/>
      <c r="F995" s="322"/>
      <c r="G995" s="322"/>
      <c r="H995" s="322"/>
    </row>
    <row r="996" spans="1:8">
      <c r="A996" s="322"/>
      <c r="B996" s="322"/>
      <c r="C996" s="322"/>
      <c r="D996" s="322"/>
      <c r="E996" s="322"/>
      <c r="F996" s="322"/>
      <c r="G996" s="322"/>
      <c r="H996" s="322"/>
    </row>
    <row r="997" spans="1:8">
      <c r="A997" s="322"/>
      <c r="B997" s="322"/>
      <c r="C997" s="322"/>
      <c r="D997" s="322"/>
      <c r="E997" s="322"/>
      <c r="F997" s="322"/>
      <c r="G997" s="322"/>
      <c r="H997" s="322"/>
    </row>
    <row r="998" spans="1:8">
      <c r="A998" s="322"/>
      <c r="B998" s="322"/>
      <c r="C998" s="322"/>
      <c r="D998" s="322"/>
      <c r="E998" s="322"/>
      <c r="F998" s="322"/>
      <c r="G998" s="322"/>
      <c r="H998" s="322"/>
    </row>
    <row r="999" spans="1:8">
      <c r="A999" s="322"/>
      <c r="B999" s="322"/>
      <c r="C999" s="322"/>
      <c r="D999" s="322"/>
      <c r="E999" s="322"/>
      <c r="F999" s="322"/>
      <c r="G999" s="322"/>
      <c r="H999" s="322"/>
    </row>
    <row r="1000" spans="1:8">
      <c r="A1000" s="322"/>
      <c r="B1000" s="322"/>
      <c r="C1000" s="322"/>
      <c r="D1000" s="322"/>
      <c r="E1000" s="322"/>
      <c r="F1000" s="322"/>
      <c r="G1000" s="322"/>
      <c r="H1000" s="322"/>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A5" sqref="A5:B8"/>
    </sheetView>
  </sheetViews>
  <sheetFormatPr defaultRowHeight="15"/>
  <cols>
    <col min="1" max="1" width="17.85546875" style="341" customWidth="1"/>
    <col min="2" max="2" width="97.140625" style="341" customWidth="1"/>
  </cols>
  <sheetData>
    <row r="1" spans="1:2" ht="26.25">
      <c r="A1" s="613" t="s">
        <v>672</v>
      </c>
      <c r="B1" s="613"/>
    </row>
    <row r="2" spans="1:2">
      <c r="A2" s="343" t="s">
        <v>9</v>
      </c>
      <c r="B2" s="343" t="s">
        <v>671</v>
      </c>
    </row>
    <row r="3" spans="1:2" ht="30">
      <c r="A3" s="342" t="s">
        <v>551</v>
      </c>
      <c r="B3" s="342" t="s">
        <v>717</v>
      </c>
    </row>
    <row r="4" spans="1:2" ht="30">
      <c r="A4" s="342" t="s">
        <v>551</v>
      </c>
      <c r="B4" s="342" t="s">
        <v>717</v>
      </c>
    </row>
    <row r="5" spans="1:2">
      <c r="A5" s="342"/>
      <c r="B5" s="342"/>
    </row>
    <row r="6" spans="1:2">
      <c r="A6" s="344"/>
      <c r="B6" s="344"/>
    </row>
    <row r="7" spans="1:2">
      <c r="A7" s="342"/>
      <c r="B7" s="342"/>
    </row>
    <row r="8" spans="1:2">
      <c r="A8" s="344"/>
      <c r="B8" s="344"/>
    </row>
    <row r="9" spans="1:2">
      <c r="A9" s="342"/>
      <c r="B9" s="342"/>
    </row>
    <row r="10" spans="1:2">
      <c r="A10" s="342"/>
      <c r="B10" s="342"/>
    </row>
    <row r="11" spans="1:2">
      <c r="A11" s="342"/>
      <c r="B11" s="342"/>
    </row>
    <row r="12" spans="1:2">
      <c r="A12" s="342"/>
      <c r="B12" s="342"/>
    </row>
    <row r="13" spans="1:2">
      <c r="A13" s="342"/>
      <c r="B13" s="342"/>
    </row>
    <row r="14" spans="1:2">
      <c r="A14" s="342"/>
      <c r="B14" s="342"/>
    </row>
    <row r="15" spans="1:2">
      <c r="A15" s="342"/>
      <c r="B15" s="342"/>
    </row>
    <row r="16" spans="1:2">
      <c r="A16" s="342"/>
      <c r="B16" s="342"/>
    </row>
    <row r="17" spans="1:2">
      <c r="A17" s="342"/>
      <c r="B17" s="342"/>
    </row>
    <row r="18" spans="1:2">
      <c r="A18" s="342"/>
      <c r="B18" s="342"/>
    </row>
    <row r="19" spans="1:2">
      <c r="A19" s="342"/>
      <c r="B19" s="342"/>
    </row>
    <row r="20" spans="1:2">
      <c r="A20" s="342"/>
      <c r="B20" s="342"/>
    </row>
    <row r="21" spans="1:2">
      <c r="A21" s="342"/>
      <c r="B21" s="342"/>
    </row>
    <row r="22" spans="1:2">
      <c r="A22" s="342"/>
      <c r="B22" s="342"/>
    </row>
    <row r="23" spans="1:2">
      <c r="A23" s="342"/>
      <c r="B23" s="342"/>
    </row>
    <row r="24" spans="1:2">
      <c r="A24" s="342"/>
      <c r="B24" s="342"/>
    </row>
    <row r="25" spans="1:2">
      <c r="A25" s="342"/>
      <c r="B25" s="342"/>
    </row>
    <row r="26" spans="1:2">
      <c r="A26" s="342"/>
      <c r="B26" s="342"/>
    </row>
    <row r="27" spans="1:2">
      <c r="A27" s="342"/>
      <c r="B27" s="342"/>
    </row>
    <row r="28" spans="1:2">
      <c r="A28" s="342"/>
      <c r="B28" s="342"/>
    </row>
    <row r="29" spans="1:2">
      <c r="A29" s="342"/>
      <c r="B29" s="342"/>
    </row>
    <row r="30" spans="1:2">
      <c r="A30" s="342"/>
      <c r="B30" s="342"/>
    </row>
    <row r="31" spans="1:2">
      <c r="A31" s="342"/>
      <c r="B31" s="342"/>
    </row>
    <row r="32" spans="1:2">
      <c r="A32" s="342"/>
      <c r="B32" s="342"/>
    </row>
    <row r="33" spans="1:2">
      <c r="A33" s="342"/>
      <c r="B33" s="342"/>
    </row>
    <row r="34" spans="1:2">
      <c r="A34" s="342"/>
      <c r="B34" s="342"/>
    </row>
    <row r="35" spans="1:2">
      <c r="A35" s="342"/>
      <c r="B35" s="342"/>
    </row>
    <row r="36" spans="1:2">
      <c r="A36" s="342"/>
      <c r="B36" s="342"/>
    </row>
    <row r="37" spans="1:2">
      <c r="A37" s="342"/>
      <c r="B37" s="342"/>
    </row>
    <row r="38" spans="1:2">
      <c r="A38" s="342"/>
      <c r="B38" s="342"/>
    </row>
    <row r="39" spans="1:2">
      <c r="A39" s="342"/>
      <c r="B39" s="342"/>
    </row>
    <row r="40" spans="1:2">
      <c r="A40" s="342"/>
      <c r="B40" s="342"/>
    </row>
    <row r="41" spans="1:2">
      <c r="A41" s="342"/>
      <c r="B41" s="342"/>
    </row>
    <row r="42" spans="1:2">
      <c r="A42" s="342"/>
      <c r="B42" s="342"/>
    </row>
    <row r="43" spans="1:2">
      <c r="A43" s="342"/>
      <c r="B43" s="342"/>
    </row>
    <row r="44" spans="1:2">
      <c r="A44" s="342"/>
      <c r="B44" s="342"/>
    </row>
    <row r="45" spans="1:2">
      <c r="A45" s="342"/>
      <c r="B45" s="342"/>
    </row>
    <row r="46" spans="1:2">
      <c r="A46" s="342"/>
      <c r="B46" s="342"/>
    </row>
    <row r="47" spans="1:2">
      <c r="A47" s="342"/>
      <c r="B47" s="342"/>
    </row>
    <row r="48" spans="1:2">
      <c r="A48" s="342"/>
      <c r="B48" s="342"/>
    </row>
    <row r="49" spans="1:16">
      <c r="A49" s="342"/>
      <c r="B49" s="342"/>
    </row>
    <row r="50" spans="1:16">
      <c r="A50" s="342"/>
      <c r="B50" s="342"/>
    </row>
    <row r="51" spans="1:16">
      <c r="A51" s="342"/>
      <c r="B51" s="342"/>
    </row>
    <row r="52" spans="1:16">
      <c r="A52" s="342"/>
      <c r="B52" s="342"/>
    </row>
    <row r="53" spans="1:16">
      <c r="A53" s="342"/>
      <c r="B53" s="342"/>
    </row>
    <row r="54" spans="1:16">
      <c r="A54" s="342"/>
      <c r="B54" s="342"/>
    </row>
    <row r="55" spans="1:16">
      <c r="A55" s="342"/>
      <c r="B55" s="342"/>
    </row>
    <row r="56" spans="1:16">
      <c r="A56" s="342"/>
      <c r="B56" s="342"/>
    </row>
    <row r="57" spans="1:16">
      <c r="A57" s="342"/>
      <c r="B57" s="342"/>
    </row>
    <row r="58" spans="1:16">
      <c r="A58" s="342"/>
      <c r="B58" s="342"/>
    </row>
    <row r="59" spans="1:16">
      <c r="A59" s="342"/>
      <c r="B59" s="342"/>
    </row>
    <row r="60" spans="1:16">
      <c r="A60" s="342"/>
      <c r="B60" s="342"/>
      <c r="C60" s="341"/>
      <c r="D60" s="341"/>
      <c r="E60" s="341"/>
      <c r="F60" s="341"/>
      <c r="G60" s="341"/>
      <c r="H60" s="341"/>
      <c r="I60" s="341"/>
      <c r="J60" s="341"/>
      <c r="K60" s="341"/>
      <c r="L60" s="341"/>
      <c r="M60" s="341"/>
      <c r="N60" s="341"/>
      <c r="O60" s="341"/>
      <c r="P60" s="341"/>
    </row>
    <row r="61" spans="1:16">
      <c r="A61" s="342"/>
      <c r="B61" s="342"/>
      <c r="C61" s="341"/>
      <c r="D61" s="341"/>
      <c r="E61" s="341"/>
      <c r="F61" s="341"/>
      <c r="G61" s="341"/>
      <c r="H61" s="341"/>
      <c r="I61" s="341"/>
      <c r="J61" s="341"/>
      <c r="K61" s="341"/>
      <c r="L61" s="341"/>
      <c r="M61" s="341"/>
      <c r="N61" s="341"/>
      <c r="O61" s="341"/>
      <c r="P61" s="341"/>
    </row>
    <row r="62" spans="1:16">
      <c r="A62" s="342"/>
      <c r="B62" s="342"/>
    </row>
    <row r="63" spans="1:16">
      <c r="A63" s="342"/>
      <c r="B63" s="342"/>
    </row>
    <row r="64" spans="1:16">
      <c r="A64" s="342"/>
      <c r="B64" s="342"/>
    </row>
    <row r="65" spans="1:2">
      <c r="A65" s="342"/>
      <c r="B65" s="342"/>
    </row>
    <row r="66" spans="1:2">
      <c r="A66" s="342"/>
      <c r="B66" s="342"/>
    </row>
    <row r="67" spans="1:2">
      <c r="A67" s="342"/>
      <c r="B67" s="342"/>
    </row>
    <row r="68" spans="1:2">
      <c r="A68" s="342"/>
      <c r="B68" s="342"/>
    </row>
    <row r="69" spans="1:2">
      <c r="A69" s="342"/>
      <c r="B69" s="342"/>
    </row>
    <row r="70" spans="1:2">
      <c r="A70" s="342"/>
      <c r="B70" s="342"/>
    </row>
    <row r="71" spans="1:2">
      <c r="A71" s="342"/>
      <c r="B71" s="342"/>
    </row>
    <row r="72" spans="1:2">
      <c r="A72" s="342"/>
      <c r="B72" s="342"/>
    </row>
    <row r="73" spans="1:2">
      <c r="A73" s="342"/>
      <c r="B73" s="342"/>
    </row>
    <row r="74" spans="1:2">
      <c r="A74" s="342"/>
      <c r="B74" s="342"/>
    </row>
    <row r="75" spans="1:2">
      <c r="A75" s="342"/>
      <c r="B75" s="342"/>
    </row>
    <row r="76" spans="1:2">
      <c r="A76" s="342"/>
      <c r="B76" s="342"/>
    </row>
    <row r="77" spans="1:2">
      <c r="A77" s="342"/>
      <c r="B77" s="342"/>
    </row>
    <row r="78" spans="1:2">
      <c r="A78" s="342"/>
      <c r="B78" s="342"/>
    </row>
    <row r="79" spans="1:2">
      <c r="A79" s="342"/>
      <c r="B79" s="342"/>
    </row>
    <row r="80" spans="1:2">
      <c r="A80" s="342"/>
      <c r="B80" s="342"/>
    </row>
    <row r="81" spans="1:2">
      <c r="A81" s="342"/>
      <c r="B81" s="342"/>
    </row>
    <row r="82" spans="1:2">
      <c r="A82" s="342"/>
      <c r="B82" s="342"/>
    </row>
    <row r="83" spans="1:2">
      <c r="A83" s="342"/>
      <c r="B83" s="342"/>
    </row>
    <row r="84" spans="1:2">
      <c r="A84" s="342"/>
      <c r="B84" s="342"/>
    </row>
    <row r="85" spans="1:2">
      <c r="A85" s="342"/>
      <c r="B85" s="342"/>
    </row>
    <row r="86" spans="1:2">
      <c r="A86" s="342"/>
      <c r="B86" s="342"/>
    </row>
    <row r="87" spans="1:2">
      <c r="A87" s="342"/>
      <c r="B87" s="342"/>
    </row>
    <row r="88" spans="1:2">
      <c r="A88" s="342"/>
      <c r="B88" s="342"/>
    </row>
    <row r="89" spans="1:2">
      <c r="A89" s="342"/>
      <c r="B89" s="342"/>
    </row>
    <row r="90" spans="1:2">
      <c r="A90" s="342"/>
      <c r="B90" s="342"/>
    </row>
    <row r="91" spans="1:2">
      <c r="A91" s="342"/>
      <c r="B91" s="342"/>
    </row>
    <row r="92" spans="1:2">
      <c r="A92" s="342"/>
      <c r="B92" s="342"/>
    </row>
    <row r="93" spans="1:2">
      <c r="A93" s="342"/>
      <c r="B93" s="342"/>
    </row>
    <row r="94" spans="1:2">
      <c r="A94" s="342"/>
      <c r="B94" s="342"/>
    </row>
    <row r="95" spans="1:2">
      <c r="A95" s="342"/>
      <c r="B95" s="342"/>
    </row>
    <row r="96" spans="1:2">
      <c r="A96" s="342"/>
      <c r="B96" s="342"/>
    </row>
    <row r="97" spans="1:2">
      <c r="A97" s="342"/>
      <c r="B97" s="342"/>
    </row>
    <row r="98" spans="1:2">
      <c r="A98" s="342"/>
      <c r="B98" s="342"/>
    </row>
    <row r="99" spans="1:2">
      <c r="A99" s="342"/>
      <c r="B99" s="342"/>
    </row>
    <row r="100" spans="1:2">
      <c r="A100" s="342"/>
      <c r="B100" s="342"/>
    </row>
    <row r="101" spans="1:2">
      <c r="A101" s="342"/>
      <c r="B101" s="342"/>
    </row>
    <row r="102" spans="1:2">
      <c r="A102" s="342"/>
      <c r="B102" s="342"/>
    </row>
    <row r="103" spans="1:2">
      <c r="A103" s="342"/>
      <c r="B103" s="342"/>
    </row>
    <row r="104" spans="1:2">
      <c r="A104" s="342"/>
      <c r="B104" s="342"/>
    </row>
    <row r="105" spans="1:2">
      <c r="A105" s="342"/>
      <c r="B105" s="342"/>
    </row>
    <row r="106" spans="1:2">
      <c r="A106" s="342"/>
      <c r="B106" s="342"/>
    </row>
    <row r="107" spans="1:2">
      <c r="A107" s="342"/>
      <c r="B107" s="342"/>
    </row>
    <row r="108" spans="1:2">
      <c r="A108" s="342"/>
      <c r="B108" s="342"/>
    </row>
    <row r="109" spans="1:2">
      <c r="A109" s="342"/>
      <c r="B109" s="342"/>
    </row>
    <row r="110" spans="1:2">
      <c r="A110" s="342"/>
      <c r="B110" s="342"/>
    </row>
    <row r="111" spans="1:2">
      <c r="A111" s="342"/>
      <c r="B111" s="342"/>
    </row>
    <row r="112" spans="1:2">
      <c r="A112" s="342"/>
      <c r="B112" s="342"/>
    </row>
    <row r="113" spans="1:2">
      <c r="A113" s="342"/>
      <c r="B113" s="342"/>
    </row>
    <row r="114" spans="1:2">
      <c r="A114" s="342"/>
      <c r="B114" s="342"/>
    </row>
    <row r="115" spans="1:2">
      <c r="A115" s="342"/>
      <c r="B115" s="342"/>
    </row>
    <row r="116" spans="1:2">
      <c r="A116" s="342"/>
      <c r="B116" s="342"/>
    </row>
    <row r="117" spans="1:2">
      <c r="A117" s="342"/>
      <c r="B117" s="342"/>
    </row>
    <row r="118" spans="1:2">
      <c r="A118" s="342"/>
      <c r="B118" s="342"/>
    </row>
    <row r="119" spans="1:2">
      <c r="A119" s="342"/>
      <c r="B119" s="342"/>
    </row>
    <row r="120" spans="1:2">
      <c r="A120" s="342"/>
      <c r="B120" s="342"/>
    </row>
    <row r="121" spans="1:2">
      <c r="A121" s="342"/>
      <c r="B121" s="342"/>
    </row>
    <row r="122" spans="1:2">
      <c r="A122" s="342"/>
      <c r="B122" s="342"/>
    </row>
    <row r="123" spans="1:2">
      <c r="A123" s="342"/>
      <c r="B123" s="342"/>
    </row>
    <row r="124" spans="1:2">
      <c r="A124" s="342"/>
      <c r="B124" s="342"/>
    </row>
    <row r="125" spans="1:2">
      <c r="A125" s="342"/>
      <c r="B125" s="342"/>
    </row>
    <row r="126" spans="1:2">
      <c r="A126" s="342"/>
      <c r="B126" s="342"/>
    </row>
    <row r="127" spans="1:2">
      <c r="A127" s="342"/>
      <c r="B127" s="342"/>
    </row>
    <row r="128" spans="1:2">
      <c r="A128" s="342"/>
      <c r="B128" s="342"/>
    </row>
    <row r="129" spans="1:2">
      <c r="A129" s="342"/>
      <c r="B129" s="342"/>
    </row>
    <row r="130" spans="1:2">
      <c r="A130" s="342"/>
      <c r="B130" s="342"/>
    </row>
    <row r="131" spans="1:2">
      <c r="A131" s="342"/>
      <c r="B131" s="342"/>
    </row>
    <row r="132" spans="1:2">
      <c r="A132" s="342"/>
      <c r="B132" s="342"/>
    </row>
    <row r="133" spans="1:2">
      <c r="A133" s="342"/>
      <c r="B133" s="342"/>
    </row>
    <row r="134" spans="1:2">
      <c r="A134" s="342"/>
      <c r="B134" s="342"/>
    </row>
    <row r="135" spans="1:2">
      <c r="A135" s="342"/>
      <c r="B135" s="342"/>
    </row>
    <row r="136" spans="1:2">
      <c r="A136" s="342"/>
      <c r="B136" s="342"/>
    </row>
    <row r="137" spans="1:2">
      <c r="A137" s="342"/>
      <c r="B137" s="342"/>
    </row>
    <row r="138" spans="1:2">
      <c r="A138" s="342"/>
      <c r="B138" s="342"/>
    </row>
    <row r="139" spans="1:2">
      <c r="A139" s="342"/>
      <c r="B139" s="342"/>
    </row>
    <row r="140" spans="1:2">
      <c r="A140" s="342"/>
      <c r="B140" s="342"/>
    </row>
    <row r="141" spans="1:2">
      <c r="A141" s="342"/>
      <c r="B141" s="342"/>
    </row>
    <row r="142" spans="1:2">
      <c r="A142" s="342"/>
      <c r="B142" s="342"/>
    </row>
    <row r="143" spans="1:2">
      <c r="A143" s="342"/>
      <c r="B143" s="342"/>
    </row>
    <row r="144" spans="1:2">
      <c r="A144" s="342"/>
      <c r="B144" s="342"/>
    </row>
    <row r="145" spans="1:2">
      <c r="A145" s="342"/>
      <c r="B145" s="342"/>
    </row>
    <row r="146" spans="1:2">
      <c r="A146" s="342"/>
      <c r="B146" s="342"/>
    </row>
    <row r="147" spans="1:2">
      <c r="A147" s="342"/>
      <c r="B147" s="342"/>
    </row>
    <row r="148" spans="1:2">
      <c r="A148" s="342"/>
      <c r="B148" s="342"/>
    </row>
    <row r="149" spans="1:2">
      <c r="A149" s="342"/>
      <c r="B149" s="342"/>
    </row>
    <row r="150" spans="1:2">
      <c r="A150" s="342"/>
      <c r="B150" s="342"/>
    </row>
    <row r="151" spans="1:2">
      <c r="A151" s="342"/>
      <c r="B151" s="342"/>
    </row>
    <row r="152" spans="1:2">
      <c r="A152" s="342"/>
      <c r="B152" s="342"/>
    </row>
    <row r="153" spans="1:2">
      <c r="A153" s="342"/>
      <c r="B153" s="342"/>
    </row>
    <row r="154" spans="1:2">
      <c r="A154" s="342"/>
      <c r="B154" s="342"/>
    </row>
    <row r="155" spans="1:2">
      <c r="A155" s="342"/>
      <c r="B155" s="342"/>
    </row>
    <row r="156" spans="1:2">
      <c r="A156" s="342"/>
      <c r="B156" s="342"/>
    </row>
    <row r="157" spans="1:2">
      <c r="A157" s="342"/>
      <c r="B157" s="342"/>
    </row>
    <row r="158" spans="1:2">
      <c r="A158" s="342"/>
      <c r="B158" s="342"/>
    </row>
    <row r="159" spans="1:2">
      <c r="A159" s="342"/>
      <c r="B159" s="342"/>
    </row>
    <row r="160" spans="1:2">
      <c r="A160" s="342"/>
      <c r="B160" s="342"/>
    </row>
    <row r="161" spans="1:2">
      <c r="A161" s="342"/>
      <c r="B161" s="342"/>
    </row>
    <row r="162" spans="1:2">
      <c r="A162" s="342"/>
      <c r="B162" s="342"/>
    </row>
    <row r="163" spans="1:2">
      <c r="A163" s="342"/>
      <c r="B163" s="342"/>
    </row>
    <row r="164" spans="1:2">
      <c r="A164" s="342"/>
      <c r="B164" s="342"/>
    </row>
    <row r="165" spans="1:2">
      <c r="A165" s="342"/>
      <c r="B165" s="342"/>
    </row>
    <row r="166" spans="1:2">
      <c r="A166" s="342"/>
      <c r="B166" s="342"/>
    </row>
    <row r="167" spans="1:2">
      <c r="A167" s="342"/>
      <c r="B167" s="342"/>
    </row>
    <row r="168" spans="1:2">
      <c r="A168" s="342"/>
      <c r="B168" s="342"/>
    </row>
    <row r="169" spans="1:2">
      <c r="A169" s="342"/>
      <c r="B169" s="342"/>
    </row>
    <row r="170" spans="1:2">
      <c r="A170" s="342"/>
      <c r="B170" s="342"/>
    </row>
    <row r="171" spans="1:2">
      <c r="A171" s="342"/>
      <c r="B171" s="342"/>
    </row>
    <row r="172" spans="1:2">
      <c r="A172" s="342"/>
      <c r="B172" s="342"/>
    </row>
    <row r="173" spans="1:2">
      <c r="A173" s="342"/>
      <c r="B173" s="342"/>
    </row>
    <row r="174" spans="1:2">
      <c r="A174" s="342"/>
      <c r="B174" s="342"/>
    </row>
    <row r="175" spans="1:2">
      <c r="A175" s="342"/>
      <c r="B175" s="342"/>
    </row>
    <row r="176" spans="1:2">
      <c r="A176" s="342"/>
      <c r="B176" s="342"/>
    </row>
    <row r="177" spans="1:2">
      <c r="A177" s="342"/>
      <c r="B177" s="342"/>
    </row>
    <row r="178" spans="1:2">
      <c r="A178" s="342"/>
      <c r="B178" s="342"/>
    </row>
    <row r="179" spans="1:2">
      <c r="A179" s="342"/>
      <c r="B179" s="342"/>
    </row>
    <row r="180" spans="1:2">
      <c r="A180" s="342"/>
      <c r="B180" s="342"/>
    </row>
    <row r="181" spans="1:2">
      <c r="A181" s="342"/>
      <c r="B181" s="342"/>
    </row>
    <row r="182" spans="1:2">
      <c r="A182" s="342"/>
      <c r="B182" s="342"/>
    </row>
    <row r="183" spans="1:2">
      <c r="A183" s="342"/>
      <c r="B183" s="342"/>
    </row>
    <row r="184" spans="1:2">
      <c r="A184" s="342"/>
      <c r="B184" s="342"/>
    </row>
    <row r="185" spans="1:2">
      <c r="A185" s="342"/>
      <c r="B185" s="342"/>
    </row>
    <row r="186" spans="1:2">
      <c r="A186" s="342"/>
      <c r="B186" s="342"/>
    </row>
    <row r="187" spans="1:2">
      <c r="A187" s="342"/>
      <c r="B187" s="342"/>
    </row>
    <row r="188" spans="1:2">
      <c r="A188" s="342"/>
      <c r="B188" s="342"/>
    </row>
    <row r="189" spans="1:2">
      <c r="A189" s="342"/>
      <c r="B189" s="342"/>
    </row>
    <row r="190" spans="1:2">
      <c r="A190" s="342"/>
      <c r="B190" s="342"/>
    </row>
    <row r="191" spans="1:2">
      <c r="A191" s="342"/>
      <c r="B191" s="342"/>
    </row>
    <row r="192" spans="1:2">
      <c r="A192" s="342"/>
      <c r="B192" s="342"/>
    </row>
    <row r="193" spans="1:2">
      <c r="A193" s="342"/>
      <c r="B193" s="342"/>
    </row>
    <row r="194" spans="1:2">
      <c r="A194" s="342"/>
      <c r="B194" s="342"/>
    </row>
    <row r="195" spans="1:2">
      <c r="A195" s="342"/>
      <c r="B195" s="342"/>
    </row>
    <row r="196" spans="1:2">
      <c r="A196" s="342"/>
      <c r="B196" s="342"/>
    </row>
    <row r="197" spans="1:2">
      <c r="A197" s="342"/>
      <c r="B197" s="342"/>
    </row>
    <row r="198" spans="1:2">
      <c r="A198" s="342"/>
      <c r="B198" s="342"/>
    </row>
    <row r="199" spans="1:2">
      <c r="A199" s="342"/>
      <c r="B199" s="342"/>
    </row>
    <row r="200" spans="1:2">
      <c r="A200" s="342"/>
      <c r="B200" s="342"/>
    </row>
    <row r="201" spans="1:2">
      <c r="A201" s="614" t="s">
        <v>676</v>
      </c>
      <c r="B201" s="614"/>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H30" sqref="H30"/>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15" t="s">
        <v>673</v>
      </c>
      <c r="B2" s="616"/>
      <c r="C2" s="616"/>
      <c r="D2" s="616"/>
      <c r="E2" s="616"/>
      <c r="F2" s="616"/>
      <c r="G2" s="616"/>
      <c r="H2" s="616"/>
      <c r="I2" s="616"/>
      <c r="J2" s="616"/>
      <c r="K2" s="616"/>
      <c r="L2" s="617"/>
    </row>
    <row r="3" spans="1:16" ht="15" customHeight="1" thickBot="1">
      <c r="A3" s="618"/>
      <c r="B3" s="619"/>
      <c r="C3" s="619"/>
      <c r="D3" s="619"/>
      <c r="E3" s="619"/>
      <c r="F3" s="619"/>
      <c r="G3" s="619"/>
      <c r="H3" s="619"/>
      <c r="I3" s="619"/>
      <c r="J3" s="619"/>
      <c r="K3" s="619"/>
      <c r="L3" s="620"/>
    </row>
    <row r="4" spans="1:16" ht="20.25">
      <c r="A4" s="623" t="s">
        <v>175</v>
      </c>
      <c r="B4" s="330"/>
      <c r="C4" s="333"/>
      <c r="D4" s="333"/>
      <c r="E4" s="333"/>
      <c r="F4" s="333"/>
      <c r="G4" s="333"/>
      <c r="H4" s="333"/>
      <c r="I4" s="333"/>
      <c r="J4" s="333"/>
      <c r="K4" s="621"/>
      <c r="L4" s="622"/>
    </row>
    <row r="5" spans="1:16" ht="20.25">
      <c r="A5" s="623"/>
      <c r="B5" s="330"/>
      <c r="C5" s="331" t="s">
        <v>644</v>
      </c>
      <c r="D5" s="625" t="s">
        <v>551</v>
      </c>
      <c r="E5" s="625"/>
      <c r="F5" s="625"/>
      <c r="G5" s="626" t="s">
        <v>643</v>
      </c>
      <c r="H5" s="626"/>
      <c r="I5" s="626"/>
      <c r="J5" s="333"/>
      <c r="K5" s="622"/>
      <c r="L5" s="622"/>
    </row>
    <row r="6" spans="1:16" ht="20.25">
      <c r="A6" s="623"/>
      <c r="B6" s="330"/>
      <c r="C6" s="331"/>
      <c r="D6" s="335"/>
      <c r="E6" s="335"/>
      <c r="F6" s="335"/>
      <c r="G6" s="331"/>
      <c r="H6" s="331"/>
      <c r="I6" s="331"/>
      <c r="J6" s="333"/>
      <c r="K6" s="333"/>
      <c r="L6" s="332"/>
    </row>
    <row r="7" spans="1:16" ht="20.25">
      <c r="A7" s="623"/>
      <c r="B7" s="336"/>
      <c r="C7" s="337"/>
      <c r="D7" s="338"/>
      <c r="E7" s="338"/>
      <c r="F7" s="338"/>
      <c r="G7" s="338"/>
      <c r="H7" s="338"/>
      <c r="I7" s="338"/>
      <c r="J7" s="338"/>
      <c r="K7" s="339"/>
      <c r="L7" s="332"/>
    </row>
    <row r="8" spans="1:16" ht="85.5" customHeight="1">
      <c r="A8" s="623"/>
      <c r="B8" s="339"/>
      <c r="C8" s="337" t="s">
        <v>674</v>
      </c>
      <c r="D8" s="628" t="s">
        <v>717</v>
      </c>
      <c r="E8" s="628"/>
      <c r="F8" s="628"/>
      <c r="G8" s="628"/>
      <c r="H8" s="628"/>
      <c r="I8" s="628"/>
      <c r="J8" s="627"/>
      <c r="K8" s="339"/>
      <c r="L8" s="332"/>
      <c r="P8" s="341"/>
    </row>
    <row r="9" spans="1:16" ht="20.25">
      <c r="A9" s="623"/>
      <c r="B9" s="339"/>
      <c r="C9" s="339"/>
      <c r="D9" s="339"/>
      <c r="E9" s="339"/>
      <c r="F9" s="339"/>
      <c r="G9" s="339"/>
      <c r="H9" s="339"/>
      <c r="I9" s="339"/>
      <c r="J9" s="339"/>
      <c r="K9" s="339"/>
      <c r="L9" s="332"/>
    </row>
    <row r="10" spans="1:16" ht="20.25">
      <c r="A10" s="624"/>
      <c r="B10" s="340"/>
      <c r="C10" s="340"/>
      <c r="D10" s="340"/>
      <c r="E10" s="340"/>
      <c r="F10" s="340"/>
      <c r="G10" s="340"/>
      <c r="H10" s="340"/>
      <c r="I10" s="340"/>
      <c r="J10" s="340"/>
      <c r="K10" s="340"/>
      <c r="L10" s="334"/>
    </row>
    <row r="58" spans="2:17" ht="75">
      <c r="B58" s="341" t="s">
        <v>675</v>
      </c>
      <c r="C58" s="341"/>
      <c r="D58" s="341"/>
      <c r="E58" s="341"/>
      <c r="F58" s="341"/>
      <c r="G58" s="341"/>
      <c r="H58" s="341"/>
      <c r="I58" s="341"/>
      <c r="J58" s="341"/>
      <c r="K58" s="341"/>
      <c r="L58" s="341"/>
      <c r="M58" s="341"/>
      <c r="N58" s="341"/>
      <c r="O58" s="341"/>
      <c r="P58" s="341"/>
      <c r="Q58" s="341"/>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activeCell="C13" sqref="C13"/>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3" t="s">
        <v>677</v>
      </c>
      <c r="B1" s="633"/>
      <c r="C1" s="633"/>
      <c r="D1" s="633"/>
      <c r="E1" s="633"/>
    </row>
    <row r="2" spans="1:5" ht="15.75">
      <c r="A2" s="630" t="s">
        <v>595</v>
      </c>
      <c r="B2" s="631"/>
      <c r="C2" s="631"/>
      <c r="D2" s="631"/>
      <c r="E2" s="632"/>
    </row>
    <row r="3" spans="1:5" ht="15.75">
      <c r="A3" s="345" t="s">
        <v>678</v>
      </c>
      <c r="B3" s="345" t="s">
        <v>596</v>
      </c>
      <c r="C3" s="345" t="s">
        <v>679</v>
      </c>
      <c r="D3" s="345" t="s">
        <v>598</v>
      </c>
      <c r="E3" s="345" t="s">
        <v>599</v>
      </c>
    </row>
    <row r="4" spans="1:5">
      <c r="A4" s="322" t="s">
        <v>551</v>
      </c>
      <c r="B4" s="322" t="s">
        <v>686</v>
      </c>
      <c r="C4" s="322" t="s">
        <v>663</v>
      </c>
      <c r="D4" s="322">
        <v>1999</v>
      </c>
      <c r="E4" s="322" t="s">
        <v>687</v>
      </c>
    </row>
    <row r="5" spans="1:5">
      <c r="A5" s="322" t="s">
        <v>551</v>
      </c>
      <c r="B5" s="322" t="s">
        <v>688</v>
      </c>
      <c r="C5" s="322" t="s">
        <v>689</v>
      </c>
      <c r="D5" s="322">
        <v>1989</v>
      </c>
      <c r="E5" s="322" t="s">
        <v>690</v>
      </c>
    </row>
    <row r="6" spans="1:5">
      <c r="A6" s="322" t="s">
        <v>551</v>
      </c>
      <c r="B6" s="322" t="s">
        <v>692</v>
      </c>
      <c r="C6" s="322" t="s">
        <v>691</v>
      </c>
      <c r="D6" s="322">
        <v>1989</v>
      </c>
      <c r="E6" s="322" t="s">
        <v>690</v>
      </c>
    </row>
    <row r="7" spans="1:5">
      <c r="A7" s="322" t="s">
        <v>551</v>
      </c>
      <c r="B7" s="322" t="s">
        <v>686</v>
      </c>
      <c r="C7" s="322" t="s">
        <v>693</v>
      </c>
      <c r="D7" s="322">
        <v>1995</v>
      </c>
      <c r="E7" s="322" t="s">
        <v>694</v>
      </c>
    </row>
    <row r="8" spans="1:5">
      <c r="A8" s="322"/>
      <c r="B8" s="322"/>
      <c r="C8" s="322"/>
      <c r="D8" s="322"/>
      <c r="E8" s="322"/>
    </row>
    <row r="9" spans="1:5">
      <c r="A9" s="322"/>
      <c r="B9" s="322"/>
      <c r="C9" s="322"/>
      <c r="D9" s="322"/>
      <c r="E9" s="322"/>
    </row>
    <row r="10" spans="1:5">
      <c r="A10" s="322"/>
      <c r="B10" s="322"/>
      <c r="C10" s="322"/>
      <c r="D10" s="322"/>
      <c r="E10" s="322"/>
    </row>
    <row r="11" spans="1:5">
      <c r="A11" s="322"/>
      <c r="B11" s="322"/>
      <c r="C11" s="322"/>
      <c r="D11" s="322"/>
      <c r="E11" s="322"/>
    </row>
    <row r="12" spans="1:5">
      <c r="A12" s="322"/>
      <c r="B12" s="322"/>
      <c r="C12" s="322"/>
      <c r="D12" s="322"/>
      <c r="E12" s="322"/>
    </row>
    <row r="13" spans="1:5">
      <c r="A13" s="322"/>
      <c r="B13" s="322"/>
      <c r="C13" s="322"/>
      <c r="D13" s="322"/>
      <c r="E13" s="322"/>
    </row>
    <row r="14" spans="1:5">
      <c r="A14" s="322"/>
      <c r="B14" s="322"/>
      <c r="C14" s="322"/>
      <c r="D14" s="322"/>
      <c r="E14" s="322"/>
    </row>
    <row r="15" spans="1:5">
      <c r="A15" s="322"/>
      <c r="B15" s="322"/>
      <c r="C15" s="322"/>
      <c r="D15" s="322"/>
      <c r="E15" s="322"/>
    </row>
    <row r="16" spans="1:5">
      <c r="A16" s="322"/>
      <c r="B16" s="322"/>
      <c r="C16" s="322"/>
      <c r="D16" s="322"/>
      <c r="E16" s="322"/>
    </row>
    <row r="17" spans="1:5">
      <c r="A17" s="322"/>
      <c r="B17" s="322"/>
      <c r="C17" s="322"/>
      <c r="D17" s="322"/>
      <c r="E17" s="322"/>
    </row>
    <row r="18" spans="1:5">
      <c r="A18" s="322"/>
      <c r="B18" s="322"/>
      <c r="C18" s="322"/>
      <c r="D18" s="322"/>
      <c r="E18" s="322"/>
    </row>
    <row r="19" spans="1:5">
      <c r="A19" s="322"/>
      <c r="B19" s="322"/>
      <c r="C19" s="322"/>
      <c r="D19" s="322"/>
      <c r="E19" s="322"/>
    </row>
    <row r="20" spans="1:5">
      <c r="A20" s="322"/>
      <c r="B20" s="322"/>
      <c r="C20" s="322"/>
      <c r="D20" s="322"/>
      <c r="E20" s="322"/>
    </row>
    <row r="21" spans="1:5">
      <c r="A21" s="322"/>
      <c r="B21" s="322"/>
      <c r="C21" s="322"/>
      <c r="D21" s="322"/>
      <c r="E21" s="322"/>
    </row>
    <row r="22" spans="1:5">
      <c r="A22" s="322"/>
      <c r="B22" s="322"/>
      <c r="C22" s="322"/>
      <c r="D22" s="322"/>
      <c r="E22" s="322"/>
    </row>
    <row r="23" spans="1:5">
      <c r="A23" s="322"/>
      <c r="B23" s="322"/>
      <c r="C23" s="322"/>
      <c r="D23" s="322"/>
      <c r="E23" s="322"/>
    </row>
    <row r="24" spans="1:5">
      <c r="A24" s="322"/>
      <c r="B24" s="322"/>
      <c r="C24" s="322"/>
      <c r="D24" s="322"/>
      <c r="E24" s="322"/>
    </row>
    <row r="25" spans="1:5">
      <c r="A25" s="322"/>
      <c r="B25" s="322"/>
      <c r="C25" s="322"/>
      <c r="D25" s="322"/>
      <c r="E25" s="322"/>
    </row>
    <row r="26" spans="1:5">
      <c r="A26" s="322"/>
      <c r="B26" s="322"/>
      <c r="C26" s="322"/>
      <c r="D26" s="322"/>
      <c r="E26" s="322"/>
    </row>
    <row r="27" spans="1:5">
      <c r="A27" s="322"/>
      <c r="B27" s="322"/>
      <c r="C27" s="322"/>
      <c r="D27" s="322"/>
      <c r="E27" s="322"/>
    </row>
    <row r="28" spans="1:5">
      <c r="A28" s="322"/>
      <c r="B28" s="322"/>
      <c r="C28" s="322"/>
      <c r="D28" s="322"/>
      <c r="E28" s="322"/>
    </row>
    <row r="29" spans="1:5">
      <c r="A29" s="322"/>
      <c r="B29" s="322"/>
      <c r="C29" s="322"/>
      <c r="D29" s="322"/>
      <c r="E29" s="322"/>
    </row>
    <row r="30" spans="1:5">
      <c r="A30" s="322"/>
      <c r="B30" s="322"/>
      <c r="C30" s="322"/>
      <c r="D30" s="322"/>
      <c r="E30" s="322"/>
    </row>
    <row r="31" spans="1:5">
      <c r="A31" s="322"/>
      <c r="B31" s="322"/>
      <c r="C31" s="322"/>
      <c r="D31" s="322"/>
      <c r="E31" s="322"/>
    </row>
    <row r="32" spans="1:5">
      <c r="A32" s="322"/>
      <c r="B32" s="322"/>
      <c r="C32" s="322"/>
      <c r="D32" s="322"/>
      <c r="E32" s="322"/>
    </row>
    <row r="33" spans="1:5">
      <c r="A33" s="322"/>
      <c r="B33" s="322"/>
      <c r="C33" s="322"/>
      <c r="D33" s="322"/>
      <c r="E33" s="322"/>
    </row>
    <row r="34" spans="1:5">
      <c r="A34" s="322"/>
      <c r="B34" s="322"/>
      <c r="C34" s="322"/>
      <c r="D34" s="322"/>
      <c r="E34" s="322"/>
    </row>
    <row r="35" spans="1:5">
      <c r="A35" s="322"/>
      <c r="B35" s="322"/>
      <c r="C35" s="322"/>
      <c r="D35" s="322"/>
      <c r="E35" s="322"/>
    </row>
    <row r="36" spans="1:5">
      <c r="A36" s="322"/>
      <c r="B36" s="322"/>
      <c r="C36" s="322"/>
      <c r="D36" s="322"/>
      <c r="E36" s="322"/>
    </row>
    <row r="37" spans="1:5">
      <c r="A37" s="322"/>
      <c r="B37" s="322"/>
      <c r="C37" s="322"/>
      <c r="D37" s="322"/>
      <c r="E37" s="322"/>
    </row>
    <row r="38" spans="1:5">
      <c r="A38" s="322"/>
      <c r="B38" s="322"/>
      <c r="C38" s="322"/>
      <c r="D38" s="322"/>
      <c r="E38" s="322"/>
    </row>
    <row r="39" spans="1:5">
      <c r="A39" s="322"/>
      <c r="B39" s="322"/>
      <c r="C39" s="322"/>
      <c r="D39" s="322"/>
      <c r="E39" s="322"/>
    </row>
    <row r="40" spans="1:5">
      <c r="A40" s="322"/>
      <c r="B40" s="322"/>
      <c r="C40" s="322"/>
      <c r="D40" s="322"/>
      <c r="E40" s="322"/>
    </row>
    <row r="41" spans="1:5">
      <c r="A41" s="322"/>
      <c r="B41" s="322"/>
      <c r="C41" s="322"/>
      <c r="D41" s="322"/>
      <c r="E41" s="322"/>
    </row>
    <row r="42" spans="1:5">
      <c r="A42" s="322"/>
      <c r="B42" s="322"/>
      <c r="C42" s="322"/>
      <c r="D42" s="322"/>
      <c r="E42" s="322"/>
    </row>
    <row r="43" spans="1:5">
      <c r="A43" s="322"/>
      <c r="B43" s="322"/>
      <c r="C43" s="322"/>
      <c r="D43" s="322"/>
      <c r="E43" s="322"/>
    </row>
    <row r="44" spans="1:5">
      <c r="A44" s="322"/>
      <c r="B44" s="322"/>
      <c r="C44" s="322"/>
      <c r="D44" s="322"/>
      <c r="E44" s="322"/>
    </row>
    <row r="45" spans="1:5">
      <c r="A45" s="322"/>
      <c r="B45" s="322"/>
      <c r="C45" s="322"/>
      <c r="D45" s="322"/>
      <c r="E45" s="322"/>
    </row>
    <row r="46" spans="1:5">
      <c r="A46" s="322"/>
      <c r="B46" s="322"/>
      <c r="C46" s="322"/>
      <c r="D46" s="322"/>
      <c r="E46" s="322"/>
    </row>
    <row r="47" spans="1:5">
      <c r="A47" s="322"/>
      <c r="B47" s="322"/>
      <c r="C47" s="322"/>
      <c r="D47" s="322"/>
      <c r="E47" s="322"/>
    </row>
    <row r="48" spans="1:5">
      <c r="A48" s="322"/>
      <c r="B48" s="322"/>
      <c r="C48" s="322"/>
      <c r="D48" s="322"/>
      <c r="E48" s="322"/>
    </row>
    <row r="49" spans="1:5">
      <c r="A49" s="322"/>
      <c r="B49" s="322"/>
      <c r="C49" s="322"/>
      <c r="D49" s="322"/>
      <c r="E49" s="322"/>
    </row>
    <row r="50" spans="1:5">
      <c r="A50" s="322"/>
      <c r="B50" s="322"/>
      <c r="C50" s="322"/>
      <c r="D50" s="322"/>
      <c r="E50" s="322"/>
    </row>
    <row r="51" spans="1:5">
      <c r="A51" s="322"/>
      <c r="B51" s="322"/>
      <c r="C51" s="322"/>
      <c r="D51" s="322"/>
      <c r="E51" s="322"/>
    </row>
    <row r="52" spans="1:5">
      <c r="A52" s="322"/>
      <c r="B52" s="322"/>
      <c r="C52" s="322"/>
      <c r="D52" s="322"/>
      <c r="E52" s="322"/>
    </row>
    <row r="53" spans="1:5">
      <c r="A53" s="322"/>
      <c r="B53" s="322"/>
      <c r="C53" s="322"/>
      <c r="D53" s="322"/>
      <c r="E53" s="322"/>
    </row>
    <row r="54" spans="1:5">
      <c r="A54" s="322"/>
      <c r="B54" s="322"/>
      <c r="C54" s="322"/>
      <c r="D54" s="322"/>
      <c r="E54" s="322"/>
    </row>
    <row r="55" spans="1:5">
      <c r="A55" s="322"/>
      <c r="B55" s="322"/>
      <c r="C55" s="322"/>
      <c r="D55" s="322"/>
      <c r="E55" s="322"/>
    </row>
    <row r="56" spans="1:5">
      <c r="A56" s="322"/>
      <c r="B56" s="322"/>
      <c r="C56" s="322"/>
      <c r="D56" s="322"/>
      <c r="E56" s="322"/>
    </row>
    <row r="57" spans="1:5">
      <c r="A57" s="322"/>
      <c r="B57" s="322"/>
      <c r="C57" s="322"/>
      <c r="D57" s="322"/>
      <c r="E57" s="322"/>
    </row>
    <row r="58" spans="1:5">
      <c r="A58" s="322"/>
      <c r="B58" s="322"/>
      <c r="C58" s="322"/>
      <c r="D58" s="322"/>
      <c r="E58" s="322"/>
    </row>
    <row r="59" spans="1:5">
      <c r="A59" s="322"/>
      <c r="B59" s="322"/>
      <c r="C59" s="322"/>
      <c r="D59" s="322"/>
      <c r="E59" s="322"/>
    </row>
    <row r="60" spans="1:5">
      <c r="A60" s="322"/>
      <c r="B60" s="322"/>
      <c r="C60" s="322"/>
      <c r="D60" s="322"/>
      <c r="E60" s="322"/>
    </row>
    <row r="61" spans="1:5">
      <c r="A61" s="322"/>
      <c r="B61" s="322"/>
      <c r="C61" s="322"/>
      <c r="D61" s="322"/>
      <c r="E61" s="322"/>
    </row>
    <row r="62" spans="1:5">
      <c r="A62" s="322"/>
      <c r="B62" s="322"/>
      <c r="C62" s="322"/>
      <c r="D62" s="322"/>
      <c r="E62" s="322"/>
    </row>
    <row r="63" spans="1:5">
      <c r="A63" s="322"/>
      <c r="B63" s="322"/>
      <c r="C63" s="322"/>
      <c r="D63" s="322"/>
      <c r="E63" s="322"/>
    </row>
    <row r="64" spans="1:5">
      <c r="A64" s="322"/>
      <c r="B64" s="322"/>
      <c r="C64" s="322"/>
      <c r="D64" s="322"/>
      <c r="E64" s="322"/>
    </row>
    <row r="65" spans="1:5">
      <c r="A65" s="322"/>
      <c r="B65" s="322"/>
      <c r="C65" s="322"/>
      <c r="D65" s="322"/>
      <c r="E65" s="322"/>
    </row>
    <row r="66" spans="1:5">
      <c r="A66" s="322"/>
      <c r="B66" s="322"/>
      <c r="C66" s="322"/>
      <c r="D66" s="322"/>
      <c r="E66" s="322"/>
    </row>
    <row r="67" spans="1:5">
      <c r="A67" s="322"/>
      <c r="B67" s="322"/>
      <c r="C67" s="322"/>
      <c r="D67" s="322"/>
      <c r="E67" s="322"/>
    </row>
    <row r="68" spans="1:5">
      <c r="A68" s="322"/>
      <c r="B68" s="322"/>
      <c r="C68" s="322"/>
      <c r="D68" s="322"/>
      <c r="E68" s="322"/>
    </row>
    <row r="69" spans="1:5">
      <c r="A69" s="322"/>
      <c r="B69" s="322"/>
      <c r="C69" s="322"/>
      <c r="D69" s="322"/>
      <c r="E69" s="322"/>
    </row>
    <row r="70" spans="1:5">
      <c r="A70" s="322"/>
      <c r="B70" s="322"/>
      <c r="C70" s="322"/>
      <c r="D70" s="322"/>
      <c r="E70" s="322"/>
    </row>
    <row r="71" spans="1:5">
      <c r="A71" s="322"/>
      <c r="B71" s="322"/>
      <c r="C71" s="322"/>
      <c r="D71" s="322"/>
      <c r="E71" s="322"/>
    </row>
    <row r="72" spans="1:5">
      <c r="A72" s="322"/>
      <c r="B72" s="322"/>
      <c r="C72" s="322"/>
      <c r="D72" s="322"/>
      <c r="E72" s="322"/>
    </row>
    <row r="73" spans="1:5">
      <c r="A73" s="322"/>
      <c r="B73" s="322"/>
      <c r="C73" s="322"/>
      <c r="D73" s="322"/>
      <c r="E73" s="322"/>
    </row>
    <row r="74" spans="1:5">
      <c r="A74" s="322"/>
      <c r="B74" s="322"/>
      <c r="C74" s="322"/>
      <c r="D74" s="322"/>
      <c r="E74" s="322"/>
    </row>
    <row r="75" spans="1:5">
      <c r="A75" s="322"/>
      <c r="B75" s="322"/>
      <c r="C75" s="322"/>
      <c r="D75" s="322"/>
      <c r="E75" s="322"/>
    </row>
    <row r="76" spans="1:5">
      <c r="A76" s="322"/>
      <c r="B76" s="322"/>
      <c r="C76" s="322"/>
      <c r="D76" s="322"/>
      <c r="E76" s="322"/>
    </row>
    <row r="77" spans="1:5">
      <c r="A77" s="322"/>
      <c r="B77" s="322"/>
      <c r="C77" s="322"/>
      <c r="D77" s="322"/>
      <c r="E77" s="322"/>
    </row>
    <row r="78" spans="1:5">
      <c r="A78" s="322"/>
      <c r="B78" s="322"/>
      <c r="C78" s="322"/>
      <c r="D78" s="322"/>
      <c r="E78" s="322"/>
    </row>
    <row r="79" spans="1:5">
      <c r="A79" s="322"/>
      <c r="B79" s="322"/>
      <c r="C79" s="322"/>
      <c r="D79" s="322"/>
      <c r="E79" s="322"/>
    </row>
    <row r="80" spans="1:5">
      <c r="A80" s="322"/>
      <c r="B80" s="322"/>
      <c r="C80" s="322"/>
      <c r="D80" s="322"/>
      <c r="E80" s="322"/>
    </row>
    <row r="81" spans="1:5">
      <c r="A81" s="322"/>
      <c r="B81" s="322"/>
      <c r="C81" s="322"/>
      <c r="D81" s="322"/>
      <c r="E81" s="322"/>
    </row>
    <row r="82" spans="1:5">
      <c r="A82" s="322"/>
      <c r="B82" s="322"/>
      <c r="C82" s="322"/>
      <c r="D82" s="322"/>
      <c r="E82" s="322"/>
    </row>
    <row r="83" spans="1:5">
      <c r="A83" s="322"/>
      <c r="B83" s="322"/>
      <c r="C83" s="322"/>
      <c r="D83" s="322"/>
      <c r="E83" s="322"/>
    </row>
    <row r="84" spans="1:5">
      <c r="A84" s="322"/>
      <c r="B84" s="322"/>
      <c r="C84" s="322"/>
      <c r="D84" s="322"/>
      <c r="E84" s="322"/>
    </row>
    <row r="85" spans="1:5">
      <c r="A85" s="322"/>
      <c r="B85" s="322"/>
      <c r="C85" s="322"/>
      <c r="D85" s="322"/>
      <c r="E85" s="322"/>
    </row>
    <row r="86" spans="1:5">
      <c r="A86" s="322"/>
      <c r="B86" s="322"/>
      <c r="C86" s="322"/>
      <c r="D86" s="322"/>
      <c r="E86" s="322"/>
    </row>
    <row r="87" spans="1:5">
      <c r="A87" s="322"/>
      <c r="B87" s="322"/>
      <c r="C87" s="322"/>
      <c r="D87" s="322"/>
      <c r="E87" s="322"/>
    </row>
    <row r="88" spans="1:5">
      <c r="A88" s="322"/>
      <c r="B88" s="322"/>
      <c r="C88" s="322"/>
      <c r="D88" s="322"/>
      <c r="E88" s="322"/>
    </row>
    <row r="89" spans="1:5">
      <c r="A89" s="322"/>
      <c r="B89" s="322"/>
      <c r="C89" s="322"/>
      <c r="D89" s="322"/>
      <c r="E89" s="322"/>
    </row>
    <row r="90" spans="1:5">
      <c r="A90" s="322"/>
      <c r="B90" s="322"/>
      <c r="C90" s="322"/>
      <c r="D90" s="322"/>
      <c r="E90" s="322"/>
    </row>
    <row r="91" spans="1:5">
      <c r="A91" s="322"/>
      <c r="B91" s="322"/>
      <c r="C91" s="322"/>
      <c r="D91" s="322"/>
      <c r="E91" s="322"/>
    </row>
    <row r="92" spans="1:5">
      <c r="A92" s="322"/>
      <c r="B92" s="322"/>
      <c r="C92" s="322"/>
      <c r="D92" s="322"/>
      <c r="E92" s="322"/>
    </row>
    <row r="93" spans="1:5">
      <c r="A93" s="322"/>
      <c r="B93" s="322"/>
      <c r="C93" s="322"/>
      <c r="D93" s="322"/>
      <c r="E93" s="322"/>
    </row>
    <row r="94" spans="1:5">
      <c r="A94" s="322"/>
      <c r="B94" s="322"/>
      <c r="C94" s="322"/>
      <c r="D94" s="322"/>
      <c r="E94" s="322"/>
    </row>
    <row r="95" spans="1:5">
      <c r="A95" s="322"/>
      <c r="B95" s="322"/>
      <c r="C95" s="322"/>
      <c r="D95" s="322"/>
      <c r="E95" s="322"/>
    </row>
    <row r="96" spans="1:5">
      <c r="A96" s="322"/>
      <c r="B96" s="322"/>
      <c r="C96" s="322"/>
      <c r="D96" s="322"/>
      <c r="E96" s="322"/>
    </row>
    <row r="97" spans="1:5">
      <c r="A97" s="322"/>
      <c r="B97" s="322"/>
      <c r="C97" s="322"/>
      <c r="D97" s="322"/>
      <c r="E97" s="322"/>
    </row>
    <row r="98" spans="1:5">
      <c r="A98" s="322"/>
      <c r="B98" s="322"/>
      <c r="C98" s="322"/>
      <c r="D98" s="322"/>
      <c r="E98" s="322"/>
    </row>
    <row r="99" spans="1:5">
      <c r="A99" s="322"/>
      <c r="B99" s="322"/>
      <c r="C99" s="322"/>
      <c r="D99" s="322"/>
      <c r="E99" s="322"/>
    </row>
    <row r="100" spans="1:5">
      <c r="A100" s="322"/>
      <c r="B100" s="322"/>
      <c r="C100" s="322"/>
      <c r="D100" s="322"/>
      <c r="E100" s="322"/>
    </row>
    <row r="101" spans="1:5">
      <c r="A101" s="322"/>
      <c r="B101" s="322"/>
      <c r="C101" s="322"/>
      <c r="D101" s="322"/>
      <c r="E101" s="322"/>
    </row>
    <row r="102" spans="1:5">
      <c r="A102" s="322"/>
      <c r="B102" s="322"/>
      <c r="C102" s="322"/>
      <c r="D102" s="322"/>
      <c r="E102" s="322"/>
    </row>
    <row r="103" spans="1:5">
      <c r="A103" s="322"/>
      <c r="B103" s="322"/>
      <c r="C103" s="322"/>
      <c r="D103" s="322"/>
      <c r="E103" s="322"/>
    </row>
    <row r="104" spans="1:5">
      <c r="A104" s="322"/>
      <c r="B104" s="322"/>
      <c r="C104" s="322"/>
      <c r="D104" s="322"/>
      <c r="E104" s="322"/>
    </row>
    <row r="105" spans="1:5">
      <c r="A105" s="322"/>
      <c r="B105" s="322"/>
      <c r="C105" s="322"/>
      <c r="D105" s="322"/>
      <c r="E105" s="322"/>
    </row>
    <row r="106" spans="1:5">
      <c r="A106" s="322"/>
      <c r="B106" s="322"/>
      <c r="C106" s="322"/>
      <c r="D106" s="322"/>
      <c r="E106" s="322"/>
    </row>
    <row r="107" spans="1:5">
      <c r="A107" s="322"/>
      <c r="B107" s="322"/>
      <c r="C107" s="322"/>
      <c r="D107" s="322"/>
      <c r="E107" s="322"/>
    </row>
    <row r="108" spans="1:5">
      <c r="A108" s="322"/>
      <c r="B108" s="322"/>
      <c r="C108" s="322"/>
      <c r="D108" s="322"/>
      <c r="E108" s="322"/>
    </row>
    <row r="109" spans="1:5">
      <c r="A109" s="322"/>
      <c r="B109" s="322"/>
      <c r="C109" s="322"/>
      <c r="D109" s="322"/>
      <c r="E109" s="322"/>
    </row>
    <row r="110" spans="1:5">
      <c r="A110" s="322"/>
      <c r="B110" s="322"/>
      <c r="C110" s="322"/>
      <c r="D110" s="322"/>
      <c r="E110" s="322"/>
    </row>
    <row r="111" spans="1:5">
      <c r="A111" s="322"/>
      <c r="B111" s="322"/>
      <c r="C111" s="322"/>
      <c r="D111" s="322"/>
      <c r="E111" s="322"/>
    </row>
    <row r="112" spans="1:5">
      <c r="A112" s="322"/>
      <c r="B112" s="322"/>
      <c r="C112" s="322"/>
      <c r="D112" s="322"/>
      <c r="E112" s="322"/>
    </row>
    <row r="113" spans="1:5">
      <c r="A113" s="322"/>
      <c r="B113" s="322"/>
      <c r="C113" s="322"/>
      <c r="D113" s="322"/>
      <c r="E113" s="322"/>
    </row>
    <row r="114" spans="1:5">
      <c r="A114" s="322"/>
      <c r="B114" s="322"/>
      <c r="C114" s="322"/>
      <c r="D114" s="322"/>
      <c r="E114" s="322"/>
    </row>
    <row r="115" spans="1:5">
      <c r="A115" s="322"/>
      <c r="B115" s="322"/>
      <c r="C115" s="322"/>
      <c r="D115" s="322"/>
      <c r="E115" s="322"/>
    </row>
    <row r="116" spans="1:5">
      <c r="A116" s="322"/>
      <c r="B116" s="322"/>
      <c r="C116" s="322"/>
      <c r="D116" s="322"/>
      <c r="E116" s="322"/>
    </row>
    <row r="117" spans="1:5">
      <c r="A117" s="322"/>
      <c r="B117" s="322"/>
      <c r="C117" s="322"/>
      <c r="D117" s="322"/>
      <c r="E117" s="322"/>
    </row>
    <row r="118" spans="1:5">
      <c r="A118" s="322"/>
      <c r="B118" s="322"/>
      <c r="C118" s="322"/>
      <c r="D118" s="322"/>
      <c r="E118" s="322"/>
    </row>
    <row r="119" spans="1:5">
      <c r="A119" s="322"/>
      <c r="B119" s="322"/>
      <c r="C119" s="322"/>
      <c r="D119" s="322"/>
      <c r="E119" s="322"/>
    </row>
    <row r="120" spans="1:5">
      <c r="A120" s="322"/>
      <c r="B120" s="322"/>
      <c r="C120" s="322"/>
      <c r="D120" s="322"/>
      <c r="E120" s="322"/>
    </row>
    <row r="121" spans="1:5">
      <c r="A121" s="322"/>
      <c r="B121" s="322"/>
      <c r="C121" s="322"/>
      <c r="D121" s="322"/>
      <c r="E121" s="322"/>
    </row>
    <row r="122" spans="1:5">
      <c r="A122" s="322"/>
      <c r="B122" s="322"/>
      <c r="C122" s="322"/>
      <c r="D122" s="322"/>
      <c r="E122" s="322"/>
    </row>
    <row r="123" spans="1:5">
      <c r="A123" s="322"/>
      <c r="B123" s="322"/>
      <c r="C123" s="322"/>
      <c r="D123" s="322"/>
      <c r="E123" s="322"/>
    </row>
    <row r="124" spans="1:5">
      <c r="A124" s="322"/>
      <c r="B124" s="322"/>
      <c r="C124" s="322"/>
      <c r="D124" s="322"/>
      <c r="E124" s="322"/>
    </row>
    <row r="125" spans="1:5">
      <c r="A125" s="322"/>
      <c r="B125" s="322"/>
      <c r="C125" s="322"/>
      <c r="D125" s="322"/>
      <c r="E125" s="322"/>
    </row>
    <row r="126" spans="1:5">
      <c r="A126" s="322"/>
      <c r="B126" s="322"/>
      <c r="C126" s="322"/>
      <c r="D126" s="322"/>
      <c r="E126" s="322"/>
    </row>
    <row r="127" spans="1:5">
      <c r="A127" s="322"/>
      <c r="B127" s="322"/>
      <c r="C127" s="322"/>
      <c r="D127" s="322"/>
      <c r="E127" s="322"/>
    </row>
    <row r="128" spans="1:5">
      <c r="A128" s="322"/>
      <c r="B128" s="322"/>
      <c r="C128" s="322"/>
      <c r="D128" s="322"/>
      <c r="E128" s="322"/>
    </row>
    <row r="129" spans="1:5">
      <c r="A129" s="322"/>
      <c r="B129" s="322"/>
      <c r="C129" s="322"/>
      <c r="D129" s="322"/>
      <c r="E129" s="322"/>
    </row>
    <row r="130" spans="1:5">
      <c r="A130" s="322"/>
      <c r="B130" s="322"/>
      <c r="C130" s="322"/>
      <c r="D130" s="322"/>
      <c r="E130" s="322"/>
    </row>
    <row r="131" spans="1:5">
      <c r="A131" s="322"/>
      <c r="B131" s="322"/>
      <c r="C131" s="322"/>
      <c r="D131" s="322"/>
      <c r="E131" s="322"/>
    </row>
    <row r="132" spans="1:5">
      <c r="A132" s="322"/>
      <c r="B132" s="322"/>
      <c r="C132" s="322"/>
      <c r="D132" s="322"/>
      <c r="E132" s="322"/>
    </row>
    <row r="133" spans="1:5">
      <c r="A133" s="322"/>
      <c r="B133" s="322"/>
      <c r="C133" s="322"/>
      <c r="D133" s="322"/>
      <c r="E133" s="322"/>
    </row>
    <row r="134" spans="1:5">
      <c r="A134" s="322"/>
      <c r="B134" s="322"/>
      <c r="C134" s="322"/>
      <c r="D134" s="322"/>
      <c r="E134" s="322"/>
    </row>
    <row r="135" spans="1:5">
      <c r="A135" s="322"/>
      <c r="B135" s="322"/>
      <c r="C135" s="322"/>
      <c r="D135" s="322"/>
      <c r="E135" s="322"/>
    </row>
    <row r="136" spans="1:5">
      <c r="A136" s="322"/>
      <c r="B136" s="322"/>
      <c r="C136" s="322"/>
      <c r="D136" s="322"/>
      <c r="E136" s="322"/>
    </row>
    <row r="137" spans="1:5">
      <c r="A137" s="322"/>
      <c r="B137" s="322"/>
      <c r="C137" s="322"/>
      <c r="D137" s="322"/>
      <c r="E137" s="322"/>
    </row>
    <row r="138" spans="1:5">
      <c r="A138" s="322"/>
      <c r="B138" s="322"/>
      <c r="C138" s="322"/>
      <c r="D138" s="322"/>
      <c r="E138" s="322"/>
    </row>
    <row r="139" spans="1:5">
      <c r="A139" s="322"/>
      <c r="B139" s="322"/>
      <c r="C139" s="322"/>
      <c r="D139" s="322"/>
      <c r="E139" s="322"/>
    </row>
    <row r="140" spans="1:5">
      <c r="A140" s="322"/>
      <c r="B140" s="322"/>
      <c r="C140" s="322"/>
      <c r="D140" s="322"/>
      <c r="E140" s="322"/>
    </row>
    <row r="141" spans="1:5">
      <c r="A141" s="322"/>
      <c r="B141" s="322"/>
      <c r="C141" s="322"/>
      <c r="D141" s="322"/>
      <c r="E141" s="322"/>
    </row>
    <row r="142" spans="1:5">
      <c r="A142" s="322"/>
      <c r="B142" s="322"/>
      <c r="C142" s="322"/>
      <c r="D142" s="322"/>
      <c r="E142" s="322"/>
    </row>
    <row r="143" spans="1:5">
      <c r="A143" s="322"/>
      <c r="B143" s="322"/>
      <c r="C143" s="322"/>
      <c r="D143" s="322"/>
      <c r="E143" s="322"/>
    </row>
    <row r="144" spans="1:5">
      <c r="A144" s="322"/>
      <c r="B144" s="322"/>
      <c r="C144" s="322"/>
      <c r="D144" s="322"/>
      <c r="E144" s="322"/>
    </row>
    <row r="145" spans="1:5">
      <c r="A145" s="322"/>
      <c r="B145" s="322"/>
      <c r="C145" s="322"/>
      <c r="D145" s="322"/>
      <c r="E145" s="322"/>
    </row>
    <row r="146" spans="1:5">
      <c r="A146" s="322"/>
      <c r="B146" s="322"/>
      <c r="C146" s="322"/>
      <c r="D146" s="322"/>
      <c r="E146" s="322"/>
    </row>
    <row r="147" spans="1:5">
      <c r="A147" s="322"/>
      <c r="B147" s="322"/>
      <c r="C147" s="322"/>
      <c r="D147" s="322"/>
      <c r="E147" s="322"/>
    </row>
    <row r="148" spans="1:5">
      <c r="A148" s="322"/>
      <c r="B148" s="322"/>
      <c r="C148" s="322"/>
      <c r="D148" s="322"/>
      <c r="E148" s="322"/>
    </row>
    <row r="149" spans="1:5">
      <c r="A149" s="322"/>
      <c r="B149" s="322"/>
      <c r="C149" s="322"/>
      <c r="D149" s="322"/>
      <c r="E149" s="322"/>
    </row>
    <row r="150" spans="1:5">
      <c r="A150" s="322"/>
      <c r="B150" s="322"/>
      <c r="C150" s="322"/>
      <c r="D150" s="322"/>
      <c r="E150" s="322"/>
    </row>
    <row r="151" spans="1:5">
      <c r="A151" s="322"/>
      <c r="B151" s="322"/>
      <c r="C151" s="322"/>
      <c r="D151" s="322"/>
      <c r="E151" s="322"/>
    </row>
    <row r="152" spans="1:5">
      <c r="A152" s="322"/>
      <c r="B152" s="322"/>
      <c r="C152" s="322"/>
      <c r="D152" s="322"/>
      <c r="E152" s="322"/>
    </row>
    <row r="153" spans="1:5">
      <c r="A153" s="322"/>
      <c r="B153" s="322"/>
      <c r="C153" s="322"/>
      <c r="D153" s="322"/>
      <c r="E153" s="322"/>
    </row>
    <row r="154" spans="1:5">
      <c r="A154" s="322"/>
      <c r="B154" s="322"/>
      <c r="C154" s="322"/>
      <c r="D154" s="322"/>
      <c r="E154" s="322"/>
    </row>
    <row r="155" spans="1:5">
      <c r="A155" s="322"/>
      <c r="B155" s="322"/>
      <c r="C155" s="322"/>
      <c r="D155" s="322"/>
      <c r="E155" s="322"/>
    </row>
    <row r="156" spans="1:5">
      <c r="A156" s="322"/>
      <c r="B156" s="322"/>
      <c r="C156" s="322"/>
      <c r="D156" s="322"/>
      <c r="E156" s="322"/>
    </row>
    <row r="157" spans="1:5">
      <c r="A157" s="322"/>
      <c r="B157" s="322"/>
      <c r="C157" s="322"/>
      <c r="D157" s="322"/>
      <c r="E157" s="322"/>
    </row>
    <row r="158" spans="1:5">
      <c r="A158" s="322"/>
      <c r="B158" s="322"/>
      <c r="C158" s="322"/>
      <c r="D158" s="322"/>
      <c r="E158" s="322"/>
    </row>
    <row r="159" spans="1:5">
      <c r="A159" s="322"/>
      <c r="B159" s="322"/>
      <c r="C159" s="322"/>
      <c r="D159" s="322"/>
      <c r="E159" s="322"/>
    </row>
    <row r="160" spans="1:5">
      <c r="A160" s="322"/>
      <c r="B160" s="322"/>
      <c r="C160" s="322"/>
      <c r="D160" s="322"/>
      <c r="E160" s="322"/>
    </row>
    <row r="161" spans="1:5">
      <c r="A161" s="322"/>
      <c r="B161" s="322"/>
      <c r="C161" s="322"/>
      <c r="D161" s="322"/>
      <c r="E161" s="322"/>
    </row>
    <row r="162" spans="1:5">
      <c r="A162" s="322"/>
      <c r="B162" s="322"/>
      <c r="C162" s="322"/>
      <c r="D162" s="322"/>
      <c r="E162" s="322"/>
    </row>
    <row r="163" spans="1:5">
      <c r="A163" s="322"/>
      <c r="B163" s="322"/>
      <c r="C163" s="322"/>
      <c r="D163" s="322"/>
      <c r="E163" s="322"/>
    </row>
    <row r="164" spans="1:5">
      <c r="A164" s="322"/>
      <c r="B164" s="322"/>
      <c r="C164" s="322"/>
      <c r="D164" s="322"/>
      <c r="E164" s="322"/>
    </row>
    <row r="165" spans="1:5">
      <c r="A165" s="322"/>
      <c r="B165" s="322"/>
      <c r="C165" s="322"/>
      <c r="D165" s="322"/>
      <c r="E165" s="322"/>
    </row>
    <row r="166" spans="1:5">
      <c r="A166" s="322"/>
      <c r="B166" s="322"/>
      <c r="C166" s="322"/>
      <c r="D166" s="322"/>
      <c r="E166" s="322"/>
    </row>
    <row r="167" spans="1:5">
      <c r="A167" s="322"/>
      <c r="B167" s="322"/>
      <c r="C167" s="322"/>
      <c r="D167" s="322"/>
      <c r="E167" s="322"/>
    </row>
    <row r="168" spans="1:5">
      <c r="A168" s="322"/>
      <c r="B168" s="322"/>
      <c r="C168" s="322"/>
      <c r="D168" s="322"/>
      <c r="E168" s="322"/>
    </row>
    <row r="169" spans="1:5">
      <c r="A169" s="322"/>
      <c r="B169" s="322"/>
      <c r="C169" s="322"/>
      <c r="D169" s="322"/>
      <c r="E169" s="322"/>
    </row>
    <row r="170" spans="1:5">
      <c r="A170" s="322"/>
      <c r="B170" s="322"/>
      <c r="C170" s="322"/>
      <c r="D170" s="322"/>
      <c r="E170" s="322"/>
    </row>
    <row r="171" spans="1:5">
      <c r="A171" s="322"/>
      <c r="B171" s="322"/>
      <c r="C171" s="322"/>
      <c r="D171" s="322"/>
      <c r="E171" s="322"/>
    </row>
    <row r="172" spans="1:5">
      <c r="A172" s="322"/>
      <c r="B172" s="322"/>
      <c r="C172" s="322"/>
      <c r="D172" s="322"/>
      <c r="E172" s="322"/>
    </row>
    <row r="173" spans="1:5">
      <c r="A173" s="322"/>
      <c r="B173" s="322"/>
      <c r="C173" s="322"/>
      <c r="D173" s="322"/>
      <c r="E173" s="322"/>
    </row>
    <row r="174" spans="1:5">
      <c r="A174" s="322"/>
      <c r="B174" s="322"/>
      <c r="C174" s="322"/>
      <c r="D174" s="322"/>
      <c r="E174" s="322"/>
    </row>
    <row r="175" spans="1:5">
      <c r="A175" s="322"/>
      <c r="B175" s="322"/>
      <c r="C175" s="322"/>
      <c r="D175" s="322"/>
      <c r="E175" s="322"/>
    </row>
    <row r="176" spans="1:5">
      <c r="A176" s="322"/>
      <c r="B176" s="322"/>
      <c r="C176" s="322"/>
      <c r="D176" s="322"/>
      <c r="E176" s="322"/>
    </row>
    <row r="177" spans="1:5">
      <c r="A177" s="322"/>
      <c r="B177" s="322"/>
      <c r="C177" s="322"/>
      <c r="D177" s="322"/>
      <c r="E177" s="322"/>
    </row>
    <row r="178" spans="1:5">
      <c r="A178" s="322"/>
      <c r="B178" s="322"/>
      <c r="C178" s="322"/>
      <c r="D178" s="322"/>
      <c r="E178" s="322"/>
    </row>
    <row r="179" spans="1:5">
      <c r="A179" s="322"/>
      <c r="B179" s="322"/>
      <c r="C179" s="322"/>
      <c r="D179" s="322"/>
      <c r="E179" s="322"/>
    </row>
    <row r="180" spans="1:5">
      <c r="A180" s="322"/>
      <c r="B180" s="322"/>
      <c r="C180" s="322"/>
      <c r="D180" s="322"/>
      <c r="E180" s="322"/>
    </row>
    <row r="181" spans="1:5">
      <c r="A181" s="322"/>
      <c r="B181" s="322"/>
      <c r="C181" s="322"/>
      <c r="D181" s="322"/>
      <c r="E181" s="322"/>
    </row>
    <row r="182" spans="1:5">
      <c r="A182" s="322"/>
      <c r="B182" s="322"/>
      <c r="C182" s="322"/>
      <c r="D182" s="322"/>
      <c r="E182" s="322"/>
    </row>
    <row r="183" spans="1:5">
      <c r="A183" s="322"/>
      <c r="B183" s="322"/>
      <c r="C183" s="322"/>
      <c r="D183" s="322"/>
      <c r="E183" s="322"/>
    </row>
    <row r="184" spans="1:5">
      <c r="A184" s="322"/>
      <c r="B184" s="322"/>
      <c r="C184" s="322"/>
      <c r="D184" s="322"/>
      <c r="E184" s="322"/>
    </row>
    <row r="185" spans="1:5">
      <c r="A185" s="322"/>
      <c r="B185" s="322"/>
      <c r="C185" s="322"/>
      <c r="D185" s="322"/>
      <c r="E185" s="322"/>
    </row>
    <row r="186" spans="1:5">
      <c r="A186" s="322"/>
      <c r="B186" s="322"/>
      <c r="C186" s="322"/>
      <c r="D186" s="322"/>
      <c r="E186" s="322"/>
    </row>
    <row r="187" spans="1:5">
      <c r="A187" s="322"/>
      <c r="B187" s="322"/>
      <c r="C187" s="322"/>
      <c r="D187" s="322"/>
      <c r="E187" s="322"/>
    </row>
    <row r="188" spans="1:5">
      <c r="A188" s="322"/>
      <c r="B188" s="322"/>
      <c r="C188" s="322"/>
      <c r="D188" s="322"/>
      <c r="E188" s="322"/>
    </row>
    <row r="189" spans="1:5">
      <c r="A189" s="322"/>
      <c r="B189" s="322"/>
      <c r="C189" s="322"/>
      <c r="D189" s="322"/>
      <c r="E189" s="322"/>
    </row>
    <row r="190" spans="1:5">
      <c r="A190" s="322"/>
      <c r="B190" s="322"/>
      <c r="C190" s="322"/>
      <c r="D190" s="322"/>
      <c r="E190" s="322"/>
    </row>
    <row r="191" spans="1:5">
      <c r="A191" s="322"/>
      <c r="B191" s="322"/>
      <c r="C191" s="322"/>
      <c r="D191" s="322"/>
      <c r="E191" s="322"/>
    </row>
    <row r="192" spans="1:5">
      <c r="A192" s="322"/>
      <c r="B192" s="322"/>
      <c r="C192" s="322"/>
      <c r="D192" s="322"/>
      <c r="E192" s="322"/>
    </row>
    <row r="193" spans="1:5">
      <c r="A193" s="322"/>
      <c r="B193" s="322"/>
      <c r="C193" s="322"/>
      <c r="D193" s="322"/>
      <c r="E193" s="322"/>
    </row>
    <row r="194" spans="1:5">
      <c r="A194" s="322"/>
      <c r="B194" s="322"/>
      <c r="C194" s="322"/>
      <c r="D194" s="322"/>
      <c r="E194" s="322"/>
    </row>
    <row r="195" spans="1:5">
      <c r="A195" s="322"/>
      <c r="B195" s="322"/>
      <c r="C195" s="322"/>
      <c r="D195" s="322"/>
      <c r="E195" s="322"/>
    </row>
    <row r="196" spans="1:5">
      <c r="A196" s="322"/>
      <c r="B196" s="322"/>
      <c r="C196" s="322"/>
      <c r="D196" s="322"/>
      <c r="E196" s="322"/>
    </row>
    <row r="197" spans="1:5">
      <c r="A197" s="322"/>
      <c r="B197" s="322"/>
      <c r="C197" s="322"/>
      <c r="D197" s="322"/>
      <c r="E197" s="322"/>
    </row>
    <row r="198" spans="1:5">
      <c r="A198" s="322"/>
      <c r="B198" s="322"/>
      <c r="C198" s="322"/>
      <c r="D198" s="322"/>
      <c r="E198" s="322"/>
    </row>
    <row r="199" spans="1:5">
      <c r="A199" s="322"/>
      <c r="B199" s="322"/>
      <c r="C199" s="322"/>
      <c r="D199" s="322"/>
      <c r="E199" s="322"/>
    </row>
    <row r="200" spans="1:5">
      <c r="A200" s="322"/>
      <c r="B200" s="322"/>
      <c r="C200" s="322"/>
      <c r="D200" s="322"/>
      <c r="E200" s="322"/>
    </row>
    <row r="201" spans="1:5">
      <c r="A201" s="322"/>
      <c r="B201" s="322"/>
      <c r="C201" s="322"/>
      <c r="D201" s="322"/>
      <c r="E201" s="322"/>
    </row>
    <row r="202" spans="1:5">
      <c r="A202" s="322"/>
      <c r="B202" s="322"/>
      <c r="C202" s="322"/>
      <c r="D202" s="322"/>
      <c r="E202" s="322"/>
    </row>
    <row r="203" spans="1:5">
      <c r="A203" s="322"/>
      <c r="B203" s="322"/>
      <c r="C203" s="322"/>
      <c r="D203" s="322"/>
      <c r="E203" s="322"/>
    </row>
    <row r="204" spans="1:5">
      <c r="A204" s="322"/>
      <c r="B204" s="322"/>
      <c r="C204" s="322"/>
      <c r="D204" s="322"/>
      <c r="E204" s="322"/>
    </row>
    <row r="205" spans="1:5">
      <c r="A205" s="322"/>
      <c r="B205" s="322"/>
      <c r="C205" s="322"/>
      <c r="D205" s="322"/>
      <c r="E205" s="322"/>
    </row>
    <row r="206" spans="1:5">
      <c r="A206" s="322"/>
      <c r="B206" s="322"/>
      <c r="C206" s="322"/>
      <c r="D206" s="322"/>
      <c r="E206" s="322"/>
    </row>
    <row r="207" spans="1:5">
      <c r="A207" s="322"/>
      <c r="B207" s="322"/>
      <c r="C207" s="322"/>
      <c r="D207" s="322"/>
      <c r="E207" s="322"/>
    </row>
    <row r="208" spans="1:5">
      <c r="A208" s="322"/>
      <c r="B208" s="322"/>
      <c r="C208" s="322"/>
      <c r="D208" s="322"/>
      <c r="E208" s="322"/>
    </row>
    <row r="209" spans="1:5">
      <c r="A209" s="322"/>
      <c r="B209" s="322"/>
      <c r="C209" s="322"/>
      <c r="D209" s="322"/>
      <c r="E209" s="322"/>
    </row>
    <row r="210" spans="1:5">
      <c r="A210" s="322"/>
      <c r="B210" s="322"/>
      <c r="C210" s="322"/>
      <c r="D210" s="322"/>
      <c r="E210" s="322"/>
    </row>
    <row r="211" spans="1:5">
      <c r="A211" s="322"/>
      <c r="B211" s="322"/>
      <c r="C211" s="322"/>
      <c r="D211" s="322"/>
      <c r="E211" s="322"/>
    </row>
    <row r="212" spans="1:5">
      <c r="A212" s="322"/>
      <c r="B212" s="322"/>
      <c r="C212" s="322"/>
      <c r="D212" s="322"/>
      <c r="E212" s="322"/>
    </row>
    <row r="213" spans="1:5">
      <c r="A213" s="322"/>
      <c r="B213" s="322"/>
      <c r="C213" s="322"/>
      <c r="D213" s="322"/>
      <c r="E213" s="322"/>
    </row>
    <row r="214" spans="1:5">
      <c r="A214" s="322"/>
      <c r="B214" s="322"/>
      <c r="C214" s="322"/>
      <c r="D214" s="322"/>
      <c r="E214" s="322"/>
    </row>
    <row r="215" spans="1:5">
      <c r="A215" s="322"/>
      <c r="B215" s="322"/>
      <c r="C215" s="322"/>
      <c r="D215" s="322"/>
      <c r="E215" s="322"/>
    </row>
    <row r="216" spans="1:5">
      <c r="A216" s="322"/>
      <c r="B216" s="322"/>
      <c r="C216" s="322"/>
      <c r="D216" s="322"/>
      <c r="E216" s="322"/>
    </row>
    <row r="217" spans="1:5">
      <c r="A217" s="322"/>
      <c r="B217" s="322"/>
      <c r="C217" s="322"/>
      <c r="D217" s="322"/>
      <c r="E217" s="322"/>
    </row>
    <row r="218" spans="1:5">
      <c r="A218" s="322"/>
      <c r="B218" s="322"/>
      <c r="C218" s="322"/>
      <c r="D218" s="322"/>
      <c r="E218" s="322"/>
    </row>
    <row r="219" spans="1:5">
      <c r="A219" s="322"/>
      <c r="B219" s="322"/>
      <c r="C219" s="322"/>
      <c r="D219" s="322"/>
      <c r="E219" s="322"/>
    </row>
    <row r="220" spans="1:5">
      <c r="A220" s="322"/>
      <c r="B220" s="322"/>
      <c r="C220" s="322"/>
      <c r="D220" s="322"/>
      <c r="E220" s="322"/>
    </row>
    <row r="221" spans="1:5">
      <c r="A221" s="322"/>
      <c r="B221" s="322"/>
      <c r="C221" s="322"/>
      <c r="D221" s="322"/>
      <c r="E221" s="322"/>
    </row>
    <row r="222" spans="1:5">
      <c r="A222" s="322"/>
      <c r="B222" s="322"/>
      <c r="C222" s="322"/>
      <c r="D222" s="322"/>
      <c r="E222" s="322"/>
    </row>
    <row r="223" spans="1:5">
      <c r="A223" s="322"/>
      <c r="B223" s="322"/>
      <c r="C223" s="322"/>
      <c r="D223" s="322"/>
      <c r="E223" s="322"/>
    </row>
    <row r="224" spans="1:5">
      <c r="A224" s="322"/>
      <c r="B224" s="322"/>
      <c r="C224" s="322"/>
      <c r="D224" s="322"/>
      <c r="E224" s="322"/>
    </row>
    <row r="225" spans="1:5">
      <c r="A225" s="322"/>
      <c r="B225" s="322"/>
      <c r="C225" s="322"/>
      <c r="D225" s="322"/>
      <c r="E225" s="322"/>
    </row>
    <row r="226" spans="1:5">
      <c r="A226" s="322"/>
      <c r="B226" s="322"/>
      <c r="C226" s="322"/>
      <c r="D226" s="322"/>
      <c r="E226" s="322"/>
    </row>
    <row r="227" spans="1:5">
      <c r="A227" s="322"/>
      <c r="B227" s="322"/>
      <c r="C227" s="322"/>
      <c r="D227" s="322"/>
      <c r="E227" s="322"/>
    </row>
    <row r="228" spans="1:5">
      <c r="A228" s="322"/>
      <c r="B228" s="322"/>
      <c r="C228" s="322"/>
      <c r="D228" s="322"/>
      <c r="E228" s="322"/>
    </row>
    <row r="229" spans="1:5">
      <c r="A229" s="322"/>
      <c r="B229" s="322"/>
      <c r="C229" s="322"/>
      <c r="D229" s="322"/>
      <c r="E229" s="322"/>
    </row>
    <row r="230" spans="1:5">
      <c r="A230" s="322"/>
      <c r="B230" s="322"/>
      <c r="C230" s="322"/>
      <c r="D230" s="322"/>
      <c r="E230" s="322"/>
    </row>
    <row r="231" spans="1:5">
      <c r="A231" s="322"/>
      <c r="B231" s="322"/>
      <c r="C231" s="322"/>
      <c r="D231" s="322"/>
      <c r="E231" s="322"/>
    </row>
    <row r="232" spans="1:5">
      <c r="A232" s="322"/>
      <c r="B232" s="322"/>
      <c r="C232" s="322"/>
      <c r="D232" s="322"/>
      <c r="E232" s="322"/>
    </row>
    <row r="233" spans="1:5">
      <c r="A233" s="322"/>
      <c r="B233" s="322"/>
      <c r="C233" s="322"/>
      <c r="D233" s="322"/>
      <c r="E233" s="322"/>
    </row>
    <row r="234" spans="1:5">
      <c r="A234" s="322"/>
      <c r="B234" s="322"/>
      <c r="C234" s="322"/>
      <c r="D234" s="322"/>
      <c r="E234" s="322"/>
    </row>
    <row r="235" spans="1:5">
      <c r="A235" s="322"/>
      <c r="B235" s="322"/>
      <c r="C235" s="322"/>
      <c r="D235" s="322"/>
      <c r="E235" s="322"/>
    </row>
    <row r="236" spans="1:5">
      <c r="A236" s="322"/>
      <c r="B236" s="322"/>
      <c r="C236" s="322"/>
      <c r="D236" s="322"/>
      <c r="E236" s="322"/>
    </row>
    <row r="237" spans="1:5">
      <c r="A237" s="322"/>
      <c r="B237" s="322"/>
      <c r="C237" s="322"/>
      <c r="D237" s="322"/>
      <c r="E237" s="322"/>
    </row>
    <row r="238" spans="1:5">
      <c r="A238" s="322"/>
      <c r="B238" s="322"/>
      <c r="C238" s="322"/>
      <c r="D238" s="322"/>
      <c r="E238" s="322"/>
    </row>
    <row r="239" spans="1:5">
      <c r="A239" s="322"/>
      <c r="B239" s="322"/>
      <c r="C239" s="322"/>
      <c r="D239" s="322"/>
      <c r="E239" s="322"/>
    </row>
    <row r="240" spans="1:5">
      <c r="A240" s="322"/>
      <c r="B240" s="322"/>
      <c r="C240" s="322"/>
      <c r="D240" s="322"/>
      <c r="E240" s="322"/>
    </row>
    <row r="241" spans="1:5">
      <c r="A241" s="322"/>
      <c r="B241" s="322"/>
      <c r="C241" s="322"/>
      <c r="D241" s="322"/>
      <c r="E241" s="322"/>
    </row>
    <row r="242" spans="1:5">
      <c r="A242" s="322"/>
      <c r="B242" s="322"/>
      <c r="C242" s="322"/>
      <c r="D242" s="322"/>
      <c r="E242" s="322"/>
    </row>
    <row r="243" spans="1:5">
      <c r="A243" s="322"/>
      <c r="B243" s="322"/>
      <c r="C243" s="322"/>
      <c r="D243" s="322"/>
      <c r="E243" s="322"/>
    </row>
    <row r="244" spans="1:5">
      <c r="A244" s="322"/>
      <c r="B244" s="322"/>
      <c r="C244" s="322"/>
      <c r="D244" s="322"/>
      <c r="E244" s="322"/>
    </row>
    <row r="245" spans="1:5">
      <c r="A245" s="322"/>
      <c r="B245" s="322"/>
      <c r="C245" s="322"/>
      <c r="D245" s="322"/>
      <c r="E245" s="322"/>
    </row>
    <row r="246" spans="1:5">
      <c r="A246" s="322"/>
      <c r="B246" s="322"/>
      <c r="C246" s="322"/>
      <c r="D246" s="322"/>
      <c r="E246" s="322"/>
    </row>
    <row r="247" spans="1:5">
      <c r="A247" s="322"/>
      <c r="B247" s="322"/>
      <c r="C247" s="322"/>
      <c r="D247" s="322"/>
      <c r="E247" s="322"/>
    </row>
    <row r="248" spans="1:5">
      <c r="A248" s="322"/>
      <c r="B248" s="322"/>
      <c r="C248" s="322"/>
      <c r="D248" s="322"/>
      <c r="E248" s="322"/>
    </row>
    <row r="249" spans="1:5">
      <c r="A249" s="322"/>
      <c r="B249" s="322"/>
      <c r="C249" s="322"/>
      <c r="D249" s="322"/>
      <c r="E249" s="322"/>
    </row>
    <row r="250" spans="1:5">
      <c r="A250" s="322"/>
      <c r="B250" s="322"/>
      <c r="C250" s="322"/>
      <c r="D250" s="322"/>
      <c r="E250" s="322"/>
    </row>
    <row r="251" spans="1:5">
      <c r="A251" s="322"/>
      <c r="B251" s="322"/>
      <c r="C251" s="322"/>
      <c r="D251" s="322"/>
      <c r="E251" s="322"/>
    </row>
    <row r="252" spans="1:5">
      <c r="A252" s="322"/>
      <c r="B252" s="322"/>
      <c r="C252" s="322"/>
      <c r="D252" s="322"/>
      <c r="E252" s="322"/>
    </row>
    <row r="253" spans="1:5">
      <c r="A253" s="322"/>
      <c r="B253" s="322"/>
      <c r="C253" s="322"/>
      <c r="D253" s="322"/>
      <c r="E253" s="322"/>
    </row>
    <row r="254" spans="1:5">
      <c r="A254" s="322"/>
      <c r="B254" s="322"/>
      <c r="C254" s="322"/>
      <c r="D254" s="322"/>
      <c r="E254" s="322"/>
    </row>
    <row r="255" spans="1:5">
      <c r="A255" s="322"/>
      <c r="B255" s="322"/>
      <c r="C255" s="322"/>
      <c r="D255" s="322"/>
      <c r="E255" s="322"/>
    </row>
    <row r="256" spans="1:5">
      <c r="A256" s="322"/>
      <c r="B256" s="322"/>
      <c r="C256" s="322"/>
      <c r="D256" s="322"/>
      <c r="E256" s="322"/>
    </row>
    <row r="257" spans="1:5">
      <c r="A257" s="322"/>
      <c r="B257" s="322"/>
      <c r="C257" s="322"/>
      <c r="D257" s="322"/>
      <c r="E257" s="322"/>
    </row>
    <row r="258" spans="1:5">
      <c r="A258" s="322"/>
      <c r="B258" s="322"/>
      <c r="C258" s="322"/>
      <c r="D258" s="322"/>
      <c r="E258" s="322"/>
    </row>
    <row r="259" spans="1:5">
      <c r="A259" s="322"/>
      <c r="B259" s="322"/>
      <c r="C259" s="322"/>
      <c r="D259" s="322"/>
      <c r="E259" s="322"/>
    </row>
    <row r="260" spans="1:5">
      <c r="A260" s="322"/>
      <c r="B260" s="322"/>
      <c r="C260" s="322"/>
      <c r="D260" s="322"/>
      <c r="E260" s="322"/>
    </row>
    <row r="261" spans="1:5">
      <c r="A261" s="322"/>
      <c r="B261" s="322"/>
      <c r="C261" s="322"/>
      <c r="D261" s="322"/>
      <c r="E261" s="322"/>
    </row>
    <row r="262" spans="1:5">
      <c r="A262" s="322"/>
      <c r="B262" s="322"/>
      <c r="C262" s="322"/>
      <c r="D262" s="322"/>
      <c r="E262" s="322"/>
    </row>
    <row r="263" spans="1:5">
      <c r="A263" s="322"/>
      <c r="B263" s="322"/>
      <c r="C263" s="322"/>
      <c r="D263" s="322"/>
      <c r="E263" s="322"/>
    </row>
    <row r="264" spans="1:5">
      <c r="A264" s="322"/>
      <c r="B264" s="322"/>
      <c r="C264" s="322"/>
      <c r="D264" s="322"/>
      <c r="E264" s="322"/>
    </row>
    <row r="265" spans="1:5">
      <c r="A265" s="322"/>
      <c r="B265" s="322"/>
      <c r="C265" s="322"/>
      <c r="D265" s="322"/>
      <c r="E265" s="322"/>
    </row>
    <row r="266" spans="1:5">
      <c r="A266" s="322"/>
      <c r="B266" s="322"/>
      <c r="C266" s="322"/>
      <c r="D266" s="322"/>
      <c r="E266" s="322"/>
    </row>
    <row r="267" spans="1:5">
      <c r="A267" s="322"/>
      <c r="B267" s="322"/>
      <c r="C267" s="322"/>
      <c r="D267" s="322"/>
      <c r="E267" s="322"/>
    </row>
    <row r="268" spans="1:5">
      <c r="A268" s="322"/>
      <c r="B268" s="322"/>
      <c r="C268" s="322"/>
      <c r="D268" s="322"/>
      <c r="E268" s="322"/>
    </row>
    <row r="269" spans="1:5">
      <c r="A269" s="322"/>
      <c r="B269" s="322"/>
      <c r="C269" s="322"/>
      <c r="D269" s="322"/>
      <c r="E269" s="322"/>
    </row>
    <row r="270" spans="1:5">
      <c r="A270" s="322"/>
      <c r="B270" s="322"/>
      <c r="C270" s="322"/>
      <c r="D270" s="322"/>
      <c r="E270" s="322"/>
    </row>
    <row r="271" spans="1:5">
      <c r="A271" s="322"/>
      <c r="B271" s="322"/>
      <c r="C271" s="322"/>
      <c r="D271" s="322"/>
      <c r="E271" s="322"/>
    </row>
    <row r="272" spans="1:5">
      <c r="A272" s="322"/>
      <c r="B272" s="322"/>
      <c r="C272" s="322"/>
      <c r="D272" s="322"/>
      <c r="E272" s="322"/>
    </row>
    <row r="273" spans="1:5">
      <c r="A273" s="322"/>
      <c r="B273" s="322"/>
      <c r="C273" s="322"/>
      <c r="D273" s="322"/>
      <c r="E273" s="322"/>
    </row>
    <row r="274" spans="1:5">
      <c r="A274" s="322"/>
      <c r="B274" s="322"/>
      <c r="C274" s="322"/>
      <c r="D274" s="322"/>
      <c r="E274" s="322"/>
    </row>
    <row r="275" spans="1:5">
      <c r="A275" s="322"/>
      <c r="B275" s="322"/>
      <c r="C275" s="322"/>
      <c r="D275" s="322"/>
      <c r="E275" s="322"/>
    </row>
    <row r="276" spans="1:5">
      <c r="A276" s="322"/>
      <c r="B276" s="322"/>
      <c r="C276" s="322"/>
      <c r="D276" s="322"/>
      <c r="E276" s="322"/>
    </row>
    <row r="277" spans="1:5">
      <c r="A277" s="322"/>
      <c r="B277" s="322"/>
      <c r="C277" s="322"/>
      <c r="D277" s="322"/>
      <c r="E277" s="322"/>
    </row>
    <row r="278" spans="1:5">
      <c r="A278" s="322"/>
      <c r="B278" s="322"/>
      <c r="C278" s="322"/>
      <c r="D278" s="322"/>
      <c r="E278" s="322"/>
    </row>
    <row r="279" spans="1:5">
      <c r="A279" s="322"/>
      <c r="B279" s="322"/>
      <c r="C279" s="322"/>
      <c r="D279" s="322"/>
      <c r="E279" s="322"/>
    </row>
    <row r="280" spans="1:5">
      <c r="A280" s="322"/>
      <c r="B280" s="322"/>
      <c r="C280" s="322"/>
      <c r="D280" s="322"/>
      <c r="E280" s="322"/>
    </row>
    <row r="281" spans="1:5">
      <c r="A281" s="322"/>
      <c r="B281" s="322"/>
      <c r="C281" s="322"/>
      <c r="D281" s="322"/>
      <c r="E281" s="322"/>
    </row>
    <row r="282" spans="1:5">
      <c r="A282" s="322"/>
      <c r="B282" s="322"/>
      <c r="C282" s="322"/>
      <c r="D282" s="322"/>
      <c r="E282" s="322"/>
    </row>
    <row r="283" spans="1:5">
      <c r="A283" s="322"/>
      <c r="B283" s="322"/>
      <c r="C283" s="322"/>
      <c r="D283" s="322"/>
      <c r="E283" s="322"/>
    </row>
    <row r="284" spans="1:5">
      <c r="A284" s="322"/>
      <c r="B284" s="322"/>
      <c r="C284" s="322"/>
      <c r="D284" s="322"/>
      <c r="E284" s="322"/>
    </row>
    <row r="285" spans="1:5">
      <c r="A285" s="322"/>
      <c r="B285" s="322"/>
      <c r="C285" s="322"/>
      <c r="D285" s="322"/>
      <c r="E285" s="322"/>
    </row>
    <row r="286" spans="1:5">
      <c r="A286" s="322"/>
      <c r="B286" s="322"/>
      <c r="C286" s="322"/>
      <c r="D286" s="322"/>
      <c r="E286" s="322"/>
    </row>
    <row r="287" spans="1:5">
      <c r="A287" s="322"/>
      <c r="B287" s="322"/>
      <c r="C287" s="322"/>
      <c r="D287" s="322"/>
      <c r="E287" s="322"/>
    </row>
    <row r="288" spans="1:5">
      <c r="A288" s="322"/>
      <c r="B288" s="322"/>
      <c r="C288" s="322"/>
      <c r="D288" s="322"/>
      <c r="E288" s="322"/>
    </row>
    <row r="289" spans="1:5">
      <c r="A289" s="322"/>
      <c r="B289" s="322"/>
      <c r="C289" s="322"/>
      <c r="D289" s="322"/>
      <c r="E289" s="322"/>
    </row>
    <row r="290" spans="1:5">
      <c r="A290" s="322"/>
      <c r="B290" s="322"/>
      <c r="C290" s="322"/>
      <c r="D290" s="322"/>
      <c r="E290" s="322"/>
    </row>
    <row r="291" spans="1:5">
      <c r="A291" s="322"/>
      <c r="B291" s="322"/>
      <c r="C291" s="322"/>
      <c r="D291" s="322"/>
      <c r="E291" s="322"/>
    </row>
    <row r="292" spans="1:5">
      <c r="A292" s="322"/>
      <c r="B292" s="322"/>
      <c r="C292" s="322"/>
      <c r="D292" s="322"/>
      <c r="E292" s="322"/>
    </row>
    <row r="293" spans="1:5">
      <c r="A293" s="322"/>
      <c r="B293" s="322"/>
      <c r="C293" s="322"/>
      <c r="D293" s="322"/>
      <c r="E293" s="322"/>
    </row>
    <row r="294" spans="1:5">
      <c r="A294" s="322"/>
      <c r="B294" s="322"/>
      <c r="C294" s="322"/>
      <c r="D294" s="322"/>
      <c r="E294" s="322"/>
    </row>
    <row r="295" spans="1:5">
      <c r="A295" s="322"/>
      <c r="B295" s="322"/>
      <c r="C295" s="322"/>
      <c r="D295" s="322"/>
      <c r="E295" s="322"/>
    </row>
    <row r="296" spans="1:5">
      <c r="A296" s="322"/>
      <c r="B296" s="322"/>
      <c r="C296" s="322"/>
      <c r="D296" s="322"/>
      <c r="E296" s="322"/>
    </row>
    <row r="297" spans="1:5">
      <c r="A297" s="322"/>
      <c r="B297" s="322"/>
      <c r="C297" s="322"/>
      <c r="D297" s="322"/>
      <c r="E297" s="322"/>
    </row>
    <row r="298" spans="1:5">
      <c r="A298" s="322"/>
      <c r="B298" s="322"/>
      <c r="C298" s="322"/>
      <c r="D298" s="322"/>
      <c r="E298" s="322"/>
    </row>
    <row r="299" spans="1:5">
      <c r="A299" s="322"/>
      <c r="B299" s="322"/>
      <c r="C299" s="322"/>
      <c r="D299" s="322"/>
      <c r="E299" s="322"/>
    </row>
    <row r="300" spans="1:5">
      <c r="A300" s="322"/>
      <c r="B300" s="322"/>
      <c r="C300" s="322"/>
      <c r="D300" s="322"/>
      <c r="E300" s="322"/>
    </row>
    <row r="301" spans="1:5">
      <c r="A301" s="322"/>
      <c r="B301" s="322"/>
      <c r="C301" s="322"/>
      <c r="D301" s="322"/>
      <c r="E301" s="322"/>
    </row>
    <row r="302" spans="1:5">
      <c r="A302" s="322"/>
      <c r="B302" s="322"/>
      <c r="C302" s="322"/>
      <c r="D302" s="322"/>
      <c r="E302" s="322"/>
    </row>
    <row r="303" spans="1:5">
      <c r="A303" s="322"/>
      <c r="B303" s="322"/>
      <c r="C303" s="322"/>
      <c r="D303" s="322"/>
      <c r="E303" s="322"/>
    </row>
    <row r="304" spans="1:5">
      <c r="A304" s="322"/>
      <c r="B304" s="322"/>
      <c r="C304" s="322"/>
      <c r="D304" s="322"/>
      <c r="E304" s="322"/>
    </row>
    <row r="305" spans="1:5">
      <c r="A305" s="322"/>
      <c r="B305" s="322"/>
      <c r="C305" s="322"/>
      <c r="D305" s="322"/>
      <c r="E305" s="322"/>
    </row>
    <row r="306" spans="1:5">
      <c r="A306" s="322"/>
      <c r="B306" s="322"/>
      <c r="C306" s="322"/>
      <c r="D306" s="322"/>
      <c r="E306" s="322"/>
    </row>
    <row r="307" spans="1:5">
      <c r="A307" s="322"/>
      <c r="B307" s="322"/>
      <c r="C307" s="322"/>
      <c r="D307" s="322"/>
      <c r="E307" s="322"/>
    </row>
    <row r="308" spans="1:5">
      <c r="A308" s="322"/>
      <c r="B308" s="322"/>
      <c r="C308" s="322"/>
      <c r="D308" s="322"/>
      <c r="E308" s="322"/>
    </row>
    <row r="309" spans="1:5">
      <c r="A309" s="322"/>
      <c r="B309" s="322"/>
      <c r="C309" s="322"/>
      <c r="D309" s="322"/>
      <c r="E309" s="322"/>
    </row>
    <row r="310" spans="1:5">
      <c r="A310" s="322"/>
      <c r="B310" s="322"/>
      <c r="C310" s="322"/>
      <c r="D310" s="322"/>
      <c r="E310" s="322"/>
    </row>
    <row r="311" spans="1:5">
      <c r="A311" s="322"/>
      <c r="B311" s="322"/>
      <c r="C311" s="322"/>
      <c r="D311" s="322"/>
      <c r="E311" s="322"/>
    </row>
    <row r="312" spans="1:5">
      <c r="A312" s="322"/>
      <c r="B312" s="322"/>
      <c r="C312" s="322"/>
      <c r="D312" s="322"/>
      <c r="E312" s="322"/>
    </row>
    <row r="313" spans="1:5">
      <c r="A313" s="322"/>
      <c r="B313" s="322"/>
      <c r="C313" s="322"/>
      <c r="D313" s="322"/>
      <c r="E313" s="322"/>
    </row>
    <row r="314" spans="1:5">
      <c r="A314" s="322"/>
      <c r="B314" s="322"/>
      <c r="C314" s="322"/>
      <c r="D314" s="322"/>
      <c r="E314" s="322"/>
    </row>
    <row r="315" spans="1:5">
      <c r="A315" s="322"/>
      <c r="B315" s="322"/>
      <c r="C315" s="322"/>
      <c r="D315" s="322"/>
      <c r="E315" s="322"/>
    </row>
    <row r="316" spans="1:5">
      <c r="A316" s="322"/>
      <c r="B316" s="322"/>
      <c r="C316" s="322"/>
      <c r="D316" s="322"/>
      <c r="E316" s="322"/>
    </row>
    <row r="317" spans="1:5">
      <c r="A317" s="322"/>
      <c r="B317" s="322"/>
      <c r="C317" s="322"/>
      <c r="D317" s="322"/>
      <c r="E317" s="322"/>
    </row>
    <row r="318" spans="1:5">
      <c r="A318" s="322"/>
      <c r="B318" s="322"/>
      <c r="C318" s="322"/>
      <c r="D318" s="322"/>
      <c r="E318" s="322"/>
    </row>
    <row r="319" spans="1:5">
      <c r="A319" s="322"/>
      <c r="B319" s="322"/>
      <c r="C319" s="322"/>
      <c r="D319" s="322"/>
      <c r="E319" s="322"/>
    </row>
    <row r="320" spans="1:5">
      <c r="A320" s="322"/>
      <c r="B320" s="322"/>
      <c r="C320" s="322"/>
      <c r="D320" s="322"/>
      <c r="E320" s="322"/>
    </row>
    <row r="321" spans="1:5">
      <c r="A321" s="322"/>
      <c r="B321" s="322"/>
      <c r="C321" s="322"/>
      <c r="D321" s="322"/>
      <c r="E321" s="322"/>
    </row>
    <row r="322" spans="1:5">
      <c r="A322" s="322"/>
      <c r="B322" s="322"/>
      <c r="C322" s="322"/>
      <c r="D322" s="322"/>
      <c r="E322" s="322"/>
    </row>
    <row r="323" spans="1:5">
      <c r="A323" s="322"/>
      <c r="B323" s="322"/>
      <c r="C323" s="322"/>
      <c r="D323" s="322"/>
      <c r="E323" s="322"/>
    </row>
    <row r="324" spans="1:5">
      <c r="A324" s="322"/>
      <c r="B324" s="322"/>
      <c r="C324" s="322"/>
      <c r="D324" s="322"/>
      <c r="E324" s="322"/>
    </row>
    <row r="325" spans="1:5">
      <c r="A325" s="322"/>
      <c r="B325" s="322"/>
      <c r="C325" s="322"/>
      <c r="D325" s="322"/>
      <c r="E325" s="322"/>
    </row>
    <row r="326" spans="1:5">
      <c r="A326" s="322"/>
      <c r="B326" s="322"/>
      <c r="C326" s="322"/>
      <c r="D326" s="322"/>
      <c r="E326" s="322"/>
    </row>
    <row r="327" spans="1:5">
      <c r="A327" s="322"/>
      <c r="B327" s="322"/>
      <c r="C327" s="322"/>
      <c r="D327" s="322"/>
      <c r="E327" s="322"/>
    </row>
    <row r="328" spans="1:5">
      <c r="A328" s="322"/>
      <c r="B328" s="322"/>
      <c r="C328" s="322"/>
      <c r="D328" s="322"/>
      <c r="E328" s="322"/>
    </row>
    <row r="329" spans="1:5">
      <c r="A329" s="322"/>
      <c r="B329" s="322"/>
      <c r="C329" s="322"/>
      <c r="D329" s="322"/>
      <c r="E329" s="322"/>
    </row>
    <row r="330" spans="1:5">
      <c r="A330" s="322"/>
      <c r="B330" s="322"/>
      <c r="C330" s="322"/>
      <c r="D330" s="322"/>
      <c r="E330" s="322"/>
    </row>
    <row r="331" spans="1:5">
      <c r="A331" s="322"/>
      <c r="B331" s="322"/>
      <c r="C331" s="322"/>
      <c r="D331" s="322"/>
      <c r="E331" s="322"/>
    </row>
    <row r="332" spans="1:5">
      <c r="A332" s="322"/>
      <c r="B332" s="322"/>
      <c r="C332" s="322"/>
      <c r="D332" s="322"/>
      <c r="E332" s="322"/>
    </row>
    <row r="333" spans="1:5">
      <c r="A333" s="322"/>
      <c r="B333" s="322"/>
      <c r="C333" s="322"/>
      <c r="D333" s="322"/>
      <c r="E333" s="322"/>
    </row>
    <row r="334" spans="1:5">
      <c r="A334" s="322"/>
      <c r="B334" s="322"/>
      <c r="C334" s="322"/>
      <c r="D334" s="322"/>
      <c r="E334" s="322"/>
    </row>
    <row r="335" spans="1:5">
      <c r="A335" s="322"/>
      <c r="B335" s="322"/>
      <c r="C335" s="322"/>
      <c r="D335" s="322"/>
      <c r="E335" s="322"/>
    </row>
    <row r="336" spans="1:5">
      <c r="A336" s="322"/>
      <c r="B336" s="322"/>
      <c r="C336" s="322"/>
      <c r="D336" s="322"/>
      <c r="E336" s="322"/>
    </row>
    <row r="337" spans="1:5">
      <c r="A337" s="322"/>
      <c r="B337" s="322"/>
      <c r="C337" s="322"/>
      <c r="D337" s="322"/>
      <c r="E337" s="322"/>
    </row>
    <row r="338" spans="1:5">
      <c r="A338" s="322"/>
      <c r="B338" s="322"/>
      <c r="C338" s="322"/>
      <c r="D338" s="322"/>
      <c r="E338" s="322"/>
    </row>
    <row r="339" spans="1:5">
      <c r="A339" s="322"/>
      <c r="B339" s="322"/>
      <c r="C339" s="322"/>
      <c r="D339" s="322"/>
      <c r="E339" s="322"/>
    </row>
    <row r="340" spans="1:5">
      <c r="A340" s="322"/>
      <c r="B340" s="322"/>
      <c r="C340" s="322"/>
      <c r="D340" s="322"/>
      <c r="E340" s="322"/>
    </row>
    <row r="341" spans="1:5">
      <c r="A341" s="322"/>
      <c r="B341" s="322"/>
      <c r="C341" s="322"/>
      <c r="D341" s="322"/>
      <c r="E341" s="322"/>
    </row>
    <row r="342" spans="1:5">
      <c r="A342" s="322"/>
      <c r="B342" s="322"/>
      <c r="C342" s="322"/>
      <c r="D342" s="322"/>
      <c r="E342" s="322"/>
    </row>
    <row r="343" spans="1:5">
      <c r="A343" s="322"/>
      <c r="B343" s="322"/>
      <c r="C343" s="322"/>
      <c r="D343" s="322"/>
      <c r="E343" s="322"/>
    </row>
    <row r="344" spans="1:5">
      <c r="A344" s="322"/>
      <c r="B344" s="322"/>
      <c r="C344" s="322"/>
      <c r="D344" s="322"/>
      <c r="E344" s="322"/>
    </row>
    <row r="345" spans="1:5">
      <c r="A345" s="322"/>
      <c r="B345" s="322"/>
      <c r="C345" s="322"/>
      <c r="D345" s="322"/>
      <c r="E345" s="322"/>
    </row>
    <row r="346" spans="1:5">
      <c r="A346" s="322"/>
      <c r="B346" s="322"/>
      <c r="C346" s="322"/>
      <c r="D346" s="322"/>
      <c r="E346" s="322"/>
    </row>
    <row r="347" spans="1:5">
      <c r="A347" s="322"/>
      <c r="B347" s="322"/>
      <c r="C347" s="322"/>
      <c r="D347" s="322"/>
      <c r="E347" s="322"/>
    </row>
    <row r="348" spans="1:5">
      <c r="A348" s="322"/>
      <c r="B348" s="322"/>
      <c r="C348" s="322"/>
      <c r="D348" s="322"/>
      <c r="E348" s="322"/>
    </row>
    <row r="349" spans="1:5">
      <c r="A349" s="322"/>
      <c r="B349" s="322"/>
      <c r="C349" s="322"/>
      <c r="D349" s="322"/>
      <c r="E349" s="322"/>
    </row>
    <row r="350" spans="1:5">
      <c r="A350" s="322"/>
      <c r="B350" s="322"/>
      <c r="C350" s="322"/>
      <c r="D350" s="322"/>
      <c r="E350" s="322"/>
    </row>
    <row r="351" spans="1:5">
      <c r="A351" s="322"/>
      <c r="B351" s="322"/>
      <c r="C351" s="322"/>
      <c r="D351" s="322"/>
      <c r="E351" s="322"/>
    </row>
    <row r="352" spans="1:5">
      <c r="A352" s="322"/>
      <c r="B352" s="322"/>
      <c r="C352" s="322"/>
      <c r="D352" s="322"/>
      <c r="E352" s="322"/>
    </row>
    <row r="353" spans="1:5">
      <c r="A353" s="322"/>
      <c r="B353" s="322"/>
      <c r="C353" s="322"/>
      <c r="D353" s="322"/>
      <c r="E353" s="322"/>
    </row>
    <row r="354" spans="1:5">
      <c r="A354" s="322"/>
      <c r="B354" s="322"/>
      <c r="C354" s="322"/>
      <c r="D354" s="322"/>
      <c r="E354" s="322"/>
    </row>
    <row r="355" spans="1:5">
      <c r="A355" s="322"/>
      <c r="B355" s="322"/>
      <c r="C355" s="322"/>
      <c r="D355" s="322"/>
      <c r="E355" s="322"/>
    </row>
    <row r="356" spans="1:5">
      <c r="A356" s="322"/>
      <c r="B356" s="322"/>
      <c r="C356" s="322"/>
      <c r="D356" s="322"/>
      <c r="E356" s="322"/>
    </row>
    <row r="357" spans="1:5">
      <c r="A357" s="322"/>
      <c r="B357" s="322"/>
      <c r="C357" s="322"/>
      <c r="D357" s="322"/>
      <c r="E357" s="322"/>
    </row>
    <row r="358" spans="1:5">
      <c r="A358" s="322"/>
      <c r="B358" s="322"/>
      <c r="C358" s="322"/>
      <c r="D358" s="322"/>
      <c r="E358" s="322"/>
    </row>
    <row r="359" spans="1:5">
      <c r="A359" s="322"/>
      <c r="B359" s="322"/>
      <c r="C359" s="322"/>
      <c r="D359" s="322"/>
      <c r="E359" s="322"/>
    </row>
    <row r="360" spans="1:5">
      <c r="A360" s="322"/>
      <c r="B360" s="322"/>
      <c r="C360" s="322"/>
      <c r="D360" s="322"/>
      <c r="E360" s="322"/>
    </row>
    <row r="361" spans="1:5">
      <c r="A361" s="322"/>
      <c r="B361" s="322"/>
      <c r="C361" s="322"/>
      <c r="D361" s="322"/>
      <c r="E361" s="322"/>
    </row>
    <row r="362" spans="1:5">
      <c r="A362" s="322"/>
      <c r="B362" s="322"/>
      <c r="C362" s="322"/>
      <c r="D362" s="322"/>
      <c r="E362" s="322"/>
    </row>
    <row r="363" spans="1:5">
      <c r="A363" s="322"/>
      <c r="B363" s="322"/>
      <c r="C363" s="322"/>
      <c r="D363" s="322"/>
      <c r="E363" s="322"/>
    </row>
    <row r="364" spans="1:5">
      <c r="A364" s="322"/>
      <c r="B364" s="322"/>
      <c r="C364" s="322"/>
      <c r="D364" s="322"/>
      <c r="E364" s="322"/>
    </row>
    <row r="365" spans="1:5">
      <c r="A365" s="322"/>
      <c r="B365" s="322"/>
      <c r="C365" s="322"/>
      <c r="D365" s="322"/>
      <c r="E365" s="322"/>
    </row>
    <row r="366" spans="1:5">
      <c r="A366" s="322"/>
      <c r="B366" s="322"/>
      <c r="C366" s="322"/>
      <c r="D366" s="322"/>
      <c r="E366" s="322"/>
    </row>
    <row r="367" spans="1:5">
      <c r="A367" s="322"/>
      <c r="B367" s="322"/>
      <c r="C367" s="322"/>
      <c r="D367" s="322"/>
      <c r="E367" s="322"/>
    </row>
    <row r="368" spans="1:5">
      <c r="A368" s="322"/>
      <c r="B368" s="322"/>
      <c r="C368" s="322"/>
      <c r="D368" s="322"/>
      <c r="E368" s="322"/>
    </row>
    <row r="369" spans="1:5">
      <c r="A369" s="322"/>
      <c r="B369" s="322"/>
      <c r="C369" s="322"/>
      <c r="D369" s="322"/>
      <c r="E369" s="322"/>
    </row>
    <row r="370" spans="1:5">
      <c r="A370" s="322"/>
      <c r="B370" s="322"/>
      <c r="C370" s="322"/>
      <c r="D370" s="322"/>
      <c r="E370" s="322"/>
    </row>
    <row r="371" spans="1:5">
      <c r="A371" s="322"/>
      <c r="B371" s="322"/>
      <c r="C371" s="322"/>
      <c r="D371" s="322"/>
      <c r="E371" s="322"/>
    </row>
    <row r="372" spans="1:5">
      <c r="A372" s="322"/>
      <c r="B372" s="322"/>
      <c r="C372" s="322"/>
      <c r="D372" s="322"/>
      <c r="E372" s="322"/>
    </row>
    <row r="373" spans="1:5">
      <c r="A373" s="322"/>
      <c r="B373" s="322"/>
      <c r="C373" s="322"/>
      <c r="D373" s="322"/>
      <c r="E373" s="322"/>
    </row>
    <row r="374" spans="1:5">
      <c r="A374" s="322"/>
      <c r="B374" s="322"/>
      <c r="C374" s="322"/>
      <c r="D374" s="322"/>
      <c r="E374" s="322"/>
    </row>
    <row r="375" spans="1:5">
      <c r="A375" s="322"/>
      <c r="B375" s="322"/>
      <c r="C375" s="322"/>
      <c r="D375" s="322"/>
      <c r="E375" s="322"/>
    </row>
    <row r="376" spans="1:5">
      <c r="A376" s="322"/>
      <c r="B376" s="322"/>
      <c r="C376" s="322"/>
      <c r="D376" s="322"/>
      <c r="E376" s="322"/>
    </row>
    <row r="377" spans="1:5">
      <c r="A377" s="322"/>
      <c r="B377" s="322"/>
      <c r="C377" s="322"/>
      <c r="D377" s="322"/>
      <c r="E377" s="322"/>
    </row>
    <row r="378" spans="1:5">
      <c r="A378" s="322"/>
      <c r="B378" s="322"/>
      <c r="C378" s="322"/>
      <c r="D378" s="322"/>
      <c r="E378" s="322"/>
    </row>
    <row r="379" spans="1:5">
      <c r="A379" s="322"/>
      <c r="B379" s="322"/>
      <c r="C379" s="322"/>
      <c r="D379" s="322"/>
      <c r="E379" s="322"/>
    </row>
    <row r="380" spans="1:5">
      <c r="A380" s="322"/>
      <c r="B380" s="322"/>
      <c r="C380" s="322"/>
      <c r="D380" s="322"/>
      <c r="E380" s="322"/>
    </row>
    <row r="381" spans="1:5">
      <c r="A381" s="322"/>
      <c r="B381" s="322"/>
      <c r="C381" s="322"/>
      <c r="D381" s="322"/>
      <c r="E381" s="322"/>
    </row>
    <row r="382" spans="1:5">
      <c r="A382" s="322"/>
      <c r="B382" s="322"/>
      <c r="C382" s="322"/>
      <c r="D382" s="322"/>
      <c r="E382" s="322"/>
    </row>
    <row r="383" spans="1:5">
      <c r="A383" s="322"/>
      <c r="B383" s="322"/>
      <c r="C383" s="322"/>
      <c r="D383" s="322"/>
      <c r="E383" s="322"/>
    </row>
    <row r="384" spans="1:5">
      <c r="A384" s="322"/>
      <c r="B384" s="322"/>
      <c r="C384" s="322"/>
      <c r="D384" s="322"/>
      <c r="E384" s="322"/>
    </row>
    <row r="385" spans="1:5">
      <c r="A385" s="322"/>
      <c r="B385" s="322"/>
      <c r="C385" s="322"/>
      <c r="D385" s="322"/>
      <c r="E385" s="322"/>
    </row>
    <row r="386" spans="1:5">
      <c r="A386" s="322"/>
      <c r="B386" s="322"/>
      <c r="C386" s="322"/>
      <c r="D386" s="322"/>
      <c r="E386" s="322"/>
    </row>
    <row r="387" spans="1:5">
      <c r="A387" s="322"/>
      <c r="B387" s="322"/>
      <c r="C387" s="322"/>
      <c r="D387" s="322"/>
      <c r="E387" s="322"/>
    </row>
    <row r="388" spans="1:5">
      <c r="A388" s="322"/>
      <c r="B388" s="322"/>
      <c r="C388" s="322"/>
      <c r="D388" s="322"/>
      <c r="E388" s="322"/>
    </row>
    <row r="389" spans="1:5">
      <c r="A389" s="322"/>
      <c r="B389" s="322"/>
      <c r="C389" s="322"/>
      <c r="D389" s="322"/>
      <c r="E389" s="322"/>
    </row>
    <row r="390" spans="1:5">
      <c r="A390" s="322"/>
      <c r="B390" s="322"/>
      <c r="C390" s="322"/>
      <c r="D390" s="322"/>
      <c r="E390" s="322"/>
    </row>
    <row r="391" spans="1:5">
      <c r="A391" s="322"/>
      <c r="B391" s="322"/>
      <c r="C391" s="322"/>
      <c r="D391" s="322"/>
      <c r="E391" s="322"/>
    </row>
    <row r="392" spans="1:5">
      <c r="A392" s="322"/>
      <c r="B392" s="322"/>
      <c r="C392" s="322"/>
      <c r="D392" s="322"/>
      <c r="E392" s="322"/>
    </row>
    <row r="393" spans="1:5">
      <c r="A393" s="322"/>
      <c r="B393" s="322"/>
      <c r="C393" s="322"/>
      <c r="D393" s="322"/>
      <c r="E393" s="322"/>
    </row>
    <row r="394" spans="1:5">
      <c r="A394" s="322"/>
      <c r="B394" s="322"/>
      <c r="C394" s="322"/>
      <c r="D394" s="322"/>
      <c r="E394" s="322"/>
    </row>
    <row r="395" spans="1:5">
      <c r="A395" s="322"/>
      <c r="B395" s="322"/>
      <c r="C395" s="322"/>
      <c r="D395" s="322"/>
      <c r="E395" s="322"/>
    </row>
    <row r="396" spans="1:5">
      <c r="A396" s="322"/>
      <c r="B396" s="322"/>
      <c r="C396" s="322"/>
      <c r="D396" s="322"/>
      <c r="E396" s="322"/>
    </row>
    <row r="397" spans="1:5">
      <c r="A397" s="322"/>
      <c r="B397" s="322"/>
      <c r="C397" s="322"/>
      <c r="D397" s="322"/>
      <c r="E397" s="322"/>
    </row>
    <row r="398" spans="1:5">
      <c r="A398" s="322"/>
      <c r="B398" s="322"/>
      <c r="C398" s="322"/>
      <c r="D398" s="322"/>
      <c r="E398" s="322"/>
    </row>
    <row r="399" spans="1:5">
      <c r="A399" s="322"/>
      <c r="B399" s="322"/>
      <c r="C399" s="322"/>
      <c r="D399" s="322"/>
      <c r="E399" s="322"/>
    </row>
    <row r="400" spans="1:5">
      <c r="A400" s="322"/>
      <c r="B400" s="322"/>
      <c r="C400" s="322"/>
      <c r="D400" s="322"/>
      <c r="E400" s="322"/>
    </row>
    <row r="401" spans="1:5">
      <c r="A401" s="322"/>
      <c r="B401" s="322"/>
      <c r="C401" s="322"/>
      <c r="D401" s="322"/>
      <c r="E401" s="322"/>
    </row>
    <row r="402" spans="1:5">
      <c r="A402" s="322"/>
      <c r="B402" s="322"/>
      <c r="C402" s="322"/>
      <c r="D402" s="322"/>
      <c r="E402" s="322"/>
    </row>
    <row r="403" spans="1:5">
      <c r="A403" s="322"/>
      <c r="B403" s="322"/>
      <c r="C403" s="322"/>
      <c r="D403" s="322"/>
      <c r="E403" s="322"/>
    </row>
    <row r="404" spans="1:5">
      <c r="A404" s="322"/>
      <c r="B404" s="322"/>
      <c r="C404" s="322"/>
      <c r="D404" s="322"/>
      <c r="E404" s="322"/>
    </row>
    <row r="405" spans="1:5">
      <c r="A405" s="322"/>
      <c r="B405" s="322"/>
      <c r="C405" s="322"/>
      <c r="D405" s="322"/>
      <c r="E405" s="322"/>
    </row>
    <row r="406" spans="1:5">
      <c r="A406" s="322"/>
      <c r="B406" s="322"/>
      <c r="C406" s="322"/>
      <c r="D406" s="322"/>
      <c r="E406" s="322"/>
    </row>
    <row r="407" spans="1:5">
      <c r="A407" s="322"/>
      <c r="B407" s="322"/>
      <c r="C407" s="322"/>
      <c r="D407" s="322"/>
      <c r="E407" s="322"/>
    </row>
    <row r="408" spans="1:5">
      <c r="A408" s="322"/>
      <c r="B408" s="322"/>
      <c r="C408" s="322"/>
      <c r="D408" s="322"/>
      <c r="E408" s="322"/>
    </row>
    <row r="409" spans="1:5">
      <c r="A409" s="322"/>
      <c r="B409" s="322"/>
      <c r="C409" s="322"/>
      <c r="D409" s="322"/>
      <c r="E409" s="322"/>
    </row>
    <row r="410" spans="1:5">
      <c r="A410" s="322"/>
      <c r="B410" s="322"/>
      <c r="C410" s="322"/>
      <c r="D410" s="322"/>
      <c r="E410" s="322"/>
    </row>
    <row r="411" spans="1:5">
      <c r="A411" s="322"/>
      <c r="B411" s="322"/>
      <c r="C411" s="322"/>
      <c r="D411" s="322"/>
      <c r="E411" s="322"/>
    </row>
    <row r="412" spans="1:5">
      <c r="A412" s="322"/>
      <c r="B412" s="322"/>
      <c r="C412" s="322"/>
      <c r="D412" s="322"/>
      <c r="E412" s="322"/>
    </row>
    <row r="413" spans="1:5">
      <c r="A413" s="322"/>
      <c r="B413" s="322"/>
      <c r="C413" s="322"/>
      <c r="D413" s="322"/>
      <c r="E413" s="322"/>
    </row>
    <row r="414" spans="1:5">
      <c r="A414" s="322"/>
      <c r="B414" s="322"/>
      <c r="C414" s="322"/>
      <c r="D414" s="322"/>
      <c r="E414" s="322"/>
    </row>
    <row r="415" spans="1:5">
      <c r="A415" s="322"/>
      <c r="B415" s="322"/>
      <c r="C415" s="322"/>
      <c r="D415" s="322"/>
      <c r="E415" s="322"/>
    </row>
    <row r="416" spans="1:5">
      <c r="A416" s="322"/>
      <c r="B416" s="322"/>
      <c r="C416" s="322"/>
      <c r="D416" s="322"/>
      <c r="E416" s="322"/>
    </row>
    <row r="417" spans="1:5">
      <c r="A417" s="322"/>
      <c r="B417" s="322"/>
      <c r="C417" s="322"/>
      <c r="D417" s="322"/>
      <c r="E417" s="322"/>
    </row>
    <row r="418" spans="1:5">
      <c r="A418" s="322"/>
      <c r="B418" s="322"/>
      <c r="C418" s="322"/>
      <c r="D418" s="322"/>
      <c r="E418" s="322"/>
    </row>
    <row r="419" spans="1:5">
      <c r="A419" s="322"/>
      <c r="B419" s="322"/>
      <c r="C419" s="322"/>
      <c r="D419" s="322"/>
      <c r="E419" s="322"/>
    </row>
    <row r="420" spans="1:5">
      <c r="A420" s="322"/>
      <c r="B420" s="322"/>
      <c r="C420" s="322"/>
      <c r="D420" s="322"/>
      <c r="E420" s="322"/>
    </row>
    <row r="421" spans="1:5">
      <c r="A421" s="322"/>
      <c r="B421" s="322"/>
      <c r="C421" s="322"/>
      <c r="D421" s="322"/>
      <c r="E421" s="322"/>
    </row>
    <row r="422" spans="1:5">
      <c r="A422" s="322"/>
      <c r="B422" s="322"/>
      <c r="C422" s="322"/>
      <c r="D422" s="322"/>
      <c r="E422" s="322"/>
    </row>
    <row r="423" spans="1:5">
      <c r="A423" s="322"/>
      <c r="B423" s="322"/>
      <c r="C423" s="322"/>
      <c r="D423" s="322"/>
      <c r="E423" s="322"/>
    </row>
    <row r="424" spans="1:5">
      <c r="A424" s="322"/>
      <c r="B424" s="322"/>
      <c r="C424" s="322"/>
      <c r="D424" s="322"/>
      <c r="E424" s="322"/>
    </row>
    <row r="425" spans="1:5">
      <c r="A425" s="322"/>
      <c r="B425" s="322"/>
      <c r="C425" s="322"/>
      <c r="D425" s="322"/>
      <c r="E425" s="322"/>
    </row>
    <row r="426" spans="1:5">
      <c r="A426" s="322"/>
      <c r="B426" s="322"/>
      <c r="C426" s="322"/>
      <c r="D426" s="322"/>
      <c r="E426" s="322"/>
    </row>
    <row r="427" spans="1:5">
      <c r="A427" s="322"/>
      <c r="B427" s="322"/>
      <c r="C427" s="322"/>
      <c r="D427" s="322"/>
      <c r="E427" s="322"/>
    </row>
    <row r="428" spans="1:5">
      <c r="A428" s="322"/>
      <c r="B428" s="322"/>
      <c r="C428" s="322"/>
      <c r="D428" s="322"/>
      <c r="E428" s="322"/>
    </row>
    <row r="429" spans="1:5">
      <c r="A429" s="322"/>
      <c r="B429" s="322"/>
      <c r="C429" s="322"/>
      <c r="D429" s="322"/>
      <c r="E429" s="322"/>
    </row>
    <row r="430" spans="1:5">
      <c r="A430" s="322"/>
      <c r="B430" s="322"/>
      <c r="C430" s="322"/>
      <c r="D430" s="322"/>
      <c r="E430" s="322"/>
    </row>
    <row r="431" spans="1:5">
      <c r="A431" s="322"/>
      <c r="B431" s="322"/>
      <c r="C431" s="322"/>
      <c r="D431" s="322"/>
      <c r="E431" s="322"/>
    </row>
    <row r="432" spans="1:5">
      <c r="A432" s="322"/>
      <c r="B432" s="322"/>
      <c r="C432" s="322"/>
      <c r="D432" s="322"/>
      <c r="E432" s="322"/>
    </row>
    <row r="433" spans="1:5">
      <c r="A433" s="322"/>
      <c r="B433" s="322"/>
      <c r="C433" s="322"/>
      <c r="D433" s="322"/>
      <c r="E433" s="322"/>
    </row>
    <row r="434" spans="1:5">
      <c r="A434" s="322"/>
      <c r="B434" s="322"/>
      <c r="C434" s="322"/>
      <c r="D434" s="322"/>
      <c r="E434" s="322"/>
    </row>
    <row r="435" spans="1:5">
      <c r="A435" s="322"/>
      <c r="B435" s="322"/>
      <c r="C435" s="322"/>
      <c r="D435" s="322"/>
      <c r="E435" s="322"/>
    </row>
    <row r="436" spans="1:5">
      <c r="A436" s="322"/>
      <c r="B436" s="322"/>
      <c r="C436" s="322"/>
      <c r="D436" s="322"/>
      <c r="E436" s="322"/>
    </row>
    <row r="437" spans="1:5">
      <c r="A437" s="322"/>
      <c r="B437" s="322"/>
      <c r="C437" s="322"/>
      <c r="D437" s="322"/>
      <c r="E437" s="322"/>
    </row>
    <row r="438" spans="1:5">
      <c r="A438" s="322"/>
      <c r="B438" s="322"/>
      <c r="C438" s="322"/>
      <c r="D438" s="322"/>
      <c r="E438" s="322"/>
    </row>
    <row r="439" spans="1:5">
      <c r="A439" s="322"/>
      <c r="B439" s="322"/>
      <c r="C439" s="322"/>
      <c r="D439" s="322"/>
      <c r="E439" s="322"/>
    </row>
    <row r="440" spans="1:5">
      <c r="A440" s="322"/>
      <c r="B440" s="322"/>
      <c r="C440" s="322"/>
      <c r="D440" s="322"/>
      <c r="E440" s="322"/>
    </row>
    <row r="441" spans="1:5">
      <c r="A441" s="322"/>
      <c r="B441" s="322"/>
      <c r="C441" s="322"/>
      <c r="D441" s="322"/>
      <c r="E441" s="322"/>
    </row>
    <row r="442" spans="1:5">
      <c r="A442" s="322"/>
      <c r="B442" s="322"/>
      <c r="C442" s="322"/>
      <c r="D442" s="322"/>
      <c r="E442" s="322"/>
    </row>
    <row r="443" spans="1:5">
      <c r="A443" s="322"/>
      <c r="B443" s="322"/>
      <c r="C443" s="322"/>
      <c r="D443" s="322"/>
      <c r="E443" s="322"/>
    </row>
    <row r="444" spans="1:5">
      <c r="A444" s="322"/>
      <c r="B444" s="322"/>
      <c r="C444" s="322"/>
      <c r="D444" s="322"/>
      <c r="E444" s="322"/>
    </row>
    <row r="445" spans="1:5">
      <c r="A445" s="322"/>
      <c r="B445" s="322"/>
      <c r="C445" s="322"/>
      <c r="D445" s="322"/>
      <c r="E445" s="322"/>
    </row>
    <row r="446" spans="1:5">
      <c r="A446" s="322"/>
      <c r="B446" s="322"/>
      <c r="C446" s="322"/>
      <c r="D446" s="322"/>
      <c r="E446" s="322"/>
    </row>
    <row r="447" spans="1:5">
      <c r="A447" s="322"/>
      <c r="B447" s="322"/>
      <c r="C447" s="322"/>
      <c r="D447" s="322"/>
      <c r="E447" s="322"/>
    </row>
    <row r="448" spans="1:5">
      <c r="A448" s="322"/>
      <c r="B448" s="322"/>
      <c r="C448" s="322"/>
      <c r="D448" s="322"/>
      <c r="E448" s="322"/>
    </row>
    <row r="449" spans="1:5">
      <c r="A449" s="322"/>
      <c r="B449" s="322"/>
      <c r="C449" s="322"/>
      <c r="D449" s="322"/>
      <c r="E449" s="322"/>
    </row>
    <row r="450" spans="1:5">
      <c r="A450" s="322"/>
      <c r="B450" s="322"/>
      <c r="C450" s="322"/>
      <c r="D450" s="322"/>
      <c r="E450" s="322"/>
    </row>
    <row r="451" spans="1:5">
      <c r="A451" s="322"/>
      <c r="B451" s="322"/>
      <c r="C451" s="322"/>
      <c r="D451" s="322"/>
      <c r="E451" s="322"/>
    </row>
    <row r="452" spans="1:5">
      <c r="A452" s="322"/>
      <c r="B452" s="322"/>
      <c r="C452" s="322"/>
      <c r="D452" s="322"/>
      <c r="E452" s="322"/>
    </row>
    <row r="453" spans="1:5">
      <c r="A453" s="322"/>
      <c r="B453" s="322"/>
      <c r="C453" s="322"/>
      <c r="D453" s="322"/>
      <c r="E453" s="322"/>
    </row>
    <row r="454" spans="1:5">
      <c r="A454" s="322"/>
      <c r="B454" s="322"/>
      <c r="C454" s="322"/>
      <c r="D454" s="322"/>
      <c r="E454" s="322"/>
    </row>
    <row r="455" spans="1:5">
      <c r="A455" s="322"/>
      <c r="B455" s="322"/>
      <c r="C455" s="322"/>
      <c r="D455" s="322"/>
      <c r="E455" s="322"/>
    </row>
    <row r="456" spans="1:5">
      <c r="A456" s="322"/>
      <c r="B456" s="322"/>
      <c r="C456" s="322"/>
      <c r="D456" s="322"/>
      <c r="E456" s="322"/>
    </row>
    <row r="457" spans="1:5">
      <c r="A457" s="322"/>
      <c r="B457" s="322"/>
      <c r="C457" s="322"/>
      <c r="D457" s="322"/>
      <c r="E457" s="322"/>
    </row>
    <row r="458" spans="1:5">
      <c r="A458" s="322"/>
      <c r="B458" s="322"/>
      <c r="C458" s="322"/>
      <c r="D458" s="322"/>
      <c r="E458" s="322"/>
    </row>
    <row r="459" spans="1:5">
      <c r="A459" s="322"/>
      <c r="B459" s="322"/>
      <c r="C459" s="322"/>
      <c r="D459" s="322"/>
      <c r="E459" s="322"/>
    </row>
    <row r="460" spans="1:5">
      <c r="A460" s="322"/>
      <c r="B460" s="322"/>
      <c r="C460" s="322"/>
      <c r="D460" s="322"/>
      <c r="E460" s="322"/>
    </row>
    <row r="461" spans="1:5">
      <c r="A461" s="322"/>
      <c r="B461" s="322"/>
      <c r="C461" s="322"/>
      <c r="D461" s="322"/>
      <c r="E461" s="322"/>
    </row>
    <row r="462" spans="1:5">
      <c r="A462" s="322"/>
      <c r="B462" s="322"/>
      <c r="C462" s="322"/>
      <c r="D462" s="322"/>
      <c r="E462" s="322"/>
    </row>
    <row r="463" spans="1:5">
      <c r="A463" s="322"/>
      <c r="B463" s="322"/>
      <c r="C463" s="322"/>
      <c r="D463" s="322"/>
      <c r="E463" s="322"/>
    </row>
    <row r="464" spans="1:5">
      <c r="A464" s="322"/>
      <c r="B464" s="322"/>
      <c r="C464" s="322"/>
      <c r="D464" s="322"/>
      <c r="E464" s="322"/>
    </row>
    <row r="465" spans="1:5">
      <c r="A465" s="322"/>
      <c r="B465" s="322"/>
      <c r="C465" s="322"/>
      <c r="D465" s="322"/>
      <c r="E465" s="322"/>
    </row>
    <row r="466" spans="1:5">
      <c r="A466" s="322"/>
      <c r="B466" s="322"/>
      <c r="C466" s="322"/>
      <c r="D466" s="322"/>
      <c r="E466" s="322"/>
    </row>
    <row r="467" spans="1:5">
      <c r="A467" s="322"/>
      <c r="B467" s="322"/>
      <c r="C467" s="322"/>
      <c r="D467" s="322"/>
      <c r="E467" s="322"/>
    </row>
    <row r="468" spans="1:5">
      <c r="A468" s="322"/>
      <c r="B468" s="322"/>
      <c r="C468" s="322"/>
      <c r="D468" s="322"/>
      <c r="E468" s="322"/>
    </row>
    <row r="469" spans="1:5">
      <c r="A469" s="322"/>
      <c r="B469" s="322"/>
      <c r="C469" s="322"/>
      <c r="D469" s="322"/>
      <c r="E469" s="322"/>
    </row>
    <row r="470" spans="1:5">
      <c r="A470" s="322"/>
      <c r="B470" s="322"/>
      <c r="C470" s="322"/>
      <c r="D470" s="322"/>
      <c r="E470" s="322"/>
    </row>
    <row r="471" spans="1:5">
      <c r="A471" s="322"/>
      <c r="B471" s="322"/>
      <c r="C471" s="322"/>
      <c r="D471" s="322"/>
      <c r="E471" s="322"/>
    </row>
    <row r="472" spans="1:5">
      <c r="A472" s="322"/>
      <c r="B472" s="322"/>
      <c r="C472" s="322"/>
      <c r="D472" s="322"/>
      <c r="E472" s="322"/>
    </row>
    <row r="473" spans="1:5">
      <c r="A473" s="322"/>
      <c r="B473" s="322"/>
      <c r="C473" s="322"/>
      <c r="D473" s="322"/>
      <c r="E473" s="322"/>
    </row>
    <row r="474" spans="1:5">
      <c r="A474" s="322"/>
      <c r="B474" s="322"/>
      <c r="C474" s="322"/>
      <c r="D474" s="322"/>
      <c r="E474" s="322"/>
    </row>
    <row r="475" spans="1:5">
      <c r="A475" s="322"/>
      <c r="B475" s="322"/>
      <c r="C475" s="322"/>
      <c r="D475" s="322"/>
      <c r="E475" s="322"/>
    </row>
    <row r="476" spans="1:5">
      <c r="A476" s="322"/>
      <c r="B476" s="322"/>
      <c r="C476" s="322"/>
      <c r="D476" s="322"/>
      <c r="E476" s="322"/>
    </row>
    <row r="477" spans="1:5">
      <c r="A477" s="322"/>
      <c r="B477" s="322"/>
      <c r="C477" s="322"/>
      <c r="D477" s="322"/>
      <c r="E477" s="322"/>
    </row>
    <row r="478" spans="1:5">
      <c r="A478" s="322"/>
      <c r="B478" s="322"/>
      <c r="C478" s="322"/>
      <c r="D478" s="322"/>
      <c r="E478" s="322"/>
    </row>
    <row r="479" spans="1:5">
      <c r="A479" s="322"/>
      <c r="B479" s="322"/>
      <c r="C479" s="322"/>
      <c r="D479" s="322"/>
      <c r="E479" s="322"/>
    </row>
    <row r="480" spans="1:5">
      <c r="A480" s="322"/>
      <c r="B480" s="322"/>
      <c r="C480" s="322"/>
      <c r="D480" s="322"/>
      <c r="E480" s="322"/>
    </row>
    <row r="481" spans="1:5">
      <c r="A481" s="322"/>
      <c r="B481" s="322"/>
      <c r="C481" s="322"/>
      <c r="D481" s="322"/>
      <c r="E481" s="322"/>
    </row>
    <row r="482" spans="1:5">
      <c r="A482" s="322"/>
      <c r="B482" s="322"/>
      <c r="C482" s="322"/>
      <c r="D482" s="322"/>
      <c r="E482" s="322"/>
    </row>
    <row r="483" spans="1:5">
      <c r="A483" s="322"/>
      <c r="B483" s="322"/>
      <c r="C483" s="322"/>
      <c r="D483" s="322"/>
      <c r="E483" s="322"/>
    </row>
    <row r="484" spans="1:5">
      <c r="A484" s="322"/>
      <c r="B484" s="322"/>
      <c r="C484" s="322"/>
      <c r="D484" s="322"/>
      <c r="E484" s="322"/>
    </row>
    <row r="485" spans="1:5">
      <c r="A485" s="322"/>
      <c r="B485" s="322"/>
      <c r="C485" s="322"/>
      <c r="D485" s="322"/>
      <c r="E485" s="322"/>
    </row>
    <row r="486" spans="1:5">
      <c r="A486" s="322"/>
      <c r="B486" s="322"/>
      <c r="C486" s="322"/>
      <c r="D486" s="322"/>
      <c r="E486" s="322"/>
    </row>
    <row r="487" spans="1:5">
      <c r="A487" s="322"/>
      <c r="B487" s="322"/>
      <c r="C487" s="322"/>
      <c r="D487" s="322"/>
      <c r="E487" s="322"/>
    </row>
    <row r="488" spans="1:5">
      <c r="A488" s="322"/>
      <c r="B488" s="322"/>
      <c r="C488" s="322"/>
      <c r="D488" s="322"/>
      <c r="E488" s="322"/>
    </row>
    <row r="489" spans="1:5">
      <c r="A489" s="322"/>
      <c r="B489" s="322"/>
      <c r="C489" s="322"/>
      <c r="D489" s="322"/>
      <c r="E489" s="322"/>
    </row>
    <row r="490" spans="1:5">
      <c r="A490" s="322"/>
      <c r="B490" s="322"/>
      <c r="C490" s="322"/>
      <c r="D490" s="322"/>
      <c r="E490" s="322"/>
    </row>
    <row r="491" spans="1:5">
      <c r="A491" s="322"/>
      <c r="B491" s="322"/>
      <c r="C491" s="322"/>
      <c r="D491" s="322"/>
      <c r="E491" s="322"/>
    </row>
    <row r="492" spans="1:5">
      <c r="A492" s="322"/>
      <c r="B492" s="322"/>
      <c r="C492" s="322"/>
      <c r="D492" s="322"/>
      <c r="E492" s="322"/>
    </row>
    <row r="493" spans="1:5">
      <c r="A493" s="322"/>
      <c r="B493" s="322"/>
      <c r="C493" s="322"/>
      <c r="D493" s="322"/>
      <c r="E493" s="322"/>
    </row>
    <row r="494" spans="1:5">
      <c r="A494" s="322"/>
      <c r="B494" s="322"/>
      <c r="C494" s="322"/>
      <c r="D494" s="322"/>
      <c r="E494" s="322"/>
    </row>
    <row r="495" spans="1:5">
      <c r="A495" s="322"/>
      <c r="B495" s="322"/>
      <c r="C495" s="322"/>
      <c r="D495" s="322"/>
      <c r="E495" s="322"/>
    </row>
    <row r="496" spans="1:5">
      <c r="A496" s="322"/>
      <c r="B496" s="322"/>
      <c r="C496" s="322"/>
      <c r="D496" s="322"/>
      <c r="E496" s="322"/>
    </row>
    <row r="497" spans="1:5">
      <c r="A497" s="322"/>
      <c r="B497" s="322"/>
      <c r="C497" s="322"/>
      <c r="D497" s="322"/>
      <c r="E497" s="322"/>
    </row>
    <row r="498" spans="1:5">
      <c r="A498" s="322"/>
      <c r="B498" s="322"/>
      <c r="C498" s="322"/>
      <c r="D498" s="322"/>
      <c r="E498" s="322"/>
    </row>
    <row r="499" spans="1:5">
      <c r="A499" s="322"/>
      <c r="B499" s="322"/>
      <c r="C499" s="322"/>
      <c r="D499" s="322"/>
      <c r="E499" s="322"/>
    </row>
    <row r="500" spans="1:5">
      <c r="A500" s="322"/>
      <c r="B500" s="322"/>
      <c r="C500" s="322"/>
      <c r="D500" s="322"/>
      <c r="E500" s="322"/>
    </row>
    <row r="501" spans="1:5">
      <c r="A501" s="629" t="s">
        <v>676</v>
      </c>
      <c r="B501" s="629"/>
      <c r="C501" s="629"/>
      <c r="D501" s="629"/>
      <c r="E501" s="629"/>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9" sqref="C9"/>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4" t="s">
        <v>680</v>
      </c>
      <c r="B2" s="635"/>
      <c r="C2" s="635"/>
      <c r="D2" s="635"/>
      <c r="E2" s="635"/>
      <c r="F2" s="635"/>
      <c r="G2" s="636"/>
    </row>
    <row r="3" spans="1:7">
      <c r="A3" s="640" t="s">
        <v>681</v>
      </c>
      <c r="B3" s="367"/>
      <c r="C3" s="367"/>
      <c r="D3" s="367"/>
      <c r="E3" s="367"/>
      <c r="F3" s="367"/>
      <c r="G3" s="368"/>
    </row>
    <row r="4" spans="1:7" ht="18.75" customHeight="1">
      <c r="A4" s="641"/>
      <c r="B4" s="369" t="s">
        <v>705</v>
      </c>
      <c r="C4" s="370" t="s">
        <v>551</v>
      </c>
      <c r="D4" s="371"/>
      <c r="E4" s="369" t="s">
        <v>685</v>
      </c>
      <c r="F4" s="371"/>
      <c r="G4" s="372"/>
    </row>
    <row r="5" spans="1:7" ht="15" customHeight="1">
      <c r="A5" s="643"/>
      <c r="B5" s="373"/>
      <c r="C5" s="374"/>
      <c r="D5" s="374"/>
      <c r="E5" s="374"/>
      <c r="F5" s="374"/>
      <c r="G5" s="375"/>
    </row>
    <row r="6" spans="1:7" ht="15" customHeight="1">
      <c r="A6" s="640" t="s">
        <v>695</v>
      </c>
      <c r="B6" s="376"/>
      <c r="C6" s="367"/>
      <c r="D6" s="367"/>
      <c r="E6" s="367"/>
      <c r="F6" s="367"/>
      <c r="G6" s="368"/>
    </row>
    <row r="7" spans="1:7" ht="19.5" customHeight="1">
      <c r="A7" s="641"/>
      <c r="B7" s="369" t="s">
        <v>705</v>
      </c>
      <c r="C7" s="370"/>
      <c r="D7" s="371"/>
      <c r="E7" s="369" t="s">
        <v>683</v>
      </c>
      <c r="F7" s="377"/>
      <c r="G7" s="372"/>
    </row>
    <row r="8" spans="1:7">
      <c r="A8" s="641"/>
      <c r="B8" s="369"/>
      <c r="C8" s="371"/>
      <c r="D8" s="371"/>
      <c r="E8" s="371"/>
      <c r="F8" s="371"/>
      <c r="G8" s="372"/>
    </row>
    <row r="9" spans="1:7" ht="19.5" customHeight="1">
      <c r="A9" s="641"/>
      <c r="B9" s="369" t="s">
        <v>684</v>
      </c>
      <c r="C9" s="370"/>
      <c r="D9" s="371"/>
      <c r="E9" s="371"/>
      <c r="F9" s="371"/>
      <c r="G9" s="372"/>
    </row>
    <row r="10" spans="1:7">
      <c r="A10" s="641"/>
      <c r="B10" s="371"/>
      <c r="C10" s="371"/>
      <c r="D10" s="371"/>
      <c r="E10" s="371"/>
      <c r="F10" s="371"/>
      <c r="G10" s="372"/>
    </row>
    <row r="11" spans="1:7">
      <c r="A11" s="641"/>
      <c r="B11" s="371" t="s">
        <v>682</v>
      </c>
      <c r="C11" s="371"/>
      <c r="D11" s="371"/>
      <c r="E11" s="371"/>
      <c r="F11" s="371"/>
      <c r="G11" s="372"/>
    </row>
    <row r="12" spans="1:7" ht="41.25" customHeight="1">
      <c r="A12" s="642"/>
      <c r="B12" s="637"/>
      <c r="C12" s="638"/>
      <c r="D12" s="638"/>
      <c r="E12" s="638"/>
      <c r="F12" s="639"/>
      <c r="G12" s="372"/>
    </row>
    <row r="13" spans="1:7">
      <c r="A13" s="643"/>
      <c r="B13" s="374"/>
      <c r="C13" s="374"/>
      <c r="D13" s="374"/>
      <c r="E13" s="374"/>
      <c r="F13" s="374"/>
      <c r="G13" s="375"/>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2"/>
  <sheetViews>
    <sheetView zoomScale="85" zoomScaleNormal="85" workbookViewId="0">
      <selection activeCell="G16" sqref="G16"/>
    </sheetView>
  </sheetViews>
  <sheetFormatPr defaultRowHeight="15"/>
  <cols>
    <col min="1" max="1" width="19.140625" customWidth="1"/>
    <col min="2" max="2" width="11" customWidth="1"/>
    <col min="3" max="9" width="14.5703125" customWidth="1"/>
  </cols>
  <sheetData>
    <row r="1" spans="1:9" ht="35.25" customHeight="1"/>
    <row r="2" spans="1:9" ht="15.75">
      <c r="A2" s="717" t="s">
        <v>597</v>
      </c>
      <c r="B2" s="718" t="s">
        <v>601</v>
      </c>
      <c r="C2" s="718" t="s">
        <v>602</v>
      </c>
      <c r="D2" s="718"/>
      <c r="E2" s="718"/>
      <c r="F2" s="718"/>
      <c r="G2" s="718" t="s">
        <v>603</v>
      </c>
      <c r="H2" s="718"/>
      <c r="I2" s="719" t="s">
        <v>604</v>
      </c>
    </row>
    <row r="3" spans="1:9" ht="15.75">
      <c r="A3" s="720"/>
      <c r="B3" s="718"/>
      <c r="C3" s="719" t="s">
        <v>269</v>
      </c>
      <c r="D3" s="719" t="s">
        <v>605</v>
      </c>
      <c r="E3" s="719" t="s">
        <v>606</v>
      </c>
      <c r="F3" s="719" t="s">
        <v>136</v>
      </c>
      <c r="G3" s="721" t="s">
        <v>480</v>
      </c>
      <c r="H3" s="721" t="s">
        <v>607</v>
      </c>
      <c r="I3" s="719"/>
    </row>
    <row r="4" spans="1:9" ht="15.75">
      <c r="A4" s="722" t="s">
        <v>551</v>
      </c>
      <c r="B4" s="723">
        <v>44357</v>
      </c>
      <c r="C4" s="722" t="s">
        <v>729</v>
      </c>
      <c r="D4" s="722" t="s">
        <v>728</v>
      </c>
      <c r="E4" s="722" t="s">
        <v>730</v>
      </c>
      <c r="F4" s="722" t="s">
        <v>729</v>
      </c>
      <c r="G4" s="722" t="s">
        <v>732</v>
      </c>
      <c r="H4" s="722" t="s">
        <v>734</v>
      </c>
      <c r="I4" s="722"/>
    </row>
    <row r="5" spans="1:9" ht="15.75">
      <c r="A5" s="722" t="s">
        <v>551</v>
      </c>
      <c r="B5" s="723">
        <v>44357</v>
      </c>
      <c r="C5" s="722" t="s">
        <v>729</v>
      </c>
      <c r="D5" s="722" t="s">
        <v>728</v>
      </c>
      <c r="E5" s="722" t="s">
        <v>730</v>
      </c>
      <c r="F5" s="722" t="s">
        <v>729</v>
      </c>
      <c r="G5" s="722" t="s">
        <v>732</v>
      </c>
      <c r="H5" s="722" t="s">
        <v>734</v>
      </c>
      <c r="I5" s="722"/>
    </row>
    <row r="6" spans="1:9" ht="15.75">
      <c r="A6" s="722" t="s">
        <v>551</v>
      </c>
      <c r="B6" s="723">
        <v>44357</v>
      </c>
      <c r="C6" s="722" t="s">
        <v>729</v>
      </c>
      <c r="D6" s="722" t="s">
        <v>728</v>
      </c>
      <c r="E6" s="722" t="s">
        <v>730</v>
      </c>
      <c r="F6" s="722" t="s">
        <v>729</v>
      </c>
      <c r="G6" s="722" t="s">
        <v>732</v>
      </c>
      <c r="H6" s="722" t="s">
        <v>734</v>
      </c>
      <c r="I6" s="722"/>
    </row>
    <row r="7" spans="1:9" ht="15.75">
      <c r="A7" s="722"/>
      <c r="B7" s="722"/>
      <c r="C7" s="722"/>
      <c r="D7" s="722"/>
      <c r="E7" s="722"/>
      <c r="F7" s="722"/>
      <c r="G7" s="722"/>
      <c r="H7" s="722"/>
      <c r="I7" s="722"/>
    </row>
    <row r="8" spans="1:9" ht="15.75">
      <c r="A8" s="722"/>
      <c r="B8" s="722"/>
      <c r="C8" s="722"/>
      <c r="D8" s="722"/>
      <c r="E8" s="722"/>
      <c r="F8" s="722"/>
      <c r="G8" s="722"/>
      <c r="H8" s="722"/>
      <c r="I8" s="722"/>
    </row>
    <row r="9" spans="1:9" ht="15.75">
      <c r="A9" s="722"/>
      <c r="B9" s="722"/>
      <c r="C9" s="722"/>
      <c r="D9" s="722"/>
      <c r="E9" s="722"/>
      <c r="F9" s="722"/>
      <c r="G9" s="722"/>
      <c r="H9" s="722"/>
      <c r="I9" s="722"/>
    </row>
    <row r="10" spans="1:9" ht="15.75">
      <c r="A10" s="722"/>
      <c r="B10" s="722"/>
      <c r="C10" s="722"/>
      <c r="D10" s="722"/>
      <c r="E10" s="722"/>
      <c r="F10" s="722"/>
      <c r="G10" s="722"/>
      <c r="H10" s="722"/>
      <c r="I10" s="722"/>
    </row>
    <row r="11" spans="1:9" ht="15.75">
      <c r="A11" s="722"/>
      <c r="B11" s="722"/>
      <c r="C11" s="722"/>
      <c r="D11" s="722"/>
      <c r="E11" s="722"/>
      <c r="F11" s="722"/>
      <c r="G11" s="722"/>
      <c r="H11" s="722"/>
      <c r="I11" s="722"/>
    </row>
    <row r="12" spans="1:9" ht="15.75">
      <c r="A12" s="722"/>
      <c r="B12" s="722"/>
      <c r="C12" s="722"/>
      <c r="D12" s="722"/>
      <c r="E12" s="722"/>
      <c r="F12" s="722"/>
      <c r="G12" s="722"/>
      <c r="H12" s="722"/>
      <c r="I12" s="722"/>
    </row>
    <row r="13" spans="1:9" ht="15.75">
      <c r="A13" s="722"/>
      <c r="B13" s="722"/>
      <c r="C13" s="722"/>
      <c r="D13" s="722"/>
      <c r="E13" s="722"/>
      <c r="F13" s="722"/>
      <c r="G13" s="722"/>
      <c r="H13" s="722"/>
      <c r="I13" s="722"/>
    </row>
    <row r="14" spans="1:9" ht="15.75">
      <c r="A14" s="722"/>
      <c r="B14" s="722"/>
      <c r="C14" s="722"/>
      <c r="D14" s="722"/>
      <c r="E14" s="722"/>
      <c r="F14" s="722"/>
      <c r="G14" s="722"/>
      <c r="H14" s="722"/>
      <c r="I14" s="722"/>
    </row>
    <row r="15" spans="1:9" ht="15.75">
      <c r="A15" s="722"/>
      <c r="B15" s="722"/>
      <c r="C15" s="722"/>
      <c r="D15" s="722"/>
      <c r="E15" s="722"/>
      <c r="F15" s="722"/>
      <c r="G15" s="722"/>
      <c r="H15" s="722"/>
      <c r="I15" s="722"/>
    </row>
    <row r="16" spans="1:9" ht="15.75">
      <c r="A16" s="722"/>
      <c r="B16" s="722"/>
      <c r="C16" s="722"/>
      <c r="D16" s="722"/>
      <c r="E16" s="722"/>
      <c r="F16" s="722"/>
      <c r="G16" s="722"/>
      <c r="H16" s="722"/>
      <c r="I16" s="722"/>
    </row>
    <row r="17" spans="1:9" ht="15.75">
      <c r="A17" s="722"/>
      <c r="B17" s="722"/>
      <c r="C17" s="722"/>
      <c r="D17" s="722"/>
      <c r="E17" s="722"/>
      <c r="F17" s="722"/>
      <c r="G17" s="722"/>
      <c r="H17" s="722"/>
      <c r="I17" s="722"/>
    </row>
    <row r="18" spans="1:9" ht="15.75">
      <c r="A18" s="722"/>
      <c r="B18" s="722"/>
      <c r="C18" s="722"/>
      <c r="D18" s="722"/>
      <c r="E18" s="722"/>
      <c r="F18" s="722"/>
      <c r="G18" s="722"/>
      <c r="H18" s="722"/>
      <c r="I18" s="722"/>
    </row>
    <row r="19" spans="1:9" ht="15.75">
      <c r="A19" s="722"/>
      <c r="B19" s="722"/>
      <c r="C19" s="722"/>
      <c r="D19" s="722"/>
      <c r="E19" s="722"/>
      <c r="F19" s="722"/>
      <c r="G19" s="722"/>
      <c r="H19" s="722"/>
      <c r="I19" s="722"/>
    </row>
    <row r="20" spans="1:9" ht="15.75">
      <c r="A20" s="722"/>
      <c r="B20" s="722"/>
      <c r="C20" s="722"/>
      <c r="D20" s="722"/>
      <c r="E20" s="722"/>
      <c r="F20" s="722"/>
      <c r="G20" s="722"/>
      <c r="H20" s="722"/>
      <c r="I20" s="722"/>
    </row>
    <row r="21" spans="1:9" ht="15.75">
      <c r="A21" s="722"/>
      <c r="B21" s="722"/>
      <c r="C21" s="722"/>
      <c r="D21" s="722"/>
      <c r="E21" s="722"/>
      <c r="F21" s="722"/>
      <c r="G21" s="722"/>
      <c r="H21" s="722"/>
      <c r="I21" s="722"/>
    </row>
    <row r="22" spans="1:9" ht="15.75">
      <c r="A22" s="722"/>
      <c r="B22" s="722"/>
      <c r="C22" s="722"/>
      <c r="D22" s="722"/>
      <c r="E22" s="722"/>
      <c r="F22" s="722"/>
      <c r="G22" s="722"/>
      <c r="H22" s="722"/>
      <c r="I22" s="722"/>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K17"/>
  <sheetViews>
    <sheetView workbookViewId="0">
      <selection activeCell="G4" sqref="G4"/>
    </sheetView>
  </sheetViews>
  <sheetFormatPr defaultRowHeight="15"/>
  <cols>
    <col min="1" max="1" width="23.42578125" customWidth="1"/>
    <col min="4" max="4" width="16.7109375" bestFit="1" customWidth="1"/>
    <col min="5" max="5" width="20" customWidth="1"/>
    <col min="7" max="7" width="17.7109375" bestFit="1" customWidth="1"/>
    <col min="8" max="8" width="13.85546875" customWidth="1"/>
  </cols>
  <sheetData>
    <row r="1" spans="1:11" ht="44.25" customHeight="1"/>
    <row r="2" spans="1:11">
      <c r="A2" s="657" t="s">
        <v>719</v>
      </c>
      <c r="B2" s="658"/>
      <c r="C2" s="658"/>
      <c r="D2" s="658"/>
      <c r="E2" s="658"/>
      <c r="F2" s="658"/>
      <c r="G2" s="658"/>
      <c r="H2" s="658"/>
      <c r="I2" s="658"/>
      <c r="J2" s="658"/>
      <c r="K2" s="659"/>
    </row>
    <row r="3" spans="1:11">
      <c r="A3" s="660"/>
      <c r="B3" s="661"/>
      <c r="C3" s="661"/>
      <c r="D3" s="661"/>
      <c r="E3" s="661"/>
      <c r="F3" s="661"/>
      <c r="G3" s="661"/>
      <c r="H3" s="661"/>
      <c r="I3" s="661"/>
      <c r="J3" s="661"/>
      <c r="K3" s="662"/>
    </row>
    <row r="4" spans="1:11" ht="20.25">
      <c r="A4" s="685" t="s">
        <v>175</v>
      </c>
      <c r="B4" s="359"/>
      <c r="C4" s="360"/>
      <c r="D4" s="360"/>
      <c r="E4" s="360"/>
      <c r="F4" s="360"/>
      <c r="G4" s="360"/>
      <c r="H4" s="360"/>
      <c r="I4" s="360"/>
      <c r="J4" s="360"/>
      <c r="K4" s="364"/>
    </row>
    <row r="5" spans="1:11" ht="21" customHeight="1">
      <c r="A5" s="685"/>
      <c r="B5" s="686"/>
      <c r="C5" s="687"/>
      <c r="D5" s="688" t="s">
        <v>705</v>
      </c>
      <c r="E5" s="716" t="s">
        <v>551</v>
      </c>
      <c r="F5" s="716"/>
      <c r="G5" s="360"/>
      <c r="H5" s="689" t="s">
        <v>720</v>
      </c>
      <c r="I5" s="689"/>
      <c r="J5" s="684"/>
      <c r="K5" s="684"/>
    </row>
    <row r="6" spans="1:11" ht="20.25">
      <c r="A6" s="685"/>
      <c r="B6" s="686"/>
      <c r="C6" s="687"/>
      <c r="D6" s="687"/>
      <c r="E6" s="360"/>
      <c r="F6" s="360"/>
      <c r="G6" s="360"/>
      <c r="H6" s="360"/>
      <c r="I6" s="360"/>
      <c r="J6" s="360"/>
      <c r="K6" s="364"/>
    </row>
    <row r="7" spans="1:11" ht="21" customHeight="1">
      <c r="A7" s="685"/>
      <c r="B7" s="686"/>
      <c r="C7" s="687"/>
      <c r="D7" s="688" t="s">
        <v>721</v>
      </c>
      <c r="E7" s="663">
        <v>44357</v>
      </c>
      <c r="F7" s="690"/>
      <c r="G7" s="360"/>
      <c r="H7" s="360"/>
      <c r="I7" s="360"/>
      <c r="J7" s="360"/>
      <c r="K7" s="364"/>
    </row>
    <row r="8" spans="1:11" ht="20.25">
      <c r="A8" s="691"/>
      <c r="B8" s="692"/>
      <c r="C8" s="693"/>
      <c r="D8" s="694"/>
      <c r="E8" s="695"/>
      <c r="F8" s="695"/>
      <c r="G8" s="696"/>
      <c r="H8" s="696"/>
      <c r="I8" s="696"/>
      <c r="J8" s="696"/>
      <c r="K8" s="697"/>
    </row>
    <row r="9" spans="1:11" ht="20.25">
      <c r="A9" s="664" t="s">
        <v>699</v>
      </c>
      <c r="B9" s="665"/>
      <c r="C9" s="666"/>
      <c r="D9" s="667"/>
      <c r="E9" s="668"/>
      <c r="F9" s="668"/>
      <c r="G9" s="669"/>
      <c r="H9" s="669"/>
      <c r="I9" s="669"/>
      <c r="J9" s="669"/>
      <c r="K9" s="670"/>
    </row>
    <row r="10" spans="1:11" ht="21" customHeight="1">
      <c r="A10" s="671"/>
      <c r="B10" s="672"/>
      <c r="C10" s="673"/>
      <c r="D10" s="674" t="s">
        <v>722</v>
      </c>
      <c r="E10" s="675" t="s">
        <v>729</v>
      </c>
      <c r="F10" s="676"/>
      <c r="G10" s="677" t="s">
        <v>723</v>
      </c>
      <c r="H10" s="675" t="s">
        <v>728</v>
      </c>
      <c r="I10" s="676"/>
      <c r="J10" s="676"/>
      <c r="K10" s="678"/>
    </row>
    <row r="11" spans="1:11" ht="20.25">
      <c r="A11" s="671"/>
      <c r="B11" s="672"/>
      <c r="C11" s="673"/>
      <c r="D11" s="673"/>
      <c r="E11" s="676"/>
      <c r="F11" s="676"/>
      <c r="G11" s="676"/>
      <c r="H11" s="676"/>
      <c r="I11" s="676"/>
      <c r="J11" s="676"/>
      <c r="K11" s="678"/>
    </row>
    <row r="12" spans="1:11" ht="21" customHeight="1">
      <c r="A12" s="671"/>
      <c r="B12" s="672"/>
      <c r="C12" s="673"/>
      <c r="D12" s="677" t="s">
        <v>724</v>
      </c>
      <c r="E12" s="675" t="s">
        <v>730</v>
      </c>
      <c r="F12" s="676"/>
      <c r="G12" s="677" t="s">
        <v>727</v>
      </c>
      <c r="H12" s="675" t="s">
        <v>729</v>
      </c>
      <c r="I12" s="676"/>
      <c r="J12" s="676"/>
      <c r="K12" s="678"/>
    </row>
    <row r="13" spans="1:11" ht="20.25">
      <c r="A13" s="679"/>
      <c r="B13" s="680"/>
      <c r="C13" s="681"/>
      <c r="D13" s="681"/>
      <c r="E13" s="682"/>
      <c r="F13" s="682"/>
      <c r="G13" s="682"/>
      <c r="H13" s="682"/>
      <c r="I13" s="682"/>
      <c r="J13" s="682"/>
      <c r="K13" s="683"/>
    </row>
    <row r="14" spans="1:11" ht="20.25">
      <c r="A14" s="698" t="s">
        <v>670</v>
      </c>
      <c r="B14" s="699"/>
      <c r="C14" s="700"/>
      <c r="D14" s="701"/>
      <c r="E14" s="702"/>
      <c r="F14" s="702"/>
      <c r="G14" s="703"/>
      <c r="H14" s="703"/>
      <c r="I14" s="703"/>
      <c r="J14" s="703"/>
      <c r="K14" s="704"/>
    </row>
    <row r="15" spans="1:11" ht="21" customHeight="1">
      <c r="A15" s="705"/>
      <c r="B15" s="686"/>
      <c r="C15" s="687"/>
      <c r="D15" s="688" t="s">
        <v>725</v>
      </c>
      <c r="E15" s="712" t="s">
        <v>732</v>
      </c>
      <c r="F15" s="360"/>
      <c r="G15" s="706" t="s">
        <v>726</v>
      </c>
      <c r="H15" s="712" t="s">
        <v>734</v>
      </c>
      <c r="I15" s="360"/>
      <c r="J15" s="360"/>
      <c r="K15" s="364"/>
    </row>
    <row r="16" spans="1:11" ht="20.25">
      <c r="A16" s="705"/>
      <c r="B16" s="686"/>
      <c r="C16" s="687"/>
      <c r="D16" s="688"/>
      <c r="E16" s="366"/>
      <c r="F16" s="360"/>
      <c r="G16" s="706"/>
      <c r="H16" s="366"/>
      <c r="I16" s="360"/>
      <c r="J16" s="360"/>
      <c r="K16" s="364"/>
    </row>
    <row r="17" spans="1:11" ht="20.25">
      <c r="A17" s="707"/>
      <c r="B17" s="708"/>
      <c r="C17" s="709"/>
      <c r="D17" s="710"/>
      <c r="E17" s="711"/>
      <c r="F17" s="711"/>
      <c r="G17" s="711"/>
      <c r="H17" s="711"/>
      <c r="I17" s="711"/>
      <c r="J17" s="711"/>
      <c r="K17" s="363"/>
    </row>
  </sheetData>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46"/>
      <c r="B1" s="646"/>
      <c r="C1" s="646"/>
      <c r="D1" s="646"/>
      <c r="E1" s="646"/>
      <c r="F1" s="646"/>
      <c r="G1" s="646"/>
      <c r="H1" s="646"/>
      <c r="I1" s="646"/>
      <c r="J1" s="646"/>
      <c r="K1" s="646"/>
      <c r="L1" s="646"/>
      <c r="M1" s="646"/>
      <c r="N1" s="646"/>
      <c r="O1" s="646"/>
      <c r="P1" s="646"/>
      <c r="Q1" s="646"/>
      <c r="R1" s="16"/>
      <c r="S1" s="95" t="s">
        <v>88</v>
      </c>
      <c r="T1" s="96" t="s">
        <v>110</v>
      </c>
      <c r="U1" s="90" t="s">
        <v>115</v>
      </c>
      <c r="V1" s="347" t="s">
        <v>133</v>
      </c>
      <c r="W1" s="356" t="s">
        <v>700</v>
      </c>
      <c r="X1" s="355" t="s">
        <v>94</v>
      </c>
      <c r="Y1" s="355" t="s">
        <v>148</v>
      </c>
      <c r="Z1" s="378" t="s">
        <v>161</v>
      </c>
      <c r="AA1" s="347" t="s">
        <v>706</v>
      </c>
    </row>
    <row r="2" spans="1:27" ht="19.149999999999999" customHeight="1">
      <c r="A2" s="648"/>
      <c r="B2" s="646"/>
      <c r="C2" s="651"/>
      <c r="D2" s="649"/>
      <c r="E2" s="650"/>
      <c r="F2" s="650"/>
      <c r="G2" s="650"/>
      <c r="H2" s="650"/>
      <c r="I2" s="650"/>
      <c r="J2" s="650"/>
      <c r="K2" s="650"/>
      <c r="L2" s="650"/>
      <c r="M2" s="650"/>
      <c r="N2" s="650"/>
      <c r="O2" s="650"/>
      <c r="P2" s="644"/>
      <c r="Q2" s="644"/>
      <c r="R2" s="16"/>
      <c r="S2" s="92" t="s">
        <v>221</v>
      </c>
      <c r="T2" s="97" t="s">
        <v>111</v>
      </c>
      <c r="U2" s="100" t="s">
        <v>534</v>
      </c>
      <c r="V2" s="354" t="s">
        <v>493</v>
      </c>
      <c r="W2" s="357" t="s">
        <v>701</v>
      </c>
      <c r="X2" s="357" t="s">
        <v>152</v>
      </c>
      <c r="Y2" s="357" t="s">
        <v>149</v>
      </c>
      <c r="Z2" s="379" t="s">
        <v>152</v>
      </c>
      <c r="AA2" s="381" t="s">
        <v>707</v>
      </c>
    </row>
    <row r="3" spans="1:27" ht="19.149999999999999" customHeight="1">
      <c r="A3" s="648"/>
      <c r="B3" s="646"/>
      <c r="C3" s="652"/>
      <c r="D3" s="22"/>
      <c r="E3" s="22"/>
      <c r="F3" s="22"/>
      <c r="G3" s="22"/>
      <c r="H3" s="22"/>
      <c r="I3" s="22"/>
      <c r="J3" s="22"/>
      <c r="K3" s="22"/>
      <c r="L3" s="22"/>
      <c r="M3" s="22"/>
      <c r="N3" s="22"/>
      <c r="O3" s="23"/>
      <c r="P3" s="24"/>
      <c r="Q3" s="24"/>
      <c r="R3" s="16"/>
      <c r="S3" s="92" t="s">
        <v>41</v>
      </c>
      <c r="T3" s="98" t="s">
        <v>98</v>
      </c>
      <c r="U3" s="100" t="s">
        <v>535</v>
      </c>
      <c r="V3" s="354" t="s">
        <v>494</v>
      </c>
      <c r="W3" s="357" t="s">
        <v>702</v>
      </c>
      <c r="X3" s="357" t="s">
        <v>153</v>
      </c>
      <c r="Y3" s="357" t="s">
        <v>15</v>
      </c>
      <c r="Z3" s="379" t="s">
        <v>153</v>
      </c>
      <c r="AA3" s="381" t="s">
        <v>708</v>
      </c>
    </row>
    <row r="4" spans="1:27" ht="19.149999999999999" customHeight="1">
      <c r="A4" s="25"/>
      <c r="B4" s="26"/>
      <c r="C4" s="25"/>
      <c r="D4" s="25"/>
      <c r="E4" s="25"/>
      <c r="F4" s="25"/>
      <c r="G4" s="25"/>
      <c r="H4" s="25"/>
      <c r="I4" s="25"/>
      <c r="J4" s="25"/>
      <c r="K4" s="25"/>
      <c r="L4" s="25"/>
      <c r="M4" s="25"/>
      <c r="N4" s="25"/>
      <c r="O4" s="27"/>
      <c r="P4" s="24"/>
      <c r="Q4" s="24"/>
      <c r="R4" s="16"/>
      <c r="S4" s="92" t="s">
        <v>42</v>
      </c>
      <c r="T4" s="98" t="s">
        <v>99</v>
      </c>
      <c r="U4" s="100" t="s">
        <v>536</v>
      </c>
      <c r="V4" s="354" t="s">
        <v>135</v>
      </c>
      <c r="W4" s="357" t="s">
        <v>703</v>
      </c>
      <c r="X4" s="357" t="s">
        <v>4</v>
      </c>
      <c r="Y4" s="357" t="s">
        <v>150</v>
      </c>
      <c r="Z4" s="379" t="s">
        <v>4</v>
      </c>
      <c r="AA4" s="381" t="s">
        <v>709</v>
      </c>
    </row>
    <row r="5" spans="1:27" ht="19.149999999999999" customHeight="1">
      <c r="A5" s="25"/>
      <c r="B5" s="26"/>
      <c r="C5" s="25"/>
      <c r="D5" s="25"/>
      <c r="E5" s="25"/>
      <c r="F5" s="25"/>
      <c r="G5" s="25"/>
      <c r="H5" s="25"/>
      <c r="I5" s="25"/>
      <c r="J5" s="25"/>
      <c r="K5" s="25"/>
      <c r="L5" s="25"/>
      <c r="M5" s="25"/>
      <c r="N5" s="25"/>
      <c r="O5" s="27"/>
      <c r="P5" s="24"/>
      <c r="Q5" s="24"/>
      <c r="R5" s="16"/>
      <c r="S5" s="92" t="s">
        <v>225</v>
      </c>
      <c r="T5" s="98" t="s">
        <v>100</v>
      </c>
      <c r="U5" s="100" t="s">
        <v>543</v>
      </c>
      <c r="V5" s="354" t="s">
        <v>134</v>
      </c>
      <c r="W5" s="357" t="s">
        <v>704</v>
      </c>
      <c r="X5" s="357" t="s">
        <v>154</v>
      </c>
      <c r="Y5" s="357" t="s">
        <v>151</v>
      </c>
      <c r="Z5" s="379" t="s">
        <v>154</v>
      </c>
      <c r="AA5" s="381" t="s">
        <v>710</v>
      </c>
    </row>
    <row r="6" spans="1:27" ht="19.149999999999999" customHeight="1">
      <c r="A6" s="25"/>
      <c r="B6" s="26"/>
      <c r="C6" s="25"/>
      <c r="D6" s="25"/>
      <c r="E6" s="25"/>
      <c r="F6" s="25"/>
      <c r="G6" s="25"/>
      <c r="H6" s="25"/>
      <c r="I6" s="25"/>
      <c r="J6" s="25"/>
      <c r="K6" s="25"/>
      <c r="L6" s="25"/>
      <c r="M6" s="25"/>
      <c r="N6" s="25"/>
      <c r="O6" s="27"/>
      <c r="P6" s="24"/>
      <c r="Q6" s="24"/>
      <c r="R6" s="16"/>
      <c r="S6" s="92" t="s">
        <v>43</v>
      </c>
      <c r="T6" s="98" t="s">
        <v>101</v>
      </c>
      <c r="U6" s="100" t="s">
        <v>537</v>
      </c>
      <c r="V6" s="354" t="s">
        <v>495</v>
      </c>
      <c r="W6" s="357"/>
      <c r="X6" s="357" t="s">
        <v>15</v>
      </c>
      <c r="Y6" s="358"/>
      <c r="Z6" s="379" t="s">
        <v>15</v>
      </c>
      <c r="AA6" s="381" t="s">
        <v>711</v>
      </c>
    </row>
    <row r="7" spans="1:27" ht="19.149999999999999" customHeight="1">
      <c r="A7" s="16"/>
      <c r="B7" s="16"/>
      <c r="C7" s="16"/>
      <c r="D7" s="16"/>
      <c r="E7" s="16"/>
      <c r="F7" s="16"/>
      <c r="G7" s="16"/>
      <c r="H7" s="16"/>
      <c r="I7" s="16"/>
      <c r="J7" s="16"/>
      <c r="K7" s="16"/>
      <c r="L7" s="16"/>
      <c r="M7" s="16"/>
      <c r="N7" s="16"/>
      <c r="O7" s="16"/>
      <c r="P7" s="16"/>
      <c r="Q7" s="16"/>
      <c r="R7" s="16"/>
      <c r="S7" s="92" t="s">
        <v>226</v>
      </c>
      <c r="T7" s="98" t="s">
        <v>102</v>
      </c>
      <c r="U7" s="100" t="s">
        <v>544</v>
      </c>
      <c r="V7" s="354" t="s">
        <v>136</v>
      </c>
      <c r="W7" s="358"/>
      <c r="X7" s="358"/>
      <c r="Y7" s="358"/>
      <c r="Z7" s="380"/>
      <c r="AA7" s="381" t="s">
        <v>712</v>
      </c>
    </row>
    <row r="8" spans="1:27" ht="19.149999999999999" customHeight="1">
      <c r="A8" s="647" t="s">
        <v>116</v>
      </c>
      <c r="B8" s="647"/>
      <c r="C8" s="116" t="s">
        <v>164</v>
      </c>
      <c r="D8" s="103" t="s">
        <v>93</v>
      </c>
      <c r="E8" s="103" t="s">
        <v>127</v>
      </c>
      <c r="F8" s="102" t="s">
        <v>133</v>
      </c>
      <c r="G8" s="102" t="s">
        <v>94</v>
      </c>
      <c r="H8" s="61" t="s">
        <v>148</v>
      </c>
      <c r="I8" s="111" t="s">
        <v>161</v>
      </c>
      <c r="J8" s="653"/>
      <c r="K8" s="653"/>
      <c r="L8" s="16"/>
      <c r="M8" s="645"/>
      <c r="N8" s="645"/>
      <c r="O8" s="645"/>
      <c r="P8" s="16"/>
      <c r="Q8" s="16"/>
      <c r="R8" s="16"/>
      <c r="S8" s="92" t="s">
        <v>227</v>
      </c>
      <c r="T8" s="98" t="s">
        <v>103</v>
      </c>
      <c r="U8" s="100" t="s">
        <v>538</v>
      </c>
      <c r="V8" s="354" t="s">
        <v>252</v>
      </c>
      <c r="W8" s="358"/>
      <c r="X8" s="358"/>
      <c r="Y8" s="358"/>
      <c r="Z8" s="380"/>
      <c r="AA8" s="381" t="s">
        <v>713</v>
      </c>
    </row>
    <row r="9" spans="1:27" ht="19.149999999999999" customHeight="1">
      <c r="A9" s="85">
        <v>1</v>
      </c>
      <c r="B9" s="30" t="s">
        <v>11</v>
      </c>
      <c r="C9" s="115" t="s">
        <v>6</v>
      </c>
      <c r="D9" s="104" t="s">
        <v>121</v>
      </c>
      <c r="E9" s="104" t="s">
        <v>128</v>
      </c>
      <c r="F9" s="14" t="s">
        <v>493</v>
      </c>
      <c r="G9" s="101" t="s">
        <v>152</v>
      </c>
      <c r="H9" s="112" t="s">
        <v>149</v>
      </c>
      <c r="I9" s="132" t="s">
        <v>152</v>
      </c>
      <c r="J9" s="60"/>
      <c r="K9" s="60"/>
      <c r="L9" s="16"/>
      <c r="M9" s="28"/>
      <c r="N9" s="28"/>
      <c r="O9" s="28"/>
      <c r="P9" s="16"/>
      <c r="Q9" s="16"/>
      <c r="R9" s="16"/>
      <c r="S9" s="92" t="s">
        <v>44</v>
      </c>
      <c r="T9" s="98" t="s">
        <v>104</v>
      </c>
      <c r="U9" s="100" t="s">
        <v>545</v>
      </c>
      <c r="AA9" s="381" t="s">
        <v>714</v>
      </c>
    </row>
    <row r="10" spans="1:27" ht="19.149999999999999" customHeight="1">
      <c r="A10" s="85">
        <v>2</v>
      </c>
      <c r="B10" s="30" t="s">
        <v>12</v>
      </c>
      <c r="C10" s="115" t="s">
        <v>7</v>
      </c>
      <c r="D10" s="105" t="s">
        <v>122</v>
      </c>
      <c r="E10" s="104" t="s">
        <v>129</v>
      </c>
      <c r="F10" s="84" t="s">
        <v>494</v>
      </c>
      <c r="G10" s="101" t="s">
        <v>153</v>
      </c>
      <c r="H10" s="112" t="s">
        <v>15</v>
      </c>
      <c r="I10" s="132" t="s">
        <v>153</v>
      </c>
      <c r="J10" s="84"/>
      <c r="K10" s="84"/>
      <c r="L10" s="16"/>
      <c r="M10" s="29"/>
      <c r="N10" s="29"/>
      <c r="O10" s="29"/>
      <c r="P10" s="16"/>
      <c r="Q10" s="16"/>
      <c r="R10" s="16"/>
      <c r="S10" s="92" t="s">
        <v>45</v>
      </c>
      <c r="T10" s="98" t="s">
        <v>105</v>
      </c>
      <c r="U10" s="100" t="s">
        <v>539</v>
      </c>
      <c r="AA10" s="381" t="s">
        <v>692</v>
      </c>
    </row>
    <row r="11" spans="1:27" ht="19.149999999999999" customHeight="1">
      <c r="A11" s="85">
        <v>3</v>
      </c>
      <c r="B11" s="30" t="s">
        <v>24</v>
      </c>
      <c r="C11" s="16"/>
      <c r="D11" s="104" t="s">
        <v>123</v>
      </c>
      <c r="E11" s="104" t="s">
        <v>130</v>
      </c>
      <c r="F11" s="84" t="s">
        <v>135</v>
      </c>
      <c r="G11" s="101" t="s">
        <v>4</v>
      </c>
      <c r="H11" s="112" t="s">
        <v>150</v>
      </c>
      <c r="I11" s="132" t="s">
        <v>4</v>
      </c>
      <c r="J11" s="84"/>
      <c r="K11" s="84"/>
      <c r="L11" s="16"/>
      <c r="M11" s="29"/>
      <c r="N11" s="29"/>
      <c r="O11" s="29"/>
      <c r="P11" s="16"/>
      <c r="Q11" s="16"/>
      <c r="R11" s="16"/>
      <c r="S11" s="92" t="s">
        <v>46</v>
      </c>
      <c r="T11" s="98" t="s">
        <v>106</v>
      </c>
      <c r="U11" s="100" t="s">
        <v>546</v>
      </c>
      <c r="AA11" s="381" t="s">
        <v>688</v>
      </c>
    </row>
    <row r="12" spans="1:27" ht="19.149999999999999" customHeight="1">
      <c r="A12" s="85">
        <v>4</v>
      </c>
      <c r="B12" s="30" t="s">
        <v>5</v>
      </c>
      <c r="C12" s="16"/>
      <c r="D12" s="104" t="s">
        <v>124</v>
      </c>
      <c r="E12" s="104" t="s">
        <v>131</v>
      </c>
      <c r="F12" s="84" t="s">
        <v>134</v>
      </c>
      <c r="G12" s="101" t="s">
        <v>154</v>
      </c>
      <c r="H12" s="112" t="s">
        <v>151</v>
      </c>
      <c r="I12" s="132" t="s">
        <v>154</v>
      </c>
      <c r="J12" s="84"/>
      <c r="K12" s="84"/>
      <c r="L12" s="16"/>
      <c r="M12" s="29"/>
      <c r="N12" s="29"/>
      <c r="O12" s="29"/>
      <c r="P12" s="16"/>
      <c r="Q12" s="16"/>
      <c r="R12" s="16"/>
      <c r="S12" s="92" t="s">
        <v>47</v>
      </c>
      <c r="T12" s="98" t="s">
        <v>107</v>
      </c>
      <c r="U12" s="100" t="s">
        <v>540</v>
      </c>
      <c r="AA12" s="381" t="s">
        <v>715</v>
      </c>
    </row>
    <row r="13" spans="1:27" ht="19.149999999999999" customHeight="1">
      <c r="A13" s="85">
        <v>5</v>
      </c>
      <c r="B13" s="30" t="s">
        <v>25</v>
      </c>
      <c r="C13" s="16"/>
      <c r="D13" s="104" t="s">
        <v>736</v>
      </c>
      <c r="E13" s="16"/>
      <c r="F13" s="84" t="s">
        <v>495</v>
      </c>
      <c r="G13" s="101" t="s">
        <v>15</v>
      </c>
      <c r="H13" s="16"/>
      <c r="I13" s="132" t="s">
        <v>15</v>
      </c>
      <c r="J13" s="84"/>
      <c r="K13" s="84"/>
      <c r="L13" s="16"/>
      <c r="M13" s="29"/>
      <c r="N13" s="29"/>
      <c r="O13" s="29"/>
      <c r="P13" s="16"/>
      <c r="Q13" s="16"/>
      <c r="R13" s="16"/>
      <c r="S13" s="92" t="s">
        <v>48</v>
      </c>
      <c r="T13" s="98" t="s">
        <v>108</v>
      </c>
      <c r="U13" s="100" t="s">
        <v>547</v>
      </c>
    </row>
    <row r="14" spans="1:27" ht="19.149999999999999" customHeight="1">
      <c r="A14" s="85">
        <v>6</v>
      </c>
      <c r="B14" s="30"/>
      <c r="C14" s="16"/>
      <c r="D14" s="104" t="s">
        <v>125</v>
      </c>
      <c r="E14" s="16"/>
      <c r="F14" s="84" t="s">
        <v>136</v>
      </c>
      <c r="G14" s="16"/>
      <c r="H14" s="16"/>
      <c r="I14" s="16"/>
      <c r="J14" s="84"/>
      <c r="K14" s="84"/>
      <c r="L14" s="16"/>
      <c r="M14" s="29"/>
      <c r="N14" s="29"/>
      <c r="O14" s="29"/>
      <c r="P14" s="16"/>
      <c r="Q14" s="16"/>
      <c r="R14" s="16"/>
      <c r="S14" s="91" t="s">
        <v>49</v>
      </c>
      <c r="T14" s="99" t="s">
        <v>109</v>
      </c>
      <c r="U14" s="100" t="s">
        <v>541</v>
      </c>
    </row>
    <row r="15" spans="1:27" ht="19.149999999999999" customHeight="1">
      <c r="A15" s="85">
        <v>7</v>
      </c>
      <c r="B15" s="30"/>
      <c r="C15" s="16"/>
      <c r="D15" s="104" t="s">
        <v>126</v>
      </c>
      <c r="E15" s="16"/>
      <c r="F15" s="211" t="s">
        <v>252</v>
      </c>
      <c r="G15" s="16"/>
      <c r="H15" s="16"/>
      <c r="I15" s="16"/>
      <c r="J15" s="84"/>
      <c r="K15" s="84"/>
      <c r="L15" s="16"/>
      <c r="M15" s="29"/>
      <c r="N15" s="29"/>
      <c r="O15" s="29"/>
      <c r="P15" s="16"/>
      <c r="Q15" s="16"/>
      <c r="R15" s="16"/>
      <c r="S15" s="91" t="s">
        <v>50</v>
      </c>
      <c r="T15" s="93"/>
      <c r="U15" s="100" t="s">
        <v>548</v>
      </c>
    </row>
    <row r="16" spans="1:27" ht="19.149999999999999" customHeight="1">
      <c r="A16" s="85">
        <v>8</v>
      </c>
      <c r="B16" s="30"/>
      <c r="C16" s="16"/>
      <c r="D16" s="16"/>
      <c r="E16" s="16"/>
      <c r="F16" s="16"/>
      <c r="G16" s="16"/>
      <c r="H16" s="16"/>
      <c r="I16" s="16"/>
      <c r="J16" s="84"/>
      <c r="K16" s="84"/>
      <c r="L16" s="16"/>
      <c r="M16" s="29"/>
      <c r="N16" s="29"/>
      <c r="O16" s="29"/>
      <c r="P16" s="16"/>
      <c r="Q16" s="16"/>
      <c r="R16" s="16"/>
      <c r="S16" s="91" t="s">
        <v>229</v>
      </c>
      <c r="T16" s="93"/>
      <c r="U16" s="100" t="s">
        <v>542</v>
      </c>
    </row>
    <row r="17" spans="1:21" ht="19.149999999999999" customHeight="1">
      <c r="A17" s="85">
        <v>9</v>
      </c>
      <c r="B17" s="30"/>
      <c r="C17" s="16"/>
      <c r="D17" s="16"/>
      <c r="E17" s="16"/>
      <c r="F17" s="16"/>
      <c r="G17" s="16"/>
      <c r="H17" s="16"/>
      <c r="I17" s="16"/>
      <c r="J17" s="84"/>
      <c r="K17" s="84"/>
      <c r="L17" s="16"/>
      <c r="M17" s="29"/>
      <c r="N17" s="29"/>
      <c r="O17" s="29"/>
      <c r="P17" s="16"/>
      <c r="Q17" s="16"/>
      <c r="R17" s="16"/>
      <c r="S17" s="91" t="s">
        <v>51</v>
      </c>
      <c r="T17" s="94"/>
      <c r="U17" s="100" t="s">
        <v>549</v>
      </c>
    </row>
    <row r="18" spans="1:21" ht="19.149999999999999" customHeight="1">
      <c r="A18" s="85">
        <v>10</v>
      </c>
      <c r="B18" s="30"/>
      <c r="C18" s="16"/>
      <c r="D18" s="656" t="s">
        <v>235</v>
      </c>
      <c r="E18" s="656"/>
      <c r="F18" s="152">
        <f ca="1">TODAY()</f>
        <v>44357</v>
      </c>
      <c r="G18" s="16"/>
      <c r="H18" s="16"/>
      <c r="I18" s="16"/>
      <c r="J18" s="84"/>
      <c r="K18" s="84"/>
      <c r="L18" s="16"/>
      <c r="M18" s="29"/>
      <c r="N18" s="29"/>
      <c r="O18" s="29"/>
      <c r="P18" s="16"/>
      <c r="Q18" s="16"/>
      <c r="R18" s="16"/>
      <c r="S18" s="91" t="s">
        <v>228</v>
      </c>
      <c r="T18" s="94"/>
      <c r="U18" s="100" t="s">
        <v>123</v>
      </c>
    </row>
    <row r="19" spans="1:21" ht="19.149999999999999" customHeight="1">
      <c r="A19" s="69"/>
      <c r="B19" s="69"/>
      <c r="C19" s="16"/>
      <c r="D19" s="16"/>
      <c r="E19" s="16"/>
      <c r="F19" s="16"/>
      <c r="G19" s="16"/>
      <c r="H19" s="16"/>
      <c r="I19" s="16"/>
      <c r="J19" s="84"/>
      <c r="K19" s="84"/>
      <c r="L19" s="16"/>
      <c r="M19" s="29"/>
      <c r="N19" s="29"/>
      <c r="O19" s="29"/>
      <c r="P19" s="16"/>
      <c r="Q19" s="16"/>
      <c r="R19" s="16"/>
      <c r="S19" s="91" t="s">
        <v>52</v>
      </c>
      <c r="T19" s="93"/>
      <c r="U19" s="94"/>
    </row>
    <row r="20" spans="1:21" ht="19.149999999999999" customHeight="1">
      <c r="A20" s="647"/>
      <c r="B20" s="647"/>
      <c r="C20" s="16"/>
      <c r="D20" s="654" t="s">
        <v>39</v>
      </c>
      <c r="E20" s="655"/>
      <c r="F20" s="72"/>
      <c r="G20" s="16"/>
      <c r="H20" s="16"/>
      <c r="I20" s="16"/>
      <c r="J20" s="84"/>
      <c r="K20" s="84"/>
      <c r="L20" s="16"/>
      <c r="M20" s="29"/>
      <c r="N20" s="29"/>
      <c r="O20" s="29"/>
      <c r="P20" s="16"/>
      <c r="Q20" s="16"/>
      <c r="R20" s="16"/>
      <c r="S20" s="91" t="s">
        <v>53</v>
      </c>
      <c r="T20" s="93"/>
      <c r="U20" s="94"/>
    </row>
    <row r="21" spans="1:21" ht="19.149999999999999" customHeight="1">
      <c r="A21" s="85"/>
      <c r="B21" s="30"/>
      <c r="C21" s="16"/>
      <c r="D21" s="16"/>
      <c r="E21" s="16"/>
      <c r="F21" s="16"/>
      <c r="G21" s="16"/>
      <c r="H21" s="16"/>
      <c r="I21" s="16"/>
      <c r="J21" s="16"/>
      <c r="K21" s="16"/>
      <c r="L21" s="16"/>
      <c r="M21" s="29"/>
      <c r="N21" s="29"/>
      <c r="O21" s="29"/>
      <c r="P21" s="16"/>
      <c r="Q21" s="16"/>
      <c r="R21" s="16"/>
      <c r="S21" s="91" t="s">
        <v>54</v>
      </c>
      <c r="T21" s="93"/>
      <c r="U21" s="94"/>
    </row>
    <row r="22" spans="1:21" ht="19.149999999999999" customHeight="1">
      <c r="A22" s="85"/>
      <c r="B22" s="30"/>
      <c r="C22" s="16"/>
      <c r="D22" s="16"/>
      <c r="E22" s="16"/>
      <c r="F22" s="16"/>
      <c r="G22" s="16"/>
      <c r="H22" s="16"/>
      <c r="I22" s="16"/>
      <c r="J22" s="16"/>
      <c r="K22" s="16"/>
      <c r="L22" s="16"/>
      <c r="M22" s="16"/>
      <c r="N22" s="16"/>
      <c r="O22" s="16"/>
      <c r="P22" s="16"/>
      <c r="Q22" s="16"/>
      <c r="R22" s="16"/>
      <c r="S22" s="91" t="s">
        <v>55</v>
      </c>
      <c r="T22" s="93"/>
      <c r="U22" s="94"/>
    </row>
    <row r="23" spans="1:21" ht="21" customHeight="1">
      <c r="A23" s="85"/>
      <c r="B23" s="30"/>
      <c r="C23" s="16"/>
      <c r="D23" s="16"/>
      <c r="E23" s="16"/>
      <c r="F23" s="16"/>
      <c r="G23" s="16"/>
      <c r="H23" s="16"/>
      <c r="I23" s="16"/>
      <c r="J23" s="16"/>
      <c r="K23" s="16"/>
      <c r="L23" s="16"/>
      <c r="M23" s="16"/>
      <c r="N23" s="16"/>
      <c r="O23" s="16"/>
      <c r="P23" s="16"/>
      <c r="Q23" s="16"/>
      <c r="R23" s="16"/>
      <c r="S23" s="91" t="s">
        <v>56</v>
      </c>
      <c r="T23" s="93"/>
      <c r="U23" s="94"/>
    </row>
    <row r="24" spans="1:21" ht="24" customHeight="1">
      <c r="A24" s="16"/>
      <c r="B24" s="16"/>
      <c r="C24" s="16"/>
      <c r="D24" s="16"/>
      <c r="E24" s="16"/>
      <c r="F24" s="16"/>
      <c r="G24" s="16"/>
      <c r="H24" s="16"/>
      <c r="I24" s="16"/>
      <c r="J24" s="16"/>
      <c r="K24" s="16"/>
      <c r="L24" s="16"/>
      <c r="M24" s="16"/>
      <c r="N24" s="16"/>
      <c r="O24" s="16"/>
      <c r="P24" s="16"/>
      <c r="Q24" s="16"/>
      <c r="R24" s="16"/>
      <c r="S24" s="91" t="s">
        <v>57</v>
      </c>
      <c r="T24" s="93"/>
      <c r="U24" s="94"/>
    </row>
    <row r="25" spans="1:21" ht="15" customHeight="1">
      <c r="C25" s="713" t="s">
        <v>269</v>
      </c>
      <c r="D25" s="713" t="s">
        <v>122</v>
      </c>
      <c r="E25" s="713" t="s">
        <v>606</v>
      </c>
      <c r="F25" s="713" t="s">
        <v>136</v>
      </c>
      <c r="G25" s="713" t="s">
        <v>480</v>
      </c>
      <c r="H25" s="713" t="s">
        <v>607</v>
      </c>
      <c r="S25" s="91" t="s">
        <v>97</v>
      </c>
      <c r="T25" s="93"/>
      <c r="U25" s="94"/>
    </row>
    <row r="26" spans="1:21" ht="15" customHeight="1">
      <c r="C26" s="714" t="s">
        <v>728</v>
      </c>
      <c r="D26" s="714" t="s">
        <v>728</v>
      </c>
      <c r="E26" s="714" t="s">
        <v>728</v>
      </c>
      <c r="F26" s="714" t="s">
        <v>728</v>
      </c>
      <c r="G26" s="715" t="s">
        <v>732</v>
      </c>
      <c r="H26" s="715" t="s">
        <v>733</v>
      </c>
      <c r="S26" s="91" t="s">
        <v>58</v>
      </c>
      <c r="T26" s="93"/>
      <c r="U26" s="94"/>
    </row>
    <row r="27" spans="1:21" ht="15" customHeight="1">
      <c r="C27" s="714" t="s">
        <v>729</v>
      </c>
      <c r="D27" s="714" t="s">
        <v>729</v>
      </c>
      <c r="E27" s="714" t="s">
        <v>729</v>
      </c>
      <c r="F27" s="714" t="s">
        <v>729</v>
      </c>
      <c r="G27" s="714" t="s">
        <v>733</v>
      </c>
      <c r="H27" s="714" t="s">
        <v>734</v>
      </c>
      <c r="S27" s="91" t="s">
        <v>59</v>
      </c>
      <c r="T27" s="93"/>
      <c r="U27" s="94"/>
    </row>
    <row r="28" spans="1:21" ht="15" customHeight="1">
      <c r="C28" s="714" t="s">
        <v>730</v>
      </c>
      <c r="D28" s="714" t="s">
        <v>730</v>
      </c>
      <c r="E28" s="714" t="s">
        <v>730</v>
      </c>
      <c r="F28" s="714" t="s">
        <v>730</v>
      </c>
      <c r="G28" s="714" t="s">
        <v>734</v>
      </c>
      <c r="H28" s="714"/>
      <c r="S28" s="91" t="s">
        <v>60</v>
      </c>
      <c r="T28" s="93"/>
      <c r="U28" s="94"/>
    </row>
    <row r="29" spans="1:21" ht="18.75">
      <c r="C29" s="714" t="s">
        <v>731</v>
      </c>
      <c r="D29" s="714" t="s">
        <v>731</v>
      </c>
      <c r="E29" s="714" t="s">
        <v>731</v>
      </c>
      <c r="F29" s="714" t="s">
        <v>731</v>
      </c>
      <c r="G29" s="714" t="s">
        <v>735</v>
      </c>
      <c r="H29" s="714"/>
      <c r="S29" s="91" t="s">
        <v>61</v>
      </c>
      <c r="T29" s="94"/>
      <c r="U29" s="94"/>
    </row>
    <row r="30" spans="1:21">
      <c r="C30" s="714"/>
      <c r="D30" s="714"/>
      <c r="E30" s="714"/>
      <c r="F30" s="714"/>
      <c r="G30" s="714"/>
      <c r="H30" s="714"/>
      <c r="S30" s="91" t="s">
        <v>62</v>
      </c>
      <c r="T30" s="94"/>
      <c r="U30" s="94"/>
    </row>
    <row r="31" spans="1:21">
      <c r="C31" s="714"/>
      <c r="D31" s="714"/>
      <c r="E31" s="714"/>
      <c r="F31" s="714"/>
      <c r="G31" s="714"/>
      <c r="H31" s="714"/>
      <c r="S31" s="91" t="s">
        <v>63</v>
      </c>
      <c r="T31" s="94"/>
      <c r="U31" s="94"/>
    </row>
    <row r="32" spans="1:21">
      <c r="C32" s="714"/>
      <c r="D32" s="714"/>
      <c r="E32" s="714"/>
      <c r="F32" s="714"/>
      <c r="G32" s="714"/>
      <c r="H32" s="714"/>
      <c r="S32" s="91" t="s">
        <v>64</v>
      </c>
      <c r="T32" s="94"/>
      <c r="U32" s="94"/>
    </row>
    <row r="33" spans="3:19">
      <c r="C33" s="714"/>
      <c r="D33" s="714"/>
      <c r="E33" s="714"/>
      <c r="F33" s="714"/>
      <c r="G33" s="714"/>
      <c r="H33" s="714"/>
      <c r="S33" s="91" t="s">
        <v>65</v>
      </c>
    </row>
    <row r="34" spans="3:19">
      <c r="C34" s="714"/>
      <c r="D34" s="714"/>
      <c r="E34" s="714"/>
      <c r="F34" s="714"/>
      <c r="G34" s="714"/>
      <c r="H34" s="714"/>
      <c r="S34" s="91" t="s">
        <v>66</v>
      </c>
    </row>
    <row r="35" spans="3:19">
      <c r="C35" s="714"/>
      <c r="D35" s="714"/>
      <c r="E35" s="714"/>
      <c r="F35" s="714"/>
      <c r="G35" s="714"/>
      <c r="H35" s="714"/>
      <c r="S35" s="91" t="s">
        <v>67</v>
      </c>
    </row>
    <row r="36" spans="3:19">
      <c r="C36" s="714"/>
      <c r="D36" s="714"/>
      <c r="E36" s="714"/>
      <c r="F36" s="714"/>
      <c r="G36" s="714"/>
      <c r="H36" s="714"/>
      <c r="S36" s="91" t="s">
        <v>68</v>
      </c>
    </row>
    <row r="37" spans="3:19">
      <c r="S37" s="91" t="s">
        <v>69</v>
      </c>
    </row>
    <row r="38" spans="3:19">
      <c r="S38" s="91" t="s">
        <v>70</v>
      </c>
    </row>
    <row r="39" spans="3:19">
      <c r="S39" s="91" t="s">
        <v>71</v>
      </c>
    </row>
    <row r="40" spans="3:19">
      <c r="S40" s="91" t="s">
        <v>72</v>
      </c>
    </row>
    <row r="41" spans="3:19">
      <c r="S41" s="91" t="s">
        <v>73</v>
      </c>
    </row>
    <row r="42" spans="3:19">
      <c r="S42" s="91" t="s">
        <v>74</v>
      </c>
    </row>
    <row r="43" spans="3:19">
      <c r="S43" s="91" t="s">
        <v>75</v>
      </c>
    </row>
    <row r="44" spans="3:19">
      <c r="S44" s="91" t="s">
        <v>76</v>
      </c>
    </row>
    <row r="45" spans="3:19">
      <c r="S45" s="91" t="s">
        <v>77</v>
      </c>
    </row>
    <row r="46" spans="3:19">
      <c r="S46" s="91" t="s">
        <v>78</v>
      </c>
    </row>
    <row r="47" spans="3:19">
      <c r="S47" s="91" t="s">
        <v>79</v>
      </c>
    </row>
    <row r="48" spans="3:19">
      <c r="S48" s="91" t="s">
        <v>80</v>
      </c>
    </row>
    <row r="49" spans="19:19">
      <c r="S49" s="91" t="s">
        <v>81</v>
      </c>
    </row>
    <row r="50" spans="19:19">
      <c r="S50" s="91" t="s">
        <v>82</v>
      </c>
    </row>
    <row r="51" spans="19:19">
      <c r="S51" s="91" t="s">
        <v>83</v>
      </c>
    </row>
    <row r="52" spans="19:19">
      <c r="S52" s="91" t="s">
        <v>84</v>
      </c>
    </row>
    <row r="53" spans="19:19">
      <c r="S53" s="91" t="s">
        <v>85</v>
      </c>
    </row>
    <row r="54" spans="19:19">
      <c r="S54" s="91" t="s">
        <v>86</v>
      </c>
    </row>
    <row r="55" spans="19:19">
      <c r="S55" s="91" t="s">
        <v>87</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BC_TH</vt:lpstr>
      <vt:lpstr>Trich_Yeu</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2021-06-10T07:53:10Z</cp:lastPrinted>
  <dcterms:created xsi:type="dcterms:W3CDTF">2017-11-17T13:18:47Z</dcterms:created>
  <dcterms:modified xsi:type="dcterms:W3CDTF">2021-06-10T07:57:16Z</dcterms:modified>
</cp:coreProperties>
</file>